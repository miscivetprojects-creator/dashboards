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30002" documentId="8_{21E78461-8472-4FC4-9B9A-C4551723630E}" xr6:coauthVersionLast="47" xr6:coauthVersionMax="47" xr10:uidLastSave="{F403B6DA-052B-45CE-95CC-ED2FF700B0E8}"/>
  <bookViews>
    <workbookView xWindow="-60" yWindow="-60" windowWidth="15480" windowHeight="11640" firstSheet="12" activeTab="12" xr2:uid="{00000000-000D-0000-FFFF-FFFF00000000}"/>
  </bookViews>
  <sheets>
    <sheet name=" MIs" sheetId="84" state="hidden" r:id="rId1"/>
    <sheet name="June-2026" sheetId="56" r:id="rId2"/>
    <sheet name="HO(DG)" sheetId="81" r:id="rId3"/>
    <sheet name="Khammam-1" sheetId="50" r:id="rId4"/>
    <sheet name="Khammam-2" sheetId="47" r:id="rId5"/>
    <sheet name="Khammam-3" sheetId="82" r:id="rId6"/>
    <sheet name=" Khammam&amp;Cash" sheetId="95" r:id="rId7"/>
    <sheet name="Jadcherla-3" sheetId="72" r:id="rId8"/>
    <sheet name="Jadcherla-4" sheetId="78" r:id="rId9"/>
    <sheet name=" Jadcherla" sheetId="94" r:id="rId10"/>
    <sheet name=" Sangareddy-2" sheetId="89" r:id="rId11"/>
    <sheet name=" Sangareddy-3" sheetId="93" r:id="rId12"/>
    <sheet name="Narayankhed" sheetId="98" r:id="rId13"/>
    <sheet name="Dindi" sheetId="58" r:id="rId14"/>
    <sheet name="Amalapuram" sheetId="65" r:id="rId15"/>
    <sheet name="Madana palli" sheetId="71" r:id="rId16"/>
    <sheet name="Kadur" sheetId="7" r:id="rId17"/>
    <sheet name="YG Gudda" sheetId="62" r:id="rId18"/>
    <sheet name=" YG Gudda-2" sheetId="103" r:id="rId19"/>
    <sheet name="Hosadurga -2" sheetId="52" r:id="rId20"/>
    <sheet name="Hiriyur(VJNL)" sheetId="3" r:id="rId21"/>
    <sheet name="Malebenur(KUWSDB)" sheetId="16" r:id="rId22"/>
    <sheet name="Molakamuru" sheetId="63" r:id="rId23"/>
    <sheet name="Chellakere -1" sheetId="68" r:id="rId24"/>
    <sheet name=" Chellakere-PKG-9" sheetId="73" r:id="rId25"/>
    <sheet name=" Chennagiri" sheetId="74" r:id="rId26"/>
    <sheet name="Khanapur" sheetId="24" r:id="rId27"/>
    <sheet name="Munavali-2" sheetId="80" r:id="rId28"/>
    <sheet name=" Munavali" sheetId="99" r:id="rId29"/>
    <sheet name="Borgaon" sheetId="10" r:id="rId30"/>
    <sheet name="Ugar,Khagwad,Kudichi" sheetId="11" r:id="rId31"/>
    <sheet name="shedbal" sheetId="101" r:id="rId32"/>
    <sheet name="Kabbur" sheetId="40" r:id="rId33"/>
    <sheet name="kumta" sheetId="25" r:id="rId34"/>
    <sheet name=" Jalgaon-1" sheetId="22" r:id="rId35"/>
    <sheet name="Jalgoan-2" sheetId="85" r:id="rId36"/>
    <sheet name=" Jalgaon-3" sheetId="97" r:id="rId37"/>
    <sheet name="Jalgaon-4" sheetId="96" r:id="rId38"/>
    <sheet name=" Jalgaon-5 c" sheetId="92" r:id="rId39"/>
    <sheet name="MKBD" sheetId="14" r:id="rId40"/>
    <sheet name=" Haveri-2" sheetId="75" r:id="rId41"/>
    <sheet name=" Guttal-2" sheetId="79" r:id="rId42"/>
    <sheet name="Rattihali-2" sheetId="76" r:id="rId43"/>
    <sheet name="Gajendragada" sheetId="12" r:id="rId44"/>
    <sheet name="Gokak Dharwad PKG 3" sheetId="41" r:id="rId45"/>
    <sheet name="Ankalgi" sheetId="60" r:id="rId46"/>
    <sheet name=" TR Associates" sheetId="83" r:id="rId47"/>
    <sheet name="SHRI DESHPANDE" sheetId="100" r:id="rId48"/>
    <sheet name=" Shankeshwar" sheetId="57" r:id="rId49"/>
    <sheet name=" Talikote" sheetId="26" r:id="rId50"/>
    <sheet name="Chadchan" sheetId="9" r:id="rId51"/>
    <sheet name="Sindagi" sheetId="33" r:id="rId52"/>
    <sheet name="Muddebhihal-2" sheetId="69" r:id="rId53"/>
    <sheet name="Alemela" sheetId="35" r:id="rId54"/>
    <sheet name="Nalatwad" sheetId="51" r:id="rId55"/>
    <sheet name="Srirangapatna" sheetId="19" r:id="rId56"/>
    <sheet name="BPCL June-26" sheetId="44" r:id="rId57"/>
    <sheet name=" HPCL May -26" sheetId="45" r:id="rId58"/>
    <sheet name="Sheet1" sheetId="86" r:id="rId59"/>
    <sheet name="Sheet2" sheetId="102" r:id="rId60"/>
  </sheets>
  <definedNames>
    <definedName name="_xlnm._FilterDatabase" localSheetId="56" hidden="1">'BPCL June-26'!$A$4:$U$4</definedName>
    <definedName name="_xlnm._FilterDatabase" localSheetId="57" hidden="1">' HPCL May -26'!$A$1:$P$74</definedName>
    <definedName name="_xlnm._FilterDatabase" localSheetId="38" hidden="1">' Jalgaon-5 c'!$A$2:$N$2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98" l="1"/>
  <c r="L14" i="81"/>
  <c r="M5" i="65"/>
  <c r="M6" i="65"/>
  <c r="M7" i="65"/>
  <c r="M8" i="65"/>
  <c r="M9" i="65"/>
  <c r="M10" i="65"/>
  <c r="M11" i="65"/>
  <c r="M12" i="65"/>
  <c r="M13" i="65"/>
  <c r="M14" i="65"/>
  <c r="M15" i="65"/>
  <c r="M16" i="65"/>
  <c r="M17" i="65"/>
  <c r="M18" i="65"/>
  <c r="M19" i="65"/>
  <c r="M20" i="65"/>
  <c r="M21" i="65"/>
  <c r="M22" i="65"/>
  <c r="M23" i="65"/>
  <c r="M24" i="65"/>
  <c r="M25" i="65"/>
  <c r="M26" i="65"/>
  <c r="M27" i="65"/>
  <c r="M28" i="65"/>
  <c r="M29" i="65"/>
  <c r="M30" i="65"/>
  <c r="M31" i="65"/>
  <c r="M32" i="65"/>
  <c r="M33" i="65"/>
  <c r="M34" i="65"/>
  <c r="M35" i="65"/>
  <c r="M36" i="65"/>
  <c r="M37" i="65"/>
  <c r="M38" i="65"/>
  <c r="M39" i="65"/>
  <c r="M40" i="65"/>
  <c r="M41" i="65"/>
  <c r="M42" i="65"/>
  <c r="M43" i="65"/>
  <c r="M44" i="65"/>
  <c r="M45" i="65"/>
  <c r="M46" i="65"/>
  <c r="M47" i="65"/>
  <c r="M48" i="65"/>
  <c r="M49" i="65"/>
  <c r="M50" i="65"/>
  <c r="M51" i="65"/>
  <c r="M52" i="65"/>
  <c r="M53" i="65"/>
  <c r="M54" i="65"/>
  <c r="M55" i="65"/>
  <c r="M56" i="65"/>
  <c r="M57" i="65"/>
  <c r="M58" i="65"/>
  <c r="M59" i="65"/>
  <c r="M60" i="65"/>
  <c r="M61" i="65"/>
  <c r="M62" i="65"/>
  <c r="M63" i="65"/>
  <c r="M64" i="65"/>
  <c r="M65" i="65"/>
  <c r="M66" i="65"/>
  <c r="M67" i="65"/>
  <c r="M68" i="65"/>
  <c r="M69" i="65"/>
  <c r="M70" i="65"/>
  <c r="M71" i="65"/>
  <c r="M72" i="65"/>
  <c r="M73" i="65"/>
  <c r="M74" i="65"/>
  <c r="M75" i="65"/>
  <c r="M76" i="65"/>
  <c r="M77" i="65"/>
  <c r="M78" i="65"/>
  <c r="M79" i="65"/>
  <c r="M80" i="65"/>
  <c r="M81" i="65"/>
  <c r="M82" i="65"/>
  <c r="M83" i="65"/>
  <c r="M84" i="65"/>
  <c r="M85" i="65"/>
  <c r="M86" i="65"/>
  <c r="M87" i="65"/>
  <c r="M88" i="65"/>
  <c r="M89" i="65"/>
  <c r="M90" i="65"/>
  <c r="M91" i="65"/>
  <c r="M92" i="65"/>
  <c r="M93" i="65"/>
  <c r="M94" i="65"/>
  <c r="M95" i="65"/>
  <c r="M96" i="65"/>
  <c r="M97" i="65"/>
  <c r="M98" i="65"/>
  <c r="M99" i="65"/>
  <c r="M100" i="65"/>
  <c r="M101" i="65"/>
  <c r="M102" i="65"/>
  <c r="M103" i="65"/>
  <c r="M104" i="65"/>
  <c r="M105" i="65"/>
  <c r="M106" i="65"/>
  <c r="M107" i="65"/>
  <c r="M108" i="65"/>
  <c r="M109" i="65"/>
  <c r="M110" i="65"/>
  <c r="M111" i="65"/>
  <c r="M112" i="65"/>
  <c r="M113" i="65"/>
  <c r="M114" i="65"/>
  <c r="M115" i="65"/>
  <c r="M116" i="65"/>
  <c r="M117" i="65"/>
  <c r="M118" i="65"/>
  <c r="M119" i="65"/>
  <c r="M120" i="65"/>
  <c r="M121" i="65"/>
  <c r="M122" i="65"/>
  <c r="M123" i="65"/>
  <c r="M124" i="65"/>
  <c r="M125" i="65"/>
  <c r="M126" i="65"/>
  <c r="M127" i="65"/>
  <c r="M128" i="65"/>
  <c r="M129" i="65"/>
  <c r="M130" i="65"/>
  <c r="M131" i="65"/>
  <c r="M132" i="65"/>
  <c r="M133" i="65"/>
  <c r="M134" i="65"/>
  <c r="M135" i="65"/>
  <c r="M136" i="65"/>
  <c r="M137" i="65"/>
  <c r="M138" i="65"/>
  <c r="M139" i="65"/>
  <c r="M140" i="65"/>
  <c r="M141" i="65"/>
  <c r="M142" i="65"/>
  <c r="M143" i="65"/>
  <c r="M144" i="65"/>
  <c r="M145" i="65"/>
  <c r="M146" i="65"/>
  <c r="M147" i="65"/>
  <c r="M148" i="65"/>
  <c r="M149" i="65"/>
  <c r="M150" i="65"/>
  <c r="M151" i="65"/>
  <c r="M152" i="65"/>
  <c r="M153" i="65"/>
  <c r="M154" i="65"/>
  <c r="M155" i="65"/>
  <c r="M156" i="65"/>
  <c r="M157" i="65"/>
  <c r="M158" i="65"/>
  <c r="M159" i="65"/>
  <c r="M160" i="65"/>
  <c r="M161" i="65"/>
  <c r="M162" i="65"/>
  <c r="M163" i="65"/>
  <c r="M164" i="65"/>
  <c r="M165" i="65"/>
  <c r="M166" i="65"/>
  <c r="M167" i="65"/>
  <c r="M168" i="65"/>
  <c r="M169" i="65"/>
  <c r="M170" i="65"/>
  <c r="M171" i="65"/>
  <c r="M172" i="65"/>
  <c r="M173" i="65"/>
  <c r="M174" i="65"/>
  <c r="M175" i="65"/>
  <c r="M176" i="65"/>
  <c r="M177" i="65"/>
  <c r="M178" i="65"/>
  <c r="M179" i="65"/>
  <c r="M180" i="65"/>
  <c r="M181" i="65"/>
  <c r="M182" i="65"/>
  <c r="M183" i="65"/>
  <c r="M184" i="65"/>
  <c r="M185" i="65"/>
  <c r="M186" i="65"/>
  <c r="M187" i="65"/>
  <c r="M188" i="65"/>
  <c r="M189" i="65"/>
  <c r="M190" i="65"/>
  <c r="M191" i="65"/>
  <c r="M192" i="65"/>
  <c r="M193" i="65"/>
  <c r="M194" i="65"/>
  <c r="M195" i="65"/>
  <c r="M196" i="65"/>
  <c r="M197" i="65"/>
  <c r="M198" i="65"/>
  <c r="M199" i="65"/>
  <c r="M200" i="65"/>
  <c r="M201" i="65"/>
  <c r="M202" i="65"/>
  <c r="M203" i="65"/>
  <c r="M204" i="65"/>
  <c r="M205" i="65"/>
  <c r="M206" i="65"/>
  <c r="M207" i="65"/>
  <c r="M208" i="65"/>
  <c r="M209" i="65"/>
  <c r="M210" i="65"/>
  <c r="M211" i="65"/>
  <c r="M212" i="65"/>
  <c r="M213" i="65"/>
  <c r="M214" i="65"/>
  <c r="M215" i="65"/>
  <c r="M216" i="65"/>
  <c r="M217" i="65"/>
  <c r="M218" i="65"/>
  <c r="M219" i="65"/>
  <c r="M220" i="65"/>
  <c r="M221" i="65"/>
  <c r="M222" i="65"/>
  <c r="M223" i="65"/>
  <c r="M224" i="65"/>
  <c r="M225" i="65"/>
  <c r="M226" i="65"/>
  <c r="M227" i="65"/>
  <c r="M228" i="65"/>
  <c r="M229" i="65"/>
  <c r="M230" i="65"/>
  <c r="M231" i="65"/>
  <c r="M232" i="65"/>
  <c r="M233" i="65"/>
  <c r="M234" i="65"/>
  <c r="M235" i="65"/>
  <c r="M236" i="65"/>
  <c r="M237" i="65"/>
  <c r="M238" i="65"/>
  <c r="M239" i="65"/>
  <c r="M240" i="65"/>
  <c r="M241" i="65"/>
  <c r="M242" i="65"/>
  <c r="M4" i="65"/>
  <c r="L171" i="65"/>
  <c r="L172" i="65"/>
  <c r="L173" i="65"/>
  <c r="L174" i="65"/>
  <c r="L175" i="65"/>
  <c r="L176" i="65"/>
  <c r="L177" i="65"/>
  <c r="L178" i="65"/>
  <c r="L179" i="65"/>
  <c r="L180" i="65"/>
  <c r="L181" i="65"/>
  <c r="L182" i="65"/>
  <c r="L183" i="65"/>
  <c r="L184" i="65"/>
  <c r="L185" i="65"/>
  <c r="L186" i="65"/>
  <c r="L187" i="65"/>
  <c r="L188" i="65"/>
  <c r="L189" i="65"/>
  <c r="L190" i="65"/>
  <c r="L191" i="65"/>
  <c r="L192" i="65"/>
  <c r="L193" i="65"/>
  <c r="L194" i="65"/>
  <c r="L195" i="65"/>
  <c r="L196" i="65"/>
  <c r="L197" i="65"/>
  <c r="L198" i="65"/>
  <c r="L199" i="65"/>
  <c r="L200" i="65"/>
  <c r="L201" i="65"/>
  <c r="L202" i="65"/>
  <c r="L203" i="65"/>
  <c r="L204" i="65"/>
  <c r="L205" i="65"/>
  <c r="L206" i="65"/>
  <c r="L207" i="65"/>
  <c r="L208" i="65"/>
  <c r="L209" i="65"/>
  <c r="L210" i="65"/>
  <c r="L211" i="65"/>
  <c r="L212" i="65"/>
  <c r="L213" i="65"/>
  <c r="L214" i="65"/>
  <c r="L215" i="65"/>
  <c r="L216" i="65"/>
  <c r="L217" i="65"/>
  <c r="L218" i="65"/>
  <c r="L219" i="65"/>
  <c r="L220" i="65"/>
  <c r="L221" i="65"/>
  <c r="L222" i="65"/>
  <c r="L223" i="65"/>
  <c r="L224" i="65"/>
  <c r="L225" i="65"/>
  <c r="L226" i="65"/>
  <c r="L227" i="65"/>
  <c r="L228" i="65"/>
  <c r="L229" i="65"/>
  <c r="L230" i="65"/>
  <c r="L231" i="65"/>
  <c r="L232" i="65"/>
  <c r="L233" i="65"/>
  <c r="L234" i="65"/>
  <c r="L235" i="65"/>
  <c r="L236" i="65"/>
  <c r="L237" i="65"/>
  <c r="L238" i="65"/>
  <c r="L239" i="65"/>
  <c r="L240" i="65"/>
  <c r="L241" i="65"/>
  <c r="L242" i="65"/>
  <c r="K246" i="65"/>
  <c r="J246" i="65"/>
  <c r="H246" i="65"/>
  <c r="G246" i="65"/>
  <c r="E246" i="65"/>
  <c r="I257" i="65"/>
  <c r="J257" i="65"/>
  <c r="J259" i="65"/>
  <c r="K33" i="81"/>
  <c r="M5" i="81"/>
  <c r="M6" i="81"/>
  <c r="M7" i="81"/>
  <c r="M8" i="81"/>
  <c r="M9" i="81"/>
  <c r="M10" i="81"/>
  <c r="M11" i="81"/>
  <c r="M12" i="81"/>
  <c r="M13" i="81"/>
  <c r="M14" i="81"/>
  <c r="M15" i="81"/>
  <c r="M16" i="81"/>
  <c r="M17" i="81"/>
  <c r="M18" i="81"/>
  <c r="M19" i="81"/>
  <c r="M20" i="81"/>
  <c r="M21" i="81"/>
  <c r="M22" i="81"/>
  <c r="M23" i="81"/>
  <c r="M24" i="81"/>
  <c r="M25" i="81"/>
  <c r="M26" i="81"/>
  <c r="M27" i="81"/>
  <c r="M28" i="81"/>
  <c r="M29" i="81"/>
  <c r="M30" i="81"/>
  <c r="M31" i="81"/>
  <c r="M32" i="81"/>
  <c r="M33" i="81" s="1"/>
  <c r="M34" i="81"/>
  <c r="M35" i="81"/>
  <c r="M36" i="81"/>
  <c r="M37" i="81"/>
  <c r="M38" i="81"/>
  <c r="M39" i="81"/>
  <c r="M40" i="81"/>
  <c r="I55" i="56"/>
  <c r="H55" i="56"/>
  <c r="G55" i="56"/>
  <c r="F55" i="56"/>
  <c r="E55" i="56"/>
  <c r="D55" i="56"/>
  <c r="L46" i="81"/>
  <c r="J55" i="56" s="1"/>
  <c r="K55" i="56" s="1"/>
  <c r="K46" i="81"/>
  <c r="G46" i="81"/>
  <c r="E46" i="81"/>
  <c r="J33" i="50"/>
  <c r="L33" i="26"/>
  <c r="G33" i="100"/>
  <c r="J30" i="50"/>
  <c r="J31" i="50"/>
  <c r="J32" i="50"/>
  <c r="G33" i="81"/>
  <c r="J32" i="35"/>
  <c r="M5" i="100"/>
  <c r="M6" i="100"/>
  <c r="M7" i="100"/>
  <c r="M8" i="100"/>
  <c r="M9" i="100"/>
  <c r="M10" i="100"/>
  <c r="M11" i="100"/>
  <c r="M12" i="100"/>
  <c r="M13" i="100"/>
  <c r="M14" i="100"/>
  <c r="M15" i="100"/>
  <c r="M16" i="100"/>
  <c r="M17" i="100"/>
  <c r="M18" i="100"/>
  <c r="M19" i="100"/>
  <c r="M20" i="100"/>
  <c r="M21" i="100"/>
  <c r="M22" i="100"/>
  <c r="M23" i="100"/>
  <c r="M24" i="100"/>
  <c r="M25" i="100"/>
  <c r="M26" i="100"/>
  <c r="M27" i="100"/>
  <c r="M28" i="100"/>
  <c r="G32" i="100"/>
  <c r="M23" i="75"/>
  <c r="M24" i="75"/>
  <c r="M25" i="75"/>
  <c r="M26" i="75"/>
  <c r="M27" i="75"/>
  <c r="M28" i="75"/>
  <c r="M29" i="75" s="1"/>
  <c r="M30" i="75"/>
  <c r="M31" i="75"/>
  <c r="M32" i="75"/>
  <c r="M33" i="75"/>
  <c r="K23" i="75"/>
  <c r="J23" i="75"/>
  <c r="E38" i="47"/>
  <c r="G31" i="24"/>
  <c r="G30" i="24"/>
  <c r="G30" i="100"/>
  <c r="G31" i="100"/>
  <c r="M34" i="63"/>
  <c r="G25" i="26"/>
  <c r="G26" i="26"/>
  <c r="G27" i="26"/>
  <c r="G28" i="26"/>
  <c r="G29" i="26"/>
  <c r="G30" i="26"/>
  <c r="J29" i="50"/>
  <c r="G29" i="100"/>
  <c r="L48" i="45"/>
  <c r="L49" i="45"/>
  <c r="L46" i="45"/>
  <c r="L45" i="45"/>
  <c r="L40" i="45"/>
  <c r="L38" i="45"/>
  <c r="L37" i="45"/>
  <c r="L35" i="45"/>
  <c r="L33" i="45"/>
  <c r="L32" i="45"/>
  <c r="L26" i="45"/>
  <c r="L25" i="45"/>
  <c r="L24" i="45"/>
  <c r="L23" i="45"/>
  <c r="L22" i="45"/>
  <c r="L21" i="45"/>
  <c r="L18" i="45"/>
  <c r="L68" i="45"/>
  <c r="K36" i="45"/>
  <c r="K39" i="45"/>
  <c r="K41" i="45"/>
  <c r="K42" i="45"/>
  <c r="K43" i="45"/>
  <c r="K44" i="45"/>
  <c r="K47" i="45"/>
  <c r="K50" i="45"/>
  <c r="K67" i="45"/>
  <c r="L67" i="45" s="1"/>
  <c r="K69" i="45"/>
  <c r="L69" i="45" s="1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90" i="45"/>
  <c r="K91" i="45"/>
  <c r="K92" i="45"/>
  <c r="K5" i="45"/>
  <c r="K6" i="45"/>
  <c r="K7" i="45"/>
  <c r="K8" i="45"/>
  <c r="K9" i="45"/>
  <c r="K10" i="45"/>
  <c r="K11" i="45"/>
  <c r="K12" i="45"/>
  <c r="K13" i="45"/>
  <c r="K14" i="45"/>
  <c r="K15" i="45"/>
  <c r="K16" i="45"/>
  <c r="K17" i="45"/>
  <c r="K19" i="45"/>
  <c r="K20" i="45"/>
  <c r="K27" i="45"/>
  <c r="K28" i="45"/>
  <c r="K29" i="45"/>
  <c r="K30" i="45"/>
  <c r="L30" i="45" s="1"/>
  <c r="K31" i="45"/>
  <c r="K34" i="45"/>
  <c r="K4" i="45"/>
  <c r="L4" i="45"/>
  <c r="N4" i="45" s="1"/>
  <c r="L29" i="45"/>
  <c r="L19" i="45"/>
  <c r="L20" i="45"/>
  <c r="L27" i="45"/>
  <c r="L28" i="45"/>
  <c r="L31" i="45"/>
  <c r="L34" i="45"/>
  <c r="L36" i="45"/>
  <c r="L39" i="45"/>
  <c r="L41" i="45"/>
  <c r="L42" i="45"/>
  <c r="L43" i="45"/>
  <c r="L44" i="45"/>
  <c r="L47" i="45"/>
  <c r="L50" i="45"/>
  <c r="L70" i="45"/>
  <c r="L71" i="45"/>
  <c r="L72" i="45"/>
  <c r="L73" i="45"/>
  <c r="L74" i="45"/>
  <c r="L75" i="45"/>
  <c r="L76" i="45"/>
  <c r="L77" i="45"/>
  <c r="L78" i="45"/>
  <c r="L79" i="45"/>
  <c r="L80" i="45"/>
  <c r="L81" i="45"/>
  <c r="L82" i="45"/>
  <c r="L83" i="45"/>
  <c r="L84" i="45"/>
  <c r="L85" i="45"/>
  <c r="L86" i="45"/>
  <c r="L87" i="45"/>
  <c r="L88" i="45"/>
  <c r="L89" i="45"/>
  <c r="L90" i="45"/>
  <c r="L5" i="45"/>
  <c r="L6" i="45"/>
  <c r="L7" i="45"/>
  <c r="L8" i="45"/>
  <c r="L9" i="45"/>
  <c r="L10" i="45"/>
  <c r="L11" i="45"/>
  <c r="L12" i="45"/>
  <c r="L13" i="45"/>
  <c r="L14" i="45"/>
  <c r="L15" i="45"/>
  <c r="L16" i="45"/>
  <c r="L17" i="45"/>
  <c r="K5" i="65"/>
  <c r="K6" i="65"/>
  <c r="K7" i="65"/>
  <c r="K8" i="65"/>
  <c r="K9" i="65"/>
  <c r="K10" i="65"/>
  <c r="K11" i="65"/>
  <c r="K12" i="65"/>
  <c r="K13" i="65"/>
  <c r="K14" i="65"/>
  <c r="K15" i="65"/>
  <c r="K16" i="65"/>
  <c r="K17" i="65"/>
  <c r="K18" i="65"/>
  <c r="K19" i="65"/>
  <c r="K20" i="65"/>
  <c r="K21" i="65"/>
  <c r="K22" i="65"/>
  <c r="K23" i="65"/>
  <c r="K24" i="65"/>
  <c r="K27" i="65"/>
  <c r="K28" i="65"/>
  <c r="K29" i="65"/>
  <c r="K30" i="65"/>
  <c r="K31" i="65"/>
  <c r="K32" i="65"/>
  <c r="K33" i="65"/>
  <c r="K34" i="65"/>
  <c r="K35" i="65"/>
  <c r="K36" i="65"/>
  <c r="K37" i="65"/>
  <c r="K38" i="65"/>
  <c r="K39" i="65"/>
  <c r="K40" i="65"/>
  <c r="K41" i="65"/>
  <c r="K42" i="65"/>
  <c r="K43" i="65"/>
  <c r="K44" i="65"/>
  <c r="K45" i="65"/>
  <c r="K46" i="65"/>
  <c r="K47" i="65"/>
  <c r="K53" i="65"/>
  <c r="K54" i="65"/>
  <c r="K55" i="65"/>
  <c r="K56" i="65"/>
  <c r="K57" i="65"/>
  <c r="K58" i="65"/>
  <c r="K59" i="65"/>
  <c r="K60" i="65"/>
  <c r="K61" i="65"/>
  <c r="K62" i="65"/>
  <c r="K63" i="65"/>
  <c r="K64" i="65"/>
  <c r="K65" i="65"/>
  <c r="K66" i="65"/>
  <c r="K67" i="65"/>
  <c r="K68" i="65"/>
  <c r="K69" i="65"/>
  <c r="K70" i="65"/>
  <c r="K71" i="65"/>
  <c r="K72" i="65"/>
  <c r="K73" i="65"/>
  <c r="K74" i="65"/>
  <c r="K75" i="65"/>
  <c r="K76" i="65"/>
  <c r="K77" i="65"/>
  <c r="K78" i="65"/>
  <c r="K79" i="65"/>
  <c r="K80" i="65"/>
  <c r="K81" i="65"/>
  <c r="K82" i="65"/>
  <c r="K83" i="65"/>
  <c r="K84" i="65"/>
  <c r="K85" i="65"/>
  <c r="K86" i="65"/>
  <c r="K87" i="65"/>
  <c r="K88" i="65"/>
  <c r="K89" i="65"/>
  <c r="K90" i="65"/>
  <c r="K91" i="65"/>
  <c r="K92" i="65"/>
  <c r="K93" i="65"/>
  <c r="K94" i="65"/>
  <c r="K95" i="65"/>
  <c r="K96" i="65"/>
  <c r="K97" i="65"/>
  <c r="K98" i="65"/>
  <c r="K99" i="65"/>
  <c r="K100" i="65"/>
  <c r="K101" i="65"/>
  <c r="K102" i="65"/>
  <c r="K103" i="65"/>
  <c r="K104" i="65"/>
  <c r="K105" i="65"/>
  <c r="K106" i="65"/>
  <c r="K107" i="65"/>
  <c r="K108" i="65"/>
  <c r="K109" i="65"/>
  <c r="K110" i="65"/>
  <c r="K111" i="65"/>
  <c r="K112" i="65"/>
  <c r="K113" i="65"/>
  <c r="K114" i="65"/>
  <c r="K115" i="65"/>
  <c r="K116" i="65"/>
  <c r="K117" i="65"/>
  <c r="K118" i="65"/>
  <c r="K119" i="65"/>
  <c r="K120" i="65"/>
  <c r="K121" i="65"/>
  <c r="K122" i="65"/>
  <c r="K123" i="65"/>
  <c r="K124" i="65"/>
  <c r="K125" i="65"/>
  <c r="K126" i="65"/>
  <c r="K127" i="65"/>
  <c r="K128" i="65"/>
  <c r="K129" i="65"/>
  <c r="K130" i="65"/>
  <c r="K131" i="65"/>
  <c r="K132" i="65"/>
  <c r="K133" i="65"/>
  <c r="K134" i="65"/>
  <c r="K135" i="65"/>
  <c r="K136" i="65"/>
  <c r="K137" i="65"/>
  <c r="K138" i="65"/>
  <c r="K139" i="65"/>
  <c r="K140" i="65"/>
  <c r="K141" i="65"/>
  <c r="K142" i="65"/>
  <c r="K143" i="65"/>
  <c r="K144" i="65"/>
  <c r="K145" i="65"/>
  <c r="K146" i="65"/>
  <c r="K147" i="65"/>
  <c r="K148" i="65"/>
  <c r="K149" i="65"/>
  <c r="K150" i="65"/>
  <c r="K151" i="65"/>
  <c r="K152" i="65"/>
  <c r="K153" i="65"/>
  <c r="K154" i="65"/>
  <c r="K155" i="65"/>
  <c r="K156" i="65"/>
  <c r="K157" i="65"/>
  <c r="K158" i="65"/>
  <c r="K159" i="65"/>
  <c r="K160" i="65"/>
  <c r="K161" i="65"/>
  <c r="K162" i="65"/>
  <c r="K163" i="65"/>
  <c r="K164" i="65"/>
  <c r="K165" i="65"/>
  <c r="K166" i="65"/>
  <c r="K167" i="65"/>
  <c r="K168" i="65"/>
  <c r="K169" i="65"/>
  <c r="K170" i="65"/>
  <c r="K171" i="65"/>
  <c r="K4" i="65"/>
  <c r="G14" i="56"/>
  <c r="F14" i="56"/>
  <c r="D14" i="56"/>
  <c r="L5" i="65"/>
  <c r="L6" i="65"/>
  <c r="L7" i="65"/>
  <c r="L8" i="65"/>
  <c r="L9" i="65"/>
  <c r="L10" i="65"/>
  <c r="L11" i="65"/>
  <c r="L12" i="65"/>
  <c r="L13" i="65"/>
  <c r="L14" i="65"/>
  <c r="L15" i="65"/>
  <c r="L16" i="65"/>
  <c r="L17" i="65"/>
  <c r="L18" i="65"/>
  <c r="L19" i="65"/>
  <c r="L20" i="65"/>
  <c r="L21" i="65"/>
  <c r="L22" i="65"/>
  <c r="L23" i="65"/>
  <c r="L24" i="65"/>
  <c r="L27" i="65"/>
  <c r="L28" i="65"/>
  <c r="L29" i="65"/>
  <c r="L30" i="65"/>
  <c r="L31" i="65"/>
  <c r="L32" i="65"/>
  <c r="L33" i="65"/>
  <c r="L34" i="65"/>
  <c r="L35" i="65"/>
  <c r="L36" i="65"/>
  <c r="L37" i="65"/>
  <c r="L38" i="65"/>
  <c r="L39" i="65"/>
  <c r="L40" i="65"/>
  <c r="L41" i="65"/>
  <c r="L42" i="65"/>
  <c r="L43" i="65"/>
  <c r="L44" i="65"/>
  <c r="L45" i="65"/>
  <c r="L46" i="65"/>
  <c r="L47" i="65"/>
  <c r="L53" i="65"/>
  <c r="L54" i="65"/>
  <c r="L55" i="65"/>
  <c r="L56" i="65"/>
  <c r="L57" i="65"/>
  <c r="L58" i="65"/>
  <c r="L59" i="65"/>
  <c r="L60" i="65"/>
  <c r="L61" i="65"/>
  <c r="L62" i="65"/>
  <c r="L63" i="65"/>
  <c r="L64" i="65"/>
  <c r="L65" i="65"/>
  <c r="L66" i="65"/>
  <c r="L67" i="65"/>
  <c r="L68" i="65"/>
  <c r="L69" i="65"/>
  <c r="L70" i="65"/>
  <c r="L71" i="65"/>
  <c r="L72" i="65"/>
  <c r="L73" i="65"/>
  <c r="L74" i="65"/>
  <c r="L75" i="65"/>
  <c r="L76" i="65"/>
  <c r="L77" i="65"/>
  <c r="L78" i="65"/>
  <c r="L79" i="65"/>
  <c r="L80" i="65"/>
  <c r="L81" i="65"/>
  <c r="L82" i="65"/>
  <c r="L83" i="65"/>
  <c r="L84" i="65"/>
  <c r="L85" i="65"/>
  <c r="L86" i="65"/>
  <c r="L87" i="65"/>
  <c r="L88" i="65"/>
  <c r="L89" i="65"/>
  <c r="L90" i="65"/>
  <c r="L91" i="65"/>
  <c r="L92" i="65"/>
  <c r="L93" i="65"/>
  <c r="L94" i="65"/>
  <c r="L95" i="65"/>
  <c r="L96" i="65"/>
  <c r="L97" i="65"/>
  <c r="L98" i="65"/>
  <c r="L99" i="65"/>
  <c r="L100" i="65"/>
  <c r="L101" i="65"/>
  <c r="L102" i="65"/>
  <c r="L103" i="65"/>
  <c r="L104" i="65"/>
  <c r="L105" i="65"/>
  <c r="L106" i="65"/>
  <c r="L107" i="65"/>
  <c r="L108" i="65"/>
  <c r="L109" i="65"/>
  <c r="L110" i="65"/>
  <c r="L111" i="65"/>
  <c r="L112" i="65"/>
  <c r="L113" i="65"/>
  <c r="L114" i="65"/>
  <c r="L115" i="65"/>
  <c r="L116" i="65"/>
  <c r="L117" i="65"/>
  <c r="L118" i="65"/>
  <c r="L119" i="65"/>
  <c r="L120" i="65"/>
  <c r="L121" i="65"/>
  <c r="L122" i="65"/>
  <c r="L123" i="65"/>
  <c r="L124" i="65"/>
  <c r="L125" i="65"/>
  <c r="L126" i="65"/>
  <c r="L127" i="65"/>
  <c r="L128" i="65"/>
  <c r="L129" i="65"/>
  <c r="L130" i="65"/>
  <c r="L131" i="65"/>
  <c r="L132" i="65"/>
  <c r="L133" i="65"/>
  <c r="L134" i="65"/>
  <c r="L135" i="65"/>
  <c r="L136" i="65"/>
  <c r="L137" i="65"/>
  <c r="L138" i="65"/>
  <c r="L139" i="65"/>
  <c r="L140" i="65"/>
  <c r="L141" i="65"/>
  <c r="L142" i="65"/>
  <c r="L143" i="65"/>
  <c r="L144" i="65"/>
  <c r="L145" i="65"/>
  <c r="L146" i="65"/>
  <c r="L147" i="65"/>
  <c r="L148" i="65"/>
  <c r="L149" i="65"/>
  <c r="L150" i="65"/>
  <c r="L151" i="65"/>
  <c r="L152" i="65"/>
  <c r="L153" i="65"/>
  <c r="L154" i="65"/>
  <c r="L155" i="65"/>
  <c r="L156" i="65"/>
  <c r="L157" i="65"/>
  <c r="L158" i="65"/>
  <c r="L159" i="65"/>
  <c r="L160" i="65"/>
  <c r="L161" i="65"/>
  <c r="L162" i="65"/>
  <c r="L163" i="65"/>
  <c r="L164" i="65"/>
  <c r="L165" i="65"/>
  <c r="L166" i="65"/>
  <c r="L167" i="65"/>
  <c r="L168" i="65"/>
  <c r="L169" i="65"/>
  <c r="L170" i="65"/>
  <c r="K16" i="56"/>
  <c r="J16" i="56"/>
  <c r="I16" i="56"/>
  <c r="H16" i="56"/>
  <c r="G16" i="56"/>
  <c r="F16" i="56"/>
  <c r="E16" i="56"/>
  <c r="D16" i="56"/>
  <c r="J28" i="50"/>
  <c r="J21" i="99"/>
  <c r="J22" i="99"/>
  <c r="J23" i="99"/>
  <c r="G29" i="99"/>
  <c r="G28" i="100"/>
  <c r="J27" i="78"/>
  <c r="G27" i="78"/>
  <c r="K27" i="78" s="1"/>
  <c r="J26" i="78"/>
  <c r="G26" i="78"/>
  <c r="K26" i="78" s="1"/>
  <c r="J25" i="78"/>
  <c r="G25" i="78"/>
  <c r="K25" i="78" s="1"/>
  <c r="J24" i="78"/>
  <c r="G24" i="78"/>
  <c r="K24" i="78" s="1"/>
  <c r="J23" i="78"/>
  <c r="G23" i="78"/>
  <c r="K23" i="78" s="1"/>
  <c r="J22" i="78"/>
  <c r="G22" i="78"/>
  <c r="K22" i="78" s="1"/>
  <c r="J21" i="78"/>
  <c r="G21" i="78"/>
  <c r="K21" i="78" s="1"/>
  <c r="J26" i="50"/>
  <c r="J27" i="50"/>
  <c r="G27" i="11"/>
  <c r="G27" i="100"/>
  <c r="U26" i="98"/>
  <c r="G25" i="100"/>
  <c r="G26" i="100"/>
  <c r="J24" i="50"/>
  <c r="J25" i="50"/>
  <c r="J19" i="50"/>
  <c r="J20" i="50"/>
  <c r="J21" i="50"/>
  <c r="J22" i="50"/>
  <c r="J23" i="50"/>
  <c r="G24" i="100"/>
  <c r="G23" i="100"/>
  <c r="K19" i="69"/>
  <c r="G19" i="69"/>
  <c r="L21" i="98"/>
  <c r="L22" i="98"/>
  <c r="L23" i="98"/>
  <c r="L24" i="98"/>
  <c r="K21" i="98"/>
  <c r="K22" i="98"/>
  <c r="K23" i="98"/>
  <c r="K24" i="98"/>
  <c r="R20" i="98"/>
  <c r="J23" i="12"/>
  <c r="G22" i="100"/>
  <c r="M19" i="83"/>
  <c r="E46" i="26"/>
  <c r="G21" i="11"/>
  <c r="G21" i="100"/>
  <c r="G21" i="81"/>
  <c r="U17" i="98"/>
  <c r="G19" i="100"/>
  <c r="G20" i="100"/>
  <c r="G20" i="81"/>
  <c r="J14" i="50"/>
  <c r="J15" i="50"/>
  <c r="J16" i="50"/>
  <c r="J17" i="50"/>
  <c r="J18" i="50"/>
  <c r="K20" i="14"/>
  <c r="G18" i="100"/>
  <c r="G17" i="100"/>
  <c r="G16" i="100"/>
  <c r="G8" i="19"/>
  <c r="J8" i="19"/>
  <c r="K8" i="19"/>
  <c r="G9" i="19"/>
  <c r="J9" i="19"/>
  <c r="K9" i="19"/>
  <c r="G10" i="19"/>
  <c r="J10" i="19"/>
  <c r="K10" i="19"/>
  <c r="G11" i="19"/>
  <c r="J11" i="19"/>
  <c r="K11" i="19"/>
  <c r="G12" i="19"/>
  <c r="J12" i="19"/>
  <c r="K12" i="19"/>
  <c r="G13" i="19"/>
  <c r="J13" i="19"/>
  <c r="K13" i="19"/>
  <c r="G14" i="19"/>
  <c r="J14" i="19"/>
  <c r="K14" i="19"/>
  <c r="G15" i="19"/>
  <c r="J15" i="19"/>
  <c r="K15" i="19"/>
  <c r="G16" i="19"/>
  <c r="J16" i="19"/>
  <c r="K16" i="19"/>
  <c r="G17" i="19"/>
  <c r="J17" i="19"/>
  <c r="K17" i="19"/>
  <c r="G18" i="19"/>
  <c r="J18" i="19"/>
  <c r="K18" i="19"/>
  <c r="G19" i="19"/>
  <c r="J19" i="19"/>
  <c r="K19" i="19"/>
  <c r="G20" i="19"/>
  <c r="J20" i="19"/>
  <c r="K20" i="19"/>
  <c r="G21" i="19"/>
  <c r="J21" i="19"/>
  <c r="K21" i="19"/>
  <c r="G22" i="19"/>
  <c r="J22" i="19"/>
  <c r="K22" i="19"/>
  <c r="G23" i="19"/>
  <c r="J23" i="19"/>
  <c r="K23" i="19"/>
  <c r="G24" i="19"/>
  <c r="J24" i="19"/>
  <c r="K24" i="19"/>
  <c r="G25" i="19"/>
  <c r="J25" i="19"/>
  <c r="K25" i="19"/>
  <c r="G26" i="19"/>
  <c r="J26" i="19"/>
  <c r="K26" i="19"/>
  <c r="G27" i="19"/>
  <c r="J27" i="19"/>
  <c r="K27" i="19"/>
  <c r="G28" i="19"/>
  <c r="J28" i="19"/>
  <c r="K28" i="19"/>
  <c r="G29" i="19"/>
  <c r="J29" i="19"/>
  <c r="K29" i="19"/>
  <c r="G30" i="19"/>
  <c r="J30" i="19"/>
  <c r="K30" i="19"/>
  <c r="G31" i="19"/>
  <c r="J31" i="19"/>
  <c r="K31" i="19"/>
  <c r="G32" i="19"/>
  <c r="J32" i="19"/>
  <c r="K32" i="19"/>
  <c r="G33" i="19"/>
  <c r="J33" i="19"/>
  <c r="K33" i="19"/>
  <c r="G17" i="89"/>
  <c r="G15" i="100"/>
  <c r="G14" i="100"/>
  <c r="G13" i="100"/>
  <c r="J15" i="75"/>
  <c r="G16" i="103"/>
  <c r="K16" i="103" s="1"/>
  <c r="H39" i="103"/>
  <c r="E39" i="103"/>
  <c r="J38" i="103"/>
  <c r="G38" i="103"/>
  <c r="K38" i="103" s="1"/>
  <c r="J37" i="103"/>
  <c r="G37" i="103"/>
  <c r="K37" i="103" s="1"/>
  <c r="J36" i="103"/>
  <c r="G36" i="103"/>
  <c r="K36" i="103" s="1"/>
  <c r="J35" i="103"/>
  <c r="G35" i="103"/>
  <c r="K35" i="103" s="1"/>
  <c r="J34" i="103"/>
  <c r="G34" i="103"/>
  <c r="K34" i="103" s="1"/>
  <c r="J33" i="103"/>
  <c r="G33" i="103"/>
  <c r="K33" i="103" s="1"/>
  <c r="J32" i="103"/>
  <c r="G32" i="103"/>
  <c r="K32" i="103" s="1"/>
  <c r="J31" i="103"/>
  <c r="G31" i="103"/>
  <c r="K31" i="103" s="1"/>
  <c r="J30" i="103"/>
  <c r="G30" i="103"/>
  <c r="K30" i="103" s="1"/>
  <c r="J29" i="103"/>
  <c r="G29" i="103"/>
  <c r="K29" i="103" s="1"/>
  <c r="J28" i="103"/>
  <c r="G28" i="103"/>
  <c r="K28" i="103" s="1"/>
  <c r="J27" i="103"/>
  <c r="G27" i="103"/>
  <c r="K27" i="103" s="1"/>
  <c r="J26" i="103"/>
  <c r="G26" i="103"/>
  <c r="K26" i="103" s="1"/>
  <c r="J25" i="103"/>
  <c r="G25" i="103"/>
  <c r="K25" i="103" s="1"/>
  <c r="J24" i="103"/>
  <c r="G24" i="103"/>
  <c r="K24" i="103" s="1"/>
  <c r="J23" i="103"/>
  <c r="G23" i="103"/>
  <c r="K23" i="103" s="1"/>
  <c r="J22" i="103"/>
  <c r="G22" i="103"/>
  <c r="K22" i="103" s="1"/>
  <c r="J21" i="103"/>
  <c r="G21" i="103"/>
  <c r="K21" i="103" s="1"/>
  <c r="J20" i="103"/>
  <c r="G20" i="103"/>
  <c r="K20" i="103" s="1"/>
  <c r="J19" i="103"/>
  <c r="G19" i="103"/>
  <c r="K19" i="103" s="1"/>
  <c r="J18" i="103"/>
  <c r="G18" i="103"/>
  <c r="K18" i="103" s="1"/>
  <c r="J17" i="103"/>
  <c r="G17" i="103"/>
  <c r="K17" i="103" s="1"/>
  <c r="L39" i="103"/>
  <c r="J39" i="103"/>
  <c r="L14" i="26"/>
  <c r="K15" i="93"/>
  <c r="G15" i="93"/>
  <c r="M13" i="93"/>
  <c r="M14" i="93"/>
  <c r="M15" i="93"/>
  <c r="G12" i="100"/>
  <c r="G11" i="100"/>
  <c r="K11" i="7"/>
  <c r="G12" i="85"/>
  <c r="M12" i="47"/>
  <c r="M13" i="47"/>
  <c r="L13" i="47"/>
  <c r="J10" i="47"/>
  <c r="J11" i="47"/>
  <c r="J12" i="47"/>
  <c r="J14" i="47"/>
  <c r="J15" i="47"/>
  <c r="G10" i="47"/>
  <c r="K10" i="47" s="1"/>
  <c r="G11" i="47"/>
  <c r="K11" i="47" s="1"/>
  <c r="G12" i="47"/>
  <c r="K12" i="47" s="1"/>
  <c r="G14" i="47"/>
  <c r="K14" i="47" s="1"/>
  <c r="M14" i="47" s="1"/>
  <c r="G15" i="47"/>
  <c r="K15" i="47" s="1"/>
  <c r="G16" i="47"/>
  <c r="G17" i="47"/>
  <c r="G18" i="47"/>
  <c r="S17" i="47"/>
  <c r="S19" i="47" s="1"/>
  <c r="S21" i="47" s="1"/>
  <c r="G16" i="62"/>
  <c r="K16" i="62" s="1"/>
  <c r="G10" i="100"/>
  <c r="G9" i="100"/>
  <c r="M10" i="41"/>
  <c r="G8" i="100"/>
  <c r="J8" i="9"/>
  <c r="G8" i="9"/>
  <c r="K8" i="9" s="1"/>
  <c r="K10" i="25"/>
  <c r="J10" i="25"/>
  <c r="G10" i="25"/>
  <c r="K8" i="97"/>
  <c r="L8" i="68"/>
  <c r="B7" i="102"/>
  <c r="J7" i="35"/>
  <c r="G5" i="100"/>
  <c r="G6" i="100"/>
  <c r="G7" i="100"/>
  <c r="G7" i="83"/>
  <c r="G7" i="14"/>
  <c r="J7" i="14"/>
  <c r="K7" i="14"/>
  <c r="J5" i="101"/>
  <c r="L5" i="71"/>
  <c r="K5" i="71"/>
  <c r="J5" i="71"/>
  <c r="G4" i="100"/>
  <c r="J5" i="25"/>
  <c r="E5" i="25"/>
  <c r="G5" i="25" s="1"/>
  <c r="K5" i="25" s="1"/>
  <c r="J6" i="24"/>
  <c r="J7" i="24"/>
  <c r="J8" i="24"/>
  <c r="J5" i="24"/>
  <c r="J4" i="24"/>
  <c r="G14" i="24"/>
  <c r="J14" i="24"/>
  <c r="K14" i="24"/>
  <c r="G15" i="24"/>
  <c r="J15" i="24"/>
  <c r="K15" i="24"/>
  <c r="G16" i="24"/>
  <c r="J16" i="24"/>
  <c r="K16" i="24"/>
  <c r="G17" i="24"/>
  <c r="J17" i="24"/>
  <c r="K17" i="24"/>
  <c r="G18" i="24"/>
  <c r="J18" i="24"/>
  <c r="K18" i="24"/>
  <c r="G19" i="24"/>
  <c r="J19" i="24"/>
  <c r="K19" i="24"/>
  <c r="G20" i="24"/>
  <c r="J20" i="24"/>
  <c r="K20" i="24"/>
  <c r="G4" i="76"/>
  <c r="G5" i="76"/>
  <c r="M6" i="62"/>
  <c r="M5" i="62"/>
  <c r="L5" i="62"/>
  <c r="K5" i="62"/>
  <c r="G5" i="62"/>
  <c r="G5" i="85"/>
  <c r="L4" i="92"/>
  <c r="K11" i="80"/>
  <c r="J32" i="73"/>
  <c r="J33" i="73"/>
  <c r="J34" i="73"/>
  <c r="G31" i="73"/>
  <c r="G32" i="73"/>
  <c r="G33" i="73"/>
  <c r="G34" i="73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25" i="65"/>
  <c r="G26" i="65"/>
  <c r="K26" i="65" s="1"/>
  <c r="L26" i="65" s="1"/>
  <c r="G48" i="65"/>
  <c r="K48" i="65" s="1"/>
  <c r="L48" i="65" s="1"/>
  <c r="G49" i="65"/>
  <c r="K49" i="65" s="1"/>
  <c r="L49" i="65" s="1"/>
  <c r="G50" i="65"/>
  <c r="K50" i="65" s="1"/>
  <c r="L50" i="65" s="1"/>
  <c r="G51" i="65"/>
  <c r="K51" i="65" s="1"/>
  <c r="L51" i="65" s="1"/>
  <c r="G52" i="65"/>
  <c r="K52" i="65" s="1"/>
  <c r="L52" i="65" s="1"/>
  <c r="I27" i="56"/>
  <c r="H35" i="100"/>
  <c r="G35" i="100"/>
  <c r="E35" i="100"/>
  <c r="I30" i="56"/>
  <c r="L35" i="101"/>
  <c r="J30" i="56" s="1"/>
  <c r="H35" i="101"/>
  <c r="F30" i="56" s="1"/>
  <c r="E35" i="101"/>
  <c r="D30" i="56" s="1"/>
  <c r="J34" i="101"/>
  <c r="G34" i="101"/>
  <c r="K34" i="101" s="1"/>
  <c r="J33" i="101"/>
  <c r="G33" i="101"/>
  <c r="K33" i="101" s="1"/>
  <c r="J32" i="101"/>
  <c r="G32" i="101"/>
  <c r="K32" i="101" s="1"/>
  <c r="J31" i="101"/>
  <c r="G31" i="101"/>
  <c r="K31" i="101" s="1"/>
  <c r="J30" i="101"/>
  <c r="G30" i="101"/>
  <c r="K30" i="101" s="1"/>
  <c r="J29" i="101"/>
  <c r="G29" i="101"/>
  <c r="K29" i="101" s="1"/>
  <c r="J28" i="101"/>
  <c r="G28" i="101"/>
  <c r="K28" i="101" s="1"/>
  <c r="J27" i="101"/>
  <c r="G27" i="101"/>
  <c r="K27" i="101" s="1"/>
  <c r="J26" i="101"/>
  <c r="G26" i="101"/>
  <c r="K26" i="101" s="1"/>
  <c r="J25" i="101"/>
  <c r="G25" i="101"/>
  <c r="K25" i="101" s="1"/>
  <c r="J24" i="101"/>
  <c r="G24" i="101"/>
  <c r="K24" i="101" s="1"/>
  <c r="J23" i="101"/>
  <c r="G23" i="101"/>
  <c r="K23" i="101" s="1"/>
  <c r="J22" i="101"/>
  <c r="G22" i="101"/>
  <c r="K22" i="101" s="1"/>
  <c r="J21" i="101"/>
  <c r="G21" i="101"/>
  <c r="K21" i="101" s="1"/>
  <c r="J20" i="101"/>
  <c r="G20" i="101"/>
  <c r="K20" i="101" s="1"/>
  <c r="J19" i="101"/>
  <c r="G19" i="101"/>
  <c r="K19" i="101" s="1"/>
  <c r="J18" i="101"/>
  <c r="G18" i="101"/>
  <c r="K18" i="101" s="1"/>
  <c r="J17" i="101"/>
  <c r="G17" i="101"/>
  <c r="K17" i="101" s="1"/>
  <c r="J16" i="101"/>
  <c r="G16" i="101"/>
  <c r="K16" i="101" s="1"/>
  <c r="J15" i="101"/>
  <c r="G15" i="101"/>
  <c r="K15" i="101" s="1"/>
  <c r="J14" i="101"/>
  <c r="G14" i="101"/>
  <c r="K14" i="101" s="1"/>
  <c r="J13" i="101"/>
  <c r="G13" i="101"/>
  <c r="K13" i="101" s="1"/>
  <c r="J12" i="101"/>
  <c r="G12" i="101"/>
  <c r="K12" i="101" s="1"/>
  <c r="J11" i="101"/>
  <c r="G11" i="101"/>
  <c r="K11" i="101" s="1"/>
  <c r="J10" i="101"/>
  <c r="G10" i="101"/>
  <c r="K10" i="101" s="1"/>
  <c r="J9" i="101"/>
  <c r="G9" i="101"/>
  <c r="K9" i="101" s="1"/>
  <c r="J8" i="101"/>
  <c r="G8" i="101"/>
  <c r="K8" i="101" s="1"/>
  <c r="J7" i="101"/>
  <c r="G7" i="101"/>
  <c r="K7" i="101" s="1"/>
  <c r="J6" i="101"/>
  <c r="G6" i="101"/>
  <c r="K6" i="101" s="1"/>
  <c r="G5" i="101"/>
  <c r="K5" i="101" s="1"/>
  <c r="J4" i="101"/>
  <c r="J35" i="101" s="1"/>
  <c r="G30" i="56" s="1"/>
  <c r="G4" i="101"/>
  <c r="I46" i="56"/>
  <c r="F46" i="56"/>
  <c r="E46" i="56"/>
  <c r="D46" i="56"/>
  <c r="G35" i="81"/>
  <c r="K35" i="81" s="1"/>
  <c r="J34" i="100"/>
  <c r="K34" i="100"/>
  <c r="G33" i="35"/>
  <c r="G34" i="35"/>
  <c r="G33" i="51"/>
  <c r="G34" i="51"/>
  <c r="G37" i="14"/>
  <c r="K36" i="81"/>
  <c r="G31" i="81"/>
  <c r="K31" i="81" s="1"/>
  <c r="L31" i="81" s="1"/>
  <c r="G32" i="81"/>
  <c r="K32" i="81" s="1"/>
  <c r="G34" i="81"/>
  <c r="K34" i="81" s="1"/>
  <c r="L34" i="81" s="1"/>
  <c r="J27" i="11"/>
  <c r="K27" i="11" s="1"/>
  <c r="E35" i="10"/>
  <c r="G30" i="35"/>
  <c r="G31" i="35"/>
  <c r="G32" i="35"/>
  <c r="G34" i="92"/>
  <c r="G33" i="92"/>
  <c r="G32" i="92"/>
  <c r="G34" i="25"/>
  <c r="K34" i="25" s="1"/>
  <c r="G30" i="81"/>
  <c r="K30" i="81" s="1"/>
  <c r="K33" i="52"/>
  <c r="K34" i="52"/>
  <c r="P32" i="11"/>
  <c r="J15" i="25"/>
  <c r="G15" i="25"/>
  <c r="K15" i="25" s="1"/>
  <c r="G27" i="24"/>
  <c r="G28" i="24"/>
  <c r="L30" i="81"/>
  <c r="G28" i="81"/>
  <c r="K28" i="81" s="1"/>
  <c r="L28" i="81" s="1"/>
  <c r="G29" i="81"/>
  <c r="K29" i="81" s="1"/>
  <c r="L29" i="81" s="1"/>
  <c r="G20" i="12"/>
  <c r="G21" i="12"/>
  <c r="G22" i="12"/>
  <c r="G23" i="12"/>
  <c r="K23" i="12" s="1"/>
  <c r="G24" i="12"/>
  <c r="G31" i="75"/>
  <c r="K31" i="75" s="1"/>
  <c r="G27" i="81"/>
  <c r="K27" i="81" s="1"/>
  <c r="G26" i="24"/>
  <c r="G25" i="24"/>
  <c r="L35" i="100"/>
  <c r="J46" i="56" s="1"/>
  <c r="J33" i="100"/>
  <c r="K33" i="100"/>
  <c r="J32" i="100"/>
  <c r="K32" i="100"/>
  <c r="J31" i="100"/>
  <c r="K31" i="100"/>
  <c r="J30" i="100"/>
  <c r="K30" i="100"/>
  <c r="J29" i="100"/>
  <c r="K29" i="100"/>
  <c r="M29" i="100" s="1"/>
  <c r="M30" i="100" s="1"/>
  <c r="M31" i="100" s="1"/>
  <c r="M32" i="100" s="1"/>
  <c r="M33" i="100" s="1"/>
  <c r="M34" i="100" s="1"/>
  <c r="J28" i="100"/>
  <c r="K28" i="100"/>
  <c r="J27" i="100"/>
  <c r="K27" i="100"/>
  <c r="J26" i="100"/>
  <c r="K26" i="100"/>
  <c r="J25" i="100"/>
  <c r="K25" i="100"/>
  <c r="J24" i="100"/>
  <c r="K24" i="100"/>
  <c r="J23" i="100"/>
  <c r="K23" i="100"/>
  <c r="J22" i="100"/>
  <c r="K22" i="100"/>
  <c r="J21" i="100"/>
  <c r="K21" i="100"/>
  <c r="J20" i="100"/>
  <c r="K20" i="100"/>
  <c r="J19" i="100"/>
  <c r="K19" i="100"/>
  <c r="J18" i="100"/>
  <c r="K18" i="100"/>
  <c r="J17" i="100"/>
  <c r="K17" i="100"/>
  <c r="J16" i="100"/>
  <c r="K16" i="100"/>
  <c r="J15" i="100"/>
  <c r="K15" i="100"/>
  <c r="J14" i="100"/>
  <c r="K14" i="100"/>
  <c r="J13" i="100"/>
  <c r="K13" i="100"/>
  <c r="J12" i="100"/>
  <c r="K12" i="100"/>
  <c r="J11" i="100"/>
  <c r="K11" i="100"/>
  <c r="J10" i="100"/>
  <c r="K10" i="100"/>
  <c r="J9" i="100"/>
  <c r="K9" i="100"/>
  <c r="J8" i="100"/>
  <c r="K8" i="100"/>
  <c r="J7" i="100"/>
  <c r="K7" i="100"/>
  <c r="J6" i="100"/>
  <c r="K6" i="100"/>
  <c r="J5" i="100"/>
  <c r="K5" i="100"/>
  <c r="J4" i="100"/>
  <c r="G24" i="24"/>
  <c r="G26" i="81"/>
  <c r="K26" i="81" s="1"/>
  <c r="L26" i="81" s="1"/>
  <c r="G25" i="81"/>
  <c r="K25" i="81" s="1"/>
  <c r="L25" i="81" s="1"/>
  <c r="G26" i="75"/>
  <c r="K26" i="75" s="1"/>
  <c r="G24" i="75"/>
  <c r="G25" i="75"/>
  <c r="K25" i="75" s="1"/>
  <c r="G24" i="3"/>
  <c r="G23" i="24"/>
  <c r="G24" i="81"/>
  <c r="K24" i="81" s="1"/>
  <c r="L24" i="81" s="1"/>
  <c r="J24" i="85"/>
  <c r="G24" i="85"/>
  <c r="K24" i="85" s="1"/>
  <c r="G23" i="73"/>
  <c r="K23" i="73" s="1"/>
  <c r="L23" i="73" s="1"/>
  <c r="G23" i="99"/>
  <c r="K23" i="99"/>
  <c r="J16" i="99"/>
  <c r="J17" i="99"/>
  <c r="J18" i="99"/>
  <c r="J19" i="99"/>
  <c r="L39" i="99"/>
  <c r="J27" i="56" s="1"/>
  <c r="H39" i="99"/>
  <c r="F27" i="56" s="1"/>
  <c r="E39" i="99"/>
  <c r="D27" i="56" s="1"/>
  <c r="J38" i="99"/>
  <c r="G38" i="99"/>
  <c r="K38" i="99" s="1"/>
  <c r="J37" i="99"/>
  <c r="G37" i="99"/>
  <c r="K37" i="99" s="1"/>
  <c r="J36" i="99"/>
  <c r="G36" i="99"/>
  <c r="K36" i="99" s="1"/>
  <c r="J35" i="99"/>
  <c r="G35" i="99"/>
  <c r="K35" i="99" s="1"/>
  <c r="J34" i="99"/>
  <c r="G34" i="99"/>
  <c r="K34" i="99" s="1"/>
  <c r="J33" i="99"/>
  <c r="G33" i="99"/>
  <c r="K33" i="99" s="1"/>
  <c r="J32" i="99"/>
  <c r="G32" i="99"/>
  <c r="K32" i="99" s="1"/>
  <c r="J31" i="99"/>
  <c r="G31" i="99"/>
  <c r="K31" i="99" s="1"/>
  <c r="J30" i="99"/>
  <c r="G30" i="99"/>
  <c r="K30" i="99" s="1"/>
  <c r="J29" i="99"/>
  <c r="K29" i="99"/>
  <c r="J28" i="99"/>
  <c r="G28" i="99"/>
  <c r="K28" i="99" s="1"/>
  <c r="J27" i="99"/>
  <c r="G27" i="99"/>
  <c r="K27" i="99" s="1"/>
  <c r="J26" i="99"/>
  <c r="G26" i="99"/>
  <c r="K26" i="99" s="1"/>
  <c r="J25" i="99"/>
  <c r="G25" i="99"/>
  <c r="K25" i="99" s="1"/>
  <c r="J24" i="99"/>
  <c r="G24" i="99"/>
  <c r="K24" i="99" s="1"/>
  <c r="G22" i="99"/>
  <c r="K22" i="99" s="1"/>
  <c r="G21" i="99"/>
  <c r="K21" i="99" s="1"/>
  <c r="J20" i="99"/>
  <c r="G20" i="99"/>
  <c r="K20" i="99" s="1"/>
  <c r="G19" i="99"/>
  <c r="K19" i="99" s="1"/>
  <c r="G18" i="99"/>
  <c r="K18" i="99" s="1"/>
  <c r="G17" i="99"/>
  <c r="K17" i="99" s="1"/>
  <c r="G16" i="99"/>
  <c r="K16" i="99" s="1"/>
  <c r="J15" i="99"/>
  <c r="G15" i="99"/>
  <c r="K15" i="99" s="1"/>
  <c r="J14" i="99"/>
  <c r="G14" i="99"/>
  <c r="K14" i="99" s="1"/>
  <c r="J13" i="99"/>
  <c r="G13" i="99"/>
  <c r="K13" i="99" s="1"/>
  <c r="J12" i="99"/>
  <c r="G12" i="99"/>
  <c r="K12" i="99" s="1"/>
  <c r="J11" i="99"/>
  <c r="G11" i="99"/>
  <c r="K11" i="99" s="1"/>
  <c r="R10" i="99"/>
  <c r="J10" i="99"/>
  <c r="K10" i="99"/>
  <c r="J9" i="99"/>
  <c r="K9" i="99"/>
  <c r="J8" i="99"/>
  <c r="G8" i="99"/>
  <c r="K8" i="99" s="1"/>
  <c r="J7" i="99"/>
  <c r="G7" i="99"/>
  <c r="K7" i="99" s="1"/>
  <c r="J6" i="99"/>
  <c r="G6" i="99"/>
  <c r="K6" i="99" s="1"/>
  <c r="J5" i="99"/>
  <c r="G5" i="99"/>
  <c r="K5" i="99" s="1"/>
  <c r="J4" i="99"/>
  <c r="J39" i="99" s="1"/>
  <c r="G27" i="56" s="1"/>
  <c r="G4" i="99"/>
  <c r="G21" i="24"/>
  <c r="G22" i="24"/>
  <c r="G23" i="81"/>
  <c r="K23" i="81" s="1"/>
  <c r="L23" i="81" s="1"/>
  <c r="L91" i="45"/>
  <c r="L92" i="45"/>
  <c r="K20" i="81"/>
  <c r="L20" i="81"/>
  <c r="K21" i="81"/>
  <c r="L21" i="81"/>
  <c r="G22" i="81"/>
  <c r="K22" i="81" s="1"/>
  <c r="L22" i="81" s="1"/>
  <c r="J25" i="76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K75" i="44"/>
  <c r="K76" i="44"/>
  <c r="K77" i="44"/>
  <c r="K78" i="44"/>
  <c r="K79" i="44"/>
  <c r="K80" i="44"/>
  <c r="K81" i="44"/>
  <c r="K82" i="44"/>
  <c r="G82" i="44"/>
  <c r="J21" i="11"/>
  <c r="K21" i="11" s="1"/>
  <c r="J19" i="75"/>
  <c r="J20" i="75"/>
  <c r="J57" i="44"/>
  <c r="K57" i="44" s="1"/>
  <c r="J58" i="44"/>
  <c r="K58" i="44" s="1"/>
  <c r="J59" i="44"/>
  <c r="K59" i="44" s="1"/>
  <c r="J60" i="44"/>
  <c r="K60" i="44" s="1"/>
  <c r="J61" i="44"/>
  <c r="K61" i="44" s="1"/>
  <c r="J62" i="44"/>
  <c r="K62" i="44" s="1"/>
  <c r="K96" i="44"/>
  <c r="K97" i="44"/>
  <c r="K98" i="44"/>
  <c r="J5" i="44"/>
  <c r="K5" i="44" s="1"/>
  <c r="J6" i="44"/>
  <c r="K6" i="44" s="1"/>
  <c r="J7" i="44"/>
  <c r="K7" i="44" s="1"/>
  <c r="J8" i="44"/>
  <c r="K8" i="44" s="1"/>
  <c r="J9" i="44"/>
  <c r="K9" i="44" s="1"/>
  <c r="J10" i="44"/>
  <c r="K10" i="44" s="1"/>
  <c r="J11" i="44"/>
  <c r="K11" i="44" s="1"/>
  <c r="J12" i="44"/>
  <c r="K12" i="44" s="1"/>
  <c r="J13" i="44"/>
  <c r="K13" i="44" s="1"/>
  <c r="J14" i="44"/>
  <c r="K14" i="44" s="1"/>
  <c r="J15" i="44"/>
  <c r="K15" i="44" s="1"/>
  <c r="J16" i="44"/>
  <c r="K16" i="44" s="1"/>
  <c r="J17" i="44"/>
  <c r="K17" i="44" s="1"/>
  <c r="J18" i="44"/>
  <c r="K18" i="44" s="1"/>
  <c r="J19" i="44"/>
  <c r="K19" i="44" s="1"/>
  <c r="J20" i="44"/>
  <c r="K20" i="44" s="1"/>
  <c r="J21" i="44"/>
  <c r="K21" i="44" s="1"/>
  <c r="J22" i="44"/>
  <c r="K22" i="44" s="1"/>
  <c r="J23" i="44"/>
  <c r="K23" i="44" s="1"/>
  <c r="J24" i="44"/>
  <c r="K24" i="44" s="1"/>
  <c r="J25" i="44"/>
  <c r="K25" i="44" s="1"/>
  <c r="J26" i="44"/>
  <c r="K26" i="44" s="1"/>
  <c r="J27" i="44"/>
  <c r="K27" i="44" s="1"/>
  <c r="J28" i="44"/>
  <c r="K28" i="44" s="1"/>
  <c r="J29" i="44"/>
  <c r="K29" i="44" s="1"/>
  <c r="J30" i="44"/>
  <c r="K30" i="44" s="1"/>
  <c r="J31" i="44"/>
  <c r="K31" i="44" s="1"/>
  <c r="J32" i="44"/>
  <c r="K32" i="44" s="1"/>
  <c r="J33" i="44"/>
  <c r="K33" i="44" s="1"/>
  <c r="J34" i="44"/>
  <c r="K34" i="44" s="1"/>
  <c r="J35" i="44"/>
  <c r="K35" i="44" s="1"/>
  <c r="J36" i="44"/>
  <c r="K36" i="44" s="1"/>
  <c r="J37" i="44"/>
  <c r="K37" i="44" s="1"/>
  <c r="J38" i="44"/>
  <c r="K38" i="44" s="1"/>
  <c r="J39" i="44"/>
  <c r="K39" i="44" s="1"/>
  <c r="J40" i="44"/>
  <c r="K40" i="44" s="1"/>
  <c r="J41" i="44"/>
  <c r="K41" i="44" s="1"/>
  <c r="J42" i="44"/>
  <c r="K42" i="44" s="1"/>
  <c r="J43" i="44"/>
  <c r="K43" i="44" s="1"/>
  <c r="J44" i="44"/>
  <c r="K44" i="44" s="1"/>
  <c r="J45" i="44"/>
  <c r="K45" i="44" s="1"/>
  <c r="J46" i="44"/>
  <c r="K46" i="44" s="1"/>
  <c r="J47" i="44"/>
  <c r="K47" i="44" s="1"/>
  <c r="J48" i="44"/>
  <c r="K48" i="44" s="1"/>
  <c r="J49" i="44"/>
  <c r="K49" i="44" s="1"/>
  <c r="J50" i="44"/>
  <c r="K50" i="44" s="1"/>
  <c r="J51" i="44"/>
  <c r="K51" i="44" s="1"/>
  <c r="J52" i="44"/>
  <c r="K52" i="44" s="1"/>
  <c r="J53" i="44"/>
  <c r="K53" i="44" s="1"/>
  <c r="J54" i="44"/>
  <c r="K54" i="44" s="1"/>
  <c r="J55" i="44"/>
  <c r="K55" i="44" s="1"/>
  <c r="J56" i="44"/>
  <c r="K56" i="44" s="1"/>
  <c r="J63" i="44"/>
  <c r="K63" i="44" s="1"/>
  <c r="J64" i="44"/>
  <c r="K64" i="44" s="1"/>
  <c r="J65" i="44"/>
  <c r="K65" i="44" s="1"/>
  <c r="J66" i="44"/>
  <c r="K66" i="44" s="1"/>
  <c r="J67" i="44"/>
  <c r="K67" i="44" s="1"/>
  <c r="J68" i="44"/>
  <c r="K68" i="44" s="1"/>
  <c r="J69" i="44"/>
  <c r="K69" i="44" s="1"/>
  <c r="J70" i="44"/>
  <c r="K70" i="44" s="1"/>
  <c r="J71" i="44"/>
  <c r="K71" i="44" s="1"/>
  <c r="J72" i="44"/>
  <c r="K72" i="44" s="1"/>
  <c r="J73" i="44"/>
  <c r="K73" i="44" s="1"/>
  <c r="J22" i="25"/>
  <c r="G22" i="25"/>
  <c r="K22" i="25" s="1"/>
  <c r="P14" i="12"/>
  <c r="G16" i="81"/>
  <c r="K16" i="81" s="1"/>
  <c r="L16" i="81" s="1"/>
  <c r="G17" i="81"/>
  <c r="K17" i="81" s="1"/>
  <c r="L17" i="81" s="1"/>
  <c r="G18" i="81"/>
  <c r="K18" i="81" s="1"/>
  <c r="L18" i="81" s="1"/>
  <c r="G19" i="81"/>
  <c r="K19" i="81" s="1"/>
  <c r="L19" i="81" s="1"/>
  <c r="S32" i="25"/>
  <c r="T32" i="25"/>
  <c r="U32" i="25"/>
  <c r="G17" i="80"/>
  <c r="K17" i="80" s="1"/>
  <c r="Q21" i="92"/>
  <c r="J10" i="24"/>
  <c r="J11" i="24"/>
  <c r="J12" i="24"/>
  <c r="J13" i="24"/>
  <c r="G16" i="14"/>
  <c r="K16" i="14" s="1"/>
  <c r="G17" i="14"/>
  <c r="K17" i="14" s="1"/>
  <c r="H39" i="92"/>
  <c r="F37" i="56" s="1"/>
  <c r="E39" i="92"/>
  <c r="D37" i="56"/>
  <c r="I36" i="56"/>
  <c r="G36" i="56"/>
  <c r="F36" i="56"/>
  <c r="J19" i="96"/>
  <c r="H19" i="96"/>
  <c r="E19" i="96"/>
  <c r="D36" i="56"/>
  <c r="L20" i="97"/>
  <c r="J35" i="56"/>
  <c r="I35" i="56"/>
  <c r="G35" i="56"/>
  <c r="F35" i="56"/>
  <c r="I11" i="56"/>
  <c r="G11" i="56"/>
  <c r="F11" i="56"/>
  <c r="I5" i="56"/>
  <c r="M12" i="56"/>
  <c r="E76" i="92"/>
  <c r="E75" i="92"/>
  <c r="E74" i="92"/>
  <c r="E73" i="92"/>
  <c r="E72" i="92"/>
  <c r="E71" i="92"/>
  <c r="E70" i="92"/>
  <c r="E69" i="92"/>
  <c r="E68" i="92"/>
  <c r="E78" i="92" s="1"/>
  <c r="J34" i="92"/>
  <c r="K34" i="92"/>
  <c r="J33" i="92"/>
  <c r="K33" i="92"/>
  <c r="J32" i="92"/>
  <c r="K32" i="92"/>
  <c r="J31" i="92"/>
  <c r="G31" i="92"/>
  <c r="K31" i="92" s="1"/>
  <c r="J30" i="92"/>
  <c r="G30" i="92"/>
  <c r="K30" i="92" s="1"/>
  <c r="J29" i="92"/>
  <c r="G29" i="92"/>
  <c r="K29" i="92" s="1"/>
  <c r="J28" i="92"/>
  <c r="G28" i="92"/>
  <c r="K28" i="92" s="1"/>
  <c r="J27" i="92"/>
  <c r="G27" i="92"/>
  <c r="K27" i="92" s="1"/>
  <c r="V26" i="92"/>
  <c r="J26" i="92"/>
  <c r="G26" i="92"/>
  <c r="K26" i="92" s="1"/>
  <c r="V25" i="92"/>
  <c r="J25" i="92"/>
  <c r="G25" i="92"/>
  <c r="K25" i="92" s="1"/>
  <c r="V24" i="92"/>
  <c r="J24" i="92"/>
  <c r="G24" i="92"/>
  <c r="K24" i="92" s="1"/>
  <c r="J23" i="92"/>
  <c r="G23" i="92"/>
  <c r="K23" i="92" s="1"/>
  <c r="J22" i="92"/>
  <c r="G22" i="92"/>
  <c r="K22" i="92" s="1"/>
  <c r="J21" i="92"/>
  <c r="G21" i="92"/>
  <c r="J20" i="92"/>
  <c r="G20" i="92"/>
  <c r="K20" i="92" s="1"/>
  <c r="J19" i="92"/>
  <c r="G19" i="92"/>
  <c r="K19" i="92" s="1"/>
  <c r="J18" i="92"/>
  <c r="G18" i="92"/>
  <c r="K18" i="92" s="1"/>
  <c r="J17" i="92"/>
  <c r="G17" i="92"/>
  <c r="K17" i="92" s="1"/>
  <c r="J16" i="92"/>
  <c r="G16" i="92"/>
  <c r="K16" i="92" s="1"/>
  <c r="J15" i="92"/>
  <c r="G15" i="92"/>
  <c r="K15" i="92" s="1"/>
  <c r="J14" i="92"/>
  <c r="G14" i="92"/>
  <c r="K14" i="92" s="1"/>
  <c r="J13" i="92"/>
  <c r="G13" i="92"/>
  <c r="K13" i="92" s="1"/>
  <c r="J12" i="92"/>
  <c r="G12" i="92"/>
  <c r="K12" i="92" s="1"/>
  <c r="J11" i="92"/>
  <c r="G11" i="92"/>
  <c r="K11" i="92" s="1"/>
  <c r="J10" i="92"/>
  <c r="G10" i="92"/>
  <c r="K10" i="92" s="1"/>
  <c r="J9" i="92"/>
  <c r="G9" i="92"/>
  <c r="K9" i="92" s="1"/>
  <c r="J8" i="92"/>
  <c r="G8" i="92"/>
  <c r="K8" i="92" s="1"/>
  <c r="J7" i="92"/>
  <c r="G7" i="92"/>
  <c r="K7" i="92" s="1"/>
  <c r="J6" i="92"/>
  <c r="G6" i="92"/>
  <c r="K6" i="92" s="1"/>
  <c r="J5" i="92"/>
  <c r="G5" i="92"/>
  <c r="K5" i="92" s="1"/>
  <c r="J4" i="92"/>
  <c r="J39" i="92" s="1"/>
  <c r="G37" i="56" s="1"/>
  <c r="G4" i="92"/>
  <c r="K4" i="92" s="1"/>
  <c r="M3" i="92"/>
  <c r="H35" i="98"/>
  <c r="E35" i="98"/>
  <c r="D11" i="56" s="1"/>
  <c r="J34" i="98"/>
  <c r="G34" i="98"/>
  <c r="K34" i="98" s="1"/>
  <c r="L34" i="98" s="1"/>
  <c r="J33" i="98"/>
  <c r="G33" i="98"/>
  <c r="K33" i="98" s="1"/>
  <c r="L33" i="98" s="1"/>
  <c r="J32" i="98"/>
  <c r="G32" i="98"/>
  <c r="K32" i="98" s="1"/>
  <c r="L32" i="98" s="1"/>
  <c r="J31" i="98"/>
  <c r="G31" i="98"/>
  <c r="K31" i="98" s="1"/>
  <c r="L31" i="98" s="1"/>
  <c r="J30" i="98"/>
  <c r="G30" i="98"/>
  <c r="K30" i="98" s="1"/>
  <c r="L30" i="98" s="1"/>
  <c r="J29" i="98"/>
  <c r="G29" i="98"/>
  <c r="K29" i="98" s="1"/>
  <c r="L29" i="98" s="1"/>
  <c r="J28" i="98"/>
  <c r="G28" i="98"/>
  <c r="K28" i="98" s="1"/>
  <c r="L28" i="98" s="1"/>
  <c r="J27" i="98"/>
  <c r="G27" i="98"/>
  <c r="K27" i="98" s="1"/>
  <c r="L27" i="98" s="1"/>
  <c r="J26" i="98"/>
  <c r="G26" i="98"/>
  <c r="K26" i="98" s="1"/>
  <c r="L26" i="98" s="1"/>
  <c r="J25" i="98"/>
  <c r="G25" i="98"/>
  <c r="K25" i="98" s="1"/>
  <c r="L25" i="98" s="1"/>
  <c r="J24" i="98"/>
  <c r="G24" i="98"/>
  <c r="J23" i="98"/>
  <c r="G23" i="98"/>
  <c r="J22" i="98"/>
  <c r="G22" i="98"/>
  <c r="J21" i="98"/>
  <c r="G21" i="98"/>
  <c r="J20" i="98"/>
  <c r="G20" i="98"/>
  <c r="K20" i="98" s="1"/>
  <c r="L20" i="98" s="1"/>
  <c r="J19" i="98"/>
  <c r="G19" i="98"/>
  <c r="K19" i="98" s="1"/>
  <c r="L19" i="98" s="1"/>
  <c r="J18" i="98"/>
  <c r="G18" i="98"/>
  <c r="J17" i="98"/>
  <c r="G17" i="98"/>
  <c r="K17" i="98" s="1"/>
  <c r="L17" i="98" s="1"/>
  <c r="J16" i="98"/>
  <c r="G16" i="98"/>
  <c r="K16" i="98" s="1"/>
  <c r="L16" i="98" s="1"/>
  <c r="J15" i="98"/>
  <c r="G15" i="98"/>
  <c r="K15" i="98" s="1"/>
  <c r="J14" i="98"/>
  <c r="G14" i="98"/>
  <c r="K14" i="98" s="1"/>
  <c r="L14" i="98" s="1"/>
  <c r="J13" i="98"/>
  <c r="G13" i="98"/>
  <c r="K13" i="98" s="1"/>
  <c r="J12" i="98"/>
  <c r="G12" i="98"/>
  <c r="K12" i="98" s="1"/>
  <c r="J11" i="98"/>
  <c r="G11" i="98"/>
  <c r="K11" i="98" s="1"/>
  <c r="J10" i="98"/>
  <c r="G10" i="98"/>
  <c r="K10" i="98" s="1"/>
  <c r="J9" i="98"/>
  <c r="G9" i="98"/>
  <c r="K9" i="98" s="1"/>
  <c r="J8" i="98"/>
  <c r="G8" i="98"/>
  <c r="K8" i="98" s="1"/>
  <c r="L8" i="98" s="1"/>
  <c r="J7" i="98"/>
  <c r="G7" i="98"/>
  <c r="K7" i="98" s="1"/>
  <c r="L7" i="98" s="1"/>
  <c r="J6" i="98"/>
  <c r="G6" i="98"/>
  <c r="K6" i="98" s="1"/>
  <c r="L6" i="98" s="1"/>
  <c r="J5" i="98"/>
  <c r="G5" i="98"/>
  <c r="K5" i="98" s="1"/>
  <c r="L5" i="98" s="1"/>
  <c r="J4" i="98"/>
  <c r="J35" i="98" s="1"/>
  <c r="G4" i="98"/>
  <c r="G5" i="24"/>
  <c r="K5" i="24" s="1"/>
  <c r="G6" i="24"/>
  <c r="K6" i="24" s="1"/>
  <c r="G7" i="24"/>
  <c r="K7" i="24" s="1"/>
  <c r="G8" i="24"/>
  <c r="G9" i="24"/>
  <c r="G10" i="24"/>
  <c r="K10" i="24" s="1"/>
  <c r="G11" i="24"/>
  <c r="K11" i="24" s="1"/>
  <c r="G12" i="24"/>
  <c r="K12" i="24" s="1"/>
  <c r="G13" i="24"/>
  <c r="K13" i="24" s="1"/>
  <c r="G13" i="81"/>
  <c r="K13" i="81" s="1"/>
  <c r="L13" i="81" s="1"/>
  <c r="G14" i="81"/>
  <c r="K14" i="81" s="1"/>
  <c r="G15" i="81"/>
  <c r="K15" i="81" s="1"/>
  <c r="E20" i="97"/>
  <c r="D35" i="56" s="1"/>
  <c r="J18" i="97"/>
  <c r="G18" i="97"/>
  <c r="K18" i="97" s="1"/>
  <c r="J17" i="97"/>
  <c r="G17" i="97"/>
  <c r="K17" i="97" s="1"/>
  <c r="J16" i="97"/>
  <c r="G16" i="97"/>
  <c r="K16" i="97" s="1"/>
  <c r="J15" i="97"/>
  <c r="G15" i="97"/>
  <c r="K15" i="97" s="1"/>
  <c r="J14" i="97"/>
  <c r="G14" i="97"/>
  <c r="K14" i="97" s="1"/>
  <c r="J13" i="97"/>
  <c r="G13" i="97"/>
  <c r="K13" i="97" s="1"/>
  <c r="J12" i="97"/>
  <c r="G12" i="97"/>
  <c r="K12" i="97" s="1"/>
  <c r="J11" i="97"/>
  <c r="G11" i="97"/>
  <c r="K11" i="97" s="1"/>
  <c r="J10" i="97"/>
  <c r="G10" i="97"/>
  <c r="K10" i="97" s="1"/>
  <c r="J9" i="97"/>
  <c r="G9" i="97"/>
  <c r="K9" i="97" s="1"/>
  <c r="J7" i="97"/>
  <c r="G7" i="97"/>
  <c r="K7" i="97" s="1"/>
  <c r="J6" i="97"/>
  <c r="G6" i="97"/>
  <c r="K6" i="97" s="1"/>
  <c r="J5" i="97"/>
  <c r="G5" i="97"/>
  <c r="K5" i="97" s="1"/>
  <c r="J4" i="97"/>
  <c r="G4" i="97"/>
  <c r="J18" i="96"/>
  <c r="G18" i="96"/>
  <c r="K18" i="96" s="1"/>
  <c r="J17" i="96"/>
  <c r="G17" i="96"/>
  <c r="K17" i="96" s="1"/>
  <c r="J16" i="96"/>
  <c r="G16" i="96"/>
  <c r="K16" i="96" s="1"/>
  <c r="J15" i="96"/>
  <c r="G15" i="96"/>
  <c r="K15" i="96" s="1"/>
  <c r="J14" i="96"/>
  <c r="G14" i="96"/>
  <c r="K14" i="96" s="1"/>
  <c r="J13" i="96"/>
  <c r="G13" i="96"/>
  <c r="K13" i="96" s="1"/>
  <c r="L19" i="96" s="1"/>
  <c r="J36" i="56" s="1"/>
  <c r="J12" i="96"/>
  <c r="G12" i="96"/>
  <c r="K12" i="96" s="1"/>
  <c r="J11" i="96"/>
  <c r="G11" i="96"/>
  <c r="J10" i="96"/>
  <c r="G10" i="96"/>
  <c r="K10" i="96" s="1"/>
  <c r="J9" i="96"/>
  <c r="G9" i="96"/>
  <c r="K9" i="96" s="1"/>
  <c r="J8" i="96"/>
  <c r="G8" i="96"/>
  <c r="K8" i="96" s="1"/>
  <c r="J7" i="96"/>
  <c r="G7" i="96"/>
  <c r="K7" i="96" s="1"/>
  <c r="J6" i="96"/>
  <c r="G6" i="96"/>
  <c r="K6" i="96" s="1"/>
  <c r="J5" i="96"/>
  <c r="G5" i="96"/>
  <c r="K5" i="96" s="1"/>
  <c r="J4" i="96"/>
  <c r="G4" i="96"/>
  <c r="G12" i="81"/>
  <c r="K12" i="81" s="1"/>
  <c r="L12" i="81" s="1"/>
  <c r="G11" i="81"/>
  <c r="K11" i="81" s="1"/>
  <c r="L11" i="81" s="1"/>
  <c r="G8" i="81"/>
  <c r="K8" i="81" s="1"/>
  <c r="G9" i="81"/>
  <c r="K9" i="81" s="1"/>
  <c r="G10" i="81"/>
  <c r="K10" i="81" s="1"/>
  <c r="L10" i="81" s="1"/>
  <c r="J4" i="44"/>
  <c r="J9" i="24"/>
  <c r="Q7" i="94"/>
  <c r="R6" i="68"/>
  <c r="S14" i="68"/>
  <c r="J8" i="14"/>
  <c r="G5" i="81"/>
  <c r="K5" i="81" s="1"/>
  <c r="G6" i="81"/>
  <c r="K6" i="81" s="1"/>
  <c r="L6" i="81" s="1"/>
  <c r="G7" i="81"/>
  <c r="K7" i="81" s="1"/>
  <c r="R10" i="80"/>
  <c r="G5" i="79"/>
  <c r="G6" i="79"/>
  <c r="J6" i="79"/>
  <c r="I8" i="56"/>
  <c r="G4" i="25"/>
  <c r="G4" i="24"/>
  <c r="R20" i="81"/>
  <c r="S20" i="81" s="1"/>
  <c r="G40" i="95"/>
  <c r="K40" i="95" s="1"/>
  <c r="L40" i="95" s="1"/>
  <c r="G38" i="95"/>
  <c r="K38" i="95" s="1"/>
  <c r="L38" i="95" s="1"/>
  <c r="G39" i="95"/>
  <c r="K39" i="95" s="1"/>
  <c r="L39" i="95" s="1"/>
  <c r="J36" i="14"/>
  <c r="G36" i="14"/>
  <c r="J25" i="41"/>
  <c r="S8" i="81"/>
  <c r="S10" i="81" s="1"/>
  <c r="Q6" i="72"/>
  <c r="G37" i="25"/>
  <c r="J37" i="25"/>
  <c r="K37" i="25"/>
  <c r="G31" i="14"/>
  <c r="G32" i="14"/>
  <c r="G33" i="14"/>
  <c r="G34" i="14"/>
  <c r="G35" i="14"/>
  <c r="J31" i="14"/>
  <c r="J32" i="14"/>
  <c r="J33" i="14"/>
  <c r="J34" i="14"/>
  <c r="J35" i="14"/>
  <c r="G27" i="95"/>
  <c r="K27" i="95" s="1"/>
  <c r="L27" i="95" s="1"/>
  <c r="H46" i="95"/>
  <c r="F5" i="56" s="1"/>
  <c r="E46" i="95"/>
  <c r="D5" i="56" s="1"/>
  <c r="J45" i="95"/>
  <c r="G45" i="95"/>
  <c r="K45" i="95" s="1"/>
  <c r="J37" i="95"/>
  <c r="G37" i="95"/>
  <c r="K37" i="95" s="1"/>
  <c r="L37" i="95" s="1"/>
  <c r="J36" i="95"/>
  <c r="G36" i="95"/>
  <c r="K36" i="95" s="1"/>
  <c r="L36" i="95" s="1"/>
  <c r="G35" i="95"/>
  <c r="K35" i="95" s="1"/>
  <c r="L35" i="95" s="1"/>
  <c r="J34" i="95"/>
  <c r="G34" i="95"/>
  <c r="K34" i="95" s="1"/>
  <c r="L34" i="95" s="1"/>
  <c r="J33" i="95"/>
  <c r="G33" i="95"/>
  <c r="K33" i="95" s="1"/>
  <c r="L33" i="95" s="1"/>
  <c r="J32" i="95"/>
  <c r="G32" i="95"/>
  <c r="K32" i="95" s="1"/>
  <c r="L32" i="95" s="1"/>
  <c r="J31" i="95"/>
  <c r="G31" i="95"/>
  <c r="K31" i="95" s="1"/>
  <c r="L31" i="95" s="1"/>
  <c r="J30" i="95"/>
  <c r="G30" i="95"/>
  <c r="K30" i="95" s="1"/>
  <c r="L30" i="95" s="1"/>
  <c r="J29" i="95"/>
  <c r="G29" i="95"/>
  <c r="K29" i="95" s="1"/>
  <c r="L29" i="95" s="1"/>
  <c r="J28" i="95"/>
  <c r="G28" i="95"/>
  <c r="K28" i="95" s="1"/>
  <c r="L28" i="95" s="1"/>
  <c r="J26" i="95"/>
  <c r="G26" i="95"/>
  <c r="K26" i="95" s="1"/>
  <c r="L26" i="95" s="1"/>
  <c r="J25" i="95"/>
  <c r="G25" i="95"/>
  <c r="K25" i="95" s="1"/>
  <c r="L25" i="95" s="1"/>
  <c r="J24" i="95"/>
  <c r="G24" i="95"/>
  <c r="K24" i="95" s="1"/>
  <c r="L24" i="95" s="1"/>
  <c r="J23" i="95"/>
  <c r="G23" i="95"/>
  <c r="K23" i="95" s="1"/>
  <c r="J22" i="95"/>
  <c r="G22" i="95"/>
  <c r="K22" i="95" s="1"/>
  <c r="L22" i="95" s="1"/>
  <c r="J21" i="95"/>
  <c r="G21" i="95"/>
  <c r="K21" i="95" s="1"/>
  <c r="L21" i="95" s="1"/>
  <c r="J20" i="95"/>
  <c r="G20" i="95"/>
  <c r="K20" i="95" s="1"/>
  <c r="L20" i="95" s="1"/>
  <c r="J19" i="95"/>
  <c r="G19" i="95"/>
  <c r="K19" i="95" s="1"/>
  <c r="L19" i="95" s="1"/>
  <c r="J18" i="95"/>
  <c r="G18" i="95"/>
  <c r="K18" i="95" s="1"/>
  <c r="L18" i="95" s="1"/>
  <c r="J17" i="95"/>
  <c r="G17" i="95"/>
  <c r="K17" i="95" s="1"/>
  <c r="L17" i="95" s="1"/>
  <c r="J16" i="95"/>
  <c r="G16" i="95"/>
  <c r="K16" i="95" s="1"/>
  <c r="L16" i="95" s="1"/>
  <c r="J15" i="95"/>
  <c r="G15" i="95"/>
  <c r="K15" i="95" s="1"/>
  <c r="L15" i="95" s="1"/>
  <c r="J14" i="95"/>
  <c r="G14" i="95"/>
  <c r="K14" i="95" s="1"/>
  <c r="L14" i="95" s="1"/>
  <c r="J13" i="95"/>
  <c r="G13" i="95"/>
  <c r="K13" i="95" s="1"/>
  <c r="L13" i="95" s="1"/>
  <c r="J12" i="95"/>
  <c r="G12" i="95"/>
  <c r="K12" i="95" s="1"/>
  <c r="L12" i="95" s="1"/>
  <c r="J11" i="95"/>
  <c r="G11" i="95"/>
  <c r="K11" i="95" s="1"/>
  <c r="L11" i="95" s="1"/>
  <c r="J10" i="95"/>
  <c r="G10" i="95"/>
  <c r="K10" i="95" s="1"/>
  <c r="L10" i="95" s="1"/>
  <c r="J9" i="95"/>
  <c r="G9" i="95"/>
  <c r="K9" i="95" s="1"/>
  <c r="L9" i="95" s="1"/>
  <c r="J8" i="95"/>
  <c r="G8" i="95"/>
  <c r="K8" i="95" s="1"/>
  <c r="L8" i="95" s="1"/>
  <c r="J7" i="95"/>
  <c r="G7" i="95"/>
  <c r="K7" i="95" s="1"/>
  <c r="L7" i="95" s="1"/>
  <c r="J6" i="95"/>
  <c r="G6" i="95"/>
  <c r="K6" i="95" s="1"/>
  <c r="L6" i="95" s="1"/>
  <c r="J5" i="95"/>
  <c r="J46" i="95" s="1"/>
  <c r="G5" i="56" s="1"/>
  <c r="G5" i="95"/>
  <c r="K5" i="95" s="1"/>
  <c r="L5" i="95" s="1"/>
  <c r="G4" i="95"/>
  <c r="J30" i="14"/>
  <c r="G30" i="14"/>
  <c r="G29" i="14"/>
  <c r="J29" i="14"/>
  <c r="K29" i="14"/>
  <c r="U22" i="76"/>
  <c r="S25" i="79"/>
  <c r="H35" i="94"/>
  <c r="F8" i="56" s="1"/>
  <c r="E35" i="94"/>
  <c r="D8" i="56" s="1"/>
  <c r="J34" i="94"/>
  <c r="G34" i="94"/>
  <c r="K34" i="94" s="1"/>
  <c r="J33" i="94"/>
  <c r="G33" i="94"/>
  <c r="K33" i="94" s="1"/>
  <c r="J32" i="94"/>
  <c r="G32" i="94"/>
  <c r="K32" i="94" s="1"/>
  <c r="J31" i="94"/>
  <c r="G31" i="94"/>
  <c r="K31" i="94" s="1"/>
  <c r="J30" i="94"/>
  <c r="G30" i="94"/>
  <c r="K30" i="94" s="1"/>
  <c r="J29" i="94"/>
  <c r="G29" i="94"/>
  <c r="K29" i="94" s="1"/>
  <c r="J28" i="94"/>
  <c r="G28" i="94"/>
  <c r="K28" i="94" s="1"/>
  <c r="J27" i="94"/>
  <c r="G27" i="94"/>
  <c r="K27" i="94" s="1"/>
  <c r="J26" i="94"/>
  <c r="G26" i="94"/>
  <c r="K26" i="94" s="1"/>
  <c r="J25" i="94"/>
  <c r="G25" i="94"/>
  <c r="K25" i="94" s="1"/>
  <c r="J24" i="94"/>
  <c r="G24" i="94"/>
  <c r="K24" i="94" s="1"/>
  <c r="J23" i="94"/>
  <c r="G23" i="94"/>
  <c r="K23" i="94" s="1"/>
  <c r="J22" i="94"/>
  <c r="G22" i="94"/>
  <c r="K22" i="94" s="1"/>
  <c r="J21" i="94"/>
  <c r="G21" i="94"/>
  <c r="K21" i="94" s="1"/>
  <c r="J20" i="94"/>
  <c r="G20" i="94"/>
  <c r="K20" i="94" s="1"/>
  <c r="J19" i="94"/>
  <c r="G19" i="94"/>
  <c r="K19" i="94" s="1"/>
  <c r="J18" i="94"/>
  <c r="G18" i="94"/>
  <c r="K18" i="94" s="1"/>
  <c r="J17" i="94"/>
  <c r="G17" i="94"/>
  <c r="K17" i="94" s="1"/>
  <c r="J16" i="94"/>
  <c r="G16" i="94"/>
  <c r="K16" i="94" s="1"/>
  <c r="J15" i="94"/>
  <c r="G15" i="94"/>
  <c r="K15" i="94" s="1"/>
  <c r="J14" i="94"/>
  <c r="G14" i="94"/>
  <c r="K14" i="94" s="1"/>
  <c r="J13" i="94"/>
  <c r="G13" i="94"/>
  <c r="K13" i="94" s="1"/>
  <c r="J12" i="94"/>
  <c r="G12" i="94"/>
  <c r="K12" i="94" s="1"/>
  <c r="J11" i="94"/>
  <c r="G11" i="94"/>
  <c r="K11" i="94" s="1"/>
  <c r="J10" i="94"/>
  <c r="G10" i="94"/>
  <c r="K10" i="94" s="1"/>
  <c r="J9" i="94"/>
  <c r="G9" i="94"/>
  <c r="K9" i="94" s="1"/>
  <c r="J8" i="94"/>
  <c r="G8" i="94"/>
  <c r="K8" i="94" s="1"/>
  <c r="J7" i="94"/>
  <c r="G7" i="94"/>
  <c r="K7" i="94" s="1"/>
  <c r="J6" i="94"/>
  <c r="G6" i="94"/>
  <c r="K6" i="94" s="1"/>
  <c r="J5" i="94"/>
  <c r="G5" i="94"/>
  <c r="K5" i="94" s="1"/>
  <c r="J4" i="94"/>
  <c r="J35" i="94" s="1"/>
  <c r="G8" i="56" s="1"/>
  <c r="G4" i="94"/>
  <c r="J87" i="44"/>
  <c r="J88" i="44"/>
  <c r="J89" i="44"/>
  <c r="J90" i="44"/>
  <c r="J91" i="44"/>
  <c r="G90" i="44"/>
  <c r="K90" i="44" s="1"/>
  <c r="G89" i="44"/>
  <c r="K89" i="44" s="1"/>
  <c r="G88" i="44"/>
  <c r="K88" i="44" s="1"/>
  <c r="G87" i="44"/>
  <c r="K87" i="44" s="1"/>
  <c r="J86" i="44"/>
  <c r="G86" i="44"/>
  <c r="K86" i="44" s="1"/>
  <c r="G85" i="44"/>
  <c r="J85" i="44"/>
  <c r="J82" i="44"/>
  <c r="J25" i="14"/>
  <c r="J26" i="14"/>
  <c r="J27" i="14"/>
  <c r="J28" i="14"/>
  <c r="G28" i="14"/>
  <c r="G26" i="14"/>
  <c r="G27" i="14"/>
  <c r="G25" i="14"/>
  <c r="G21" i="85"/>
  <c r="G21" i="3"/>
  <c r="J24" i="14"/>
  <c r="K24" i="14" s="1"/>
  <c r="J23" i="14"/>
  <c r="G23" i="14"/>
  <c r="J18" i="14"/>
  <c r="J19" i="14"/>
  <c r="J20" i="14"/>
  <c r="J21" i="14"/>
  <c r="J22" i="14"/>
  <c r="G18" i="14"/>
  <c r="K18" i="14" s="1"/>
  <c r="G19" i="14"/>
  <c r="G20" i="14"/>
  <c r="G21" i="14"/>
  <c r="G22" i="14"/>
  <c r="I10" i="56"/>
  <c r="G16" i="41"/>
  <c r="J16" i="41"/>
  <c r="K16" i="41" s="1"/>
  <c r="J14" i="41"/>
  <c r="G14" i="41"/>
  <c r="K14" i="41" s="1"/>
  <c r="J22" i="76"/>
  <c r="J15" i="14"/>
  <c r="G15" i="14"/>
  <c r="K15" i="14" s="1"/>
  <c r="J14" i="14"/>
  <c r="G14" i="14"/>
  <c r="K14" i="14" s="1"/>
  <c r="G14" i="68"/>
  <c r="J11" i="50"/>
  <c r="J12" i="50"/>
  <c r="J13" i="50"/>
  <c r="J12" i="14"/>
  <c r="G12" i="14"/>
  <c r="H36" i="93"/>
  <c r="F10" i="56" s="1"/>
  <c r="E36" i="93"/>
  <c r="D10" i="56" s="1"/>
  <c r="J35" i="93"/>
  <c r="G35" i="93"/>
  <c r="K35" i="93" s="1"/>
  <c r="J34" i="93"/>
  <c r="G34" i="93"/>
  <c r="K34" i="93" s="1"/>
  <c r="J33" i="93"/>
  <c r="G33" i="93"/>
  <c r="K33" i="93" s="1"/>
  <c r="J32" i="93"/>
  <c r="G32" i="93"/>
  <c r="K32" i="93" s="1"/>
  <c r="J31" i="93"/>
  <c r="G31" i="93"/>
  <c r="K31" i="93" s="1"/>
  <c r="J30" i="93"/>
  <c r="G30" i="93"/>
  <c r="K30" i="93" s="1"/>
  <c r="J29" i="93"/>
  <c r="G29" i="93"/>
  <c r="K29" i="93" s="1"/>
  <c r="J28" i="93"/>
  <c r="G28" i="93"/>
  <c r="K28" i="93" s="1"/>
  <c r="J27" i="93"/>
  <c r="G27" i="93"/>
  <c r="K27" i="93" s="1"/>
  <c r="J26" i="93"/>
  <c r="G26" i="93"/>
  <c r="K26" i="93" s="1"/>
  <c r="J25" i="93"/>
  <c r="G25" i="93"/>
  <c r="K25" i="93" s="1"/>
  <c r="J24" i="93"/>
  <c r="G24" i="93"/>
  <c r="K24" i="93" s="1"/>
  <c r="J23" i="93"/>
  <c r="G23" i="93"/>
  <c r="K23" i="93" s="1"/>
  <c r="J22" i="93"/>
  <c r="G22" i="93"/>
  <c r="K22" i="93" s="1"/>
  <c r="J21" i="93"/>
  <c r="G21" i="93"/>
  <c r="K21" i="93" s="1"/>
  <c r="J20" i="93"/>
  <c r="G20" i="93"/>
  <c r="K20" i="93" s="1"/>
  <c r="J19" i="93"/>
  <c r="G19" i="93"/>
  <c r="K19" i="93" s="1"/>
  <c r="J18" i="93"/>
  <c r="G18" i="93"/>
  <c r="K18" i="93" s="1"/>
  <c r="J17" i="93"/>
  <c r="G17" i="93"/>
  <c r="K17" i="93" s="1"/>
  <c r="J16" i="93"/>
  <c r="G16" i="93"/>
  <c r="K16" i="93" s="1"/>
  <c r="M16" i="93" s="1"/>
  <c r="M17" i="93" s="1"/>
  <c r="M18" i="93" s="1"/>
  <c r="M19" i="93" s="1"/>
  <c r="M20" i="93" s="1"/>
  <c r="M21" i="93" s="1"/>
  <c r="M22" i="93" s="1"/>
  <c r="M23" i="93" s="1"/>
  <c r="J14" i="93"/>
  <c r="G14" i="93"/>
  <c r="K14" i="93" s="1"/>
  <c r="J13" i="93"/>
  <c r="G13" i="93"/>
  <c r="K13" i="93" s="1"/>
  <c r="J12" i="93"/>
  <c r="G12" i="93"/>
  <c r="K12" i="93" s="1"/>
  <c r="J11" i="93"/>
  <c r="G11" i="93"/>
  <c r="K11" i="93" s="1"/>
  <c r="J10" i="93"/>
  <c r="G10" i="93"/>
  <c r="K10" i="93" s="1"/>
  <c r="J9" i="93"/>
  <c r="G9" i="93"/>
  <c r="K9" i="93" s="1"/>
  <c r="J8" i="93"/>
  <c r="G8" i="93"/>
  <c r="K8" i="93" s="1"/>
  <c r="J7" i="93"/>
  <c r="G7" i="93"/>
  <c r="K7" i="93" s="1"/>
  <c r="J6" i="93"/>
  <c r="G6" i="93"/>
  <c r="K6" i="93" s="1"/>
  <c r="J5" i="93"/>
  <c r="G5" i="93"/>
  <c r="K5" i="93" s="1"/>
  <c r="J4" i="93"/>
  <c r="J36" i="93" s="1"/>
  <c r="G10" i="56" s="1"/>
  <c r="G4" i="93"/>
  <c r="J9" i="50"/>
  <c r="J10" i="50"/>
  <c r="J11" i="80"/>
  <c r="G11" i="80"/>
  <c r="J11" i="14"/>
  <c r="G11" i="14"/>
  <c r="J9" i="35"/>
  <c r="J10" i="14"/>
  <c r="G10" i="14"/>
  <c r="G5" i="14"/>
  <c r="G6" i="14"/>
  <c r="G8" i="14"/>
  <c r="G9" i="14"/>
  <c r="J7" i="50"/>
  <c r="J8" i="50"/>
  <c r="G8" i="57"/>
  <c r="J6" i="50"/>
  <c r="G40" i="51"/>
  <c r="G41" i="51"/>
  <c r="G42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G32" i="51"/>
  <c r="G35" i="51"/>
  <c r="G36" i="51"/>
  <c r="G37" i="51"/>
  <c r="G38" i="51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5" i="69"/>
  <c r="J5" i="69"/>
  <c r="G6" i="69"/>
  <c r="J6" i="69"/>
  <c r="G7" i="69"/>
  <c r="J7" i="69"/>
  <c r="G8" i="69"/>
  <c r="J8" i="69"/>
  <c r="G9" i="69"/>
  <c r="J9" i="69"/>
  <c r="G10" i="69"/>
  <c r="J10" i="69"/>
  <c r="G11" i="69"/>
  <c r="J11" i="69"/>
  <c r="G12" i="69"/>
  <c r="J12" i="69"/>
  <c r="G13" i="69"/>
  <c r="J13" i="69"/>
  <c r="G14" i="69"/>
  <c r="J14" i="69"/>
  <c r="G15" i="69"/>
  <c r="J15" i="69"/>
  <c r="G16" i="69"/>
  <c r="J16" i="69"/>
  <c r="G17" i="69"/>
  <c r="J17" i="69"/>
  <c r="G18" i="69"/>
  <c r="J18" i="69"/>
  <c r="G20" i="69"/>
  <c r="J20" i="69"/>
  <c r="G21" i="69"/>
  <c r="J21" i="69"/>
  <c r="G22" i="69"/>
  <c r="J22" i="69"/>
  <c r="G23" i="69"/>
  <c r="J23" i="69"/>
  <c r="G24" i="69"/>
  <c r="J24" i="69"/>
  <c r="G25" i="69"/>
  <c r="J25" i="69"/>
  <c r="G26" i="69"/>
  <c r="J26" i="69"/>
  <c r="G27" i="69"/>
  <c r="J27" i="69"/>
  <c r="G28" i="69"/>
  <c r="J28" i="69"/>
  <c r="G29" i="69"/>
  <c r="J29" i="69"/>
  <c r="G30" i="69"/>
  <c r="J30" i="69"/>
  <c r="G31" i="69"/>
  <c r="J31" i="69"/>
  <c r="G32" i="69"/>
  <c r="J32" i="69"/>
  <c r="G33" i="69"/>
  <c r="J33" i="69"/>
  <c r="G34" i="69"/>
  <c r="J34" i="69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5" i="9"/>
  <c r="J5" i="9"/>
  <c r="G6" i="9"/>
  <c r="J6" i="9"/>
  <c r="G7" i="9"/>
  <c r="J7" i="9"/>
  <c r="G9" i="9"/>
  <c r="J9" i="9"/>
  <c r="G10" i="9"/>
  <c r="J10" i="9"/>
  <c r="G11" i="9"/>
  <c r="J11" i="9"/>
  <c r="G12" i="9"/>
  <c r="J12" i="9"/>
  <c r="G13" i="9"/>
  <c r="J13" i="9"/>
  <c r="G14" i="9"/>
  <c r="J14" i="9"/>
  <c r="G15" i="9"/>
  <c r="J15" i="9"/>
  <c r="G16" i="9"/>
  <c r="J16" i="9"/>
  <c r="G17" i="9"/>
  <c r="J17" i="9"/>
  <c r="G18" i="9"/>
  <c r="J18" i="9"/>
  <c r="G19" i="9"/>
  <c r="J19" i="9"/>
  <c r="G20" i="9"/>
  <c r="J20" i="9"/>
  <c r="G21" i="9"/>
  <c r="J21" i="9"/>
  <c r="G22" i="9"/>
  <c r="J22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G31" i="9"/>
  <c r="J31" i="9"/>
  <c r="G32" i="9"/>
  <c r="J32" i="9"/>
  <c r="G33" i="9"/>
  <c r="J33" i="9"/>
  <c r="G34" i="9"/>
  <c r="J34" i="9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5" i="57"/>
  <c r="J5" i="57"/>
  <c r="G6" i="57"/>
  <c r="J6" i="57"/>
  <c r="G7" i="57"/>
  <c r="J7" i="57"/>
  <c r="J8" i="57"/>
  <c r="G9" i="57"/>
  <c r="J9" i="57"/>
  <c r="G10" i="57"/>
  <c r="J10" i="57"/>
  <c r="G11" i="57"/>
  <c r="J11" i="57"/>
  <c r="G12" i="57"/>
  <c r="J12" i="57"/>
  <c r="G13" i="57"/>
  <c r="J13" i="57"/>
  <c r="G14" i="57"/>
  <c r="J14" i="57"/>
  <c r="G15" i="57"/>
  <c r="J15" i="57"/>
  <c r="G16" i="57"/>
  <c r="J16" i="57"/>
  <c r="G17" i="57"/>
  <c r="J17" i="57"/>
  <c r="G18" i="57"/>
  <c r="J18" i="57"/>
  <c r="G19" i="57"/>
  <c r="J19" i="57"/>
  <c r="G20" i="57"/>
  <c r="J20" i="57"/>
  <c r="G21" i="57"/>
  <c r="J21" i="57"/>
  <c r="G22" i="57"/>
  <c r="J22" i="57"/>
  <c r="G23" i="57"/>
  <c r="J23" i="57"/>
  <c r="G24" i="57"/>
  <c r="J24" i="57"/>
  <c r="G25" i="57"/>
  <c r="J25" i="57"/>
  <c r="G26" i="57"/>
  <c r="J26" i="57"/>
  <c r="G27" i="57"/>
  <c r="J27" i="57"/>
  <c r="G28" i="57"/>
  <c r="J28" i="57"/>
  <c r="G29" i="57"/>
  <c r="J29" i="57"/>
  <c r="G30" i="57"/>
  <c r="J30" i="57"/>
  <c r="G31" i="57"/>
  <c r="J31" i="57"/>
  <c r="G32" i="57"/>
  <c r="J32" i="57"/>
  <c r="G33" i="57"/>
  <c r="J33" i="57"/>
  <c r="G34" i="57"/>
  <c r="J34" i="57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4" i="60"/>
  <c r="G5" i="41"/>
  <c r="J5" i="41"/>
  <c r="G6" i="41"/>
  <c r="J6" i="41"/>
  <c r="G7" i="41"/>
  <c r="J7" i="41"/>
  <c r="G8" i="41"/>
  <c r="J8" i="41"/>
  <c r="G9" i="41"/>
  <c r="J9" i="41"/>
  <c r="G10" i="41"/>
  <c r="J10" i="41"/>
  <c r="G11" i="41"/>
  <c r="J11" i="41"/>
  <c r="G12" i="41"/>
  <c r="J12" i="41"/>
  <c r="G13" i="41"/>
  <c r="J13" i="41"/>
  <c r="G15" i="41"/>
  <c r="J15" i="41"/>
  <c r="G17" i="41"/>
  <c r="J17" i="41"/>
  <c r="G18" i="41"/>
  <c r="J18" i="41"/>
  <c r="G19" i="41"/>
  <c r="J19" i="41"/>
  <c r="G20" i="41"/>
  <c r="J20" i="41"/>
  <c r="G21" i="41"/>
  <c r="J21" i="41"/>
  <c r="G22" i="41"/>
  <c r="J22" i="41"/>
  <c r="G23" i="41"/>
  <c r="J23" i="41"/>
  <c r="G24" i="41"/>
  <c r="J24" i="41"/>
  <c r="G25" i="41"/>
  <c r="K25" i="41" s="1"/>
  <c r="G26" i="41"/>
  <c r="J26" i="41"/>
  <c r="G27" i="41"/>
  <c r="J27" i="41"/>
  <c r="G28" i="41"/>
  <c r="J28" i="41"/>
  <c r="G29" i="41"/>
  <c r="J29" i="41"/>
  <c r="G30" i="41"/>
  <c r="J30" i="41"/>
  <c r="G31" i="41"/>
  <c r="J31" i="41"/>
  <c r="G32" i="41"/>
  <c r="J32" i="41"/>
  <c r="G33" i="41"/>
  <c r="J33" i="41"/>
  <c r="G34" i="41"/>
  <c r="J34" i="41"/>
  <c r="G35" i="41"/>
  <c r="J35" i="41"/>
  <c r="G36" i="41"/>
  <c r="J36" i="41"/>
  <c r="G37" i="41"/>
  <c r="J37" i="41"/>
  <c r="G38" i="41"/>
  <c r="J38" i="41"/>
  <c r="G39" i="41"/>
  <c r="J39" i="41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5" i="12"/>
  <c r="G26" i="12"/>
  <c r="G27" i="12"/>
  <c r="G28" i="12"/>
  <c r="G29" i="12"/>
  <c r="G30" i="12"/>
  <c r="G31" i="12"/>
  <c r="G32" i="12"/>
  <c r="G33" i="12"/>
  <c r="G34" i="12"/>
  <c r="G35" i="12"/>
  <c r="J5" i="76"/>
  <c r="G6" i="76"/>
  <c r="J6" i="76"/>
  <c r="G7" i="76"/>
  <c r="J7" i="76"/>
  <c r="G8" i="76"/>
  <c r="J8" i="76"/>
  <c r="G9" i="76"/>
  <c r="J9" i="76"/>
  <c r="G10" i="76"/>
  <c r="J10" i="76"/>
  <c r="G11" i="76"/>
  <c r="J11" i="76"/>
  <c r="G12" i="76"/>
  <c r="J12" i="76"/>
  <c r="G13" i="76"/>
  <c r="J13" i="76"/>
  <c r="G14" i="76"/>
  <c r="J14" i="76"/>
  <c r="G15" i="76"/>
  <c r="J15" i="76"/>
  <c r="G16" i="76"/>
  <c r="J16" i="76"/>
  <c r="G17" i="76"/>
  <c r="J17" i="76"/>
  <c r="G18" i="76"/>
  <c r="J18" i="76"/>
  <c r="G19" i="76"/>
  <c r="J19" i="76"/>
  <c r="G20" i="76"/>
  <c r="J20" i="76"/>
  <c r="G21" i="76"/>
  <c r="J21" i="76"/>
  <c r="G22" i="76"/>
  <c r="K22" i="76" s="1"/>
  <c r="G23" i="76"/>
  <c r="J23" i="76"/>
  <c r="G24" i="76"/>
  <c r="J24" i="76"/>
  <c r="G25" i="76"/>
  <c r="G26" i="76"/>
  <c r="J26" i="76"/>
  <c r="G27" i="76"/>
  <c r="J27" i="76"/>
  <c r="G28" i="76"/>
  <c r="J28" i="76"/>
  <c r="G29" i="76"/>
  <c r="J29" i="76"/>
  <c r="G30" i="76"/>
  <c r="J30" i="76"/>
  <c r="G31" i="76"/>
  <c r="J31" i="76"/>
  <c r="G32" i="76"/>
  <c r="J32" i="76"/>
  <c r="G33" i="76"/>
  <c r="J33" i="76"/>
  <c r="G34" i="76"/>
  <c r="J34" i="76"/>
  <c r="G35" i="76"/>
  <c r="J35" i="76"/>
  <c r="J5" i="79"/>
  <c r="G7" i="79"/>
  <c r="J7" i="79"/>
  <c r="G8" i="79"/>
  <c r="J8" i="79"/>
  <c r="G9" i="79"/>
  <c r="J9" i="79"/>
  <c r="G10" i="79"/>
  <c r="J10" i="79"/>
  <c r="G11" i="79"/>
  <c r="J11" i="79"/>
  <c r="G12" i="79"/>
  <c r="J12" i="79"/>
  <c r="G13" i="79"/>
  <c r="J13" i="79"/>
  <c r="G14" i="79"/>
  <c r="J14" i="79"/>
  <c r="G15" i="79"/>
  <c r="J15" i="79"/>
  <c r="G16" i="79"/>
  <c r="J16" i="79"/>
  <c r="G17" i="79"/>
  <c r="J17" i="79"/>
  <c r="G18" i="79"/>
  <c r="J18" i="79"/>
  <c r="G19" i="79"/>
  <c r="J19" i="79"/>
  <c r="G20" i="79"/>
  <c r="J20" i="79"/>
  <c r="G21" i="79"/>
  <c r="J21" i="79"/>
  <c r="G22" i="79"/>
  <c r="J22" i="79"/>
  <c r="G23" i="79"/>
  <c r="J23" i="79"/>
  <c r="G24" i="79"/>
  <c r="J24" i="79"/>
  <c r="G25" i="79"/>
  <c r="J25" i="79"/>
  <c r="G26" i="79"/>
  <c r="J26" i="79"/>
  <c r="G27" i="79"/>
  <c r="J27" i="79"/>
  <c r="G28" i="79"/>
  <c r="J28" i="79"/>
  <c r="G29" i="79"/>
  <c r="J29" i="79"/>
  <c r="G30" i="79"/>
  <c r="J30" i="79"/>
  <c r="G31" i="79"/>
  <c r="J31" i="79"/>
  <c r="G32" i="79"/>
  <c r="J32" i="79"/>
  <c r="G33" i="79"/>
  <c r="J33" i="79"/>
  <c r="G34" i="79"/>
  <c r="J34" i="79"/>
  <c r="G5" i="75"/>
  <c r="J5" i="75"/>
  <c r="G6" i="75"/>
  <c r="J6" i="75"/>
  <c r="G7" i="75"/>
  <c r="J7" i="75"/>
  <c r="G8" i="75"/>
  <c r="J8" i="75"/>
  <c r="G9" i="75"/>
  <c r="J9" i="75"/>
  <c r="G10" i="75"/>
  <c r="J10" i="75"/>
  <c r="G11" i="75"/>
  <c r="J11" i="75"/>
  <c r="G12" i="75"/>
  <c r="J12" i="75"/>
  <c r="G13" i="75"/>
  <c r="J13" i="75"/>
  <c r="G14" i="75"/>
  <c r="J14" i="75"/>
  <c r="G15" i="75"/>
  <c r="G16" i="75"/>
  <c r="J16" i="75"/>
  <c r="G17" i="75"/>
  <c r="J17" i="75"/>
  <c r="G18" i="75"/>
  <c r="J18" i="75"/>
  <c r="G19" i="75"/>
  <c r="G20" i="75"/>
  <c r="G21" i="75"/>
  <c r="J21" i="75"/>
  <c r="G22" i="75"/>
  <c r="J22" i="75"/>
  <c r="J24" i="75"/>
  <c r="G27" i="75"/>
  <c r="J27" i="75"/>
  <c r="G28" i="75"/>
  <c r="J28" i="75"/>
  <c r="G29" i="75"/>
  <c r="J29" i="75"/>
  <c r="G30" i="75"/>
  <c r="J30" i="75"/>
  <c r="G32" i="75"/>
  <c r="J32" i="75"/>
  <c r="G33" i="75"/>
  <c r="J33" i="75"/>
  <c r="G34" i="75"/>
  <c r="J34" i="75"/>
  <c r="J5" i="85"/>
  <c r="K5" i="85"/>
  <c r="G6" i="85"/>
  <c r="J6" i="85"/>
  <c r="K6" i="85"/>
  <c r="G7" i="85"/>
  <c r="J7" i="85"/>
  <c r="K7" i="85"/>
  <c r="G8" i="85"/>
  <c r="J8" i="85"/>
  <c r="K8" i="85"/>
  <c r="G9" i="85"/>
  <c r="J9" i="85"/>
  <c r="K9" i="85"/>
  <c r="G10" i="85"/>
  <c r="J10" i="85"/>
  <c r="K10" i="85"/>
  <c r="G11" i="85"/>
  <c r="J11" i="85"/>
  <c r="K11" i="85"/>
  <c r="J12" i="85"/>
  <c r="K12" i="85"/>
  <c r="G13" i="85"/>
  <c r="J13" i="85"/>
  <c r="K13" i="85"/>
  <c r="G14" i="85"/>
  <c r="J14" i="85"/>
  <c r="K14" i="85"/>
  <c r="G15" i="85"/>
  <c r="J15" i="85"/>
  <c r="K15" i="85"/>
  <c r="G16" i="85"/>
  <c r="J16" i="85"/>
  <c r="K16" i="85"/>
  <c r="G17" i="85"/>
  <c r="J17" i="85"/>
  <c r="K17" i="85"/>
  <c r="G18" i="85"/>
  <c r="J18" i="85"/>
  <c r="K18" i="85"/>
  <c r="G19" i="85"/>
  <c r="J19" i="85"/>
  <c r="K19" i="85"/>
  <c r="G20" i="85"/>
  <c r="J20" i="85"/>
  <c r="K20" i="85"/>
  <c r="J21" i="85"/>
  <c r="K21" i="85"/>
  <c r="G22" i="85"/>
  <c r="J22" i="85"/>
  <c r="K22" i="85"/>
  <c r="G23" i="85"/>
  <c r="J23" i="85"/>
  <c r="K23" i="85"/>
  <c r="G25" i="85"/>
  <c r="J25" i="85"/>
  <c r="K25" i="85"/>
  <c r="G26" i="85"/>
  <c r="J26" i="85"/>
  <c r="K26" i="85"/>
  <c r="G27" i="85"/>
  <c r="J27" i="85"/>
  <c r="K27" i="85"/>
  <c r="G28" i="85"/>
  <c r="J28" i="85"/>
  <c r="K28" i="85"/>
  <c r="G29" i="85"/>
  <c r="J29" i="85"/>
  <c r="K29" i="85"/>
  <c r="G30" i="85"/>
  <c r="J30" i="85"/>
  <c r="K30" i="85"/>
  <c r="G31" i="85"/>
  <c r="J31" i="85"/>
  <c r="K31" i="85"/>
  <c r="G32" i="85"/>
  <c r="J32" i="85"/>
  <c r="K32" i="85"/>
  <c r="G33" i="85"/>
  <c r="J33" i="85"/>
  <c r="K33" i="85"/>
  <c r="G34" i="85"/>
  <c r="J34" i="85"/>
  <c r="K34" i="85"/>
  <c r="G35" i="85"/>
  <c r="J35" i="85"/>
  <c r="K35" i="85"/>
  <c r="G36" i="85"/>
  <c r="J36" i="85"/>
  <c r="K36" i="85"/>
  <c r="G5" i="22"/>
  <c r="J5" i="22"/>
  <c r="G6" i="22"/>
  <c r="J6" i="22"/>
  <c r="G7" i="22"/>
  <c r="J7" i="22"/>
  <c r="G8" i="22"/>
  <c r="J8" i="22"/>
  <c r="G9" i="22"/>
  <c r="J9" i="22"/>
  <c r="G10" i="22"/>
  <c r="J10" i="22"/>
  <c r="G11" i="22"/>
  <c r="J11" i="22"/>
  <c r="G12" i="22"/>
  <c r="J12" i="22"/>
  <c r="G13" i="22"/>
  <c r="J13" i="22"/>
  <c r="G14" i="22"/>
  <c r="J14" i="22"/>
  <c r="G15" i="22"/>
  <c r="J15" i="22"/>
  <c r="G16" i="22"/>
  <c r="J16" i="22"/>
  <c r="G17" i="22"/>
  <c r="J17" i="22"/>
  <c r="G18" i="22"/>
  <c r="J18" i="22"/>
  <c r="G19" i="22"/>
  <c r="J19" i="22"/>
  <c r="G20" i="22"/>
  <c r="J20" i="22"/>
  <c r="G21" i="22"/>
  <c r="J21" i="22"/>
  <c r="G22" i="22"/>
  <c r="J22" i="22"/>
  <c r="G23" i="22"/>
  <c r="J23" i="22"/>
  <c r="G24" i="22"/>
  <c r="J24" i="22"/>
  <c r="G25" i="22"/>
  <c r="J25" i="22"/>
  <c r="G26" i="22"/>
  <c r="J26" i="22"/>
  <c r="G27" i="22"/>
  <c r="J27" i="22"/>
  <c r="G28" i="22"/>
  <c r="J28" i="22"/>
  <c r="G29" i="22"/>
  <c r="J29" i="22"/>
  <c r="G30" i="22"/>
  <c r="J30" i="22"/>
  <c r="G31" i="22"/>
  <c r="J31" i="22"/>
  <c r="G32" i="22"/>
  <c r="J32" i="22"/>
  <c r="G33" i="22"/>
  <c r="J33" i="22"/>
  <c r="G34" i="22"/>
  <c r="J34" i="22"/>
  <c r="G35" i="22"/>
  <c r="J35" i="22"/>
  <c r="G36" i="22"/>
  <c r="J36" i="22"/>
  <c r="G37" i="22"/>
  <c r="J37" i="22"/>
  <c r="G38" i="22"/>
  <c r="J38" i="22"/>
  <c r="G39" i="22"/>
  <c r="J39" i="22"/>
  <c r="G6" i="25"/>
  <c r="G7" i="25"/>
  <c r="G8" i="25"/>
  <c r="G9" i="25"/>
  <c r="G11" i="25"/>
  <c r="G12" i="25"/>
  <c r="G13" i="25"/>
  <c r="G14" i="25"/>
  <c r="G16" i="25"/>
  <c r="G17" i="25"/>
  <c r="G18" i="25"/>
  <c r="G19" i="25"/>
  <c r="G20" i="25"/>
  <c r="G21" i="25"/>
  <c r="G23" i="25"/>
  <c r="G24" i="25"/>
  <c r="G25" i="25"/>
  <c r="G26" i="25"/>
  <c r="G27" i="25"/>
  <c r="G28" i="25"/>
  <c r="G29" i="25"/>
  <c r="G30" i="25"/>
  <c r="G31" i="25"/>
  <c r="G32" i="25"/>
  <c r="G33" i="25"/>
  <c r="G35" i="25"/>
  <c r="G36" i="25"/>
  <c r="G38" i="25"/>
  <c r="G39" i="25"/>
  <c r="G40" i="25"/>
  <c r="G5" i="11"/>
  <c r="J5" i="11"/>
  <c r="G6" i="11"/>
  <c r="J6" i="11"/>
  <c r="G7" i="11"/>
  <c r="J7" i="11"/>
  <c r="G8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2" i="11"/>
  <c r="J22" i="11"/>
  <c r="G23" i="11"/>
  <c r="J23" i="11"/>
  <c r="G24" i="11"/>
  <c r="J24" i="11"/>
  <c r="G25" i="11"/>
  <c r="J25" i="11"/>
  <c r="G26" i="11"/>
  <c r="J26" i="11"/>
  <c r="G28" i="11"/>
  <c r="J28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35" i="11"/>
  <c r="J35" i="11"/>
  <c r="G36" i="11"/>
  <c r="J36" i="11"/>
  <c r="G5" i="10"/>
  <c r="J5" i="10"/>
  <c r="G6" i="10"/>
  <c r="J6" i="10"/>
  <c r="G7" i="10"/>
  <c r="J7" i="10"/>
  <c r="G8" i="10"/>
  <c r="J8" i="10"/>
  <c r="G9" i="10"/>
  <c r="J9" i="10"/>
  <c r="G10" i="10"/>
  <c r="J10" i="10"/>
  <c r="G11" i="10"/>
  <c r="J11" i="10"/>
  <c r="G12" i="10"/>
  <c r="J12" i="10"/>
  <c r="G13" i="10"/>
  <c r="J13" i="10"/>
  <c r="G14" i="10"/>
  <c r="J14" i="10"/>
  <c r="G15" i="10"/>
  <c r="J15" i="10"/>
  <c r="G16" i="10"/>
  <c r="J16" i="10"/>
  <c r="G17" i="10"/>
  <c r="J17" i="10"/>
  <c r="G18" i="10"/>
  <c r="J18" i="10"/>
  <c r="G19" i="10"/>
  <c r="J19" i="10"/>
  <c r="G20" i="10"/>
  <c r="J20" i="10"/>
  <c r="G21" i="10"/>
  <c r="J21" i="10"/>
  <c r="G22" i="10"/>
  <c r="J22" i="10"/>
  <c r="G23" i="10"/>
  <c r="J23" i="10"/>
  <c r="G24" i="10"/>
  <c r="J24" i="10"/>
  <c r="G25" i="10"/>
  <c r="J25" i="10"/>
  <c r="G26" i="10"/>
  <c r="J26" i="10"/>
  <c r="G27" i="10"/>
  <c r="J27" i="10"/>
  <c r="G28" i="10"/>
  <c r="J28" i="10"/>
  <c r="G29" i="10"/>
  <c r="J29" i="10"/>
  <c r="G30" i="10"/>
  <c r="J30" i="10"/>
  <c r="G31" i="10"/>
  <c r="J31" i="10"/>
  <c r="G32" i="10"/>
  <c r="J32" i="10"/>
  <c r="G33" i="10"/>
  <c r="J33" i="10"/>
  <c r="G5" i="80"/>
  <c r="J5" i="80"/>
  <c r="G6" i="80"/>
  <c r="J6" i="80"/>
  <c r="G7" i="80"/>
  <c r="J7" i="80"/>
  <c r="G8" i="80"/>
  <c r="J8" i="80"/>
  <c r="G9" i="80"/>
  <c r="J9" i="80"/>
  <c r="G10" i="80"/>
  <c r="J10" i="80"/>
  <c r="G12" i="80"/>
  <c r="J12" i="80"/>
  <c r="G13" i="80"/>
  <c r="J13" i="80"/>
  <c r="G14" i="80"/>
  <c r="J14" i="80"/>
  <c r="G15" i="80"/>
  <c r="J15" i="80"/>
  <c r="G16" i="80"/>
  <c r="J16" i="80"/>
  <c r="G18" i="80"/>
  <c r="J18" i="80"/>
  <c r="G19" i="80"/>
  <c r="J19" i="80"/>
  <c r="G20" i="80"/>
  <c r="J20" i="80"/>
  <c r="G21" i="80"/>
  <c r="J21" i="80"/>
  <c r="G22" i="80"/>
  <c r="J22" i="80"/>
  <c r="G24" i="80"/>
  <c r="J24" i="80"/>
  <c r="G25" i="80"/>
  <c r="J25" i="80"/>
  <c r="G26" i="80"/>
  <c r="J26" i="80"/>
  <c r="G27" i="80"/>
  <c r="J27" i="80"/>
  <c r="G28" i="80"/>
  <c r="J28" i="80"/>
  <c r="G29" i="80"/>
  <c r="J29" i="80"/>
  <c r="G30" i="80"/>
  <c r="J30" i="80"/>
  <c r="G31" i="80"/>
  <c r="J31" i="80"/>
  <c r="G32" i="80"/>
  <c r="J32" i="80"/>
  <c r="G33" i="80"/>
  <c r="J33" i="80"/>
  <c r="G34" i="80"/>
  <c r="J34" i="80"/>
  <c r="G35" i="80"/>
  <c r="J35" i="80"/>
  <c r="G36" i="80"/>
  <c r="J36" i="80"/>
  <c r="G37" i="80"/>
  <c r="J37" i="80"/>
  <c r="G38" i="80"/>
  <c r="J38" i="80"/>
  <c r="J4" i="80"/>
  <c r="G4" i="80"/>
  <c r="J21" i="24"/>
  <c r="J22" i="24"/>
  <c r="J23" i="24"/>
  <c r="J24" i="24"/>
  <c r="J25" i="24"/>
  <c r="J26" i="24"/>
  <c r="J27" i="24"/>
  <c r="J28" i="24"/>
  <c r="G29" i="24"/>
  <c r="J29" i="24"/>
  <c r="J30" i="24"/>
  <c r="J31" i="24"/>
  <c r="G32" i="24"/>
  <c r="J32" i="24"/>
  <c r="G33" i="24"/>
  <c r="J33" i="24"/>
  <c r="G34" i="24"/>
  <c r="J34" i="24"/>
  <c r="G6" i="74"/>
  <c r="J6" i="74"/>
  <c r="G7" i="74"/>
  <c r="J7" i="74"/>
  <c r="G8" i="74"/>
  <c r="J8" i="74"/>
  <c r="G9" i="74"/>
  <c r="J9" i="74"/>
  <c r="G10" i="74"/>
  <c r="J10" i="74"/>
  <c r="G11" i="74"/>
  <c r="J11" i="74"/>
  <c r="G12" i="74"/>
  <c r="J12" i="74"/>
  <c r="G13" i="74"/>
  <c r="J13" i="74"/>
  <c r="G14" i="74"/>
  <c r="J14" i="74"/>
  <c r="G15" i="74"/>
  <c r="J15" i="74"/>
  <c r="G16" i="74"/>
  <c r="J16" i="74"/>
  <c r="G17" i="74"/>
  <c r="J17" i="74"/>
  <c r="G18" i="74"/>
  <c r="J18" i="74"/>
  <c r="G19" i="74"/>
  <c r="J19" i="74"/>
  <c r="G20" i="74"/>
  <c r="J20" i="74"/>
  <c r="G21" i="74"/>
  <c r="J21" i="74"/>
  <c r="G22" i="74"/>
  <c r="J22" i="74"/>
  <c r="G23" i="74"/>
  <c r="J23" i="74"/>
  <c r="G24" i="74"/>
  <c r="J24" i="74"/>
  <c r="G25" i="74"/>
  <c r="J25" i="74"/>
  <c r="G26" i="74"/>
  <c r="J26" i="74"/>
  <c r="G27" i="74"/>
  <c r="J27" i="74"/>
  <c r="G28" i="74"/>
  <c r="J28" i="74"/>
  <c r="G29" i="74"/>
  <c r="J29" i="74"/>
  <c r="G30" i="74"/>
  <c r="J30" i="74"/>
  <c r="G31" i="74"/>
  <c r="J31" i="74"/>
  <c r="G32" i="74"/>
  <c r="J32" i="74"/>
  <c r="G33" i="74"/>
  <c r="J33" i="74"/>
  <c r="G5" i="73"/>
  <c r="J5" i="73"/>
  <c r="G6" i="73"/>
  <c r="J6" i="73"/>
  <c r="G7" i="73"/>
  <c r="J7" i="73"/>
  <c r="G8" i="73"/>
  <c r="J8" i="73"/>
  <c r="G9" i="73"/>
  <c r="J9" i="73"/>
  <c r="G10" i="73"/>
  <c r="J10" i="73"/>
  <c r="G11" i="73"/>
  <c r="J11" i="73"/>
  <c r="G12" i="73"/>
  <c r="J12" i="73"/>
  <c r="G13" i="73"/>
  <c r="J13" i="73"/>
  <c r="G14" i="73"/>
  <c r="J14" i="73"/>
  <c r="G15" i="73"/>
  <c r="J15" i="73"/>
  <c r="G16" i="73"/>
  <c r="J16" i="73"/>
  <c r="G17" i="73"/>
  <c r="J17" i="73"/>
  <c r="G18" i="73"/>
  <c r="J18" i="73"/>
  <c r="G19" i="73"/>
  <c r="J19" i="73"/>
  <c r="G20" i="73"/>
  <c r="J20" i="73"/>
  <c r="G21" i="73"/>
  <c r="J21" i="73"/>
  <c r="G22" i="73"/>
  <c r="J22" i="73"/>
  <c r="G24" i="73"/>
  <c r="J24" i="73"/>
  <c r="G25" i="73"/>
  <c r="J25" i="73"/>
  <c r="G26" i="73"/>
  <c r="J26" i="73"/>
  <c r="G27" i="73"/>
  <c r="J27" i="73"/>
  <c r="G28" i="73"/>
  <c r="J28" i="73"/>
  <c r="G29" i="73"/>
  <c r="J29" i="73"/>
  <c r="G30" i="73"/>
  <c r="J30" i="73"/>
  <c r="J31" i="73"/>
  <c r="G5" i="68"/>
  <c r="J5" i="68"/>
  <c r="K5" i="68"/>
  <c r="G6" i="68"/>
  <c r="J6" i="68"/>
  <c r="K6" i="68"/>
  <c r="G7" i="68"/>
  <c r="J7" i="68"/>
  <c r="K7" i="68"/>
  <c r="G8" i="68"/>
  <c r="J8" i="68"/>
  <c r="K8" i="68"/>
  <c r="G9" i="68"/>
  <c r="J9" i="68"/>
  <c r="K9" i="68"/>
  <c r="G10" i="68"/>
  <c r="J10" i="68"/>
  <c r="K10" i="68"/>
  <c r="G11" i="68"/>
  <c r="J11" i="68"/>
  <c r="K11" i="68"/>
  <c r="G12" i="68"/>
  <c r="J12" i="68"/>
  <c r="K12" i="68"/>
  <c r="G13" i="68"/>
  <c r="J13" i="68"/>
  <c r="K13" i="68"/>
  <c r="J14" i="68"/>
  <c r="K14" i="68"/>
  <c r="G15" i="68"/>
  <c r="J15" i="68"/>
  <c r="K15" i="68"/>
  <c r="G16" i="68"/>
  <c r="J16" i="68"/>
  <c r="K16" i="68"/>
  <c r="G17" i="68"/>
  <c r="J17" i="68"/>
  <c r="K17" i="68"/>
  <c r="G18" i="68"/>
  <c r="J18" i="68"/>
  <c r="K18" i="68"/>
  <c r="G19" i="68"/>
  <c r="J19" i="68"/>
  <c r="K19" i="68"/>
  <c r="G20" i="68"/>
  <c r="J20" i="68"/>
  <c r="K20" i="68"/>
  <c r="G21" i="68"/>
  <c r="J21" i="68"/>
  <c r="K21" i="68"/>
  <c r="G22" i="68"/>
  <c r="J22" i="68"/>
  <c r="K22" i="68"/>
  <c r="G23" i="68"/>
  <c r="J23" i="68"/>
  <c r="K23" i="68"/>
  <c r="G25" i="68"/>
  <c r="J25" i="68"/>
  <c r="K25" i="68"/>
  <c r="G26" i="68"/>
  <c r="J26" i="68"/>
  <c r="K26" i="68"/>
  <c r="G27" i="68"/>
  <c r="J27" i="68"/>
  <c r="K27" i="68"/>
  <c r="G28" i="68"/>
  <c r="J28" i="68"/>
  <c r="K28" i="68"/>
  <c r="G29" i="68"/>
  <c r="J29" i="68"/>
  <c r="K29" i="68"/>
  <c r="G30" i="68"/>
  <c r="J30" i="68"/>
  <c r="K30" i="68"/>
  <c r="G31" i="68"/>
  <c r="J31" i="68"/>
  <c r="K31" i="68"/>
  <c r="G32" i="68"/>
  <c r="J32" i="68"/>
  <c r="K32" i="68"/>
  <c r="G33" i="68"/>
  <c r="J33" i="68"/>
  <c r="K33" i="68"/>
  <c r="G34" i="68"/>
  <c r="J34" i="68"/>
  <c r="K34" i="68"/>
  <c r="G35" i="68"/>
  <c r="J35" i="68"/>
  <c r="K35" i="68"/>
  <c r="J4" i="68"/>
  <c r="G4" i="68"/>
  <c r="G6" i="63"/>
  <c r="J6" i="63"/>
  <c r="K6" i="63"/>
  <c r="G7" i="63"/>
  <c r="J7" i="63"/>
  <c r="K7" i="63"/>
  <c r="G8" i="63"/>
  <c r="J8" i="63"/>
  <c r="K8" i="63"/>
  <c r="G9" i="63"/>
  <c r="J9" i="63"/>
  <c r="K9" i="63"/>
  <c r="G10" i="63"/>
  <c r="J10" i="63"/>
  <c r="K10" i="63"/>
  <c r="G11" i="63"/>
  <c r="J11" i="63"/>
  <c r="K11" i="63"/>
  <c r="G12" i="63"/>
  <c r="J12" i="63"/>
  <c r="K12" i="63"/>
  <c r="G13" i="63"/>
  <c r="J13" i="63"/>
  <c r="K13" i="63"/>
  <c r="G14" i="63"/>
  <c r="J14" i="63"/>
  <c r="K14" i="63"/>
  <c r="G15" i="63"/>
  <c r="J15" i="63"/>
  <c r="K15" i="63"/>
  <c r="G16" i="63"/>
  <c r="J16" i="63"/>
  <c r="K16" i="63"/>
  <c r="G17" i="63"/>
  <c r="J17" i="63"/>
  <c r="K17" i="63"/>
  <c r="G18" i="63"/>
  <c r="J18" i="63"/>
  <c r="K18" i="63"/>
  <c r="G19" i="63"/>
  <c r="J19" i="63"/>
  <c r="K19" i="63"/>
  <c r="G20" i="63"/>
  <c r="J20" i="63"/>
  <c r="K20" i="63"/>
  <c r="G21" i="63"/>
  <c r="J21" i="63"/>
  <c r="K21" i="63"/>
  <c r="G22" i="63"/>
  <c r="J22" i="63"/>
  <c r="K22" i="63"/>
  <c r="G23" i="63"/>
  <c r="J23" i="63"/>
  <c r="K23" i="63"/>
  <c r="G24" i="63"/>
  <c r="J24" i="63"/>
  <c r="K24" i="63"/>
  <c r="G25" i="63"/>
  <c r="J25" i="63"/>
  <c r="K25" i="63"/>
  <c r="G26" i="63"/>
  <c r="J26" i="63"/>
  <c r="K26" i="63"/>
  <c r="G27" i="63"/>
  <c r="J27" i="63"/>
  <c r="K27" i="63"/>
  <c r="G28" i="63"/>
  <c r="J28" i="63"/>
  <c r="K28" i="63"/>
  <c r="G29" i="63"/>
  <c r="J29" i="63"/>
  <c r="K29" i="63"/>
  <c r="G30" i="63"/>
  <c r="J30" i="63"/>
  <c r="K30" i="63"/>
  <c r="G31" i="63"/>
  <c r="J31" i="63"/>
  <c r="K31" i="63"/>
  <c r="G32" i="63"/>
  <c r="J32" i="63"/>
  <c r="K32" i="63"/>
  <c r="G33" i="63"/>
  <c r="J33" i="63"/>
  <c r="K33" i="63"/>
  <c r="G5" i="16"/>
  <c r="J5" i="16"/>
  <c r="K5" i="16"/>
  <c r="G6" i="16"/>
  <c r="J6" i="16"/>
  <c r="K6" i="16"/>
  <c r="G7" i="16"/>
  <c r="J7" i="16"/>
  <c r="K7" i="16"/>
  <c r="J8" i="16"/>
  <c r="K8" i="16"/>
  <c r="J9" i="16"/>
  <c r="K9" i="16"/>
  <c r="J10" i="16"/>
  <c r="K10" i="16"/>
  <c r="J11" i="16"/>
  <c r="K11" i="16"/>
  <c r="J12" i="16"/>
  <c r="K12" i="16"/>
  <c r="J13" i="16"/>
  <c r="K13" i="16"/>
  <c r="J14" i="16"/>
  <c r="K14" i="16"/>
  <c r="J15" i="16"/>
  <c r="K15" i="16"/>
  <c r="J16" i="16"/>
  <c r="K16" i="16"/>
  <c r="J17" i="16"/>
  <c r="K17" i="16"/>
  <c r="J18" i="16"/>
  <c r="K18" i="16"/>
  <c r="J19" i="16"/>
  <c r="K19" i="16"/>
  <c r="J20" i="16"/>
  <c r="K20" i="16"/>
  <c r="J21" i="16"/>
  <c r="K21" i="16"/>
  <c r="J22" i="16"/>
  <c r="K22" i="16"/>
  <c r="J23" i="16"/>
  <c r="K23" i="16"/>
  <c r="J24" i="16"/>
  <c r="K24" i="16"/>
  <c r="J25" i="16"/>
  <c r="K25" i="16"/>
  <c r="J26" i="16"/>
  <c r="K26" i="16"/>
  <c r="J27" i="16"/>
  <c r="K27" i="16"/>
  <c r="J28" i="16"/>
  <c r="K28" i="16"/>
  <c r="J29" i="16"/>
  <c r="K29" i="16"/>
  <c r="J30" i="16"/>
  <c r="K30" i="16"/>
  <c r="J31" i="16"/>
  <c r="K31" i="16"/>
  <c r="J32" i="16"/>
  <c r="K32" i="16"/>
  <c r="J33" i="16"/>
  <c r="K33" i="16"/>
  <c r="J34" i="16"/>
  <c r="K34" i="16"/>
  <c r="G35" i="16"/>
  <c r="J35" i="16"/>
  <c r="K35" i="16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J21" i="3"/>
  <c r="K21" i="3"/>
  <c r="G22" i="3"/>
  <c r="J22" i="3"/>
  <c r="K22" i="3"/>
  <c r="G23" i="3"/>
  <c r="J23" i="3"/>
  <c r="K23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25" i="52"/>
  <c r="J25" i="52"/>
  <c r="G26" i="52"/>
  <c r="J26" i="52"/>
  <c r="G27" i="52"/>
  <c r="J27" i="52"/>
  <c r="G28" i="52"/>
  <c r="J28" i="52"/>
  <c r="G29" i="52"/>
  <c r="J29" i="52"/>
  <c r="G30" i="52"/>
  <c r="J30" i="52"/>
  <c r="G31" i="52"/>
  <c r="J31" i="52"/>
  <c r="G32" i="52"/>
  <c r="J32" i="52"/>
  <c r="G33" i="52"/>
  <c r="J33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G9" i="62"/>
  <c r="G10" i="62"/>
  <c r="G11" i="62"/>
  <c r="G12" i="62"/>
  <c r="G13" i="62"/>
  <c r="G14" i="62"/>
  <c r="G15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G5" i="89"/>
  <c r="J5" i="89"/>
  <c r="K5" i="89"/>
  <c r="G6" i="89"/>
  <c r="J6" i="89"/>
  <c r="K6" i="89"/>
  <c r="G7" i="89"/>
  <c r="J7" i="89"/>
  <c r="K7" i="89"/>
  <c r="G8" i="89"/>
  <c r="J8" i="89"/>
  <c r="K8" i="89"/>
  <c r="G9" i="89"/>
  <c r="J9" i="89"/>
  <c r="K9" i="89"/>
  <c r="G10" i="89"/>
  <c r="J10" i="89"/>
  <c r="K10" i="89"/>
  <c r="G11" i="89"/>
  <c r="J11" i="89"/>
  <c r="K11" i="89"/>
  <c r="G12" i="89"/>
  <c r="J12" i="89"/>
  <c r="K12" i="89"/>
  <c r="G13" i="89"/>
  <c r="J13" i="89"/>
  <c r="K13" i="89"/>
  <c r="G14" i="89"/>
  <c r="J14" i="89"/>
  <c r="K14" i="89"/>
  <c r="G15" i="89"/>
  <c r="J15" i="89"/>
  <c r="K15" i="89"/>
  <c r="G16" i="89"/>
  <c r="J16" i="89"/>
  <c r="K16" i="89"/>
  <c r="J17" i="89"/>
  <c r="K17" i="89"/>
  <c r="G18" i="89"/>
  <c r="J18" i="89"/>
  <c r="K18" i="89"/>
  <c r="G19" i="89"/>
  <c r="J19" i="89"/>
  <c r="K19" i="89"/>
  <c r="G20" i="89"/>
  <c r="J20" i="89"/>
  <c r="K20" i="89"/>
  <c r="G21" i="89"/>
  <c r="J21" i="89"/>
  <c r="K21" i="89"/>
  <c r="G22" i="89"/>
  <c r="J22" i="89"/>
  <c r="K22" i="89"/>
  <c r="G23" i="89"/>
  <c r="J23" i="89"/>
  <c r="K23" i="89"/>
  <c r="G24" i="89"/>
  <c r="J24" i="89"/>
  <c r="K24" i="89"/>
  <c r="G25" i="89"/>
  <c r="J25" i="89"/>
  <c r="K25" i="89"/>
  <c r="G26" i="89"/>
  <c r="J26" i="89"/>
  <c r="K26" i="89"/>
  <c r="G27" i="89"/>
  <c r="J27" i="89"/>
  <c r="K27" i="89"/>
  <c r="G28" i="89"/>
  <c r="K28" i="89"/>
  <c r="G29" i="89"/>
  <c r="J29" i="89"/>
  <c r="K29" i="89"/>
  <c r="G30" i="89"/>
  <c r="J30" i="89"/>
  <c r="K30" i="89"/>
  <c r="G31" i="89"/>
  <c r="J31" i="89"/>
  <c r="K31" i="89"/>
  <c r="G32" i="89"/>
  <c r="J32" i="89"/>
  <c r="K32" i="89"/>
  <c r="G33" i="89"/>
  <c r="J33" i="89"/>
  <c r="K33" i="89"/>
  <c r="G34" i="89"/>
  <c r="J34" i="89"/>
  <c r="K34" i="89"/>
  <c r="J5" i="78"/>
  <c r="J6" i="78"/>
  <c r="J7" i="78"/>
  <c r="J8" i="78"/>
  <c r="J9" i="78"/>
  <c r="J10" i="78"/>
  <c r="J11" i="78"/>
  <c r="J12" i="78"/>
  <c r="J13" i="78"/>
  <c r="J14" i="78"/>
  <c r="J15" i="78"/>
  <c r="J16" i="78"/>
  <c r="J17" i="78"/>
  <c r="J18" i="78"/>
  <c r="J20" i="78"/>
  <c r="J28" i="78"/>
  <c r="J29" i="78"/>
  <c r="J30" i="78"/>
  <c r="J31" i="78"/>
  <c r="J32" i="78"/>
  <c r="G5" i="72"/>
  <c r="J5" i="72"/>
  <c r="K5" i="72"/>
  <c r="G6" i="72"/>
  <c r="J6" i="72"/>
  <c r="K6" i="72"/>
  <c r="G7" i="72"/>
  <c r="J7" i="72"/>
  <c r="K7" i="72"/>
  <c r="G8" i="72"/>
  <c r="J8" i="72"/>
  <c r="K8" i="72"/>
  <c r="G9" i="72"/>
  <c r="J9" i="72"/>
  <c r="K9" i="72"/>
  <c r="G10" i="72"/>
  <c r="J10" i="72"/>
  <c r="K10" i="72"/>
  <c r="G11" i="72"/>
  <c r="J11" i="72"/>
  <c r="K11" i="72"/>
  <c r="G12" i="72"/>
  <c r="J12" i="72"/>
  <c r="K12" i="72"/>
  <c r="G13" i="72"/>
  <c r="J13" i="72"/>
  <c r="K13" i="72"/>
  <c r="G14" i="72"/>
  <c r="J14" i="72"/>
  <c r="K14" i="72"/>
  <c r="G15" i="72"/>
  <c r="J15" i="72"/>
  <c r="K15" i="72"/>
  <c r="G16" i="72"/>
  <c r="J16" i="72"/>
  <c r="K16" i="72"/>
  <c r="G17" i="72"/>
  <c r="J17" i="72"/>
  <c r="K17" i="72"/>
  <c r="G18" i="72"/>
  <c r="J18" i="72"/>
  <c r="K18" i="72"/>
  <c r="G19" i="72"/>
  <c r="J19" i="72"/>
  <c r="K19" i="72"/>
  <c r="G20" i="72"/>
  <c r="J20" i="72"/>
  <c r="K20" i="72"/>
  <c r="J21" i="72"/>
  <c r="K21" i="72"/>
  <c r="J22" i="72"/>
  <c r="K22" i="72"/>
  <c r="J23" i="72"/>
  <c r="K23" i="72"/>
  <c r="J24" i="72"/>
  <c r="K24" i="72"/>
  <c r="G25" i="72"/>
  <c r="J25" i="72"/>
  <c r="K25" i="72"/>
  <c r="G26" i="72"/>
  <c r="J26" i="72"/>
  <c r="K26" i="72"/>
  <c r="G27" i="72"/>
  <c r="J27" i="72"/>
  <c r="K27" i="72"/>
  <c r="G28" i="72"/>
  <c r="J28" i="72"/>
  <c r="K28" i="72"/>
  <c r="G29" i="72"/>
  <c r="J29" i="72"/>
  <c r="K29" i="72"/>
  <c r="G30" i="72"/>
  <c r="J30" i="72"/>
  <c r="K30" i="72"/>
  <c r="G31" i="72"/>
  <c r="J31" i="72"/>
  <c r="K31" i="72"/>
  <c r="G32" i="72"/>
  <c r="J32" i="72"/>
  <c r="K32" i="72"/>
  <c r="G33" i="72"/>
  <c r="J33" i="72"/>
  <c r="K33" i="72"/>
  <c r="G5" i="82"/>
  <c r="J5" i="82"/>
  <c r="K5" i="82"/>
  <c r="G6" i="82"/>
  <c r="J6" i="82"/>
  <c r="K6" i="82"/>
  <c r="G7" i="82"/>
  <c r="J7" i="82"/>
  <c r="K7" i="82"/>
  <c r="G8" i="82"/>
  <c r="J8" i="82"/>
  <c r="K8" i="82"/>
  <c r="G9" i="82"/>
  <c r="J9" i="82"/>
  <c r="K9" i="82"/>
  <c r="G10" i="82"/>
  <c r="J10" i="82"/>
  <c r="K10" i="82"/>
  <c r="G11" i="82"/>
  <c r="J11" i="82"/>
  <c r="K11" i="82"/>
  <c r="G12" i="82"/>
  <c r="J12" i="82"/>
  <c r="K12" i="82"/>
  <c r="G13" i="82"/>
  <c r="J13" i="82"/>
  <c r="K13" i="82"/>
  <c r="G14" i="82"/>
  <c r="J14" i="82"/>
  <c r="K14" i="82"/>
  <c r="G15" i="82"/>
  <c r="J15" i="82"/>
  <c r="K15" i="82"/>
  <c r="G16" i="82"/>
  <c r="J16" i="82"/>
  <c r="K16" i="82"/>
  <c r="G17" i="82"/>
  <c r="J17" i="82"/>
  <c r="K17" i="82"/>
  <c r="G18" i="82"/>
  <c r="J18" i="82"/>
  <c r="K18" i="82"/>
  <c r="G19" i="82"/>
  <c r="J19" i="82"/>
  <c r="K19" i="82"/>
  <c r="G20" i="82"/>
  <c r="J20" i="82"/>
  <c r="K20" i="82"/>
  <c r="G21" i="82"/>
  <c r="J21" i="82"/>
  <c r="K21" i="82"/>
  <c r="G22" i="82"/>
  <c r="J22" i="82"/>
  <c r="K22" i="82"/>
  <c r="G23" i="82"/>
  <c r="J23" i="82"/>
  <c r="K23" i="82"/>
  <c r="G24" i="82"/>
  <c r="J24" i="82"/>
  <c r="K24" i="82"/>
  <c r="G25" i="82"/>
  <c r="J25" i="82"/>
  <c r="K25" i="82"/>
  <c r="G26" i="82"/>
  <c r="J26" i="82"/>
  <c r="K26" i="82"/>
  <c r="G27" i="82"/>
  <c r="J27" i="82"/>
  <c r="K27" i="82"/>
  <c r="G28" i="82"/>
  <c r="J28" i="82"/>
  <c r="K28" i="82"/>
  <c r="G29" i="82"/>
  <c r="J29" i="82"/>
  <c r="K29" i="82"/>
  <c r="G30" i="82"/>
  <c r="J30" i="82"/>
  <c r="K30" i="82"/>
  <c r="G31" i="82"/>
  <c r="J31" i="82"/>
  <c r="K31" i="82"/>
  <c r="G32" i="82"/>
  <c r="J32" i="82"/>
  <c r="K32" i="82"/>
  <c r="G33" i="82"/>
  <c r="J33" i="82"/>
  <c r="K33" i="82"/>
  <c r="G34" i="82"/>
  <c r="J34" i="82"/>
  <c r="K34" i="82"/>
  <c r="G6" i="47"/>
  <c r="J6" i="47"/>
  <c r="K6" i="47"/>
  <c r="G7" i="47"/>
  <c r="J7" i="47"/>
  <c r="K7" i="47"/>
  <c r="G8" i="47"/>
  <c r="J8" i="47"/>
  <c r="K8" i="47"/>
  <c r="G9" i="47"/>
  <c r="J9" i="47"/>
  <c r="J16" i="47"/>
  <c r="J17" i="47"/>
  <c r="J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35" i="47"/>
  <c r="J35" i="47"/>
  <c r="K35" i="47"/>
  <c r="G36" i="47"/>
  <c r="J36" i="47"/>
  <c r="K36" i="47"/>
  <c r="G5" i="50"/>
  <c r="K5" i="50"/>
  <c r="G6" i="50"/>
  <c r="K6" i="50"/>
  <c r="G7" i="50"/>
  <c r="K7" i="50"/>
  <c r="G8" i="50"/>
  <c r="K8" i="50"/>
  <c r="G9" i="50"/>
  <c r="K9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K16" i="50" s="1"/>
  <c r="G17" i="50"/>
  <c r="K17" i="50" s="1"/>
  <c r="G18" i="50"/>
  <c r="K18" i="50" s="1"/>
  <c r="G19" i="50"/>
  <c r="K19" i="50" s="1"/>
  <c r="G20" i="50"/>
  <c r="K20" i="50" s="1"/>
  <c r="G21" i="50"/>
  <c r="K21" i="50" s="1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G30" i="50"/>
  <c r="K30" i="50"/>
  <c r="G31" i="50"/>
  <c r="K31" i="50"/>
  <c r="G32" i="50"/>
  <c r="K32" i="50"/>
  <c r="G33" i="50"/>
  <c r="K33" i="50"/>
  <c r="H40" i="80"/>
  <c r="J80" i="44"/>
  <c r="J81" i="44"/>
  <c r="J83" i="44"/>
  <c r="J84" i="44"/>
  <c r="J92" i="44"/>
  <c r="J93" i="44"/>
  <c r="J94" i="44"/>
  <c r="J95" i="44"/>
  <c r="K95" i="44" s="1"/>
  <c r="G94" i="44"/>
  <c r="K94" i="44" s="1"/>
  <c r="G93" i="44"/>
  <c r="K93" i="44" s="1"/>
  <c r="G92" i="44"/>
  <c r="K92" i="44" s="1"/>
  <c r="G91" i="44"/>
  <c r="K91" i="44" s="1"/>
  <c r="G84" i="44"/>
  <c r="K84" i="44" s="1"/>
  <c r="G83" i="44"/>
  <c r="K83" i="44" s="1"/>
  <c r="G81" i="44"/>
  <c r="G79" i="44"/>
  <c r="G80" i="44"/>
  <c r="J79" i="44"/>
  <c r="J76" i="44"/>
  <c r="J77" i="44"/>
  <c r="J78" i="44"/>
  <c r="J74" i="44"/>
  <c r="K74" i="44" s="1"/>
  <c r="J75" i="44"/>
  <c r="H43" i="51"/>
  <c r="E35" i="24"/>
  <c r="K15" i="69"/>
  <c r="E50" i="69"/>
  <c r="J31" i="62"/>
  <c r="K31" i="62"/>
  <c r="J30" i="71"/>
  <c r="K30" i="71" s="1"/>
  <c r="L30" i="71" s="1"/>
  <c r="I9" i="56"/>
  <c r="H35" i="89"/>
  <c r="F9" i="56" s="1"/>
  <c r="E35" i="89"/>
  <c r="D9" i="56" s="1"/>
  <c r="J4" i="89"/>
  <c r="G4" i="89"/>
  <c r="K4" i="89" s="1"/>
  <c r="K16" i="80"/>
  <c r="K15" i="75"/>
  <c r="J7" i="33"/>
  <c r="J6" i="33"/>
  <c r="J8" i="26"/>
  <c r="J9" i="26"/>
  <c r="G6" i="83"/>
  <c r="K6" i="22"/>
  <c r="G6" i="71"/>
  <c r="G4" i="35"/>
  <c r="I47" i="56"/>
  <c r="I32" i="56"/>
  <c r="J4" i="57"/>
  <c r="G11" i="40"/>
  <c r="G12" i="40"/>
  <c r="G13" i="40"/>
  <c r="G14" i="40"/>
  <c r="G8" i="62"/>
  <c r="G9" i="7"/>
  <c r="G10" i="7"/>
  <c r="G11" i="7"/>
  <c r="G12" i="7"/>
  <c r="G13" i="7"/>
  <c r="G14" i="7"/>
  <c r="G15" i="7"/>
  <c r="G16" i="7"/>
  <c r="G17" i="7"/>
  <c r="G18" i="7"/>
  <c r="K22" i="9"/>
  <c r="K10" i="9"/>
  <c r="K11" i="9"/>
  <c r="K9" i="9"/>
  <c r="H56" i="85"/>
  <c r="F34" i="56" s="1"/>
  <c r="E56" i="85"/>
  <c r="D34" i="56" s="1"/>
  <c r="J55" i="85"/>
  <c r="G55" i="85"/>
  <c r="K55" i="85" s="1"/>
  <c r="J54" i="85"/>
  <c r="G54" i="85"/>
  <c r="K54" i="85" s="1"/>
  <c r="J53" i="85"/>
  <c r="G53" i="85"/>
  <c r="K53" i="85" s="1"/>
  <c r="J52" i="85"/>
  <c r="G52" i="85"/>
  <c r="K52" i="85" s="1"/>
  <c r="J51" i="85"/>
  <c r="G51" i="85"/>
  <c r="K51" i="85" s="1"/>
  <c r="J50" i="85"/>
  <c r="G50" i="85"/>
  <c r="K50" i="85" s="1"/>
  <c r="J49" i="85"/>
  <c r="G49" i="85"/>
  <c r="K49" i="85" s="1"/>
  <c r="J48" i="85"/>
  <c r="G48" i="85"/>
  <c r="K48" i="85" s="1"/>
  <c r="J47" i="85"/>
  <c r="G47" i="85"/>
  <c r="K47" i="85" s="1"/>
  <c r="J46" i="85"/>
  <c r="G46" i="85"/>
  <c r="K46" i="85" s="1"/>
  <c r="J45" i="85"/>
  <c r="G45" i="85"/>
  <c r="K45" i="85" s="1"/>
  <c r="J44" i="85"/>
  <c r="G44" i="85"/>
  <c r="K44" i="85" s="1"/>
  <c r="J43" i="85"/>
  <c r="G43" i="85"/>
  <c r="K43" i="85" s="1"/>
  <c r="J42" i="85"/>
  <c r="G42" i="85"/>
  <c r="K42" i="85" s="1"/>
  <c r="J41" i="85"/>
  <c r="G41" i="85"/>
  <c r="K41" i="85" s="1"/>
  <c r="J40" i="85"/>
  <c r="G40" i="85"/>
  <c r="K40" i="85" s="1"/>
  <c r="J39" i="85"/>
  <c r="G39" i="85"/>
  <c r="K39" i="85" s="1"/>
  <c r="J38" i="85"/>
  <c r="G38" i="85"/>
  <c r="K38" i="85" s="1"/>
  <c r="J37" i="85"/>
  <c r="G37" i="85"/>
  <c r="K37" i="85" s="1"/>
  <c r="L56" i="85"/>
  <c r="J34" i="56" s="1"/>
  <c r="J4" i="85"/>
  <c r="J56" i="85" s="1"/>
  <c r="G34" i="56" s="1"/>
  <c r="G4" i="85"/>
  <c r="I34" i="56"/>
  <c r="M3" i="14"/>
  <c r="G4" i="22"/>
  <c r="G5" i="63"/>
  <c r="J5" i="63"/>
  <c r="K5" i="63"/>
  <c r="G5" i="52"/>
  <c r="J5" i="52"/>
  <c r="K5" i="52"/>
  <c r="G6" i="52"/>
  <c r="J6" i="52"/>
  <c r="K6" i="52"/>
  <c r="G7" i="52"/>
  <c r="J7" i="52"/>
  <c r="K7" i="52"/>
  <c r="G21" i="52"/>
  <c r="J21" i="52"/>
  <c r="G22" i="52"/>
  <c r="J22" i="52"/>
  <c r="G23" i="52"/>
  <c r="J23" i="52"/>
  <c r="G24" i="52"/>
  <c r="J24" i="52"/>
  <c r="G6" i="62"/>
  <c r="J6" i="62"/>
  <c r="K6" i="62"/>
  <c r="G7" i="62"/>
  <c r="J7" i="62"/>
  <c r="K7" i="62"/>
  <c r="J8" i="62"/>
  <c r="K8" i="62"/>
  <c r="J9" i="62"/>
  <c r="K9" i="62"/>
  <c r="J10" i="62"/>
  <c r="K10" i="62"/>
  <c r="J11" i="62"/>
  <c r="K11" i="62"/>
  <c r="J12" i="62"/>
  <c r="K12" i="62"/>
  <c r="J13" i="62"/>
  <c r="K13" i="62"/>
  <c r="J14" i="62"/>
  <c r="K14" i="62"/>
  <c r="J15" i="62"/>
  <c r="K15" i="62"/>
  <c r="J17" i="62"/>
  <c r="K17" i="62"/>
  <c r="J18" i="62"/>
  <c r="K18" i="62"/>
  <c r="J19" i="62"/>
  <c r="K19" i="62"/>
  <c r="J20" i="62"/>
  <c r="K20" i="62"/>
  <c r="J21" i="62"/>
  <c r="K21" i="62"/>
  <c r="J22" i="62"/>
  <c r="K22" i="62"/>
  <c r="J23" i="62"/>
  <c r="K23" i="62"/>
  <c r="J24" i="62"/>
  <c r="K24" i="62"/>
  <c r="J25" i="62"/>
  <c r="K25" i="62"/>
  <c r="J26" i="62"/>
  <c r="K26" i="62"/>
  <c r="J27" i="62"/>
  <c r="K27" i="62"/>
  <c r="J28" i="62"/>
  <c r="K28" i="62"/>
  <c r="J29" i="62"/>
  <c r="K29" i="62"/>
  <c r="J30" i="62"/>
  <c r="K30" i="62"/>
  <c r="J32" i="62"/>
  <c r="K32" i="62"/>
  <c r="J33" i="62"/>
  <c r="K33" i="62"/>
  <c r="J34" i="62"/>
  <c r="K34" i="62"/>
  <c r="J35" i="62"/>
  <c r="K35" i="62"/>
  <c r="J36" i="62"/>
  <c r="K36" i="62"/>
  <c r="G33" i="58"/>
  <c r="J5" i="47"/>
  <c r="J33" i="78"/>
  <c r="H37" i="76"/>
  <c r="H35" i="24"/>
  <c r="J29" i="35"/>
  <c r="AM5" i="84"/>
  <c r="AM6" i="84"/>
  <c r="AM7" i="84"/>
  <c r="AM8" i="84"/>
  <c r="AM9" i="84"/>
  <c r="AM10" i="84"/>
  <c r="AM11" i="84"/>
  <c r="AM12" i="84"/>
  <c r="AM13" i="84"/>
  <c r="AM14" i="84"/>
  <c r="AM15" i="84"/>
  <c r="AM4" i="84"/>
  <c r="G5" i="78"/>
  <c r="I4" i="56"/>
  <c r="I44" i="56"/>
  <c r="L34" i="83"/>
  <c r="J44" i="56" s="1"/>
  <c r="H34" i="83"/>
  <c r="F44" i="56" s="1"/>
  <c r="E34" i="83"/>
  <c r="D44" i="56" s="1"/>
  <c r="J33" i="83"/>
  <c r="G33" i="83"/>
  <c r="K33" i="83" s="1"/>
  <c r="J32" i="83"/>
  <c r="G32" i="83"/>
  <c r="K32" i="83" s="1"/>
  <c r="J31" i="83"/>
  <c r="G31" i="83"/>
  <c r="K31" i="83" s="1"/>
  <c r="J30" i="83"/>
  <c r="G30" i="83"/>
  <c r="K30" i="83" s="1"/>
  <c r="J29" i="83"/>
  <c r="G29" i="83"/>
  <c r="K29" i="83" s="1"/>
  <c r="J28" i="83"/>
  <c r="G28" i="83"/>
  <c r="K28" i="83" s="1"/>
  <c r="J27" i="83"/>
  <c r="G27" i="83"/>
  <c r="K27" i="83" s="1"/>
  <c r="J26" i="83"/>
  <c r="G26" i="83"/>
  <c r="K26" i="83" s="1"/>
  <c r="J25" i="83"/>
  <c r="G25" i="83"/>
  <c r="K25" i="83" s="1"/>
  <c r="J24" i="83"/>
  <c r="G24" i="83"/>
  <c r="K24" i="83" s="1"/>
  <c r="J23" i="83"/>
  <c r="G23" i="83"/>
  <c r="K23" i="83" s="1"/>
  <c r="J22" i="83"/>
  <c r="G22" i="83"/>
  <c r="K22" i="83" s="1"/>
  <c r="J21" i="83"/>
  <c r="G21" i="83"/>
  <c r="K21" i="83" s="1"/>
  <c r="J20" i="83"/>
  <c r="G20" i="83"/>
  <c r="K20" i="83" s="1"/>
  <c r="J19" i="83"/>
  <c r="G19" i="83"/>
  <c r="K19" i="83" s="1"/>
  <c r="J18" i="83"/>
  <c r="G18" i="83"/>
  <c r="K18" i="83" s="1"/>
  <c r="J17" i="83"/>
  <c r="G17" i="83"/>
  <c r="K17" i="83" s="1"/>
  <c r="J16" i="83"/>
  <c r="G16" i="83"/>
  <c r="K16" i="83" s="1"/>
  <c r="J15" i="83"/>
  <c r="G15" i="83"/>
  <c r="K15" i="83" s="1"/>
  <c r="J14" i="83"/>
  <c r="G14" i="83"/>
  <c r="K14" i="83" s="1"/>
  <c r="J13" i="83"/>
  <c r="G13" i="83"/>
  <c r="K13" i="83" s="1"/>
  <c r="J12" i="83"/>
  <c r="G12" i="83"/>
  <c r="K12" i="83" s="1"/>
  <c r="J11" i="83"/>
  <c r="G11" i="83"/>
  <c r="K11" i="83" s="1"/>
  <c r="J10" i="83"/>
  <c r="G10" i="83"/>
  <c r="K10" i="83" s="1"/>
  <c r="J9" i="83"/>
  <c r="G9" i="83"/>
  <c r="K9" i="83" s="1"/>
  <c r="J8" i="83"/>
  <c r="G8" i="83"/>
  <c r="K8" i="83" s="1"/>
  <c r="J7" i="83"/>
  <c r="K7" i="83"/>
  <c r="J6" i="83"/>
  <c r="K6" i="83" s="1"/>
  <c r="J5" i="83"/>
  <c r="G5" i="83"/>
  <c r="K5" i="83" s="1"/>
  <c r="J4" i="83"/>
  <c r="J34" i="83" s="1"/>
  <c r="G44" i="56" s="1"/>
  <c r="G4" i="83"/>
  <c r="L35" i="82"/>
  <c r="J4" i="56" s="1"/>
  <c r="H35" i="82"/>
  <c r="F4" i="56" s="1"/>
  <c r="E35" i="82"/>
  <c r="D4" i="56" s="1"/>
  <c r="J4" i="82"/>
  <c r="J35" i="82" s="1"/>
  <c r="G4" i="56" s="1"/>
  <c r="G4" i="82"/>
  <c r="J13" i="25"/>
  <c r="J14" i="25"/>
  <c r="J16" i="25"/>
  <c r="J17" i="25"/>
  <c r="M57" i="81"/>
  <c r="H46" i="81"/>
  <c r="J45" i="81"/>
  <c r="G45" i="81"/>
  <c r="K45" i="81" s="1"/>
  <c r="J4" i="81"/>
  <c r="J46" i="81" s="1"/>
  <c r="G4" i="81"/>
  <c r="I26" i="56"/>
  <c r="I40" i="56"/>
  <c r="L40" i="80"/>
  <c r="J26" i="56" s="1"/>
  <c r="F26" i="56"/>
  <c r="E40" i="80"/>
  <c r="D26" i="56" s="1"/>
  <c r="J39" i="80"/>
  <c r="G39" i="80"/>
  <c r="K39" i="80" s="1"/>
  <c r="K38" i="80"/>
  <c r="K37" i="80"/>
  <c r="K36" i="80"/>
  <c r="K35" i="80"/>
  <c r="K34" i="80"/>
  <c r="K33" i="80"/>
  <c r="K32" i="80"/>
  <c r="K31" i="80"/>
  <c r="K30" i="80"/>
  <c r="K29" i="80"/>
  <c r="K28" i="80"/>
  <c r="K27" i="80"/>
  <c r="K26" i="80"/>
  <c r="K25" i="80"/>
  <c r="K24" i="80"/>
  <c r="K22" i="80"/>
  <c r="K21" i="80"/>
  <c r="K20" i="80"/>
  <c r="K19" i="80"/>
  <c r="K18" i="80"/>
  <c r="K15" i="80"/>
  <c r="K14" i="80"/>
  <c r="K13" i="80"/>
  <c r="K12" i="80"/>
  <c r="K10" i="80"/>
  <c r="K9" i="80"/>
  <c r="K8" i="80"/>
  <c r="K7" i="80"/>
  <c r="K6" i="80"/>
  <c r="K5" i="80"/>
  <c r="J40" i="80"/>
  <c r="G26" i="56" s="1"/>
  <c r="L35" i="79"/>
  <c r="J40" i="56" s="1"/>
  <c r="H35" i="79"/>
  <c r="F40" i="56" s="1"/>
  <c r="E35" i="79"/>
  <c r="D40" i="56" s="1"/>
  <c r="K34" i="79"/>
  <c r="K33" i="79"/>
  <c r="K32" i="79"/>
  <c r="K31" i="79"/>
  <c r="K30" i="79"/>
  <c r="K29" i="79"/>
  <c r="K28" i="79"/>
  <c r="K27" i="79"/>
  <c r="K26" i="79"/>
  <c r="K25" i="79"/>
  <c r="K24" i="79"/>
  <c r="I38" i="79" s="1"/>
  <c r="K23" i="79"/>
  <c r="K22" i="79"/>
  <c r="K21" i="79"/>
  <c r="K20" i="79"/>
  <c r="K19" i="79"/>
  <c r="K18" i="79"/>
  <c r="K17" i="79"/>
  <c r="K16" i="79"/>
  <c r="K15" i="79"/>
  <c r="K14" i="79"/>
  <c r="K13" i="79"/>
  <c r="K12" i="79"/>
  <c r="K11" i="79"/>
  <c r="K10" i="79"/>
  <c r="K9" i="79"/>
  <c r="K8" i="79"/>
  <c r="K7" i="79"/>
  <c r="K6" i="79"/>
  <c r="K5" i="79"/>
  <c r="J4" i="79"/>
  <c r="J35" i="79" s="1"/>
  <c r="G40" i="56" s="1"/>
  <c r="G4" i="79"/>
  <c r="J7" i="25"/>
  <c r="J8" i="25"/>
  <c r="J9" i="25"/>
  <c r="J11" i="25"/>
  <c r="J12" i="25"/>
  <c r="J18" i="25"/>
  <c r="J19" i="25"/>
  <c r="J20" i="25"/>
  <c r="J21" i="25"/>
  <c r="J23" i="25"/>
  <c r="J24" i="25"/>
  <c r="J25" i="25"/>
  <c r="J26" i="25"/>
  <c r="J27" i="25"/>
  <c r="J28" i="25"/>
  <c r="J29" i="25"/>
  <c r="J30" i="25"/>
  <c r="J31" i="25"/>
  <c r="J32" i="25"/>
  <c r="J33" i="25"/>
  <c r="J35" i="25"/>
  <c r="J36" i="25"/>
  <c r="J38" i="25"/>
  <c r="J39" i="25"/>
  <c r="J40" i="25"/>
  <c r="K5" i="57"/>
  <c r="K6" i="57"/>
  <c r="K7" i="57"/>
  <c r="K8" i="57"/>
  <c r="K9" i="57"/>
  <c r="K10" i="57"/>
  <c r="K11" i="57"/>
  <c r="K12" i="57"/>
  <c r="K13" i="57"/>
  <c r="K14" i="57"/>
  <c r="K15" i="57"/>
  <c r="K16" i="57"/>
  <c r="K17" i="57"/>
  <c r="K18" i="57"/>
  <c r="K19" i="57"/>
  <c r="K20" i="57"/>
  <c r="K21" i="57"/>
  <c r="K22" i="57"/>
  <c r="K23" i="57"/>
  <c r="K24" i="57"/>
  <c r="K25" i="57"/>
  <c r="K26" i="57"/>
  <c r="K27" i="57"/>
  <c r="K28" i="57"/>
  <c r="K29" i="57"/>
  <c r="K30" i="57"/>
  <c r="K31" i="57"/>
  <c r="K32" i="57"/>
  <c r="K33" i="57"/>
  <c r="K34" i="57"/>
  <c r="G4" i="41"/>
  <c r="J5" i="60"/>
  <c r="J6" i="60"/>
  <c r="J7" i="60"/>
  <c r="J8" i="60"/>
  <c r="J9" i="60"/>
  <c r="J10" i="60"/>
  <c r="J11" i="60"/>
  <c r="J12" i="60"/>
  <c r="J13" i="60"/>
  <c r="J14" i="60"/>
  <c r="J15" i="60"/>
  <c r="J16" i="60"/>
  <c r="K16" i="60" s="1"/>
  <c r="J17" i="60"/>
  <c r="J18" i="60"/>
  <c r="J19" i="60"/>
  <c r="J20" i="60"/>
  <c r="J21" i="60"/>
  <c r="J22" i="60"/>
  <c r="J23" i="60"/>
  <c r="J24" i="60"/>
  <c r="J25" i="60"/>
  <c r="J26" i="60"/>
  <c r="J27" i="60"/>
  <c r="J28" i="60"/>
  <c r="J29" i="60"/>
  <c r="J30" i="60"/>
  <c r="J31" i="60"/>
  <c r="J32" i="60"/>
  <c r="J33" i="60"/>
  <c r="J34" i="60"/>
  <c r="K5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J5" i="51"/>
  <c r="K5" i="51"/>
  <c r="J6" i="51"/>
  <c r="K6" i="51"/>
  <c r="J7" i="51"/>
  <c r="K7" i="51"/>
  <c r="J8" i="51"/>
  <c r="K8" i="51"/>
  <c r="J9" i="51"/>
  <c r="K9" i="51"/>
  <c r="J10" i="51"/>
  <c r="K10" i="51"/>
  <c r="J11" i="51"/>
  <c r="K11" i="51"/>
  <c r="J12" i="51"/>
  <c r="K12" i="51"/>
  <c r="J13" i="51"/>
  <c r="K13" i="51"/>
  <c r="J14" i="51"/>
  <c r="K14" i="51"/>
  <c r="J15" i="51"/>
  <c r="K15" i="51"/>
  <c r="J16" i="51"/>
  <c r="K16" i="51"/>
  <c r="J17" i="51"/>
  <c r="K17" i="51"/>
  <c r="J18" i="51"/>
  <c r="K18" i="51"/>
  <c r="J19" i="51"/>
  <c r="K19" i="51"/>
  <c r="J20" i="51"/>
  <c r="K20" i="51"/>
  <c r="J21" i="51"/>
  <c r="K21" i="51"/>
  <c r="J22" i="51"/>
  <c r="K22" i="51"/>
  <c r="J23" i="51"/>
  <c r="K23" i="51"/>
  <c r="J24" i="51"/>
  <c r="K24" i="51"/>
  <c r="J25" i="51"/>
  <c r="K25" i="51"/>
  <c r="J26" i="51"/>
  <c r="K26" i="51"/>
  <c r="J27" i="51"/>
  <c r="K27" i="51"/>
  <c r="J28" i="51"/>
  <c r="K28" i="51"/>
  <c r="J29" i="51"/>
  <c r="K29" i="51"/>
  <c r="J30" i="51"/>
  <c r="K30" i="51"/>
  <c r="J31" i="51"/>
  <c r="K31" i="51"/>
  <c r="J32" i="51"/>
  <c r="K32" i="51"/>
  <c r="J33" i="51"/>
  <c r="K33" i="51"/>
  <c r="J34" i="51"/>
  <c r="K34" i="51"/>
  <c r="J35" i="51"/>
  <c r="K35" i="51"/>
  <c r="J36" i="51"/>
  <c r="K36" i="51"/>
  <c r="J37" i="51"/>
  <c r="K37" i="51"/>
  <c r="J38" i="51"/>
  <c r="K38" i="51"/>
  <c r="G39" i="51"/>
  <c r="J39" i="51"/>
  <c r="K39" i="51"/>
  <c r="J40" i="51"/>
  <c r="K40" i="51"/>
  <c r="K5" i="69"/>
  <c r="K6" i="69"/>
  <c r="K7" i="69"/>
  <c r="K8" i="69"/>
  <c r="K9" i="69"/>
  <c r="K10" i="69"/>
  <c r="K11" i="69"/>
  <c r="K12" i="69"/>
  <c r="K13" i="69"/>
  <c r="K14" i="69"/>
  <c r="K16" i="69"/>
  <c r="K17" i="69"/>
  <c r="K18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G35" i="69"/>
  <c r="J35" i="69"/>
  <c r="K35" i="69"/>
  <c r="G36" i="69"/>
  <c r="J36" i="69"/>
  <c r="K36" i="69"/>
  <c r="G37" i="69"/>
  <c r="J37" i="69"/>
  <c r="K37" i="69"/>
  <c r="G38" i="69"/>
  <c r="J38" i="69"/>
  <c r="K38" i="69"/>
  <c r="G39" i="69"/>
  <c r="J39" i="69"/>
  <c r="K39" i="69"/>
  <c r="G40" i="69"/>
  <c r="J40" i="69"/>
  <c r="K40" i="69"/>
  <c r="G41" i="69"/>
  <c r="J41" i="69"/>
  <c r="K41" i="69"/>
  <c r="G4" i="26"/>
  <c r="J37" i="62"/>
  <c r="G34" i="10"/>
  <c r="J34" i="10"/>
  <c r="G4" i="75"/>
  <c r="J35" i="73"/>
  <c r="G35" i="73"/>
  <c r="K35" i="73" s="1"/>
  <c r="L35" i="73" s="1"/>
  <c r="K34" i="24"/>
  <c r="K34" i="60"/>
  <c r="G34" i="63"/>
  <c r="K34" i="63" s="1"/>
  <c r="E35" i="74"/>
  <c r="K33" i="74"/>
  <c r="L33" i="74" s="1"/>
  <c r="G34" i="74"/>
  <c r="K34" i="74" s="1"/>
  <c r="L34" i="74" s="1"/>
  <c r="I7" i="56"/>
  <c r="G32" i="78"/>
  <c r="K32" i="78"/>
  <c r="G33" i="78"/>
  <c r="K33" i="78"/>
  <c r="G34" i="78"/>
  <c r="J34" i="78"/>
  <c r="K34" i="78"/>
  <c r="H35" i="78"/>
  <c r="F7" i="56" s="1"/>
  <c r="E35" i="78"/>
  <c r="D7" i="56" s="1"/>
  <c r="G31" i="78"/>
  <c r="K31" i="78" s="1"/>
  <c r="G30" i="78"/>
  <c r="K30" i="78" s="1"/>
  <c r="G29" i="78"/>
  <c r="K29" i="78" s="1"/>
  <c r="G28" i="78"/>
  <c r="K28" i="78" s="1"/>
  <c r="G20" i="78"/>
  <c r="K20" i="78" s="1"/>
  <c r="G18" i="78"/>
  <c r="K18" i="78" s="1"/>
  <c r="G17" i="78"/>
  <c r="K17" i="78" s="1"/>
  <c r="G16" i="78"/>
  <c r="K16" i="78" s="1"/>
  <c r="G15" i="78"/>
  <c r="K15" i="78" s="1"/>
  <c r="L35" i="78" s="1"/>
  <c r="J7" i="56" s="1"/>
  <c r="G14" i="78"/>
  <c r="K14" i="78" s="1"/>
  <c r="G13" i="78"/>
  <c r="K13" i="78" s="1"/>
  <c r="G12" i="78"/>
  <c r="K12" i="78" s="1"/>
  <c r="G11" i="78"/>
  <c r="K11" i="78" s="1"/>
  <c r="G10" i="78"/>
  <c r="K10" i="78" s="1"/>
  <c r="G9" i="78"/>
  <c r="K9" i="78" s="1"/>
  <c r="G8" i="78"/>
  <c r="K8" i="78" s="1"/>
  <c r="G7" i="78"/>
  <c r="K7" i="78" s="1"/>
  <c r="G6" i="78"/>
  <c r="K6" i="78" s="1"/>
  <c r="K5" i="78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G18" i="58"/>
  <c r="G19" i="58"/>
  <c r="G20" i="58"/>
  <c r="G21" i="58"/>
  <c r="G22" i="58"/>
  <c r="G23" i="58"/>
  <c r="G24" i="58"/>
  <c r="G25" i="58"/>
  <c r="G26" i="58"/>
  <c r="G27" i="58"/>
  <c r="K33" i="14"/>
  <c r="Q26" i="14"/>
  <c r="J6" i="14"/>
  <c r="K27" i="14"/>
  <c r="I41" i="56"/>
  <c r="L37" i="76"/>
  <c r="J41" i="56" s="1"/>
  <c r="F41" i="56"/>
  <c r="E37" i="76"/>
  <c r="D41" i="56" s="1"/>
  <c r="K35" i="76"/>
  <c r="K34" i="76"/>
  <c r="K33" i="76"/>
  <c r="K32" i="76"/>
  <c r="K31" i="76"/>
  <c r="K30" i="76"/>
  <c r="K29" i="76"/>
  <c r="K28" i="76"/>
  <c r="K27" i="76"/>
  <c r="K26" i="76"/>
  <c r="K25" i="76"/>
  <c r="I40" i="76" s="1"/>
  <c r="K21" i="76"/>
  <c r="K20" i="76"/>
  <c r="K19" i="76"/>
  <c r="K18" i="76"/>
  <c r="K17" i="76"/>
  <c r="K16" i="76"/>
  <c r="K15" i="76"/>
  <c r="K14" i="76"/>
  <c r="K13" i="76"/>
  <c r="K12" i="76"/>
  <c r="K11" i="76"/>
  <c r="K10" i="76"/>
  <c r="K9" i="76"/>
  <c r="K8" i="76"/>
  <c r="K7" i="76"/>
  <c r="K6" i="76"/>
  <c r="J4" i="76"/>
  <c r="G21" i="7"/>
  <c r="I39" i="56"/>
  <c r="E35" i="57"/>
  <c r="L35" i="9"/>
  <c r="E35" i="60"/>
  <c r="G12" i="58"/>
  <c r="G13" i="58"/>
  <c r="G14" i="58"/>
  <c r="G15" i="58"/>
  <c r="G16" i="58"/>
  <c r="G17" i="58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G9" i="58"/>
  <c r="G10" i="58"/>
  <c r="G11" i="58"/>
  <c r="H42" i="75"/>
  <c r="F39" i="56" s="1"/>
  <c r="E42" i="75"/>
  <c r="D39" i="56" s="1"/>
  <c r="J40" i="75"/>
  <c r="G40" i="75"/>
  <c r="K40" i="75" s="1"/>
  <c r="J39" i="75"/>
  <c r="G39" i="75"/>
  <c r="K39" i="75" s="1"/>
  <c r="J38" i="75"/>
  <c r="G38" i="75"/>
  <c r="K38" i="75" s="1"/>
  <c r="J37" i="75"/>
  <c r="G37" i="75"/>
  <c r="K37" i="75" s="1"/>
  <c r="J36" i="75"/>
  <c r="G36" i="75"/>
  <c r="K36" i="75" s="1"/>
  <c r="J35" i="75"/>
  <c r="G35" i="75"/>
  <c r="K35" i="75" s="1"/>
  <c r="K34" i="75"/>
  <c r="M34" i="75" s="1"/>
  <c r="M35" i="75" s="1"/>
  <c r="M36" i="75" s="1"/>
  <c r="M37" i="75" s="1"/>
  <c r="M38" i="75" s="1"/>
  <c r="M39" i="75" s="1"/>
  <c r="M40" i="75" s="1"/>
  <c r="K33" i="75"/>
  <c r="K32" i="75"/>
  <c r="K30" i="75"/>
  <c r="K29" i="75"/>
  <c r="I45" i="75" s="1"/>
  <c r="K28" i="75"/>
  <c r="K27" i="75"/>
  <c r="K24" i="75"/>
  <c r="K22" i="75"/>
  <c r="K21" i="75"/>
  <c r="K20" i="75"/>
  <c r="K19" i="75"/>
  <c r="K18" i="75"/>
  <c r="K17" i="75"/>
  <c r="K16" i="75"/>
  <c r="K14" i="75"/>
  <c r="K13" i="75"/>
  <c r="K12" i="75"/>
  <c r="K11" i="75"/>
  <c r="K10" i="75"/>
  <c r="K9" i="75"/>
  <c r="K8" i="75"/>
  <c r="K7" i="75"/>
  <c r="K6" i="75"/>
  <c r="J4" i="75"/>
  <c r="I24" i="56"/>
  <c r="J4" i="25"/>
  <c r="K4" i="68"/>
  <c r="E55" i="22"/>
  <c r="I22" i="56"/>
  <c r="H35" i="74"/>
  <c r="F24" i="56" s="1"/>
  <c r="D24" i="56"/>
  <c r="K29" i="74"/>
  <c r="L29" i="74" s="1"/>
  <c r="K28" i="74"/>
  <c r="L28" i="74" s="1"/>
  <c r="K27" i="74"/>
  <c r="L27" i="74" s="1"/>
  <c r="K26" i="74"/>
  <c r="L26" i="74" s="1"/>
  <c r="K25" i="74"/>
  <c r="L25" i="74" s="1"/>
  <c r="K24" i="74"/>
  <c r="L24" i="74" s="1"/>
  <c r="K23" i="74"/>
  <c r="L23" i="74" s="1"/>
  <c r="K22" i="74"/>
  <c r="L22" i="74" s="1"/>
  <c r="K21" i="74"/>
  <c r="L21" i="74" s="1"/>
  <c r="K20" i="74"/>
  <c r="L20" i="74" s="1"/>
  <c r="K19" i="74"/>
  <c r="L19" i="74" s="1"/>
  <c r="K18" i="74"/>
  <c r="L18" i="74" s="1"/>
  <c r="K17" i="74"/>
  <c r="L17" i="74" s="1"/>
  <c r="K16" i="74"/>
  <c r="L16" i="74" s="1"/>
  <c r="K15" i="74"/>
  <c r="L15" i="74" s="1"/>
  <c r="K14" i="74"/>
  <c r="L14" i="74" s="1"/>
  <c r="K13" i="74"/>
  <c r="L13" i="74" s="1"/>
  <c r="K12" i="74"/>
  <c r="L12" i="74" s="1"/>
  <c r="K11" i="74"/>
  <c r="L11" i="74" s="1"/>
  <c r="K10" i="74"/>
  <c r="L10" i="74" s="1"/>
  <c r="K9" i="74"/>
  <c r="L9" i="74" s="1"/>
  <c r="K8" i="74"/>
  <c r="L8" i="74" s="1"/>
  <c r="K7" i="74"/>
  <c r="L7" i="74" s="1"/>
  <c r="K6" i="74"/>
  <c r="L6" i="74" s="1"/>
  <c r="J5" i="74"/>
  <c r="G5" i="74"/>
  <c r="K5" i="74" s="1"/>
  <c r="L5" i="74" s="1"/>
  <c r="J4" i="74"/>
  <c r="J35" i="74" s="1"/>
  <c r="G24" i="56" s="1"/>
  <c r="G4" i="74"/>
  <c r="M3" i="74"/>
  <c r="H36" i="73"/>
  <c r="F22" i="56" s="1"/>
  <c r="E36" i="73"/>
  <c r="D22" i="56" s="1"/>
  <c r="K34" i="73"/>
  <c r="L34" i="73" s="1"/>
  <c r="K33" i="73"/>
  <c r="L33" i="73" s="1"/>
  <c r="K32" i="73"/>
  <c r="L32" i="73" s="1"/>
  <c r="K31" i="73"/>
  <c r="L31" i="73" s="1"/>
  <c r="K30" i="73"/>
  <c r="L30" i="73" s="1"/>
  <c r="K29" i="73"/>
  <c r="L29" i="73" s="1"/>
  <c r="K28" i="73"/>
  <c r="L28" i="73" s="1"/>
  <c r="K27" i="73"/>
  <c r="L27" i="73" s="1"/>
  <c r="K26" i="73"/>
  <c r="L26" i="73" s="1"/>
  <c r="K25" i="73"/>
  <c r="L25" i="73" s="1"/>
  <c r="K24" i="73"/>
  <c r="L24" i="73" s="1"/>
  <c r="K22" i="73"/>
  <c r="L22" i="73" s="1"/>
  <c r="K21" i="73"/>
  <c r="L21" i="73" s="1"/>
  <c r="K20" i="73"/>
  <c r="L20" i="73" s="1"/>
  <c r="K19" i="73"/>
  <c r="L19" i="73" s="1"/>
  <c r="K18" i="73"/>
  <c r="L18" i="73" s="1"/>
  <c r="K17" i="73"/>
  <c r="L17" i="73" s="1"/>
  <c r="K16" i="73"/>
  <c r="L16" i="73" s="1"/>
  <c r="K15" i="73"/>
  <c r="L15" i="73" s="1"/>
  <c r="K14" i="73"/>
  <c r="L14" i="73" s="1"/>
  <c r="K13" i="73"/>
  <c r="L13" i="73" s="1"/>
  <c r="K12" i="73"/>
  <c r="L12" i="73" s="1"/>
  <c r="K11" i="73"/>
  <c r="L11" i="73" s="1"/>
  <c r="K10" i="73"/>
  <c r="L10" i="73" s="1"/>
  <c r="K9" i="73"/>
  <c r="L9" i="73" s="1"/>
  <c r="K8" i="73"/>
  <c r="L8" i="73" s="1"/>
  <c r="K7" i="73"/>
  <c r="L7" i="73" s="1"/>
  <c r="K6" i="73"/>
  <c r="L6" i="73" s="1"/>
  <c r="K5" i="73"/>
  <c r="L5" i="73" s="1"/>
  <c r="J4" i="73"/>
  <c r="J36" i="73" s="1"/>
  <c r="G22" i="56" s="1"/>
  <c r="G4" i="73"/>
  <c r="H35" i="9"/>
  <c r="P18" i="71"/>
  <c r="O13" i="71"/>
  <c r="Q13" i="71" s="1"/>
  <c r="I12" i="56"/>
  <c r="I6" i="56"/>
  <c r="G12" i="56"/>
  <c r="L35" i="72"/>
  <c r="J6" i="56" s="1"/>
  <c r="H35" i="72"/>
  <c r="F6" i="56" s="1"/>
  <c r="E35" i="72"/>
  <c r="D6" i="56" s="1"/>
  <c r="J34" i="72"/>
  <c r="G34" i="72"/>
  <c r="K34" i="72" s="1"/>
  <c r="J4" i="72"/>
  <c r="J35" i="72" s="1"/>
  <c r="G6" i="56" s="1"/>
  <c r="G4" i="72"/>
  <c r="I21" i="56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J10" i="7"/>
  <c r="K10" i="7"/>
  <c r="J11" i="7"/>
  <c r="J12" i="7"/>
  <c r="K12" i="7"/>
  <c r="J13" i="7"/>
  <c r="K13" i="7"/>
  <c r="J14" i="7"/>
  <c r="K14" i="7"/>
  <c r="J15" i="7"/>
  <c r="K15" i="7"/>
  <c r="J16" i="7"/>
  <c r="K16" i="7"/>
  <c r="J17" i="7"/>
  <c r="K17" i="7"/>
  <c r="H37" i="71"/>
  <c r="H43" i="35"/>
  <c r="I13" i="56"/>
  <c r="F13" i="56"/>
  <c r="E37" i="71"/>
  <c r="D13" i="56" s="1"/>
  <c r="J36" i="71"/>
  <c r="G36" i="71"/>
  <c r="K36" i="71" s="1"/>
  <c r="L36" i="71" s="1"/>
  <c r="J35" i="71"/>
  <c r="G35" i="71"/>
  <c r="K35" i="71" s="1"/>
  <c r="L35" i="71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29" i="71"/>
  <c r="G29" i="71"/>
  <c r="K29" i="71" s="1"/>
  <c r="L29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K6" i="71"/>
  <c r="L6" i="71" s="1"/>
  <c r="J4" i="71"/>
  <c r="J37" i="71" s="1"/>
  <c r="G13" i="56" s="1"/>
  <c r="G4" i="71"/>
  <c r="H55" i="22"/>
  <c r="I51" i="56"/>
  <c r="H46" i="26"/>
  <c r="H50" i="69"/>
  <c r="F51" i="56" s="1"/>
  <c r="J49" i="69"/>
  <c r="G49" i="69"/>
  <c r="K49" i="69" s="1"/>
  <c r="L49" i="69" s="1"/>
  <c r="J48" i="69"/>
  <c r="G48" i="69"/>
  <c r="K48" i="69" s="1"/>
  <c r="L48" i="69" s="1"/>
  <c r="L50" i="69" s="1"/>
  <c r="J51" i="56" s="1"/>
  <c r="J47" i="69"/>
  <c r="G47" i="69"/>
  <c r="K47" i="69" s="1"/>
  <c r="J46" i="69"/>
  <c r="G46" i="69"/>
  <c r="K46" i="69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" i="69"/>
  <c r="J50" i="69" s="1"/>
  <c r="G51" i="56" s="1"/>
  <c r="G4" i="69"/>
  <c r="H38" i="68"/>
  <c r="F21" i="56" s="1"/>
  <c r="E38" i="68"/>
  <c r="D21" i="56" s="1"/>
  <c r="J38" i="68"/>
  <c r="G21" i="56" s="1"/>
  <c r="I25" i="56"/>
  <c r="G5" i="40"/>
  <c r="G6" i="40"/>
  <c r="G7" i="40"/>
  <c r="G8" i="40"/>
  <c r="G9" i="40"/>
  <c r="G10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K10" i="14"/>
  <c r="K11" i="14"/>
  <c r="K12" i="14"/>
  <c r="K13" i="14"/>
  <c r="K19" i="14"/>
  <c r="K21" i="14"/>
  <c r="K22" i="14"/>
  <c r="K23" i="14"/>
  <c r="K25" i="14"/>
  <c r="K26" i="14"/>
  <c r="K28" i="14"/>
  <c r="K30" i="14"/>
  <c r="K31" i="14"/>
  <c r="K32" i="14"/>
  <c r="K34" i="14"/>
  <c r="K35" i="14"/>
  <c r="K36" i="14"/>
  <c r="K37" i="14"/>
  <c r="K38" i="14"/>
  <c r="G39" i="14"/>
  <c r="J39" i="14"/>
  <c r="K39" i="14"/>
  <c r="G40" i="14"/>
  <c r="J40" i="14"/>
  <c r="K40" i="14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45" i="22"/>
  <c r="J45" i="22"/>
  <c r="K45" i="22"/>
  <c r="G46" i="22"/>
  <c r="J46" i="22"/>
  <c r="K46" i="22"/>
  <c r="G47" i="22"/>
  <c r="J47" i="22"/>
  <c r="K47" i="22"/>
  <c r="G48" i="22"/>
  <c r="J48" i="22"/>
  <c r="K48" i="22"/>
  <c r="G49" i="22"/>
  <c r="J49" i="22"/>
  <c r="K49" i="22"/>
  <c r="G50" i="22"/>
  <c r="J50" i="22"/>
  <c r="K50" i="22"/>
  <c r="G51" i="22"/>
  <c r="J51" i="22"/>
  <c r="K51" i="22"/>
  <c r="G52" i="22"/>
  <c r="J52" i="22"/>
  <c r="K52" i="22"/>
  <c r="G53" i="22"/>
  <c r="J53" i="22"/>
  <c r="K53" i="22"/>
  <c r="M4" i="22"/>
  <c r="J5" i="12"/>
  <c r="K5" i="12"/>
  <c r="J6" i="12"/>
  <c r="K6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J35" i="12"/>
  <c r="K35" i="12"/>
  <c r="M3" i="16"/>
  <c r="J34" i="19"/>
  <c r="J7" i="19"/>
  <c r="J6" i="25"/>
  <c r="K6" i="25"/>
  <c r="K7" i="25"/>
  <c r="K8" i="25"/>
  <c r="K9" i="25"/>
  <c r="K11" i="25"/>
  <c r="K12" i="25"/>
  <c r="K13" i="25"/>
  <c r="K14" i="25"/>
  <c r="K16" i="25"/>
  <c r="K17" i="25"/>
  <c r="K18" i="25"/>
  <c r="K19" i="25"/>
  <c r="K20" i="25"/>
  <c r="K21" i="25"/>
  <c r="K23" i="25"/>
  <c r="K24" i="25"/>
  <c r="K25" i="25"/>
  <c r="K26" i="25"/>
  <c r="K27" i="25"/>
  <c r="K28" i="25"/>
  <c r="K29" i="25"/>
  <c r="K30" i="25"/>
  <c r="K31" i="25"/>
  <c r="K32" i="25"/>
  <c r="K33" i="25"/>
  <c r="K35" i="25"/>
  <c r="K36" i="25"/>
  <c r="K38" i="25"/>
  <c r="K39" i="25"/>
  <c r="K40" i="25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L35" i="24"/>
  <c r="J25" i="56" s="1"/>
  <c r="K5" i="60"/>
  <c r="K6" i="60"/>
  <c r="K7" i="60"/>
  <c r="K8" i="60"/>
  <c r="K9" i="60"/>
  <c r="K10" i="60"/>
  <c r="K11" i="60"/>
  <c r="K12" i="60"/>
  <c r="K13" i="60"/>
  <c r="K14" i="60"/>
  <c r="K26" i="60"/>
  <c r="K27" i="60"/>
  <c r="K28" i="60"/>
  <c r="K29" i="60"/>
  <c r="K30" i="60"/>
  <c r="K31" i="60"/>
  <c r="K32" i="60"/>
  <c r="K33" i="60"/>
  <c r="K5" i="41"/>
  <c r="K6" i="41"/>
  <c r="K7" i="41"/>
  <c r="K8" i="41"/>
  <c r="K9" i="41"/>
  <c r="K10" i="41"/>
  <c r="K11" i="41"/>
  <c r="M11" i="41" s="1"/>
  <c r="K12" i="41"/>
  <c r="K13" i="41"/>
  <c r="K15" i="41"/>
  <c r="K17" i="41"/>
  <c r="K18" i="41"/>
  <c r="K19" i="41"/>
  <c r="K20" i="41"/>
  <c r="K21" i="41"/>
  <c r="K22" i="41"/>
  <c r="K23" i="41"/>
  <c r="K24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G40" i="41"/>
  <c r="J40" i="41"/>
  <c r="K40" i="41"/>
  <c r="G41" i="41"/>
  <c r="J41" i="41"/>
  <c r="K41" i="41"/>
  <c r="J41" i="51"/>
  <c r="K41" i="51"/>
  <c r="J5" i="35"/>
  <c r="K5" i="35"/>
  <c r="J6" i="35"/>
  <c r="K6" i="35"/>
  <c r="K7" i="35"/>
  <c r="J8" i="35"/>
  <c r="K8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K29" i="35"/>
  <c r="J30" i="35"/>
  <c r="K30" i="35"/>
  <c r="J31" i="35"/>
  <c r="K31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K5" i="9"/>
  <c r="K6" i="9"/>
  <c r="K7" i="9"/>
  <c r="K12" i="9"/>
  <c r="K13" i="9"/>
  <c r="K14" i="9"/>
  <c r="K15" i="9"/>
  <c r="K16" i="9"/>
  <c r="K17" i="9"/>
  <c r="K18" i="9"/>
  <c r="K19" i="9"/>
  <c r="K20" i="9"/>
  <c r="K21" i="9"/>
  <c r="K23" i="9"/>
  <c r="K24" i="9"/>
  <c r="K25" i="9"/>
  <c r="K26" i="9"/>
  <c r="K27" i="9"/>
  <c r="K28" i="9"/>
  <c r="K29" i="9"/>
  <c r="K30" i="9"/>
  <c r="K31" i="9"/>
  <c r="K32" i="9"/>
  <c r="K33" i="9"/>
  <c r="K34" i="9"/>
  <c r="J5" i="26"/>
  <c r="K5" i="26"/>
  <c r="J6" i="26"/>
  <c r="K6" i="26"/>
  <c r="J7" i="26"/>
  <c r="K7" i="26"/>
  <c r="K8" i="26"/>
  <c r="K9" i="26"/>
  <c r="J10" i="26"/>
  <c r="K10" i="26"/>
  <c r="J11" i="26"/>
  <c r="K11" i="26"/>
  <c r="J12" i="26"/>
  <c r="K12" i="26"/>
  <c r="J13" i="26"/>
  <c r="K13" i="26"/>
  <c r="J14" i="26"/>
  <c r="K14" i="26"/>
  <c r="J15" i="26"/>
  <c r="K15" i="26"/>
  <c r="J16" i="26"/>
  <c r="K16" i="26"/>
  <c r="J17" i="26"/>
  <c r="K17" i="26"/>
  <c r="J18" i="26"/>
  <c r="K18" i="26"/>
  <c r="J19" i="26"/>
  <c r="K19" i="26"/>
  <c r="J20" i="26"/>
  <c r="K20" i="26"/>
  <c r="J21" i="26"/>
  <c r="K21" i="26"/>
  <c r="J22" i="26"/>
  <c r="K22" i="26"/>
  <c r="J23" i="26"/>
  <c r="K23" i="26"/>
  <c r="J24" i="26"/>
  <c r="K24" i="26"/>
  <c r="J25" i="26"/>
  <c r="K25" i="26"/>
  <c r="J26" i="26"/>
  <c r="K26" i="26"/>
  <c r="J27" i="26"/>
  <c r="K27" i="26"/>
  <c r="J28" i="26"/>
  <c r="K28" i="26"/>
  <c r="J29" i="26"/>
  <c r="K29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K6" i="10"/>
  <c r="K7" i="10"/>
  <c r="K8" i="10"/>
  <c r="K9" i="10"/>
  <c r="K10" i="10"/>
  <c r="K11" i="10"/>
  <c r="K12" i="10"/>
  <c r="K13" i="10"/>
  <c r="K14" i="10"/>
  <c r="K15" i="10"/>
  <c r="K16" i="10"/>
  <c r="K17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G5" i="19"/>
  <c r="J5" i="19"/>
  <c r="G6" i="19"/>
  <c r="J6" i="19"/>
  <c r="G7" i="19"/>
  <c r="G34" i="19"/>
  <c r="J5" i="33"/>
  <c r="K5" i="33"/>
  <c r="K6" i="33"/>
  <c r="K7" i="33"/>
  <c r="J8" i="33"/>
  <c r="K8" i="33"/>
  <c r="J9" i="33"/>
  <c r="K9" i="33"/>
  <c r="J10" i="33"/>
  <c r="K10" i="33"/>
  <c r="J11" i="33"/>
  <c r="K11" i="33"/>
  <c r="J12" i="33"/>
  <c r="K12" i="33"/>
  <c r="J13" i="33"/>
  <c r="K13" i="33"/>
  <c r="J14" i="33"/>
  <c r="K14" i="33"/>
  <c r="J15" i="33"/>
  <c r="K15" i="33"/>
  <c r="J16" i="33"/>
  <c r="K16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K9" i="14"/>
  <c r="G41" i="14"/>
  <c r="J41" i="14"/>
  <c r="K41" i="14"/>
  <c r="G54" i="22"/>
  <c r="J54" i="22"/>
  <c r="K54" i="22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L34" i="40" s="1"/>
  <c r="K5" i="10"/>
  <c r="K34" i="10"/>
  <c r="H35" i="10"/>
  <c r="L35" i="10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2" i="11"/>
  <c r="K23" i="11"/>
  <c r="K24" i="11"/>
  <c r="K25" i="11"/>
  <c r="K26" i="11"/>
  <c r="K28" i="11"/>
  <c r="K29" i="11"/>
  <c r="K30" i="11"/>
  <c r="K31" i="11"/>
  <c r="K32" i="11"/>
  <c r="K33" i="11"/>
  <c r="K34" i="11"/>
  <c r="K35" i="11"/>
  <c r="K36" i="11"/>
  <c r="G36" i="16"/>
  <c r="J36" i="16"/>
  <c r="K36" i="16"/>
  <c r="K37" i="62"/>
  <c r="G38" i="62"/>
  <c r="J38" i="62"/>
  <c r="K38" i="62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J13" i="58"/>
  <c r="J14" i="58"/>
  <c r="J15" i="58"/>
  <c r="J16" i="58"/>
  <c r="J17" i="58"/>
  <c r="J18" i="58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J33" i="58"/>
  <c r="K33" i="58"/>
  <c r="L33" i="58"/>
  <c r="G5" i="47"/>
  <c r="K5" i="47"/>
  <c r="G34" i="50"/>
  <c r="K34" i="50"/>
  <c r="G35" i="50"/>
  <c r="J35" i="50"/>
  <c r="K35" i="50"/>
  <c r="G36" i="50"/>
  <c r="J36" i="50"/>
  <c r="K36" i="50"/>
  <c r="G37" i="50"/>
  <c r="J37" i="50"/>
  <c r="K37" i="50"/>
  <c r="I14" i="56"/>
  <c r="I23" i="56"/>
  <c r="H35" i="63"/>
  <c r="F23" i="56" s="1"/>
  <c r="E35" i="63"/>
  <c r="D23" i="56" s="1"/>
  <c r="J4" i="63"/>
  <c r="J35" i="63" s="1"/>
  <c r="G23" i="56" s="1"/>
  <c r="G4" i="63"/>
  <c r="I29" i="56"/>
  <c r="L39" i="62"/>
  <c r="J15" i="56" s="1"/>
  <c r="H39" i="62"/>
  <c r="F15" i="56" s="1"/>
  <c r="E39" i="62"/>
  <c r="D15" i="56" s="1"/>
  <c r="J4" i="62"/>
  <c r="J39" i="62" s="1"/>
  <c r="G15" i="56" s="1"/>
  <c r="G4" i="62"/>
  <c r="I15" i="56"/>
  <c r="K5" i="19"/>
  <c r="L5" i="19"/>
  <c r="K6" i="19"/>
  <c r="L6" i="19"/>
  <c r="K7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G43" i="33"/>
  <c r="J43" i="33"/>
  <c r="K43" i="33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E43" i="35"/>
  <c r="E37" i="11"/>
  <c r="H42" i="41"/>
  <c r="I45" i="56"/>
  <c r="H36" i="12"/>
  <c r="I52" i="56"/>
  <c r="I50" i="56"/>
  <c r="H35" i="60"/>
  <c r="F45" i="56" s="1"/>
  <c r="D45" i="56"/>
  <c r="J4" i="60"/>
  <c r="J35" i="60" s="1"/>
  <c r="G45" i="56" s="1"/>
  <c r="I48" i="56"/>
  <c r="G4" i="52"/>
  <c r="J4" i="47"/>
  <c r="J5" i="14"/>
  <c r="P11" i="33"/>
  <c r="L42" i="41"/>
  <c r="I53" i="56"/>
  <c r="I49" i="56"/>
  <c r="I43" i="56"/>
  <c r="I42" i="56"/>
  <c r="I38" i="56"/>
  <c r="I33" i="56"/>
  <c r="I28" i="56"/>
  <c r="I20" i="56"/>
  <c r="I19" i="56"/>
  <c r="I18" i="56"/>
  <c r="I17" i="56"/>
  <c r="G4" i="9"/>
  <c r="K34" i="19"/>
  <c r="L34" i="19"/>
  <c r="L33" i="57"/>
  <c r="L34" i="57"/>
  <c r="K5" i="14"/>
  <c r="G5" i="7"/>
  <c r="J5" i="7"/>
  <c r="G6" i="7"/>
  <c r="J6" i="7"/>
  <c r="G7" i="7"/>
  <c r="J7" i="7"/>
  <c r="G8" i="7"/>
  <c r="J8" i="7"/>
  <c r="J9" i="7"/>
  <c r="J18" i="7"/>
  <c r="G19" i="7"/>
  <c r="J19" i="7"/>
  <c r="G20" i="7"/>
  <c r="J20" i="7"/>
  <c r="K20" i="7" s="1"/>
  <c r="J21" i="7"/>
  <c r="J22" i="7"/>
  <c r="G33" i="7"/>
  <c r="J33" i="7"/>
  <c r="G4" i="50"/>
  <c r="K4" i="50"/>
  <c r="G34" i="58"/>
  <c r="J34" i="58"/>
  <c r="K34" i="58"/>
  <c r="L34" i="58"/>
  <c r="J4" i="58"/>
  <c r="G4" i="58"/>
  <c r="H35" i="58"/>
  <c r="F12" i="56" s="1"/>
  <c r="E35" i="58"/>
  <c r="D12" i="56" s="1"/>
  <c r="J35" i="58"/>
  <c r="H35" i="19"/>
  <c r="E35" i="19"/>
  <c r="E43" i="51"/>
  <c r="F54" i="56"/>
  <c r="D54" i="56"/>
  <c r="F53" i="56"/>
  <c r="D53" i="56"/>
  <c r="D52" i="56"/>
  <c r="E44" i="33"/>
  <c r="D50" i="56" s="1"/>
  <c r="F49" i="56"/>
  <c r="E35" i="9"/>
  <c r="D49" i="56" s="1"/>
  <c r="F48" i="56"/>
  <c r="D48" i="56"/>
  <c r="H35" i="57"/>
  <c r="F47" i="56" s="1"/>
  <c r="D47" i="56"/>
  <c r="J35" i="57"/>
  <c r="G47" i="56" s="1"/>
  <c r="G4" i="57"/>
  <c r="J43" i="56"/>
  <c r="F43" i="56"/>
  <c r="E42" i="41"/>
  <c r="D43" i="56" s="1"/>
  <c r="E36" i="12"/>
  <c r="L36" i="12"/>
  <c r="J42" i="56"/>
  <c r="F42" i="56"/>
  <c r="D42" i="56"/>
  <c r="F33" i="56"/>
  <c r="D33" i="56"/>
  <c r="E42" i="14"/>
  <c r="D38" i="56" s="1"/>
  <c r="E41" i="25"/>
  <c r="D32" i="56" s="1"/>
  <c r="E35" i="40"/>
  <c r="D31" i="56" s="1"/>
  <c r="D29" i="56"/>
  <c r="J28" i="56"/>
  <c r="D28" i="56"/>
  <c r="D25" i="56"/>
  <c r="E35" i="3"/>
  <c r="D20" i="56" s="1"/>
  <c r="E35" i="7"/>
  <c r="D19" i="56" s="1"/>
  <c r="E37" i="16"/>
  <c r="D18" i="56" s="1"/>
  <c r="L37" i="16"/>
  <c r="E35" i="52"/>
  <c r="D17" i="56" s="1"/>
  <c r="J49" i="56"/>
  <c r="L37" i="11"/>
  <c r="H37" i="11"/>
  <c r="F29" i="56" s="1"/>
  <c r="F28" i="56"/>
  <c r="H35" i="3"/>
  <c r="F20" i="56" s="1"/>
  <c r="L35" i="3"/>
  <c r="J20" i="56" s="1"/>
  <c r="H35" i="7"/>
  <c r="F19" i="56" s="1"/>
  <c r="I3" i="56"/>
  <c r="I2" i="56"/>
  <c r="L38" i="50"/>
  <c r="J2" i="56" s="1"/>
  <c r="H38" i="50"/>
  <c r="F2" i="56" s="1"/>
  <c r="E38" i="50"/>
  <c r="D2" i="56" s="1"/>
  <c r="F52" i="56"/>
  <c r="L42" i="14"/>
  <c r="J38" i="56" s="1"/>
  <c r="H42" i="14"/>
  <c r="F38" i="56" s="1"/>
  <c r="H41" i="25"/>
  <c r="F32" i="56" s="1"/>
  <c r="J35" i="40"/>
  <c r="G31" i="56" s="1"/>
  <c r="H35" i="40"/>
  <c r="F31" i="56" s="1"/>
  <c r="F25" i="56"/>
  <c r="K38" i="16"/>
  <c r="L35" i="52"/>
  <c r="J17" i="56" s="1"/>
  <c r="H35" i="52"/>
  <c r="F17" i="56" s="1"/>
  <c r="D3" i="56"/>
  <c r="L38" i="47"/>
  <c r="J3" i="56" s="1"/>
  <c r="H38" i="47"/>
  <c r="F3" i="56" s="1"/>
  <c r="G4" i="44"/>
  <c r="G4" i="51"/>
  <c r="K5" i="7"/>
  <c r="K6" i="7"/>
  <c r="K7" i="7"/>
  <c r="K8" i="7"/>
  <c r="K9" i="7"/>
  <c r="K18" i="7"/>
  <c r="K19" i="7"/>
  <c r="K21" i="7"/>
  <c r="K22" i="7"/>
  <c r="K33" i="7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 s="1"/>
  <c r="M18" i="52"/>
  <c r="M19" i="52"/>
  <c r="J45" i="26"/>
  <c r="J4" i="41"/>
  <c r="J42" i="51"/>
  <c r="K42" i="51"/>
  <c r="L42" i="51" s="1"/>
  <c r="J4" i="51"/>
  <c r="G45" i="26"/>
  <c r="K45" i="26"/>
  <c r="G34" i="7"/>
  <c r="J34" i="7"/>
  <c r="K34" i="7"/>
  <c r="G4" i="47"/>
  <c r="G4" i="40"/>
  <c r="J35" i="24"/>
  <c r="G25" i="56" s="1"/>
  <c r="G4" i="12"/>
  <c r="G36" i="12" s="1"/>
  <c r="E42" i="56" s="1"/>
  <c r="H37" i="16"/>
  <c r="F18" i="56" s="1"/>
  <c r="M3" i="40"/>
  <c r="J42" i="35"/>
  <c r="G42" i="35"/>
  <c r="K42" i="35" s="1"/>
  <c r="L42" i="35" s="1"/>
  <c r="J4" i="35"/>
  <c r="H44" i="33"/>
  <c r="F50" i="56" s="1"/>
  <c r="J4" i="33"/>
  <c r="J44" i="33" s="1"/>
  <c r="G50" i="56" s="1"/>
  <c r="G4" i="33"/>
  <c r="J4" i="10"/>
  <c r="J35" i="10" s="1"/>
  <c r="J4" i="22"/>
  <c r="J55" i="22" s="1"/>
  <c r="G33" i="56" s="1"/>
  <c r="L35" i="7"/>
  <c r="J19" i="56" s="1"/>
  <c r="J4" i="26"/>
  <c r="J4" i="9"/>
  <c r="G4" i="7"/>
  <c r="G4" i="19"/>
  <c r="G35" i="19" s="1"/>
  <c r="E54" i="56" s="1"/>
  <c r="J4" i="19"/>
  <c r="K4" i="19"/>
  <c r="J4" i="16"/>
  <c r="G4" i="16"/>
  <c r="K4" i="16" s="1"/>
  <c r="J4" i="14"/>
  <c r="G4" i="14"/>
  <c r="K4" i="14"/>
  <c r="J4" i="7"/>
  <c r="J35" i="7" s="1"/>
  <c r="G19" i="56" s="1"/>
  <c r="J4" i="12"/>
  <c r="G4" i="11"/>
  <c r="J4" i="11"/>
  <c r="J37" i="11" s="1"/>
  <c r="G29" i="56" s="1"/>
  <c r="K4" i="11"/>
  <c r="M4" i="11" s="1"/>
  <c r="M5" i="11" s="1"/>
  <c r="G4" i="10"/>
  <c r="G35" i="10" s="1"/>
  <c r="J4" i="3"/>
  <c r="J35" i="3" s="1"/>
  <c r="G20" i="56" s="1"/>
  <c r="G4" i="3"/>
  <c r="G35" i="3" s="1"/>
  <c r="E20" i="56" s="1"/>
  <c r="E14" i="56" l="1"/>
  <c r="K25" i="65"/>
  <c r="H14" i="56"/>
  <c r="G39" i="103"/>
  <c r="M15" i="47"/>
  <c r="M12" i="41"/>
  <c r="M13" i="41" s="1"/>
  <c r="M14" i="41" s="1"/>
  <c r="M15" i="41" s="1"/>
  <c r="M16" i="41" s="1"/>
  <c r="K9" i="47"/>
  <c r="K18" i="47"/>
  <c r="K17" i="47"/>
  <c r="K16" i="47"/>
  <c r="J35" i="100"/>
  <c r="G46" i="56" s="1"/>
  <c r="H46" i="56"/>
  <c r="K9" i="24"/>
  <c r="K8" i="24"/>
  <c r="K24" i="52"/>
  <c r="K23" i="52"/>
  <c r="K22" i="52"/>
  <c r="K21" i="52"/>
  <c r="K20" i="52"/>
  <c r="M20" i="52" s="1"/>
  <c r="M21" i="52" s="1"/>
  <c r="M22" i="52" s="1"/>
  <c r="M23" i="52" s="1"/>
  <c r="M24" i="52" s="1"/>
  <c r="K32" i="52"/>
  <c r="K30" i="52"/>
  <c r="K29" i="52"/>
  <c r="K28" i="52"/>
  <c r="K27" i="52"/>
  <c r="K26" i="52"/>
  <c r="K25" i="52"/>
  <c r="K18" i="98"/>
  <c r="L18" i="98" s="1"/>
  <c r="L35" i="94"/>
  <c r="J8" i="56" s="1"/>
  <c r="K46" i="56"/>
  <c r="G35" i="101"/>
  <c r="E30" i="56" s="1"/>
  <c r="H30" i="56" s="1"/>
  <c r="K30" i="56" s="1"/>
  <c r="K4" i="101"/>
  <c r="K31" i="52"/>
  <c r="M4" i="92"/>
  <c r="M5" i="92" s="1"/>
  <c r="M6" i="92" s="1"/>
  <c r="M7" i="92" s="1"/>
  <c r="M8" i="92" s="1"/>
  <c r="M9" i="92" s="1"/>
  <c r="M10" i="92" s="1"/>
  <c r="M11" i="92" s="1"/>
  <c r="M12" i="92" s="1"/>
  <c r="M13" i="92" s="1"/>
  <c r="M14" i="92" s="1"/>
  <c r="M15" i="92" s="1"/>
  <c r="M16" i="92" s="1"/>
  <c r="M17" i="92" s="1"/>
  <c r="M18" i="92" s="1"/>
  <c r="M19" i="92" s="1"/>
  <c r="M20" i="92" s="1"/>
  <c r="I37" i="56"/>
  <c r="I56" i="56" s="1"/>
  <c r="K4" i="100"/>
  <c r="K35" i="100" s="1"/>
  <c r="L42" i="75"/>
  <c r="J39" i="56" s="1"/>
  <c r="G39" i="99"/>
  <c r="E27" i="56" s="1"/>
  <c r="H27" i="56" s="1"/>
  <c r="K27" i="56" s="1"/>
  <c r="K4" i="99"/>
  <c r="K85" i="44"/>
  <c r="K21" i="92"/>
  <c r="L39" i="92" s="1"/>
  <c r="J37" i="56" s="1"/>
  <c r="G39" i="92"/>
  <c r="E37" i="56" s="1"/>
  <c r="H37" i="56" s="1"/>
  <c r="K37" i="56" s="1"/>
  <c r="K8" i="14"/>
  <c r="K11" i="96"/>
  <c r="G19" i="96"/>
  <c r="E36" i="56" s="1"/>
  <c r="H36" i="56" s="1"/>
  <c r="K36" i="56" s="1"/>
  <c r="K4" i="96"/>
  <c r="G35" i="98"/>
  <c r="E11" i="56" s="1"/>
  <c r="H11" i="56" s="1"/>
  <c r="K4" i="98"/>
  <c r="L4" i="98" s="1"/>
  <c r="L35" i="98" s="1"/>
  <c r="J11" i="56" s="1"/>
  <c r="G20" i="97"/>
  <c r="E35" i="56" s="1"/>
  <c r="H35" i="56" s="1"/>
  <c r="K35" i="56" s="1"/>
  <c r="K4" i="97"/>
  <c r="K20" i="97" s="1"/>
  <c r="K25" i="60"/>
  <c r="K24" i="60"/>
  <c r="K23" i="60"/>
  <c r="K22" i="60"/>
  <c r="K21" i="60"/>
  <c r="K20" i="60"/>
  <c r="K19" i="60"/>
  <c r="K18" i="60"/>
  <c r="K17" i="60"/>
  <c r="K15" i="60"/>
  <c r="K26" i="41"/>
  <c r="L36" i="93"/>
  <c r="J10" i="56" s="1"/>
  <c r="K24" i="76"/>
  <c r="G46" i="95"/>
  <c r="E5" i="56" s="1"/>
  <c r="H5" i="56" s="1"/>
  <c r="K4" i="95"/>
  <c r="L4" i="95" s="1"/>
  <c r="L46" i="95" s="1"/>
  <c r="J5" i="56" s="1"/>
  <c r="G35" i="94"/>
  <c r="E8" i="56" s="1"/>
  <c r="H8" i="56" s="1"/>
  <c r="K8" i="56" s="1"/>
  <c r="K4" i="94"/>
  <c r="K23" i="76"/>
  <c r="G36" i="93"/>
  <c r="E10" i="56" s="1"/>
  <c r="H10" i="56" s="1"/>
  <c r="K10" i="56" s="1"/>
  <c r="K4" i="93"/>
  <c r="M4" i="89"/>
  <c r="M5" i="89" s="1"/>
  <c r="M6" i="89" s="1"/>
  <c r="M7" i="89" s="1"/>
  <c r="M8" i="89" s="1"/>
  <c r="M9" i="89" s="1"/>
  <c r="M10" i="89" s="1"/>
  <c r="M11" i="89" s="1"/>
  <c r="M12" i="89" s="1"/>
  <c r="M13" i="89" s="1"/>
  <c r="M14" i="89" s="1"/>
  <c r="M15" i="89" s="1"/>
  <c r="M16" i="89" s="1"/>
  <c r="J35" i="89"/>
  <c r="G9" i="56" s="1"/>
  <c r="J29" i="56"/>
  <c r="L35" i="89"/>
  <c r="J9" i="56" s="1"/>
  <c r="K35" i="89"/>
  <c r="G35" i="89"/>
  <c r="E9" i="56" s="1"/>
  <c r="H9" i="56" s="1"/>
  <c r="K9" i="56" s="1"/>
  <c r="M17" i="89"/>
  <c r="M18" i="89" s="1"/>
  <c r="M19" i="89" s="1"/>
  <c r="M20" i="89" s="1"/>
  <c r="M5" i="22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G56" i="85"/>
  <c r="E34" i="56" s="1"/>
  <c r="H34" i="56" s="1"/>
  <c r="K34" i="56" s="1"/>
  <c r="K4" i="85"/>
  <c r="J35" i="78"/>
  <c r="G7" i="56" s="1"/>
  <c r="G34" i="83"/>
  <c r="E44" i="56" s="1"/>
  <c r="H44" i="56" s="1"/>
  <c r="K44" i="56" s="1"/>
  <c r="K4" i="83"/>
  <c r="G35" i="82"/>
  <c r="E4" i="56" s="1"/>
  <c r="H4" i="56" s="1"/>
  <c r="K4" i="56" s="1"/>
  <c r="K4" i="82"/>
  <c r="F56" i="56"/>
  <c r="K4" i="81"/>
  <c r="G40" i="80"/>
  <c r="E26" i="56" s="1"/>
  <c r="H26" i="56" s="1"/>
  <c r="K26" i="56" s="1"/>
  <c r="K4" i="80"/>
  <c r="G35" i="79"/>
  <c r="E40" i="56" s="1"/>
  <c r="H40" i="56" s="1"/>
  <c r="K40" i="56" s="1"/>
  <c r="K4" i="79"/>
  <c r="K32" i="74"/>
  <c r="L32" i="74" s="1"/>
  <c r="K31" i="74"/>
  <c r="L31" i="74" s="1"/>
  <c r="K30" i="74"/>
  <c r="L30" i="74" s="1"/>
  <c r="G35" i="78"/>
  <c r="E7" i="56" s="1"/>
  <c r="K6" i="14"/>
  <c r="J37" i="76"/>
  <c r="G41" i="56" s="1"/>
  <c r="K4" i="76"/>
  <c r="G37" i="76"/>
  <c r="E41" i="56" s="1"/>
  <c r="H41" i="56" s="1"/>
  <c r="K41" i="56" s="1"/>
  <c r="K5" i="76"/>
  <c r="J42" i="75"/>
  <c r="G39" i="56" s="1"/>
  <c r="K4" i="75"/>
  <c r="G42" i="75"/>
  <c r="E39" i="56" s="1"/>
  <c r="H39" i="56" s="1"/>
  <c r="K39" i="56" s="1"/>
  <c r="K5" i="75"/>
  <c r="K18" i="10"/>
  <c r="G35" i="74"/>
  <c r="E24" i="56" s="1"/>
  <c r="H24" i="56" s="1"/>
  <c r="K4" i="74"/>
  <c r="G36" i="73"/>
  <c r="E22" i="56" s="1"/>
  <c r="H22" i="56" s="1"/>
  <c r="K4" i="73"/>
  <c r="G35" i="72"/>
  <c r="E6" i="56" s="1"/>
  <c r="H6" i="56" s="1"/>
  <c r="K6" i="56" s="1"/>
  <c r="K4" i="72"/>
  <c r="H20" i="56"/>
  <c r="K20" i="56" s="1"/>
  <c r="K11" i="35"/>
  <c r="G37" i="71"/>
  <c r="E13" i="56" s="1"/>
  <c r="H13" i="56" s="1"/>
  <c r="K4" i="71"/>
  <c r="N5" i="45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K4" i="69"/>
  <c r="D51" i="56"/>
  <c r="D56" i="56" s="1"/>
  <c r="G38" i="68"/>
  <c r="E21" i="56" s="1"/>
  <c r="K4" i="44"/>
  <c r="M4" i="44" s="1"/>
  <c r="M5" i="44" s="1"/>
  <c r="M6" i="44" s="1"/>
  <c r="M7" i="44" s="1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  <c r="M87" i="44" s="1"/>
  <c r="M88" i="44" s="1"/>
  <c r="M89" i="44" s="1"/>
  <c r="M90" i="44" s="1"/>
  <c r="M91" i="44" s="1"/>
  <c r="M92" i="44" s="1"/>
  <c r="M93" i="44" s="1"/>
  <c r="M6" i="11"/>
  <c r="J37" i="16"/>
  <c r="G18" i="56" s="1"/>
  <c r="L46" i="26"/>
  <c r="G35" i="63"/>
  <c r="E23" i="56" s="1"/>
  <c r="H23" i="56" s="1"/>
  <c r="K4" i="63"/>
  <c r="M7" i="11"/>
  <c r="M8" i="11" s="1"/>
  <c r="G39" i="62"/>
  <c r="E15" i="56" s="1"/>
  <c r="H15" i="56" s="1"/>
  <c r="K15" i="56" s="1"/>
  <c r="K4" i="62"/>
  <c r="G35" i="60"/>
  <c r="E45" i="56" s="1"/>
  <c r="H45" i="56" s="1"/>
  <c r="K4" i="60"/>
  <c r="J43" i="51"/>
  <c r="G53" i="56" s="1"/>
  <c r="J18" i="56"/>
  <c r="K4" i="12"/>
  <c r="K36" i="12" s="1"/>
  <c r="J36" i="12"/>
  <c r="G42" i="56" s="1"/>
  <c r="H42" i="56"/>
  <c r="K42" i="56" s="1"/>
  <c r="G44" i="33"/>
  <c r="E50" i="56" s="1"/>
  <c r="H50" i="56" s="1"/>
  <c r="J35" i="9"/>
  <c r="G49" i="56" s="1"/>
  <c r="J46" i="26"/>
  <c r="G48" i="56" s="1"/>
  <c r="G55" i="22"/>
  <c r="E33" i="56" s="1"/>
  <c r="H33" i="56" s="1"/>
  <c r="K4" i="40"/>
  <c r="L4" i="40" s="1"/>
  <c r="G35" i="40"/>
  <c r="E31" i="56" s="1"/>
  <c r="H31" i="56" s="1"/>
  <c r="L35" i="40"/>
  <c r="J31" i="56" s="1"/>
  <c r="K35" i="40"/>
  <c r="J35" i="52"/>
  <c r="G17" i="56" s="1"/>
  <c r="K35" i="52"/>
  <c r="H17" i="56" s="1"/>
  <c r="K17" i="56" s="1"/>
  <c r="G35" i="52"/>
  <c r="J42" i="41"/>
  <c r="G43" i="56" s="1"/>
  <c r="G37" i="11"/>
  <c r="E29" i="56" s="1"/>
  <c r="G43" i="35"/>
  <c r="E52" i="56" s="1"/>
  <c r="G43" i="51"/>
  <c r="E53" i="56" s="1"/>
  <c r="H53" i="56" s="1"/>
  <c r="J48" i="56"/>
  <c r="G46" i="26"/>
  <c r="E48" i="56" s="1"/>
  <c r="J35" i="19"/>
  <c r="G54" i="56" s="1"/>
  <c r="H54" i="56" s="1"/>
  <c r="H48" i="56"/>
  <c r="J43" i="35"/>
  <c r="G52" i="56" s="1"/>
  <c r="H52" i="56" s="1"/>
  <c r="G35" i="9"/>
  <c r="E49" i="56" s="1"/>
  <c r="G42" i="41"/>
  <c r="E43" i="56" s="1"/>
  <c r="H43" i="56" s="1"/>
  <c r="G35" i="58"/>
  <c r="E12" i="56" s="1"/>
  <c r="H12" i="56" s="1"/>
  <c r="K4" i="58"/>
  <c r="G35" i="57"/>
  <c r="E47" i="56" s="1"/>
  <c r="H47" i="56" s="1"/>
  <c r="K4" i="57"/>
  <c r="L4" i="57" s="1"/>
  <c r="L35" i="57" s="1"/>
  <c r="J47" i="56" s="1"/>
  <c r="H29" i="56"/>
  <c r="K29" i="56" s="1"/>
  <c r="G35" i="7"/>
  <c r="E19" i="56" s="1"/>
  <c r="J38" i="47"/>
  <c r="G3" i="56" s="1"/>
  <c r="G28" i="56"/>
  <c r="J42" i="14"/>
  <c r="G38" i="56" s="1"/>
  <c r="G42" i="14"/>
  <c r="E38" i="56" s="1"/>
  <c r="H38" i="56" s="1"/>
  <c r="K38" i="56" s="1"/>
  <c r="G38" i="47"/>
  <c r="E3" i="56" s="1"/>
  <c r="K35" i="19"/>
  <c r="H21" i="56"/>
  <c r="J38" i="50"/>
  <c r="G2" i="56" s="1"/>
  <c r="G38" i="50"/>
  <c r="E2" i="56" s="1"/>
  <c r="G41" i="25"/>
  <c r="E32" i="56" s="1"/>
  <c r="J41" i="25"/>
  <c r="G32" i="56" s="1"/>
  <c r="H32" i="56" s="1"/>
  <c r="K37" i="11"/>
  <c r="E28" i="56"/>
  <c r="G35" i="24"/>
  <c r="E25" i="56" s="1"/>
  <c r="H25" i="56" s="1"/>
  <c r="K4" i="41"/>
  <c r="K42" i="14"/>
  <c r="K4" i="22"/>
  <c r="P54" i="22" s="1"/>
  <c r="K4" i="51"/>
  <c r="K43" i="51" s="1"/>
  <c r="K4" i="24"/>
  <c r="M4" i="24" s="1"/>
  <c r="K38" i="50"/>
  <c r="K4" i="47"/>
  <c r="K38" i="47" s="1"/>
  <c r="M4" i="47"/>
  <c r="O4" i="47" s="1"/>
  <c r="G37" i="16"/>
  <c r="M5" i="47"/>
  <c r="M6" i="47" s="1"/>
  <c r="M7" i="47" s="1"/>
  <c r="M8" i="47" s="1"/>
  <c r="M9" i="47" s="1"/>
  <c r="M10" i="47" s="1"/>
  <c r="M11" i="47" s="1"/>
  <c r="M4" i="12"/>
  <c r="M5" i="12" s="1"/>
  <c r="K4" i="35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K4" i="33"/>
  <c r="L4" i="19"/>
  <c r="L35" i="19" s="1"/>
  <c r="J54" i="56" s="1"/>
  <c r="K4" i="7"/>
  <c r="K35" i="7" s="1"/>
  <c r="M4" i="14"/>
  <c r="M5" i="14" s="1"/>
  <c r="M6" i="14" s="1"/>
  <c r="M7" i="14" s="1"/>
  <c r="K4" i="9"/>
  <c r="K4" i="10"/>
  <c r="K35" i="10" s="1"/>
  <c r="K4" i="26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K4" i="25"/>
  <c r="M4" i="25" s="1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39" i="25" s="1"/>
  <c r="M40" i="25" s="1"/>
  <c r="K4" i="3"/>
  <c r="M8" i="14" l="1"/>
  <c r="M9" i="14" s="1"/>
  <c r="M10" i="14" s="1"/>
  <c r="M11" i="14" s="1"/>
  <c r="M12" i="14" s="1"/>
  <c r="M13" i="14" s="1"/>
  <c r="M14" i="14" s="1"/>
  <c r="L25" i="65"/>
  <c r="N18" i="45"/>
  <c r="N19" i="45" s="1"/>
  <c r="N20" i="45" s="1"/>
  <c r="N21" i="45" s="1"/>
  <c r="N22" i="45" s="1"/>
  <c r="M21" i="89"/>
  <c r="M22" i="89" s="1"/>
  <c r="M23" i="89" s="1"/>
  <c r="M24" i="89" s="1"/>
  <c r="M25" i="89" s="1"/>
  <c r="M26" i="89" s="1"/>
  <c r="M27" i="89" s="1"/>
  <c r="K5" i="56"/>
  <c r="K39" i="103"/>
  <c r="M4" i="103"/>
  <c r="M16" i="47"/>
  <c r="M17" i="47" s="1"/>
  <c r="M18" i="47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35" i="47" s="1"/>
  <c r="M36" i="47" s="1"/>
  <c r="M15" i="14"/>
  <c r="M16" i="14" s="1"/>
  <c r="M17" i="14" s="1"/>
  <c r="M18" i="14" s="1"/>
  <c r="M19" i="14" s="1"/>
  <c r="M20" i="14" s="1"/>
  <c r="M21" i="14" s="1"/>
  <c r="M22" i="14" s="1"/>
  <c r="M23" i="14" s="1"/>
  <c r="K19" i="96"/>
  <c r="M25" i="52"/>
  <c r="M26" i="52" s="1"/>
  <c r="M27" i="52" s="1"/>
  <c r="M28" i="52" s="1"/>
  <c r="M29" i="52" s="1"/>
  <c r="M30" i="52" s="1"/>
  <c r="M31" i="52" s="1"/>
  <c r="M32" i="52" s="1"/>
  <c r="M33" i="52" s="1"/>
  <c r="K11" i="56"/>
  <c r="K35" i="101"/>
  <c r="M4" i="101"/>
  <c r="M5" i="101" s="1"/>
  <c r="M6" i="101" s="1"/>
  <c r="M7" i="101" s="1"/>
  <c r="M8" i="101" s="1"/>
  <c r="M9" i="101" s="1"/>
  <c r="M10" i="101" s="1"/>
  <c r="M11" i="101" s="1"/>
  <c r="M12" i="101" s="1"/>
  <c r="M13" i="101" s="1"/>
  <c r="M14" i="101" s="1"/>
  <c r="M15" i="101" s="1"/>
  <c r="M16" i="101" s="1"/>
  <c r="M17" i="101" s="1"/>
  <c r="M18" i="101" s="1"/>
  <c r="M19" i="101" s="1"/>
  <c r="M20" i="101" s="1"/>
  <c r="M21" i="101" s="1"/>
  <c r="M22" i="101" s="1"/>
  <c r="M23" i="101" s="1"/>
  <c r="M24" i="101" s="1"/>
  <c r="M25" i="101" s="1"/>
  <c r="M26" i="101" s="1"/>
  <c r="M27" i="101" s="1"/>
  <c r="M28" i="101" s="1"/>
  <c r="M29" i="101" s="1"/>
  <c r="M30" i="101" s="1"/>
  <c r="M31" i="101" s="1"/>
  <c r="M32" i="101" s="1"/>
  <c r="M33" i="101" s="1"/>
  <c r="M34" i="101" s="1"/>
  <c r="L4" i="65"/>
  <c r="J14" i="56" s="1"/>
  <c r="K14" i="56" s="1"/>
  <c r="M4" i="100"/>
  <c r="K39" i="99"/>
  <c r="M4" i="99"/>
  <c r="M5" i="99" s="1"/>
  <c r="M6" i="99" s="1"/>
  <c r="M7" i="99" s="1"/>
  <c r="M8" i="99" s="1"/>
  <c r="M9" i="99" s="1"/>
  <c r="M10" i="99" s="1"/>
  <c r="M11" i="99" s="1"/>
  <c r="M12" i="99" s="1"/>
  <c r="M13" i="99" s="1"/>
  <c r="M14" i="99" s="1"/>
  <c r="M15" i="99" s="1"/>
  <c r="K39" i="92"/>
  <c r="M21" i="92"/>
  <c r="M22" i="92" s="1"/>
  <c r="M23" i="92" s="1"/>
  <c r="M24" i="92" s="1"/>
  <c r="M25" i="92" s="1"/>
  <c r="M26" i="92" s="1"/>
  <c r="M27" i="92" s="1"/>
  <c r="M28" i="92" s="1"/>
  <c r="M29" i="92" s="1"/>
  <c r="M30" i="92" s="1"/>
  <c r="M31" i="92" s="1"/>
  <c r="M32" i="92" s="1"/>
  <c r="M33" i="92" s="1"/>
  <c r="M34" i="92" s="1"/>
  <c r="M4" i="96"/>
  <c r="M5" i="96" s="1"/>
  <c r="M6" i="96" s="1"/>
  <c r="M7" i="96" s="1"/>
  <c r="M8" i="96" s="1"/>
  <c r="M9" i="96" s="1"/>
  <c r="M10" i="96" s="1"/>
  <c r="M11" i="96" s="1"/>
  <c r="M12" i="96" s="1"/>
  <c r="M13" i="96" s="1"/>
  <c r="M14" i="96" s="1"/>
  <c r="M15" i="96" s="1"/>
  <c r="M16" i="96" s="1"/>
  <c r="M17" i="96" s="1"/>
  <c r="M18" i="96" s="1"/>
  <c r="M4" i="98"/>
  <c r="M5" i="98" s="1"/>
  <c r="M6" i="98" s="1"/>
  <c r="M7" i="98" s="1"/>
  <c r="M8" i="98" s="1"/>
  <c r="M9" i="98" s="1"/>
  <c r="M10" i="98" s="1"/>
  <c r="M11" i="98" s="1"/>
  <c r="M12" i="98" s="1"/>
  <c r="M13" i="98" s="1"/>
  <c r="M14" i="98" s="1"/>
  <c r="M15" i="98" s="1"/>
  <c r="M16" i="98" s="1"/>
  <c r="M17" i="98" s="1"/>
  <c r="M18" i="98" s="1"/>
  <c r="M19" i="98" s="1"/>
  <c r="M20" i="98" s="1"/>
  <c r="M21" i="98" s="1"/>
  <c r="M22" i="98" s="1"/>
  <c r="M23" i="98" s="1"/>
  <c r="M24" i="98" s="1"/>
  <c r="M25" i="98" s="1"/>
  <c r="M26" i="98" s="1"/>
  <c r="M27" i="98" s="1"/>
  <c r="M28" i="98" s="1"/>
  <c r="M29" i="98" s="1"/>
  <c r="M30" i="98" s="1"/>
  <c r="M31" i="98" s="1"/>
  <c r="M32" i="98" s="1"/>
  <c r="M33" i="98" s="1"/>
  <c r="M4" i="97"/>
  <c r="M5" i="97" s="1"/>
  <c r="M6" i="97" s="1"/>
  <c r="M7" i="97" s="1"/>
  <c r="M8" i="97" s="1"/>
  <c r="M9" i="97" s="1"/>
  <c r="M10" i="97" s="1"/>
  <c r="M11" i="97" s="1"/>
  <c r="M12" i="97" s="1"/>
  <c r="M13" i="97" s="1"/>
  <c r="M14" i="97" s="1"/>
  <c r="M15" i="97" s="1"/>
  <c r="M16" i="97" s="1"/>
  <c r="M17" i="97" s="1"/>
  <c r="M18" i="97" s="1"/>
  <c r="M4" i="26"/>
  <c r="M5" i="26" s="1"/>
  <c r="M28" i="89"/>
  <c r="M29" i="89" s="1"/>
  <c r="M30" i="89" s="1"/>
  <c r="M31" i="89" s="1"/>
  <c r="M32" i="89" s="1"/>
  <c r="M33" i="89" s="1"/>
  <c r="M34" i="89" s="1"/>
  <c r="K46" i="95"/>
  <c r="M4" i="95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K35" i="94"/>
  <c r="M4" i="94"/>
  <c r="M5" i="94" s="1"/>
  <c r="M6" i="94" s="1"/>
  <c r="M7" i="94" s="1"/>
  <c r="M8" i="94" s="1"/>
  <c r="M9" i="94" s="1"/>
  <c r="M10" i="94" s="1"/>
  <c r="M11" i="94" s="1"/>
  <c r="M12" i="94" s="1"/>
  <c r="M13" i="94" s="1"/>
  <c r="M14" i="94" s="1"/>
  <c r="M15" i="94" s="1"/>
  <c r="M16" i="94" s="1"/>
  <c r="M17" i="94" s="1"/>
  <c r="M18" i="94" s="1"/>
  <c r="M19" i="94" s="1"/>
  <c r="M20" i="94" s="1"/>
  <c r="M21" i="94" s="1"/>
  <c r="M22" i="94" s="1"/>
  <c r="M23" i="94" s="1"/>
  <c r="M24" i="94" s="1"/>
  <c r="M25" i="94" s="1"/>
  <c r="M26" i="94" s="1"/>
  <c r="M27" i="94" s="1"/>
  <c r="M28" i="94" s="1"/>
  <c r="M29" i="94" s="1"/>
  <c r="M30" i="94" s="1"/>
  <c r="M31" i="94" s="1"/>
  <c r="M32" i="94" s="1"/>
  <c r="M33" i="94" s="1"/>
  <c r="M34" i="94" s="1"/>
  <c r="K36" i="93"/>
  <c r="M4" i="93"/>
  <c r="M5" i="93" s="1"/>
  <c r="M6" i="93" s="1"/>
  <c r="M7" i="93" s="1"/>
  <c r="M8" i="93" s="1"/>
  <c r="M9" i="93" s="1"/>
  <c r="M10" i="93" s="1"/>
  <c r="M11" i="93" s="1"/>
  <c r="M12" i="93" s="1"/>
  <c r="M24" i="93" s="1"/>
  <c r="M25" i="93" s="1"/>
  <c r="M26" i="93" s="1"/>
  <c r="M27" i="93" s="1"/>
  <c r="M28" i="93" s="1"/>
  <c r="M29" i="93" s="1"/>
  <c r="M30" i="93" s="1"/>
  <c r="M31" i="93" s="1"/>
  <c r="M32" i="93" s="1"/>
  <c r="M33" i="93" s="1"/>
  <c r="M34" i="93" s="1"/>
  <c r="M35" i="93" s="1"/>
  <c r="H7" i="56"/>
  <c r="K7" i="56" s="1"/>
  <c r="K47" i="56"/>
  <c r="M9" i="1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K56" i="85"/>
  <c r="M4" i="85"/>
  <c r="K34" i="83"/>
  <c r="M4" i="83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33" i="83" s="1"/>
  <c r="K35" i="82"/>
  <c r="M4" i="82"/>
  <c r="G56" i="56"/>
  <c r="H2" i="56"/>
  <c r="M4" i="81"/>
  <c r="K40" i="80"/>
  <c r="M4" i="80"/>
  <c r="M5" i="80" s="1"/>
  <c r="M6" i="80" s="1"/>
  <c r="M7" i="80" s="1"/>
  <c r="M8" i="80" s="1"/>
  <c r="M9" i="80" s="1"/>
  <c r="M10" i="80" s="1"/>
  <c r="M11" i="80" s="1"/>
  <c r="M12" i="80" s="1"/>
  <c r="M13" i="80" s="1"/>
  <c r="M14" i="80" s="1"/>
  <c r="M15" i="80" s="1"/>
  <c r="M16" i="80" s="1"/>
  <c r="K35" i="79"/>
  <c r="M4" i="79"/>
  <c r="M5" i="79" s="1"/>
  <c r="M6" i="79" s="1"/>
  <c r="M7" i="79" s="1"/>
  <c r="M8" i="79" s="1"/>
  <c r="M9" i="79" s="1"/>
  <c r="M10" i="79" s="1"/>
  <c r="M11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M10" i="76" s="1"/>
  <c r="M11" i="76" s="1"/>
  <c r="M12" i="76" s="1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M32" i="76" s="1"/>
  <c r="M33" i="76" s="1"/>
  <c r="M34" i="76" s="1"/>
  <c r="M35" i="76" s="1"/>
  <c r="M36" i="76" s="1"/>
  <c r="K42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K35" i="74"/>
  <c r="L4" i="74"/>
  <c r="L35" i="74" s="1"/>
  <c r="J24" i="56" s="1"/>
  <c r="K24" i="56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6" i="73"/>
  <c r="L4" i="73"/>
  <c r="L36" i="73" s="1"/>
  <c r="J22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4" i="73" s="1"/>
  <c r="M25" i="73" s="1"/>
  <c r="M26" i="73" s="1"/>
  <c r="M27" i="73" s="1"/>
  <c r="M28" i="73" s="1"/>
  <c r="K35" i="72"/>
  <c r="M4" i="72"/>
  <c r="M5" i="72" s="1"/>
  <c r="M6" i="72" s="1"/>
  <c r="M7" i="72" s="1"/>
  <c r="M8" i="72" s="1"/>
  <c r="M9" i="72" s="1"/>
  <c r="M10" i="72" s="1"/>
  <c r="M11" i="72" s="1"/>
  <c r="M12" i="72" s="1"/>
  <c r="M13" i="72" s="1"/>
  <c r="M14" i="72" s="1"/>
  <c r="M15" i="72" s="1"/>
  <c r="M16" i="72" s="1"/>
  <c r="M17" i="72" s="1"/>
  <c r="M18" i="72" s="1"/>
  <c r="M19" i="72" s="1"/>
  <c r="M20" i="72" s="1"/>
  <c r="M21" i="72" s="1"/>
  <c r="M22" i="72" s="1"/>
  <c r="M23" i="72" s="1"/>
  <c r="M24" i="72" s="1"/>
  <c r="M25" i="72" s="1"/>
  <c r="M26" i="72" s="1"/>
  <c r="M27" i="72" s="1"/>
  <c r="M28" i="72" s="1"/>
  <c r="M29" i="72" s="1"/>
  <c r="M30" i="72" s="1"/>
  <c r="M31" i="72" s="1"/>
  <c r="M32" i="72" s="1"/>
  <c r="M33" i="72" s="1"/>
  <c r="M34" i="72" s="1"/>
  <c r="M5" i="24"/>
  <c r="M6" i="24" s="1"/>
  <c r="M7" i="24" s="1"/>
  <c r="M8" i="24" s="1"/>
  <c r="M9" i="24" s="1"/>
  <c r="M10" i="24" s="1"/>
  <c r="K35" i="24"/>
  <c r="H3" i="56"/>
  <c r="K3" i="56" s="1"/>
  <c r="K37" i="71"/>
  <c r="L4" i="71"/>
  <c r="L37" i="71" s="1"/>
  <c r="J13" i="56" s="1"/>
  <c r="K13" i="56" s="1"/>
  <c r="G50" i="69"/>
  <c r="E51" i="56" s="1"/>
  <c r="K50" i="69"/>
  <c r="H51" i="56" s="1"/>
  <c r="M4" i="69"/>
  <c r="M5" i="69" s="1"/>
  <c r="M6" i="69" s="1"/>
  <c r="M7" i="69" s="1"/>
  <c r="M8" i="69" s="1"/>
  <c r="M9" i="69" s="1"/>
  <c r="K38" i="68"/>
  <c r="L38" i="68"/>
  <c r="J21" i="56" s="1"/>
  <c r="M4" i="68"/>
  <c r="M5" i="68" s="1"/>
  <c r="M6" i="68" s="1"/>
  <c r="M7" i="68" s="1"/>
  <c r="M8" i="68" s="1"/>
  <c r="M9" i="68" s="1"/>
  <c r="K41" i="25"/>
  <c r="H49" i="56"/>
  <c r="K49" i="56" s="1"/>
  <c r="H19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K35" i="3"/>
  <c r="M20" i="11"/>
  <c r="E18" i="56"/>
  <c r="H18" i="56" s="1"/>
  <c r="K18" i="56" s="1"/>
  <c r="K35" i="63"/>
  <c r="L35" i="63"/>
  <c r="J23" i="56" s="1"/>
  <c r="M4" i="63"/>
  <c r="M5" i="63" s="1"/>
  <c r="M6" i="63" s="1"/>
  <c r="K39" i="62"/>
  <c r="M4" i="62"/>
  <c r="M7" i="62" s="1"/>
  <c r="M8" i="62" s="1"/>
  <c r="M9" i="62" s="1"/>
  <c r="M10" i="62" s="1"/>
  <c r="M11" i="62" s="1"/>
  <c r="M12" i="62" s="1"/>
  <c r="M13" i="62" s="1"/>
  <c r="M14" i="62" s="1"/>
  <c r="M15" i="62" s="1"/>
  <c r="L43" i="51"/>
  <c r="M4" i="51"/>
  <c r="M5" i="51" s="1"/>
  <c r="M6" i="51" s="1"/>
  <c r="K48" i="56"/>
  <c r="K43" i="56"/>
  <c r="K35" i="60"/>
  <c r="K46" i="26"/>
  <c r="M4" i="10"/>
  <c r="K44" i="33"/>
  <c r="K35" i="9"/>
  <c r="M4" i="9"/>
  <c r="M24" i="14"/>
  <c r="M25" i="14" s="1"/>
  <c r="M26" i="14" s="1"/>
  <c r="M27" i="14" s="1"/>
  <c r="M28" i="14" s="1"/>
  <c r="M29" i="14" s="1"/>
  <c r="M30" i="14" s="1"/>
  <c r="E17" i="56"/>
  <c r="E56" i="56" s="1"/>
  <c r="M16" i="12"/>
  <c r="M17" i="12" s="1"/>
  <c r="M18" i="12" s="1"/>
  <c r="M19" i="12" s="1"/>
  <c r="M20" i="12" s="1"/>
  <c r="M21" i="12" s="1"/>
  <c r="M22" i="12" s="1"/>
  <c r="K31" i="56"/>
  <c r="H28" i="56"/>
  <c r="M4" i="41"/>
  <c r="K42" i="41"/>
  <c r="M4" i="16"/>
  <c r="K37" i="16"/>
  <c r="K54" i="56"/>
  <c r="K35" i="58"/>
  <c r="L4" i="58"/>
  <c r="L35" i="58" s="1"/>
  <c r="J12" i="56" s="1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55" i="22"/>
  <c r="K2" i="56"/>
  <c r="M6" i="26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" i="50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K43" i="35"/>
  <c r="L43" i="35"/>
  <c r="J52" i="56" s="1"/>
  <c r="K52" i="56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K21" i="56"/>
  <c r="M16" i="99" l="1"/>
  <c r="M17" i="99" s="1"/>
  <c r="M18" i="99" s="1"/>
  <c r="M19" i="99" s="1"/>
  <c r="M20" i="99" s="1"/>
  <c r="M21" i="99" s="1"/>
  <c r="M22" i="99" s="1"/>
  <c r="N27" i="45"/>
  <c r="N28" i="45" s="1"/>
  <c r="N29" i="45" s="1"/>
  <c r="N30" i="45" s="1"/>
  <c r="N31" i="45" s="1"/>
  <c r="N23" i="45"/>
  <c r="N24" i="45" s="1"/>
  <c r="N25" i="45" s="1"/>
  <c r="N26" i="45" s="1"/>
  <c r="M11" i="24"/>
  <c r="M12" i="24" s="1"/>
  <c r="M6" i="103"/>
  <c r="M7" i="103" s="1"/>
  <c r="M8" i="103" s="1"/>
  <c r="M9" i="103" s="1"/>
  <c r="M10" i="103" s="1"/>
  <c r="M11" i="103" s="1"/>
  <c r="M12" i="103" s="1"/>
  <c r="M13" i="103" s="1"/>
  <c r="M14" i="103" s="1"/>
  <c r="M15" i="103" s="1"/>
  <c r="M16" i="103" s="1"/>
  <c r="M17" i="103" s="1"/>
  <c r="M18" i="103" s="1"/>
  <c r="M19" i="103" s="1"/>
  <c r="M20" i="103" s="1"/>
  <c r="M21" i="103" s="1"/>
  <c r="M22" i="103" s="1"/>
  <c r="M23" i="103" s="1"/>
  <c r="M24" i="103" s="1"/>
  <c r="M25" i="103" s="1"/>
  <c r="M26" i="103" s="1"/>
  <c r="M27" i="103" s="1"/>
  <c r="M28" i="103" s="1"/>
  <c r="M29" i="103" s="1"/>
  <c r="M30" i="103" s="1"/>
  <c r="M31" i="103" s="1"/>
  <c r="M32" i="103" s="1"/>
  <c r="M33" i="103" s="1"/>
  <c r="M34" i="103" s="1"/>
  <c r="M35" i="103" s="1"/>
  <c r="M36" i="103" s="1"/>
  <c r="M37" i="103" s="1"/>
  <c r="M38" i="103" s="1"/>
  <c r="M5" i="103"/>
  <c r="M5" i="41"/>
  <c r="M6" i="41" s="1"/>
  <c r="M7" i="41" s="1"/>
  <c r="M8" i="41" s="1"/>
  <c r="M9" i="41" s="1"/>
  <c r="M17" i="41" s="1"/>
  <c r="M18" i="41" s="1"/>
  <c r="M19" i="41" s="1"/>
  <c r="M20" i="41" s="1"/>
  <c r="M21" i="41" s="1"/>
  <c r="M22" i="41" s="1"/>
  <c r="M23" i="41" s="1"/>
  <c r="M24" i="41" s="1"/>
  <c r="M25" i="41" s="1"/>
  <c r="M23" i="99"/>
  <c r="M24" i="99" s="1"/>
  <c r="M25" i="99" s="1"/>
  <c r="M26" i="99" s="1"/>
  <c r="M27" i="99" s="1"/>
  <c r="M28" i="99" s="1"/>
  <c r="M29" i="99" s="1"/>
  <c r="M30" i="99" s="1"/>
  <c r="M31" i="99" s="1"/>
  <c r="M32" i="99" s="1"/>
  <c r="M33" i="99" s="1"/>
  <c r="M34" i="99" s="1"/>
  <c r="M35" i="99" s="1"/>
  <c r="M36" i="99" s="1"/>
  <c r="M37" i="99" s="1"/>
  <c r="M38" i="99" s="1"/>
  <c r="M16" i="62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M36" i="62" s="1"/>
  <c r="M37" i="62" s="1"/>
  <c r="M38" i="62" s="1"/>
  <c r="H56" i="56"/>
  <c r="M21" i="11"/>
  <c r="M22" i="11" s="1"/>
  <c r="M23" i="11" s="1"/>
  <c r="M24" i="11" s="1"/>
  <c r="M25" i="11" s="1"/>
  <c r="M26" i="11" s="1"/>
  <c r="M23" i="12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7" i="63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M28" i="63" s="1"/>
  <c r="M29" i="63" s="1"/>
  <c r="M30" i="63" s="1"/>
  <c r="M31" i="63" s="1"/>
  <c r="M32" i="63" s="1"/>
  <c r="M33" i="63" s="1"/>
  <c r="M17" i="80"/>
  <c r="M18" i="80" s="1"/>
  <c r="M19" i="80" s="1"/>
  <c r="M20" i="80" s="1"/>
  <c r="M21" i="80" s="1"/>
  <c r="M22" i="80" s="1"/>
  <c r="M28" i="95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27" i="95"/>
  <c r="M5" i="85"/>
  <c r="M6" i="85" s="1"/>
  <c r="M7" i="85" s="1"/>
  <c r="M8" i="85" s="1"/>
  <c r="M9" i="85" s="1"/>
  <c r="M26" i="41"/>
  <c r="M27" i="41" s="1"/>
  <c r="M28" i="41" s="1"/>
  <c r="M29" i="41" s="1"/>
  <c r="M12" i="79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M10" i="68"/>
  <c r="M11" i="68" s="1"/>
  <c r="M12" i="68" s="1"/>
  <c r="M13" i="68" s="1"/>
  <c r="M14" i="68" s="1"/>
  <c r="M15" i="68" s="1"/>
  <c r="M16" i="68" s="1"/>
  <c r="M17" i="68" s="1"/>
  <c r="M18" i="68" s="1"/>
  <c r="M19" i="68" s="1"/>
  <c r="M29" i="16"/>
  <c r="M30" i="16" s="1"/>
  <c r="M31" i="16" s="1"/>
  <c r="M32" i="16" s="1"/>
  <c r="M33" i="16" s="1"/>
  <c r="M34" i="16" s="1"/>
  <c r="M35" i="16" s="1"/>
  <c r="M36" i="16" s="1"/>
  <c r="M10" i="85"/>
  <c r="M11" i="85" s="1"/>
  <c r="M12" i="85" s="1"/>
  <c r="M13" i="85" s="1"/>
  <c r="M14" i="85" s="1"/>
  <c r="M15" i="85" s="1"/>
  <c r="M16" i="85" s="1"/>
  <c r="M17" i="85" s="1"/>
  <c r="M18" i="85" s="1"/>
  <c r="M19" i="85" s="1"/>
  <c r="M20" i="85" s="1"/>
  <c r="M21" i="85" s="1"/>
  <c r="M22" i="85" s="1"/>
  <c r="J53" i="56"/>
  <c r="K53" i="56" s="1"/>
  <c r="M5" i="82"/>
  <c r="M6" i="82" s="1"/>
  <c r="M7" i="82" s="1"/>
  <c r="M8" i="82" s="1"/>
  <c r="M9" i="82" s="1"/>
  <c r="M10" i="82" s="1"/>
  <c r="M11" i="82" s="1"/>
  <c r="M12" i="82" s="1"/>
  <c r="M13" i="82" s="1"/>
  <c r="M14" i="82" s="1"/>
  <c r="M15" i="82" s="1"/>
  <c r="K28" i="56"/>
  <c r="Q18" i="81"/>
  <c r="K22" i="56"/>
  <c r="K23" i="56"/>
  <c r="M7" i="51"/>
  <c r="M8" i="51" s="1"/>
  <c r="M9" i="51" s="1"/>
  <c r="M10" i="51" s="1"/>
  <c r="M11" i="51" s="1"/>
  <c r="M12" i="51" s="1"/>
  <c r="M13" i="51" s="1"/>
  <c r="M14" i="51" s="1"/>
  <c r="M10" i="69"/>
  <c r="M11" i="69" s="1"/>
  <c r="M12" i="69" s="1"/>
  <c r="M13" i="69" s="1"/>
  <c r="M14" i="69" s="1"/>
  <c r="M15" i="69" s="1"/>
  <c r="M16" i="69" s="1"/>
  <c r="M17" i="69" s="1"/>
  <c r="M18" i="69" s="1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C65" i="56" a="1"/>
  <c r="C65" i="56" s="1"/>
  <c r="M31" i="14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3" i="24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L41" i="25"/>
  <c r="J32" i="56" s="1"/>
  <c r="K19" i="56"/>
  <c r="L35" i="60"/>
  <c r="J45" i="56" s="1"/>
  <c r="K45" i="56" s="1"/>
  <c r="M4" i="60"/>
  <c r="L44" i="33"/>
  <c r="J50" i="56" s="1"/>
  <c r="M4" i="33"/>
  <c r="K12" i="56"/>
  <c r="L55" i="22"/>
  <c r="J33" i="56" s="1"/>
  <c r="M5" i="50"/>
  <c r="M6" i="50" s="1"/>
  <c r="M7" i="50" s="1"/>
  <c r="M8" i="50" s="1"/>
  <c r="M9" i="50" s="1"/>
  <c r="M13" i="9"/>
  <c r="M14" i="9" s="1"/>
  <c r="L47" i="35"/>
  <c r="N34" i="45" l="1"/>
  <c r="N32" i="45"/>
  <c r="N35" i="45" s="1"/>
  <c r="N38" i="45" s="1"/>
  <c r="N42" i="45" s="1"/>
  <c r="M41" i="75"/>
  <c r="M23" i="85"/>
  <c r="M24" i="85" s="1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M55" i="85" s="1"/>
  <c r="P55" i="85" s="1"/>
  <c r="M20" i="68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34" i="68" s="1"/>
  <c r="M35" i="68" s="1"/>
  <c r="M27" i="11"/>
  <c r="M28" i="11" s="1"/>
  <c r="M29" i="11" s="1"/>
  <c r="M30" i="11" s="1"/>
  <c r="M31" i="11" s="1"/>
  <c r="M32" i="11" s="1"/>
  <c r="M33" i="11" s="1"/>
  <c r="M34" i="11" s="1"/>
  <c r="M35" i="11" s="1"/>
  <c r="M36" i="11" s="1"/>
  <c r="M23" i="80"/>
  <c r="M24" i="80" s="1"/>
  <c r="M25" i="80" s="1"/>
  <c r="M26" i="80" s="1"/>
  <c r="M27" i="80" s="1"/>
  <c r="M28" i="80" s="1"/>
  <c r="M29" i="80" s="1"/>
  <c r="M30" i="80" s="1"/>
  <c r="M31" i="80" s="1"/>
  <c r="M32" i="80" s="1"/>
  <c r="M33" i="80" s="1"/>
  <c r="M34" i="80" s="1"/>
  <c r="M35" i="80" s="1"/>
  <c r="M36" i="80" s="1"/>
  <c r="M37" i="80" s="1"/>
  <c r="M38" i="80" s="1"/>
  <c r="M39" i="80" s="1"/>
  <c r="M10" i="50"/>
  <c r="M11" i="50" s="1"/>
  <c r="M12" i="50" s="1"/>
  <c r="M13" i="50" s="1"/>
  <c r="M30" i="41"/>
  <c r="M31" i="41" s="1"/>
  <c r="M32" i="41" s="1"/>
  <c r="M33" i="41" s="1"/>
  <c r="M34" i="41" s="1"/>
  <c r="M35" i="41" s="1"/>
  <c r="M36" i="41" s="1"/>
  <c r="M37" i="41" s="1"/>
  <c r="M38" i="41" s="1"/>
  <c r="M39" i="41" s="1"/>
  <c r="M40" i="41" s="1"/>
  <c r="M41" i="41" s="1"/>
  <c r="M32" i="69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M48" i="69" s="1"/>
  <c r="M49" i="69" s="1"/>
  <c r="K51" i="56" s="1"/>
  <c r="M15" i="51"/>
  <c r="M16" i="51" s="1"/>
  <c r="M17" i="51" s="1"/>
  <c r="M18" i="51" s="1"/>
  <c r="M19" i="51" s="1"/>
  <c r="M20" i="51" s="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5" i="60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15" i="9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16" i="82"/>
  <c r="M17" i="82" s="1"/>
  <c r="M18" i="82" s="1"/>
  <c r="M19" i="82" s="1"/>
  <c r="M20" i="82" s="1"/>
  <c r="M21" i="82" s="1"/>
  <c r="M22" i="82" s="1"/>
  <c r="M23" i="82" s="1"/>
  <c r="M24" i="82" s="1"/>
  <c r="M25" i="82" s="1"/>
  <c r="M26" i="82" s="1"/>
  <c r="M27" i="82" s="1"/>
  <c r="M28" i="82" s="1"/>
  <c r="M29" i="82" s="1"/>
  <c r="M30" i="82" s="1"/>
  <c r="M31" i="82" s="1"/>
  <c r="M32" i="82" s="1"/>
  <c r="M33" i="82" s="1"/>
  <c r="M34" i="82" s="1"/>
  <c r="K32" i="56"/>
  <c r="J56" i="56"/>
  <c r="Q41" i="14"/>
  <c r="K50" i="56"/>
  <c r="B62" i="56" a="1"/>
  <c r="B62" i="56" s="1"/>
  <c r="M32" i="51"/>
  <c r="M33" i="51" s="1"/>
  <c r="M34" i="51" s="1"/>
  <c r="M35" i="51" s="1"/>
  <c r="M36" i="51" s="1"/>
  <c r="M37" i="51" s="1"/>
  <c r="M38" i="51" s="1"/>
  <c r="M39" i="51" s="1"/>
  <c r="M14" i="24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14" i="50"/>
  <c r="M15" i="50" s="1"/>
  <c r="M16" i="50" s="1"/>
  <c r="M17" i="50" s="1"/>
  <c r="M18" i="50" s="1"/>
  <c r="M28" i="9"/>
  <c r="M29" i="9" s="1"/>
  <c r="M30" i="9" s="1"/>
  <c r="M31" i="9" s="1"/>
  <c r="M32" i="9" s="1"/>
  <c r="M33" i="9" s="1"/>
  <c r="M34" i="9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K33" i="56"/>
  <c r="N47" i="45" l="1"/>
  <c r="N68" i="45" s="1"/>
  <c r="N45" i="45"/>
  <c r="N37" i="45"/>
  <c r="N33" i="45"/>
  <c r="N36" i="45" s="1"/>
  <c r="N39" i="45" s="1"/>
  <c r="N43" i="45" s="1"/>
  <c r="M19" i="50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31" i="50" s="1"/>
  <c r="M32" i="50" s="1"/>
  <c r="P44" i="44"/>
  <c r="K56" i="56"/>
  <c r="M56" i="56" s="1"/>
  <c r="M15" i="24"/>
  <c r="M16" i="24" s="1"/>
  <c r="M17" i="24" s="1"/>
  <c r="M33" i="50"/>
  <c r="M34" i="50" s="1"/>
  <c r="M35" i="50" s="1"/>
  <c r="M19" i="35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N50" i="45" l="1"/>
  <c r="N69" i="45" s="1"/>
  <c r="N46" i="45"/>
  <c r="N41" i="45"/>
  <c r="N44" i="45" s="1"/>
  <c r="N67" i="45" s="1"/>
  <c r="N70" i="45" s="1"/>
  <c r="N71" i="45" s="1"/>
  <c r="N72" i="45" s="1"/>
  <c r="N73" i="45" s="1"/>
  <c r="N74" i="45" s="1"/>
  <c r="N75" i="45" s="1"/>
  <c r="N76" i="45" s="1"/>
  <c r="N77" i="45" s="1"/>
  <c r="N78" i="45" s="1"/>
  <c r="N79" i="45" s="1"/>
  <c r="N80" i="45" s="1"/>
  <c r="N81" i="45" s="1"/>
  <c r="N82" i="45" s="1"/>
  <c r="N83" i="45" s="1"/>
  <c r="N84" i="45" s="1"/>
  <c r="N85" i="45" s="1"/>
  <c r="N86" i="45" s="1"/>
  <c r="N87" i="45" s="1"/>
  <c r="N88" i="45" s="1"/>
  <c r="N89" i="45" s="1"/>
  <c r="N90" i="45" s="1"/>
  <c r="N91" i="45" s="1"/>
  <c r="N92" i="45" s="1"/>
  <c r="N40" i="45"/>
  <c r="M94" i="44"/>
  <c r="M95" i="44" s="1"/>
  <c r="M96" i="44" s="1"/>
  <c r="M97" i="44" s="1"/>
  <c r="O46" i="44"/>
  <c r="M45" i="81"/>
  <c r="P44" i="81"/>
  <c r="M18" i="24"/>
  <c r="M98" i="44" l="1"/>
  <c r="O97" i="44"/>
  <c r="M19" i="24"/>
  <c r="M20" i="24" l="1"/>
  <c r="M21" i="24" l="1"/>
  <c r="M22" i="24" l="1"/>
  <c r="M23" i="24" l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34" i="24" s="1"/>
  <c r="M35" i="24" l="1"/>
  <c r="K25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tc={C91BDA0C-E0EE-44F6-B001-4A44A8446B88}</author>
    <author>tc={DF965315-75F9-4208-9F4F-60F5CA767D66}</author>
  </authors>
  <commentList>
    <comment ref="L4" authorId="0" shapeId="0" xr:uid="{C91BDA0C-E0EE-44F6-B001-4A44A8446B8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fuel station ledger blance is  total Zero</t>
      </text>
    </comment>
    <comment ref="L5" authorId="1" shapeId="0" xr:uid="{DF965315-75F9-4208-9F4F-60F5CA767D66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Roundoff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<sst xmlns="http://schemas.openxmlformats.org/spreadsheetml/2006/main" count="2562" uniqueCount="435">
  <si>
    <t>S.No</t>
  </si>
  <si>
    <t>NAme</t>
  </si>
  <si>
    <t>Lacation</t>
  </si>
  <si>
    <t>Card Number</t>
  </si>
  <si>
    <t>Category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</si>
  <si>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</si>
  <si>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</si>
  <si>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</si>
  <si>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</si>
  <si>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</si>
  <si>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</si>
  <si>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</si>
  <si>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</si>
  <si>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</si>
  <si>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</si>
  <si>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</si>
  <si>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</si>
  <si>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</si>
  <si>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</si>
  <si>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</si>
  <si>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</si>
  <si>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</si>
  <si>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</si>
  <si>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</si>
  <si>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</si>
  <si>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</si>
  <si>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</si>
  <si>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</si>
  <si>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</si>
  <si>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</si>
  <si>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</si>
  <si>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</si>
  <si>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</si>
  <si>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</si>
  <si>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</si>
  <si>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</si>
  <si>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Total</t>
  </si>
  <si>
    <t>Diesel</t>
  </si>
  <si>
    <t>Rambabu</t>
  </si>
  <si>
    <t>HO(Two Wheeler)</t>
  </si>
  <si>
    <t>FC3450563999</t>
  </si>
  <si>
    <t>Petrol</t>
  </si>
  <si>
    <t>Hanumanth Rao</t>
  </si>
  <si>
    <t>HO</t>
  </si>
  <si>
    <t>FC3450676131</t>
  </si>
  <si>
    <t>Radhakrishna</t>
  </si>
  <si>
    <t>FC8000207658</t>
  </si>
  <si>
    <t>VIjay</t>
  </si>
  <si>
    <t>FC3450698859</t>
  </si>
  <si>
    <t>Client</t>
  </si>
  <si>
    <t>Hiriyur</t>
  </si>
  <si>
    <t>FC3450698864</t>
  </si>
  <si>
    <t>Hosadurga</t>
  </si>
  <si>
    <t>FC3450698865</t>
  </si>
  <si>
    <t>Diesel Price</t>
  </si>
  <si>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</si>
  <si>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</si>
  <si>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</si>
  <si>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</si>
  <si>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</si>
  <si>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</si>
  <si>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</si>
  <si>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</si>
  <si>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</si>
  <si>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</si>
  <si>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</si>
  <si>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</si>
  <si>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</si>
  <si>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</si>
  <si>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</si>
  <si>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Khammam-3</t>
  </si>
  <si>
    <t>JSASFuel Genie India Pvt.Ltd</t>
  </si>
  <si>
    <t>Khammam-Cash&amp;Carry</t>
  </si>
  <si>
    <t xml:space="preserve">NA </t>
  </si>
  <si>
    <t>Jadcherla-1</t>
  </si>
  <si>
    <t>Jadcherla-2</t>
  </si>
  <si>
    <t>Shree Poornima F/S</t>
  </si>
  <si>
    <t>Jadcherla-3</t>
  </si>
  <si>
    <t>Sai Baba Filling Station</t>
  </si>
  <si>
    <t>Sangareddy-2</t>
  </si>
  <si>
    <t>Durga Bhavani F/S</t>
  </si>
  <si>
    <t xml:space="preserve">VASUDEO NIVRUTTI </t>
  </si>
  <si>
    <t>Sangareddy-3</t>
  </si>
  <si>
    <t xml:space="preserve">Shiva Parvathi Filling Station </t>
  </si>
  <si>
    <t>NarayanaKhed</t>
  </si>
  <si>
    <t xml:space="preserve">Sai Shiva Filling Station </t>
  </si>
  <si>
    <t>Dindi</t>
  </si>
  <si>
    <t>Akarapu Balakistamma Fillling</t>
  </si>
  <si>
    <t>Madanapalli</t>
  </si>
  <si>
    <t>NA</t>
  </si>
  <si>
    <t>Kakinada</t>
  </si>
  <si>
    <t>YG Gudda-2</t>
  </si>
  <si>
    <t>Pankaja HP Fuel Center</t>
  </si>
  <si>
    <t xml:space="preserve">One stop 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</si>
  <si>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</si>
  <si>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</si>
  <si>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</si>
  <si>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</si>
  <si>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</si>
  <si>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</si>
  <si>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</si>
  <si>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</si>
  <si>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</si>
  <si>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</si>
  <si>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</si>
  <si>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</si>
  <si>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</si>
  <si>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</si>
  <si>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</si>
  <si>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</si>
  <si>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</t>
  </si>
  <si>
    <t>Shre Shiva Petroleum</t>
  </si>
  <si>
    <t>Daneshwari Petroleum</t>
  </si>
  <si>
    <t>Borgaon(PKG-3)</t>
  </si>
  <si>
    <t>Aadisagar Petrolium</t>
  </si>
  <si>
    <t>Ugar,Kudichi(PKG-3)</t>
  </si>
  <si>
    <t>Shiri Bhrhmanath Petrolium</t>
  </si>
  <si>
    <t>Shedbal</t>
  </si>
  <si>
    <t xml:space="preserve">Varad Petroluem </t>
  </si>
  <si>
    <t>Kabbur(PKG-3)</t>
  </si>
  <si>
    <t>Shri Jai Hanuman Petrolium</t>
  </si>
  <si>
    <t>Kumta (PKG-1)</t>
  </si>
  <si>
    <t xml:space="preserve">V.M.Mirjankar (Kumta) Bharat </t>
  </si>
  <si>
    <t>Jalgaon-1</t>
  </si>
  <si>
    <t>Jai Bajarang Sarvo Senter Bodwad</t>
  </si>
  <si>
    <t>Jalgaon-2</t>
  </si>
  <si>
    <t>Nayara</t>
  </si>
  <si>
    <t>Jalgaon-3</t>
  </si>
  <si>
    <t xml:space="preserve">Vasudeo Nivrutti </t>
  </si>
  <si>
    <t>Jalgaon-4</t>
  </si>
  <si>
    <t xml:space="preserve">Raksha Auto Fuels </t>
  </si>
  <si>
    <t>Jalgaon-5 C</t>
  </si>
  <si>
    <t>MKBD</t>
  </si>
  <si>
    <t>Shree Sai Samarth Petroleum</t>
  </si>
  <si>
    <t>Haveri</t>
  </si>
  <si>
    <t>M/s Magavi City Fuels</t>
  </si>
  <si>
    <t>Guttal-2</t>
  </si>
  <si>
    <t>Himagiri Petroleum</t>
  </si>
  <si>
    <t>Rattihali-2</t>
  </si>
  <si>
    <t>Shiva Oil Traders</t>
  </si>
  <si>
    <t>Gajendragada</t>
  </si>
  <si>
    <t>Vanasri Petrol Pump</t>
  </si>
  <si>
    <t>Gokak(PKG-3)</t>
  </si>
  <si>
    <t>AJ Petrolinks</t>
  </si>
  <si>
    <t>Hukkere</t>
  </si>
  <si>
    <t>TR Assocites</t>
  </si>
  <si>
    <t>Ankaligi</t>
  </si>
  <si>
    <t>Shivaganga</t>
  </si>
  <si>
    <t>Ghattaprabha</t>
  </si>
  <si>
    <t>Shri Deshpande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</si>
  <si>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</si>
  <si>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</si>
  <si>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</si>
  <si>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</si>
  <si>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</si>
  <si>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</si>
  <si>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</si>
  <si>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</si>
  <si>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</si>
  <si>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</si>
  <si>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</si>
  <si>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</si>
  <si>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</si>
  <si>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</si>
  <si>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</si>
  <si>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</si>
  <si>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</si>
  <si>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</si>
  <si>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</si>
  <si>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</si>
  <si>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</si>
  <si>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</si>
  <si>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</si>
  <si>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</si>
  <si>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</si>
  <si>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</si>
  <si>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</si>
  <si>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</si>
  <si>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</si>
  <si>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Khammam</t>
  </si>
  <si>
    <t>Jadcherla</t>
  </si>
  <si>
    <t>HPCL</t>
  </si>
  <si>
    <t>As 0n Date</t>
  </si>
  <si>
    <t>BT</t>
  </si>
  <si>
    <t>Dgm Personal cash</t>
  </si>
  <si>
    <t xml:space="preserve">JSASFuel Genie India Pvt.Ltd													</t>
  </si>
  <si>
    <t xml:space="preserve"> Cash &amp;Carry</t>
  </si>
  <si>
    <t>16.06.2025</t>
  </si>
  <si>
    <t>Stambhadri Fuel Park HPCL</t>
  </si>
  <si>
    <t>18.06.2025</t>
  </si>
  <si>
    <t>20.06.2025</t>
  </si>
  <si>
    <t>Ind no/Bill No</t>
  </si>
  <si>
    <t>As on Date</t>
  </si>
  <si>
    <t>/</t>
  </si>
  <si>
    <t xml:space="preserve"> Sai baba F/S</t>
  </si>
  <si>
    <t>SHIVA PARVATHI FILLING STATION SADASHIVPET</t>
  </si>
  <si>
    <t xml:space="preserve"> </t>
  </si>
  <si>
    <t>01.06.2026</t>
  </si>
  <si>
    <t>Sri Bhimeswara Agencies</t>
  </si>
  <si>
    <t>Amalapuram</t>
  </si>
  <si>
    <t> </t>
  </si>
  <si>
    <t>BPCL</t>
  </si>
  <si>
    <t>Satya Siva Durga Agencie</t>
  </si>
  <si>
    <t>Chebrolu</t>
  </si>
  <si>
    <t>BP- Kovvur Bharat petro</t>
  </si>
  <si>
    <t>Kovvur</t>
  </si>
  <si>
    <t>02.06.2026</t>
  </si>
  <si>
    <t xml:space="preserve">SARDAR SINGH SAHNI </t>
  </si>
  <si>
    <t>GANNAVARAM</t>
  </si>
  <si>
    <t>BP Kovvur</t>
  </si>
  <si>
    <t>kovvur</t>
  </si>
  <si>
    <t>BP -Kakinada</t>
  </si>
  <si>
    <t>03.06.2026</t>
  </si>
  <si>
    <t xml:space="preserve">ARM PETRO FILLING STATION </t>
  </si>
  <si>
    <t>NIDAMOLU</t>
  </si>
  <si>
    <t>SRI BHIMESWARA AGENCIES</t>
  </si>
  <si>
    <t>AMALAPURAM</t>
  </si>
  <si>
    <t>BP - KOVVUR</t>
  </si>
  <si>
    <t>KOVVUR</t>
  </si>
  <si>
    <t>04.06.2026</t>
  </si>
  <si>
    <t>BP - LALACHERUVU</t>
  </si>
  <si>
    <t>RAJAMUNDRY</t>
  </si>
  <si>
    <t>JVVR FILLING STATION</t>
  </si>
  <si>
    <t>PITHAAPURAM</t>
  </si>
  <si>
    <t>IOCL</t>
  </si>
  <si>
    <t>05.06.2026</t>
  </si>
  <si>
    <t>Vijay balaji Agencise</t>
  </si>
  <si>
    <t>Yanam</t>
  </si>
  <si>
    <t>Satya chandra Petrol Fill</t>
  </si>
  <si>
    <t>Madiki</t>
  </si>
  <si>
    <t>06.06.2026</t>
  </si>
  <si>
    <t>Sri balaji agencies</t>
  </si>
  <si>
    <t>Stya siva durga agencies</t>
  </si>
  <si>
    <t>BP-KAKINADA</t>
  </si>
  <si>
    <t>07.06.2026</t>
  </si>
  <si>
    <t>SRI BAlaji Agencies</t>
  </si>
  <si>
    <t>08.06.2026</t>
  </si>
  <si>
    <t>BP-QUARRY MARKET</t>
  </si>
  <si>
    <t>chebrolu</t>
  </si>
  <si>
    <t>Sri venkateswara enterprises</t>
  </si>
  <si>
    <t>yanam</t>
  </si>
  <si>
    <t>09.06.2026</t>
  </si>
  <si>
    <t>10.06.2026</t>
  </si>
  <si>
    <t>SRI SATYA DATTHA APARNA AGENCIES BPCL</t>
  </si>
  <si>
    <t>BP - Kakinada</t>
  </si>
  <si>
    <t>Sai Ganesh Aencies</t>
  </si>
  <si>
    <t>mummidivaram</t>
  </si>
  <si>
    <t>11.06.2026</t>
  </si>
  <si>
    <t>SATYARAGHAVA FUELS</t>
  </si>
  <si>
    <t>KOTHAPETA</t>
  </si>
  <si>
    <t>SREE S.V. Agencies</t>
  </si>
  <si>
    <t>peddapuram</t>
  </si>
  <si>
    <t>SRI MURALI KRISHNA</t>
  </si>
  <si>
    <t>KHAMMAM</t>
  </si>
  <si>
    <t>12.06.2026</t>
  </si>
  <si>
    <t>SATYA SIVA DURGA AGENCIE</t>
  </si>
  <si>
    <t>SRI RADHA PETROL FILLING</t>
  </si>
  <si>
    <t>13.06.2026</t>
  </si>
  <si>
    <t>KIKINADA</t>
  </si>
  <si>
    <t>CHEBROLU</t>
  </si>
  <si>
    <t>14.06.2026</t>
  </si>
  <si>
    <t>SATYA SIVA DURGA AGENCIES</t>
  </si>
  <si>
    <t>SRI SATYA ENTERPRISES</t>
  </si>
  <si>
    <t>YANAM</t>
  </si>
  <si>
    <t>BP -QUARRY MARKET</t>
  </si>
  <si>
    <t>B.P RAJANAGARAM</t>
  </si>
  <si>
    <t>15.06.2026</t>
  </si>
  <si>
    <t>SRI RAMAKRISHNA ENERGY</t>
  </si>
  <si>
    <t>KOVVURU</t>
  </si>
  <si>
    <t>SRI BALAJI AGENCIES</t>
  </si>
  <si>
    <t>16.06.2026</t>
  </si>
  <si>
    <t>SATYA SIVA DURGA</t>
  </si>
  <si>
    <t>BALAJI AGENCIES</t>
  </si>
  <si>
    <t>BHIMESWARA AGENCIES</t>
  </si>
  <si>
    <t>BP - KAKINADA</t>
  </si>
  <si>
    <t>17.06.2026</t>
  </si>
  <si>
    <t>SRI SATYA FILLING STATION</t>
  </si>
  <si>
    <t>ELESWARAM</t>
  </si>
  <si>
    <t>BP - CHAKRADWARABANDAM</t>
  </si>
  <si>
    <t>BP - QUARRY MARKET</t>
  </si>
  <si>
    <t>18.06.2026</t>
  </si>
  <si>
    <t>B.P KOVVURU</t>
  </si>
  <si>
    <t>B.P KAKINADA</t>
  </si>
  <si>
    <t>KAKINADA</t>
  </si>
  <si>
    <t>JVVR FILLING STATION BPCL</t>
  </si>
  <si>
    <t>MADHU LATHA AGENCIES</t>
  </si>
  <si>
    <t>SUREPALLI</t>
  </si>
  <si>
    <t>SRI RADHA PETROL FILL</t>
  </si>
  <si>
    <t>SRI LAKSHMI AGENCIES</t>
  </si>
  <si>
    <t>KONASEEMA  PETROL FILL</t>
  </si>
  <si>
    <t>RAVUPAPALEM</t>
  </si>
  <si>
    <t>SAI RAMA KRISHNA ENERGY</t>
  </si>
  <si>
    <t>UDHBAV FILLING STASTIN</t>
  </si>
  <si>
    <t xml:space="preserve">SRI BALAJI AGENCIES </t>
  </si>
  <si>
    <t>JVVR FILLING</t>
  </si>
  <si>
    <t xml:space="preserve">                  -  </t>
  </si>
  <si>
    <t xml:space="preserve">            -  </t>
  </si>
  <si>
    <t>SRI LAXMI AGENCIES</t>
  </si>
  <si>
    <t>SAMARLAKOTA</t>
  </si>
  <si>
    <t>SREE SV AGENCIES</t>
  </si>
  <si>
    <t>SATYA SIVADURGA AGENCIES</t>
  </si>
  <si>
    <t>YELESWARAM</t>
  </si>
  <si>
    <t>SAI RAMA KRISHNA ENERGY STATION</t>
  </si>
  <si>
    <t>SATYASIVADURGA AGENCIES</t>
  </si>
  <si>
    <t>B.P LALLACHERUVU</t>
  </si>
  <si>
    <t xml:space="preserve">SRI LALITHA AGENCIES </t>
  </si>
  <si>
    <t>SRI RADHA PETRO FILL</t>
  </si>
  <si>
    <t>SRI VISHNU AGENCIES</t>
  </si>
  <si>
    <t>SREE S V AGENCIES</t>
  </si>
  <si>
    <t>SAMRLAKOTA</t>
  </si>
  <si>
    <t>SRI SAI SURYA FUEL POINT</t>
  </si>
  <si>
    <t>RAJ PETROS</t>
  </si>
  <si>
    <t>RAVULAPALEM</t>
  </si>
  <si>
    <t>PITHAPURAM</t>
  </si>
  <si>
    <t>TIRUMALA AGENCIES</t>
  </si>
  <si>
    <t>ANATHAVARAM</t>
  </si>
  <si>
    <t>SATYASIVA DURGA AGENCIES</t>
  </si>
  <si>
    <t>GOLLAPROLU</t>
  </si>
  <si>
    <t>pithapuram</t>
  </si>
  <si>
    <t>One Stop</t>
  </si>
  <si>
    <t>BT Anther Bunk</t>
  </si>
  <si>
    <t>Sree Veerabhadreshwara Service Station</t>
  </si>
  <si>
    <t>Molakamuru</t>
  </si>
  <si>
    <t>Shivaganga Service Station (BPCL)</t>
  </si>
  <si>
    <t>HPCL OTP</t>
  </si>
  <si>
    <t>Chellakere-PKG-09</t>
  </si>
  <si>
    <t>Date of payment</t>
  </si>
  <si>
    <t>Shiri Shiva Petroluem</t>
  </si>
  <si>
    <t>HPCl</t>
  </si>
  <si>
    <t xml:space="preserve">SAI SHIVA FILLING STATION </t>
  </si>
  <si>
    <t>DANESHWARI  PETROLIUM(YERRAGATTI)</t>
  </si>
  <si>
    <t>d</t>
  </si>
  <si>
    <t>VARAD PETROLEUM SHEDBAL</t>
  </si>
  <si>
    <t xml:space="preserve">V.M.MIRJANKAR (KUMTA) BHARAT </t>
  </si>
  <si>
    <t>IOCL Card</t>
  </si>
  <si>
    <t>Kumta</t>
  </si>
  <si>
    <t>V.M.Mirjankar</t>
  </si>
  <si>
    <t>Month</t>
  </si>
  <si>
    <t>Disel In Litters</t>
  </si>
  <si>
    <t>Petrol In Litters</t>
  </si>
  <si>
    <t>Feb'-26</t>
  </si>
  <si>
    <t>March'-26</t>
  </si>
  <si>
    <t>April'-26</t>
  </si>
  <si>
    <t>May'-26</t>
  </si>
  <si>
    <t xml:space="preserve"> Nayara</t>
  </si>
  <si>
    <t>Vasudeo</t>
  </si>
  <si>
    <t>RTGS NO.</t>
  </si>
  <si>
    <t>Raksha</t>
  </si>
  <si>
    <t>CASH PURCHASE</t>
  </si>
  <si>
    <t>Paras Petroleum</t>
  </si>
  <si>
    <t>CASH PURCHASE PARTY WISE DETAILS</t>
  </si>
  <si>
    <t xml:space="preserve">RAKSHA AUTO FUELS </t>
  </si>
  <si>
    <t>SHRI KRISHNA PETROLEUM</t>
  </si>
  <si>
    <t>VANDAN PETROLEUM</t>
  </si>
  <si>
    <t>VENKATESH AUTOMOBILES</t>
  </si>
  <si>
    <t>CHANDRODAY PETROLEUM</t>
  </si>
  <si>
    <t>SAMRTH TRANSPORT</t>
  </si>
  <si>
    <t>BABA FUELS STATION</t>
  </si>
  <si>
    <t>TOTAL LTRS</t>
  </si>
  <si>
    <t>Engine Oil 15W40</t>
  </si>
  <si>
    <t>D.E.F. Oil</t>
  </si>
  <si>
    <t>Lubricant Purchaged</t>
  </si>
  <si>
    <t xml:space="preserve"> Magavi fuel F/S</t>
  </si>
  <si>
    <t>.</t>
  </si>
  <si>
    <t>`</t>
  </si>
  <si>
    <t>raja bhakshi</t>
  </si>
  <si>
    <t>Shiva ganga</t>
  </si>
  <si>
    <t xml:space="preserve">  TR Associates</t>
  </si>
  <si>
    <t xml:space="preserve"> S R PATIL</t>
  </si>
  <si>
    <t>Talikote</t>
  </si>
  <si>
    <t>BPCL Card Ledger</t>
  </si>
  <si>
    <t>Petrol Bunk Name</t>
  </si>
  <si>
    <t>Card No</t>
  </si>
  <si>
    <t>Recharge Amount</t>
  </si>
  <si>
    <t>Redeem</t>
  </si>
  <si>
    <t>BP- KOVVURU BHARAT PETROLEUM CORPN LTD.</t>
  </si>
  <si>
    <t>FC8000207659</t>
  </si>
  <si>
    <t>7,84,905.31</t>
  </si>
  <si>
    <t>PARAS PETROLEUM BHARAT PETROLEUM DEALERS</t>
  </si>
  <si>
    <t>FC3450676132</t>
  </si>
  <si>
    <t>SANDHYA FUEL STATION BHARAT PETROLEUM DEALERS</t>
  </si>
  <si>
    <t>SATYA SIVA DURGA AGENCIES BHARAT PETROLEUM DEALERS</t>
  </si>
  <si>
    <t>SHIVAGANGA SERVICE STATION BHARAT PETROLEUM DEALERS</t>
  </si>
  <si>
    <t>FC3450698863</t>
  </si>
  <si>
    <t>SREE MARUTHI FUEL STATION BHARAT PETROLEUM DEALERS</t>
  </si>
  <si>
    <t>FC8000207650</t>
  </si>
  <si>
    <t>SRI BALAJI AGENCIES BHARAT PETROLEUM DEALERS</t>
  </si>
  <si>
    <t>SRI BHIMESWARA AGENCIES BHARAT PETROLEUM DEALERS</t>
  </si>
  <si>
    <t>W SRINIVAS RAO &amp; SONS BHARAT PETROLEUM DEALERS</t>
  </si>
  <si>
    <t>BP-KAKINADA BHARAT PETROLEUM CORPORATION L</t>
  </si>
  <si>
    <t>SARDAR SINGH SAHNI &amp; SONS BHARAT PETROLEUM DEALERS</t>
  </si>
  <si>
    <t>ARM PETRO FILLING STATION BHARAT PETROLEUM DEALERS</t>
  </si>
  <si>
    <t>SRIRAM PETROLEUM &amp; CO BHARAT PETROLEUM DEALERS</t>
  </si>
  <si>
    <t>BP-LALLACHERUVU BHARAT PETROLEUM DEALERS</t>
  </si>
  <si>
    <t>JVVR FILLING STATION BHARAT PETROLEUM DEALERS</t>
  </si>
  <si>
    <t>SRI MARUTHI FILLING STATION BHARAT PETROLEUM DEALERS</t>
  </si>
  <si>
    <t>BACHUPALLY PETROFILL BHARAT PETROLEUM DEALERS</t>
  </si>
  <si>
    <t>BP-QUARRY MARKET BHARAT PETROLEUM DEALERS</t>
  </si>
  <si>
    <t>VIJAYA BHARAT FUEL &amp; SERVICES BHARAT PETROLEUM DEALERS</t>
  </si>
  <si>
    <t>EARTH PAVERS (HYD) PRIVATE LIM BHARAT PETROLEUM DEALERS</t>
  </si>
  <si>
    <t>SRI SATYA DATTHA APARNA AGENCI BHARAT PETROLEUM DEALERS</t>
  </si>
  <si>
    <t>SREE S.V.AGENCIES BHARAT PETROLEUM DEALERS</t>
  </si>
  <si>
    <t>HPCL Card Ledger</t>
  </si>
  <si>
    <t>DIVYA LAXMI GANAPATHI AUTO SERVICES</t>
  </si>
  <si>
    <t>8200079000522057</t>
  </si>
  <si>
    <t>TUMCOS FUEL STATION</t>
  </si>
  <si>
    <t>8200079004507062</t>
  </si>
  <si>
    <t>SHRI SHIVA PETROLEUM</t>
  </si>
  <si>
    <t>MSHSD SHRI HEMAGIRI PETROLEUM</t>
  </si>
  <si>
    <t>8200079004507121</t>
  </si>
  <si>
    <t>PANKAJA HP FUEL CENTRE</t>
  </si>
  <si>
    <t>8200079004507153</t>
  </si>
  <si>
    <t>Venkatadri fuel Point</t>
  </si>
  <si>
    <t>8200079005271461</t>
  </si>
  <si>
    <t>SATYA CHANDRA PETRO FILL</t>
  </si>
  <si>
    <t>8200079005271395</t>
  </si>
  <si>
    <t>VIJAYA BALAJI AGENCIES YANAM</t>
  </si>
  <si>
    <t>PADMA PETROLEUMS</t>
  </si>
  <si>
    <t>AJ PETROLINKS</t>
  </si>
  <si>
    <t>SHIVA OIL TRADERS</t>
  </si>
  <si>
    <t>8200079004507138</t>
  </si>
  <si>
    <t>8200079005271387</t>
  </si>
  <si>
    <t>SRI MURALIKRISHNA FILLING STATION</t>
  </si>
  <si>
    <t xml:space="preserve">Sri Ranga Amaravati </t>
  </si>
  <si>
    <t xml:space="preserve">SAI RAMAKRISHNA ENERGY STATION </t>
  </si>
  <si>
    <t>Stambhadri Fuel Park</t>
  </si>
  <si>
    <t>ONE STOP SERVICE STATION</t>
  </si>
  <si>
    <t>MADHULATHA AGENCIES</t>
  </si>
  <si>
    <t>UDHBAV FILLING STATION</t>
  </si>
  <si>
    <t>19.06.2026</t>
  </si>
  <si>
    <t>20.06.2026</t>
  </si>
  <si>
    <t>23.06.2026</t>
  </si>
  <si>
    <t>24.06.2026</t>
  </si>
  <si>
    <t>25.06.2026</t>
  </si>
  <si>
    <t>FC3450698866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</si>
</sst>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.0"/>
    <numFmt numFmtId="172" formatCode="dd/mm/yyyy"/>
  </numFmts>
  <fonts count="4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000000"/>
      <name val="Calibri"/>
    </font>
    <font>
      <sz val="12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charset val="134"/>
      <scheme val="minor"/>
    </font>
    <font>
      <sz val="11"/>
      <color theme="1"/>
      <name val="Cambria"/>
      <family val="1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charset val="13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612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5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4" fillId="0" borderId="6" xfId="1" applyFont="1" applyBorder="1" applyAlignment="1">
      <alignment vertical="center"/>
    </xf>
    <xf numFmtId="164" fontId="4" fillId="0" borderId="2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top"/>
    </xf>
    <xf numFmtId="164" fontId="4" fillId="0" borderId="4" xfId="1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 wrapText="1"/>
    </xf>
    <xf numFmtId="164" fontId="4" fillId="0" borderId="12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164" fontId="11" fillId="0" borderId="5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2" fontId="0" fillId="0" borderId="5" xfId="0" applyNumberFormat="1" applyBorder="1"/>
    <xf numFmtId="164" fontId="4" fillId="0" borderId="5" xfId="1" applyFont="1" applyBorder="1" applyAlignment="1">
      <alignment vertical="center"/>
    </xf>
    <xf numFmtId="2" fontId="10" fillId="4" borderId="5" xfId="0" applyNumberFormat="1" applyFont="1" applyFill="1" applyBorder="1" applyAlignment="1">
      <alignment horizontal="center" vertical="center"/>
    </xf>
    <xf numFmtId="164" fontId="10" fillId="4" borderId="5" xfId="1" applyFont="1" applyFill="1" applyBorder="1" applyAlignment="1">
      <alignment horizontal="center" vertical="center"/>
    </xf>
    <xf numFmtId="0" fontId="6" fillId="0" borderId="5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43" fontId="4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4" fontId="13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43" fontId="14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43" fontId="14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0" borderId="0" xfId="0" applyFont="1"/>
    <xf numFmtId="2" fontId="5" fillId="4" borderId="5" xfId="0" applyNumberFormat="1" applyFont="1" applyFill="1" applyBorder="1" applyAlignment="1">
      <alignment horizontal="center" vertical="center"/>
    </xf>
    <xf numFmtId="164" fontId="5" fillId="4" borderId="5" xfId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/>
    <xf numFmtId="0" fontId="4" fillId="0" borderId="5" xfId="0" applyFont="1" applyBorder="1" applyAlignment="1">
      <alignment vertical="center"/>
    </xf>
    <xf numFmtId="164" fontId="4" fillId="0" borderId="5" xfId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4" fillId="0" borderId="5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2" xfId="0" applyFont="1" applyBorder="1"/>
    <xf numFmtId="0" fontId="0" fillId="0" borderId="13" xfId="0" applyBorder="1"/>
    <xf numFmtId="0" fontId="18" fillId="0" borderId="5" xfId="0" applyFont="1" applyBorder="1"/>
    <xf numFmtId="2" fontId="18" fillId="0" borderId="5" xfId="0" applyNumberFormat="1" applyFont="1" applyBorder="1"/>
    <xf numFmtId="0" fontId="0" fillId="0" borderId="10" xfId="0" applyBorder="1"/>
    <xf numFmtId="0" fontId="14" fillId="3" borderId="1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5" xfId="0" applyFont="1" applyFill="1" applyBorder="1" applyAlignment="1">
      <alignment horizontal="center" vertical="center"/>
    </xf>
    <xf numFmtId="0" fontId="19" fillId="0" borderId="5" xfId="0" applyFont="1" applyBorder="1"/>
    <xf numFmtId="164" fontId="0" fillId="0" borderId="5" xfId="0" applyNumberFormat="1" applyBorder="1"/>
    <xf numFmtId="0" fontId="12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8" xfId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 wrapText="1"/>
    </xf>
    <xf numFmtId="43" fontId="12" fillId="3" borderId="6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/>
    </xf>
    <xf numFmtId="0" fontId="12" fillId="3" borderId="6" xfId="0" applyFont="1" applyFill="1" applyBorder="1" applyAlignment="1">
      <alignment horizontal="center" vertical="center"/>
    </xf>
    <xf numFmtId="43" fontId="12" fillId="3" borderId="6" xfId="0" applyNumberFormat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13" fillId="0" borderId="7" xfId="3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4" fontId="7" fillId="0" borderId="12" xfId="0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164" fontId="4" fillId="0" borderId="12" xfId="1" applyFont="1" applyBorder="1" applyAlignment="1">
      <alignment horizontal="center" vertical="top"/>
    </xf>
    <xf numFmtId="164" fontId="10" fillId="0" borderId="5" xfId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4" fillId="3" borderId="6" xfId="0" applyNumberFormat="1" applyFont="1" applyFill="1" applyBorder="1" applyAlignment="1">
      <alignment horizontal="center" vertical="center" wrapText="1"/>
    </xf>
    <xf numFmtId="43" fontId="14" fillId="3" borderId="6" xfId="0" applyNumberFormat="1" applyFont="1" applyFill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top"/>
    </xf>
    <xf numFmtId="164" fontId="4" fillId="0" borderId="7" xfId="1" applyFont="1" applyBorder="1" applyAlignment="1">
      <alignment vertical="center"/>
    </xf>
    <xf numFmtId="43" fontId="14" fillId="3" borderId="17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/>
    </xf>
    <xf numFmtId="43" fontId="6" fillId="2" borderId="5" xfId="0" applyNumberFormat="1" applyFont="1" applyFill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6" fontId="4" fillId="0" borderId="12" xfId="0" applyNumberFormat="1" applyFont="1" applyBorder="1" applyAlignment="1">
      <alignment horizontal="center"/>
    </xf>
    <xf numFmtId="2" fontId="4" fillId="0" borderId="12" xfId="0" applyNumberFormat="1" applyFont="1" applyBorder="1"/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vertical="center"/>
    </xf>
    <xf numFmtId="2" fontId="5" fillId="4" borderId="12" xfId="0" applyNumberFormat="1" applyFont="1" applyFill="1" applyBorder="1" applyAlignment="1">
      <alignment horizontal="center" vertical="center"/>
    </xf>
    <xf numFmtId="164" fontId="5" fillId="4" borderId="12" xfId="1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right"/>
    </xf>
    <xf numFmtId="164" fontId="5" fillId="0" borderId="5" xfId="1" applyFont="1" applyBorder="1" applyAlignment="1">
      <alignment horizontal="center" vertical="center" indent="1"/>
    </xf>
    <xf numFmtId="0" fontId="6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43" fontId="12" fillId="3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/>
    <xf numFmtId="0" fontId="11" fillId="0" borderId="17" xfId="0" applyFont="1" applyBorder="1" applyAlignment="1">
      <alignment horizontal="center" vertical="center"/>
    </xf>
    <xf numFmtId="0" fontId="4" fillId="0" borderId="13" xfId="0" applyFont="1" applyBorder="1"/>
    <xf numFmtId="14" fontId="4" fillId="0" borderId="13" xfId="0" applyNumberFormat="1" applyFont="1" applyBorder="1" applyAlignment="1">
      <alignment horizontal="center"/>
    </xf>
    <xf numFmtId="2" fontId="4" fillId="0" borderId="13" xfId="0" applyNumberFormat="1" applyFont="1" applyBorder="1"/>
    <xf numFmtId="2" fontId="4" fillId="0" borderId="13" xfId="0" applyNumberFormat="1" applyFont="1" applyBorder="1" applyAlignment="1">
      <alignment horizontal="right"/>
    </xf>
    <xf numFmtId="43" fontId="6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4" fillId="3" borderId="13" xfId="0" applyNumberFormat="1" applyFont="1" applyFill="1" applyBorder="1" applyAlignment="1">
      <alignment horizontal="center" vertical="center"/>
    </xf>
    <xf numFmtId="0" fontId="4" fillId="0" borderId="5" xfId="1" applyNumberFormat="1" applyFont="1" applyBorder="1" applyAlignment="1">
      <alignment vertical="center"/>
    </xf>
    <xf numFmtId="0" fontId="4" fillId="0" borderId="11" xfId="0" applyFont="1" applyBorder="1"/>
    <xf numFmtId="2" fontId="5" fillId="0" borderId="0" xfId="0" applyNumberFormat="1" applyFont="1"/>
    <xf numFmtId="2" fontId="0" fillId="0" borderId="12" xfId="0" applyNumberFormat="1" applyBorder="1"/>
    <xf numFmtId="0" fontId="11" fillId="0" borderId="13" xfId="0" applyFont="1" applyBorder="1" applyAlignment="1">
      <alignment horizontal="center" vertical="center"/>
    </xf>
    <xf numFmtId="2" fontId="10" fillId="4" borderId="26" xfId="0" applyNumberFormat="1" applyFont="1" applyFill="1" applyBorder="1" applyAlignment="1">
      <alignment horizontal="center" vertical="center"/>
    </xf>
    <xf numFmtId="164" fontId="4" fillId="0" borderId="13" xfId="1" applyFont="1" applyBorder="1" applyAlignment="1">
      <alignment horizontal="center" vertical="center"/>
    </xf>
    <xf numFmtId="0" fontId="14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4" fillId="3" borderId="6" xfId="0" applyNumberFormat="1" applyFont="1" applyFill="1" applyBorder="1" applyAlignment="1">
      <alignment horizontal="right" vertical="center" wrapText="1"/>
    </xf>
    <xf numFmtId="0" fontId="4" fillId="0" borderId="5" xfId="3" applyNumberFormat="1" applyFont="1" applyBorder="1" applyAlignment="1">
      <alignment vertical="center"/>
    </xf>
    <xf numFmtId="3" fontId="4" fillId="0" borderId="5" xfId="3" applyNumberFormat="1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164" fontId="4" fillId="0" borderId="13" xfId="1" applyFont="1" applyBorder="1" applyAlignment="1">
      <alignment vertical="center"/>
    </xf>
    <xf numFmtId="164" fontId="4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horizontal="center"/>
    </xf>
    <xf numFmtId="164" fontId="11" fillId="0" borderId="10" xfId="1" applyFont="1" applyBorder="1" applyAlignment="1">
      <alignment horizontal="center" vertical="center"/>
    </xf>
    <xf numFmtId="164" fontId="11" fillId="0" borderId="11" xfId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right" vertical="center"/>
    </xf>
    <xf numFmtId="164" fontId="11" fillId="0" borderId="5" xfId="1" applyFont="1" applyBorder="1" applyAlignment="1">
      <alignment horizontal="left" vertical="top"/>
    </xf>
    <xf numFmtId="165" fontId="4" fillId="0" borderId="10" xfId="0" applyNumberFormat="1" applyFont="1" applyBorder="1" applyAlignment="1">
      <alignment horizontal="center"/>
    </xf>
    <xf numFmtId="164" fontId="10" fillId="0" borderId="13" xfId="1" applyFont="1" applyBorder="1" applyAlignment="1">
      <alignment horizontal="center" vertical="center"/>
    </xf>
    <xf numFmtId="0" fontId="11" fillId="0" borderId="13" xfId="0" applyFont="1" applyBorder="1"/>
    <xf numFmtId="2" fontId="10" fillId="4" borderId="12" xfId="0" applyNumberFormat="1" applyFont="1" applyFill="1" applyBorder="1" applyAlignment="1">
      <alignment horizontal="center" vertical="center"/>
    </xf>
    <xf numFmtId="164" fontId="10" fillId="4" borderId="12" xfId="1" applyFont="1" applyFill="1" applyBorder="1" applyAlignment="1">
      <alignment horizontal="center" vertical="center"/>
    </xf>
    <xf numFmtId="0" fontId="13" fillId="0" borderId="5" xfId="3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3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4" fillId="0" borderId="12" xfId="1" applyNumberFormat="1" applyFont="1" applyBorder="1" applyAlignment="1">
      <alignment vertical="center"/>
    </xf>
    <xf numFmtId="164" fontId="4" fillId="0" borderId="12" xfId="1" applyFont="1" applyBorder="1" applyAlignment="1">
      <alignment vertical="center"/>
    </xf>
    <xf numFmtId="2" fontId="0" fillId="0" borderId="13" xfId="0" applyNumberFormat="1" applyBorder="1"/>
    <xf numFmtId="2" fontId="14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4" fillId="2" borderId="13" xfId="0" applyFont="1" applyFill="1" applyBorder="1" applyAlignment="1">
      <alignment horizontal="center" vertical="center" wrapText="1"/>
    </xf>
    <xf numFmtId="164" fontId="11" fillId="0" borderId="12" xfId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65" fontId="4" fillId="0" borderId="27" xfId="0" applyNumberFormat="1" applyFont="1" applyBorder="1" applyAlignment="1">
      <alignment horizontal="center"/>
    </xf>
    <xf numFmtId="0" fontId="0" fillId="0" borderId="21" xfId="0" applyBorder="1"/>
    <xf numFmtId="0" fontId="4" fillId="0" borderId="1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15" fontId="19" fillId="2" borderId="5" xfId="0" applyNumberFormat="1" applyFont="1" applyFill="1" applyBorder="1"/>
    <xf numFmtId="0" fontId="6" fillId="0" borderId="13" xfId="0" applyFont="1" applyBorder="1"/>
    <xf numFmtId="0" fontId="21" fillId="0" borderId="0" xfId="0" applyFont="1"/>
    <xf numFmtId="2" fontId="14" fillId="3" borderId="6" xfId="0" applyNumberFormat="1" applyFont="1" applyFill="1" applyBorder="1" applyAlignment="1">
      <alignment horizontal="center" vertical="center" wrapText="1"/>
    </xf>
    <xf numFmtId="2" fontId="14" fillId="3" borderId="6" xfId="0" applyNumberFormat="1" applyFont="1" applyFill="1" applyBorder="1" applyAlignment="1">
      <alignment horizontal="center" vertical="center"/>
    </xf>
    <xf numFmtId="0" fontId="18" fillId="0" borderId="13" xfId="0" applyFont="1" applyBorder="1"/>
    <xf numFmtId="2" fontId="10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4" fillId="2" borderId="5" xfId="1" applyFont="1" applyFill="1" applyBorder="1" applyAlignment="1">
      <alignment horizontal="center" vertical="center"/>
    </xf>
    <xf numFmtId="164" fontId="10" fillId="0" borderId="10" xfId="1" applyFont="1" applyBorder="1" applyAlignment="1">
      <alignment vertical="center"/>
    </xf>
    <xf numFmtId="0" fontId="0" fillId="0" borderId="11" xfId="0" applyBorder="1"/>
    <xf numFmtId="164" fontId="11" fillId="0" borderId="8" xfId="1" applyFont="1" applyBorder="1" applyAlignment="1">
      <alignment horizontal="center" vertical="center"/>
    </xf>
    <xf numFmtId="164" fontId="11" fillId="0" borderId="4" xfId="1" applyFont="1" applyBorder="1" applyAlignment="1">
      <alignment horizontal="center" vertical="center"/>
    </xf>
    <xf numFmtId="164" fontId="11" fillId="0" borderId="18" xfId="1" applyFont="1" applyBorder="1" applyAlignment="1">
      <alignment horizontal="center" vertical="center"/>
    </xf>
    <xf numFmtId="164" fontId="11" fillId="0" borderId="24" xfId="1" applyFont="1" applyBorder="1" applyAlignment="1">
      <alignment horizontal="center" vertical="center"/>
    </xf>
    <xf numFmtId="167" fontId="0" fillId="0" borderId="0" xfId="0" applyNumberFormat="1"/>
    <xf numFmtId="4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vertical="center"/>
    </xf>
    <xf numFmtId="4" fontId="0" fillId="0" borderId="0" xfId="0" applyNumberFormat="1"/>
    <xf numFmtId="168" fontId="4" fillId="0" borderId="2" xfId="1" applyNumberFormat="1" applyFont="1" applyBorder="1" applyAlignment="1">
      <alignment horizontal="center" vertical="top"/>
    </xf>
    <xf numFmtId="0" fontId="5" fillId="7" borderId="0" xfId="0" applyFont="1" applyFill="1" applyAlignment="1">
      <alignment vertical="center"/>
    </xf>
    <xf numFmtId="0" fontId="18" fillId="7" borderId="0" xfId="0" applyFont="1" applyFill="1"/>
    <xf numFmtId="0" fontId="0" fillId="0" borderId="12" xfId="0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2" fontId="4" fillId="0" borderId="5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4" fontId="6" fillId="0" borderId="5" xfId="0" applyNumberFormat="1" applyFont="1" applyBorder="1"/>
    <xf numFmtId="164" fontId="0" fillId="0" borderId="0" xfId="0" applyNumberFormat="1" applyAlignment="1">
      <alignment horizontal="center"/>
    </xf>
    <xf numFmtId="0" fontId="14" fillId="3" borderId="6" xfId="0" applyFont="1" applyFill="1" applyBorder="1" applyAlignment="1">
      <alignment vertical="center" wrapText="1"/>
    </xf>
    <xf numFmtId="166" fontId="4" fillId="0" borderId="5" xfId="0" applyNumberFormat="1" applyFont="1" applyBorder="1"/>
    <xf numFmtId="164" fontId="5" fillId="4" borderId="5" xfId="1" applyFont="1" applyFill="1" applyBorder="1" applyAlignment="1">
      <alignment vertical="center"/>
    </xf>
    <xf numFmtId="169" fontId="0" fillId="0" borderId="11" xfId="0" applyNumberFormat="1" applyBorder="1"/>
    <xf numFmtId="0" fontId="24" fillId="0" borderId="11" xfId="0" applyFont="1" applyBorder="1" applyAlignment="1">
      <alignment horizontal="center" vertical="center"/>
    </xf>
    <xf numFmtId="1" fontId="18" fillId="0" borderId="20" xfId="0" applyNumberFormat="1" applyFont="1" applyBorder="1" applyAlignment="1">
      <alignment vertical="center"/>
    </xf>
    <xf numFmtId="164" fontId="20" fillId="0" borderId="32" xfId="1" applyFont="1" applyBorder="1" applyAlignment="1">
      <alignment horizontal="center"/>
    </xf>
    <xf numFmtId="1" fontId="4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9" fillId="0" borderId="5" xfId="0" applyFont="1" applyBorder="1"/>
    <xf numFmtId="166" fontId="25" fillId="0" borderId="5" xfId="0" applyNumberFormat="1" applyFont="1" applyBorder="1" applyAlignment="1">
      <alignment horizontal="center"/>
    </xf>
    <xf numFmtId="166" fontId="24" fillId="0" borderId="5" xfId="0" applyNumberFormat="1" applyFont="1" applyBorder="1" applyAlignment="1">
      <alignment horizontal="center" vertical="center"/>
    </xf>
    <xf numFmtId="0" fontId="26" fillId="8" borderId="28" xfId="0" applyFont="1" applyFill="1" applyBorder="1"/>
    <xf numFmtId="0" fontId="26" fillId="8" borderId="29" xfId="0" applyFont="1" applyFill="1" applyBorder="1"/>
    <xf numFmtId="2" fontId="26" fillId="8" borderId="29" xfId="0" applyNumberFormat="1" applyFont="1" applyFill="1" applyBorder="1"/>
    <xf numFmtId="2" fontId="26" fillId="8" borderId="30" xfId="0" applyNumberFormat="1" applyFont="1" applyFill="1" applyBorder="1"/>
    <xf numFmtId="0" fontId="27" fillId="0" borderId="0" xfId="0" applyFont="1"/>
    <xf numFmtId="0" fontId="27" fillId="0" borderId="5" xfId="0" applyFont="1" applyBorder="1"/>
    <xf numFmtId="1" fontId="27" fillId="2" borderId="5" xfId="0" applyNumberFormat="1" applyFont="1" applyFill="1" applyBorder="1"/>
    <xf numFmtId="0" fontId="27" fillId="0" borderId="5" xfId="0" applyFont="1" applyBorder="1" applyAlignment="1">
      <alignment wrapText="1"/>
    </xf>
    <xf numFmtId="2" fontId="27" fillId="0" borderId="5" xfId="0" applyNumberFormat="1" applyFont="1" applyBorder="1"/>
    <xf numFmtId="2" fontId="27" fillId="0" borderId="0" xfId="0" applyNumberFormat="1" applyFont="1"/>
    <xf numFmtId="1" fontId="27" fillId="0" borderId="0" xfId="0" applyNumberFormat="1" applyFont="1"/>
    <xf numFmtId="164" fontId="29" fillId="0" borderId="5" xfId="4" applyNumberFormat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 wrapText="1"/>
    </xf>
    <xf numFmtId="2" fontId="14" fillId="3" borderId="5" xfId="0" applyNumberFormat="1" applyFont="1" applyFill="1" applyBorder="1" applyAlignment="1">
      <alignment horizontal="right" vertical="center" wrapText="1"/>
    </xf>
    <xf numFmtId="0" fontId="14" fillId="3" borderId="5" xfId="0" applyFont="1" applyFill="1" applyBorder="1" applyAlignment="1">
      <alignment horizontal="right" vertical="center"/>
    </xf>
    <xf numFmtId="2" fontId="14" fillId="3" borderId="5" xfId="0" applyNumberFormat="1" applyFont="1" applyFill="1" applyBorder="1" applyAlignment="1">
      <alignment horizontal="right" vertical="center"/>
    </xf>
    <xf numFmtId="43" fontId="14" fillId="3" borderId="5" xfId="0" applyNumberFormat="1" applyFont="1" applyFill="1" applyBorder="1" applyAlignment="1">
      <alignment horizontal="right" vertical="center"/>
    </xf>
    <xf numFmtId="0" fontId="23" fillId="6" borderId="13" xfId="0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5" fillId="2" borderId="11" xfId="0" applyNumberFormat="1" applyFont="1" applyFill="1" applyBorder="1" applyAlignment="1">
      <alignment vertical="center"/>
    </xf>
    <xf numFmtId="2" fontId="5" fillId="2" borderId="5" xfId="0" applyNumberFormat="1" applyFont="1" applyFill="1" applyBorder="1" applyAlignment="1">
      <alignment vertical="center"/>
    </xf>
    <xf numFmtId="43" fontId="6" fillId="2" borderId="12" xfId="0" applyNumberFormat="1" applyFont="1" applyFill="1" applyBorder="1" applyAlignment="1">
      <alignment horizontal="center" vertical="center"/>
    </xf>
    <xf numFmtId="164" fontId="30" fillId="0" borderId="5" xfId="1" applyFont="1" applyBorder="1" applyAlignment="1"/>
    <xf numFmtId="0" fontId="25" fillId="0" borderId="5" xfId="0" applyFont="1" applyBorder="1"/>
    <xf numFmtId="1" fontId="27" fillId="2" borderId="0" xfId="1" applyNumberFormat="1" applyFont="1" applyFill="1" applyBorder="1" applyAlignment="1">
      <alignment vertical="center"/>
    </xf>
    <xf numFmtId="170" fontId="6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1" fillId="0" borderId="0" xfId="0" applyNumberFormat="1" applyFont="1"/>
    <xf numFmtId="2" fontId="14" fillId="3" borderId="17" xfId="0" applyNumberFormat="1" applyFont="1" applyFill="1" applyBorder="1" applyAlignment="1">
      <alignment horizontal="center" vertical="center"/>
    </xf>
    <xf numFmtId="2" fontId="0" fillId="0" borderId="11" xfId="0" applyNumberFormat="1" applyBorder="1"/>
    <xf numFmtId="0" fontId="0" fillId="2" borderId="10" xfId="0" applyFill="1" applyBorder="1"/>
    <xf numFmtId="0" fontId="19" fillId="0" borderId="12" xfId="0" applyFont="1" applyBorder="1"/>
    <xf numFmtId="2" fontId="22" fillId="6" borderId="25" xfId="0" applyNumberFormat="1" applyFont="1" applyFill="1" applyBorder="1" applyAlignment="1">
      <alignment horizontal="right"/>
    </xf>
    <xf numFmtId="0" fontId="4" fillId="2" borderId="31" xfId="0" applyFont="1" applyFill="1" applyBorder="1"/>
    <xf numFmtId="0" fontId="19" fillId="0" borderId="11" xfId="0" applyFont="1" applyBorder="1"/>
    <xf numFmtId="0" fontId="19" fillId="2" borderId="13" xfId="0" applyFont="1" applyFill="1" applyBorder="1"/>
    <xf numFmtId="0" fontId="19" fillId="2" borderId="12" xfId="0" applyFont="1" applyFill="1" applyBorder="1"/>
    <xf numFmtId="166" fontId="30" fillId="0" borderId="5" xfId="0" applyNumberFormat="1" applyFont="1" applyBorder="1" applyAlignment="1">
      <alignment horizontal="center"/>
    </xf>
    <xf numFmtId="2" fontId="4" fillId="0" borderId="3" xfId="1" applyNumberFormat="1" applyFont="1" applyBorder="1" applyAlignment="1">
      <alignment vertical="center"/>
    </xf>
    <xf numFmtId="0" fontId="26" fillId="8" borderId="5" xfId="0" applyFont="1" applyFill="1" applyBorder="1"/>
    <xf numFmtId="2" fontId="26" fillId="8" borderId="5" xfId="0" applyNumberFormat="1" applyFont="1" applyFill="1" applyBorder="1"/>
    <xf numFmtId="0" fontId="27" fillId="10" borderId="5" xfId="0" applyFont="1" applyFill="1" applyBorder="1"/>
    <xf numFmtId="164" fontId="30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31" fillId="0" borderId="0" xfId="0" applyFont="1"/>
    <xf numFmtId="1" fontId="0" fillId="0" borderId="0" xfId="0" applyNumberFormat="1"/>
    <xf numFmtId="0" fontId="30" fillId="0" borderId="5" xfId="0" applyFont="1" applyBorder="1"/>
    <xf numFmtId="0" fontId="19" fillId="0" borderId="33" xfId="0" applyFont="1" applyBorder="1"/>
    <xf numFmtId="164" fontId="4" fillId="0" borderId="10" xfId="0" applyNumberFormat="1" applyFont="1" applyBorder="1" applyAlignment="1">
      <alignment vertical="center"/>
    </xf>
    <xf numFmtId="166" fontId="4" fillId="0" borderId="13" xfId="0" applyNumberFormat="1" applyFont="1" applyBorder="1"/>
    <xf numFmtId="164" fontId="4" fillId="0" borderId="13" xfId="1" applyFont="1" applyBorder="1" applyAlignment="1">
      <alignment horizontal="center" vertical="top"/>
    </xf>
    <xf numFmtId="164" fontId="11" fillId="2" borderId="5" xfId="1" applyFont="1" applyFill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/>
    </xf>
    <xf numFmtId="0" fontId="4" fillId="0" borderId="12" xfId="0" applyFont="1" applyBorder="1"/>
    <xf numFmtId="164" fontId="20" fillId="0" borderId="2" xfId="1" applyFont="1" applyBorder="1" applyAlignment="1">
      <alignment horizontal="center"/>
    </xf>
    <xf numFmtId="16" fontId="0" fillId="0" borderId="0" xfId="0" applyNumberFormat="1"/>
    <xf numFmtId="0" fontId="27" fillId="10" borderId="0" xfId="0" applyFont="1" applyFill="1"/>
    <xf numFmtId="0" fontId="27" fillId="11" borderId="0" xfId="0" applyFont="1" applyFill="1"/>
    <xf numFmtId="0" fontId="32" fillId="0" borderId="5" xfId="0" applyFont="1" applyBorder="1"/>
    <xf numFmtId="0" fontId="4" fillId="2" borderId="11" xfId="0" applyFont="1" applyFill="1" applyBorder="1"/>
    <xf numFmtId="0" fontId="27" fillId="0" borderId="31" xfId="0" applyFont="1" applyBorder="1" applyAlignment="1">
      <alignment horizontal="center"/>
    </xf>
    <xf numFmtId="1" fontId="27" fillId="2" borderId="34" xfId="0" applyNumberFormat="1" applyFont="1" applyFill="1" applyBorder="1"/>
    <xf numFmtId="1" fontId="27" fillId="9" borderId="38" xfId="0" applyNumberFormat="1" applyFont="1" applyFill="1" applyBorder="1"/>
    <xf numFmtId="1" fontId="27" fillId="9" borderId="39" xfId="0" applyNumberFormat="1" applyFont="1" applyFill="1" applyBorder="1"/>
    <xf numFmtId="1" fontId="0" fillId="0" borderId="5" xfId="0" applyNumberFormat="1" applyBorder="1"/>
    <xf numFmtId="171" fontId="0" fillId="0" borderId="0" xfId="0" applyNumberFormat="1"/>
    <xf numFmtId="1" fontId="27" fillId="2" borderId="13" xfId="0" applyNumberFormat="1" applyFont="1" applyFill="1" applyBorder="1"/>
    <xf numFmtId="0" fontId="0" fillId="10" borderId="5" xfId="0" applyFill="1" applyBorder="1"/>
    <xf numFmtId="0" fontId="15" fillId="5" borderId="9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2" fontId="10" fillId="4" borderId="42" xfId="0" applyNumberFormat="1" applyFont="1" applyFill="1" applyBorder="1" applyAlignment="1">
      <alignment horizontal="center" vertical="center"/>
    </xf>
    <xf numFmtId="164" fontId="10" fillId="4" borderId="42" xfId="1" applyFont="1" applyFill="1" applyBorder="1" applyAlignment="1">
      <alignment horizontal="center" vertical="center"/>
    </xf>
    <xf numFmtId="164" fontId="10" fillId="4" borderId="43" xfId="1" applyFont="1" applyFill="1" applyBorder="1" applyAlignment="1">
      <alignment horizontal="center" vertical="center"/>
    </xf>
    <xf numFmtId="164" fontId="10" fillId="4" borderId="44" xfId="1" applyFont="1" applyFill="1" applyBorder="1" applyAlignment="1">
      <alignment horizontal="center" vertical="center"/>
    </xf>
    <xf numFmtId="164" fontId="11" fillId="0" borderId="0" xfId="1" applyFont="1" applyAlignment="1">
      <alignment horizontal="center" vertical="center"/>
    </xf>
    <xf numFmtId="0" fontId="18" fillId="0" borderId="0" xfId="0" applyFont="1"/>
    <xf numFmtId="1" fontId="27" fillId="2" borderId="5" xfId="1" applyNumberFormat="1" applyFont="1" applyFill="1" applyBorder="1" applyAlignment="1">
      <alignment vertical="center"/>
    </xf>
    <xf numFmtId="1" fontId="27" fillId="2" borderId="10" xfId="0" applyNumberFormat="1" applyFont="1" applyFill="1" applyBorder="1"/>
    <xf numFmtId="1" fontId="27" fillId="2" borderId="11" xfId="0" applyNumberFormat="1" applyFont="1" applyFill="1" applyBorder="1"/>
    <xf numFmtId="1" fontId="27" fillId="2" borderId="17" xfId="1" applyNumberFormat="1" applyFont="1" applyFill="1" applyBorder="1" applyAlignment="1">
      <alignment vertical="center"/>
    </xf>
    <xf numFmtId="0" fontId="0" fillId="2" borderId="0" xfId="0" applyFill="1"/>
    <xf numFmtId="2" fontId="33" fillId="2" borderId="5" xfId="0" applyNumberFormat="1" applyFont="1" applyFill="1" applyBorder="1" applyAlignment="1">
      <alignment horizontal="center" vertical="center"/>
    </xf>
    <xf numFmtId="171" fontId="0" fillId="0" borderId="5" xfId="0" applyNumberFormat="1" applyBorder="1"/>
    <xf numFmtId="0" fontId="33" fillId="12" borderId="5" xfId="0" applyFont="1" applyFill="1" applyBorder="1" applyAlignment="1">
      <alignment horizontal="center" vertical="center" wrapText="1"/>
    </xf>
    <xf numFmtId="2" fontId="33" fillId="12" borderId="5" xfId="0" applyNumberFormat="1" applyFont="1" applyFill="1" applyBorder="1" applyAlignment="1">
      <alignment horizontal="left" vertical="center" wrapText="1"/>
    </xf>
    <xf numFmtId="2" fontId="33" fillId="12" borderId="5" xfId="0" applyNumberFormat="1" applyFont="1" applyFill="1" applyBorder="1" applyAlignment="1">
      <alignment horizontal="center" vertical="center" wrapText="1"/>
    </xf>
    <xf numFmtId="2" fontId="33" fillId="12" borderId="5" xfId="0" applyNumberFormat="1" applyFont="1" applyFill="1" applyBorder="1" applyAlignment="1">
      <alignment horizontal="center" vertical="center"/>
    </xf>
    <xf numFmtId="14" fontId="33" fillId="12" borderId="5" xfId="0" applyNumberFormat="1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 wrapText="1"/>
    </xf>
    <xf numFmtId="2" fontId="33" fillId="2" borderId="5" xfId="0" applyNumberFormat="1" applyFont="1" applyFill="1" applyBorder="1" applyAlignment="1">
      <alignment horizontal="left" vertical="center" wrapText="1"/>
    </xf>
    <xf numFmtId="2" fontId="33" fillId="2" borderId="5" xfId="0" applyNumberFormat="1" applyFont="1" applyFill="1" applyBorder="1" applyAlignment="1">
      <alignment horizontal="center" vertical="center" wrapText="1"/>
    </xf>
    <xf numFmtId="2" fontId="36" fillId="2" borderId="5" xfId="0" applyNumberFormat="1" applyFont="1" applyFill="1" applyBorder="1" applyAlignment="1">
      <alignment horizontal="center" vertical="center" wrapText="1"/>
    </xf>
    <xf numFmtId="14" fontId="33" fillId="2" borderId="5" xfId="0" applyNumberFormat="1" applyFont="1" applyFill="1" applyBorder="1" applyAlignment="1">
      <alignment horizontal="center" vertical="center"/>
    </xf>
    <xf numFmtId="0" fontId="35" fillId="7" borderId="5" xfId="0" applyFont="1" applyFill="1" applyBorder="1"/>
    <xf numFmtId="0" fontId="35" fillId="6" borderId="5" xfId="0" applyFont="1" applyFill="1" applyBorder="1"/>
    <xf numFmtId="171" fontId="19" fillId="0" borderId="5" xfId="0" applyNumberFormat="1" applyFont="1" applyBorder="1"/>
    <xf numFmtId="0" fontId="35" fillId="9" borderId="5" xfId="0" applyFont="1" applyFill="1" applyBorder="1"/>
    <xf numFmtId="4" fontId="0" fillId="0" borderId="5" xfId="0" applyNumberFormat="1" applyBorder="1" applyAlignment="1">
      <alignment horizontal="right"/>
    </xf>
    <xf numFmtId="0" fontId="37" fillId="0" borderId="5" xfId="0" applyFont="1" applyBorder="1"/>
    <xf numFmtId="171" fontId="6" fillId="0" borderId="12" xfId="0" applyNumberFormat="1" applyFont="1" applyBorder="1"/>
    <xf numFmtId="1" fontId="27" fillId="2" borderId="12" xfId="0" applyNumberFormat="1" applyFont="1" applyFill="1" applyBorder="1"/>
    <xf numFmtId="164" fontId="4" fillId="0" borderId="10" xfId="1" applyFont="1" applyBorder="1" applyAlignment="1">
      <alignment horizontal="center" vertical="top"/>
    </xf>
    <xf numFmtId="0" fontId="19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4" fontId="19" fillId="0" borderId="21" xfId="0" applyNumberFormat="1" applyFont="1" applyBorder="1"/>
    <xf numFmtId="2" fontId="0" fillId="0" borderId="33" xfId="0" applyNumberFormat="1" applyBorder="1" applyAlignment="1">
      <alignment horizontal="right"/>
    </xf>
    <xf numFmtId="0" fontId="25" fillId="0" borderId="5" xfId="0" applyFont="1" applyBorder="1" applyAlignment="1">
      <alignment horizontal="center" vertical="center"/>
    </xf>
    <xf numFmtId="3" fontId="0" fillId="0" borderId="0" xfId="0" applyNumberFormat="1"/>
    <xf numFmtId="4" fontId="0" fillId="0" borderId="13" xfId="0" applyNumberFormat="1" applyBorder="1" applyAlignment="1">
      <alignment horizontal="right"/>
    </xf>
    <xf numFmtId="43" fontId="4" fillId="2" borderId="13" xfId="0" applyNumberFormat="1" applyFont="1" applyFill="1" applyBorder="1" applyAlignment="1">
      <alignment horizontal="center" vertical="center"/>
    </xf>
    <xf numFmtId="164" fontId="5" fillId="4" borderId="12" xfId="1" applyFont="1" applyFill="1" applyBorder="1" applyAlignment="1">
      <alignment vertical="center"/>
    </xf>
    <xf numFmtId="0" fontId="19" fillId="0" borderId="45" xfId="0" applyFont="1" applyBorder="1"/>
    <xf numFmtId="4" fontId="19" fillId="0" borderId="11" xfId="0" applyNumberFormat="1" applyFont="1" applyBorder="1"/>
    <xf numFmtId="164" fontId="11" fillId="0" borderId="33" xfId="1" applyFont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0" fontId="19" fillId="0" borderId="2" xfId="0" applyFont="1" applyBorder="1"/>
    <xf numFmtId="0" fontId="0" fillId="0" borderId="2" xfId="0" applyBorder="1" applyAlignment="1">
      <alignment horizontal="center" vertical="center"/>
    </xf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2" fontId="25" fillId="0" borderId="5" xfId="0" applyNumberFormat="1" applyFont="1" applyBorder="1" applyAlignment="1">
      <alignment horizontal="center"/>
    </xf>
    <xf numFmtId="0" fontId="19" fillId="0" borderId="0" xfId="0" applyFont="1"/>
    <xf numFmtId="2" fontId="25" fillId="0" borderId="5" xfId="0" applyNumberFormat="1" applyFont="1" applyBorder="1" applyAlignment="1">
      <alignment horizontal="left" indent="1"/>
    </xf>
    <xf numFmtId="166" fontId="4" fillId="0" borderId="5" xfId="0" applyNumberFormat="1" applyFont="1" applyBorder="1" applyAlignment="1">
      <alignment horizontal="right"/>
    </xf>
    <xf numFmtId="172" fontId="30" fillId="0" borderId="11" xfId="0" applyNumberFormat="1" applyFont="1" applyBorder="1" applyAlignment="1">
      <alignment horizontal="left" vertical="center" wrapText="1"/>
    </xf>
    <xf numFmtId="165" fontId="4" fillId="0" borderId="12" xfId="0" applyNumberFormat="1" applyFont="1" applyBorder="1" applyAlignment="1">
      <alignment horizontal="center"/>
    </xf>
    <xf numFmtId="166" fontId="4" fillId="0" borderId="12" xfId="0" applyNumberFormat="1" applyFont="1" applyBorder="1"/>
    <xf numFmtId="1" fontId="0" fillId="0" borderId="5" xfId="0" applyNumberFormat="1" applyBorder="1" applyAlignment="1">
      <alignment horizontal="center"/>
    </xf>
    <xf numFmtId="166" fontId="30" fillId="0" borderId="5" xfId="0" applyNumberFormat="1" applyFont="1" applyBorder="1" applyAlignment="1">
      <alignment horizontal="right" vertical="center"/>
    </xf>
    <xf numFmtId="164" fontId="30" fillId="0" borderId="5" xfId="1" applyFont="1" applyBorder="1" applyAlignment="1">
      <alignment horizontal="right" vertical="center"/>
    </xf>
    <xf numFmtId="0" fontId="0" fillId="2" borderId="5" xfId="0" applyFill="1" applyBorder="1"/>
    <xf numFmtId="2" fontId="22" fillId="6" borderId="24" xfId="0" applyNumberFormat="1" applyFont="1" applyFill="1" applyBorder="1" applyAlignment="1">
      <alignment horizontal="right"/>
    </xf>
    <xf numFmtId="0" fontId="0" fillId="0" borderId="27" xfId="0" applyBorder="1"/>
    <xf numFmtId="15" fontId="19" fillId="2" borderId="12" xfId="0" applyNumberFormat="1" applyFont="1" applyFill="1" applyBorder="1"/>
    <xf numFmtId="0" fontId="19" fillId="2" borderId="40" xfId="0" applyFont="1" applyFill="1" applyBorder="1"/>
    <xf numFmtId="0" fontId="0" fillId="0" borderId="12" xfId="0" applyBorder="1" applyAlignment="1">
      <alignment horizontal="right"/>
    </xf>
    <xf numFmtId="2" fontId="25" fillId="0" borderId="5" xfId="0" applyNumberFormat="1" applyFont="1" applyBorder="1"/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2" xfId="0" applyFont="1" applyBorder="1" applyAlignment="1">
      <alignment horizontal="center" vertical="top"/>
    </xf>
    <xf numFmtId="0" fontId="39" fillId="3" borderId="5" xfId="0" applyFont="1" applyFill="1" applyBorder="1" applyAlignment="1">
      <alignment horizontal="center" vertical="center"/>
    </xf>
    <xf numFmtId="0" fontId="39" fillId="3" borderId="5" xfId="0" applyFont="1" applyFill="1" applyBorder="1" applyAlignment="1">
      <alignment horizontal="center" vertical="center" wrapText="1"/>
    </xf>
    <xf numFmtId="0" fontId="39" fillId="3" borderId="5" xfId="0" applyFont="1" applyFill="1" applyBorder="1" applyAlignment="1">
      <alignment vertical="center" wrapText="1"/>
    </xf>
    <xf numFmtId="2" fontId="39" fillId="3" borderId="5" xfId="0" applyNumberFormat="1" applyFont="1" applyFill="1" applyBorder="1" applyAlignment="1">
      <alignment horizontal="center" vertical="center" wrapText="1"/>
    </xf>
    <xf numFmtId="2" fontId="39" fillId="3" borderId="5" xfId="0" applyNumberFormat="1" applyFont="1" applyFill="1" applyBorder="1" applyAlignment="1">
      <alignment horizontal="center" vertical="center"/>
    </xf>
    <xf numFmtId="43" fontId="39" fillId="3" borderId="5" xfId="0" applyNumberFormat="1" applyFont="1" applyFill="1" applyBorder="1" applyAlignment="1">
      <alignment horizontal="center" vertical="center"/>
    </xf>
    <xf numFmtId="164" fontId="41" fillId="0" borderId="5" xfId="1" applyFont="1" applyBorder="1" applyAlignment="1">
      <alignment horizontal="center" vertical="center"/>
    </xf>
    <xf numFmtId="165" fontId="25" fillId="0" borderId="5" xfId="0" applyNumberFormat="1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2" borderId="5" xfId="0" applyFont="1" applyFill="1" applyBorder="1" applyAlignment="1">
      <alignment horizontal="center" vertical="center" wrapText="1"/>
    </xf>
    <xf numFmtId="164" fontId="41" fillId="2" borderId="5" xfId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5" fontId="25" fillId="2" borderId="5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2" fontId="0" fillId="2" borderId="5" xfId="0" applyNumberFormat="1" applyFill="1" applyBorder="1"/>
    <xf numFmtId="2" fontId="0" fillId="2" borderId="13" xfId="0" applyNumberFormat="1" applyFill="1" applyBorder="1"/>
    <xf numFmtId="43" fontId="0" fillId="2" borderId="5" xfId="0" applyNumberFormat="1" applyFill="1" applyBorder="1"/>
    <xf numFmtId="0" fontId="0" fillId="2" borderId="23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2" fontId="0" fillId="0" borderId="5" xfId="0" applyNumberFormat="1" applyBorder="1" applyAlignment="1">
      <alignment horizontal="center" vertical="center"/>
    </xf>
    <xf numFmtId="0" fontId="0" fillId="2" borderId="13" xfId="0" applyFill="1" applyBorder="1"/>
    <xf numFmtId="0" fontId="0" fillId="2" borderId="13" xfId="0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39" fillId="3" borderId="13" xfId="0" applyFont="1" applyFill="1" applyBorder="1" applyAlignment="1">
      <alignment horizontal="center" vertical="center" wrapText="1"/>
    </xf>
    <xf numFmtId="43" fontId="0" fillId="0" borderId="5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quotePrefix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43" fontId="0" fillId="2" borderId="5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left"/>
    </xf>
    <xf numFmtId="0" fontId="5" fillId="0" borderId="5" xfId="0" applyFont="1" applyBorder="1"/>
    <xf numFmtId="165" fontId="4" fillId="2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6" fillId="0" borderId="2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0" fontId="19" fillId="0" borderId="13" xfId="0" applyFont="1" applyBorder="1"/>
    <xf numFmtId="2" fontId="0" fillId="0" borderId="13" xfId="0" applyNumberFormat="1" applyBorder="1" applyAlignment="1">
      <alignment horizontal="right"/>
    </xf>
    <xf numFmtId="0" fontId="19" fillId="0" borderId="23" xfId="0" applyFont="1" applyBorder="1"/>
    <xf numFmtId="2" fontId="0" fillId="0" borderId="24" xfId="0" applyNumberFormat="1" applyBorder="1" applyAlignment="1">
      <alignment horizontal="right"/>
    </xf>
    <xf numFmtId="0" fontId="19" fillId="0" borderId="25" xfId="0" applyFont="1" applyBorder="1"/>
    <xf numFmtId="0" fontId="19" fillId="0" borderId="24" xfId="0" applyFont="1" applyBorder="1"/>
    <xf numFmtId="2" fontId="0" fillId="0" borderId="21" xfId="0" applyNumberFormat="1" applyBorder="1" applyAlignment="1">
      <alignment horizontal="right"/>
    </xf>
    <xf numFmtId="0" fontId="19" fillId="0" borderId="21" xfId="0" applyFont="1" applyBorder="1"/>
    <xf numFmtId="15" fontId="19" fillId="2" borderId="13" xfId="0" applyNumberFormat="1" applyFont="1" applyFill="1" applyBorder="1"/>
    <xf numFmtId="0" fontId="6" fillId="0" borderId="40" xfId="0" applyFont="1" applyBorder="1"/>
    <xf numFmtId="0" fontId="19" fillId="0" borderId="40" xfId="0" applyFont="1" applyBorder="1"/>
    <xf numFmtId="0" fontId="0" fillId="2" borderId="23" xfId="0" applyFill="1" applyBorder="1"/>
    <xf numFmtId="15" fontId="19" fillId="2" borderId="23" xfId="0" applyNumberFormat="1" applyFont="1" applyFill="1" applyBorder="1"/>
    <xf numFmtId="15" fontId="19" fillId="2" borderId="10" xfId="0" applyNumberFormat="1" applyFont="1" applyFill="1" applyBorder="1"/>
    <xf numFmtId="15" fontId="19" fillId="2" borderId="27" xfId="0" applyNumberFormat="1" applyFont="1" applyFill="1" applyBorder="1"/>
    <xf numFmtId="2" fontId="0" fillId="2" borderId="24" xfId="0" applyNumberFormat="1" applyFill="1" applyBorder="1" applyAlignment="1">
      <alignment horizontal="right"/>
    </xf>
    <xf numFmtId="2" fontId="0" fillId="2" borderId="11" xfId="0" applyNumberFormat="1" applyFill="1" applyBorder="1" applyAlignment="1">
      <alignment horizontal="right"/>
    </xf>
    <xf numFmtId="2" fontId="0" fillId="2" borderId="33" xfId="0" applyNumberFormat="1" applyFill="1" applyBorder="1" applyAlignment="1">
      <alignment horizontal="right"/>
    </xf>
    <xf numFmtId="0" fontId="0" fillId="0" borderId="23" xfId="0" applyBorder="1"/>
    <xf numFmtId="0" fontId="19" fillId="0" borderId="46" xfId="0" applyFont="1" applyBorder="1"/>
    <xf numFmtId="2" fontId="0" fillId="2" borderId="13" xfId="0" applyNumberForma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0" fontId="43" fillId="0" borderId="2" xfId="0" applyFont="1" applyBorder="1"/>
    <xf numFmtId="0" fontId="0" fillId="0" borderId="13" xfId="0" applyBorder="1" applyAlignment="1">
      <alignment horizontal="right"/>
    </xf>
    <xf numFmtId="0" fontId="17" fillId="0" borderId="5" xfId="0" applyFont="1" applyBorder="1"/>
    <xf numFmtId="0" fontId="13" fillId="0" borderId="5" xfId="0" applyFont="1" applyBorder="1"/>
    <xf numFmtId="2" fontId="13" fillId="0" borderId="5" xfId="0" applyNumberFormat="1" applyFont="1" applyBorder="1"/>
    <xf numFmtId="14" fontId="4" fillId="0" borderId="13" xfId="0" applyNumberFormat="1" applyFont="1" applyBorder="1"/>
    <xf numFmtId="14" fontId="4" fillId="0" borderId="5" xfId="0" applyNumberFormat="1" applyFont="1" applyBorder="1"/>
    <xf numFmtId="0" fontId="44" fillId="0" borderId="5" xfId="0" applyFont="1" applyBorder="1"/>
    <xf numFmtId="0" fontId="45" fillId="0" borderId="5" xfId="0" applyFont="1" applyBorder="1"/>
    <xf numFmtId="2" fontId="46" fillId="0" borderId="5" xfId="0" applyNumberFormat="1" applyFont="1" applyBorder="1"/>
    <xf numFmtId="166" fontId="4" fillId="10" borderId="12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5" fillId="0" borderId="13" xfId="0" applyFont="1" applyBorder="1" applyAlignment="1">
      <alignment horizontal="center" vertical="center"/>
    </xf>
    <xf numFmtId="166" fontId="25" fillId="0" borderId="13" xfId="0" applyNumberFormat="1" applyFont="1" applyBorder="1" applyAlignment="1">
      <alignment horizontal="center"/>
    </xf>
    <xf numFmtId="2" fontId="0" fillId="0" borderId="10" xfId="0" applyNumberFormat="1" applyBorder="1"/>
    <xf numFmtId="2" fontId="10" fillId="4" borderId="47" xfId="0" applyNumberFormat="1" applyFont="1" applyFill="1" applyBorder="1" applyAlignment="1">
      <alignment horizontal="center" vertical="center"/>
    </xf>
    <xf numFmtId="166" fontId="43" fillId="0" borderId="5" xfId="0" applyNumberFormat="1" applyFont="1" applyBorder="1" applyAlignment="1">
      <alignment horizontal="center"/>
    </xf>
    <xf numFmtId="0" fontId="19" fillId="13" borderId="2" xfId="0" applyFont="1" applyFill="1" applyBorder="1"/>
    <xf numFmtId="0" fontId="19" fillId="13" borderId="7" xfId="0" applyFont="1" applyFill="1" applyBorder="1"/>
    <xf numFmtId="1" fontId="27" fillId="2" borderId="12" xfId="1" applyNumberFormat="1" applyFont="1" applyFill="1" applyBorder="1" applyAlignment="1">
      <alignment vertical="center"/>
    </xf>
    <xf numFmtId="0" fontId="6" fillId="10" borderId="5" xfId="0" applyFont="1" applyFill="1" applyBorder="1"/>
    <xf numFmtId="0" fontId="19" fillId="10" borderId="5" xfId="0" applyFont="1" applyFill="1" applyBorder="1"/>
    <xf numFmtId="166" fontId="43" fillId="0" borderId="13" xfId="0" applyNumberFormat="1" applyFont="1" applyBorder="1" applyAlignment="1">
      <alignment horizontal="left"/>
    </xf>
    <xf numFmtId="0" fontId="43" fillId="0" borderId="13" xfId="0" applyFont="1" applyBorder="1" applyAlignment="1">
      <alignment horizontal="left"/>
    </xf>
    <xf numFmtId="2" fontId="25" fillId="2" borderId="5" xfId="0" applyNumberFormat="1" applyFont="1" applyFill="1" applyBorder="1" applyAlignment="1">
      <alignment horizontal="center"/>
    </xf>
    <xf numFmtId="0" fontId="25" fillId="2" borderId="5" xfId="0" applyFont="1" applyFill="1" applyBorder="1"/>
    <xf numFmtId="4" fontId="19" fillId="0" borderId="4" xfId="0" applyNumberFormat="1" applyFont="1" applyBorder="1"/>
    <xf numFmtId="164" fontId="47" fillId="2" borderId="48" xfId="0" applyNumberFormat="1" applyFont="1" applyFill="1" applyBorder="1"/>
    <xf numFmtId="164" fontId="47" fillId="2" borderId="2" xfId="0" applyNumberFormat="1" applyFont="1" applyFill="1" applyBorder="1"/>
    <xf numFmtId="0" fontId="0" fillId="0" borderId="13" xfId="0" applyBorder="1" applyAlignment="1">
      <alignment horizontal="center" vertical="center"/>
    </xf>
    <xf numFmtId="166" fontId="25" fillId="0" borderId="12" xfId="0" applyNumberFormat="1" applyFont="1" applyBorder="1" applyAlignment="1">
      <alignment horizontal="left" indent="1"/>
    </xf>
    <xf numFmtId="166" fontId="25" fillId="0" borderId="5" xfId="0" applyNumberFormat="1" applyFont="1" applyBorder="1" applyAlignment="1">
      <alignment horizontal="left" indent="1"/>
    </xf>
    <xf numFmtId="0" fontId="6" fillId="13" borderId="2" xfId="0" applyFont="1" applyFill="1" applyBorder="1"/>
    <xf numFmtId="0" fontId="6" fillId="13" borderId="7" xfId="0" applyFont="1" applyFill="1" applyBorder="1"/>
    <xf numFmtId="0" fontId="6" fillId="13" borderId="8" xfId="0" applyFont="1" applyFill="1" applyBorder="1"/>
    <xf numFmtId="2" fontId="4" fillId="2" borderId="11" xfId="0" applyNumberFormat="1" applyFont="1" applyFill="1" applyBorder="1"/>
    <xf numFmtId="166" fontId="4" fillId="10" borderId="5" xfId="0" applyNumberFormat="1" applyFont="1" applyFill="1" applyBorder="1" applyAlignment="1">
      <alignment horizontal="center"/>
    </xf>
    <xf numFmtId="0" fontId="30" fillId="10" borderId="5" xfId="0" applyFont="1" applyFill="1" applyBorder="1"/>
    <xf numFmtId="164" fontId="25" fillId="0" borderId="5" xfId="1" applyFont="1" applyBorder="1" applyAlignment="1"/>
    <xf numFmtId="0" fontId="6" fillId="10" borderId="12" xfId="0" applyFont="1" applyFill="1" applyBorder="1"/>
    <xf numFmtId="2" fontId="4" fillId="2" borderId="5" xfId="0" applyNumberFormat="1" applyFont="1" applyFill="1" applyBorder="1"/>
    <xf numFmtId="166" fontId="25" fillId="0" borderId="5" xfId="0" applyNumberFormat="1" applyFont="1" applyBorder="1" applyAlignment="1">
      <alignment horizontal="center" indent="1"/>
    </xf>
    <xf numFmtId="0" fontId="19" fillId="13" borderId="8" xfId="0" applyFont="1" applyFill="1" applyBorder="1"/>
    <xf numFmtId="166" fontId="30" fillId="0" borderId="5" xfId="0" applyNumberFormat="1" applyFont="1" applyBorder="1" applyAlignment="1">
      <alignment horizontal="center" vertical="center"/>
    </xf>
    <xf numFmtId="0" fontId="19" fillId="13" borderId="4" xfId="0" applyFont="1" applyFill="1" applyBorder="1"/>
    <xf numFmtId="0" fontId="19" fillId="0" borderId="49" xfId="0" applyFont="1" applyBorder="1"/>
    <xf numFmtId="0" fontId="19" fillId="0" borderId="18" xfId="0" applyFont="1" applyBorder="1"/>
    <xf numFmtId="1" fontId="30" fillId="0" borderId="5" xfId="0" applyNumberFormat="1" applyFont="1" applyBorder="1" applyAlignment="1">
      <alignment horizontal="center" vertical="center"/>
    </xf>
    <xf numFmtId="43" fontId="4" fillId="0" borderId="0" xfId="0" applyNumberFormat="1" applyFont="1"/>
    <xf numFmtId="0" fontId="19" fillId="13" borderId="5" xfId="0" applyFont="1" applyFill="1" applyBorder="1"/>
    <xf numFmtId="165" fontId="4" fillId="0" borderId="40" xfId="0" applyNumberFormat="1" applyFont="1" applyBorder="1" applyAlignment="1">
      <alignment horizontal="center"/>
    </xf>
    <xf numFmtId="0" fontId="19" fillId="13" borderId="16" xfId="0" applyFont="1" applyFill="1" applyBorder="1"/>
    <xf numFmtId="4" fontId="19" fillId="0" borderId="24" xfId="0" applyNumberFormat="1" applyFont="1" applyBorder="1"/>
    <xf numFmtId="0" fontId="19" fillId="13" borderId="18" xfId="0" applyFont="1" applyFill="1" applyBorder="1"/>
    <xf numFmtId="1" fontId="0" fillId="0" borderId="10" xfId="0" applyNumberFormat="1" applyBorder="1"/>
    <xf numFmtId="0" fontId="13" fillId="0" borderId="5" xfId="0" quotePrefix="1" applyFont="1" applyBorder="1"/>
    <xf numFmtId="0" fontId="6" fillId="0" borderId="5" xfId="0" quotePrefix="1" applyFont="1" applyBorder="1"/>
    <xf numFmtId="0" fontId="4" fillId="0" borderId="0" xfId="0" quotePrefix="1" applyFont="1"/>
    <xf numFmtId="0" fontId="13" fillId="10" borderId="5" xfId="0" quotePrefix="1" applyFont="1" applyFill="1" applyBorder="1"/>
    <xf numFmtId="166" fontId="43" fillId="0" borderId="2" xfId="0" applyNumberFormat="1" applyFont="1" applyBorder="1" applyAlignment="1">
      <alignment horizontal="center"/>
    </xf>
    <xf numFmtId="15" fontId="19" fillId="0" borderId="6" xfId="0" applyNumberFormat="1" applyFont="1" applyBorder="1"/>
    <xf numFmtId="4" fontId="19" fillId="0" borderId="8" xfId="0" applyNumberFormat="1" applyFont="1" applyBorder="1"/>
    <xf numFmtId="0" fontId="19" fillId="13" borderId="49" xfId="0" applyFont="1" applyFill="1" applyBorder="1"/>
    <xf numFmtId="15" fontId="19" fillId="14" borderId="6" xfId="0" applyNumberFormat="1" applyFont="1" applyFill="1" applyBorder="1"/>
    <xf numFmtId="0" fontId="19" fillId="14" borderId="8" xfId="0" applyFont="1" applyFill="1" applyBorder="1"/>
    <xf numFmtId="0" fontId="19" fillId="14" borderId="18" xfId="0" applyFont="1" applyFill="1" applyBorder="1"/>
    <xf numFmtId="4" fontId="19" fillId="14" borderId="8" xfId="0" applyNumberFormat="1" applyFont="1" applyFill="1" applyBorder="1"/>
    <xf numFmtId="165" fontId="4" fillId="10" borderId="5" xfId="0" applyNumberFormat="1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2" fontId="33" fillId="12" borderId="5" xfId="0" applyNumberFormat="1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/>
    </xf>
    <xf numFmtId="0" fontId="3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8" fillId="9" borderId="35" xfId="0" applyFont="1" applyFill="1" applyBorder="1" applyAlignment="1">
      <alignment horizontal="center"/>
    </xf>
    <xf numFmtId="0" fontId="28" fillId="9" borderId="36" xfId="0" applyFont="1" applyFill="1" applyBorder="1" applyAlignment="1">
      <alignment horizontal="center"/>
    </xf>
    <xf numFmtId="0" fontId="28" fillId="9" borderId="37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5" fillId="5" borderId="41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5" fillId="5" borderId="5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5" fillId="5" borderId="0" xfId="0" applyFont="1" applyFill="1" applyAlignment="1">
      <alignment horizontal="center" wrapText="1"/>
    </xf>
    <xf numFmtId="0" fontId="5" fillId="0" borderId="2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2" borderId="10" xfId="0" applyFont="1" applyFill="1" applyBorder="1" applyAlignment="1">
      <alignment horizontal="center"/>
    </xf>
    <xf numFmtId="0" fontId="40" fillId="2" borderId="21" xfId="0" applyFont="1" applyFill="1" applyBorder="1" applyAlignment="1">
      <alignment horizontal="center"/>
    </xf>
    <xf numFmtId="0" fontId="40" fillId="2" borderId="11" xfId="0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2" fontId="15" fillId="5" borderId="10" xfId="0" applyNumberFormat="1" applyFont="1" applyFill="1" applyBorder="1" applyAlignment="1">
      <alignment horizontal="center" vertical="center"/>
    </xf>
    <xf numFmtId="2" fontId="15" fillId="5" borderId="21" xfId="0" applyNumberFormat="1" applyFont="1" applyFill="1" applyBorder="1" applyAlignment="1">
      <alignment horizontal="center" vertical="center"/>
    </xf>
    <xf numFmtId="2" fontId="15" fillId="5" borderId="11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21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15" fillId="5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43" fontId="5" fillId="2" borderId="10" xfId="0" applyNumberFormat="1" applyFont="1" applyFill="1" applyBorder="1" applyAlignment="1">
      <alignment horizontal="center" vertical="center"/>
    </xf>
    <xf numFmtId="43" fontId="5" fillId="2" borderId="1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1" fillId="0" borderId="5" xfId="0" quotePrefix="1" applyFont="1" applyBorder="1" applyAlignment="1">
      <alignment horizontal="left" wrapText="1"/>
    </xf>
    <xf numFmtId="2" fontId="1" fillId="0" borderId="5" xfId="0" applyNumberFormat="1" applyFont="1" applyBorder="1"/>
    <xf numFmtId="0" fontId="1" fillId="0" borderId="5" xfId="0" applyFont="1" applyBorder="1"/>
    <xf numFmtId="0" fontId="1" fillId="0" borderId="13" xfId="0" applyFont="1" applyBorder="1"/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1AB866F2-955A-47AE-8224-CB54BB3C3D91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6-07-01T10:32:24.57" personId="{1AB866F2-955A-47AE-8224-CB54BB3C3D91}" id="{C91BDA0C-E0EE-44F6-B001-4A44A8446B88}">
    <text>as per fuel station ledger blance is  total Zero</text>
  </threadedComment>
  <threadedComment ref="L5" dT="2026-07-01T10:33:03.68" personId="{1AB866F2-955A-47AE-8224-CB54BB3C3D91}" id="{DF965315-75F9-4208-9F4F-60F5CA767D66}">
    <text>Roundoff</text>
  </threadedComment>
</ThreadedComment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797-301E-4D70-B954-BDEBA92A43C0}">
  <dimension ref="A2:AM18"/>
  <sheetViews>
    <sheetView workbookViewId="0">
      <pane xSplit="5" topLeftCell="AW1" activePane="topRight" state="frozen"/>
      <selection pane="topRight" activeCell="AF19" sqref="AF19"/>
    </sheetView>
  </sheetViews>
  <sheetFormatPr defaultRowHeight="15"/>
  <cols>
    <col min="2" max="2" width="16" bestFit="1" customWidth="1"/>
    <col min="3" max="3" width="17.42578125" bestFit="1" customWidth="1"/>
    <col min="4" max="4" width="24.85546875" customWidth="1"/>
    <col min="5" max="5" width="18" customWidth="1"/>
    <col min="7" max="7" width="11.28515625" bestFit="1" customWidth="1"/>
    <col min="8" max="8" width="11.140625" bestFit="1" customWidth="1"/>
  </cols>
  <sheetData>
    <row r="2" spans="1:39">
      <c r="A2" s="356" t="s">
        <v>0</v>
      </c>
      <c r="B2" s="357" t="s">
        <v>1</v>
      </c>
      <c r="C2" s="358" t="s">
        <v>2</v>
      </c>
      <c r="D2" s="358" t="s">
        <v>3</v>
      </c>
      <c r="E2" s="358" t="s">
        <v>3</v>
      </c>
      <c r="F2" s="358" t="s">
        <v>4</v>
      </c>
      <c r="G2" s="550" t="s">
        <v>5</v>
      </c>
      <c r="H2" s="550"/>
      <c r="I2" s="359" t="s">
        <v>6</v>
      </c>
      <c r="J2" s="359" t="s">
        <v>7</v>
      </c>
      <c r="K2" s="359" t="s">
        <v>8</v>
      </c>
      <c r="L2" s="359" t="s">
        <v>9</v>
      </c>
      <c r="M2" s="359" t="s">
        <v>10</v>
      </c>
      <c r="N2" s="359" t="s">
        <v>11</v>
      </c>
      <c r="O2" s="359" t="s">
        <v>12</v>
      </c>
      <c r="P2" s="359" t="s">
        <v>13</v>
      </c>
      <c r="Q2" s="359" t="s">
        <v>14</v>
      </c>
      <c r="R2" s="359" t="s">
        <v>15</v>
      </c>
      <c r="S2" s="359" t="s">
        <v>16</v>
      </c>
      <c r="T2" s="359" t="s">
        <v>17</v>
      </c>
      <c r="U2" s="359" t="s">
        <v>18</v>
      </c>
      <c r="V2" s="359" t="s">
        <v>19</v>
      </c>
      <c r="W2" s="359" t="s">
        <v>20</v>
      </c>
      <c r="X2" s="359" t="s">
        <v>21</v>
      </c>
      <c r="Y2" s="359" t="s">
        <v>22</v>
      </c>
      <c r="Z2" s="359" t="s">
        <v>23</v>
      </c>
      <c r="AA2" s="359" t="s">
        <v>24</v>
      </c>
      <c r="AB2" s="359" t="s">
        <v>25</v>
      </c>
      <c r="AC2" s="359" t="s">
        <v>26</v>
      </c>
      <c r="AD2" s="359" t="s">
        <v>27</v>
      </c>
      <c r="AE2" s="359" t="s">
        <v>28</v>
      </c>
      <c r="AF2" s="359" t="s">
        <v>29</v>
      </c>
      <c r="AG2" s="359" t="s">
        <v>30</v>
      </c>
      <c r="AH2" s="359" t="s">
        <v>31</v>
      </c>
      <c r="AI2" s="359" t="s">
        <v>32</v>
      </c>
      <c r="AJ2" s="359" t="s">
        <v>33</v>
      </c>
      <c r="AK2" s="359" t="s">
        <v>34</v>
      </c>
      <c r="AL2" s="359" t="s">
        <v>35</v>
      </c>
      <c r="AM2" s="360" t="s">
        <v>36</v>
      </c>
    </row>
    <row r="3" spans="1:39" s="353" customFormat="1">
      <c r="A3" s="361"/>
      <c r="B3" s="362"/>
      <c r="C3" s="363"/>
      <c r="D3" s="363"/>
      <c r="E3" s="363"/>
      <c r="F3" s="364" t="s">
        <v>37</v>
      </c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65"/>
    </row>
    <row r="4" spans="1:39" ht="15.75">
      <c r="A4" s="553">
        <v>1</v>
      </c>
      <c r="B4" s="551" t="s">
        <v>38</v>
      </c>
      <c r="C4" s="551" t="s">
        <v>39</v>
      </c>
      <c r="D4" s="552" t="s">
        <v>40</v>
      </c>
      <c r="E4" s="366" t="s">
        <v>37</v>
      </c>
      <c r="F4" s="355">
        <v>0</v>
      </c>
      <c r="G4" s="355">
        <v>0</v>
      </c>
      <c r="H4" s="355">
        <v>0</v>
      </c>
      <c r="I4" s="355">
        <v>0</v>
      </c>
      <c r="J4" s="355">
        <v>0</v>
      </c>
      <c r="K4" s="355">
        <v>0</v>
      </c>
      <c r="L4" s="355">
        <v>0</v>
      </c>
      <c r="M4" s="355">
        <v>0</v>
      </c>
      <c r="N4" s="355">
        <v>0</v>
      </c>
      <c r="O4" s="355">
        <v>0</v>
      </c>
      <c r="P4" s="355">
        <v>0</v>
      </c>
      <c r="Q4" s="355">
        <v>0</v>
      </c>
      <c r="R4" s="355">
        <v>0</v>
      </c>
      <c r="S4" s="355">
        <v>0</v>
      </c>
      <c r="T4" s="355">
        <v>0</v>
      </c>
      <c r="U4" s="355">
        <v>0</v>
      </c>
      <c r="V4" s="355">
        <v>0</v>
      </c>
      <c r="W4" s="355">
        <v>0</v>
      </c>
      <c r="X4" s="355">
        <v>5.22</v>
      </c>
      <c r="Y4" s="355">
        <v>0</v>
      </c>
      <c r="Z4" s="355">
        <v>0</v>
      </c>
      <c r="AA4" s="355">
        <v>0</v>
      </c>
      <c r="AB4" s="355">
        <v>0</v>
      </c>
      <c r="AC4" s="355">
        <v>0</v>
      </c>
      <c r="AD4" s="355">
        <v>60</v>
      </c>
      <c r="AE4" s="355">
        <v>0</v>
      </c>
      <c r="AF4" s="355">
        <v>0</v>
      </c>
      <c r="AG4" s="355">
        <v>0</v>
      </c>
      <c r="AH4" s="355">
        <v>4.5599999999999996</v>
      </c>
      <c r="AI4" s="355">
        <v>0</v>
      </c>
      <c r="AJ4" s="355">
        <v>0</v>
      </c>
      <c r="AK4" s="355">
        <v>0</v>
      </c>
      <c r="AL4" s="355">
        <v>0</v>
      </c>
      <c r="AM4" s="355">
        <f>SUM(F4:AL4)</f>
        <v>69.78</v>
      </c>
    </row>
    <row r="5" spans="1:39" ht="15.75">
      <c r="A5" s="553"/>
      <c r="B5" s="551"/>
      <c r="C5" s="551"/>
      <c r="D5" s="552"/>
      <c r="E5" s="367" t="s">
        <v>41</v>
      </c>
      <c r="F5" s="355">
        <v>0</v>
      </c>
      <c r="G5" s="355">
        <v>4.6900000000000004</v>
      </c>
      <c r="H5" s="355">
        <v>0</v>
      </c>
      <c r="I5" s="355">
        <v>0</v>
      </c>
      <c r="J5" s="355">
        <v>0</v>
      </c>
      <c r="K5" s="355">
        <v>0</v>
      </c>
      <c r="L5" s="355">
        <v>0</v>
      </c>
      <c r="M5" s="355">
        <v>0</v>
      </c>
      <c r="N5" s="355">
        <v>3.91</v>
      </c>
      <c r="O5" s="355">
        <v>0</v>
      </c>
      <c r="P5" s="355">
        <v>6.98</v>
      </c>
      <c r="Q5" s="355">
        <v>0</v>
      </c>
      <c r="R5" s="355">
        <v>0</v>
      </c>
      <c r="S5" s="355">
        <v>0</v>
      </c>
      <c r="T5" s="355">
        <v>0</v>
      </c>
      <c r="U5" s="355">
        <v>0</v>
      </c>
      <c r="V5" s="355">
        <v>0</v>
      </c>
      <c r="W5" s="355">
        <v>0</v>
      </c>
      <c r="X5" s="355">
        <v>0</v>
      </c>
      <c r="Y5" s="355">
        <v>0</v>
      </c>
      <c r="Z5" s="355">
        <v>0</v>
      </c>
      <c r="AA5" s="355"/>
      <c r="AB5" s="355">
        <v>0</v>
      </c>
      <c r="AC5" s="368">
        <v>0</v>
      </c>
      <c r="AD5" s="355">
        <v>0</v>
      </c>
      <c r="AE5" s="355">
        <v>0</v>
      </c>
      <c r="AF5" s="355">
        <v>0</v>
      </c>
      <c r="AG5" s="355">
        <v>0</v>
      </c>
      <c r="AH5" s="355">
        <v>0</v>
      </c>
      <c r="AI5" s="355">
        <v>0</v>
      </c>
      <c r="AJ5" s="355">
        <v>0</v>
      </c>
      <c r="AK5" s="355">
        <v>0</v>
      </c>
      <c r="AL5" s="355">
        <v>0</v>
      </c>
      <c r="AM5" s="355">
        <f t="shared" ref="AM5:AM15" si="0">SUM(F5:AL5)</f>
        <v>15.580000000000002</v>
      </c>
    </row>
    <row r="6" spans="1:39" ht="15.75">
      <c r="A6" s="553">
        <v>2</v>
      </c>
      <c r="B6" s="551" t="s">
        <v>42</v>
      </c>
      <c r="C6" s="551" t="s">
        <v>43</v>
      </c>
      <c r="D6" s="552" t="s">
        <v>44</v>
      </c>
      <c r="E6" s="369" t="s">
        <v>37</v>
      </c>
      <c r="F6" s="355">
        <v>0</v>
      </c>
      <c r="G6" s="355">
        <v>0</v>
      </c>
      <c r="H6" s="355">
        <v>0</v>
      </c>
      <c r="I6" s="355">
        <v>0</v>
      </c>
      <c r="J6" s="355">
        <v>0</v>
      </c>
      <c r="K6" s="355">
        <v>0</v>
      </c>
      <c r="L6" s="355">
        <v>0</v>
      </c>
      <c r="M6" s="355">
        <v>0</v>
      </c>
      <c r="N6" s="355">
        <v>0</v>
      </c>
      <c r="O6" s="355">
        <v>0</v>
      </c>
      <c r="P6" s="355">
        <v>0</v>
      </c>
      <c r="Q6" s="355">
        <v>0</v>
      </c>
      <c r="R6" s="355">
        <v>0</v>
      </c>
      <c r="S6" s="355">
        <v>0</v>
      </c>
      <c r="T6" s="355">
        <v>0</v>
      </c>
      <c r="U6" s="355">
        <v>0</v>
      </c>
      <c r="V6" s="355">
        <v>0</v>
      </c>
      <c r="W6" s="355">
        <v>0</v>
      </c>
      <c r="X6" s="355">
        <v>0</v>
      </c>
      <c r="Y6" s="355">
        <v>0</v>
      </c>
      <c r="Z6" s="355">
        <v>0</v>
      </c>
      <c r="AA6" s="355">
        <v>0</v>
      </c>
      <c r="AB6" s="355">
        <v>0</v>
      </c>
      <c r="AC6" s="355">
        <v>0</v>
      </c>
      <c r="AD6" s="355">
        <v>0</v>
      </c>
      <c r="AE6" s="355">
        <v>0</v>
      </c>
      <c r="AF6" s="355">
        <v>0</v>
      </c>
      <c r="AG6" s="355">
        <v>0</v>
      </c>
      <c r="AH6" s="355">
        <v>0</v>
      </c>
      <c r="AI6" s="355">
        <v>0</v>
      </c>
      <c r="AJ6" s="355">
        <v>0</v>
      </c>
      <c r="AK6" s="355">
        <v>0</v>
      </c>
      <c r="AL6" s="355">
        <v>0</v>
      </c>
      <c r="AM6" s="355">
        <f t="shared" si="0"/>
        <v>0</v>
      </c>
    </row>
    <row r="7" spans="1:39" ht="15.75">
      <c r="A7" s="553"/>
      <c r="B7" s="551"/>
      <c r="C7" s="551"/>
      <c r="D7" s="552"/>
      <c r="E7" s="367" t="s">
        <v>41</v>
      </c>
      <c r="F7" s="355">
        <v>0</v>
      </c>
      <c r="G7" s="355">
        <v>0</v>
      </c>
      <c r="H7" s="355">
        <v>0</v>
      </c>
      <c r="I7" s="355">
        <v>0</v>
      </c>
      <c r="J7" s="355">
        <v>0</v>
      </c>
      <c r="K7" s="355">
        <v>0</v>
      </c>
      <c r="L7" s="355">
        <v>0</v>
      </c>
      <c r="M7" s="355">
        <v>0</v>
      </c>
      <c r="N7" s="355">
        <v>0</v>
      </c>
      <c r="O7" s="355">
        <v>0</v>
      </c>
      <c r="P7" s="355">
        <v>0</v>
      </c>
      <c r="Q7" s="355">
        <v>0</v>
      </c>
      <c r="R7" s="355">
        <v>0</v>
      </c>
      <c r="S7" s="355">
        <v>0</v>
      </c>
      <c r="T7" s="355">
        <v>0</v>
      </c>
      <c r="U7" s="355">
        <v>0</v>
      </c>
      <c r="V7" s="355">
        <v>0</v>
      </c>
      <c r="W7" s="355">
        <v>0</v>
      </c>
      <c r="X7" s="355">
        <v>0</v>
      </c>
      <c r="Y7" s="355">
        <v>0</v>
      </c>
      <c r="Z7" s="355">
        <v>0</v>
      </c>
      <c r="AA7" s="355"/>
      <c r="AB7" s="355">
        <v>0</v>
      </c>
      <c r="AC7" s="368">
        <v>0</v>
      </c>
      <c r="AD7" s="355">
        <v>0</v>
      </c>
      <c r="AE7" s="355">
        <v>0</v>
      </c>
      <c r="AF7" s="355">
        <v>0</v>
      </c>
      <c r="AG7" s="355">
        <v>0</v>
      </c>
      <c r="AH7" s="355">
        <v>0</v>
      </c>
      <c r="AI7" s="355">
        <v>0</v>
      </c>
      <c r="AJ7" s="355">
        <v>0</v>
      </c>
      <c r="AK7" s="355">
        <v>0</v>
      </c>
      <c r="AL7" s="355">
        <v>0</v>
      </c>
      <c r="AM7" s="355">
        <f t="shared" si="0"/>
        <v>0</v>
      </c>
    </row>
    <row r="8" spans="1:39" ht="15.75">
      <c r="A8" s="553">
        <v>3</v>
      </c>
      <c r="B8" s="551" t="s">
        <v>45</v>
      </c>
      <c r="C8" s="551" t="s">
        <v>43</v>
      </c>
      <c r="D8" s="552" t="s">
        <v>46</v>
      </c>
      <c r="E8" s="369" t="s">
        <v>37</v>
      </c>
      <c r="F8" s="355">
        <v>0</v>
      </c>
      <c r="G8" s="355">
        <v>0</v>
      </c>
      <c r="H8" s="355">
        <v>0</v>
      </c>
      <c r="I8" s="355">
        <v>0</v>
      </c>
      <c r="J8" s="355">
        <v>33.44</v>
      </c>
      <c r="K8" s="355">
        <v>0</v>
      </c>
      <c r="L8" s="355">
        <v>0</v>
      </c>
      <c r="M8" s="355">
        <v>0</v>
      </c>
      <c r="N8" s="355">
        <v>0</v>
      </c>
      <c r="O8" s="355">
        <v>0</v>
      </c>
      <c r="P8" s="355">
        <v>0</v>
      </c>
      <c r="Q8" s="355">
        <v>0</v>
      </c>
      <c r="R8" s="355">
        <v>35.53</v>
      </c>
      <c r="S8" s="355">
        <v>0</v>
      </c>
      <c r="T8" s="355">
        <v>0</v>
      </c>
      <c r="U8" s="355">
        <v>0</v>
      </c>
      <c r="V8" s="355">
        <v>0</v>
      </c>
      <c r="W8" s="355">
        <v>0</v>
      </c>
      <c r="X8" s="355">
        <v>0</v>
      </c>
      <c r="Y8" s="355">
        <v>0</v>
      </c>
      <c r="Z8" s="355">
        <v>0</v>
      </c>
      <c r="AA8" s="355">
        <v>0</v>
      </c>
      <c r="AB8" s="355">
        <v>33.44</v>
      </c>
      <c r="AC8" s="355">
        <v>0</v>
      </c>
      <c r="AD8" s="355">
        <v>0</v>
      </c>
      <c r="AE8" s="355">
        <v>0</v>
      </c>
      <c r="AF8" s="355">
        <v>0</v>
      </c>
      <c r="AG8" s="355">
        <v>0</v>
      </c>
      <c r="AH8" s="355">
        <v>0</v>
      </c>
      <c r="AI8" s="355">
        <v>0</v>
      </c>
      <c r="AJ8" s="355">
        <v>0</v>
      </c>
      <c r="AK8" s="355">
        <v>0</v>
      </c>
      <c r="AL8" s="355">
        <v>0</v>
      </c>
      <c r="AM8" s="355">
        <f t="shared" si="0"/>
        <v>102.41</v>
      </c>
    </row>
    <row r="9" spans="1:39" ht="15.75">
      <c r="A9" s="553"/>
      <c r="B9" s="551"/>
      <c r="C9" s="551"/>
      <c r="D9" s="552"/>
      <c r="E9" s="367" t="s">
        <v>41</v>
      </c>
      <c r="F9" s="355">
        <v>0</v>
      </c>
      <c r="G9" s="355">
        <v>0</v>
      </c>
      <c r="H9" s="355">
        <v>0</v>
      </c>
      <c r="I9" s="355">
        <v>0</v>
      </c>
      <c r="J9" s="355">
        <v>0</v>
      </c>
      <c r="K9" s="355">
        <v>0</v>
      </c>
      <c r="L9" s="355">
        <v>0</v>
      </c>
      <c r="M9" s="355">
        <v>0</v>
      </c>
      <c r="N9" s="355">
        <v>0</v>
      </c>
      <c r="O9" s="355">
        <v>0</v>
      </c>
      <c r="P9" s="355">
        <v>0</v>
      </c>
      <c r="Q9" s="355">
        <v>0</v>
      </c>
      <c r="R9" s="355">
        <v>0</v>
      </c>
      <c r="S9" s="355">
        <v>0</v>
      </c>
      <c r="T9" s="355">
        <v>0</v>
      </c>
      <c r="U9" s="355">
        <v>0</v>
      </c>
      <c r="V9" s="355">
        <v>0</v>
      </c>
      <c r="W9" s="355">
        <v>0</v>
      </c>
      <c r="X9" s="355">
        <v>0</v>
      </c>
      <c r="Y9" s="355">
        <v>0</v>
      </c>
      <c r="Z9" s="355">
        <v>0</v>
      </c>
      <c r="AA9" s="355"/>
      <c r="AB9" s="355">
        <v>0</v>
      </c>
      <c r="AC9" s="368">
        <v>0</v>
      </c>
      <c r="AD9" s="355">
        <v>0</v>
      </c>
      <c r="AE9" s="355">
        <v>0</v>
      </c>
      <c r="AF9" s="355">
        <v>0</v>
      </c>
      <c r="AG9" s="355">
        <v>0</v>
      </c>
      <c r="AH9" s="355">
        <v>0</v>
      </c>
      <c r="AI9" s="355">
        <v>0</v>
      </c>
      <c r="AJ9" s="355">
        <v>0</v>
      </c>
      <c r="AK9" s="355">
        <v>0</v>
      </c>
      <c r="AL9" s="355">
        <v>0</v>
      </c>
      <c r="AM9" s="355">
        <f t="shared" si="0"/>
        <v>0</v>
      </c>
    </row>
    <row r="10" spans="1:39" ht="15.75">
      <c r="A10" s="553">
        <v>4</v>
      </c>
      <c r="B10" s="551" t="s">
        <v>47</v>
      </c>
      <c r="C10" s="551" t="s">
        <v>43</v>
      </c>
      <c r="D10" s="552" t="s">
        <v>48</v>
      </c>
      <c r="E10" s="369" t="s">
        <v>37</v>
      </c>
      <c r="F10" s="355">
        <v>0</v>
      </c>
      <c r="G10" s="355">
        <v>0</v>
      </c>
      <c r="H10" s="355">
        <v>0</v>
      </c>
      <c r="I10" s="355">
        <v>0</v>
      </c>
      <c r="J10" s="355">
        <v>0</v>
      </c>
      <c r="K10" s="355">
        <v>0</v>
      </c>
      <c r="L10" s="355">
        <v>0</v>
      </c>
      <c r="M10" s="355">
        <v>0</v>
      </c>
      <c r="N10" s="355">
        <v>0</v>
      </c>
      <c r="O10" s="355">
        <v>0</v>
      </c>
      <c r="P10" s="355">
        <v>49.22</v>
      </c>
      <c r="Q10" s="355">
        <v>0</v>
      </c>
      <c r="R10" s="355">
        <v>0</v>
      </c>
      <c r="S10" s="355">
        <v>0</v>
      </c>
      <c r="T10" s="355">
        <v>0</v>
      </c>
      <c r="U10" s="355">
        <v>54.57</v>
      </c>
      <c r="V10" s="355">
        <v>0</v>
      </c>
      <c r="W10" s="355">
        <v>0</v>
      </c>
      <c r="X10" s="355">
        <v>0</v>
      </c>
      <c r="Y10" s="355">
        <v>0</v>
      </c>
      <c r="Z10" s="355">
        <v>0</v>
      </c>
      <c r="AA10" s="355">
        <v>0</v>
      </c>
      <c r="AB10" s="355">
        <v>0</v>
      </c>
      <c r="AC10" s="355">
        <v>0</v>
      </c>
      <c r="AD10" s="355">
        <v>49.8</v>
      </c>
      <c r="AE10" s="355">
        <v>0</v>
      </c>
      <c r="AF10" s="355">
        <v>0</v>
      </c>
      <c r="AG10" s="355">
        <v>0</v>
      </c>
      <c r="AH10" s="355">
        <v>0</v>
      </c>
      <c r="AI10" s="355">
        <v>0</v>
      </c>
      <c r="AJ10" s="355">
        <v>0</v>
      </c>
      <c r="AK10" s="355">
        <v>0</v>
      </c>
      <c r="AL10" s="355">
        <v>0</v>
      </c>
      <c r="AM10" s="355">
        <f t="shared" si="0"/>
        <v>153.58999999999997</v>
      </c>
    </row>
    <row r="11" spans="1:39" ht="15.75">
      <c r="A11" s="553"/>
      <c r="B11" s="551"/>
      <c r="C11" s="551"/>
      <c r="D11" s="552"/>
      <c r="E11" s="367" t="s">
        <v>41</v>
      </c>
      <c r="F11" s="355">
        <v>0</v>
      </c>
      <c r="G11" s="355">
        <v>0</v>
      </c>
      <c r="H11" s="355">
        <v>0</v>
      </c>
      <c r="I11" s="355">
        <v>0</v>
      </c>
      <c r="J11" s="355">
        <v>0</v>
      </c>
      <c r="K11" s="355">
        <v>0</v>
      </c>
      <c r="L11" s="355">
        <v>0</v>
      </c>
      <c r="M11" s="355">
        <v>0</v>
      </c>
      <c r="N11" s="355">
        <v>0</v>
      </c>
      <c r="O11" s="355">
        <v>0</v>
      </c>
      <c r="P11" s="355">
        <v>0</v>
      </c>
      <c r="Q11" s="355">
        <v>0</v>
      </c>
      <c r="R11" s="355">
        <v>0</v>
      </c>
      <c r="S11" s="355">
        <v>0</v>
      </c>
      <c r="T11" s="355">
        <v>0</v>
      </c>
      <c r="U11" s="355">
        <v>0</v>
      </c>
      <c r="V11" s="355">
        <v>0</v>
      </c>
      <c r="W11" s="355">
        <v>0</v>
      </c>
      <c r="X11" s="355">
        <v>0</v>
      </c>
      <c r="Y11" s="355">
        <v>0</v>
      </c>
      <c r="Z11" s="355">
        <v>0</v>
      </c>
      <c r="AA11" s="355"/>
      <c r="AB11" s="355">
        <v>0</v>
      </c>
      <c r="AC11" s="368">
        <v>0</v>
      </c>
      <c r="AD11" s="355">
        <v>0</v>
      </c>
      <c r="AE11" s="355">
        <v>0</v>
      </c>
      <c r="AF11" s="355">
        <v>0</v>
      </c>
      <c r="AG11" s="355">
        <v>0</v>
      </c>
      <c r="AH11" s="355">
        <v>0</v>
      </c>
      <c r="AI11" s="355">
        <v>0</v>
      </c>
      <c r="AJ11" s="355">
        <v>0</v>
      </c>
      <c r="AK11" s="355">
        <v>0</v>
      </c>
      <c r="AL11" s="355">
        <v>0</v>
      </c>
      <c r="AM11" s="355">
        <f t="shared" si="0"/>
        <v>0</v>
      </c>
    </row>
    <row r="12" spans="1:39" ht="15.75">
      <c r="A12" s="553">
        <v>5</v>
      </c>
      <c r="B12" s="551" t="s">
        <v>49</v>
      </c>
      <c r="C12" s="551" t="s">
        <v>50</v>
      </c>
      <c r="D12" s="552" t="s">
        <v>51</v>
      </c>
      <c r="E12" s="369" t="s">
        <v>37</v>
      </c>
      <c r="F12" s="355">
        <v>0</v>
      </c>
      <c r="G12" s="355">
        <v>0</v>
      </c>
      <c r="H12" s="355">
        <v>0</v>
      </c>
      <c r="I12" s="355">
        <v>0</v>
      </c>
      <c r="J12" s="355">
        <v>0</v>
      </c>
      <c r="K12" s="355">
        <v>0</v>
      </c>
      <c r="L12" s="355">
        <v>0</v>
      </c>
      <c r="M12" s="355">
        <v>0</v>
      </c>
      <c r="N12" s="355">
        <v>86.29</v>
      </c>
      <c r="O12" s="355">
        <v>0</v>
      </c>
      <c r="P12" s="355">
        <v>0</v>
      </c>
      <c r="Q12" s="355">
        <v>0</v>
      </c>
      <c r="R12" s="355">
        <v>0</v>
      </c>
      <c r="S12" s="355">
        <v>0</v>
      </c>
      <c r="T12" s="355">
        <v>0</v>
      </c>
      <c r="U12" s="355">
        <v>0</v>
      </c>
      <c r="V12" s="355">
        <v>0</v>
      </c>
      <c r="W12" s="355">
        <v>0</v>
      </c>
      <c r="X12" s="355">
        <v>0</v>
      </c>
      <c r="Y12" s="355">
        <v>0</v>
      </c>
      <c r="Z12" s="355">
        <v>0</v>
      </c>
      <c r="AA12" s="355">
        <v>0</v>
      </c>
      <c r="AB12" s="355">
        <v>0</v>
      </c>
      <c r="AC12" s="355">
        <v>0</v>
      </c>
      <c r="AD12" s="355">
        <v>145.61000000000001</v>
      </c>
      <c r="AE12" s="355">
        <v>0</v>
      </c>
      <c r="AF12" s="355">
        <v>0</v>
      </c>
      <c r="AG12" s="355">
        <v>0</v>
      </c>
      <c r="AH12" s="355">
        <v>0</v>
      </c>
      <c r="AI12" s="355">
        <v>0</v>
      </c>
      <c r="AJ12" s="355">
        <v>0</v>
      </c>
      <c r="AK12" s="355">
        <v>0</v>
      </c>
      <c r="AL12" s="355">
        <v>0</v>
      </c>
      <c r="AM12" s="355">
        <f t="shared" si="0"/>
        <v>231.90000000000003</v>
      </c>
    </row>
    <row r="13" spans="1:39" ht="15.75">
      <c r="A13" s="553"/>
      <c r="B13" s="551"/>
      <c r="C13" s="551"/>
      <c r="D13" s="552"/>
      <c r="E13" s="367" t="s">
        <v>41</v>
      </c>
      <c r="F13" s="355">
        <v>0</v>
      </c>
      <c r="G13" s="355">
        <v>0</v>
      </c>
      <c r="H13" s="355">
        <v>0</v>
      </c>
      <c r="I13" s="355">
        <v>0</v>
      </c>
      <c r="J13" s="355">
        <v>0</v>
      </c>
      <c r="K13" s="355">
        <v>0</v>
      </c>
      <c r="L13" s="355">
        <v>0</v>
      </c>
      <c r="M13" s="355">
        <v>0</v>
      </c>
      <c r="N13" s="355">
        <v>0</v>
      </c>
      <c r="O13" s="355">
        <v>0</v>
      </c>
      <c r="P13" s="355">
        <v>0</v>
      </c>
      <c r="Q13" s="355">
        <v>0</v>
      </c>
      <c r="R13" s="355">
        <v>0</v>
      </c>
      <c r="S13" s="355">
        <v>0</v>
      </c>
      <c r="T13" s="355">
        <v>0</v>
      </c>
      <c r="U13" s="355">
        <v>0</v>
      </c>
      <c r="V13" s="355">
        <v>0</v>
      </c>
      <c r="W13" s="355">
        <v>0</v>
      </c>
      <c r="X13" s="355">
        <v>0</v>
      </c>
      <c r="Y13" s="355">
        <v>0</v>
      </c>
      <c r="Z13" s="355">
        <v>0</v>
      </c>
      <c r="AA13" s="355"/>
      <c r="AB13" s="355">
        <v>0</v>
      </c>
      <c r="AC13" s="368">
        <v>0</v>
      </c>
      <c r="AD13" s="355">
        <v>0</v>
      </c>
      <c r="AE13" s="355">
        <v>0</v>
      </c>
      <c r="AF13" s="355">
        <v>0</v>
      </c>
      <c r="AG13" s="355">
        <v>0</v>
      </c>
      <c r="AH13" s="355">
        <v>0</v>
      </c>
      <c r="AI13" s="355">
        <v>0</v>
      </c>
      <c r="AJ13" s="355">
        <v>0</v>
      </c>
      <c r="AK13" s="355">
        <v>0</v>
      </c>
      <c r="AL13" s="355">
        <v>0</v>
      </c>
      <c r="AM13" s="355">
        <f t="shared" si="0"/>
        <v>0</v>
      </c>
    </row>
    <row r="14" spans="1:39" ht="15.75">
      <c r="A14" s="553">
        <v>6</v>
      </c>
      <c r="B14" s="551" t="s">
        <v>49</v>
      </c>
      <c r="C14" s="551" t="s">
        <v>52</v>
      </c>
      <c r="D14" s="552" t="s">
        <v>53</v>
      </c>
      <c r="E14" s="369" t="s">
        <v>37</v>
      </c>
      <c r="F14" s="355">
        <v>0</v>
      </c>
      <c r="G14" s="355">
        <v>0</v>
      </c>
      <c r="H14" s="355">
        <v>0</v>
      </c>
      <c r="I14" s="355">
        <v>0</v>
      </c>
      <c r="J14" s="355">
        <v>0</v>
      </c>
      <c r="K14" s="355">
        <v>0</v>
      </c>
      <c r="L14" s="355">
        <v>40</v>
      </c>
      <c r="M14" s="355">
        <v>40</v>
      </c>
      <c r="N14" s="355">
        <v>0</v>
      </c>
      <c r="O14" s="355">
        <v>36</v>
      </c>
      <c r="P14" s="355">
        <v>35</v>
      </c>
      <c r="Q14" s="355">
        <v>0</v>
      </c>
      <c r="R14" s="355">
        <v>0</v>
      </c>
      <c r="S14" s="355">
        <v>0</v>
      </c>
      <c r="T14" s="355">
        <v>0</v>
      </c>
      <c r="U14" s="355">
        <v>0</v>
      </c>
      <c r="V14" s="355">
        <v>0</v>
      </c>
      <c r="W14" s="355">
        <v>45</v>
      </c>
      <c r="X14" s="355">
        <v>45</v>
      </c>
      <c r="Y14" s="355">
        <v>43.53</v>
      </c>
      <c r="Z14" s="355">
        <v>40</v>
      </c>
      <c r="AA14" s="355">
        <v>43</v>
      </c>
      <c r="AB14" s="355">
        <v>0</v>
      </c>
      <c r="AC14" s="355">
        <v>40</v>
      </c>
      <c r="AD14" s="355">
        <v>0</v>
      </c>
      <c r="AE14" s="355">
        <v>40</v>
      </c>
      <c r="AF14" s="355">
        <v>0</v>
      </c>
      <c r="AG14" s="355">
        <v>0</v>
      </c>
      <c r="AH14" s="355">
        <v>0</v>
      </c>
      <c r="AI14" s="355">
        <v>0</v>
      </c>
      <c r="AJ14" s="355">
        <v>0</v>
      </c>
      <c r="AK14" s="355">
        <v>0</v>
      </c>
      <c r="AL14" s="355">
        <v>0</v>
      </c>
      <c r="AM14" s="355">
        <f t="shared" si="0"/>
        <v>447.53</v>
      </c>
    </row>
    <row r="15" spans="1:39" ht="15.75">
      <c r="A15" s="553"/>
      <c r="B15" s="551"/>
      <c r="C15" s="551"/>
      <c r="D15" s="552"/>
      <c r="E15" s="367" t="s">
        <v>41</v>
      </c>
      <c r="F15" s="355">
        <v>0</v>
      </c>
      <c r="G15" s="355">
        <v>0</v>
      </c>
      <c r="H15" s="355">
        <v>0</v>
      </c>
      <c r="I15" s="355">
        <v>0</v>
      </c>
      <c r="J15" s="355">
        <v>0</v>
      </c>
      <c r="K15" s="355">
        <v>0</v>
      </c>
      <c r="L15" s="355">
        <v>0</v>
      </c>
      <c r="M15" s="355">
        <v>0</v>
      </c>
      <c r="N15" s="355">
        <v>0</v>
      </c>
      <c r="O15" s="355">
        <v>0</v>
      </c>
      <c r="P15" s="355">
        <v>0</v>
      </c>
      <c r="Q15" s="355">
        <v>0</v>
      </c>
      <c r="R15" s="355">
        <v>0</v>
      </c>
      <c r="S15" s="355">
        <v>0</v>
      </c>
      <c r="T15" s="355">
        <v>0</v>
      </c>
      <c r="U15" s="355">
        <v>0</v>
      </c>
      <c r="V15" s="355">
        <v>0</v>
      </c>
      <c r="W15" s="355">
        <v>0</v>
      </c>
      <c r="X15" s="355">
        <v>0</v>
      </c>
      <c r="Y15" s="355">
        <v>0</v>
      </c>
      <c r="Z15" s="355">
        <v>0</v>
      </c>
      <c r="AA15" s="355"/>
      <c r="AB15" s="355">
        <v>0</v>
      </c>
      <c r="AC15" s="368">
        <v>0</v>
      </c>
      <c r="AD15" s="355">
        <v>0</v>
      </c>
      <c r="AE15" s="355">
        <v>0</v>
      </c>
      <c r="AF15" s="355">
        <v>0</v>
      </c>
      <c r="AG15" s="355">
        <v>0</v>
      </c>
      <c r="AH15" s="355">
        <v>0</v>
      </c>
      <c r="AI15" s="355">
        <v>0</v>
      </c>
      <c r="AJ15" s="355">
        <v>0</v>
      </c>
      <c r="AK15" s="355">
        <v>0</v>
      </c>
      <c r="AL15" s="355">
        <v>0</v>
      </c>
      <c r="AM15" s="355">
        <f t="shared" si="0"/>
        <v>0</v>
      </c>
    </row>
    <row r="18" spans="7:7">
      <c r="G18" t="s">
        <v>54</v>
      </c>
    </row>
  </sheetData>
  <mergeCells count="25">
    <mergeCell ref="B14:B15"/>
    <mergeCell ref="C4:C5"/>
    <mergeCell ref="C6:C7"/>
    <mergeCell ref="C8:C9"/>
    <mergeCell ref="A4:A5"/>
    <mergeCell ref="A6:A7"/>
    <mergeCell ref="A8:A9"/>
    <mergeCell ref="A10:A11"/>
    <mergeCell ref="A12:A13"/>
    <mergeCell ref="A14:A15"/>
    <mergeCell ref="B4:B5"/>
    <mergeCell ref="B6:B7"/>
    <mergeCell ref="B8:B9"/>
    <mergeCell ref="B10:B11"/>
    <mergeCell ref="B12:B13"/>
    <mergeCell ref="G2:H2"/>
    <mergeCell ref="C10:C11"/>
    <mergeCell ref="C12:C13"/>
    <mergeCell ref="C14:C15"/>
    <mergeCell ref="D4:D5"/>
    <mergeCell ref="D6:D7"/>
    <mergeCell ref="D8:D9"/>
    <mergeCell ref="D10:D11"/>
    <mergeCell ref="D12:D13"/>
    <mergeCell ref="D14:D15"/>
  </mergeCells>
  <conditionalFormatting sqref="F5:AL5">
    <cfRule type="cellIs" dxfId="11" priority="12" operator="greaterThan">
      <formula>0</formula>
    </cfRule>
  </conditionalFormatting>
  <conditionalFormatting sqref="F7:AL7">
    <cfRule type="cellIs" dxfId="10" priority="11" operator="greaterThan">
      <formula>0</formula>
    </cfRule>
  </conditionalFormatting>
  <conditionalFormatting sqref="F9:AL9">
    <cfRule type="cellIs" dxfId="9" priority="10" operator="greaterThan">
      <formula>0</formula>
    </cfRule>
  </conditionalFormatting>
  <conditionalFormatting sqref="F11:AL11">
    <cfRule type="cellIs" dxfId="8" priority="9" operator="greaterThan">
      <formula>0</formula>
    </cfRule>
  </conditionalFormatting>
  <conditionalFormatting sqref="F13:AL13">
    <cfRule type="cellIs" dxfId="7" priority="8" operator="greaterThan">
      <formula>0</formula>
    </cfRule>
  </conditionalFormatting>
  <conditionalFormatting sqref="F15:AL15">
    <cfRule type="cellIs" dxfId="6" priority="7" operator="greaterThan">
      <formula>0</formula>
    </cfRule>
  </conditionalFormatting>
  <conditionalFormatting sqref="F4:AM4 AM5:AM15">
    <cfRule type="cellIs" dxfId="5" priority="6" operator="greaterThan">
      <formula>0</formula>
    </cfRule>
  </conditionalFormatting>
  <conditionalFormatting sqref="F6:AL6">
    <cfRule type="cellIs" dxfId="4" priority="5" operator="greaterThan">
      <formula>0</formula>
    </cfRule>
  </conditionalFormatting>
  <conditionalFormatting sqref="F8:AL8">
    <cfRule type="cellIs" dxfId="3" priority="4" operator="greaterThan">
      <formula>0</formula>
    </cfRule>
  </conditionalFormatting>
  <conditionalFormatting sqref="F10:AL10">
    <cfRule type="cellIs" dxfId="2" priority="3" operator="greaterThan">
      <formula>0</formula>
    </cfRule>
  </conditionalFormatting>
  <conditionalFormatting sqref="F12:AL12">
    <cfRule type="cellIs" dxfId="1" priority="2" operator="greaterThan">
      <formula>0</formula>
    </cfRule>
  </conditionalFormatting>
  <conditionalFormatting sqref="F14:AL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81"/>
  <sheetViews>
    <sheetView topLeftCell="A30" workbookViewId="0">
      <selection activeCell="A2" sqref="A2"/>
    </sheetView>
  </sheetViews>
  <sheetFormatPr defaultColWidth="8.28515625" defaultRowHeight="15.75"/>
  <cols>
    <col min="1" max="1" width="8.28515625" style="272"/>
    <col min="2" max="2" width="25" style="272" customWidth="1"/>
    <col min="3" max="3" width="34.5703125" style="272" bestFit="1" customWidth="1"/>
    <col min="4" max="4" width="13.5703125" style="272" bestFit="1" customWidth="1"/>
    <col min="5" max="5" width="15.42578125" style="272" customWidth="1"/>
    <col min="6" max="6" width="14.5703125" style="272" customWidth="1"/>
    <col min="7" max="7" width="16.5703125" style="272" customWidth="1"/>
    <col min="8" max="8" width="23.5703125" style="272" customWidth="1"/>
    <col min="9" max="9" width="17.42578125" style="272" customWidth="1"/>
    <col min="10" max="10" width="16.7109375" style="272" customWidth="1"/>
    <col min="11" max="11" width="20.42578125" style="272" customWidth="1"/>
    <col min="12" max="12" width="22.7109375" style="272" customWidth="1"/>
    <col min="13" max="13" width="16.85546875" style="272" customWidth="1"/>
    <col min="14" max="16384" width="8.28515625" style="272"/>
  </cols>
  <sheetData>
    <row r="1" spans="1:13">
      <c r="A1" s="268" t="s">
        <v>55</v>
      </c>
      <c r="B1" s="269" t="s">
        <v>56</v>
      </c>
      <c r="C1" s="269" t="s">
        <v>57</v>
      </c>
      <c r="D1" s="270" t="s">
        <v>58</v>
      </c>
      <c r="E1" s="270" t="s">
        <v>59</v>
      </c>
      <c r="F1" s="270" t="s">
        <v>60</v>
      </c>
      <c r="G1" s="270" t="s">
        <v>61</v>
      </c>
      <c r="H1" s="270" t="s">
        <v>62</v>
      </c>
      <c r="I1" s="270" t="s">
        <v>63</v>
      </c>
      <c r="J1" s="270" t="s">
        <v>64</v>
      </c>
      <c r="K1" s="271" t="s">
        <v>65</v>
      </c>
    </row>
    <row r="2" spans="1:13">
      <c r="A2" s="332">
        <v>1</v>
      </c>
      <c r="B2" s="273" t="s">
        <v>66</v>
      </c>
      <c r="C2" s="273" t="s">
        <v>67</v>
      </c>
      <c r="D2" s="274">
        <f>+'Khammam-1'!E38</f>
        <v>66765.22</v>
      </c>
      <c r="E2" s="274">
        <f>+'Khammam-1'!G38</f>
        <v>6930229.8360000001</v>
      </c>
      <c r="F2" s="274">
        <f>+'Khammam-1'!H38</f>
        <v>450</v>
      </c>
      <c r="G2" s="274">
        <f>+'Khammam-1'!J38</f>
        <v>52060.5</v>
      </c>
      <c r="H2" s="274">
        <f>E2+G2</f>
        <v>6982290.3360000001</v>
      </c>
      <c r="I2" s="274">
        <f>+'Khammam-1'!K3</f>
        <v>2654498.8563000001</v>
      </c>
      <c r="J2" s="274">
        <f>+'Khammam-1'!L38</f>
        <v>8021364</v>
      </c>
      <c r="K2" s="333">
        <f>H2+I2-J2</f>
        <v>1615425.1922999993</v>
      </c>
    </row>
    <row r="3" spans="1:13">
      <c r="A3" s="332">
        <v>2</v>
      </c>
      <c r="B3" s="273" t="s">
        <v>68</v>
      </c>
      <c r="C3" s="273" t="s">
        <v>69</v>
      </c>
      <c r="D3" s="274">
        <f>+'Khammam-2'!E38</f>
        <v>127541.87999999999</v>
      </c>
      <c r="E3" s="274">
        <f>+'Khammam-2'!G38</f>
        <v>13241397.981600001</v>
      </c>
      <c r="F3" s="274">
        <f>+'Khammam-2'!H38</f>
        <v>450</v>
      </c>
      <c r="G3" s="274">
        <f>+'Khammam-2'!J38</f>
        <v>52074</v>
      </c>
      <c r="H3" s="274">
        <f>E3+G3</f>
        <v>13293471.981600001</v>
      </c>
      <c r="I3" s="274">
        <f>+'Khammam-2'!K3</f>
        <v>8720097.569029998</v>
      </c>
      <c r="J3" s="274">
        <f>+'Khammam-2'!L38</f>
        <v>12423325.550000001</v>
      </c>
      <c r="K3" s="333">
        <f>H3+I3-J3</f>
        <v>9590244.0006299987</v>
      </c>
    </row>
    <row r="4" spans="1:13">
      <c r="A4" s="332">
        <v>3</v>
      </c>
      <c r="B4" s="273" t="s">
        <v>70</v>
      </c>
      <c r="C4" s="273" t="s">
        <v>71</v>
      </c>
      <c r="D4" s="274">
        <f>+'Khammam-3'!E35</f>
        <v>0</v>
      </c>
      <c r="E4" s="274">
        <f>+'Khammam-3'!G35</f>
        <v>0</v>
      </c>
      <c r="F4" s="274">
        <f>+'Khammam-3'!H35</f>
        <v>0</v>
      </c>
      <c r="G4" s="274">
        <f>+'Khammam-3'!J35</f>
        <v>0</v>
      </c>
      <c r="H4" s="274">
        <f>E4+G4</f>
        <v>0</v>
      </c>
      <c r="I4" s="274">
        <f>+'Khammam-3'!M3</f>
        <v>1572600</v>
      </c>
      <c r="J4" s="274">
        <f>+'Khammam-3'!L35</f>
        <v>500000</v>
      </c>
      <c r="K4" s="333">
        <f>H4+I4-J4</f>
        <v>1072600</v>
      </c>
    </row>
    <row r="5" spans="1:13">
      <c r="A5" s="332">
        <v>4</v>
      </c>
      <c r="B5" s="273" t="s">
        <v>72</v>
      </c>
      <c r="C5" s="273" t="s">
        <v>73</v>
      </c>
      <c r="D5" s="274">
        <f>+' Khammam&amp;Cash'!E46</f>
        <v>8670.5216999999993</v>
      </c>
      <c r="E5" s="274">
        <f>+' Khammam&amp;Cash'!G46</f>
        <v>900000.15245999978</v>
      </c>
      <c r="F5" s="274">
        <f>+' Khammam&amp;Cash'!H46</f>
        <v>0</v>
      </c>
      <c r="G5" s="274">
        <f>+' Khammam&amp;Cash'!J46</f>
        <v>0</v>
      </c>
      <c r="H5" s="274">
        <f>E5+G5</f>
        <v>900000.15245999978</v>
      </c>
      <c r="I5" s="274">
        <f>+' Khammam&amp;Cash'!M3</f>
        <v>0</v>
      </c>
      <c r="J5" s="274">
        <f>+' Khammam&amp;Cash'!L46</f>
        <v>900000.15245999978</v>
      </c>
      <c r="K5" s="333">
        <f>H5+I5-J5</f>
        <v>0</v>
      </c>
    </row>
    <row r="6" spans="1:13">
      <c r="A6" s="332">
        <v>5</v>
      </c>
      <c r="B6" s="273" t="s">
        <v>74</v>
      </c>
      <c r="C6" s="273" t="s">
        <v>71</v>
      </c>
      <c r="D6" s="274">
        <f>+'Jadcherla-3'!E35</f>
        <v>0</v>
      </c>
      <c r="E6" s="274">
        <f>+'Jadcherla-3'!G35</f>
        <v>0</v>
      </c>
      <c r="F6" s="274">
        <f>+'Jadcherla-3'!H35</f>
        <v>0</v>
      </c>
      <c r="G6" s="274">
        <f>+'Jadcherla-3'!J35</f>
        <v>0</v>
      </c>
      <c r="H6" s="274">
        <f>E6+G6</f>
        <v>0</v>
      </c>
      <c r="I6" s="274">
        <f>+'Jadcherla-3'!M3</f>
        <v>1313281.7</v>
      </c>
      <c r="J6" s="274">
        <f>+'Jadcherla-3'!L35</f>
        <v>1313281</v>
      </c>
      <c r="K6" s="333">
        <f>H6+I6-J6</f>
        <v>0.69999999995343387</v>
      </c>
    </row>
    <row r="7" spans="1:13">
      <c r="A7" s="332">
        <v>6</v>
      </c>
      <c r="B7" s="273" t="s">
        <v>75</v>
      </c>
      <c r="C7" s="273" t="s">
        <v>76</v>
      </c>
      <c r="D7" s="274">
        <f>+'Jadcherla-4'!E35</f>
        <v>2500</v>
      </c>
      <c r="E7" s="274">
        <f>+'Jadcherla-4'!G35</f>
        <v>261050</v>
      </c>
      <c r="F7" s="274">
        <f>+'Jadcherla-4'!H35</f>
        <v>80</v>
      </c>
      <c r="G7" s="274">
        <f>+'Jadcherla-4'!J35</f>
        <v>9306.4</v>
      </c>
      <c r="H7" s="274">
        <f>E7+G7</f>
        <v>270356.40000000002</v>
      </c>
      <c r="I7" s="274">
        <f>+'Jadcherla-4'!M3</f>
        <v>15788.080000000011</v>
      </c>
      <c r="J7" s="274">
        <f>+'Jadcherla-4'!L35</f>
        <v>279281</v>
      </c>
      <c r="K7" s="333">
        <f>H7+I7-J7</f>
        <v>6863.4800000000396</v>
      </c>
    </row>
    <row r="8" spans="1:13">
      <c r="A8" s="332">
        <v>7</v>
      </c>
      <c r="B8" s="273" t="s">
        <v>77</v>
      </c>
      <c r="C8" s="273" t="s">
        <v>78</v>
      </c>
      <c r="D8" s="274">
        <f>+' Jadcherla'!E35</f>
        <v>0</v>
      </c>
      <c r="E8" s="274">
        <f>+' Jadcherla'!G35</f>
        <v>0</v>
      </c>
      <c r="F8" s="274">
        <f>+' Jadcherla'!H35</f>
        <v>0</v>
      </c>
      <c r="G8" s="274">
        <f>+' Jadcherla'!J35</f>
        <v>0</v>
      </c>
      <c r="H8" s="274">
        <f>E8+G8</f>
        <v>0</v>
      </c>
      <c r="I8" s="274">
        <f>+' Jadcherla'!M3</f>
        <v>171115.11040000001</v>
      </c>
      <c r="J8" s="274">
        <f>+' Jadcherla'!L35</f>
        <v>171115.11</v>
      </c>
      <c r="K8" s="333">
        <f>H8+I8-J8</f>
        <v>4.0000001899898052E-4</v>
      </c>
    </row>
    <row r="9" spans="1:13">
      <c r="A9" s="332">
        <v>8</v>
      </c>
      <c r="B9" s="273" t="s">
        <v>79</v>
      </c>
      <c r="C9" s="273" t="s">
        <v>80</v>
      </c>
      <c r="D9" s="274">
        <f>+' Sangareddy-2'!E35</f>
        <v>3018.8999999999996</v>
      </c>
      <c r="E9" s="274">
        <f>+' Sangareddy-2'!G35</f>
        <v>315656.18400000001</v>
      </c>
      <c r="F9" s="274">
        <f>+' Sangareddy-2'!H35</f>
        <v>109</v>
      </c>
      <c r="G9" s="274">
        <f>+' Sangareddy-2'!J35</f>
        <v>12702.860000000002</v>
      </c>
      <c r="H9" s="274">
        <f>E9+G9</f>
        <v>328359.04399999999</v>
      </c>
      <c r="I9" s="274">
        <f>+' Sangareddy-2'!M3</f>
        <v>108316.17139999993</v>
      </c>
      <c r="J9" s="274">
        <f>+' Sangareddy-2'!L35</f>
        <v>308316</v>
      </c>
      <c r="K9" s="333">
        <f>H9+I9-J9</f>
        <v>128359.21539999993</v>
      </c>
      <c r="M9" s="272" t="s">
        <v>81</v>
      </c>
    </row>
    <row r="10" spans="1:13">
      <c r="A10" s="332">
        <v>9</v>
      </c>
      <c r="B10" s="273" t="s">
        <v>82</v>
      </c>
      <c r="C10" s="273" t="s">
        <v>83</v>
      </c>
      <c r="D10" s="274">
        <f>+' Sangareddy-3'!E36</f>
        <v>13566</v>
      </c>
      <c r="E10" s="274">
        <f>+' Sangareddy-3'!G36</f>
        <v>1415612.1</v>
      </c>
      <c r="F10" s="274">
        <f>+' Sangareddy-3'!H36</f>
        <v>49</v>
      </c>
      <c r="G10" s="274">
        <f>+' Sangareddy-3'!J36</f>
        <v>5882.07</v>
      </c>
      <c r="H10" s="274">
        <f>E10+G10</f>
        <v>1421494.1700000002</v>
      </c>
      <c r="I10" s="274">
        <f>+' Sangareddy-3'!M3</f>
        <v>986125.39289999974</v>
      </c>
      <c r="J10" s="274">
        <f>+' Sangareddy-3'!L36</f>
        <v>2200000</v>
      </c>
      <c r="K10" s="333">
        <f>H10+I10-J10</f>
        <v>207619.56289999979</v>
      </c>
    </row>
    <row r="11" spans="1:13">
      <c r="A11" s="332">
        <v>10</v>
      </c>
      <c r="B11" s="273" t="s">
        <v>84</v>
      </c>
      <c r="C11" s="273" t="s">
        <v>85</v>
      </c>
      <c r="D11" s="274">
        <f>Narayankhed!E35</f>
        <v>2085.65</v>
      </c>
      <c r="E11" s="274">
        <f>+Narayankhed!G35</f>
        <v>225041.63500000001</v>
      </c>
      <c r="F11" s="274">
        <f>+Narayankhed!H35</f>
        <v>0</v>
      </c>
      <c r="G11" s="274">
        <f>+Narayankhed!J35</f>
        <v>0</v>
      </c>
      <c r="H11" s="274">
        <f>E11+G11</f>
        <v>225041.63500000001</v>
      </c>
      <c r="I11" s="274">
        <f>+Narayankhed!M3</f>
        <v>0</v>
      </c>
      <c r="J11" s="274">
        <f>+Narayankhed!L35</f>
        <v>225041.63500000001</v>
      </c>
      <c r="K11" s="333">
        <f>H11+I11-J11</f>
        <v>0</v>
      </c>
    </row>
    <row r="12" spans="1:13">
      <c r="A12" s="332">
        <v>11</v>
      </c>
      <c r="B12" s="273" t="s">
        <v>86</v>
      </c>
      <c r="C12" s="273" t="s">
        <v>87</v>
      </c>
      <c r="D12" s="274">
        <f>+Dindi!E35</f>
        <v>0</v>
      </c>
      <c r="E12" s="274">
        <f>+Dindi!G35</f>
        <v>0</v>
      </c>
      <c r="F12" s="274">
        <f>+Dindi!H35</f>
        <v>0</v>
      </c>
      <c r="G12" s="274">
        <f>+Dindi!J35</f>
        <v>0</v>
      </c>
      <c r="H12" s="274">
        <f>E12+G12</f>
        <v>0</v>
      </c>
      <c r="I12" s="274">
        <f>+Dindi!M3</f>
        <v>0</v>
      </c>
      <c r="J12" s="274">
        <f>+Dindi!L35</f>
        <v>0</v>
      </c>
      <c r="K12" s="333">
        <f t="shared" ref="K12:K55" si="0">H12+I12-J12</f>
        <v>0</v>
      </c>
      <c r="M12" s="272" t="str">
        <f>PROPER(M9)</f>
        <v xml:space="preserve">Vasudeo Nivrutti </v>
      </c>
    </row>
    <row r="13" spans="1:13">
      <c r="A13" s="332">
        <v>12</v>
      </c>
      <c r="B13" s="273" t="s">
        <v>88</v>
      </c>
      <c r="C13" s="273" t="s">
        <v>89</v>
      </c>
      <c r="D13" s="274">
        <f>+'Madana palli'!E37</f>
        <v>0</v>
      </c>
      <c r="E13" s="274">
        <f>+'Madana palli'!G37</f>
        <v>0</v>
      </c>
      <c r="F13" s="274">
        <f>+'Madana palli'!H37</f>
        <v>18.84</v>
      </c>
      <c r="G13" s="274">
        <f>+'Madana palli'!J37</f>
        <v>2099.6077999999998</v>
      </c>
      <c r="H13" s="274">
        <f>E13+G13</f>
        <v>2099.6077999999998</v>
      </c>
      <c r="I13" s="274">
        <f>+'Madana palli'!M3</f>
        <v>0</v>
      </c>
      <c r="J13" s="274">
        <f>+'Madana palli'!L37</f>
        <v>2099.6077999999998</v>
      </c>
      <c r="K13" s="333">
        <f t="shared" si="0"/>
        <v>0</v>
      </c>
    </row>
    <row r="14" spans="1:13">
      <c r="A14" s="332">
        <v>13</v>
      </c>
      <c r="B14" s="273" t="s">
        <v>90</v>
      </c>
      <c r="C14" s="273" t="s">
        <v>89</v>
      </c>
      <c r="D14" s="274">
        <f>+Amalapuram!E246</f>
        <v>8824.400999999998</v>
      </c>
      <c r="E14" s="274">
        <f>+Amalapuram!G246</f>
        <v>926569.7527999999</v>
      </c>
      <c r="F14" s="274">
        <f>+Amalapuram!H246</f>
        <v>371.17</v>
      </c>
      <c r="G14" s="274">
        <f>+Amalapuram!J246</f>
        <v>43828.700000000004</v>
      </c>
      <c r="H14" s="274">
        <f>E14+G14</f>
        <v>970398.45279999985</v>
      </c>
      <c r="I14" s="274">
        <f>+Amalapuram!M3</f>
        <v>0</v>
      </c>
      <c r="J14" s="274">
        <f>+Amalapuram!L246</f>
        <v>970398.45279999974</v>
      </c>
      <c r="K14" s="333">
        <f>H14+I14-J14</f>
        <v>0</v>
      </c>
    </row>
    <row r="15" spans="1:13">
      <c r="A15" s="332">
        <v>14</v>
      </c>
      <c r="B15" s="273" t="s">
        <v>91</v>
      </c>
      <c r="C15" s="273" t="s">
        <v>92</v>
      </c>
      <c r="D15" s="274">
        <f>+'YG Gudda'!E39</f>
        <v>9000</v>
      </c>
      <c r="E15" s="274">
        <f>+'YG Gudda'!G39</f>
        <v>892260</v>
      </c>
      <c r="F15" s="274">
        <f>+'YG Gudda'!H39</f>
        <v>280</v>
      </c>
      <c r="G15" s="274">
        <f>+'YG Gudda'!J39</f>
        <v>31147.199999999997</v>
      </c>
      <c r="H15" s="274">
        <f t="shared" ref="H15:H16" si="1">E15+G15</f>
        <v>923407.2</v>
      </c>
      <c r="I15" s="274">
        <f>+'YG Gudda'!M3</f>
        <v>189118.95990299998</v>
      </c>
      <c r="J15" s="274">
        <f>+'YG Gudda'!L39</f>
        <v>829742</v>
      </c>
      <c r="K15" s="333">
        <f t="shared" si="0"/>
        <v>282784.15990299988</v>
      </c>
    </row>
    <row r="16" spans="1:13">
      <c r="A16" s="332">
        <v>15</v>
      </c>
      <c r="B16" s="273" t="s">
        <v>91</v>
      </c>
      <c r="C16" s="273" t="s">
        <v>93</v>
      </c>
      <c r="D16" s="274">
        <f>+' YG Gudda-2'!E39</f>
        <v>4000</v>
      </c>
      <c r="E16" s="274">
        <f>+' YG Gudda-2'!G39</f>
        <v>396080</v>
      </c>
      <c r="F16" s="274">
        <f>+' YG Gudda-2'!H39</f>
        <v>105</v>
      </c>
      <c r="G16" s="274">
        <f>+' YG Gudda-2'!J39</f>
        <v>11667.6</v>
      </c>
      <c r="H16" s="274">
        <f t="shared" si="1"/>
        <v>407747.6</v>
      </c>
      <c r="I16" s="274">
        <f>+' YG Gudda-2'!M3</f>
        <v>0</v>
      </c>
      <c r="J16" s="274">
        <f>+' YG Gudda-2'!L39</f>
        <v>200000</v>
      </c>
      <c r="K16" s="333">
        <f t="shared" si="0"/>
        <v>207747.59999999998</v>
      </c>
    </row>
    <row r="17" spans="1:11">
      <c r="A17" s="332">
        <v>16</v>
      </c>
      <c r="B17" s="273" t="s">
        <v>94</v>
      </c>
      <c r="C17" s="273" t="s">
        <v>95</v>
      </c>
      <c r="D17" s="274">
        <f>+'Hosadurga -2'!E35</f>
        <v>3000</v>
      </c>
      <c r="E17" s="274">
        <f>+'Hosadurga -2'!G35</f>
        <v>298410</v>
      </c>
      <c r="F17" s="274">
        <f>+'Hosadurga -2'!H35</f>
        <v>140</v>
      </c>
      <c r="G17" s="274">
        <f>+'Hosadurga -2'!J35</f>
        <v>15600.2</v>
      </c>
      <c r="H17" s="274">
        <f>+'Hosadurga -2'!K35</f>
        <v>314010.2</v>
      </c>
      <c r="I17" s="274">
        <f>+'Hosadurga -2'!K3</f>
        <v>148201.19409999979</v>
      </c>
      <c r="J17" s="274">
        <f>+'Hosadurga -2'!L35</f>
        <v>347927</v>
      </c>
      <c r="K17" s="333">
        <f>H17+I17-J17</f>
        <v>114284.3940999998</v>
      </c>
    </row>
    <row r="18" spans="1:11" ht="15.75" customHeight="1">
      <c r="A18" s="332">
        <v>17</v>
      </c>
      <c r="B18" s="275" t="s">
        <v>96</v>
      </c>
      <c r="C18" s="275" t="s">
        <v>97</v>
      </c>
      <c r="D18" s="274">
        <f>+'Malebenur(KUWSDB)'!E37</f>
        <v>5400</v>
      </c>
      <c r="E18" s="274">
        <f>+'Malebenur(KUWSDB)'!G37</f>
        <v>539027.99999999988</v>
      </c>
      <c r="F18" s="274">
        <f>+'Malebenur(KUWSDB)'!H37</f>
        <v>220</v>
      </c>
      <c r="G18" s="274">
        <f>+'Malebenur(KUWSDB)'!J37</f>
        <v>24580.600000000002</v>
      </c>
      <c r="H18" s="274">
        <f>E18+G18</f>
        <v>563608.59999999986</v>
      </c>
      <c r="I18" s="274">
        <f>+'Malebenur(KUWSDB)'!K3</f>
        <v>95753.509699999951</v>
      </c>
      <c r="J18" s="274">
        <f>+'Malebenur(KUWSDB)'!L37</f>
        <v>527000</v>
      </c>
      <c r="K18" s="333">
        <f>H18+I18-J18</f>
        <v>132362.1096999998</v>
      </c>
    </row>
    <row r="19" spans="1:11">
      <c r="A19" s="332">
        <v>18</v>
      </c>
      <c r="B19" s="273" t="s">
        <v>98</v>
      </c>
      <c r="C19" s="273" t="s">
        <v>99</v>
      </c>
      <c r="D19" s="274">
        <f>+Kadur!E35</f>
        <v>3000</v>
      </c>
      <c r="E19" s="274">
        <f>+Kadur!G35</f>
        <v>308880</v>
      </c>
      <c r="F19" s="274">
        <f>+Kadur!H35</f>
        <v>140</v>
      </c>
      <c r="G19" s="274">
        <f>+Kadur!J35</f>
        <v>16422</v>
      </c>
      <c r="H19" s="274">
        <f t="shared" ref="H19:H55" si="2">E19+G19</f>
        <v>325302</v>
      </c>
      <c r="I19" s="274">
        <f>+Kadur!K3</f>
        <v>159888.9</v>
      </c>
      <c r="J19" s="274">
        <f>+Kadur!L35</f>
        <v>159889</v>
      </c>
      <c r="K19" s="333">
        <f t="shared" si="0"/>
        <v>325301.90000000002</v>
      </c>
    </row>
    <row r="20" spans="1:11">
      <c r="A20" s="332">
        <v>19</v>
      </c>
      <c r="B20" s="273" t="s">
        <v>100</v>
      </c>
      <c r="C20" s="273" t="s">
        <v>101</v>
      </c>
      <c r="D20" s="274">
        <f>+'Hiriyur(VJNL)'!E35</f>
        <v>3500</v>
      </c>
      <c r="E20" s="274">
        <f>+'Hiriyur(VJNL)'!G35</f>
        <v>349720</v>
      </c>
      <c r="F20" s="274">
        <f>+'Hiriyur(VJNL)'!H35</f>
        <v>175</v>
      </c>
      <c r="G20" s="274">
        <f>+'Hiriyur(VJNL)'!J35</f>
        <v>19572</v>
      </c>
      <c r="H20" s="274">
        <f t="shared" si="2"/>
        <v>369292</v>
      </c>
      <c r="I20" s="274">
        <f>+'Hiriyur(VJNL)'!K3</f>
        <v>182925.70000000007</v>
      </c>
      <c r="J20" s="274">
        <f>+'Hiriyur(VJNL)'!L35</f>
        <v>332855</v>
      </c>
      <c r="K20" s="333">
        <f t="shared" si="0"/>
        <v>219362.70000000007</v>
      </c>
    </row>
    <row r="21" spans="1:11">
      <c r="A21" s="332">
        <v>20</v>
      </c>
      <c r="B21" s="273" t="s">
        <v>102</v>
      </c>
      <c r="C21" s="273" t="s">
        <v>103</v>
      </c>
      <c r="D21" s="274">
        <f>+'Chellakere -1'!E38</f>
        <v>4400.71</v>
      </c>
      <c r="E21" s="274">
        <f>+'Chellakere -1'!G38</f>
        <v>439538.91480000003</v>
      </c>
      <c r="F21" s="274">
        <f>+'Chellakere -1'!H38</f>
        <v>245</v>
      </c>
      <c r="G21" s="274">
        <f>+'Chellakere -1'!J38</f>
        <v>27388.550000000003</v>
      </c>
      <c r="H21" s="274">
        <f t="shared" si="2"/>
        <v>466927.46480000002</v>
      </c>
      <c r="I21" s="274">
        <f>+'Chellakere -1'!K3</f>
        <v>71615.086599999981</v>
      </c>
      <c r="J21" s="274">
        <f>+'Chellakere -1'!L38</f>
        <v>422486</v>
      </c>
      <c r="K21" s="333">
        <f t="shared" si="0"/>
        <v>116056.5514</v>
      </c>
    </row>
    <row r="22" spans="1:11">
      <c r="A22" s="332">
        <v>21</v>
      </c>
      <c r="B22" s="273" t="s">
        <v>104</v>
      </c>
      <c r="C22" s="273" t="s">
        <v>103</v>
      </c>
      <c r="D22" s="274">
        <f>+' Chellakere-PKG-9'!E36</f>
        <v>942.57</v>
      </c>
      <c r="E22" s="274">
        <f>+' Chellakere-PKG-9'!G36</f>
        <v>94143.891599999988</v>
      </c>
      <c r="F22" s="274">
        <f>+' Chellakere-PKG-9'!H36</f>
        <v>81.010000000000005</v>
      </c>
      <c r="G22" s="274">
        <f>+' Chellakere-PKG-9'!J36</f>
        <v>9056.0478999999996</v>
      </c>
      <c r="H22" s="274">
        <f t="shared" si="2"/>
        <v>103199.93949999999</v>
      </c>
      <c r="I22" s="274">
        <f>+' Chellakere-PKG-9'!M3</f>
        <v>0</v>
      </c>
      <c r="J22" s="274">
        <f>+' Chellakere-PKG-9'!L36</f>
        <v>103199.93950000001</v>
      </c>
      <c r="K22" s="333">
        <f t="shared" si="0"/>
        <v>0</v>
      </c>
    </row>
    <row r="23" spans="1:11">
      <c r="A23" s="332">
        <v>22</v>
      </c>
      <c r="B23" s="273" t="s">
        <v>105</v>
      </c>
      <c r="C23" s="305" t="s">
        <v>106</v>
      </c>
      <c r="D23" s="274">
        <f>+Molakamuru!E35</f>
        <v>1040</v>
      </c>
      <c r="E23" s="274">
        <f>+Molakamuru!G35</f>
        <v>103864.8</v>
      </c>
      <c r="F23" s="274">
        <f>+Molakamuru!H35</f>
        <v>127</v>
      </c>
      <c r="G23" s="274">
        <f>+Molakamuru!J35</f>
        <v>14196.06</v>
      </c>
      <c r="H23" s="274">
        <f t="shared" si="2"/>
        <v>118060.86</v>
      </c>
      <c r="I23" s="274">
        <f>+Molakamuru!K3</f>
        <v>62820</v>
      </c>
      <c r="J23" s="274">
        <f>+Molakamuru!L35</f>
        <v>172000</v>
      </c>
      <c r="K23" s="333">
        <f t="shared" si="0"/>
        <v>8880.859999999986</v>
      </c>
    </row>
    <row r="24" spans="1:11">
      <c r="A24" s="332">
        <v>23</v>
      </c>
      <c r="B24" s="273" t="s">
        <v>107</v>
      </c>
      <c r="C24" s="331" t="s">
        <v>89</v>
      </c>
      <c r="D24" s="274">
        <f>+' Chennagiri'!E35</f>
        <v>1920</v>
      </c>
      <c r="E24" s="274">
        <f>+' Chennagiri'!G35</f>
        <v>191424</v>
      </c>
      <c r="F24" s="274">
        <f>+' Chennagiri'!H35</f>
        <v>44</v>
      </c>
      <c r="G24" s="274">
        <f>+' Chennagiri'!J35</f>
        <v>4918.32</v>
      </c>
      <c r="H24" s="274">
        <f t="shared" si="2"/>
        <v>196342.32</v>
      </c>
      <c r="I24" s="274">
        <f>+' Chennagiri'!K3</f>
        <v>0</v>
      </c>
      <c r="J24" s="274">
        <f>+' Chennagiri'!L35</f>
        <v>196342.32</v>
      </c>
      <c r="K24" s="333">
        <f t="shared" si="0"/>
        <v>0</v>
      </c>
    </row>
    <row r="25" spans="1:11">
      <c r="A25" s="332">
        <v>24</v>
      </c>
      <c r="B25" s="273" t="s">
        <v>108</v>
      </c>
      <c r="C25" s="273" t="s">
        <v>109</v>
      </c>
      <c r="D25" s="274">
        <f>+Khanapur!E35</f>
        <v>1216.0899999999999</v>
      </c>
      <c r="E25" s="274">
        <f>+Khanapur!G35</f>
        <v>120083.29409999998</v>
      </c>
      <c r="F25" s="274">
        <f>+Khanapur!H35</f>
        <v>110</v>
      </c>
      <c r="G25" s="274">
        <f>+Khanapur!J35</f>
        <v>12193.8</v>
      </c>
      <c r="H25" s="274">
        <f t="shared" si="2"/>
        <v>132277.09409999999</v>
      </c>
      <c r="I25" s="274">
        <f>+Khanapur!M3</f>
        <v>59025.653999999973</v>
      </c>
      <c r="J25" s="274">
        <f>+Khanapur!L35</f>
        <v>86235</v>
      </c>
      <c r="K25" s="333">
        <f t="shared" si="0"/>
        <v>105067.74809999997</v>
      </c>
    </row>
    <row r="26" spans="1:11">
      <c r="A26" s="332">
        <v>25</v>
      </c>
      <c r="B26" s="273" t="s">
        <v>110</v>
      </c>
      <c r="C26" s="273" t="s">
        <v>111</v>
      </c>
      <c r="D26" s="274">
        <f>+'Munavali-2'!E40</f>
        <v>1500</v>
      </c>
      <c r="E26" s="274">
        <f>+'Munavali-2'!G40</f>
        <v>149025</v>
      </c>
      <c r="F26" s="274">
        <f>+'Munavali-2'!H40</f>
        <v>0</v>
      </c>
      <c r="G26" s="274">
        <f>+'Munavali-2'!J40</f>
        <v>0</v>
      </c>
      <c r="H26" s="274">
        <f t="shared" si="2"/>
        <v>149025</v>
      </c>
      <c r="I26" s="274">
        <f>+'Munavali-2'!M3</f>
        <v>445001.62046000012</v>
      </c>
      <c r="J26" s="274">
        <f>+'Munavali-2'!L40</f>
        <v>594027</v>
      </c>
      <c r="K26" s="333">
        <f t="shared" si="0"/>
        <v>-0.379539999878034</v>
      </c>
    </row>
    <row r="27" spans="1:11">
      <c r="A27" s="332">
        <v>26</v>
      </c>
      <c r="B27" s="273" t="s">
        <v>110</v>
      </c>
      <c r="C27" s="273" t="s">
        <v>112</v>
      </c>
      <c r="D27" s="274">
        <f>+' Munavali'!E39</f>
        <v>14021.29</v>
      </c>
      <c r="E27" s="274">
        <f>+' Munavali'!G39</f>
        <v>1389930.4776999999</v>
      </c>
      <c r="F27" s="274">
        <f>+' Munavali'!H39</f>
        <v>280</v>
      </c>
      <c r="G27" s="274">
        <f>+' Munavali'!J39</f>
        <v>31138.800000000003</v>
      </c>
      <c r="H27" s="274">
        <f t="shared" si="2"/>
        <v>1421069.2777</v>
      </c>
      <c r="I27" s="274">
        <f>+' Munavali'!M3</f>
        <v>277716.1471</v>
      </c>
      <c r="J27" s="274">
        <f>+' Munavali'!L39</f>
        <v>1220350</v>
      </c>
      <c r="K27" s="333">
        <f t="shared" si="0"/>
        <v>478435.42479999992</v>
      </c>
    </row>
    <row r="28" spans="1:11">
      <c r="A28" s="332">
        <v>27</v>
      </c>
      <c r="B28" s="273" t="s">
        <v>113</v>
      </c>
      <c r="C28" s="273" t="s">
        <v>114</v>
      </c>
      <c r="D28" s="274">
        <f>+Borgaon!E35</f>
        <v>0</v>
      </c>
      <c r="E28" s="274">
        <f>+Borgaon!G35</f>
        <v>0</v>
      </c>
      <c r="F28" s="274">
        <f>+Borgaon!H35</f>
        <v>0</v>
      </c>
      <c r="G28" s="274">
        <f>+Borgaon!J35</f>
        <v>0</v>
      </c>
      <c r="H28" s="274">
        <f t="shared" si="2"/>
        <v>0</v>
      </c>
      <c r="I28" s="274">
        <f>+Borgaon!K3</f>
        <v>276126.39069999999</v>
      </c>
      <c r="J28" s="274">
        <f>+Borgaon!L35</f>
        <v>275918</v>
      </c>
      <c r="K28" s="333">
        <f>H28+I28-J28</f>
        <v>208.39069999998901</v>
      </c>
    </row>
    <row r="29" spans="1:11">
      <c r="A29" s="332">
        <v>28</v>
      </c>
      <c r="B29" s="273" t="s">
        <v>115</v>
      </c>
      <c r="C29" s="273" t="s">
        <v>116</v>
      </c>
      <c r="D29" s="274">
        <f>+'Ugar,Khagwad,Kudichi'!E37</f>
        <v>9414.9200000000019</v>
      </c>
      <c r="E29" s="274">
        <f>+'Ugar,Khagwad,Kudichi'!G37</f>
        <v>939044.1207999998</v>
      </c>
      <c r="F29" s="274">
        <f>+'Ugar,Khagwad,Kudichi'!H37</f>
        <v>125</v>
      </c>
      <c r="G29" s="274">
        <f>+'Ugar,Khagwad,Kudichi'!J37</f>
        <v>13982.5</v>
      </c>
      <c r="H29" s="274">
        <f t="shared" si="2"/>
        <v>953026.6207999998</v>
      </c>
      <c r="I29" s="274">
        <f>+'Ugar,Khagwad,Kudichi'!M3</f>
        <v>476633.24810000026</v>
      </c>
      <c r="J29" s="274">
        <f>+'Ugar,Khagwad,Kudichi'!L37</f>
        <v>900000</v>
      </c>
      <c r="K29" s="333">
        <f>H29+I29-J29</f>
        <v>529659.86890000012</v>
      </c>
    </row>
    <row r="30" spans="1:11">
      <c r="A30" s="332">
        <v>29</v>
      </c>
      <c r="B30" s="273" t="s">
        <v>117</v>
      </c>
      <c r="C30" s="273" t="s">
        <v>118</v>
      </c>
      <c r="D30" s="274">
        <f>+shedbal!E35</f>
        <v>8870</v>
      </c>
      <c r="E30" s="274">
        <f>+shedbal!G35</f>
        <v>884605.10000000021</v>
      </c>
      <c r="F30" s="274">
        <f>+shedbal!H35</f>
        <v>379</v>
      </c>
      <c r="G30" s="274">
        <f>+shedbal!J35</f>
        <v>42391.149999999994</v>
      </c>
      <c r="H30" s="274">
        <f t="shared" si="2"/>
        <v>926996.25000000023</v>
      </c>
      <c r="I30" s="274">
        <f>+shedbal!M3</f>
        <v>167956.75</v>
      </c>
      <c r="J30" s="274">
        <f>+shedbal!L35</f>
        <v>798000</v>
      </c>
      <c r="K30" s="333">
        <f>H30+I30-J30</f>
        <v>296953.00000000023</v>
      </c>
    </row>
    <row r="31" spans="1:11">
      <c r="A31" s="332">
        <v>30</v>
      </c>
      <c r="B31" s="273" t="s">
        <v>119</v>
      </c>
      <c r="C31" s="273" t="s">
        <v>120</v>
      </c>
      <c r="D31" s="274">
        <f>+Kabbur!E35</f>
        <v>105</v>
      </c>
      <c r="E31" s="274">
        <f>+Kabbur!G35</f>
        <v>10438.049999999999</v>
      </c>
      <c r="F31" s="274">
        <f>+Kabbur!H35</f>
        <v>15.34</v>
      </c>
      <c r="G31" s="274">
        <f>+Kabbur!J35</f>
        <v>1710.5634</v>
      </c>
      <c r="H31" s="274">
        <f t="shared" si="2"/>
        <v>12148.613399999998</v>
      </c>
      <c r="I31" s="274">
        <v>0</v>
      </c>
      <c r="J31" s="274">
        <f>+Kabbur!L35</f>
        <v>12148.613399999998</v>
      </c>
      <c r="K31" s="333">
        <f t="shared" si="0"/>
        <v>0</v>
      </c>
    </row>
    <row r="32" spans="1:11">
      <c r="A32" s="332">
        <v>31</v>
      </c>
      <c r="B32" s="273" t="s">
        <v>121</v>
      </c>
      <c r="C32" s="273" t="s">
        <v>122</v>
      </c>
      <c r="D32" s="274">
        <f>+kumta!E41</f>
        <v>1307.3699999999999</v>
      </c>
      <c r="E32" s="274">
        <f>+kumta!G41</f>
        <v>130439.0001</v>
      </c>
      <c r="F32" s="274">
        <f>+kumta!H41</f>
        <v>86.37</v>
      </c>
      <c r="G32" s="274">
        <f>+kumta!J41</f>
        <v>9671.7125999999989</v>
      </c>
      <c r="H32" s="274">
        <f t="shared" si="2"/>
        <v>140110.7127</v>
      </c>
      <c r="I32" s="274">
        <f>kumta!M3</f>
        <v>71321.750200000009</v>
      </c>
      <c r="J32" s="274">
        <f>+kumta!L41</f>
        <v>196373.95610000001</v>
      </c>
      <c r="K32" s="333">
        <f t="shared" si="0"/>
        <v>15058.506800000003</v>
      </c>
    </row>
    <row r="33" spans="1:13">
      <c r="A33" s="332">
        <v>32</v>
      </c>
      <c r="B33" s="273" t="s">
        <v>123</v>
      </c>
      <c r="C33" s="273" t="s">
        <v>124</v>
      </c>
      <c r="D33" s="274">
        <f>+' Jalgaon-1'!E55</f>
        <v>3000</v>
      </c>
      <c r="E33" s="274">
        <f>+' Jalgaon-1'!G55</f>
        <v>298530</v>
      </c>
      <c r="F33" s="274">
        <f>+' Jalgaon-1'!H55</f>
        <v>0</v>
      </c>
      <c r="G33" s="274">
        <f>+' Jalgaon-1'!J55</f>
        <v>0</v>
      </c>
      <c r="H33" s="274">
        <f t="shared" si="2"/>
        <v>298530</v>
      </c>
      <c r="I33" s="274">
        <f>+' Jalgaon-1'!K3</f>
        <v>0</v>
      </c>
      <c r="J33" s="274">
        <f>+' Jalgaon-1'!L55</f>
        <v>298530</v>
      </c>
      <c r="K33" s="333">
        <f t="shared" si="0"/>
        <v>0</v>
      </c>
    </row>
    <row r="34" spans="1:13">
      <c r="A34" s="332">
        <v>33</v>
      </c>
      <c r="B34" s="273" t="s">
        <v>125</v>
      </c>
      <c r="C34" s="273" t="s">
        <v>126</v>
      </c>
      <c r="D34" s="274">
        <f>+'Jalgoan-2'!E56</f>
        <v>27863.47</v>
      </c>
      <c r="E34" s="274">
        <f>'Jalgoan-2'!G56</f>
        <v>2856284.3097000001</v>
      </c>
      <c r="F34" s="274">
        <f>+'Jalgoan-2'!H56</f>
        <v>180</v>
      </c>
      <c r="G34" s="274">
        <f>+'Jalgoan-2'!J56</f>
        <v>21272.400000000001</v>
      </c>
      <c r="H34" s="274">
        <f t="shared" si="2"/>
        <v>2877556.7097</v>
      </c>
      <c r="I34" s="274">
        <f>+'Jalgoan-2'!M3</f>
        <v>2169469.7344000009</v>
      </c>
      <c r="J34" s="274">
        <f>+'Jalgoan-2'!L56</f>
        <v>2500000</v>
      </c>
      <c r="K34" s="333">
        <f t="shared" si="0"/>
        <v>2547026.4441000009</v>
      </c>
    </row>
    <row r="35" spans="1:13">
      <c r="A35" s="332">
        <v>34</v>
      </c>
      <c r="B35" s="273" t="s">
        <v>127</v>
      </c>
      <c r="C35" s="273" t="s">
        <v>128</v>
      </c>
      <c r="D35" s="274">
        <f>+' Jalgaon-3'!E20</f>
        <v>7187.16</v>
      </c>
      <c r="E35" s="274">
        <f>+' Jalgaon-3'!G20</f>
        <v>714906.80520000006</v>
      </c>
      <c r="F35" s="274">
        <f>+' Jalgaon-3'!H20</f>
        <v>0</v>
      </c>
      <c r="G35" s="274">
        <f>+' Jalgaon-3'!J20</f>
        <v>0</v>
      </c>
      <c r="H35" s="274">
        <f t="shared" si="2"/>
        <v>714906.80520000006</v>
      </c>
      <c r="I35" s="274">
        <f>+' Jalgaon-3'!M3</f>
        <v>494713</v>
      </c>
      <c r="J35" s="274">
        <f>+' Jalgaon-3'!L20</f>
        <v>1209619.8052000001</v>
      </c>
      <c r="K35" s="333">
        <f t="shared" si="0"/>
        <v>0</v>
      </c>
    </row>
    <row r="36" spans="1:13">
      <c r="A36" s="332">
        <v>35</v>
      </c>
      <c r="B36" s="273" t="s">
        <v>129</v>
      </c>
      <c r="C36" s="273" t="s">
        <v>130</v>
      </c>
      <c r="D36" s="274">
        <f>+'Jalgaon-4'!E19</f>
        <v>0</v>
      </c>
      <c r="E36" s="274">
        <f>+'Jalgaon-4'!G19</f>
        <v>0</v>
      </c>
      <c r="F36" s="274">
        <f>+'Jalgaon-4'!H19</f>
        <v>0</v>
      </c>
      <c r="G36" s="274">
        <f>+'Jalgaon-4'!J19</f>
        <v>0</v>
      </c>
      <c r="H36" s="274">
        <f>E36+G36</f>
        <v>0</v>
      </c>
      <c r="I36" s="274">
        <f>+'Jalgaon-4'!M3</f>
        <v>0</v>
      </c>
      <c r="J36" s="274">
        <f>+'Jalgaon-4'!L19</f>
        <v>0</v>
      </c>
      <c r="K36" s="333">
        <f t="shared" si="0"/>
        <v>0</v>
      </c>
    </row>
    <row r="37" spans="1:13">
      <c r="A37" s="332">
        <v>36</v>
      </c>
      <c r="B37" s="273" t="s">
        <v>131</v>
      </c>
      <c r="C37" s="273" t="s">
        <v>73</v>
      </c>
      <c r="D37" s="274">
        <f>+' Jalgaon-5 c'!E39</f>
        <v>10.11</v>
      </c>
      <c r="E37" s="274">
        <f>+' Jalgaon-5 c'!G39</f>
        <v>1000.3845</v>
      </c>
      <c r="F37" s="274">
        <f>+' Jalgaon-5 c'!H39</f>
        <v>0</v>
      </c>
      <c r="G37" s="274">
        <f>+' Jalgaon-5 c'!J39</f>
        <v>0</v>
      </c>
      <c r="H37" s="274">
        <f>E37+G37</f>
        <v>1000.3845</v>
      </c>
      <c r="I37" s="274">
        <f>+' Jalgaon-5 c'!M3</f>
        <v>0</v>
      </c>
      <c r="J37" s="274">
        <f>+' Jalgaon-5 c'!L39</f>
        <v>1000.3845</v>
      </c>
      <c r="K37" s="333">
        <f t="shared" si="0"/>
        <v>0</v>
      </c>
    </row>
    <row r="38" spans="1:13">
      <c r="A38" s="332">
        <v>37</v>
      </c>
      <c r="B38" s="273" t="s">
        <v>132</v>
      </c>
      <c r="C38" s="273" t="s">
        <v>133</v>
      </c>
      <c r="D38" s="274">
        <f>+MKBD!E42</f>
        <v>9454.92</v>
      </c>
      <c r="E38" s="274">
        <f>+MKBD!G42</f>
        <v>938428.08479999995</v>
      </c>
      <c r="F38" s="274">
        <f>+MKBD!H42</f>
        <v>100</v>
      </c>
      <c r="G38" s="274">
        <f>+MKBD!J42</f>
        <v>11227</v>
      </c>
      <c r="H38" s="274">
        <f t="shared" si="2"/>
        <v>949655.08479999995</v>
      </c>
      <c r="I38" s="274">
        <f>+MKBD!K3</f>
        <v>3890914.7251000004</v>
      </c>
      <c r="J38" s="274">
        <f>+MKBD!L42</f>
        <v>4208999</v>
      </c>
      <c r="K38" s="333">
        <f t="shared" si="0"/>
        <v>631570.80990000069</v>
      </c>
    </row>
    <row r="39" spans="1:13">
      <c r="A39" s="332">
        <v>38</v>
      </c>
      <c r="B39" s="273" t="s">
        <v>134</v>
      </c>
      <c r="C39" s="273" t="s">
        <v>135</v>
      </c>
      <c r="D39" s="274">
        <f>' Haveri-2'!E42</f>
        <v>6428.27</v>
      </c>
      <c r="E39" s="274">
        <f>' Haveri-2'!G42</f>
        <v>638327.21099999966</v>
      </c>
      <c r="F39" s="274">
        <f>' Haveri-2'!H42</f>
        <v>127.02000000000001</v>
      </c>
      <c r="G39" s="274">
        <f>' Haveri-2'!J42</f>
        <v>14246.372400000002</v>
      </c>
      <c r="H39" s="274">
        <f t="shared" si="2"/>
        <v>652573.58339999965</v>
      </c>
      <c r="I39" s="274">
        <f>' Haveri-2'!M3</f>
        <v>206223.96669999996</v>
      </c>
      <c r="J39" s="274">
        <f>+' Haveri-2'!L42</f>
        <v>726000.10360000003</v>
      </c>
      <c r="K39" s="333">
        <f t="shared" si="0"/>
        <v>132797.44649999961</v>
      </c>
    </row>
    <row r="40" spans="1:13">
      <c r="A40" s="332">
        <v>39</v>
      </c>
      <c r="B40" s="273" t="s">
        <v>136</v>
      </c>
      <c r="C40" s="273" t="s">
        <v>137</v>
      </c>
      <c r="D40" s="274">
        <f>+' Guttal-2'!E35</f>
        <v>4080</v>
      </c>
      <c r="E40" s="274">
        <f>+' Guttal-2'!G35</f>
        <v>406368</v>
      </c>
      <c r="F40" s="274">
        <f>+' Guttal-2'!H35</f>
        <v>177</v>
      </c>
      <c r="G40" s="274">
        <f>+' Guttal-2'!J35</f>
        <v>19772.669999999995</v>
      </c>
      <c r="H40" s="274">
        <f t="shared" si="2"/>
        <v>426140.67</v>
      </c>
      <c r="I40" s="274">
        <f>+' Guttal-2'!M3</f>
        <v>105890.82380000016</v>
      </c>
      <c r="J40" s="274">
        <f>+' Guttal-2'!L35</f>
        <v>440000</v>
      </c>
      <c r="K40" s="333">
        <f t="shared" si="0"/>
        <v>92031.493800000171</v>
      </c>
    </row>
    <row r="41" spans="1:13">
      <c r="A41" s="332">
        <v>40</v>
      </c>
      <c r="B41" s="273" t="s">
        <v>138</v>
      </c>
      <c r="C41" s="273" t="s">
        <v>139</v>
      </c>
      <c r="D41" s="274">
        <f>+'Rattihali-2'!E37</f>
        <v>8294.61</v>
      </c>
      <c r="E41" s="274">
        <f>+'Rattihali-2'!G37</f>
        <v>826972.61700000009</v>
      </c>
      <c r="F41" s="274">
        <f>+'Rattihali-2'!H37</f>
        <v>90.34</v>
      </c>
      <c r="G41" s="274">
        <f>+'Rattihali-2'!J37</f>
        <v>10101.818800000001</v>
      </c>
      <c r="H41" s="274">
        <f t="shared" si="2"/>
        <v>837074.43580000009</v>
      </c>
      <c r="I41" s="274">
        <f>+'Rattihali-2'!M3</f>
        <v>356005.72090000013</v>
      </c>
      <c r="J41" s="274">
        <f>+'Rattihali-2'!L37</f>
        <v>800000</v>
      </c>
      <c r="K41" s="333">
        <f t="shared" si="0"/>
        <v>393080.15670000017</v>
      </c>
    </row>
    <row r="42" spans="1:13">
      <c r="A42" s="332">
        <v>41</v>
      </c>
      <c r="B42" s="273" t="s">
        <v>140</v>
      </c>
      <c r="C42" s="273" t="s">
        <v>141</v>
      </c>
      <c r="D42" s="274">
        <f>+Gajendragada!E36</f>
        <v>920</v>
      </c>
      <c r="E42" s="274">
        <f>+Gajendragada!G36</f>
        <v>91668.800000000032</v>
      </c>
      <c r="F42" s="274">
        <f>+Gajendragada!H36</f>
        <v>61</v>
      </c>
      <c r="G42" s="274">
        <f>+Gajendragada!J36</f>
        <v>6817.9699999999993</v>
      </c>
      <c r="H42" s="274">
        <f t="shared" si="2"/>
        <v>98486.770000000033</v>
      </c>
      <c r="I42" s="274">
        <f>+Gajendragada!K3</f>
        <v>43458.637999999977</v>
      </c>
      <c r="J42" s="274">
        <f>+Gajendragada!L36</f>
        <v>62000</v>
      </c>
      <c r="K42" s="333">
        <f t="shared" si="0"/>
        <v>79945.407999999996</v>
      </c>
    </row>
    <row r="43" spans="1:13">
      <c r="A43" s="332">
        <v>42</v>
      </c>
      <c r="B43" s="276" t="s">
        <v>142</v>
      </c>
      <c r="C43" s="276" t="s">
        <v>143</v>
      </c>
      <c r="D43" s="274">
        <f>+'Gokak Dharwad PKG 3'!E42</f>
        <v>5295.4400000000005</v>
      </c>
      <c r="E43" s="274">
        <f>+'Gokak Dharwad PKG 3'!G42</f>
        <v>525784.23759999988</v>
      </c>
      <c r="F43" s="274">
        <f>+'Gokak Dharwad PKG 3'!H42</f>
        <v>25</v>
      </c>
      <c r="G43" s="274">
        <f>+'Gokak Dharwad PKG 3'!J42</f>
        <v>2784.5</v>
      </c>
      <c r="H43" s="274">
        <f t="shared" si="2"/>
        <v>528568.73759999988</v>
      </c>
      <c r="I43" s="352">
        <f>+'Gokak Dharwad PKG 3'!K3</f>
        <v>236297.7207000014</v>
      </c>
      <c r="J43" s="274">
        <f>+'Gokak Dharwad PKG 3'!L42</f>
        <v>620000</v>
      </c>
      <c r="K43" s="333">
        <f t="shared" si="0"/>
        <v>144866.45830000122</v>
      </c>
      <c r="M43" s="278"/>
    </row>
    <row r="44" spans="1:13">
      <c r="A44" s="332">
        <v>43</v>
      </c>
      <c r="B44" s="276" t="s">
        <v>144</v>
      </c>
      <c r="C44" s="276" t="s">
        <v>145</v>
      </c>
      <c r="D44" s="274">
        <f>+' TR Associates'!E34</f>
        <v>7642.1399999999994</v>
      </c>
      <c r="E44" s="274">
        <f>+' TR Associates'!G34</f>
        <v>757565.33820000011</v>
      </c>
      <c r="F44" s="274">
        <f>+' TR Associates'!H34</f>
        <v>15</v>
      </c>
      <c r="G44" s="274">
        <f>+' TR Associates'!J34</f>
        <v>1668.1499999999999</v>
      </c>
      <c r="H44" s="350">
        <f t="shared" si="2"/>
        <v>759233.48820000014</v>
      </c>
      <c r="I44" s="349">
        <f>+' TR Associates'!M3</f>
        <v>790926.4</v>
      </c>
      <c r="J44" s="351">
        <f>+' TR Associates'!L34</f>
        <v>1250000</v>
      </c>
      <c r="K44" s="333">
        <f t="shared" si="0"/>
        <v>300159.88820000016</v>
      </c>
      <c r="M44" s="278"/>
    </row>
    <row r="45" spans="1:13">
      <c r="A45" s="332">
        <v>44</v>
      </c>
      <c r="B45" s="276" t="s">
        <v>146</v>
      </c>
      <c r="C45" s="276" t="s">
        <v>147</v>
      </c>
      <c r="D45" s="274">
        <f>+Ankalgi!E35</f>
        <v>2282.6999999999998</v>
      </c>
      <c r="E45" s="274">
        <f>+Ankalgi!G35</f>
        <v>226284.05100000001</v>
      </c>
      <c r="F45" s="274">
        <f>+Ankalgi!H35</f>
        <v>80</v>
      </c>
      <c r="G45" s="274">
        <f>+Ankalgi!J35</f>
        <v>8896.8000000000011</v>
      </c>
      <c r="H45" s="274">
        <f t="shared" si="2"/>
        <v>235180.851</v>
      </c>
      <c r="I45" s="296">
        <f>+Ankalgi!M3</f>
        <v>227226.53389999995</v>
      </c>
      <c r="J45" s="274">
        <f>+Ankalgi!L35</f>
        <v>227000</v>
      </c>
      <c r="K45" s="333">
        <f>H45+I45-J45</f>
        <v>235407.38489999995</v>
      </c>
    </row>
    <row r="46" spans="1:13">
      <c r="A46" s="332">
        <v>45</v>
      </c>
      <c r="B46" s="276" t="s">
        <v>148</v>
      </c>
      <c r="C46" s="276" t="s">
        <v>149</v>
      </c>
      <c r="D46" s="274">
        <f>+'SHRI DESHPANDE'!E35</f>
        <v>8051.3100000000013</v>
      </c>
      <c r="E46" s="274">
        <f>+'SHRI DESHPANDE'!G35</f>
        <v>800058.67470000009</v>
      </c>
      <c r="F46" s="274">
        <f>+'SHRI DESHPANDE'!H35</f>
        <v>355</v>
      </c>
      <c r="G46" s="274">
        <f>+'SHRI DESHPANDE'!J35</f>
        <v>39568.299999999988</v>
      </c>
      <c r="H46" s="350">
        <f>E46+G46</f>
        <v>839626.97470000014</v>
      </c>
      <c r="I46" s="349">
        <f>+'SHRI DESHPANDE'!M3</f>
        <v>384179.45210000005</v>
      </c>
      <c r="J46" s="351">
        <f>+'SHRI DESHPANDE'!L35</f>
        <v>930000</v>
      </c>
      <c r="K46" s="333">
        <f>H46+I46-J46</f>
        <v>293806.42680000025</v>
      </c>
    </row>
    <row r="47" spans="1:13">
      <c r="A47" s="332">
        <v>46</v>
      </c>
      <c r="B47" s="276" t="s">
        <v>150</v>
      </c>
      <c r="C47" s="276" t="s">
        <v>151</v>
      </c>
      <c r="D47" s="274">
        <f>+' Shankeshwar'!E35</f>
        <v>345</v>
      </c>
      <c r="E47" s="274">
        <f>+' Shankeshwar'!G35</f>
        <v>34196.400000000009</v>
      </c>
      <c r="F47" s="274">
        <f>+' Shankeshwar'!H35</f>
        <v>20</v>
      </c>
      <c r="G47" s="274">
        <f>+' Shankeshwar'!J35</f>
        <v>2224</v>
      </c>
      <c r="H47" s="350">
        <f t="shared" si="2"/>
        <v>36420.400000000009</v>
      </c>
      <c r="I47" s="497">
        <f>' Shankeshwar'!M3</f>
        <v>0</v>
      </c>
      <c r="J47" s="351">
        <f>+' Shankeshwar'!L35</f>
        <v>36420.400000000009</v>
      </c>
      <c r="K47" s="333">
        <f t="shared" si="0"/>
        <v>0</v>
      </c>
    </row>
    <row r="48" spans="1:13">
      <c r="A48" s="332">
        <v>47</v>
      </c>
      <c r="B48" s="276" t="s">
        <v>152</v>
      </c>
      <c r="C48" s="276" t="s">
        <v>153</v>
      </c>
      <c r="D48" s="274">
        <f>+' Talikote'!E46</f>
        <v>392.99999999999994</v>
      </c>
      <c r="E48" s="274">
        <f>+' Talikote'!G46</f>
        <v>39088.454299999998</v>
      </c>
      <c r="F48" s="274">
        <f>+' Talikote'!H46</f>
        <v>75.959999999999994</v>
      </c>
      <c r="G48" s="274">
        <f>+' Talikote'!J46</f>
        <v>8566.0159999999996</v>
      </c>
      <c r="H48" s="274">
        <f t="shared" si="2"/>
        <v>47654.470300000001</v>
      </c>
      <c r="I48" s="373">
        <f>+' Talikote'!N3</f>
        <v>14774.411199999984</v>
      </c>
      <c r="J48" s="274">
        <f>+' Talikote'!L46</f>
        <v>49500.392700000004</v>
      </c>
      <c r="K48" s="333">
        <f t="shared" si="0"/>
        <v>12928.488799999985</v>
      </c>
    </row>
    <row r="49" spans="1:13">
      <c r="A49" s="332">
        <v>48</v>
      </c>
      <c r="B49" s="276" t="s">
        <v>154</v>
      </c>
      <c r="C49" s="276" t="s">
        <v>155</v>
      </c>
      <c r="D49" s="274">
        <f>+Chadchan!E35</f>
        <v>1034.1100000000001</v>
      </c>
      <c r="E49" s="274">
        <f>+Chadchan!G35</f>
        <v>102500.9832</v>
      </c>
      <c r="F49" s="274">
        <f>+Chadchan!H35</f>
        <v>111.53000000000002</v>
      </c>
      <c r="G49" s="274">
        <f>+Chadchan!J35</f>
        <v>12624.080699999999</v>
      </c>
      <c r="H49" s="274">
        <f t="shared" si="2"/>
        <v>115125.06390000001</v>
      </c>
      <c r="I49" s="274">
        <f>+Chadchan!K3</f>
        <v>16237.588500000104</v>
      </c>
      <c r="J49" s="274">
        <f>+Chadchan!L35</f>
        <v>59000</v>
      </c>
      <c r="K49" s="333">
        <f t="shared" si="0"/>
        <v>72362.652400000108</v>
      </c>
    </row>
    <row r="50" spans="1:13">
      <c r="A50" s="332">
        <v>49</v>
      </c>
      <c r="B50" s="276" t="s">
        <v>156</v>
      </c>
      <c r="C50" s="276" t="s">
        <v>157</v>
      </c>
      <c r="D50" s="274">
        <f>+Sindagi!E44</f>
        <v>240.01</v>
      </c>
      <c r="E50" s="274">
        <f>+Sindagi!G44</f>
        <v>23777.790699999998</v>
      </c>
      <c r="F50" s="274">
        <f>+Sindagi!H44</f>
        <v>2</v>
      </c>
      <c r="G50" s="274">
        <f>+Sindagi!J44</f>
        <v>241.28</v>
      </c>
      <c r="H50" s="274">
        <f t="shared" si="2"/>
        <v>24019.070699999997</v>
      </c>
      <c r="I50" s="274">
        <f>+Sindagi!M3</f>
        <v>12648.918199999996</v>
      </c>
      <c r="J50" s="274">
        <f>+Sindagi!L44</f>
        <v>23000</v>
      </c>
      <c r="K50" s="333">
        <f t="shared" si="0"/>
        <v>13667.988899999997</v>
      </c>
    </row>
    <row r="51" spans="1:13">
      <c r="A51" s="332">
        <v>50</v>
      </c>
      <c r="B51" s="276" t="s">
        <v>158</v>
      </c>
      <c r="C51" s="276" t="s">
        <v>159</v>
      </c>
      <c r="D51" s="274">
        <f>+'Muddebhihal-2'!E50</f>
        <v>1559.43</v>
      </c>
      <c r="E51" s="274">
        <f>+'Muddebhihal-2'!G50</f>
        <v>154742.2389</v>
      </c>
      <c r="F51" s="274">
        <f>+'Muddebhihal-2'!H50</f>
        <v>45</v>
      </c>
      <c r="G51" s="274">
        <f>+'Muddebhihal-2'!J50</f>
        <v>5056.5499999999993</v>
      </c>
      <c r="H51" s="274">
        <f>+'Muddebhihal-2'!K50</f>
        <v>159798.78890000001</v>
      </c>
      <c r="I51" s="274">
        <f>+'Muddebhihal-2'!M3</f>
        <v>149809.72220000005</v>
      </c>
      <c r="J51" s="274">
        <f>+'Muddebhihal-2'!L50</f>
        <v>150000</v>
      </c>
      <c r="K51" s="333">
        <f>+'Muddebhihal-2'!M49</f>
        <v>159608.51110000009</v>
      </c>
    </row>
    <row r="52" spans="1:13">
      <c r="A52" s="332">
        <v>51</v>
      </c>
      <c r="B52" s="276" t="s">
        <v>160</v>
      </c>
      <c r="C52" s="276" t="s">
        <v>161</v>
      </c>
      <c r="D52" s="274">
        <f>+Alemela!E43</f>
        <v>930.47</v>
      </c>
      <c r="E52" s="274">
        <f>+Alemela!G43</f>
        <v>92377.061600000015</v>
      </c>
      <c r="F52" s="274">
        <f>+Alemela!H43</f>
        <v>74.09</v>
      </c>
      <c r="G52" s="274">
        <f>+Alemela!J43</f>
        <v>8252.1442000000006</v>
      </c>
      <c r="H52" s="274">
        <f t="shared" si="2"/>
        <v>100629.20580000001</v>
      </c>
      <c r="I52" s="274">
        <f>+Alemela!M3</f>
        <v>65134</v>
      </c>
      <c r="J52" s="274">
        <f>+Alemela!L43</f>
        <v>96000</v>
      </c>
      <c r="K52" s="333">
        <f t="shared" si="0"/>
        <v>69763.205799999996</v>
      </c>
    </row>
    <row r="53" spans="1:13">
      <c r="A53" s="332">
        <v>52</v>
      </c>
      <c r="B53" s="276" t="s">
        <v>162</v>
      </c>
      <c r="C53" s="276" t="s">
        <v>163</v>
      </c>
      <c r="D53" s="274">
        <f>+Nalatwad!E43</f>
        <v>40.229999999999997</v>
      </c>
      <c r="E53" s="274">
        <f>+Nalatwad!G43</f>
        <v>4000.4711999999995</v>
      </c>
      <c r="F53" s="274">
        <f>+Nalatwad!H43</f>
        <v>17.810000000000002</v>
      </c>
      <c r="G53" s="274">
        <f>+Nalatwad!J43</f>
        <v>2052.9706999999999</v>
      </c>
      <c r="H53" s="274">
        <f>E53+G53</f>
        <v>6053.4418999999998</v>
      </c>
      <c r="I53" s="274">
        <f>+Nalatwad!M3</f>
        <v>110295.88160000002</v>
      </c>
      <c r="J53" s="274">
        <f>+Nalatwad!L43</f>
        <v>100000</v>
      </c>
      <c r="K53" s="333">
        <f>H53+I53-J53</f>
        <v>16349.323500000028</v>
      </c>
    </row>
    <row r="54" spans="1:13">
      <c r="A54" s="332">
        <v>53</v>
      </c>
      <c r="B54" s="276" t="s">
        <v>164</v>
      </c>
      <c r="C54" s="276" t="s">
        <v>165</v>
      </c>
      <c r="D54" s="274">
        <f>+Srirangapatna!E35</f>
        <v>91.95</v>
      </c>
      <c r="E54" s="274">
        <f>+Srirangapatna!G35</f>
        <v>9045.1215000000011</v>
      </c>
      <c r="F54" s="274">
        <f>+Srirangapatna!H35</f>
        <v>21.94</v>
      </c>
      <c r="G54" s="274">
        <f>+Srirangapatna!J35</f>
        <v>2398.7847999999999</v>
      </c>
      <c r="H54" s="274">
        <f t="shared" si="2"/>
        <v>11443.906300000001</v>
      </c>
      <c r="I54" s="274">
        <v>0</v>
      </c>
      <c r="J54" s="274">
        <f>+Srirangapatna!L35</f>
        <v>11443.906300000001</v>
      </c>
      <c r="K54" s="333">
        <f t="shared" si="0"/>
        <v>0</v>
      </c>
    </row>
    <row r="55" spans="1:13">
      <c r="A55" s="332">
        <v>54</v>
      </c>
      <c r="B55" s="276" t="s">
        <v>166</v>
      </c>
      <c r="C55" s="273" t="s">
        <v>71</v>
      </c>
      <c r="D55" s="338">
        <f>+'HO(DG)'!E46</f>
        <v>1440</v>
      </c>
      <c r="E55" s="338">
        <f>+'HO(DG)'!G46</f>
        <v>149530.4</v>
      </c>
      <c r="F55" s="338">
        <f>+'HO(DG)'!H46</f>
        <v>0</v>
      </c>
      <c r="G55" s="338">
        <f>+'HO(DG)'!J46</f>
        <v>0</v>
      </c>
      <c r="H55" s="274">
        <f>E55+G55</f>
        <v>149530.4</v>
      </c>
      <c r="I55" s="338">
        <f>+'HO(DG)'!M3</f>
        <v>99797.75</v>
      </c>
      <c r="J55" s="338">
        <f>+'HO(DG)'!L46</f>
        <v>66406.400000000009</v>
      </c>
      <c r="K55" s="333">
        <f>H55+I55-J55</f>
        <v>182921.75</v>
      </c>
    </row>
    <row r="56" spans="1:13">
      <c r="A56" s="554" t="s">
        <v>36</v>
      </c>
      <c r="B56" s="555"/>
      <c r="C56" s="556"/>
      <c r="D56" s="334">
        <f>SUM(D2:D55)</f>
        <v>402194.85269999987</v>
      </c>
      <c r="E56" s="334">
        <f t="shared" ref="E56:G56" si="3">SUM(E2:E55)</f>
        <v>41143909.726060003</v>
      </c>
      <c r="F56" s="334">
        <f t="shared" si="3"/>
        <v>5659.420000000001</v>
      </c>
      <c r="G56" s="334">
        <f>SUM(G2:G55)</f>
        <v>641363.04929999996</v>
      </c>
      <c r="H56" s="334">
        <f>SUM(H2:H55)</f>
        <v>41785272.775360003</v>
      </c>
      <c r="I56" s="334">
        <f>SUM(I2:I55)</f>
        <v>27599932.778193004</v>
      </c>
      <c r="J56" s="334">
        <f>SUM(J2:J55)</f>
        <v>48553636.729360007</v>
      </c>
      <c r="K56" s="335">
        <f>H56+I56-J56</f>
        <v>20831568.824193008</v>
      </c>
      <c r="L56" s="272">
        <v>20751515.576633006</v>
      </c>
      <c r="M56" s="278">
        <f>L56-K56</f>
        <v>-80053.24756000191</v>
      </c>
    </row>
    <row r="57" spans="1:13">
      <c r="K57" s="277"/>
    </row>
    <row r="59" spans="1:13">
      <c r="K59" s="277"/>
    </row>
    <row r="60" spans="1:13">
      <c r="K60" s="277"/>
    </row>
    <row r="61" spans="1:13">
      <c r="A61" s="311" t="s">
        <v>55</v>
      </c>
      <c r="B61" s="311" t="s">
        <v>56</v>
      </c>
      <c r="C61" s="311" t="s">
        <v>57</v>
      </c>
      <c r="D61" s="312" t="s">
        <v>58</v>
      </c>
      <c r="E61" s="312" t="s">
        <v>59</v>
      </c>
      <c r="F61" s="312" t="s">
        <v>60</v>
      </c>
      <c r="G61" s="312" t="s">
        <v>61</v>
      </c>
      <c r="H61" s="312" t="s">
        <v>62</v>
      </c>
      <c r="I61" s="312" t="s">
        <v>63</v>
      </c>
      <c r="J61" s="312" t="s">
        <v>64</v>
      </c>
      <c r="K61" s="312" t="s">
        <v>65</v>
      </c>
    </row>
    <row r="62" spans="1:13">
      <c r="A62" s="313">
        <v>39</v>
      </c>
      <c r="B62" s="313" t="str" cm="1">
        <f t="array" ref="B62:K62">VLOOKUP(A62,A1:K54,{2,3,4,5,6,7,8,9,10,11},FALSE)</f>
        <v>Guttal-2</v>
      </c>
      <c r="C62" s="313" t="str">
        <v>Himagiri Petroleum</v>
      </c>
      <c r="D62" s="313">
        <v>4080</v>
      </c>
      <c r="E62" s="313">
        <v>406368</v>
      </c>
      <c r="F62" s="313">
        <v>177</v>
      </c>
      <c r="G62" s="313">
        <v>19772.669999999995</v>
      </c>
      <c r="H62" s="313">
        <v>426140.67</v>
      </c>
      <c r="I62" s="313">
        <v>105890.82380000016</v>
      </c>
      <c r="J62" s="313">
        <v>440000</v>
      </c>
      <c r="K62" s="313">
        <v>92031.493800000171</v>
      </c>
    </row>
    <row r="64" spans="1:13">
      <c r="B64" s="311" t="s">
        <v>56</v>
      </c>
      <c r="C64" s="311" t="s">
        <v>57</v>
      </c>
      <c r="D64" s="312" t="s">
        <v>58</v>
      </c>
      <c r="E64" s="312" t="s">
        <v>59</v>
      </c>
      <c r="F64" s="312" t="s">
        <v>60</v>
      </c>
      <c r="G64" s="312" t="s">
        <v>61</v>
      </c>
      <c r="H64" s="312" t="s">
        <v>62</v>
      </c>
      <c r="I64" s="312" t="s">
        <v>63</v>
      </c>
      <c r="J64" s="312" t="s">
        <v>64</v>
      </c>
      <c r="K64" s="312" t="s">
        <v>65</v>
      </c>
    </row>
    <row r="65" spans="2:13">
      <c r="B65" s="6" t="s">
        <v>125</v>
      </c>
      <c r="C65" s="272" t="str" cm="1">
        <f t="array" ref="C65:K65">VLOOKUP(B65,B1:K54,{2,3,4,5,6,7,8,9,10},FALSE)</f>
        <v>Nayara</v>
      </c>
      <c r="D65" s="272">
        <v>27863.47</v>
      </c>
      <c r="E65" s="272">
        <v>2856284.3097000001</v>
      </c>
      <c r="F65" s="272">
        <v>180</v>
      </c>
      <c r="G65" s="272">
        <v>21272.400000000001</v>
      </c>
      <c r="H65" s="272">
        <v>2877556.7097</v>
      </c>
      <c r="I65" s="272">
        <v>2169469.7344000009</v>
      </c>
      <c r="J65" s="272">
        <v>2500000</v>
      </c>
      <c r="K65" s="272">
        <v>2547026.4441000009</v>
      </c>
    </row>
    <row r="72" spans="2:13">
      <c r="B72" s="272">
        <v>60000</v>
      </c>
    </row>
    <row r="73" spans="2:13">
      <c r="B73" s="272">
        <v>18000</v>
      </c>
    </row>
    <row r="74" spans="2:13">
      <c r="B74" s="272">
        <v>18000</v>
      </c>
    </row>
    <row r="75" spans="2:13">
      <c r="B75" s="272">
        <v>75000</v>
      </c>
    </row>
    <row r="76" spans="2:13">
      <c r="B76" s="272">
        <v>360000</v>
      </c>
    </row>
    <row r="80" spans="2:13">
      <c r="M80" s="329"/>
    </row>
    <row r="81" spans="13:14">
      <c r="M81" s="329"/>
      <c r="N81" s="328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56:C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9FC-1DEE-4D53-95A1-C1F1A0CD88CD}">
  <dimension ref="A1:S57"/>
  <sheetViews>
    <sheetView workbookViewId="0">
      <selection activeCell="M40" sqref="M40"/>
    </sheetView>
  </sheetViews>
  <sheetFormatPr defaultRowHeight="15"/>
  <cols>
    <col min="2" max="2" width="10.42578125" bestFit="1" customWidth="1"/>
    <col min="4" max="4" width="18.42578125" customWidth="1"/>
    <col min="7" max="7" width="10.42578125" bestFit="1" customWidth="1"/>
    <col min="11" max="11" width="18.7109375" customWidth="1"/>
    <col min="12" max="12" width="10.42578125" bestFit="1" customWidth="1"/>
    <col min="13" max="13" width="11.42578125" bestFit="1" customWidth="1"/>
    <col min="14" max="14" width="11.42578125" customWidth="1"/>
    <col min="16" max="16" width="13.5703125" bestFit="1" customWidth="1"/>
    <col min="17" max="17" width="15.85546875" customWidth="1"/>
    <col min="18" max="18" width="13.140625" customWidth="1"/>
    <col min="19" max="19" width="11.85546875" customWidth="1"/>
  </cols>
  <sheetData>
    <row r="1" spans="1:19" ht="15.75">
      <c r="A1" s="546" t="s">
        <v>71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9" ht="27">
      <c r="A2" s="103" t="s">
        <v>0</v>
      </c>
      <c r="B2" s="106" t="s">
        <v>167</v>
      </c>
      <c r="C2" s="106" t="s">
        <v>168</v>
      </c>
      <c r="D2" s="106" t="s">
        <v>169</v>
      </c>
      <c r="E2" s="106" t="s">
        <v>170</v>
      </c>
      <c r="F2" s="106" t="s">
        <v>171</v>
      </c>
      <c r="G2" s="106" t="s">
        <v>172</v>
      </c>
      <c r="H2" s="106" t="s">
        <v>173</v>
      </c>
      <c r="I2" s="106" t="s">
        <v>171</v>
      </c>
      <c r="J2" s="106" t="s">
        <v>172</v>
      </c>
      <c r="K2" s="144" t="s">
        <v>174</v>
      </c>
      <c r="L2" s="144" t="s">
        <v>175</v>
      </c>
      <c r="M2" s="144" t="s">
        <v>176</v>
      </c>
      <c r="N2" s="106" t="s">
        <v>177</v>
      </c>
    </row>
    <row r="3" spans="1:19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9"/>
      <c r="K3" s="131">
        <v>99797.75</v>
      </c>
      <c r="L3" s="232"/>
      <c r="M3" s="317">
        <v>99797.75</v>
      </c>
      <c r="N3" s="233"/>
      <c r="O3">
        <v>2623243.3616999988</v>
      </c>
    </row>
    <row r="4" spans="1:19">
      <c r="A4" s="26">
        <v>1</v>
      </c>
      <c r="B4" s="27">
        <v>46174</v>
      </c>
      <c r="C4" s="107"/>
      <c r="D4" s="35"/>
      <c r="E4" s="36"/>
      <c r="F4" s="36"/>
      <c r="G4" s="36">
        <f>E4*F4</f>
        <v>0</v>
      </c>
      <c r="H4" s="323">
        <v>0</v>
      </c>
      <c r="I4" s="323">
        <v>0</v>
      </c>
      <c r="J4" s="36">
        <f>H4*I4</f>
        <v>0</v>
      </c>
      <c r="K4" s="36">
        <f t="shared" ref="K4:L45" si="0">G4+J4</f>
        <v>0</v>
      </c>
      <c r="L4" s="197">
        <v>0</v>
      </c>
      <c r="M4" s="36">
        <f>M3+K4-L4</f>
        <v>99797.75</v>
      </c>
      <c r="N4" s="234"/>
      <c r="P4" s="22"/>
    </row>
    <row r="5" spans="1:19">
      <c r="A5" s="26">
        <v>2</v>
      </c>
      <c r="B5" s="27">
        <v>46175</v>
      </c>
      <c r="C5" s="107"/>
      <c r="D5" s="35"/>
      <c r="E5" s="36"/>
      <c r="F5" s="36"/>
      <c r="G5" s="36">
        <f t="shared" ref="G5:G21" si="1">E5*F5</f>
        <v>0</v>
      </c>
      <c r="H5" s="323"/>
      <c r="I5" s="323"/>
      <c r="J5" s="36"/>
      <c r="K5" s="36">
        <f t="shared" si="0"/>
        <v>0</v>
      </c>
      <c r="L5" s="197"/>
      <c r="M5" s="36">
        <f t="shared" ref="M5:M40" si="2">M4+K5-L5</f>
        <v>99797.75</v>
      </c>
      <c r="N5" s="236"/>
      <c r="R5" s="17" t="s">
        <v>43</v>
      </c>
      <c r="S5" s="400">
        <v>188521.2205</v>
      </c>
    </row>
    <row r="6" spans="1:19">
      <c r="A6" s="26">
        <v>3</v>
      </c>
      <c r="B6" s="27">
        <v>46176</v>
      </c>
      <c r="C6" s="107"/>
      <c r="D6" s="35"/>
      <c r="E6" s="36">
        <v>35</v>
      </c>
      <c r="F6" s="36">
        <v>103.76</v>
      </c>
      <c r="G6" s="36">
        <f t="shared" si="1"/>
        <v>3631.6000000000004</v>
      </c>
      <c r="H6" s="323"/>
      <c r="I6" s="323"/>
      <c r="J6" s="36"/>
      <c r="K6" s="36">
        <f t="shared" si="0"/>
        <v>3631.6000000000004</v>
      </c>
      <c r="L6" s="36">
        <f t="shared" si="0"/>
        <v>3631.6000000000004</v>
      </c>
      <c r="M6" s="36">
        <f t="shared" si="2"/>
        <v>99797.75</v>
      </c>
      <c r="N6" s="36"/>
      <c r="R6" s="17" t="s">
        <v>179</v>
      </c>
      <c r="S6" s="400">
        <v>8227903</v>
      </c>
    </row>
    <row r="7" spans="1:19">
      <c r="A7" s="26">
        <v>4</v>
      </c>
      <c r="B7" s="545">
        <v>46177</v>
      </c>
      <c r="C7" s="107"/>
      <c r="D7" s="35"/>
      <c r="E7" s="36">
        <v>200</v>
      </c>
      <c r="F7" s="36">
        <v>103.76</v>
      </c>
      <c r="G7" s="36">
        <f t="shared" si="1"/>
        <v>20752</v>
      </c>
      <c r="H7" s="323"/>
      <c r="I7" s="323"/>
      <c r="J7" s="36"/>
      <c r="K7" s="36">
        <f t="shared" si="0"/>
        <v>20752</v>
      </c>
      <c r="L7" s="36"/>
      <c r="M7" s="36">
        <f t="shared" si="2"/>
        <v>120549.75</v>
      </c>
      <c r="N7" s="36"/>
      <c r="R7" s="17" t="s">
        <v>180</v>
      </c>
      <c r="S7" s="400">
        <v>2453209.39</v>
      </c>
    </row>
    <row r="8" spans="1:19">
      <c r="A8" s="26">
        <v>5</v>
      </c>
      <c r="B8" s="27">
        <v>46178</v>
      </c>
      <c r="C8" s="107"/>
      <c r="D8" s="35"/>
      <c r="E8" s="36"/>
      <c r="F8" s="36"/>
      <c r="G8" s="36">
        <f t="shared" si="1"/>
        <v>0</v>
      </c>
      <c r="H8" s="323"/>
      <c r="I8" s="323"/>
      <c r="J8" s="36"/>
      <c r="K8" s="36">
        <f t="shared" si="0"/>
        <v>0</v>
      </c>
      <c r="L8" s="197"/>
      <c r="M8" s="36">
        <f t="shared" si="2"/>
        <v>120549.75</v>
      </c>
      <c r="N8" s="36"/>
      <c r="P8">
        <v>5679</v>
      </c>
      <c r="R8" s="17" t="s">
        <v>36</v>
      </c>
      <c r="S8" s="17">
        <f>SUM(S5:S7)</f>
        <v>10869633.6105</v>
      </c>
    </row>
    <row r="9" spans="1:19">
      <c r="A9" s="26">
        <v>6</v>
      </c>
      <c r="B9" s="27">
        <v>46179</v>
      </c>
      <c r="C9" s="34"/>
      <c r="D9" s="35"/>
      <c r="E9" s="36"/>
      <c r="F9" s="36"/>
      <c r="G9" s="36">
        <f t="shared" si="1"/>
        <v>0</v>
      </c>
      <c r="H9" s="323"/>
      <c r="I9" s="323"/>
      <c r="J9" s="36"/>
      <c r="K9" s="36">
        <f t="shared" si="0"/>
        <v>0</v>
      </c>
      <c r="L9" s="197"/>
      <c r="M9" s="36">
        <f t="shared" si="2"/>
        <v>120549.75</v>
      </c>
      <c r="N9" s="386"/>
      <c r="S9">
        <v>10869632</v>
      </c>
    </row>
    <row r="10" spans="1:19">
      <c r="A10" s="26">
        <v>7</v>
      </c>
      <c r="B10" s="27">
        <v>46180</v>
      </c>
      <c r="C10" s="34"/>
      <c r="D10" s="35"/>
      <c r="E10" s="36"/>
      <c r="F10" s="36"/>
      <c r="G10" s="36">
        <f t="shared" si="1"/>
        <v>0</v>
      </c>
      <c r="H10" s="323"/>
      <c r="I10" s="323"/>
      <c r="J10" s="36"/>
      <c r="K10" s="36">
        <f t="shared" si="0"/>
        <v>0</v>
      </c>
      <c r="L10" s="36">
        <f t="shared" si="0"/>
        <v>0</v>
      </c>
      <c r="M10" s="36">
        <f t="shared" si="2"/>
        <v>120549.75</v>
      </c>
      <c r="N10" s="198" t="s">
        <v>181</v>
      </c>
      <c r="S10" s="317">
        <f>S9-S8</f>
        <v>-1.6105000004172325</v>
      </c>
    </row>
    <row r="11" spans="1:19">
      <c r="A11" s="26"/>
      <c r="B11" s="27">
        <v>46181</v>
      </c>
      <c r="C11" s="34"/>
      <c r="D11" s="35"/>
      <c r="E11" s="36"/>
      <c r="F11" s="36"/>
      <c r="G11" s="36">
        <f t="shared" si="1"/>
        <v>0</v>
      </c>
      <c r="H11" s="323"/>
      <c r="I11" s="323"/>
      <c r="J11" s="36"/>
      <c r="K11" s="36">
        <f t="shared" si="0"/>
        <v>0</v>
      </c>
      <c r="L11" s="36">
        <f t="shared" si="0"/>
        <v>0</v>
      </c>
      <c r="M11" s="36">
        <f t="shared" si="2"/>
        <v>120549.75</v>
      </c>
      <c r="N11" s="198" t="s">
        <v>181</v>
      </c>
      <c r="S11" s="317"/>
    </row>
    <row r="12" spans="1:19">
      <c r="A12" s="26">
        <v>8</v>
      </c>
      <c r="B12" s="27">
        <v>46182</v>
      </c>
      <c r="C12" s="34"/>
      <c r="D12" s="35"/>
      <c r="E12" s="36">
        <v>100</v>
      </c>
      <c r="F12" s="36">
        <v>103.76</v>
      </c>
      <c r="G12" s="36">
        <f t="shared" si="1"/>
        <v>10376</v>
      </c>
      <c r="H12" s="323"/>
      <c r="I12" s="323"/>
      <c r="J12" s="36"/>
      <c r="K12" s="36">
        <f t="shared" si="0"/>
        <v>10376</v>
      </c>
      <c r="L12" s="36">
        <f t="shared" si="0"/>
        <v>10376</v>
      </c>
      <c r="M12" s="36">
        <f t="shared" si="2"/>
        <v>120549.75</v>
      </c>
      <c r="N12" s="198" t="s">
        <v>181</v>
      </c>
    </row>
    <row r="13" spans="1:19">
      <c r="A13" s="26">
        <v>9</v>
      </c>
      <c r="B13" s="27">
        <v>46183</v>
      </c>
      <c r="C13" s="34"/>
      <c r="D13" s="35"/>
      <c r="E13" s="36">
        <v>70</v>
      </c>
      <c r="F13" s="36">
        <v>103.76</v>
      </c>
      <c r="G13" s="36">
        <f t="shared" si="1"/>
        <v>7263.2000000000007</v>
      </c>
      <c r="H13" s="323"/>
      <c r="I13" s="323"/>
      <c r="J13" s="36"/>
      <c r="K13" s="36">
        <f t="shared" si="0"/>
        <v>7263.2000000000007</v>
      </c>
      <c r="L13" s="36">
        <f t="shared" si="0"/>
        <v>7263.2000000000007</v>
      </c>
      <c r="M13" s="36">
        <f t="shared" si="2"/>
        <v>120549.75</v>
      </c>
      <c r="N13" s="198"/>
      <c r="Q13">
        <v>54.98</v>
      </c>
    </row>
    <row r="14" spans="1:19">
      <c r="A14" s="26">
        <v>10</v>
      </c>
      <c r="B14" s="27">
        <v>46184</v>
      </c>
      <c r="C14" s="34"/>
      <c r="D14" s="35"/>
      <c r="E14" s="518">
        <v>70</v>
      </c>
      <c r="F14" s="36">
        <v>103.76</v>
      </c>
      <c r="G14" s="36">
        <f t="shared" si="1"/>
        <v>7263.2000000000007</v>
      </c>
      <c r="H14" s="323"/>
      <c r="I14" s="323"/>
      <c r="J14" s="36"/>
      <c r="K14" s="36">
        <f t="shared" si="0"/>
        <v>7263.2000000000007</v>
      </c>
      <c r="L14" s="36">
        <f t="shared" si="0"/>
        <v>7263.2000000000007</v>
      </c>
      <c r="M14" s="36">
        <f t="shared" si="2"/>
        <v>120549.75</v>
      </c>
      <c r="N14" s="198"/>
      <c r="Q14">
        <v>54.98</v>
      </c>
    </row>
    <row r="15" spans="1:19">
      <c r="A15" s="26">
        <v>11</v>
      </c>
      <c r="B15" s="545">
        <v>46185</v>
      </c>
      <c r="C15" s="34"/>
      <c r="D15" s="35"/>
      <c r="E15" s="36">
        <v>200</v>
      </c>
      <c r="F15" s="36">
        <v>104.2</v>
      </c>
      <c r="G15" s="36">
        <f t="shared" si="1"/>
        <v>20840</v>
      </c>
      <c r="H15" s="323"/>
      <c r="I15" s="323"/>
      <c r="J15" s="36"/>
      <c r="K15" s="36">
        <f t="shared" si="0"/>
        <v>20840</v>
      </c>
      <c r="L15" s="36"/>
      <c r="M15" s="36">
        <f t="shared" si="2"/>
        <v>141389.75</v>
      </c>
      <c r="N15" s="198"/>
    </row>
    <row r="16" spans="1:19">
      <c r="A16" s="26">
        <v>12</v>
      </c>
      <c r="B16" s="27">
        <v>46186</v>
      </c>
      <c r="C16" s="34"/>
      <c r="D16" s="35"/>
      <c r="E16" s="36"/>
      <c r="F16" s="36"/>
      <c r="G16" s="36">
        <f t="shared" si="1"/>
        <v>0</v>
      </c>
      <c r="H16" s="323"/>
      <c r="I16" s="323"/>
      <c r="J16" s="36"/>
      <c r="K16" s="36">
        <f t="shared" ref="K16:K19" si="3">G16+J16</f>
        <v>0</v>
      </c>
      <c r="L16" s="36">
        <f t="shared" ref="L16:L19" si="4">H16+K16</f>
        <v>0</v>
      </c>
      <c r="M16" s="36">
        <f t="shared" si="2"/>
        <v>141389.75</v>
      </c>
      <c r="N16" s="198"/>
      <c r="R16">
        <v>19166</v>
      </c>
    </row>
    <row r="17" spans="1:19">
      <c r="A17" s="26">
        <v>13</v>
      </c>
      <c r="B17" s="27">
        <v>46187</v>
      </c>
      <c r="C17" s="34"/>
      <c r="D17" s="35"/>
      <c r="E17" s="36"/>
      <c r="F17" s="36"/>
      <c r="G17" s="36">
        <f t="shared" si="1"/>
        <v>0</v>
      </c>
      <c r="H17" s="323"/>
      <c r="I17" s="323"/>
      <c r="J17" s="36"/>
      <c r="K17" s="36">
        <f t="shared" si="3"/>
        <v>0</v>
      </c>
      <c r="L17" s="36">
        <f t="shared" si="4"/>
        <v>0</v>
      </c>
      <c r="M17" s="36">
        <f t="shared" si="2"/>
        <v>141389.75</v>
      </c>
      <c r="N17" s="198"/>
      <c r="R17">
        <v>19645</v>
      </c>
    </row>
    <row r="18" spans="1:19">
      <c r="A18" s="26">
        <v>14</v>
      </c>
      <c r="B18" s="27">
        <v>46188</v>
      </c>
      <c r="C18" s="34"/>
      <c r="D18" s="35"/>
      <c r="E18" s="36"/>
      <c r="F18" s="36"/>
      <c r="G18" s="36">
        <f t="shared" si="1"/>
        <v>0</v>
      </c>
      <c r="H18" s="323"/>
      <c r="I18" s="323"/>
      <c r="J18" s="36"/>
      <c r="K18" s="36">
        <f t="shared" si="3"/>
        <v>0</v>
      </c>
      <c r="L18" s="36">
        <f t="shared" si="4"/>
        <v>0</v>
      </c>
      <c r="M18" s="36">
        <f t="shared" si="2"/>
        <v>141389.75</v>
      </c>
      <c r="N18" s="198"/>
      <c r="P18">
        <v>1905988</v>
      </c>
      <c r="Q18" s="174">
        <f>P18-M18</f>
        <v>1764598.25</v>
      </c>
      <c r="R18">
        <v>21083</v>
      </c>
    </row>
    <row r="19" spans="1:19">
      <c r="A19" s="26">
        <v>15</v>
      </c>
      <c r="B19" s="27">
        <v>46189</v>
      </c>
      <c r="C19" s="34"/>
      <c r="D19" s="35"/>
      <c r="E19" s="36"/>
      <c r="F19" s="36"/>
      <c r="G19" s="36">
        <f t="shared" si="1"/>
        <v>0</v>
      </c>
      <c r="H19" s="323"/>
      <c r="I19" s="323"/>
      <c r="J19" s="36"/>
      <c r="K19" s="36">
        <f t="shared" ref="K19:K36" si="5">G19+J19</f>
        <v>0</v>
      </c>
      <c r="L19" s="36">
        <f t="shared" ref="L19:L34" si="6">H19+K19</f>
        <v>0</v>
      </c>
      <c r="M19" s="36">
        <f t="shared" si="2"/>
        <v>141389.75</v>
      </c>
      <c r="N19" s="198"/>
      <c r="R19">
        <v>19140</v>
      </c>
      <c r="S19">
        <v>220637</v>
      </c>
    </row>
    <row r="20" spans="1:19">
      <c r="A20" s="26">
        <v>16</v>
      </c>
      <c r="B20" s="27">
        <v>46190</v>
      </c>
      <c r="C20" s="34"/>
      <c r="D20" s="35"/>
      <c r="E20" s="36">
        <v>70</v>
      </c>
      <c r="F20" s="36">
        <v>103.76</v>
      </c>
      <c r="G20" s="36">
        <f t="shared" si="1"/>
        <v>7263.2000000000007</v>
      </c>
      <c r="H20" s="323"/>
      <c r="I20" s="323"/>
      <c r="J20" s="36"/>
      <c r="K20" s="36">
        <f t="shared" si="5"/>
        <v>7263.2000000000007</v>
      </c>
      <c r="L20" s="36">
        <f t="shared" si="6"/>
        <v>7263.2000000000007</v>
      </c>
      <c r="M20" s="36">
        <f t="shared" si="2"/>
        <v>141389.75</v>
      </c>
      <c r="N20" s="198" t="s">
        <v>181</v>
      </c>
      <c r="R20">
        <f>SUM(R16:R19)</f>
        <v>79034</v>
      </c>
      <c r="S20">
        <f>S19+R20</f>
        <v>299671</v>
      </c>
    </row>
    <row r="21" spans="1:19">
      <c r="A21" s="26">
        <v>17</v>
      </c>
      <c r="B21" s="27">
        <v>46191</v>
      </c>
      <c r="C21" s="34"/>
      <c r="D21" s="35"/>
      <c r="E21" s="36">
        <v>35</v>
      </c>
      <c r="F21" s="36">
        <v>103.76</v>
      </c>
      <c r="G21" s="36">
        <f t="shared" si="1"/>
        <v>3631.6000000000004</v>
      </c>
      <c r="H21" s="323"/>
      <c r="I21" s="323"/>
      <c r="J21" s="36"/>
      <c r="K21" s="36">
        <f t="shared" si="5"/>
        <v>3631.6000000000004</v>
      </c>
      <c r="L21" s="36">
        <f t="shared" si="6"/>
        <v>3631.6000000000004</v>
      </c>
      <c r="M21" s="36">
        <f t="shared" si="2"/>
        <v>141389.75</v>
      </c>
      <c r="N21" s="198" t="s">
        <v>181</v>
      </c>
    </row>
    <row r="22" spans="1:19">
      <c r="A22" s="26">
        <v>18</v>
      </c>
      <c r="B22" s="27">
        <v>46192</v>
      </c>
      <c r="C22" s="168"/>
      <c r="D22" s="35"/>
      <c r="E22" s="36">
        <v>70</v>
      </c>
      <c r="F22" s="36">
        <v>103.76</v>
      </c>
      <c r="G22" s="36">
        <f t="shared" ref="G22:G35" si="7">E22*F22</f>
        <v>7263.2000000000007</v>
      </c>
      <c r="H22" s="323"/>
      <c r="I22" s="323"/>
      <c r="J22" s="36"/>
      <c r="K22" s="36">
        <f t="shared" si="5"/>
        <v>7263.2000000000007</v>
      </c>
      <c r="L22" s="36">
        <f t="shared" si="6"/>
        <v>7263.2000000000007</v>
      </c>
      <c r="M22" s="36">
        <f t="shared" si="2"/>
        <v>141389.75</v>
      </c>
      <c r="N22" s="237"/>
    </row>
    <row r="23" spans="1:19">
      <c r="A23" s="26">
        <v>19</v>
      </c>
      <c r="B23" s="27">
        <v>46193</v>
      </c>
      <c r="C23" s="168"/>
      <c r="D23" s="35"/>
      <c r="E23" s="36">
        <v>35</v>
      </c>
      <c r="F23" s="36">
        <v>103.76</v>
      </c>
      <c r="G23" s="36">
        <f t="shared" si="7"/>
        <v>3631.6000000000004</v>
      </c>
      <c r="H23" s="323"/>
      <c r="I23" s="323"/>
      <c r="J23" s="36"/>
      <c r="K23" s="36">
        <f t="shared" si="5"/>
        <v>3631.6000000000004</v>
      </c>
      <c r="L23" s="36">
        <f t="shared" si="6"/>
        <v>3631.6000000000004</v>
      </c>
      <c r="M23" s="36">
        <f t="shared" si="2"/>
        <v>141389.75</v>
      </c>
      <c r="N23" s="237"/>
    </row>
    <row r="24" spans="1:19">
      <c r="A24" s="26">
        <v>20</v>
      </c>
      <c r="B24" s="27">
        <v>46194</v>
      </c>
      <c r="C24" s="107"/>
      <c r="D24" s="35"/>
      <c r="E24" s="36"/>
      <c r="F24" s="36"/>
      <c r="G24" s="36">
        <f t="shared" si="7"/>
        <v>0</v>
      </c>
      <c r="H24" s="323"/>
      <c r="I24" s="323"/>
      <c r="J24" s="36"/>
      <c r="K24" s="36">
        <f t="shared" si="5"/>
        <v>0</v>
      </c>
      <c r="L24" s="36">
        <f t="shared" si="6"/>
        <v>0</v>
      </c>
      <c r="M24" s="36">
        <f t="shared" si="2"/>
        <v>141389.75</v>
      </c>
      <c r="N24" s="237"/>
    </row>
    <row r="25" spans="1:19">
      <c r="A25" s="26">
        <v>21</v>
      </c>
      <c r="B25" s="27">
        <v>46195</v>
      </c>
      <c r="C25" s="180"/>
      <c r="D25" s="35"/>
      <c r="E25" s="36">
        <v>70</v>
      </c>
      <c r="F25" s="36">
        <v>103.76</v>
      </c>
      <c r="G25" s="36">
        <f t="shared" si="7"/>
        <v>7263.2000000000007</v>
      </c>
      <c r="H25" s="323"/>
      <c r="I25" s="323"/>
      <c r="J25" s="36"/>
      <c r="K25" s="36">
        <f t="shared" si="5"/>
        <v>7263.2000000000007</v>
      </c>
      <c r="L25" s="36">
        <f t="shared" si="6"/>
        <v>7263.2000000000007</v>
      </c>
      <c r="M25" s="36">
        <f t="shared" si="2"/>
        <v>141389.75</v>
      </c>
      <c r="N25" s="237"/>
    </row>
    <row r="26" spans="1:19">
      <c r="A26" s="26">
        <v>22</v>
      </c>
      <c r="B26" s="27">
        <v>46196</v>
      </c>
      <c r="C26" s="180"/>
      <c r="D26" s="35"/>
      <c r="E26" s="36">
        <v>50</v>
      </c>
      <c r="F26" s="36">
        <v>103.76</v>
      </c>
      <c r="G26" s="36">
        <f t="shared" si="7"/>
        <v>5188</v>
      </c>
      <c r="H26" s="323"/>
      <c r="I26" s="323"/>
      <c r="J26" s="36"/>
      <c r="K26" s="36">
        <f t="shared" si="5"/>
        <v>5188</v>
      </c>
      <c r="L26" s="36">
        <f t="shared" si="6"/>
        <v>5188</v>
      </c>
      <c r="M26" s="36">
        <f t="shared" si="2"/>
        <v>141389.75</v>
      </c>
      <c r="N26" s="237"/>
    </row>
    <row r="27" spans="1:19">
      <c r="A27" s="26">
        <v>23</v>
      </c>
      <c r="B27" s="545">
        <v>46197</v>
      </c>
      <c r="C27" s="107"/>
      <c r="D27" s="35"/>
      <c r="E27" s="36">
        <v>200</v>
      </c>
      <c r="F27" s="36">
        <v>103.83</v>
      </c>
      <c r="G27" s="36">
        <f t="shared" si="7"/>
        <v>20766</v>
      </c>
      <c r="H27" s="323"/>
      <c r="I27" s="323"/>
      <c r="J27" s="36"/>
      <c r="K27" s="36">
        <f t="shared" si="5"/>
        <v>20766</v>
      </c>
      <c r="L27" s="36">
        <v>0</v>
      </c>
      <c r="M27" s="36">
        <f t="shared" si="2"/>
        <v>162155.75</v>
      </c>
      <c r="N27" s="198"/>
    </row>
    <row r="28" spans="1:19">
      <c r="A28" s="26">
        <v>24</v>
      </c>
      <c r="B28" s="27">
        <v>46198</v>
      </c>
      <c r="C28" s="107"/>
      <c r="D28" s="35"/>
      <c r="E28" s="36"/>
      <c r="F28" s="36"/>
      <c r="G28" s="36">
        <f t="shared" si="7"/>
        <v>0</v>
      </c>
      <c r="H28" s="323"/>
      <c r="I28" s="323"/>
      <c r="J28" s="36"/>
      <c r="K28" s="36">
        <f t="shared" si="5"/>
        <v>0</v>
      </c>
      <c r="L28" s="36">
        <f t="shared" si="6"/>
        <v>0</v>
      </c>
      <c r="M28" s="36">
        <f t="shared" si="2"/>
        <v>162155.75</v>
      </c>
      <c r="N28" s="198"/>
    </row>
    <row r="29" spans="1:19">
      <c r="A29" s="26">
        <v>25</v>
      </c>
      <c r="B29" s="27">
        <v>46199</v>
      </c>
      <c r="C29" s="107"/>
      <c r="D29" s="35"/>
      <c r="E29" s="36"/>
      <c r="F29" s="36"/>
      <c r="G29" s="36">
        <f t="shared" si="7"/>
        <v>0</v>
      </c>
      <c r="H29" s="323"/>
      <c r="I29" s="323"/>
      <c r="J29" s="36"/>
      <c r="K29" s="36">
        <f t="shared" si="5"/>
        <v>0</v>
      </c>
      <c r="L29" s="36">
        <f t="shared" si="6"/>
        <v>0</v>
      </c>
      <c r="M29" s="36">
        <f t="shared" si="2"/>
        <v>162155.75</v>
      </c>
      <c r="N29" s="198"/>
    </row>
    <row r="30" spans="1:19">
      <c r="A30" s="26">
        <v>26</v>
      </c>
      <c r="B30" s="27">
        <v>46200</v>
      </c>
      <c r="C30" s="107"/>
      <c r="D30" s="35"/>
      <c r="E30" s="36"/>
      <c r="F30" s="36"/>
      <c r="G30" s="36">
        <f t="shared" si="7"/>
        <v>0</v>
      </c>
      <c r="H30" s="323"/>
      <c r="I30" s="323"/>
      <c r="J30" s="36"/>
      <c r="K30" s="36">
        <f t="shared" si="5"/>
        <v>0</v>
      </c>
      <c r="L30" s="36">
        <f t="shared" si="6"/>
        <v>0</v>
      </c>
      <c r="M30" s="36">
        <f t="shared" si="2"/>
        <v>162155.75</v>
      </c>
      <c r="N30" s="198"/>
    </row>
    <row r="31" spans="1:19">
      <c r="A31" s="26">
        <v>27</v>
      </c>
      <c r="B31" s="27">
        <v>46201</v>
      </c>
      <c r="C31" s="107"/>
      <c r="D31" s="35"/>
      <c r="E31" s="36"/>
      <c r="F31" s="36"/>
      <c r="G31" s="36">
        <f t="shared" si="7"/>
        <v>0</v>
      </c>
      <c r="H31" s="323"/>
      <c r="I31" s="323"/>
      <c r="J31" s="36"/>
      <c r="K31" s="36">
        <f t="shared" si="5"/>
        <v>0</v>
      </c>
      <c r="L31" s="36">
        <f t="shared" si="6"/>
        <v>0</v>
      </c>
      <c r="M31" s="36">
        <f t="shared" si="2"/>
        <v>162155.75</v>
      </c>
      <c r="N31" s="198"/>
    </row>
    <row r="32" spans="1:19">
      <c r="A32" s="26">
        <v>28</v>
      </c>
      <c r="B32" s="545">
        <v>46202</v>
      </c>
      <c r="C32" s="107"/>
      <c r="D32" s="35"/>
      <c r="E32" s="36">
        <v>200</v>
      </c>
      <c r="F32" s="36">
        <v>103.83</v>
      </c>
      <c r="G32" s="36">
        <f t="shared" si="7"/>
        <v>20766</v>
      </c>
      <c r="H32" s="323"/>
      <c r="I32" s="323"/>
      <c r="J32" s="36"/>
      <c r="K32" s="36">
        <f t="shared" si="5"/>
        <v>20766</v>
      </c>
      <c r="L32" s="36">
        <v>0</v>
      </c>
      <c r="M32" s="36">
        <f t="shared" si="2"/>
        <v>182921.75</v>
      </c>
      <c r="N32" s="198"/>
    </row>
    <row r="33" spans="1:16">
      <c r="A33" s="26"/>
      <c r="B33" s="27">
        <v>46202</v>
      </c>
      <c r="C33" s="107"/>
      <c r="D33" s="35"/>
      <c r="E33" s="36">
        <v>35</v>
      </c>
      <c r="F33" s="36">
        <v>103.76</v>
      </c>
      <c r="G33" s="36">
        <f t="shared" si="7"/>
        <v>3631.6000000000004</v>
      </c>
      <c r="H33" s="323"/>
      <c r="I33" s="323"/>
      <c r="J33" s="36"/>
      <c r="K33" s="36">
        <f t="shared" si="5"/>
        <v>3631.6000000000004</v>
      </c>
      <c r="L33" s="36">
        <v>3631.6000000000004</v>
      </c>
      <c r="M33" s="36">
        <f>M32+K33-L33</f>
        <v>182921.75</v>
      </c>
      <c r="N33" s="198"/>
    </row>
    <row r="34" spans="1:16">
      <c r="A34" s="26">
        <v>29</v>
      </c>
      <c r="B34" s="27">
        <v>46203</v>
      </c>
      <c r="C34" s="107"/>
      <c r="D34" s="35"/>
      <c r="E34" s="36"/>
      <c r="F34" s="36"/>
      <c r="G34" s="36">
        <f t="shared" si="7"/>
        <v>0</v>
      </c>
      <c r="H34" s="323"/>
      <c r="I34" s="323"/>
      <c r="J34" s="36"/>
      <c r="K34" s="36">
        <f t="shared" si="5"/>
        <v>0</v>
      </c>
      <c r="L34" s="36">
        <f t="shared" si="6"/>
        <v>0</v>
      </c>
      <c r="M34" s="36">
        <f t="shared" si="2"/>
        <v>182921.75</v>
      </c>
      <c r="N34" s="198"/>
    </row>
    <row r="35" spans="1:16">
      <c r="A35" s="26"/>
      <c r="B35" s="27"/>
      <c r="C35" s="107"/>
      <c r="D35" s="35"/>
      <c r="E35" s="36"/>
      <c r="F35" s="36"/>
      <c r="G35" s="36">
        <f t="shared" si="7"/>
        <v>0</v>
      </c>
      <c r="H35" s="323"/>
      <c r="I35" s="323"/>
      <c r="J35" s="36"/>
      <c r="K35" s="36">
        <f t="shared" si="5"/>
        <v>0</v>
      </c>
      <c r="L35" s="36"/>
      <c r="M35" s="36">
        <f t="shared" si="2"/>
        <v>182921.75</v>
      </c>
      <c r="N35" s="198"/>
    </row>
    <row r="36" spans="1:16">
      <c r="A36" s="26">
        <v>30</v>
      </c>
      <c r="B36" s="27"/>
      <c r="C36" s="107"/>
      <c r="D36" s="35"/>
      <c r="E36" s="36"/>
      <c r="F36" s="36"/>
      <c r="G36" s="36"/>
      <c r="H36" s="323"/>
      <c r="I36" s="323"/>
      <c r="J36" s="36"/>
      <c r="K36" s="36">
        <f t="shared" si="5"/>
        <v>0</v>
      </c>
      <c r="L36" s="36"/>
      <c r="M36" s="36">
        <f t="shared" si="2"/>
        <v>182921.75</v>
      </c>
      <c r="N36" s="198"/>
    </row>
    <row r="37" spans="1:16">
      <c r="A37" s="26">
        <v>31</v>
      </c>
      <c r="B37" s="27"/>
      <c r="C37" s="107"/>
      <c r="D37" s="35"/>
      <c r="E37" s="36"/>
      <c r="F37" s="36"/>
      <c r="G37" s="36"/>
      <c r="H37" s="323"/>
      <c r="I37" s="323"/>
      <c r="J37" s="36"/>
      <c r="K37" s="36"/>
      <c r="L37" s="36"/>
      <c r="M37" s="36">
        <f t="shared" si="2"/>
        <v>182921.75</v>
      </c>
      <c r="N37" s="198"/>
    </row>
    <row r="38" spans="1:16">
      <c r="A38" s="26">
        <v>32</v>
      </c>
      <c r="B38" s="27"/>
      <c r="C38" s="107"/>
      <c r="D38" s="35"/>
      <c r="E38" s="36"/>
      <c r="F38" s="36"/>
      <c r="G38" s="36"/>
      <c r="H38" s="323"/>
      <c r="I38" s="323"/>
      <c r="J38" s="36"/>
      <c r="K38" s="36"/>
      <c r="L38" s="197"/>
      <c r="M38" s="36">
        <f t="shared" si="2"/>
        <v>182921.75</v>
      </c>
      <c r="N38" s="198"/>
    </row>
    <row r="39" spans="1:16">
      <c r="A39" s="26">
        <v>33</v>
      </c>
      <c r="B39" s="27"/>
      <c r="C39" s="107"/>
      <c r="D39" s="35"/>
      <c r="E39" s="36"/>
      <c r="F39" s="36"/>
      <c r="G39" s="36"/>
      <c r="H39" s="323"/>
      <c r="I39" s="323"/>
      <c r="J39" s="36"/>
      <c r="K39" s="36"/>
      <c r="L39" s="197"/>
      <c r="M39" s="36">
        <f t="shared" si="2"/>
        <v>182921.75</v>
      </c>
      <c r="N39" s="198"/>
    </row>
    <row r="40" spans="1:16">
      <c r="A40" s="26">
        <v>34</v>
      </c>
      <c r="B40" s="27"/>
      <c r="C40" s="107"/>
      <c r="D40" s="35"/>
      <c r="E40" s="36"/>
      <c r="F40" s="36"/>
      <c r="G40" s="36"/>
      <c r="H40" s="323"/>
      <c r="I40" s="323"/>
      <c r="J40" s="36"/>
      <c r="K40" s="36"/>
      <c r="L40" s="197"/>
      <c r="M40" s="36">
        <f t="shared" si="2"/>
        <v>182921.75</v>
      </c>
      <c r="N40" s="198"/>
    </row>
    <row r="41" spans="1:16">
      <c r="A41" s="26">
        <v>35</v>
      </c>
      <c r="B41" s="27"/>
      <c r="C41" s="107"/>
      <c r="D41" s="35"/>
      <c r="E41" s="36"/>
      <c r="F41" s="36"/>
      <c r="G41" s="36"/>
      <c r="H41" s="323"/>
      <c r="I41" s="323"/>
      <c r="J41" s="36"/>
      <c r="K41" s="36"/>
      <c r="L41" s="197"/>
      <c r="M41" s="36"/>
      <c r="N41" s="198"/>
    </row>
    <row r="42" spans="1:16">
      <c r="A42" s="26">
        <v>36</v>
      </c>
      <c r="B42" s="27"/>
      <c r="C42" s="107"/>
      <c r="D42" s="35"/>
      <c r="E42" s="36"/>
      <c r="F42" s="36"/>
      <c r="G42" s="36"/>
      <c r="H42" s="323"/>
      <c r="I42" s="323"/>
      <c r="J42" s="36"/>
      <c r="K42" s="36"/>
      <c r="L42" s="197"/>
      <c r="M42" s="36"/>
      <c r="N42" s="198"/>
    </row>
    <row r="43" spans="1:16">
      <c r="A43" s="26">
        <v>37</v>
      </c>
      <c r="B43" s="27"/>
      <c r="C43" s="107"/>
      <c r="D43" s="35"/>
      <c r="E43" s="36"/>
      <c r="F43" s="36"/>
      <c r="G43" s="36"/>
      <c r="H43" s="323"/>
      <c r="I43" s="323"/>
      <c r="J43" s="36"/>
      <c r="K43" s="36"/>
      <c r="L43" s="197"/>
      <c r="M43" s="36"/>
      <c r="N43" s="198"/>
    </row>
    <row r="44" spans="1:16">
      <c r="A44" s="26">
        <v>38</v>
      </c>
      <c r="B44" s="27"/>
      <c r="C44" s="107"/>
      <c r="D44" s="35"/>
      <c r="E44" s="36"/>
      <c r="F44" s="36"/>
      <c r="G44" s="36"/>
      <c r="H44" s="323"/>
      <c r="I44" s="323"/>
      <c r="J44" s="36"/>
      <c r="K44" s="36"/>
      <c r="L44" s="197"/>
      <c r="M44" s="36"/>
      <c r="N44" s="237"/>
      <c r="O44">
        <v>2669494</v>
      </c>
      <c r="P44" s="174">
        <f>O44-M44</f>
        <v>2669494</v>
      </c>
    </row>
    <row r="45" spans="1:16">
      <c r="A45" s="341"/>
      <c r="B45" s="27"/>
      <c r="C45" s="33"/>
      <c r="D45" s="342"/>
      <c r="E45" s="36">
        <v>0</v>
      </c>
      <c r="F45" s="36">
        <v>0</v>
      </c>
      <c r="G45" s="36">
        <f>E45*F45</f>
        <v>0</v>
      </c>
      <c r="H45" s="36"/>
      <c r="I45" s="36"/>
      <c r="J45" s="36">
        <f t="shared" ref="J20:J45" si="8">H45*I45</f>
        <v>0</v>
      </c>
      <c r="K45" s="36">
        <f t="shared" si="0"/>
        <v>0</v>
      </c>
      <c r="L45" s="38"/>
      <c r="M45" s="36">
        <f t="shared" ref="M41:M45" si="9">M44+K45-L45</f>
        <v>0</v>
      </c>
      <c r="N45" s="36"/>
    </row>
    <row r="46" spans="1:16">
      <c r="A46" s="181"/>
      <c r="B46" s="343"/>
      <c r="C46" s="343"/>
      <c r="D46" s="343"/>
      <c r="E46" s="344">
        <f>SUM(E4:E44)</f>
        <v>1440</v>
      </c>
      <c r="F46" s="344"/>
      <c r="G46" s="344">
        <f>SUM(G4:G44)</f>
        <v>149530.4</v>
      </c>
      <c r="H46" s="344">
        <f>SUM(H4:H44)</f>
        <v>0</v>
      </c>
      <c r="I46" s="344"/>
      <c r="J46" s="344">
        <f>SUM(J4:J44)</f>
        <v>0</v>
      </c>
      <c r="K46" s="344">
        <f>SUM(K4:K44)</f>
        <v>149530.4</v>
      </c>
      <c r="L46" s="344">
        <f>SUM(L4:L44)</f>
        <v>66406.400000000009</v>
      </c>
      <c r="M46" s="345"/>
      <c r="N46" s="346"/>
    </row>
    <row r="47" spans="1:16">
      <c r="A47" s="37"/>
      <c r="B47" s="37"/>
      <c r="C47" s="37"/>
      <c r="D47" s="37"/>
      <c r="E47" s="347"/>
      <c r="F47" s="347"/>
      <c r="G47" s="347"/>
      <c r="H47" s="347"/>
      <c r="I47" s="347"/>
      <c r="J47" s="347"/>
      <c r="K47" s="347"/>
      <c r="L47" s="347"/>
      <c r="M47" s="347"/>
      <c r="N47" s="347"/>
    </row>
    <row r="48" spans="1:16">
      <c r="A48" s="33"/>
      <c r="B48" s="33"/>
      <c r="C48" s="33"/>
      <c r="D48" s="33"/>
      <c r="E48" s="33"/>
      <c r="F48" s="33"/>
      <c r="G48" s="39"/>
      <c r="H48" s="33"/>
      <c r="I48" s="33"/>
      <c r="J48" s="33"/>
      <c r="K48" s="33"/>
      <c r="L48" s="33"/>
      <c r="M48" s="33"/>
      <c r="N48" s="33"/>
    </row>
    <row r="49" spans="1:14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</row>
    <row r="53" spans="1:14">
      <c r="E53" s="174"/>
    </row>
    <row r="55" spans="1:14">
      <c r="M55">
        <v>2408309</v>
      </c>
    </row>
    <row r="56" spans="1:14">
      <c r="M56">
        <v>5327.86</v>
      </c>
    </row>
    <row r="57" spans="1:14">
      <c r="M57" s="348">
        <f>M55-M56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46"/>
  <sheetViews>
    <sheetView topLeftCell="A22" workbookViewId="0">
      <selection activeCell="G42" sqref="G42"/>
    </sheetView>
  </sheetViews>
  <sheetFormatPr defaultRowHeight="15"/>
  <cols>
    <col min="2" max="2" width="10.5703125" bestFit="1" customWidth="1"/>
    <col min="4" max="4" width="14" customWidth="1"/>
    <col min="5" max="5" width="16.85546875" customWidth="1"/>
    <col min="6" max="6" width="10.42578125" bestFit="1" customWidth="1"/>
    <col min="7" max="7" width="13.85546875" customWidth="1"/>
    <col min="10" max="10" width="9.28515625" bestFit="1" customWidth="1"/>
    <col min="11" max="11" width="13" customWidth="1"/>
    <col min="12" max="12" width="16.42578125" customWidth="1"/>
    <col min="13" max="13" width="12.28515625" bestFit="1" customWidth="1"/>
    <col min="16" max="16" width="12.140625" bestFit="1" customWidth="1"/>
    <col min="18" max="18" width="13" bestFit="1" customWidth="1"/>
  </cols>
  <sheetData>
    <row r="1" spans="1:18" ht="15.75">
      <c r="A1" s="557" t="s">
        <v>67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</row>
    <row r="2" spans="1:18" ht="30">
      <c r="A2" s="124" t="s">
        <v>0</v>
      </c>
      <c r="B2" s="125" t="s">
        <v>167</v>
      </c>
      <c r="C2" s="125" t="s">
        <v>168</v>
      </c>
      <c r="D2" s="125" t="s">
        <v>169</v>
      </c>
      <c r="E2" s="125" t="s">
        <v>170</v>
      </c>
      <c r="F2" s="125" t="s">
        <v>171</v>
      </c>
      <c r="G2" s="125" t="s">
        <v>172</v>
      </c>
      <c r="H2" s="125" t="s">
        <v>173</v>
      </c>
      <c r="I2" s="125" t="s">
        <v>171</v>
      </c>
      <c r="J2" s="126" t="s">
        <v>172</v>
      </c>
      <c r="K2" s="124" t="s">
        <v>174</v>
      </c>
      <c r="L2" s="127" t="s">
        <v>175</v>
      </c>
      <c r="M2" s="127" t="s">
        <v>182</v>
      </c>
      <c r="N2" s="125" t="s">
        <v>177</v>
      </c>
    </row>
    <row r="3" spans="1:18">
      <c r="A3" s="558" t="s">
        <v>178</v>
      </c>
      <c r="B3" s="558"/>
      <c r="C3" s="558"/>
      <c r="D3" s="558"/>
      <c r="E3" s="558"/>
      <c r="F3" s="558"/>
      <c r="G3" s="558"/>
      <c r="H3" s="558"/>
      <c r="I3" s="558"/>
      <c r="J3" s="558"/>
      <c r="K3" s="212">
        <v>2654498.8563000001</v>
      </c>
      <c r="L3" s="228"/>
      <c r="M3" s="212">
        <v>2654498.8563000001</v>
      </c>
      <c r="N3" s="94"/>
    </row>
    <row r="4" spans="1:18">
      <c r="A4" s="26">
        <v>1</v>
      </c>
      <c r="B4" s="27">
        <v>46174</v>
      </c>
      <c r="C4" s="17"/>
      <c r="D4" s="17"/>
      <c r="E4" s="17">
        <v>5500</v>
      </c>
      <c r="F4" s="17">
        <v>103.8</v>
      </c>
      <c r="G4" s="17">
        <f>E4*F4</f>
        <v>570900</v>
      </c>
      <c r="H4" s="315"/>
      <c r="I4" s="17"/>
      <c r="J4" s="17"/>
      <c r="K4" s="17">
        <f>G4+J4</f>
        <v>570900</v>
      </c>
      <c r="L4" s="17">
        <v>200000</v>
      </c>
      <c r="M4" s="40">
        <f>M3+K4-L4</f>
        <v>3025398.8563000001</v>
      </c>
      <c r="N4" s="17"/>
    </row>
    <row r="5" spans="1:18">
      <c r="A5" s="26">
        <v>2</v>
      </c>
      <c r="B5" s="27">
        <v>46175</v>
      </c>
      <c r="C5" s="17"/>
      <c r="D5" s="17"/>
      <c r="E5" s="17"/>
      <c r="F5" s="17"/>
      <c r="G5" s="17">
        <f t="shared" ref="G5:G33" si="0">E5*F5</f>
        <v>0</v>
      </c>
      <c r="H5" s="315"/>
      <c r="I5" s="17"/>
      <c r="J5" s="17"/>
      <c r="K5" s="17">
        <f t="shared" ref="K5:L33" si="1">G5+J5</f>
        <v>0</v>
      </c>
      <c r="L5" s="17">
        <v>100000</v>
      </c>
      <c r="M5" s="40">
        <f>M4+K5-L5</f>
        <v>2925398.8563000001</v>
      </c>
      <c r="N5" s="17"/>
    </row>
    <row r="6" spans="1:18">
      <c r="A6" s="26">
        <v>3</v>
      </c>
      <c r="B6" s="27">
        <v>46176</v>
      </c>
      <c r="C6" s="17"/>
      <c r="D6" s="17"/>
      <c r="E6" s="17">
        <v>2700</v>
      </c>
      <c r="F6" s="17">
        <v>103.8</v>
      </c>
      <c r="G6" s="17">
        <f t="shared" si="0"/>
        <v>280260</v>
      </c>
      <c r="H6" s="315"/>
      <c r="I6" s="17"/>
      <c r="J6" s="17">
        <f>H6*I6</f>
        <v>0</v>
      </c>
      <c r="K6" s="17">
        <f t="shared" si="1"/>
        <v>280260</v>
      </c>
      <c r="L6" s="17"/>
      <c r="M6" s="40">
        <f t="shared" ref="M6:M8" si="2">M5+K6-L6</f>
        <v>3205658.8563000001</v>
      </c>
      <c r="N6" s="17"/>
    </row>
    <row r="7" spans="1:18">
      <c r="A7" s="26">
        <v>4</v>
      </c>
      <c r="B7" s="27">
        <v>46177</v>
      </c>
      <c r="C7" s="17"/>
      <c r="D7" s="17"/>
      <c r="E7" s="17">
        <v>2800</v>
      </c>
      <c r="F7" s="17">
        <v>103.8</v>
      </c>
      <c r="G7" s="17">
        <f t="shared" si="0"/>
        <v>290640</v>
      </c>
      <c r="H7" s="315"/>
      <c r="I7" s="17"/>
      <c r="J7" s="17">
        <f t="shared" ref="J7:J33" si="3">H7*I7</f>
        <v>0</v>
      </c>
      <c r="K7" s="17">
        <f t="shared" si="1"/>
        <v>290640</v>
      </c>
      <c r="L7" s="17"/>
      <c r="M7" s="40">
        <f t="shared" si="2"/>
        <v>3496298.8563000001</v>
      </c>
      <c r="N7" s="17"/>
    </row>
    <row r="8" spans="1:18">
      <c r="A8" s="26">
        <v>5</v>
      </c>
      <c r="B8" s="27">
        <v>46178</v>
      </c>
      <c r="C8" s="17"/>
      <c r="D8" s="17"/>
      <c r="E8" s="17"/>
      <c r="F8" s="17"/>
      <c r="G8" s="17">
        <f t="shared" si="0"/>
        <v>0</v>
      </c>
      <c r="H8" s="315"/>
      <c r="I8" s="17"/>
      <c r="J8" s="17">
        <f t="shared" si="3"/>
        <v>0</v>
      </c>
      <c r="K8" s="17">
        <f t="shared" si="1"/>
        <v>0</v>
      </c>
      <c r="L8" s="17"/>
      <c r="M8" s="40">
        <f t="shared" si="2"/>
        <v>3496298.8563000001</v>
      </c>
      <c r="N8" s="17"/>
    </row>
    <row r="9" spans="1:18">
      <c r="A9" s="26">
        <v>6</v>
      </c>
      <c r="B9" s="27">
        <v>46179</v>
      </c>
      <c r="C9" s="17"/>
      <c r="D9" s="17"/>
      <c r="E9" s="17"/>
      <c r="F9" s="17"/>
      <c r="G9" s="17">
        <f t="shared" si="0"/>
        <v>0</v>
      </c>
      <c r="H9" s="315"/>
      <c r="I9" s="17"/>
      <c r="J9" s="17">
        <f t="shared" si="3"/>
        <v>0</v>
      </c>
      <c r="K9" s="17">
        <f t="shared" si="1"/>
        <v>0</v>
      </c>
      <c r="L9" s="17"/>
      <c r="M9" s="40">
        <f>M8+K9-L9</f>
        <v>3496298.8563000001</v>
      </c>
      <c r="N9" s="17"/>
    </row>
    <row r="10" spans="1:18">
      <c r="A10" s="26">
        <v>7</v>
      </c>
      <c r="B10" s="27">
        <v>46180</v>
      </c>
      <c r="C10" s="17"/>
      <c r="D10" s="17"/>
      <c r="E10" s="17">
        <v>2650</v>
      </c>
      <c r="F10" s="17">
        <v>103.8</v>
      </c>
      <c r="G10" s="17">
        <f t="shared" si="0"/>
        <v>275070</v>
      </c>
      <c r="H10" s="315"/>
      <c r="I10" s="17"/>
      <c r="J10" s="17">
        <f t="shared" si="3"/>
        <v>0</v>
      </c>
      <c r="K10" s="17">
        <f t="shared" si="1"/>
        <v>275070</v>
      </c>
      <c r="L10" s="17"/>
      <c r="M10" s="40">
        <f>M9+K10-L10</f>
        <v>3771368.8563000001</v>
      </c>
      <c r="N10" s="17"/>
    </row>
    <row r="11" spans="1:18">
      <c r="A11" s="26">
        <v>8</v>
      </c>
      <c r="B11" s="27">
        <v>46181</v>
      </c>
      <c r="C11" s="17"/>
      <c r="D11" s="17"/>
      <c r="E11" s="17">
        <v>2800</v>
      </c>
      <c r="F11" s="17">
        <v>103.8</v>
      </c>
      <c r="G11" s="17">
        <f t="shared" si="0"/>
        <v>290640</v>
      </c>
      <c r="H11" s="315"/>
      <c r="I11" s="17"/>
      <c r="J11" s="17">
        <f t="shared" si="3"/>
        <v>0</v>
      </c>
      <c r="K11" s="17">
        <f t="shared" si="1"/>
        <v>290640</v>
      </c>
      <c r="L11" s="17">
        <v>3771364</v>
      </c>
      <c r="M11" s="40">
        <f>M10+K11-L11</f>
        <v>290644.8563000001</v>
      </c>
      <c r="N11" s="17"/>
    </row>
    <row r="12" spans="1:18">
      <c r="A12" s="26">
        <v>9</v>
      </c>
      <c r="B12" s="27">
        <v>46182</v>
      </c>
      <c r="C12" s="17"/>
      <c r="D12" s="17"/>
      <c r="E12" s="17">
        <v>2700</v>
      </c>
      <c r="F12" s="17">
        <v>103.8</v>
      </c>
      <c r="G12" s="17">
        <f t="shared" si="0"/>
        <v>280260</v>
      </c>
      <c r="H12" s="315"/>
      <c r="I12" s="17"/>
      <c r="J12" s="17">
        <f t="shared" si="3"/>
        <v>0</v>
      </c>
      <c r="K12" s="17">
        <f t="shared" si="1"/>
        <v>280260</v>
      </c>
      <c r="L12" s="17"/>
      <c r="M12" s="40">
        <f>M11+K12-L12</f>
        <v>570904.8563000001</v>
      </c>
      <c r="N12" s="17"/>
    </row>
    <row r="13" spans="1:18">
      <c r="A13" s="26">
        <v>10</v>
      </c>
      <c r="B13" s="27">
        <v>46183</v>
      </c>
      <c r="C13" s="17"/>
      <c r="D13" s="17"/>
      <c r="E13" s="17">
        <v>5700</v>
      </c>
      <c r="F13" s="17">
        <v>103.8</v>
      </c>
      <c r="G13" s="17">
        <f t="shared" si="0"/>
        <v>591660</v>
      </c>
      <c r="H13" s="315">
        <v>60</v>
      </c>
      <c r="I13" s="17">
        <v>115.69</v>
      </c>
      <c r="J13" s="17">
        <f t="shared" si="3"/>
        <v>6941.4</v>
      </c>
      <c r="K13" s="17">
        <f t="shared" si="1"/>
        <v>598601.4</v>
      </c>
      <c r="L13" s="17"/>
      <c r="M13" s="40">
        <f t="shared" ref="M13:M35" si="4">M12+K13-L13</f>
        <v>1169506.2563</v>
      </c>
      <c r="N13" s="17"/>
      <c r="P13" s="22"/>
    </row>
    <row r="14" spans="1:18">
      <c r="A14" s="26">
        <v>11</v>
      </c>
      <c r="B14" s="27">
        <v>46184</v>
      </c>
      <c r="C14" s="17"/>
      <c r="D14" s="17"/>
      <c r="E14" s="17">
        <v>2800</v>
      </c>
      <c r="F14" s="17">
        <v>103.8</v>
      </c>
      <c r="G14" s="17">
        <f t="shared" si="0"/>
        <v>290640</v>
      </c>
      <c r="H14" s="315"/>
      <c r="I14" s="17"/>
      <c r="J14" s="17">
        <f t="shared" si="3"/>
        <v>0</v>
      </c>
      <c r="K14" s="17">
        <f t="shared" si="1"/>
        <v>290640</v>
      </c>
      <c r="L14" s="17"/>
      <c r="M14" s="40">
        <f t="shared" si="4"/>
        <v>1460146.2563</v>
      </c>
      <c r="N14" s="17"/>
    </row>
    <row r="15" spans="1:18">
      <c r="A15" s="26">
        <v>12</v>
      </c>
      <c r="B15" s="27">
        <v>46185</v>
      </c>
      <c r="C15" s="17"/>
      <c r="D15" s="17"/>
      <c r="E15" s="17">
        <v>2000</v>
      </c>
      <c r="F15" s="17">
        <v>103.8</v>
      </c>
      <c r="G15" s="17">
        <f t="shared" si="0"/>
        <v>207600</v>
      </c>
      <c r="H15" s="315"/>
      <c r="I15" s="17"/>
      <c r="J15" s="17">
        <f t="shared" si="3"/>
        <v>0</v>
      </c>
      <c r="K15" s="17">
        <f t="shared" si="1"/>
        <v>207600</v>
      </c>
      <c r="L15" s="17"/>
      <c r="M15" s="40">
        <f t="shared" si="4"/>
        <v>1667746.2563</v>
      </c>
      <c r="N15" s="17"/>
      <c r="R15" s="22"/>
    </row>
    <row r="16" spans="1:18">
      <c r="A16" s="26">
        <v>13</v>
      </c>
      <c r="B16" s="27">
        <v>46186</v>
      </c>
      <c r="C16" s="17"/>
      <c r="D16" s="17"/>
      <c r="E16" s="40">
        <v>2800</v>
      </c>
      <c r="F16" s="40">
        <v>103.8</v>
      </c>
      <c r="G16" s="40">
        <f t="shared" si="0"/>
        <v>290640</v>
      </c>
      <c r="H16" s="448"/>
      <c r="I16" s="40"/>
      <c r="J16" s="17">
        <f t="shared" si="3"/>
        <v>0</v>
      </c>
      <c r="K16" s="17">
        <f>G16+J16</f>
        <v>290640</v>
      </c>
      <c r="L16" s="40"/>
      <c r="M16" s="40">
        <f t="shared" si="4"/>
        <v>1958386.2563</v>
      </c>
      <c r="N16" s="17"/>
    </row>
    <row r="17" spans="1:16">
      <c r="A17" s="26">
        <v>14</v>
      </c>
      <c r="B17" s="27">
        <v>46187</v>
      </c>
      <c r="C17" s="17"/>
      <c r="D17" s="17"/>
      <c r="E17" s="40">
        <v>2700</v>
      </c>
      <c r="F17" s="40">
        <v>103.8</v>
      </c>
      <c r="G17" s="40">
        <f t="shared" si="0"/>
        <v>280260</v>
      </c>
      <c r="H17" s="448"/>
      <c r="I17" s="40"/>
      <c r="J17" s="17">
        <f t="shared" si="3"/>
        <v>0</v>
      </c>
      <c r="K17" s="17">
        <f>G17+J17</f>
        <v>280260</v>
      </c>
      <c r="L17" s="40"/>
      <c r="M17" s="40">
        <f t="shared" si="4"/>
        <v>2238646.2563</v>
      </c>
      <c r="N17" s="17"/>
    </row>
    <row r="18" spans="1:16">
      <c r="A18" s="26">
        <v>15</v>
      </c>
      <c r="B18" s="27">
        <v>46188</v>
      </c>
      <c r="C18" s="17"/>
      <c r="D18" s="17"/>
      <c r="E18" s="40">
        <v>2000</v>
      </c>
      <c r="F18" s="40">
        <v>103.8</v>
      </c>
      <c r="G18" s="40">
        <f t="shared" si="0"/>
        <v>207600</v>
      </c>
      <c r="H18" s="448"/>
      <c r="I18" s="40"/>
      <c r="J18" s="17">
        <f t="shared" si="3"/>
        <v>0</v>
      </c>
      <c r="K18" s="17">
        <f>G18+J18</f>
        <v>207600</v>
      </c>
      <c r="L18" s="40"/>
      <c r="M18" s="40">
        <f t="shared" si="4"/>
        <v>2446246.2563</v>
      </c>
      <c r="N18" s="17"/>
    </row>
    <row r="19" spans="1:16">
      <c r="A19" s="26">
        <v>16</v>
      </c>
      <c r="B19" s="27">
        <v>46189</v>
      </c>
      <c r="C19" s="17"/>
      <c r="D19" s="17"/>
      <c r="E19" s="40">
        <v>3715.22</v>
      </c>
      <c r="F19" s="40">
        <v>103.8</v>
      </c>
      <c r="G19" s="40">
        <f t="shared" si="0"/>
        <v>385639.83599999995</v>
      </c>
      <c r="H19" s="448">
        <v>60</v>
      </c>
      <c r="I19" s="40">
        <v>115.69</v>
      </c>
      <c r="J19" s="17">
        <f t="shared" si="3"/>
        <v>6941.4</v>
      </c>
      <c r="K19" s="336">
        <f>G19+J19</f>
        <v>392581.23599999998</v>
      </c>
      <c r="L19" s="40"/>
      <c r="M19" s="40">
        <f t="shared" si="4"/>
        <v>2838827.4923</v>
      </c>
      <c r="N19" s="17"/>
    </row>
    <row r="20" spans="1:16">
      <c r="A20" s="26">
        <v>17</v>
      </c>
      <c r="B20" s="27">
        <v>46190</v>
      </c>
      <c r="C20" s="17"/>
      <c r="D20" s="17"/>
      <c r="E20" s="40">
        <v>1500</v>
      </c>
      <c r="F20" s="40">
        <v>103.8</v>
      </c>
      <c r="G20" s="40">
        <f t="shared" si="0"/>
        <v>155700</v>
      </c>
      <c r="H20" s="448"/>
      <c r="I20" s="40"/>
      <c r="J20" s="17">
        <f t="shared" si="3"/>
        <v>0</v>
      </c>
      <c r="K20" s="336">
        <f>G20+J20</f>
        <v>155700</v>
      </c>
      <c r="L20" s="40"/>
      <c r="M20" s="40">
        <f t="shared" si="4"/>
        <v>2994527.4923</v>
      </c>
      <c r="N20" s="17"/>
    </row>
    <row r="21" spans="1:16">
      <c r="A21" s="26">
        <v>18</v>
      </c>
      <c r="B21" s="27">
        <v>46191</v>
      </c>
      <c r="C21" s="17"/>
      <c r="D21" s="17"/>
      <c r="E21" s="17"/>
      <c r="F21" s="17"/>
      <c r="G21" s="17">
        <f t="shared" si="0"/>
        <v>0</v>
      </c>
      <c r="H21" s="315"/>
      <c r="I21" s="17"/>
      <c r="J21" s="17">
        <f t="shared" si="3"/>
        <v>0</v>
      </c>
      <c r="K21" s="17">
        <f>G21+J21</f>
        <v>0</v>
      </c>
      <c r="L21" s="17"/>
      <c r="M21" s="40">
        <f t="shared" si="4"/>
        <v>2994527.4923</v>
      </c>
      <c r="N21" s="17"/>
    </row>
    <row r="22" spans="1:16">
      <c r="A22" s="26">
        <v>19</v>
      </c>
      <c r="B22" s="27">
        <v>46192</v>
      </c>
      <c r="C22" s="17"/>
      <c r="D22" s="17"/>
      <c r="E22" s="17"/>
      <c r="F22" s="17"/>
      <c r="G22" s="17">
        <f t="shared" si="0"/>
        <v>0</v>
      </c>
      <c r="H22" s="315"/>
      <c r="I22" s="17"/>
      <c r="J22" s="17">
        <f t="shared" si="3"/>
        <v>0</v>
      </c>
      <c r="K22" s="17">
        <f t="shared" si="1"/>
        <v>0</v>
      </c>
      <c r="L22" s="17"/>
      <c r="M22" s="40">
        <f t="shared" si="4"/>
        <v>2994527.4923</v>
      </c>
      <c r="N22" s="17"/>
    </row>
    <row r="23" spans="1:16">
      <c r="A23" s="26">
        <v>20</v>
      </c>
      <c r="B23" s="27">
        <v>46193</v>
      </c>
      <c r="C23" s="17"/>
      <c r="D23" s="17"/>
      <c r="E23" s="17">
        <v>2000</v>
      </c>
      <c r="F23" s="17">
        <v>103.8</v>
      </c>
      <c r="G23" s="17">
        <f t="shared" si="0"/>
        <v>207600</v>
      </c>
      <c r="H23" s="315">
        <v>35</v>
      </c>
      <c r="I23" s="17">
        <v>115.69</v>
      </c>
      <c r="J23" s="17">
        <f t="shared" si="3"/>
        <v>4049.15</v>
      </c>
      <c r="K23" s="17">
        <f t="shared" si="1"/>
        <v>211649.15</v>
      </c>
      <c r="L23" s="17"/>
      <c r="M23" s="40">
        <f t="shared" si="4"/>
        <v>3206176.6422999999</v>
      </c>
      <c r="N23" s="17"/>
    </row>
    <row r="24" spans="1:16">
      <c r="A24" s="26">
        <v>21</v>
      </c>
      <c r="B24" s="27">
        <v>46194</v>
      </c>
      <c r="C24" s="17"/>
      <c r="D24" s="17"/>
      <c r="E24" s="17"/>
      <c r="F24" s="17"/>
      <c r="G24" s="17">
        <f t="shared" si="0"/>
        <v>0</v>
      </c>
      <c r="H24" s="315"/>
      <c r="I24" s="17"/>
      <c r="J24" s="17">
        <f t="shared" si="3"/>
        <v>0</v>
      </c>
      <c r="K24" s="17">
        <f t="shared" si="1"/>
        <v>0</v>
      </c>
      <c r="L24" s="17"/>
      <c r="M24" s="40">
        <f t="shared" si="4"/>
        <v>3206176.6422999999</v>
      </c>
      <c r="N24" s="17"/>
    </row>
    <row r="25" spans="1:16">
      <c r="A25" s="26">
        <v>22</v>
      </c>
      <c r="B25" s="27">
        <v>46195</v>
      </c>
      <c r="C25" s="17"/>
      <c r="D25" s="17"/>
      <c r="E25" s="17">
        <v>2500</v>
      </c>
      <c r="F25" s="17">
        <v>103.8</v>
      </c>
      <c r="G25" s="17">
        <f t="shared" si="0"/>
        <v>259500</v>
      </c>
      <c r="H25" s="315">
        <v>40</v>
      </c>
      <c r="I25" s="17">
        <v>115.69</v>
      </c>
      <c r="J25" s="17">
        <f t="shared" si="3"/>
        <v>4627.6000000000004</v>
      </c>
      <c r="K25" s="17">
        <f t="shared" si="1"/>
        <v>264127.59999999998</v>
      </c>
      <c r="L25" s="17"/>
      <c r="M25" s="40">
        <f t="shared" si="4"/>
        <v>3470304.2423</v>
      </c>
      <c r="N25" s="17"/>
    </row>
    <row r="26" spans="1:16">
      <c r="A26" s="26">
        <v>23</v>
      </c>
      <c r="B26" s="27">
        <v>46196</v>
      </c>
      <c r="C26" s="17"/>
      <c r="D26" s="17"/>
      <c r="E26" s="17"/>
      <c r="F26" s="17"/>
      <c r="G26" s="17">
        <f t="shared" si="0"/>
        <v>0</v>
      </c>
      <c r="H26" s="315"/>
      <c r="I26" s="17"/>
      <c r="J26" s="17">
        <f t="shared" si="3"/>
        <v>0</v>
      </c>
      <c r="K26" s="17">
        <f t="shared" si="1"/>
        <v>0</v>
      </c>
      <c r="L26" s="17"/>
      <c r="M26" s="40">
        <f t="shared" si="4"/>
        <v>3470304.2423</v>
      </c>
      <c r="N26" s="17"/>
    </row>
    <row r="27" spans="1:16">
      <c r="A27" s="26">
        <v>24</v>
      </c>
      <c r="B27" s="27">
        <v>46197</v>
      </c>
      <c r="C27" s="17"/>
      <c r="D27" s="17"/>
      <c r="E27" s="17">
        <v>5500</v>
      </c>
      <c r="F27" s="17">
        <v>103.8</v>
      </c>
      <c r="G27" s="17">
        <f t="shared" si="0"/>
        <v>570900</v>
      </c>
      <c r="H27" s="315">
        <v>60</v>
      </c>
      <c r="I27" s="17">
        <v>115.69</v>
      </c>
      <c r="J27" s="17">
        <f t="shared" si="3"/>
        <v>6941.4</v>
      </c>
      <c r="K27" s="17">
        <f t="shared" si="1"/>
        <v>577841.4</v>
      </c>
      <c r="L27" s="17">
        <v>550000</v>
      </c>
      <c r="M27" s="40">
        <f t="shared" si="4"/>
        <v>3498145.6422999999</v>
      </c>
      <c r="N27" s="17"/>
    </row>
    <row r="28" spans="1:16">
      <c r="A28" s="26">
        <v>25</v>
      </c>
      <c r="B28" s="27">
        <v>46198</v>
      </c>
      <c r="C28" s="17"/>
      <c r="D28" s="17"/>
      <c r="E28" s="17">
        <v>4200</v>
      </c>
      <c r="F28" s="17">
        <v>103.8</v>
      </c>
      <c r="G28" s="17">
        <f t="shared" si="0"/>
        <v>435960</v>
      </c>
      <c r="H28" s="315">
        <v>55</v>
      </c>
      <c r="I28" s="17">
        <v>115.69</v>
      </c>
      <c r="J28" s="17">
        <f t="shared" si="3"/>
        <v>6362.95</v>
      </c>
      <c r="K28" s="17">
        <f t="shared" si="1"/>
        <v>442322.95</v>
      </c>
      <c r="L28" s="17">
        <v>400000</v>
      </c>
      <c r="M28" s="40">
        <f t="shared" si="4"/>
        <v>3540468.5923000001</v>
      </c>
      <c r="N28" s="17"/>
    </row>
    <row r="29" spans="1:16">
      <c r="A29" s="26">
        <v>26</v>
      </c>
      <c r="B29" s="27">
        <v>46199</v>
      </c>
      <c r="C29" s="17"/>
      <c r="D29" s="17"/>
      <c r="E29" s="17">
        <v>2800</v>
      </c>
      <c r="F29" s="17">
        <v>103.8</v>
      </c>
      <c r="G29" s="17">
        <f t="shared" si="0"/>
        <v>290640</v>
      </c>
      <c r="H29" s="315">
        <v>60</v>
      </c>
      <c r="I29" s="17">
        <v>115.69</v>
      </c>
      <c r="J29" s="17">
        <f t="shared" si="3"/>
        <v>6941.4</v>
      </c>
      <c r="K29" s="17">
        <f t="shared" si="1"/>
        <v>297581.40000000002</v>
      </c>
      <c r="L29" s="17">
        <v>400000</v>
      </c>
      <c r="M29" s="40">
        <f t="shared" si="4"/>
        <v>3438049.9923</v>
      </c>
      <c r="N29" s="17"/>
    </row>
    <row r="30" spans="1:16">
      <c r="A30" s="26">
        <v>27</v>
      </c>
      <c r="B30" s="27">
        <v>46200</v>
      </c>
      <c r="C30" s="17"/>
      <c r="D30" s="17"/>
      <c r="E30" s="17"/>
      <c r="F30" s="17"/>
      <c r="G30" s="17">
        <f t="shared" si="0"/>
        <v>0</v>
      </c>
      <c r="H30" s="315"/>
      <c r="I30" s="17"/>
      <c r="J30" s="17">
        <f t="shared" si="3"/>
        <v>0</v>
      </c>
      <c r="K30" s="17">
        <f t="shared" si="1"/>
        <v>0</v>
      </c>
      <c r="L30" s="17"/>
      <c r="M30" s="40">
        <f t="shared" si="4"/>
        <v>3438049.9923</v>
      </c>
      <c r="N30" s="17"/>
      <c r="P30" s="22"/>
    </row>
    <row r="31" spans="1:16">
      <c r="A31" s="26">
        <v>28</v>
      </c>
      <c r="B31" s="27">
        <v>46201</v>
      </c>
      <c r="C31" s="17"/>
      <c r="D31" s="17"/>
      <c r="E31" s="17">
        <v>0</v>
      </c>
      <c r="F31" s="17">
        <v>103.8</v>
      </c>
      <c r="G31" s="17">
        <f t="shared" si="0"/>
        <v>0</v>
      </c>
      <c r="H31" s="315">
        <v>0</v>
      </c>
      <c r="I31" s="17">
        <v>115.69</v>
      </c>
      <c r="J31" s="17">
        <f t="shared" si="3"/>
        <v>0</v>
      </c>
      <c r="K31" s="17">
        <f t="shared" si="1"/>
        <v>0</v>
      </c>
      <c r="L31" s="17">
        <v>2000000</v>
      </c>
      <c r="M31" s="40">
        <f t="shared" si="4"/>
        <v>1438049.9923</v>
      </c>
      <c r="N31" s="17"/>
    </row>
    <row r="32" spans="1:16">
      <c r="A32" s="26">
        <v>29</v>
      </c>
      <c r="B32" s="27">
        <v>46202</v>
      </c>
      <c r="C32" s="17"/>
      <c r="D32" s="17"/>
      <c r="E32" s="17">
        <v>2700</v>
      </c>
      <c r="F32" s="17">
        <v>103.8</v>
      </c>
      <c r="G32" s="17">
        <f t="shared" si="0"/>
        <v>280260</v>
      </c>
      <c r="H32" s="315">
        <v>40</v>
      </c>
      <c r="I32" s="17">
        <v>115.69</v>
      </c>
      <c r="J32" s="17">
        <f t="shared" si="3"/>
        <v>4627.6000000000004</v>
      </c>
      <c r="K32" s="17">
        <f t="shared" si="1"/>
        <v>284887.59999999998</v>
      </c>
      <c r="L32" s="17">
        <v>600000</v>
      </c>
      <c r="M32" s="40">
        <f t="shared" si="4"/>
        <v>1122937.5923000001</v>
      </c>
      <c r="N32" s="17"/>
      <c r="P32" s="22"/>
    </row>
    <row r="33" spans="1:16">
      <c r="A33" s="26">
        <v>30</v>
      </c>
      <c r="B33" s="27">
        <v>46203</v>
      </c>
      <c r="C33" s="17"/>
      <c r="D33" s="17"/>
      <c r="E33" s="17">
        <v>4700</v>
      </c>
      <c r="F33" s="17">
        <v>103.8</v>
      </c>
      <c r="G33" s="17">
        <f t="shared" si="0"/>
        <v>487860</v>
      </c>
      <c r="H33" s="315">
        <v>40</v>
      </c>
      <c r="I33" s="17">
        <v>115.69</v>
      </c>
      <c r="J33" s="17">
        <f t="shared" si="3"/>
        <v>4627.6000000000004</v>
      </c>
      <c r="K33" s="17">
        <f t="shared" si="1"/>
        <v>492487.6</v>
      </c>
      <c r="L33" s="17"/>
      <c r="M33" s="40">
        <f t="shared" si="4"/>
        <v>1615425.1923000002</v>
      </c>
      <c r="N33" s="17"/>
    </row>
    <row r="34" spans="1:16">
      <c r="A34" s="26">
        <v>31</v>
      </c>
      <c r="B34" s="27"/>
      <c r="C34" s="17"/>
      <c r="D34" s="17"/>
      <c r="E34" s="17"/>
      <c r="F34" s="17"/>
      <c r="G34" s="336">
        <f>E34*F34</f>
        <v>0</v>
      </c>
      <c r="H34" s="315"/>
      <c r="I34" s="17"/>
      <c r="J34" s="17"/>
      <c r="K34" s="17">
        <f t="shared" ref="K5:K37" si="5">G34+J34</f>
        <v>0</v>
      </c>
      <c r="L34" s="17"/>
      <c r="M34" s="40">
        <f t="shared" si="4"/>
        <v>1615425.1923000002</v>
      </c>
      <c r="N34" s="17"/>
    </row>
    <row r="35" spans="1:16">
      <c r="A35" s="26">
        <v>32</v>
      </c>
      <c r="B35" s="27"/>
      <c r="C35" s="17"/>
      <c r="D35" s="17"/>
      <c r="E35" s="17"/>
      <c r="F35" s="17"/>
      <c r="G35" s="336">
        <f>E35*F35</f>
        <v>0</v>
      </c>
      <c r="H35" s="315"/>
      <c r="I35" s="17"/>
      <c r="J35" s="17">
        <f t="shared" ref="J5:J37" si="6">H35*I35</f>
        <v>0</v>
      </c>
      <c r="K35" s="17">
        <f t="shared" si="5"/>
        <v>0</v>
      </c>
      <c r="L35" s="17"/>
      <c r="M35" s="40">
        <f t="shared" si="4"/>
        <v>1615425.1923000002</v>
      </c>
      <c r="N35" s="17"/>
      <c r="P35" s="22"/>
    </row>
    <row r="36" spans="1:16">
      <c r="A36" s="26">
        <v>33</v>
      </c>
      <c r="B36" s="27"/>
      <c r="C36" s="17"/>
      <c r="D36" s="17"/>
      <c r="E36" s="17"/>
      <c r="F36" s="17"/>
      <c r="G36" s="336">
        <f>E36*F36</f>
        <v>0</v>
      </c>
      <c r="H36" s="315"/>
      <c r="I36" s="17"/>
      <c r="J36" s="17">
        <f t="shared" si="6"/>
        <v>0</v>
      </c>
      <c r="K36" s="17">
        <f t="shared" si="5"/>
        <v>0</v>
      </c>
      <c r="L36" s="17">
        <v>0</v>
      </c>
      <c r="M36" s="17"/>
      <c r="N36" s="17"/>
    </row>
    <row r="37" spans="1:16">
      <c r="A37" s="26">
        <v>34</v>
      </c>
      <c r="B37" s="27"/>
      <c r="C37" s="17"/>
      <c r="D37" s="17"/>
      <c r="E37" s="17"/>
      <c r="F37" s="17"/>
      <c r="G37" s="336">
        <f>E37*F37</f>
        <v>0</v>
      </c>
      <c r="H37" s="315"/>
      <c r="I37" s="17"/>
      <c r="J37" s="17">
        <f t="shared" si="6"/>
        <v>0</v>
      </c>
      <c r="K37" s="17">
        <f t="shared" si="5"/>
        <v>0</v>
      </c>
      <c r="L37" s="17"/>
      <c r="M37" s="17"/>
      <c r="N37" s="17"/>
    </row>
    <row r="38" spans="1:16">
      <c r="A38" s="42"/>
      <c r="B38" s="42"/>
      <c r="C38" s="42"/>
      <c r="D38" s="42"/>
      <c r="E38" s="229">
        <f>SUM(E3:E37)</f>
        <v>66765.22</v>
      </c>
      <c r="F38" s="229"/>
      <c r="G38" s="229">
        <f>SUM(G3:G37)</f>
        <v>6930229.8360000001</v>
      </c>
      <c r="H38" s="229">
        <f>SUM(H3:H37)</f>
        <v>450</v>
      </c>
      <c r="I38" s="229"/>
      <c r="J38" s="229">
        <f>SUM(J3:J37)</f>
        <v>52060.5</v>
      </c>
      <c r="K38" s="229">
        <f>SUM(K4:K37)</f>
        <v>6982290.3360000001</v>
      </c>
      <c r="L38" s="229">
        <f>SUM(L3:L37)</f>
        <v>8021364</v>
      </c>
      <c r="M38" s="229"/>
      <c r="N38" s="229"/>
    </row>
    <row r="45" spans="1:16">
      <c r="N45">
        <v>4766880.1708000004</v>
      </c>
    </row>
    <row r="46" spans="1:16">
      <c r="N46">
        <v>6982290.3360000001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S42"/>
  <sheetViews>
    <sheetView topLeftCell="A22" workbookViewId="0">
      <selection activeCell="D45" sqref="D45"/>
    </sheetView>
  </sheetViews>
  <sheetFormatPr defaultRowHeight="15"/>
  <cols>
    <col min="2" max="2" width="12.140625" customWidth="1"/>
    <col min="4" max="4" width="20.28515625" bestFit="1" customWidth="1"/>
    <col min="5" max="5" width="23.42578125" customWidth="1"/>
    <col min="7" max="7" width="14.42578125" customWidth="1"/>
    <col min="11" max="11" width="12.85546875" customWidth="1"/>
    <col min="12" max="12" width="13.7109375" customWidth="1"/>
    <col min="13" max="13" width="16" customWidth="1"/>
    <col min="14" max="14" width="34.5703125" customWidth="1"/>
    <col min="15" max="15" width="12.5703125" bestFit="1" customWidth="1"/>
  </cols>
  <sheetData>
    <row r="1" spans="1:19" ht="15.75">
      <c r="A1" s="557" t="s">
        <v>69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</row>
    <row r="2" spans="1:19" ht="30">
      <c r="A2" s="64" t="s">
        <v>0</v>
      </c>
      <c r="B2" s="83" t="s">
        <v>167</v>
      </c>
      <c r="C2" s="83" t="s">
        <v>168</v>
      </c>
      <c r="D2" s="83" t="s">
        <v>169</v>
      </c>
      <c r="E2" s="83" t="s">
        <v>170</v>
      </c>
      <c r="F2" s="83" t="s">
        <v>171</v>
      </c>
      <c r="G2" s="83" t="s">
        <v>172</v>
      </c>
      <c r="H2" s="83" t="s">
        <v>173</v>
      </c>
      <c r="I2" s="83" t="s">
        <v>171</v>
      </c>
      <c r="J2" s="84" t="s">
        <v>172</v>
      </c>
      <c r="K2" s="124" t="s">
        <v>174</v>
      </c>
      <c r="L2" s="127" t="s">
        <v>175</v>
      </c>
      <c r="M2" s="127" t="s">
        <v>182</v>
      </c>
      <c r="N2" s="125" t="s">
        <v>177</v>
      </c>
      <c r="O2" s="316"/>
      <c r="P2" s="22"/>
    </row>
    <row r="3" spans="1:19">
      <c r="A3" s="559" t="s">
        <v>178</v>
      </c>
      <c r="B3" s="560"/>
      <c r="C3" s="560"/>
      <c r="D3" s="560"/>
      <c r="E3" s="560"/>
      <c r="F3" s="560"/>
      <c r="G3" s="560"/>
      <c r="H3" s="560"/>
      <c r="I3" s="560"/>
      <c r="J3" s="560"/>
      <c r="K3" s="317">
        <v>8720097.569029998</v>
      </c>
      <c r="L3" s="228"/>
      <c r="M3">
        <v>8720097.569029998</v>
      </c>
      <c r="N3" s="94"/>
    </row>
    <row r="4" spans="1:19">
      <c r="A4" s="26">
        <v>1</v>
      </c>
      <c r="B4" s="27">
        <v>46174</v>
      </c>
      <c r="C4" s="17"/>
      <c r="D4" s="260"/>
      <c r="E4" s="267">
        <v>1581.71</v>
      </c>
      <c r="F4" s="314">
        <v>103.82</v>
      </c>
      <c r="G4" s="336">
        <f>E4*F4</f>
        <v>164213.13219999999</v>
      </c>
      <c r="H4" s="17">
        <v>60</v>
      </c>
      <c r="I4" s="17">
        <v>115.72</v>
      </c>
      <c r="J4" s="17">
        <f>H4*I4</f>
        <v>6943.2</v>
      </c>
      <c r="K4" s="336">
        <f>G4+J4</f>
        <v>171156.3322</v>
      </c>
      <c r="L4" s="17"/>
      <c r="M4" s="40">
        <f>M3+K4-L4</f>
        <v>8891253.9012299981</v>
      </c>
      <c r="N4" s="17"/>
      <c r="O4" s="40">
        <f t="shared" ref="O4" si="0">O3+M4-N4</f>
        <v>8891253.9012299981</v>
      </c>
    </row>
    <row r="5" spans="1:19">
      <c r="A5" s="26">
        <v>2</v>
      </c>
      <c r="B5" s="27">
        <v>46175</v>
      </c>
      <c r="C5" s="17"/>
      <c r="D5" s="260"/>
      <c r="E5" s="267">
        <v>1977.66</v>
      </c>
      <c r="F5" s="314">
        <v>103.82</v>
      </c>
      <c r="G5" s="336">
        <f t="shared" ref="G5:G36" si="1">E5*F5</f>
        <v>205320.6612</v>
      </c>
      <c r="H5" s="17"/>
      <c r="I5" s="17"/>
      <c r="J5" s="17">
        <f t="shared" ref="J5:J35" si="2">H5*I5</f>
        <v>0</v>
      </c>
      <c r="K5" s="336">
        <f t="shared" ref="K5:K36" si="3">G5+J5</f>
        <v>205320.6612</v>
      </c>
      <c r="L5" s="17"/>
      <c r="M5" s="40">
        <f t="shared" ref="M5:M19" si="4">M4+K5-L5</f>
        <v>9096574.5624299981</v>
      </c>
      <c r="N5" s="17"/>
    </row>
    <row r="6" spans="1:19">
      <c r="A6" s="26">
        <v>3</v>
      </c>
      <c r="B6" s="27">
        <v>46176</v>
      </c>
      <c r="C6" s="17"/>
      <c r="D6" s="260"/>
      <c r="E6" s="267">
        <v>2724.32</v>
      </c>
      <c r="F6" s="314">
        <v>103.82</v>
      </c>
      <c r="G6" s="336">
        <f t="shared" ref="G6:G36" si="5">E6*F6</f>
        <v>282838.90240000002</v>
      </c>
      <c r="H6" s="17"/>
      <c r="I6" s="17"/>
      <c r="J6" s="17">
        <f t="shared" ref="J6:J36" si="6">H6*I6</f>
        <v>0</v>
      </c>
      <c r="K6" s="336">
        <f t="shared" ref="K6:L36" si="7">G6+J6</f>
        <v>282838.90240000002</v>
      </c>
      <c r="L6" s="17"/>
      <c r="M6" s="40">
        <f t="shared" si="4"/>
        <v>9379413.4648299981</v>
      </c>
      <c r="N6" s="17"/>
    </row>
    <row r="7" spans="1:19">
      <c r="A7" s="26">
        <v>4</v>
      </c>
      <c r="B7" s="27">
        <v>46177</v>
      </c>
      <c r="C7" s="17"/>
      <c r="D7" s="260"/>
      <c r="E7" s="267">
        <v>1852.27</v>
      </c>
      <c r="F7" s="314">
        <v>103.82</v>
      </c>
      <c r="G7" s="336">
        <f t="shared" si="5"/>
        <v>192302.67139999999</v>
      </c>
      <c r="H7" s="17">
        <v>100</v>
      </c>
      <c r="I7" s="17">
        <v>115.72</v>
      </c>
      <c r="J7" s="17">
        <f t="shared" si="6"/>
        <v>11572</v>
      </c>
      <c r="K7" s="336">
        <f t="shared" si="7"/>
        <v>203874.67139999999</v>
      </c>
      <c r="L7" s="17"/>
      <c r="M7" s="40">
        <f t="shared" si="4"/>
        <v>9583288.1362299975</v>
      </c>
      <c r="N7" s="17"/>
    </row>
    <row r="8" spans="1:19">
      <c r="A8" s="26">
        <v>5</v>
      </c>
      <c r="B8" s="27">
        <v>46178</v>
      </c>
      <c r="C8" s="17"/>
      <c r="D8" s="260"/>
      <c r="E8" s="267">
        <v>877.79</v>
      </c>
      <c r="F8" s="314">
        <v>103.82</v>
      </c>
      <c r="G8" s="336">
        <f t="shared" si="5"/>
        <v>91132.157799999986</v>
      </c>
      <c r="H8" s="17"/>
      <c r="I8" s="17"/>
      <c r="J8" s="17">
        <f t="shared" si="6"/>
        <v>0</v>
      </c>
      <c r="K8" s="336">
        <f t="shared" si="7"/>
        <v>91132.157799999986</v>
      </c>
      <c r="L8" s="17"/>
      <c r="M8" s="40">
        <f t="shared" si="4"/>
        <v>9674420.2940299977</v>
      </c>
      <c r="N8" s="17"/>
      <c r="O8">
        <v>12802499.148000002</v>
      </c>
    </row>
    <row r="9" spans="1:19">
      <c r="A9" s="26">
        <v>6</v>
      </c>
      <c r="B9" s="27">
        <v>46179</v>
      </c>
      <c r="C9" s="17"/>
      <c r="D9" s="260"/>
      <c r="E9" s="267">
        <v>2397.4699999999998</v>
      </c>
      <c r="F9" s="314">
        <v>103.82</v>
      </c>
      <c r="G9" s="336">
        <f t="shared" si="5"/>
        <v>248905.33539999995</v>
      </c>
      <c r="H9" s="17"/>
      <c r="I9" s="17"/>
      <c r="J9" s="17">
        <f t="shared" si="6"/>
        <v>0</v>
      </c>
      <c r="K9" s="336">
        <f t="shared" si="7"/>
        <v>248905.33539999995</v>
      </c>
      <c r="L9" s="17"/>
      <c r="M9" s="40">
        <f t="shared" si="4"/>
        <v>9923325.6294299979</v>
      </c>
      <c r="N9" s="230"/>
    </row>
    <row r="10" spans="1:19">
      <c r="A10" s="26">
        <v>7</v>
      </c>
      <c r="B10" s="27">
        <v>46180</v>
      </c>
      <c r="C10" s="17"/>
      <c r="D10" s="260"/>
      <c r="E10" s="267"/>
      <c r="F10" s="314"/>
      <c r="G10" s="336">
        <f t="shared" si="5"/>
        <v>0</v>
      </c>
      <c r="H10" s="17"/>
      <c r="I10" s="17"/>
      <c r="J10" s="17">
        <f t="shared" si="6"/>
        <v>0</v>
      </c>
      <c r="K10" s="336">
        <f t="shared" si="7"/>
        <v>0</v>
      </c>
      <c r="L10" s="17"/>
      <c r="M10" s="40">
        <f t="shared" si="4"/>
        <v>9923325.6294299979</v>
      </c>
      <c r="N10" s="17"/>
    </row>
    <row r="11" spans="1:19">
      <c r="A11" s="26">
        <v>8</v>
      </c>
      <c r="B11" s="27">
        <v>46181</v>
      </c>
      <c r="C11" s="17"/>
      <c r="D11" s="260"/>
      <c r="E11" s="267">
        <v>233</v>
      </c>
      <c r="F11" s="314">
        <v>103.82</v>
      </c>
      <c r="G11" s="336">
        <f t="shared" si="5"/>
        <v>24190.059999999998</v>
      </c>
      <c r="H11" s="17">
        <v>75</v>
      </c>
      <c r="I11" s="17">
        <v>115.72</v>
      </c>
      <c r="J11" s="17">
        <f t="shared" si="6"/>
        <v>8679</v>
      </c>
      <c r="K11" s="336">
        <f t="shared" si="7"/>
        <v>32869.06</v>
      </c>
      <c r="L11">
        <v>5000000</v>
      </c>
      <c r="M11" s="212">
        <f t="shared" si="4"/>
        <v>4956194.6894299984</v>
      </c>
      <c r="N11" s="17" t="s">
        <v>183</v>
      </c>
    </row>
    <row r="12" spans="1:19">
      <c r="A12" s="26">
        <v>9</v>
      </c>
      <c r="B12" s="27">
        <v>46181</v>
      </c>
      <c r="C12" s="17"/>
      <c r="D12" s="260"/>
      <c r="E12" s="267"/>
      <c r="F12" s="314"/>
      <c r="G12" s="336">
        <f t="shared" si="5"/>
        <v>0</v>
      </c>
      <c r="H12" s="17"/>
      <c r="I12" s="17"/>
      <c r="J12" s="17">
        <f t="shared" si="6"/>
        <v>0</v>
      </c>
      <c r="K12" s="532">
        <f t="shared" si="7"/>
        <v>0</v>
      </c>
      <c r="L12" s="17">
        <v>6086287</v>
      </c>
      <c r="M12" s="40">
        <f t="shared" si="4"/>
        <v>-1130092.3105700016</v>
      </c>
      <c r="N12" s="233" t="s">
        <v>181</v>
      </c>
      <c r="O12" s="17">
        <v>6086287</v>
      </c>
    </row>
    <row r="13" spans="1:19">
      <c r="A13" s="26"/>
      <c r="B13" s="27">
        <v>46181</v>
      </c>
      <c r="C13" s="17"/>
      <c r="D13" s="260"/>
      <c r="E13" s="267"/>
      <c r="F13" s="314"/>
      <c r="G13" s="336"/>
      <c r="H13" s="17"/>
      <c r="I13" s="17"/>
      <c r="J13" s="17"/>
      <c r="K13" s="532"/>
      <c r="L13" s="17">
        <f>-(1162961.45)</f>
        <v>-1162961.45</v>
      </c>
      <c r="M13" s="40">
        <f t="shared" si="4"/>
        <v>32869.139429998351</v>
      </c>
      <c r="N13" s="233" t="s">
        <v>184</v>
      </c>
    </row>
    <row r="14" spans="1:19">
      <c r="A14" s="26">
        <v>10</v>
      </c>
      <c r="B14" s="27">
        <v>46182</v>
      </c>
      <c r="C14" s="17"/>
      <c r="D14" s="260"/>
      <c r="E14" s="267">
        <v>1155.44</v>
      </c>
      <c r="F14" s="314">
        <v>103.82</v>
      </c>
      <c r="G14" s="336">
        <f t="shared" si="5"/>
        <v>119957.78079999999</v>
      </c>
      <c r="H14" s="17"/>
      <c r="I14" s="17"/>
      <c r="J14" s="17">
        <f t="shared" si="6"/>
        <v>0</v>
      </c>
      <c r="K14" s="532">
        <f t="shared" si="7"/>
        <v>119957.78079999999</v>
      </c>
      <c r="L14" s="17"/>
      <c r="M14" s="40">
        <f t="shared" si="4"/>
        <v>152826.92022999836</v>
      </c>
      <c r="N14" s="233"/>
    </row>
    <row r="15" spans="1:19">
      <c r="A15" s="26">
        <v>11</v>
      </c>
      <c r="B15" s="27">
        <v>46183</v>
      </c>
      <c r="C15" s="17"/>
      <c r="D15" s="260"/>
      <c r="E15" s="267">
        <v>5565.26</v>
      </c>
      <c r="F15" s="314">
        <v>103.82</v>
      </c>
      <c r="G15" s="336">
        <f t="shared" si="5"/>
        <v>577785.29319999996</v>
      </c>
      <c r="H15" s="17"/>
      <c r="I15" s="17"/>
      <c r="J15" s="17">
        <f t="shared" si="6"/>
        <v>0</v>
      </c>
      <c r="K15" s="336">
        <f t="shared" si="7"/>
        <v>577785.29319999996</v>
      </c>
      <c r="L15" s="137"/>
      <c r="M15" s="179">
        <f t="shared" si="4"/>
        <v>730612.21342999837</v>
      </c>
      <c r="N15" s="17"/>
      <c r="S15">
        <v>5000000</v>
      </c>
    </row>
    <row r="16" spans="1:19">
      <c r="A16" s="26">
        <v>12</v>
      </c>
      <c r="B16" s="27">
        <v>46184</v>
      </c>
      <c r="C16" s="17"/>
      <c r="D16" s="260"/>
      <c r="E16" s="267">
        <v>5661.33</v>
      </c>
      <c r="F16" s="314">
        <v>103.82</v>
      </c>
      <c r="G16" s="336">
        <f t="shared" si="5"/>
        <v>587759.28059999994</v>
      </c>
      <c r="H16" s="17"/>
      <c r="I16" s="17"/>
      <c r="J16" s="17">
        <f t="shared" si="6"/>
        <v>0</v>
      </c>
      <c r="K16" s="336">
        <f t="shared" si="7"/>
        <v>587759.28059999994</v>
      </c>
      <c r="L16" s="17"/>
      <c r="M16" s="40">
        <f t="shared" si="4"/>
        <v>1318371.4940299983</v>
      </c>
      <c r="N16" s="17"/>
      <c r="Q16">
        <v>6086287</v>
      </c>
      <c r="S16">
        <v>6086287</v>
      </c>
    </row>
    <row r="17" spans="1:19">
      <c r="A17" s="26">
        <v>13</v>
      </c>
      <c r="B17" s="27">
        <v>46185</v>
      </c>
      <c r="C17" s="17"/>
      <c r="D17" s="260"/>
      <c r="E17" s="267">
        <v>6900</v>
      </c>
      <c r="F17" s="314">
        <v>103.82</v>
      </c>
      <c r="G17" s="336">
        <f t="shared" si="5"/>
        <v>716358</v>
      </c>
      <c r="H17" s="17">
        <v>60</v>
      </c>
      <c r="I17" s="17">
        <v>115.72</v>
      </c>
      <c r="J17" s="17">
        <f t="shared" si="6"/>
        <v>6943.2</v>
      </c>
      <c r="K17" s="336">
        <f t="shared" si="7"/>
        <v>723301.2</v>
      </c>
      <c r="L17" s="17"/>
      <c r="M17" s="40">
        <f t="shared" si="4"/>
        <v>2041672.6940299983</v>
      </c>
      <c r="N17" s="17"/>
      <c r="S17">
        <f>SUM(S15:S16)</f>
        <v>11086287</v>
      </c>
    </row>
    <row r="18" spans="1:19">
      <c r="A18" s="26">
        <v>14</v>
      </c>
      <c r="B18" s="27">
        <v>46186</v>
      </c>
      <c r="C18" s="17"/>
      <c r="D18" s="260"/>
      <c r="E18" s="267">
        <v>6450</v>
      </c>
      <c r="F18" s="314">
        <v>103.82</v>
      </c>
      <c r="G18" s="336">
        <f t="shared" si="5"/>
        <v>669639</v>
      </c>
      <c r="H18" s="17"/>
      <c r="I18" s="17"/>
      <c r="J18" s="17">
        <f t="shared" si="6"/>
        <v>0</v>
      </c>
      <c r="K18" s="336">
        <f t="shared" si="7"/>
        <v>669639</v>
      </c>
      <c r="L18" s="17"/>
      <c r="M18" s="40">
        <f t="shared" si="4"/>
        <v>2711311.694029998</v>
      </c>
      <c r="N18" s="17"/>
      <c r="S18">
        <v>1162961.45</v>
      </c>
    </row>
    <row r="19" spans="1:19">
      <c r="A19" s="26">
        <v>15</v>
      </c>
      <c r="B19" s="27">
        <v>46187</v>
      </c>
      <c r="C19" s="17"/>
      <c r="D19" s="260"/>
      <c r="E19" s="267">
        <v>2500</v>
      </c>
      <c r="F19" s="314">
        <v>103.82</v>
      </c>
      <c r="G19" s="336">
        <f t="shared" si="5"/>
        <v>259549.99999999997</v>
      </c>
      <c r="H19" s="17"/>
      <c r="I19" s="17"/>
      <c r="J19" s="17">
        <f t="shared" si="6"/>
        <v>0</v>
      </c>
      <c r="K19" s="336">
        <f t="shared" si="7"/>
        <v>259549.99999999997</v>
      </c>
      <c r="L19" s="17"/>
      <c r="M19" s="40">
        <f t="shared" si="4"/>
        <v>2970861.694029998</v>
      </c>
      <c r="N19" s="17"/>
      <c r="S19">
        <f>S17-S18</f>
        <v>9923325.5500000007</v>
      </c>
    </row>
    <row r="20" spans="1:19">
      <c r="A20" s="26">
        <v>16</v>
      </c>
      <c r="B20" s="27">
        <v>46188</v>
      </c>
      <c r="C20" s="17"/>
      <c r="D20" s="260"/>
      <c r="E20" s="267">
        <v>3015</v>
      </c>
      <c r="F20" s="314">
        <v>103.82</v>
      </c>
      <c r="G20" s="336">
        <f t="shared" si="5"/>
        <v>313017.3</v>
      </c>
      <c r="H20" s="17">
        <v>75</v>
      </c>
      <c r="I20" s="17">
        <v>115.72</v>
      </c>
      <c r="J20" s="17">
        <f t="shared" si="6"/>
        <v>8679</v>
      </c>
      <c r="K20" s="336">
        <f t="shared" si="7"/>
        <v>321696.3</v>
      </c>
      <c r="L20" s="17"/>
      <c r="M20" s="40">
        <f t="shared" ref="M19:M36" si="8">M19+K20-L20</f>
        <v>3292557.9940299978</v>
      </c>
      <c r="N20" s="17"/>
      <c r="S20">
        <v>32869.06</v>
      </c>
    </row>
    <row r="21" spans="1:19">
      <c r="A21" s="26">
        <v>17</v>
      </c>
      <c r="B21" s="27">
        <v>46189</v>
      </c>
      <c r="C21" s="17"/>
      <c r="D21" s="260"/>
      <c r="E21" s="267">
        <v>6197.2</v>
      </c>
      <c r="F21" s="314">
        <v>103.82</v>
      </c>
      <c r="G21" s="336">
        <f t="shared" si="5"/>
        <v>643393.30399999989</v>
      </c>
      <c r="H21" s="17"/>
      <c r="I21" s="17"/>
      <c r="J21" s="17">
        <f t="shared" si="6"/>
        <v>0</v>
      </c>
      <c r="K21" s="336">
        <f t="shared" si="7"/>
        <v>643393.30399999989</v>
      </c>
      <c r="L21" s="17"/>
      <c r="M21" s="40">
        <f t="shared" si="8"/>
        <v>3935951.2980299979</v>
      </c>
      <c r="N21" s="17"/>
      <c r="S21">
        <f>S19+S20</f>
        <v>9956194.6100000013</v>
      </c>
    </row>
    <row r="22" spans="1:19">
      <c r="A22" s="26">
        <v>18</v>
      </c>
      <c r="B22" s="27">
        <v>46190</v>
      </c>
      <c r="C22" s="17"/>
      <c r="D22" s="260"/>
      <c r="E22" s="267">
        <v>5103.43</v>
      </c>
      <c r="F22" s="314">
        <v>103.82</v>
      </c>
      <c r="G22" s="336">
        <f t="shared" si="5"/>
        <v>529838.10259999998</v>
      </c>
      <c r="H22" s="17"/>
      <c r="I22" s="17"/>
      <c r="J22" s="17">
        <f t="shared" si="6"/>
        <v>0</v>
      </c>
      <c r="K22" s="336">
        <f t="shared" si="7"/>
        <v>529838.10259999998</v>
      </c>
      <c r="L22" s="17"/>
      <c r="M22" s="40">
        <f t="shared" si="8"/>
        <v>4465789.4006299982</v>
      </c>
      <c r="N22" s="17"/>
    </row>
    <row r="23" spans="1:19">
      <c r="A23" s="26">
        <v>19</v>
      </c>
      <c r="B23" s="27">
        <v>46191</v>
      </c>
      <c r="C23" s="17"/>
      <c r="D23" s="260"/>
      <c r="E23" s="267">
        <v>6081.9</v>
      </c>
      <c r="F23" s="314">
        <v>103.82</v>
      </c>
      <c r="G23" s="336">
        <f t="shared" si="5"/>
        <v>631422.85799999989</v>
      </c>
      <c r="H23" s="17"/>
      <c r="I23" s="17"/>
      <c r="J23" s="17">
        <f t="shared" si="6"/>
        <v>0</v>
      </c>
      <c r="K23" s="336">
        <f t="shared" si="7"/>
        <v>631422.85799999989</v>
      </c>
      <c r="L23" s="17"/>
      <c r="M23" s="40">
        <f t="shared" si="8"/>
        <v>5097212.2586299982</v>
      </c>
      <c r="N23" s="17"/>
    </row>
    <row r="24" spans="1:19">
      <c r="A24" s="26">
        <v>20</v>
      </c>
      <c r="B24" s="27">
        <v>46192</v>
      </c>
      <c r="C24" s="17"/>
      <c r="D24" s="260"/>
      <c r="E24" s="267">
        <v>6041.95</v>
      </c>
      <c r="F24" s="314">
        <v>103.82</v>
      </c>
      <c r="G24" s="336">
        <f t="shared" si="5"/>
        <v>627275.24899999995</v>
      </c>
      <c r="H24" s="17">
        <v>80</v>
      </c>
      <c r="I24" s="17">
        <v>115.72</v>
      </c>
      <c r="J24" s="17">
        <f t="shared" si="6"/>
        <v>9257.6</v>
      </c>
      <c r="K24" s="336">
        <f t="shared" si="7"/>
        <v>636532.84899999993</v>
      </c>
      <c r="L24" s="17"/>
      <c r="M24" s="40">
        <f t="shared" si="8"/>
        <v>5733745.1076299977</v>
      </c>
      <c r="N24" s="17"/>
    </row>
    <row r="25" spans="1:19">
      <c r="A25" s="26">
        <v>21</v>
      </c>
      <c r="B25" s="27">
        <v>46193</v>
      </c>
      <c r="C25" s="17"/>
      <c r="D25" s="260"/>
      <c r="E25" s="521">
        <v>6219.57</v>
      </c>
      <c r="F25" s="314">
        <v>103.82</v>
      </c>
      <c r="G25" s="336">
        <f t="shared" si="5"/>
        <v>645715.75739999989</v>
      </c>
      <c r="H25" s="17"/>
      <c r="I25" s="17"/>
      <c r="J25" s="17">
        <f t="shared" si="6"/>
        <v>0</v>
      </c>
      <c r="K25" s="336">
        <f t="shared" si="7"/>
        <v>645715.75739999989</v>
      </c>
      <c r="L25" s="17"/>
      <c r="M25" s="40">
        <f t="shared" si="8"/>
        <v>6379460.8650299972</v>
      </c>
      <c r="N25" s="17"/>
    </row>
    <row r="26" spans="1:19">
      <c r="A26" s="26">
        <v>22</v>
      </c>
      <c r="B26" s="27">
        <v>46194</v>
      </c>
      <c r="C26" s="17"/>
      <c r="D26" s="260"/>
      <c r="E26" s="521">
        <v>6250.34</v>
      </c>
      <c r="F26" s="314">
        <v>103.82</v>
      </c>
      <c r="G26" s="336">
        <f t="shared" si="5"/>
        <v>648910.29879999999</v>
      </c>
      <c r="H26" s="17"/>
      <c r="I26" s="17"/>
      <c r="J26" s="17">
        <f t="shared" si="6"/>
        <v>0</v>
      </c>
      <c r="K26" s="336">
        <f t="shared" si="7"/>
        <v>648910.29879999999</v>
      </c>
      <c r="L26" s="17"/>
      <c r="M26" s="40">
        <f t="shared" si="8"/>
        <v>7028371.1638299972</v>
      </c>
      <c r="N26" s="17"/>
    </row>
    <row r="27" spans="1:19">
      <c r="A27" s="26">
        <v>23</v>
      </c>
      <c r="B27" s="27">
        <v>46195</v>
      </c>
      <c r="C27" s="17"/>
      <c r="D27" s="260"/>
      <c r="E27" s="267">
        <v>5297.67</v>
      </c>
      <c r="F27" s="314">
        <v>103.82</v>
      </c>
      <c r="G27" s="336">
        <f t="shared" si="5"/>
        <v>550004.09939999995</v>
      </c>
      <c r="H27" s="17"/>
      <c r="I27" s="17"/>
      <c r="J27" s="17">
        <f t="shared" si="6"/>
        <v>0</v>
      </c>
      <c r="K27" s="336">
        <f t="shared" si="7"/>
        <v>550004.09939999995</v>
      </c>
      <c r="L27" s="17"/>
      <c r="M27" s="40">
        <f t="shared" si="8"/>
        <v>7578375.2632299969</v>
      </c>
      <c r="N27" s="17"/>
    </row>
    <row r="28" spans="1:19">
      <c r="A28" s="26">
        <v>24</v>
      </c>
      <c r="B28" s="27">
        <v>46196</v>
      </c>
      <c r="C28" s="17"/>
      <c r="D28" s="260"/>
      <c r="E28" s="267">
        <v>5138.12</v>
      </c>
      <c r="F28" s="314">
        <v>103.82</v>
      </c>
      <c r="G28" s="336">
        <f t="shared" si="5"/>
        <v>533439.61839999992</v>
      </c>
      <c r="H28" s="17"/>
      <c r="I28" s="17"/>
      <c r="J28" s="17">
        <f t="shared" si="6"/>
        <v>0</v>
      </c>
      <c r="K28" s="336">
        <f t="shared" si="7"/>
        <v>533439.61839999992</v>
      </c>
      <c r="L28" s="17"/>
      <c r="M28" s="40">
        <f t="shared" si="8"/>
        <v>8111814.8816299969</v>
      </c>
      <c r="N28" s="17"/>
    </row>
    <row r="29" spans="1:19">
      <c r="A29" s="26">
        <v>25</v>
      </c>
      <c r="B29" s="27">
        <v>46197</v>
      </c>
      <c r="C29" s="17"/>
      <c r="D29" s="260"/>
      <c r="E29" s="267">
        <v>5011.16</v>
      </c>
      <c r="F29" s="314">
        <v>103.82</v>
      </c>
      <c r="G29" s="336">
        <f t="shared" si="5"/>
        <v>520258.63119999995</v>
      </c>
      <c r="H29" s="17"/>
      <c r="I29" s="17"/>
      <c r="J29" s="17">
        <f t="shared" si="6"/>
        <v>0</v>
      </c>
      <c r="K29" s="336">
        <f t="shared" si="7"/>
        <v>520258.63119999995</v>
      </c>
      <c r="L29" s="17"/>
      <c r="M29" s="40">
        <f t="shared" si="8"/>
        <v>8632073.5128299966</v>
      </c>
      <c r="N29" s="17"/>
    </row>
    <row r="30" spans="1:19">
      <c r="A30" s="26">
        <v>26</v>
      </c>
      <c r="B30" s="27">
        <v>46198</v>
      </c>
      <c r="C30" s="17"/>
      <c r="D30" s="260"/>
      <c r="E30" s="267">
        <v>3329.48</v>
      </c>
      <c r="F30" s="314">
        <v>103.82</v>
      </c>
      <c r="G30" s="336">
        <f t="shared" si="5"/>
        <v>345666.61359999998</v>
      </c>
      <c r="H30" s="17"/>
      <c r="I30" s="17"/>
      <c r="J30" s="17">
        <f t="shared" si="6"/>
        <v>0</v>
      </c>
      <c r="K30" s="336">
        <f t="shared" si="7"/>
        <v>345666.61359999998</v>
      </c>
      <c r="L30" s="17"/>
      <c r="M30" s="40">
        <f t="shared" si="8"/>
        <v>8977740.1264299974</v>
      </c>
      <c r="N30" s="17"/>
    </row>
    <row r="31" spans="1:19">
      <c r="A31" s="26">
        <v>27</v>
      </c>
      <c r="B31" s="27">
        <v>46199</v>
      </c>
      <c r="C31" s="17"/>
      <c r="D31" s="260"/>
      <c r="E31" s="267">
        <v>6511.21</v>
      </c>
      <c r="F31" s="314">
        <v>103.82</v>
      </c>
      <c r="G31" s="336">
        <f t="shared" si="5"/>
        <v>675993.82219999994</v>
      </c>
      <c r="H31" s="17"/>
      <c r="I31" s="17"/>
      <c r="J31" s="17">
        <f t="shared" si="6"/>
        <v>0</v>
      </c>
      <c r="K31" s="336">
        <f t="shared" si="7"/>
        <v>675993.82219999994</v>
      </c>
      <c r="L31" s="17"/>
      <c r="M31" s="40">
        <f t="shared" si="8"/>
        <v>9653733.9486299977</v>
      </c>
      <c r="N31" s="17"/>
    </row>
    <row r="32" spans="1:19">
      <c r="A32" s="26">
        <v>28</v>
      </c>
      <c r="B32" s="27">
        <v>46200</v>
      </c>
      <c r="C32" s="17"/>
      <c r="D32" s="260"/>
      <c r="E32" s="267">
        <v>5957.19</v>
      </c>
      <c r="F32" s="314">
        <v>103.82</v>
      </c>
      <c r="G32" s="336">
        <f t="shared" si="5"/>
        <v>618475.46579999989</v>
      </c>
      <c r="H32" s="17"/>
      <c r="I32" s="17"/>
      <c r="J32" s="17">
        <f t="shared" si="6"/>
        <v>0</v>
      </c>
      <c r="K32" s="336">
        <f t="shared" si="7"/>
        <v>618475.46579999989</v>
      </c>
      <c r="L32" s="17"/>
      <c r="M32" s="40">
        <f t="shared" si="8"/>
        <v>10272209.414429998</v>
      </c>
      <c r="N32" s="17"/>
    </row>
    <row r="33" spans="1:14">
      <c r="A33" s="26">
        <v>29</v>
      </c>
      <c r="B33" s="27">
        <v>46201</v>
      </c>
      <c r="C33" s="17"/>
      <c r="D33" s="260"/>
      <c r="E33" s="267">
        <v>5284.55</v>
      </c>
      <c r="F33" s="314">
        <v>103.82</v>
      </c>
      <c r="G33" s="336">
        <f t="shared" si="5"/>
        <v>548641.98100000003</v>
      </c>
      <c r="H33" s="17"/>
      <c r="I33" s="17"/>
      <c r="J33" s="17">
        <f t="shared" si="6"/>
        <v>0</v>
      </c>
      <c r="K33" s="336">
        <f t="shared" si="7"/>
        <v>548641.98100000003</v>
      </c>
      <c r="L33" s="17"/>
      <c r="M33" s="40">
        <f t="shared" si="8"/>
        <v>10820851.395429999</v>
      </c>
      <c r="N33" s="17"/>
    </row>
    <row r="34" spans="1:14">
      <c r="A34" s="26">
        <v>30</v>
      </c>
      <c r="B34" s="27">
        <v>46202</v>
      </c>
      <c r="C34" s="17"/>
      <c r="D34" s="260"/>
      <c r="E34" s="267">
        <v>6019.64</v>
      </c>
      <c r="F34" s="314">
        <v>103.82</v>
      </c>
      <c r="G34" s="336">
        <f t="shared" si="5"/>
        <v>624959.02480000001</v>
      </c>
      <c r="H34" s="17"/>
      <c r="I34" s="17"/>
      <c r="J34" s="17">
        <f t="shared" si="6"/>
        <v>0</v>
      </c>
      <c r="K34" s="336">
        <f t="shared" si="7"/>
        <v>624959.02480000001</v>
      </c>
      <c r="L34" s="17">
        <v>2500000</v>
      </c>
      <c r="M34" s="40">
        <f t="shared" si="8"/>
        <v>8945810.4202299993</v>
      </c>
      <c r="N34" s="17"/>
    </row>
    <row r="35" spans="1:14">
      <c r="A35" s="26">
        <v>31</v>
      </c>
      <c r="B35" s="27">
        <v>46203</v>
      </c>
      <c r="C35" s="17"/>
      <c r="D35" s="260"/>
      <c r="E35" s="267">
        <v>6207.22</v>
      </c>
      <c r="F35" s="314">
        <v>103.82</v>
      </c>
      <c r="G35" s="336">
        <f t="shared" si="5"/>
        <v>644433.58039999998</v>
      </c>
      <c r="H35" s="17"/>
      <c r="I35" s="17"/>
      <c r="J35" s="17">
        <f t="shared" si="6"/>
        <v>0</v>
      </c>
      <c r="K35" s="336">
        <f t="shared" si="7"/>
        <v>644433.58039999998</v>
      </c>
      <c r="L35" s="17"/>
      <c r="M35" s="40">
        <f t="shared" si="8"/>
        <v>9590244.0006299987</v>
      </c>
      <c r="N35" s="17"/>
    </row>
    <row r="36" spans="1:14">
      <c r="A36" s="26">
        <v>32</v>
      </c>
      <c r="B36" s="27">
        <v>46204</v>
      </c>
      <c r="C36" s="17"/>
      <c r="D36" s="260"/>
      <c r="E36" s="267"/>
      <c r="F36" s="314"/>
      <c r="G36" s="336">
        <f t="shared" si="5"/>
        <v>0</v>
      </c>
      <c r="H36" s="17"/>
      <c r="I36" s="17"/>
      <c r="J36" s="17">
        <f t="shared" si="6"/>
        <v>0</v>
      </c>
      <c r="K36" s="336">
        <f t="shared" si="7"/>
        <v>0</v>
      </c>
      <c r="L36" s="17"/>
      <c r="M36" s="40">
        <f t="shared" si="8"/>
        <v>9590244.0006299987</v>
      </c>
      <c r="N36" s="17"/>
    </row>
    <row r="37" spans="1:14">
      <c r="A37" s="26"/>
      <c r="B37" s="27"/>
      <c r="C37" s="17"/>
      <c r="D37" s="260"/>
      <c r="E37" s="267"/>
      <c r="F37" s="314"/>
      <c r="G37" s="336"/>
      <c r="H37" s="17"/>
      <c r="I37" s="17"/>
      <c r="J37" s="17"/>
      <c r="K37" s="17"/>
      <c r="L37" s="17"/>
      <c r="M37" s="40"/>
      <c r="N37" s="17"/>
    </row>
    <row r="38" spans="1:14">
      <c r="A38" s="42"/>
      <c r="B38" s="42"/>
      <c r="C38" s="42"/>
      <c r="D38" s="42"/>
      <c r="E38" s="43">
        <f>SUM(E4:E36)</f>
        <v>127541.87999999999</v>
      </c>
      <c r="F38" s="43"/>
      <c r="G38" s="43">
        <f>SUM(G4:G36)</f>
        <v>13241397.981600001</v>
      </c>
      <c r="H38" s="43">
        <f>SUM(H4:H36)</f>
        <v>450</v>
      </c>
      <c r="I38" s="43"/>
      <c r="J38" s="43">
        <f>SUM(J4:J36)</f>
        <v>52074</v>
      </c>
      <c r="K38" s="43">
        <f>SUM(K4:K36)</f>
        <v>13293471.981600001</v>
      </c>
      <c r="L38" s="43">
        <f>SUM(L4:L36)</f>
        <v>12423325.550000001</v>
      </c>
      <c r="M38" s="43"/>
      <c r="N38" s="43"/>
    </row>
    <row r="42" spans="1:14">
      <c r="M42" s="22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600-625A-4673-A405-708447C74D8E}">
  <sheetPr>
    <tabColor rgb="FF00B050"/>
  </sheetPr>
  <dimension ref="A1:P39"/>
  <sheetViews>
    <sheetView topLeftCell="A12" workbookViewId="0">
      <selection activeCell="L29" sqref="L29"/>
    </sheetView>
  </sheetViews>
  <sheetFormatPr defaultRowHeight="15"/>
  <cols>
    <col min="2" max="2" width="14.140625" customWidth="1"/>
    <col min="5" max="5" width="10.42578125" bestFit="1" customWidth="1"/>
    <col min="6" max="6" width="7.28515625" bestFit="1" customWidth="1"/>
    <col min="7" max="7" width="12.85546875" bestFit="1" customWidth="1"/>
    <col min="11" max="12" width="13.5703125" bestFit="1" customWidth="1"/>
    <col min="13" max="13" width="12.5703125" bestFit="1" customWidth="1"/>
    <col min="14" max="14" width="8.7109375" bestFit="1" customWidth="1"/>
    <col min="15" max="15" width="11.42578125" bestFit="1" customWidth="1"/>
  </cols>
  <sheetData>
    <row r="1" spans="1:16" ht="15.75">
      <c r="A1" s="557" t="s">
        <v>185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</row>
    <row r="2" spans="1:16" ht="30.75">
      <c r="A2" s="64" t="s">
        <v>0</v>
      </c>
      <c r="B2" s="83" t="s">
        <v>167</v>
      </c>
      <c r="C2" s="83" t="s">
        <v>168</v>
      </c>
      <c r="D2" s="83" t="s">
        <v>169</v>
      </c>
      <c r="E2" s="83" t="s">
        <v>170</v>
      </c>
      <c r="F2" s="83" t="s">
        <v>171</v>
      </c>
      <c r="G2" s="83" t="s">
        <v>172</v>
      </c>
      <c r="H2" s="83" t="s">
        <v>173</v>
      </c>
      <c r="I2" s="83" t="s">
        <v>171</v>
      </c>
      <c r="J2" s="84" t="s">
        <v>172</v>
      </c>
      <c r="K2" s="124" t="s">
        <v>174</v>
      </c>
      <c r="L2" s="127" t="s">
        <v>175</v>
      </c>
      <c r="M2" s="127" t="s">
        <v>182</v>
      </c>
      <c r="N2" s="125" t="s">
        <v>177</v>
      </c>
      <c r="O2" s="316"/>
      <c r="P2" s="22"/>
    </row>
    <row r="3" spans="1:16">
      <c r="A3" s="559" t="s">
        <v>178</v>
      </c>
      <c r="B3" s="560"/>
      <c r="C3" s="560"/>
      <c r="D3" s="560"/>
      <c r="E3" s="560"/>
      <c r="F3" s="560"/>
      <c r="G3" s="560"/>
      <c r="H3" s="560"/>
      <c r="I3" s="560"/>
      <c r="J3" s="560"/>
      <c r="K3">
        <v>1572600</v>
      </c>
      <c r="L3" s="228"/>
      <c r="M3">
        <v>1572600</v>
      </c>
      <c r="N3" s="94"/>
    </row>
    <row r="4" spans="1:16">
      <c r="A4" s="26">
        <v>1</v>
      </c>
      <c r="B4" s="27">
        <v>46174</v>
      </c>
      <c r="C4" s="17"/>
      <c r="D4" s="260"/>
      <c r="E4" s="267"/>
      <c r="F4" s="314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0">
        <f>M3+K4-L4</f>
        <v>1572600</v>
      </c>
      <c r="N4" s="17"/>
      <c r="O4" s="40"/>
    </row>
    <row r="5" spans="1:16">
      <c r="A5" s="26">
        <v>2</v>
      </c>
      <c r="B5" s="27">
        <v>46175</v>
      </c>
      <c r="C5" s="17"/>
      <c r="D5" s="260"/>
      <c r="E5" s="267"/>
      <c r="F5" s="314"/>
      <c r="G5" s="17">
        <f t="shared" ref="G5:G34" si="0">E5*F5</f>
        <v>0</v>
      </c>
      <c r="H5" s="17"/>
      <c r="I5" s="17"/>
      <c r="J5" s="17">
        <f t="shared" ref="J5:J34" si="1">H5*I5</f>
        <v>0</v>
      </c>
      <c r="K5" s="17">
        <f t="shared" ref="K5:K34" si="2">G5+J5</f>
        <v>0</v>
      </c>
      <c r="L5" s="17"/>
      <c r="M5" s="40">
        <f>M4+K5-L5</f>
        <v>1572600</v>
      </c>
      <c r="N5" s="17"/>
    </row>
    <row r="6" spans="1:16">
      <c r="A6" s="26">
        <v>3</v>
      </c>
      <c r="B6" s="27">
        <v>46176</v>
      </c>
      <c r="C6" s="17"/>
      <c r="D6" s="260"/>
      <c r="E6" s="267"/>
      <c r="F6" s="314"/>
      <c r="G6" s="17">
        <f t="shared" si="0"/>
        <v>0</v>
      </c>
      <c r="H6" s="17"/>
      <c r="I6" s="17"/>
      <c r="J6" s="17">
        <f t="shared" si="1"/>
        <v>0</v>
      </c>
      <c r="K6" s="17">
        <f t="shared" si="2"/>
        <v>0</v>
      </c>
      <c r="L6" s="17"/>
      <c r="M6" s="40">
        <f t="shared" ref="M6:M34" si="3">M5+K6-L6</f>
        <v>1572600</v>
      </c>
      <c r="N6" s="17"/>
    </row>
    <row r="7" spans="1:16">
      <c r="A7" s="26">
        <v>4</v>
      </c>
      <c r="B7" s="27">
        <v>46177</v>
      </c>
      <c r="C7" s="17"/>
      <c r="D7" s="260"/>
      <c r="E7" s="267"/>
      <c r="F7" s="314"/>
      <c r="G7" s="17">
        <f t="shared" si="0"/>
        <v>0</v>
      </c>
      <c r="H7" s="17"/>
      <c r="I7" s="17"/>
      <c r="J7" s="17">
        <f t="shared" si="1"/>
        <v>0</v>
      </c>
      <c r="K7" s="17">
        <f t="shared" si="2"/>
        <v>0</v>
      </c>
      <c r="L7" s="17"/>
      <c r="M7" s="40">
        <f>M6+K7-L7</f>
        <v>1572600</v>
      </c>
      <c r="N7" s="17"/>
    </row>
    <row r="8" spans="1:16">
      <c r="A8" s="26">
        <v>5</v>
      </c>
      <c r="B8" s="27">
        <v>46178</v>
      </c>
      <c r="C8" s="17"/>
      <c r="D8" s="260"/>
      <c r="E8" s="267"/>
      <c r="F8" s="314"/>
      <c r="G8" s="17">
        <f t="shared" si="0"/>
        <v>0</v>
      </c>
      <c r="H8" s="17"/>
      <c r="I8" s="17"/>
      <c r="J8" s="17">
        <f t="shared" si="1"/>
        <v>0</v>
      </c>
      <c r="K8" s="17">
        <f t="shared" si="2"/>
        <v>0</v>
      </c>
      <c r="L8" s="17"/>
      <c r="M8" s="40">
        <f t="shared" si="3"/>
        <v>1572600</v>
      </c>
      <c r="N8" s="17"/>
    </row>
    <row r="9" spans="1:16">
      <c r="A9" s="26">
        <v>6</v>
      </c>
      <c r="B9" s="27">
        <v>46179</v>
      </c>
      <c r="C9" s="17"/>
      <c r="D9" s="260"/>
      <c r="E9" s="267"/>
      <c r="F9" s="314"/>
      <c r="G9" s="17">
        <f t="shared" si="0"/>
        <v>0</v>
      </c>
      <c r="H9" s="17"/>
      <c r="I9" s="17"/>
      <c r="J9" s="17">
        <f t="shared" si="1"/>
        <v>0</v>
      </c>
      <c r="K9" s="17">
        <f t="shared" si="2"/>
        <v>0</v>
      </c>
      <c r="L9" s="17"/>
      <c r="M9" s="40">
        <f t="shared" si="3"/>
        <v>1572600</v>
      </c>
      <c r="N9" s="230"/>
    </row>
    <row r="10" spans="1:16">
      <c r="A10" s="26">
        <v>7</v>
      </c>
      <c r="B10" s="27">
        <v>46180</v>
      </c>
      <c r="C10" s="17"/>
      <c r="D10" s="260"/>
      <c r="E10" s="267"/>
      <c r="F10" s="314"/>
      <c r="G10" s="17">
        <f t="shared" si="0"/>
        <v>0</v>
      </c>
      <c r="H10" s="17"/>
      <c r="I10" s="17"/>
      <c r="J10" s="17">
        <f t="shared" si="1"/>
        <v>0</v>
      </c>
      <c r="K10" s="17">
        <f t="shared" si="2"/>
        <v>0</v>
      </c>
      <c r="L10" s="17"/>
      <c r="M10" s="40">
        <f t="shared" si="3"/>
        <v>1572600</v>
      </c>
      <c r="N10" s="17"/>
    </row>
    <row r="11" spans="1:16">
      <c r="A11" s="26">
        <v>8</v>
      </c>
      <c r="B11" s="27">
        <v>46181</v>
      </c>
      <c r="C11" s="17"/>
      <c r="D11" s="260"/>
      <c r="E11" s="267"/>
      <c r="F11" s="314"/>
      <c r="G11" s="17">
        <f t="shared" si="0"/>
        <v>0</v>
      </c>
      <c r="H11" s="17"/>
      <c r="I11" s="17"/>
      <c r="J11" s="17">
        <f t="shared" si="1"/>
        <v>0</v>
      </c>
      <c r="K11" s="17">
        <f t="shared" si="2"/>
        <v>0</v>
      </c>
      <c r="L11" s="17"/>
      <c r="M11" s="40">
        <f t="shared" si="3"/>
        <v>1572600</v>
      </c>
      <c r="N11" s="17"/>
    </row>
    <row r="12" spans="1:16">
      <c r="A12" s="26">
        <v>9</v>
      </c>
      <c r="B12" s="27">
        <v>46182</v>
      </c>
      <c r="C12" s="17"/>
      <c r="D12" s="260"/>
      <c r="E12" s="267"/>
      <c r="F12" s="314"/>
      <c r="G12" s="17">
        <f t="shared" si="0"/>
        <v>0</v>
      </c>
      <c r="H12" s="17"/>
      <c r="I12" s="17"/>
      <c r="J12" s="17">
        <f t="shared" si="1"/>
        <v>0</v>
      </c>
      <c r="K12" s="17">
        <f t="shared" si="2"/>
        <v>0</v>
      </c>
      <c r="L12" s="17"/>
      <c r="M12" s="40">
        <f t="shared" si="3"/>
        <v>1572600</v>
      </c>
      <c r="N12" s="17"/>
    </row>
    <row r="13" spans="1:16">
      <c r="A13" s="26">
        <v>10</v>
      </c>
      <c r="B13" s="27">
        <v>46183</v>
      </c>
      <c r="C13" s="17"/>
      <c r="D13" s="260"/>
      <c r="E13" s="267"/>
      <c r="F13" s="314"/>
      <c r="G13" s="17">
        <f t="shared" si="0"/>
        <v>0</v>
      </c>
      <c r="H13" s="17"/>
      <c r="I13" s="17"/>
      <c r="J13" s="17">
        <f t="shared" si="1"/>
        <v>0</v>
      </c>
      <c r="K13" s="17">
        <f t="shared" si="2"/>
        <v>0</v>
      </c>
      <c r="L13" s="17"/>
      <c r="M13" s="40">
        <f t="shared" si="3"/>
        <v>1572600</v>
      </c>
      <c r="N13" s="17"/>
    </row>
    <row r="14" spans="1:16">
      <c r="A14" s="26">
        <v>11</v>
      </c>
      <c r="B14" s="27">
        <v>46184</v>
      </c>
      <c r="C14" s="17"/>
      <c r="D14" s="260"/>
      <c r="E14" s="267"/>
      <c r="F14" s="314"/>
      <c r="G14" s="17">
        <f t="shared" si="0"/>
        <v>0</v>
      </c>
      <c r="H14" s="17"/>
      <c r="I14" s="17"/>
      <c r="J14" s="17">
        <f t="shared" si="1"/>
        <v>0</v>
      </c>
      <c r="K14" s="17">
        <f t="shared" si="2"/>
        <v>0</v>
      </c>
      <c r="L14" s="17"/>
      <c r="M14" s="40">
        <f t="shared" si="3"/>
        <v>1572600</v>
      </c>
      <c r="N14" s="17"/>
    </row>
    <row r="15" spans="1:16">
      <c r="A15" s="26">
        <v>12</v>
      </c>
      <c r="B15" s="27">
        <v>46185</v>
      </c>
      <c r="C15" s="17"/>
      <c r="D15" s="260"/>
      <c r="E15" s="267"/>
      <c r="F15" s="314"/>
      <c r="G15" s="17">
        <f t="shared" si="0"/>
        <v>0</v>
      </c>
      <c r="H15" s="17"/>
      <c r="I15" s="17"/>
      <c r="J15" s="17">
        <f t="shared" si="1"/>
        <v>0</v>
      </c>
      <c r="K15" s="17">
        <f t="shared" si="2"/>
        <v>0</v>
      </c>
      <c r="L15" s="17"/>
      <c r="M15" s="40">
        <f t="shared" si="3"/>
        <v>1572600</v>
      </c>
      <c r="N15" s="17"/>
    </row>
    <row r="16" spans="1:16">
      <c r="A16" s="26">
        <v>13</v>
      </c>
      <c r="B16" s="27">
        <v>46186</v>
      </c>
      <c r="C16" s="17"/>
      <c r="D16" s="260"/>
      <c r="E16" s="267"/>
      <c r="F16" s="314"/>
      <c r="G16" s="17">
        <f t="shared" si="0"/>
        <v>0</v>
      </c>
      <c r="H16" s="17"/>
      <c r="I16" s="17"/>
      <c r="J16" s="17">
        <f t="shared" si="1"/>
        <v>0</v>
      </c>
      <c r="K16" s="17">
        <f t="shared" si="2"/>
        <v>0</v>
      </c>
      <c r="L16" s="17"/>
      <c r="M16" s="40">
        <f>M15+K16-L16</f>
        <v>1572600</v>
      </c>
      <c r="N16" s="17"/>
    </row>
    <row r="17" spans="1:14">
      <c r="A17" s="26">
        <v>14</v>
      </c>
      <c r="B17" s="27">
        <v>46187</v>
      </c>
      <c r="C17" s="17"/>
      <c r="D17" s="260"/>
      <c r="E17" s="267"/>
      <c r="F17" s="314"/>
      <c r="G17" s="17">
        <f t="shared" si="0"/>
        <v>0</v>
      </c>
      <c r="H17" s="17"/>
      <c r="I17" s="17"/>
      <c r="J17" s="17">
        <f t="shared" si="1"/>
        <v>0</v>
      </c>
      <c r="K17" s="17">
        <f t="shared" si="2"/>
        <v>0</v>
      </c>
      <c r="L17" s="17"/>
      <c r="M17" s="40">
        <f t="shared" si="3"/>
        <v>1572600</v>
      </c>
      <c r="N17" s="17"/>
    </row>
    <row r="18" spans="1:14">
      <c r="A18" s="26">
        <v>15</v>
      </c>
      <c r="B18" s="27">
        <v>46188</v>
      </c>
      <c r="C18" s="17"/>
      <c r="D18" s="260"/>
      <c r="E18" s="267"/>
      <c r="F18" s="314"/>
      <c r="G18" s="17">
        <f t="shared" si="0"/>
        <v>0</v>
      </c>
      <c r="H18" s="17"/>
      <c r="I18" s="17"/>
      <c r="J18" s="17">
        <f t="shared" si="1"/>
        <v>0</v>
      </c>
      <c r="K18" s="17">
        <f t="shared" si="2"/>
        <v>0</v>
      </c>
      <c r="L18" s="17"/>
      <c r="M18" s="40">
        <f t="shared" si="3"/>
        <v>1572600</v>
      </c>
      <c r="N18" s="17"/>
    </row>
    <row r="19" spans="1:14">
      <c r="A19" s="26">
        <v>16</v>
      </c>
      <c r="B19" s="27">
        <v>46189</v>
      </c>
      <c r="C19" s="17"/>
      <c r="D19" s="260"/>
      <c r="E19" s="267"/>
      <c r="F19" s="314"/>
      <c r="G19" s="17">
        <f t="shared" si="0"/>
        <v>0</v>
      </c>
      <c r="H19" s="17"/>
      <c r="I19" s="17"/>
      <c r="J19" s="17">
        <f t="shared" si="1"/>
        <v>0</v>
      </c>
      <c r="K19" s="17">
        <f t="shared" si="2"/>
        <v>0</v>
      </c>
      <c r="L19" s="17"/>
      <c r="M19" s="40">
        <f t="shared" si="3"/>
        <v>1572600</v>
      </c>
      <c r="N19" s="17"/>
    </row>
    <row r="20" spans="1:14">
      <c r="A20" s="26">
        <v>17</v>
      </c>
      <c r="B20" s="27">
        <v>46190</v>
      </c>
      <c r="C20" s="17"/>
      <c r="D20" s="260"/>
      <c r="E20" s="267"/>
      <c r="F20" s="314"/>
      <c r="G20" s="17">
        <f t="shared" si="0"/>
        <v>0</v>
      </c>
      <c r="H20" s="17"/>
      <c r="I20" s="17"/>
      <c r="J20" s="17">
        <f t="shared" si="1"/>
        <v>0</v>
      </c>
      <c r="K20" s="17">
        <f t="shared" si="2"/>
        <v>0</v>
      </c>
      <c r="L20" s="17"/>
      <c r="M20" s="40">
        <f t="shared" si="3"/>
        <v>1572600</v>
      </c>
      <c r="N20" s="17"/>
    </row>
    <row r="21" spans="1:14">
      <c r="A21" s="26">
        <v>18</v>
      </c>
      <c r="B21" s="27">
        <v>46191</v>
      </c>
      <c r="C21" s="17"/>
      <c r="D21" s="260"/>
      <c r="E21" s="267"/>
      <c r="F21" s="314"/>
      <c r="G21" s="17">
        <f t="shared" si="0"/>
        <v>0</v>
      </c>
      <c r="H21" s="17"/>
      <c r="I21" s="17"/>
      <c r="J21" s="17">
        <f t="shared" si="1"/>
        <v>0</v>
      </c>
      <c r="K21" s="17">
        <f t="shared" si="2"/>
        <v>0</v>
      </c>
      <c r="L21" s="17"/>
      <c r="M21" s="40">
        <f t="shared" si="3"/>
        <v>1572600</v>
      </c>
      <c r="N21" s="17"/>
    </row>
    <row r="22" spans="1:14">
      <c r="A22" s="26">
        <v>19</v>
      </c>
      <c r="B22" s="27">
        <v>46192</v>
      </c>
      <c r="C22" s="17"/>
      <c r="D22" s="260"/>
      <c r="E22" s="267"/>
      <c r="F22" s="314"/>
      <c r="G22" s="17">
        <f t="shared" si="0"/>
        <v>0</v>
      </c>
      <c r="H22" s="17"/>
      <c r="I22" s="17"/>
      <c r="J22" s="17">
        <f t="shared" si="1"/>
        <v>0</v>
      </c>
      <c r="K22" s="17">
        <f t="shared" si="2"/>
        <v>0</v>
      </c>
      <c r="L22" s="17"/>
      <c r="M22" s="40">
        <f t="shared" si="3"/>
        <v>1572600</v>
      </c>
      <c r="N22" s="17"/>
    </row>
    <row r="23" spans="1:14">
      <c r="A23" s="26">
        <v>20</v>
      </c>
      <c r="B23" s="27">
        <v>46193</v>
      </c>
      <c r="C23" s="17"/>
      <c r="D23" s="260"/>
      <c r="E23" s="267"/>
      <c r="F23" s="314"/>
      <c r="G23" s="17">
        <f t="shared" si="0"/>
        <v>0</v>
      </c>
      <c r="H23" s="17"/>
      <c r="I23" s="17"/>
      <c r="J23" s="17">
        <f t="shared" si="1"/>
        <v>0</v>
      </c>
      <c r="K23" s="17">
        <f t="shared" si="2"/>
        <v>0</v>
      </c>
      <c r="L23" s="17"/>
      <c r="M23" s="40">
        <f t="shared" si="3"/>
        <v>1572600</v>
      </c>
      <c r="N23" s="17"/>
    </row>
    <row r="24" spans="1:14">
      <c r="A24" s="26">
        <v>21</v>
      </c>
      <c r="B24" s="27">
        <v>46194</v>
      </c>
      <c r="C24" s="17"/>
      <c r="D24" s="260"/>
      <c r="E24" s="267"/>
      <c r="F24" s="314"/>
      <c r="G24" s="17">
        <f t="shared" si="0"/>
        <v>0</v>
      </c>
      <c r="H24" s="17"/>
      <c r="I24" s="17"/>
      <c r="J24" s="17">
        <f t="shared" si="1"/>
        <v>0</v>
      </c>
      <c r="K24" s="17">
        <f t="shared" si="2"/>
        <v>0</v>
      </c>
      <c r="L24" s="17"/>
      <c r="M24" s="40">
        <f t="shared" si="3"/>
        <v>1572600</v>
      </c>
      <c r="N24" s="17"/>
    </row>
    <row r="25" spans="1:14">
      <c r="A25" s="26">
        <v>22</v>
      </c>
      <c r="B25" s="27">
        <v>46195</v>
      </c>
      <c r="C25" s="17"/>
      <c r="D25" s="260"/>
      <c r="E25" s="267"/>
      <c r="F25" s="314"/>
      <c r="G25" s="17">
        <f t="shared" si="0"/>
        <v>0</v>
      </c>
      <c r="H25" s="17"/>
      <c r="I25" s="17"/>
      <c r="J25" s="17">
        <f t="shared" si="1"/>
        <v>0</v>
      </c>
      <c r="K25" s="17">
        <f t="shared" si="2"/>
        <v>0</v>
      </c>
      <c r="L25" s="17"/>
      <c r="M25" s="40">
        <f t="shared" si="3"/>
        <v>1572600</v>
      </c>
      <c r="N25" s="17"/>
    </row>
    <row r="26" spans="1:14">
      <c r="A26" s="26">
        <v>23</v>
      </c>
      <c r="B26" s="27">
        <v>46196</v>
      </c>
      <c r="C26" s="17"/>
      <c r="D26" s="260"/>
      <c r="E26" s="267"/>
      <c r="F26" s="314"/>
      <c r="G26" s="17">
        <f t="shared" si="0"/>
        <v>0</v>
      </c>
      <c r="H26" s="17"/>
      <c r="I26" s="17"/>
      <c r="J26" s="17">
        <f t="shared" si="1"/>
        <v>0</v>
      </c>
      <c r="K26" s="17">
        <f t="shared" si="2"/>
        <v>0</v>
      </c>
      <c r="L26" s="17"/>
      <c r="M26" s="40">
        <f t="shared" si="3"/>
        <v>1572600</v>
      </c>
      <c r="N26" s="17"/>
    </row>
    <row r="27" spans="1:14">
      <c r="A27" s="26">
        <v>24</v>
      </c>
      <c r="B27" s="27">
        <v>46197</v>
      </c>
      <c r="C27" s="17"/>
      <c r="D27" s="260"/>
      <c r="E27" s="267"/>
      <c r="F27" s="314"/>
      <c r="G27" s="17">
        <f t="shared" si="0"/>
        <v>0</v>
      </c>
      <c r="H27" s="17"/>
      <c r="I27" s="17"/>
      <c r="J27" s="17">
        <f t="shared" si="1"/>
        <v>0</v>
      </c>
      <c r="K27" s="17">
        <f t="shared" si="2"/>
        <v>0</v>
      </c>
      <c r="L27" s="17"/>
      <c r="M27" s="40">
        <f t="shared" si="3"/>
        <v>1572600</v>
      </c>
      <c r="N27" s="17"/>
    </row>
    <row r="28" spans="1:14">
      <c r="A28" s="26">
        <v>25</v>
      </c>
      <c r="B28" s="27">
        <v>46198</v>
      </c>
      <c r="C28" s="17"/>
      <c r="D28" s="260"/>
      <c r="E28" s="267"/>
      <c r="F28" s="314"/>
      <c r="G28" s="17">
        <f t="shared" si="0"/>
        <v>0</v>
      </c>
      <c r="H28" s="17"/>
      <c r="I28" s="17"/>
      <c r="J28" s="17">
        <f t="shared" si="1"/>
        <v>0</v>
      </c>
      <c r="K28" s="17">
        <f t="shared" si="2"/>
        <v>0</v>
      </c>
      <c r="L28" s="17"/>
      <c r="M28" s="40">
        <f t="shared" si="3"/>
        <v>1572600</v>
      </c>
      <c r="N28" s="17"/>
    </row>
    <row r="29" spans="1:14">
      <c r="A29" s="26">
        <v>26</v>
      </c>
      <c r="B29" s="27">
        <v>46199</v>
      </c>
      <c r="C29" s="17"/>
      <c r="D29" s="260"/>
      <c r="E29" s="267"/>
      <c r="F29" s="314"/>
      <c r="G29" s="17">
        <f t="shared" si="0"/>
        <v>0</v>
      </c>
      <c r="H29" s="17"/>
      <c r="I29" s="17"/>
      <c r="J29" s="17">
        <f t="shared" si="1"/>
        <v>0</v>
      </c>
      <c r="K29" s="17">
        <f t="shared" si="2"/>
        <v>0</v>
      </c>
      <c r="L29" s="17">
        <v>500000</v>
      </c>
      <c r="M29" s="40">
        <f t="shared" si="3"/>
        <v>1072600</v>
      </c>
      <c r="N29" s="17"/>
    </row>
    <row r="30" spans="1:14">
      <c r="A30" s="26">
        <v>27</v>
      </c>
      <c r="B30" s="27">
        <v>46200</v>
      </c>
      <c r="C30" s="17"/>
      <c r="D30" s="260"/>
      <c r="E30" s="267"/>
      <c r="F30" s="314"/>
      <c r="G30" s="17">
        <f t="shared" si="0"/>
        <v>0</v>
      </c>
      <c r="H30" s="17"/>
      <c r="I30" s="17"/>
      <c r="J30" s="17">
        <f t="shared" si="1"/>
        <v>0</v>
      </c>
      <c r="K30" s="17">
        <f t="shared" si="2"/>
        <v>0</v>
      </c>
      <c r="L30" s="17"/>
      <c r="M30" s="40">
        <f t="shared" si="3"/>
        <v>1072600</v>
      </c>
      <c r="N30" s="17"/>
    </row>
    <row r="31" spans="1:14">
      <c r="A31" s="26">
        <v>28</v>
      </c>
      <c r="B31" s="27">
        <v>46201</v>
      </c>
      <c r="C31" s="17"/>
      <c r="D31" s="260"/>
      <c r="E31" s="267"/>
      <c r="F31" s="314"/>
      <c r="G31" s="17">
        <f t="shared" si="0"/>
        <v>0</v>
      </c>
      <c r="H31" s="17"/>
      <c r="I31" s="17"/>
      <c r="J31" s="17">
        <f t="shared" si="1"/>
        <v>0</v>
      </c>
      <c r="K31" s="17">
        <f t="shared" si="2"/>
        <v>0</v>
      </c>
      <c r="L31" s="17"/>
      <c r="M31" s="40">
        <f t="shared" si="3"/>
        <v>1072600</v>
      </c>
      <c r="N31" s="17"/>
    </row>
    <row r="32" spans="1:14">
      <c r="A32" s="26">
        <v>29</v>
      </c>
      <c r="B32" s="27">
        <v>46202</v>
      </c>
      <c r="C32" s="17"/>
      <c r="D32" s="260"/>
      <c r="E32" s="267"/>
      <c r="F32" s="314"/>
      <c r="G32" s="17">
        <f t="shared" si="0"/>
        <v>0</v>
      </c>
      <c r="H32" s="17"/>
      <c r="I32" s="17"/>
      <c r="J32" s="17">
        <f t="shared" si="1"/>
        <v>0</v>
      </c>
      <c r="K32" s="17">
        <f t="shared" si="2"/>
        <v>0</v>
      </c>
      <c r="L32" s="17"/>
      <c r="M32" s="40">
        <f t="shared" si="3"/>
        <v>1072600</v>
      </c>
      <c r="N32" s="17"/>
    </row>
    <row r="33" spans="1:14">
      <c r="A33" s="26">
        <v>30</v>
      </c>
      <c r="B33" s="27">
        <v>46203</v>
      </c>
      <c r="C33" s="17"/>
      <c r="D33" s="260"/>
      <c r="E33" s="267"/>
      <c r="F33" s="314"/>
      <c r="G33" s="17">
        <f t="shared" si="0"/>
        <v>0</v>
      </c>
      <c r="H33" s="17"/>
      <c r="I33" s="17"/>
      <c r="J33" s="17">
        <f t="shared" si="1"/>
        <v>0</v>
      </c>
      <c r="K33" s="17">
        <f t="shared" si="2"/>
        <v>0</v>
      </c>
      <c r="L33" s="17"/>
      <c r="M33" s="40">
        <f t="shared" si="3"/>
        <v>1072600</v>
      </c>
      <c r="N33" s="17"/>
    </row>
    <row r="34" spans="1:14">
      <c r="A34" s="26">
        <v>31</v>
      </c>
      <c r="B34" s="27"/>
      <c r="C34" s="17"/>
      <c r="D34" s="260"/>
      <c r="E34" s="267"/>
      <c r="F34" s="314"/>
      <c r="G34" s="17">
        <f t="shared" si="0"/>
        <v>0</v>
      </c>
      <c r="H34" s="17"/>
      <c r="I34" s="17"/>
      <c r="J34" s="17">
        <f t="shared" si="1"/>
        <v>0</v>
      </c>
      <c r="K34" s="17">
        <f t="shared" si="2"/>
        <v>0</v>
      </c>
      <c r="L34" s="17"/>
      <c r="M34" s="40">
        <f t="shared" si="3"/>
        <v>1072600</v>
      </c>
      <c r="N34" s="17"/>
    </row>
    <row r="35" spans="1:14">
      <c r="A35" s="42"/>
      <c r="B35" s="42"/>
      <c r="C35" s="42"/>
      <c r="D35" s="42"/>
      <c r="E35" s="43">
        <f>SUM(E4:E34)</f>
        <v>0</v>
      </c>
      <c r="F35" s="43"/>
      <c r="G35" s="43">
        <f>SUM(G4:G34)</f>
        <v>0</v>
      </c>
      <c r="H35" s="43">
        <f>SUM(H4:H34)</f>
        <v>0</v>
      </c>
      <c r="I35" s="43"/>
      <c r="J35" s="43">
        <f>SUM(J4:J34)</f>
        <v>0</v>
      </c>
      <c r="K35" s="43">
        <f>SUM(K4:K34)</f>
        <v>0</v>
      </c>
      <c r="L35" s="43">
        <f>SUM(L4:L34)</f>
        <v>500000</v>
      </c>
      <c r="M35" s="43"/>
      <c r="N35" s="43"/>
    </row>
    <row r="39" spans="1:14">
      <c r="M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002E-DF3D-473F-82CE-A339634F7C34}">
  <sheetPr>
    <tabColor rgb="FF00B050"/>
  </sheetPr>
  <dimension ref="A1:R46"/>
  <sheetViews>
    <sheetView workbookViewId="0">
      <selection activeCell="K6" sqref="K6"/>
    </sheetView>
  </sheetViews>
  <sheetFormatPr defaultRowHeight="15"/>
  <cols>
    <col min="2" max="2" width="16.140625" customWidth="1"/>
    <col min="3" max="3" width="37" bestFit="1" customWidth="1"/>
    <col min="4" max="4" width="20.7109375" customWidth="1"/>
    <col min="6" max="6" width="12.140625" customWidth="1"/>
    <col min="7" max="7" width="15.7109375" customWidth="1"/>
    <col min="11" max="12" width="13.5703125" bestFit="1" customWidth="1"/>
    <col min="13" max="13" width="11.42578125" bestFit="1" customWidth="1"/>
  </cols>
  <sheetData>
    <row r="1" spans="1:15" ht="15.75">
      <c r="A1" s="557" t="s">
        <v>186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</row>
    <row r="2" spans="1:15" ht="30.75">
      <c r="A2" s="124" t="s">
        <v>0</v>
      </c>
      <c r="B2" s="125" t="s">
        <v>167</v>
      </c>
      <c r="C2" s="125"/>
      <c r="D2" s="125" t="s">
        <v>169</v>
      </c>
      <c r="E2" s="125" t="s">
        <v>170</v>
      </c>
      <c r="F2" s="125" t="s">
        <v>171</v>
      </c>
      <c r="G2" s="125" t="s">
        <v>172</v>
      </c>
      <c r="H2" s="125" t="s">
        <v>173</v>
      </c>
      <c r="I2" s="125" t="s">
        <v>171</v>
      </c>
      <c r="J2" s="126" t="s">
        <v>172</v>
      </c>
      <c r="K2" s="124" t="s">
        <v>174</v>
      </c>
      <c r="L2" s="127" t="s">
        <v>175</v>
      </c>
      <c r="M2" s="127" t="s">
        <v>182</v>
      </c>
      <c r="N2" s="125" t="s">
        <v>177</v>
      </c>
    </row>
    <row r="3" spans="1:15">
      <c r="A3" s="558" t="s">
        <v>178</v>
      </c>
      <c r="B3" s="558"/>
      <c r="C3" s="558"/>
      <c r="D3" s="558"/>
      <c r="E3" s="558"/>
      <c r="F3" s="558"/>
      <c r="G3" s="558"/>
      <c r="H3" s="558"/>
      <c r="I3" s="558"/>
      <c r="J3" s="558"/>
      <c r="K3" s="212">
        <v>0</v>
      </c>
      <c r="L3" s="228"/>
      <c r="M3" s="212">
        <v>0</v>
      </c>
      <c r="N3" s="94"/>
    </row>
    <row r="4" spans="1:15">
      <c r="A4" s="26">
        <v>1</v>
      </c>
      <c r="B4" s="27" t="s">
        <v>187</v>
      </c>
      <c r="C4" s="17" t="s">
        <v>188</v>
      </c>
      <c r="D4" s="17"/>
      <c r="E4" s="336">
        <v>2890.1738999999998</v>
      </c>
      <c r="F4" s="17">
        <v>103.8</v>
      </c>
      <c r="G4" s="336">
        <f>E4*F4</f>
        <v>300000.05081999995</v>
      </c>
      <c r="H4" s="315"/>
      <c r="I4" s="17"/>
      <c r="J4" s="17"/>
      <c r="K4" s="336">
        <f>G4+J4</f>
        <v>300000.05081999995</v>
      </c>
      <c r="L4" s="336">
        <f>H4+K4</f>
        <v>300000.05081999995</v>
      </c>
      <c r="M4" s="40">
        <f>M3+K4-L4</f>
        <v>0</v>
      </c>
      <c r="N4" s="17"/>
    </row>
    <row r="5" spans="1:15">
      <c r="A5" s="26">
        <v>2</v>
      </c>
      <c r="B5" s="27" t="s">
        <v>189</v>
      </c>
      <c r="C5" s="17" t="s">
        <v>188</v>
      </c>
      <c r="D5" s="17"/>
      <c r="E5" s="525">
        <v>2890.1738999999998</v>
      </c>
      <c r="F5" s="314">
        <v>103.8</v>
      </c>
      <c r="G5" s="336">
        <f>E5*F5</f>
        <v>300000.05081999995</v>
      </c>
      <c r="H5" s="315"/>
      <c r="I5" s="17"/>
      <c r="J5" s="17">
        <f>H5*I5</f>
        <v>0</v>
      </c>
      <c r="K5" s="336">
        <f>G5+J5</f>
        <v>300000.05081999995</v>
      </c>
      <c r="L5" s="336">
        <f>H5+K5</f>
        <v>300000.05081999995</v>
      </c>
      <c r="M5" s="40">
        <f>M4+K5-L5</f>
        <v>0</v>
      </c>
      <c r="N5" s="17"/>
    </row>
    <row r="6" spans="1:15">
      <c r="A6" s="26">
        <v>3</v>
      </c>
      <c r="B6" s="27" t="s">
        <v>190</v>
      </c>
      <c r="C6" s="17" t="s">
        <v>188</v>
      </c>
      <c r="D6" s="17"/>
      <c r="E6" s="17">
        <v>2890.1738999999998</v>
      </c>
      <c r="F6" s="17">
        <v>103.8</v>
      </c>
      <c r="G6" s="17">
        <f>E6*F6</f>
        <v>300000.05081999995</v>
      </c>
      <c r="H6" s="315"/>
      <c r="I6" s="17"/>
      <c r="J6" s="17">
        <f>H6*I6</f>
        <v>0</v>
      </c>
      <c r="K6" s="336">
        <f>G6+J6</f>
        <v>300000.05081999995</v>
      </c>
      <c r="L6" s="336">
        <f t="shared" ref="L6:L22" si="0">H6+K6</f>
        <v>300000.05081999995</v>
      </c>
      <c r="M6" s="40">
        <f>M5+K6-L6</f>
        <v>0</v>
      </c>
      <c r="N6" s="17"/>
    </row>
    <row r="7" spans="1:15">
      <c r="A7" s="26">
        <v>4</v>
      </c>
      <c r="B7" s="27"/>
      <c r="C7" s="17"/>
      <c r="D7" s="17"/>
      <c r="E7" s="17"/>
      <c r="F7" s="17"/>
      <c r="G7" s="17">
        <f>E7*F7</f>
        <v>0</v>
      </c>
      <c r="H7" s="315"/>
      <c r="I7" s="17"/>
      <c r="J7" s="17">
        <f>H7*I7</f>
        <v>0</v>
      </c>
      <c r="K7" s="17">
        <f>G7+J7</f>
        <v>0</v>
      </c>
      <c r="L7" s="17">
        <f t="shared" si="0"/>
        <v>0</v>
      </c>
      <c r="M7" s="40">
        <f>M6+K7-L7</f>
        <v>0</v>
      </c>
      <c r="N7" s="17"/>
    </row>
    <row r="8" spans="1:15">
      <c r="A8" s="26">
        <v>5</v>
      </c>
      <c r="B8" s="27"/>
      <c r="C8" s="17"/>
      <c r="D8" s="17"/>
      <c r="E8" s="17"/>
      <c r="F8" s="17"/>
      <c r="G8" s="40">
        <f>E8*F8</f>
        <v>0</v>
      </c>
      <c r="H8" s="315"/>
      <c r="I8" s="17"/>
      <c r="J8" s="17">
        <f>H8*I8</f>
        <v>0</v>
      </c>
      <c r="K8" s="40">
        <f>G8+J8</f>
        <v>0</v>
      </c>
      <c r="L8" s="17">
        <f t="shared" si="0"/>
        <v>0</v>
      </c>
      <c r="M8" s="40">
        <f>M7+K8-L8</f>
        <v>0</v>
      </c>
      <c r="N8" s="17"/>
    </row>
    <row r="9" spans="1:15">
      <c r="A9" s="26">
        <v>6</v>
      </c>
      <c r="B9" s="27"/>
      <c r="C9" s="17"/>
      <c r="D9" s="17"/>
      <c r="E9" s="17"/>
      <c r="F9" s="17"/>
      <c r="G9" s="40">
        <f>E9*F9</f>
        <v>0</v>
      </c>
      <c r="H9" s="315"/>
      <c r="I9" s="17"/>
      <c r="J9" s="17">
        <f>H9*I9</f>
        <v>0</v>
      </c>
      <c r="K9" s="40">
        <f>G9+J9</f>
        <v>0</v>
      </c>
      <c r="L9" s="17">
        <f t="shared" si="0"/>
        <v>0</v>
      </c>
      <c r="M9" s="40">
        <f>M8+K9-L9</f>
        <v>0</v>
      </c>
      <c r="N9" s="17"/>
    </row>
    <row r="10" spans="1:15">
      <c r="A10" s="26">
        <v>7</v>
      </c>
      <c r="B10" s="27"/>
      <c r="C10" s="17"/>
      <c r="D10" s="17"/>
      <c r="E10" s="17"/>
      <c r="F10" s="17"/>
      <c r="G10" s="40">
        <f>E10*F10</f>
        <v>0</v>
      </c>
      <c r="H10" s="315"/>
      <c r="I10" s="17"/>
      <c r="J10" s="17">
        <f>H10*I10</f>
        <v>0</v>
      </c>
      <c r="K10" s="40">
        <f>G10+J10</f>
        <v>0</v>
      </c>
      <c r="L10" s="17">
        <f t="shared" si="0"/>
        <v>0</v>
      </c>
      <c r="M10" s="40">
        <f>M9+K10-L10</f>
        <v>0</v>
      </c>
      <c r="N10" s="17"/>
    </row>
    <row r="11" spans="1:15">
      <c r="A11" s="26">
        <v>8</v>
      </c>
      <c r="B11" s="27"/>
      <c r="C11" s="17"/>
      <c r="D11" s="17"/>
      <c r="E11" s="17"/>
      <c r="F11" s="17"/>
      <c r="G11" s="40">
        <f>E11*F11</f>
        <v>0</v>
      </c>
      <c r="H11" s="315"/>
      <c r="I11" s="17"/>
      <c r="J11" s="17">
        <f>H11*I11</f>
        <v>0</v>
      </c>
      <c r="K11" s="40">
        <f>G11+J11</f>
        <v>0</v>
      </c>
      <c r="L11" s="17">
        <f t="shared" si="0"/>
        <v>0</v>
      </c>
      <c r="M11" s="40">
        <f>M10+K11-L11</f>
        <v>0</v>
      </c>
      <c r="N11" s="17"/>
    </row>
    <row r="12" spans="1:15">
      <c r="A12" s="26">
        <v>9</v>
      </c>
      <c r="B12" s="27"/>
      <c r="C12" s="17"/>
      <c r="D12" s="17"/>
      <c r="E12" s="17"/>
      <c r="F12" s="17"/>
      <c r="G12" s="40">
        <f>E12*F12</f>
        <v>0</v>
      </c>
      <c r="H12" s="315"/>
      <c r="I12" s="17"/>
      <c r="J12" s="17">
        <f>H12*I12</f>
        <v>0</v>
      </c>
      <c r="K12" s="40">
        <f>G12+J12</f>
        <v>0</v>
      </c>
      <c r="L12" s="17">
        <f t="shared" si="0"/>
        <v>0</v>
      </c>
      <c r="M12" s="40">
        <f>M11+K12-L12</f>
        <v>0</v>
      </c>
      <c r="N12" s="17"/>
    </row>
    <row r="13" spans="1:15">
      <c r="A13" s="26">
        <v>10</v>
      </c>
      <c r="B13" s="27"/>
      <c r="C13" s="17"/>
      <c r="D13" s="17"/>
      <c r="E13" s="17"/>
      <c r="F13" s="17"/>
      <c r="G13" s="40">
        <f>E13*F13</f>
        <v>0</v>
      </c>
      <c r="H13" s="315"/>
      <c r="I13" s="17"/>
      <c r="J13" s="17">
        <f>H13*I13</f>
        <v>0</v>
      </c>
      <c r="K13" s="40">
        <f>G13+J13</f>
        <v>0</v>
      </c>
      <c r="L13" s="17">
        <f t="shared" si="0"/>
        <v>0</v>
      </c>
      <c r="M13" s="40">
        <f>M12+K13-L13</f>
        <v>0</v>
      </c>
      <c r="N13" s="17"/>
    </row>
    <row r="14" spans="1:15">
      <c r="A14" s="26">
        <v>11</v>
      </c>
      <c r="B14" s="27"/>
      <c r="C14" s="17"/>
      <c r="D14" s="17"/>
      <c r="E14" s="17"/>
      <c r="F14" s="17"/>
      <c r="G14" s="40">
        <f>E14*F14</f>
        <v>0</v>
      </c>
      <c r="H14" s="315"/>
      <c r="I14" s="17"/>
      <c r="J14" s="17">
        <f>H14*I14</f>
        <v>0</v>
      </c>
      <c r="K14" s="40">
        <f>G14+J14</f>
        <v>0</v>
      </c>
      <c r="L14" s="17">
        <f t="shared" si="0"/>
        <v>0</v>
      </c>
      <c r="M14" s="40">
        <f>M13+K14-L14</f>
        <v>0</v>
      </c>
      <c r="N14" s="17"/>
    </row>
    <row r="15" spans="1:15">
      <c r="A15" s="26">
        <v>12</v>
      </c>
      <c r="B15" s="27"/>
      <c r="C15" s="17"/>
      <c r="D15" s="17"/>
      <c r="E15" s="17"/>
      <c r="F15" s="17"/>
      <c r="G15" s="40">
        <f>E15*F15</f>
        <v>0</v>
      </c>
      <c r="H15" s="315"/>
      <c r="I15" s="17"/>
      <c r="J15" s="17">
        <f>H15*I15</f>
        <v>0</v>
      </c>
      <c r="K15" s="40">
        <f>G15+J15</f>
        <v>0</v>
      </c>
      <c r="L15" s="17">
        <f t="shared" si="0"/>
        <v>0</v>
      </c>
      <c r="M15" s="40">
        <f>M14+K15-L15</f>
        <v>0</v>
      </c>
      <c r="N15" s="17"/>
      <c r="O15" s="22"/>
    </row>
    <row r="16" spans="1:15">
      <c r="A16" s="26">
        <v>13</v>
      </c>
      <c r="B16" s="27"/>
      <c r="C16" s="17"/>
      <c r="D16" s="17"/>
      <c r="E16" s="17"/>
      <c r="F16" s="17"/>
      <c r="G16" s="40">
        <f>E16*F16</f>
        <v>0</v>
      </c>
      <c r="H16" s="315"/>
      <c r="I16" s="17"/>
      <c r="J16" s="17">
        <f>H16*I16</f>
        <v>0</v>
      </c>
      <c r="K16" s="40">
        <f>G16+J16</f>
        <v>0</v>
      </c>
      <c r="L16" s="17">
        <f t="shared" si="0"/>
        <v>0</v>
      </c>
      <c r="M16" s="40">
        <f>M15+K16-L16</f>
        <v>0</v>
      </c>
      <c r="N16" s="17"/>
    </row>
    <row r="17" spans="1:18">
      <c r="A17" s="26">
        <v>14</v>
      </c>
      <c r="B17" s="27"/>
      <c r="C17" s="17"/>
      <c r="D17" s="17"/>
      <c r="E17" s="17"/>
      <c r="F17" s="17"/>
      <c r="G17" s="40">
        <f>E17*F17</f>
        <v>0</v>
      </c>
      <c r="H17" s="315"/>
      <c r="I17" s="17"/>
      <c r="J17" s="17">
        <f>H17*I17</f>
        <v>0</v>
      </c>
      <c r="K17" s="17">
        <f>G17+J17</f>
        <v>0</v>
      </c>
      <c r="L17" s="17">
        <f t="shared" si="0"/>
        <v>0</v>
      </c>
      <c r="M17" s="40">
        <f>M16+K17-L17</f>
        <v>0</v>
      </c>
      <c r="N17" s="17"/>
      <c r="R17" s="380"/>
    </row>
    <row r="18" spans="1:18">
      <c r="A18" s="26">
        <v>15</v>
      </c>
      <c r="B18" s="27"/>
      <c r="C18" s="17"/>
      <c r="D18" s="17"/>
      <c r="E18" s="17"/>
      <c r="F18" s="17"/>
      <c r="G18" s="40">
        <f>E18*F18</f>
        <v>0</v>
      </c>
      <c r="H18" s="315"/>
      <c r="I18" s="17"/>
      <c r="J18" s="17">
        <f>H18*I18</f>
        <v>0</v>
      </c>
      <c r="K18" s="17">
        <f>G18+J18</f>
        <v>0</v>
      </c>
      <c r="L18" s="17">
        <f t="shared" si="0"/>
        <v>0</v>
      </c>
      <c r="M18" s="40">
        <f>M17+K18-L18</f>
        <v>0</v>
      </c>
      <c r="N18" s="17"/>
      <c r="R18" s="380"/>
    </row>
    <row r="19" spans="1:18">
      <c r="A19" s="26">
        <v>16</v>
      </c>
      <c r="B19" s="27"/>
      <c r="C19" s="17"/>
      <c r="D19" s="17"/>
      <c r="E19" s="17"/>
      <c r="F19" s="17"/>
      <c r="G19" s="40">
        <f>E19*F19</f>
        <v>0</v>
      </c>
      <c r="H19" s="315"/>
      <c r="I19" s="17"/>
      <c r="J19" s="17">
        <f>H19*I19</f>
        <v>0</v>
      </c>
      <c r="K19" s="17">
        <f>G19+J19</f>
        <v>0</v>
      </c>
      <c r="L19" s="17">
        <f t="shared" si="0"/>
        <v>0</v>
      </c>
      <c r="M19" s="40">
        <f>M18+K19-L19</f>
        <v>0</v>
      </c>
      <c r="N19" s="17"/>
      <c r="R19" s="380"/>
    </row>
    <row r="20" spans="1:18">
      <c r="A20" s="26">
        <v>17</v>
      </c>
      <c r="B20" s="27"/>
      <c r="C20" s="17"/>
      <c r="D20" s="17"/>
      <c r="E20" s="17"/>
      <c r="F20" s="17"/>
      <c r="G20" s="40">
        <f>E20*F20</f>
        <v>0</v>
      </c>
      <c r="H20" s="315"/>
      <c r="I20" s="17"/>
      <c r="J20" s="17">
        <f>H20*I20</f>
        <v>0</v>
      </c>
      <c r="K20" s="17">
        <f>G20+J20</f>
        <v>0</v>
      </c>
      <c r="L20" s="17">
        <f t="shared" si="0"/>
        <v>0</v>
      </c>
      <c r="M20" s="40">
        <f>M19+K20-L20</f>
        <v>0</v>
      </c>
      <c r="N20" s="17"/>
      <c r="R20" s="380"/>
    </row>
    <row r="21" spans="1:18">
      <c r="A21" s="26">
        <v>18</v>
      </c>
      <c r="B21" s="27"/>
      <c r="C21" s="17"/>
      <c r="D21" s="17"/>
      <c r="E21" s="17"/>
      <c r="F21" s="17"/>
      <c r="G21" s="40">
        <f>E21*F21</f>
        <v>0</v>
      </c>
      <c r="H21" s="315"/>
      <c r="I21" s="17"/>
      <c r="J21" s="17">
        <f>H21*I21</f>
        <v>0</v>
      </c>
      <c r="K21" s="17">
        <f>G21+J21</f>
        <v>0</v>
      </c>
      <c r="L21" s="17">
        <f t="shared" si="0"/>
        <v>0</v>
      </c>
      <c r="M21" s="40">
        <f>M20+K21-L21</f>
        <v>0</v>
      </c>
      <c r="N21" s="17"/>
    </row>
    <row r="22" spans="1:18">
      <c r="A22" s="26">
        <v>19</v>
      </c>
      <c r="B22" s="27"/>
      <c r="C22" s="17"/>
      <c r="D22" s="17"/>
      <c r="E22" s="17"/>
      <c r="F22" s="17"/>
      <c r="G22" s="336">
        <f>E22*F22</f>
        <v>0</v>
      </c>
      <c r="H22" s="315"/>
      <c r="I22" s="17"/>
      <c r="J22" s="17">
        <f>H22*I22</f>
        <v>0</v>
      </c>
      <c r="K22" s="17">
        <f>G22+J22</f>
        <v>0</v>
      </c>
      <c r="L22" s="17">
        <f t="shared" si="0"/>
        <v>0</v>
      </c>
      <c r="M22" s="40">
        <f>M21+K22-L22</f>
        <v>0</v>
      </c>
      <c r="N22" s="17"/>
    </row>
    <row r="23" spans="1:18">
      <c r="A23" s="26">
        <v>20</v>
      </c>
      <c r="B23" s="27"/>
      <c r="C23" s="17"/>
      <c r="D23" s="17"/>
      <c r="E23" s="17"/>
      <c r="F23" s="17"/>
      <c r="G23" s="336">
        <f>E23*F23</f>
        <v>0</v>
      </c>
      <c r="H23" s="315"/>
      <c r="I23" s="17"/>
      <c r="J23" s="17">
        <f>H23*I23</f>
        <v>0</v>
      </c>
      <c r="K23" s="17">
        <f>G23+J23</f>
        <v>0</v>
      </c>
      <c r="L23" s="17">
        <v>0</v>
      </c>
      <c r="M23" s="40">
        <f>M22+K23-L23</f>
        <v>0</v>
      </c>
      <c r="N23" s="17"/>
    </row>
    <row r="24" spans="1:18">
      <c r="A24" s="26">
        <v>21</v>
      </c>
      <c r="B24" s="27"/>
      <c r="C24" s="17"/>
      <c r="D24" s="17"/>
      <c r="E24" s="17"/>
      <c r="F24" s="17"/>
      <c r="G24" s="336">
        <f>E24*F24</f>
        <v>0</v>
      </c>
      <c r="H24" s="315"/>
      <c r="I24" s="17"/>
      <c r="J24" s="17">
        <f>H24*I24</f>
        <v>0</v>
      </c>
      <c r="K24" s="17">
        <f>G24+J24</f>
        <v>0</v>
      </c>
      <c r="L24" s="336">
        <f>H24+K24</f>
        <v>0</v>
      </c>
      <c r="M24" s="40">
        <f>M23+K24-L24</f>
        <v>0</v>
      </c>
      <c r="N24" s="17"/>
    </row>
    <row r="25" spans="1:18">
      <c r="A25" s="26">
        <v>22</v>
      </c>
      <c r="B25" s="27"/>
      <c r="C25" s="17"/>
      <c r="D25" s="17"/>
      <c r="E25" s="184"/>
      <c r="F25" s="184"/>
      <c r="G25" s="336">
        <f>E25*F25</f>
        <v>0</v>
      </c>
      <c r="H25" s="315"/>
      <c r="I25" s="17"/>
      <c r="J25" s="17">
        <f>H25*I25</f>
        <v>0</v>
      </c>
      <c r="K25" s="17">
        <f>G25+J25</f>
        <v>0</v>
      </c>
      <c r="L25" s="17">
        <f>H25+K25</f>
        <v>0</v>
      </c>
      <c r="M25" s="40">
        <f>M24+K25-L25</f>
        <v>0</v>
      </c>
      <c r="N25" s="17"/>
    </row>
    <row r="26" spans="1:18">
      <c r="A26" s="26">
        <v>23</v>
      </c>
      <c r="B26" s="27"/>
      <c r="C26" s="397"/>
      <c r="D26" s="17"/>
      <c r="E26" s="401"/>
      <c r="F26" s="402"/>
      <c r="G26" s="336">
        <f>E26*F26</f>
        <v>0</v>
      </c>
      <c r="H26" s="315"/>
      <c r="I26" s="17"/>
      <c r="J26" s="17">
        <f>H26*I26</f>
        <v>0</v>
      </c>
      <c r="K26" s="17">
        <f>G26+J26</f>
        <v>0</v>
      </c>
      <c r="L26" s="17">
        <f>H26+K26</f>
        <v>0</v>
      </c>
      <c r="M26" s="40">
        <f>M25+K26-L26</f>
        <v>0</v>
      </c>
      <c r="N26" s="17"/>
    </row>
    <row r="27" spans="1:18">
      <c r="A27" s="26">
        <v>24</v>
      </c>
      <c r="B27" s="27"/>
      <c r="C27" s="397"/>
      <c r="D27" s="17"/>
      <c r="E27" s="401"/>
      <c r="F27" s="402"/>
      <c r="G27" s="336">
        <f>E27*F27</f>
        <v>0</v>
      </c>
      <c r="H27" s="315"/>
      <c r="I27" s="17"/>
      <c r="J27" s="17"/>
      <c r="K27" s="17">
        <f>G27+J27</f>
        <v>0</v>
      </c>
      <c r="L27" s="17">
        <f>H27+K27</f>
        <v>0</v>
      </c>
      <c r="M27" s="40">
        <f>M26+K27-L27</f>
        <v>0</v>
      </c>
      <c r="N27" s="17"/>
    </row>
    <row r="28" spans="1:18">
      <c r="A28" s="26">
        <v>25</v>
      </c>
      <c r="B28" s="27"/>
      <c r="C28" s="397"/>
      <c r="D28" s="17"/>
      <c r="E28" s="401"/>
      <c r="F28" s="402"/>
      <c r="G28" s="336">
        <f>E28*F28</f>
        <v>0</v>
      </c>
      <c r="H28" s="315"/>
      <c r="I28" s="17"/>
      <c r="J28" s="17">
        <f>H28*I28</f>
        <v>0</v>
      </c>
      <c r="K28" s="17">
        <f>G28+J28</f>
        <v>0</v>
      </c>
      <c r="L28" s="17">
        <f>H28+K28</f>
        <v>0</v>
      </c>
      <c r="M28" s="40">
        <f>M26+K28-L28</f>
        <v>0</v>
      </c>
      <c r="N28" s="17"/>
    </row>
    <row r="29" spans="1:18">
      <c r="A29" s="26">
        <v>26</v>
      </c>
      <c r="B29" s="27"/>
      <c r="C29" s="397"/>
      <c r="D29" s="17"/>
      <c r="E29" s="401"/>
      <c r="F29" s="402"/>
      <c r="G29" s="336">
        <f>E29*F29</f>
        <v>0</v>
      </c>
      <c r="H29" s="315"/>
      <c r="I29" s="17"/>
      <c r="J29" s="17">
        <f>H29*I29</f>
        <v>0</v>
      </c>
      <c r="K29" s="17">
        <f>G29+J29</f>
        <v>0</v>
      </c>
      <c r="L29" s="17">
        <f>H29+K29</f>
        <v>0</v>
      </c>
      <c r="M29" s="40">
        <f>M28+K29-L29</f>
        <v>0</v>
      </c>
      <c r="N29" s="17"/>
    </row>
    <row r="30" spans="1:18">
      <c r="A30" s="26">
        <v>27</v>
      </c>
      <c r="B30" s="27"/>
      <c r="C30" s="397"/>
      <c r="D30" s="17"/>
      <c r="E30" s="401"/>
      <c r="F30" s="402"/>
      <c r="G30" s="336">
        <f>E30*F30</f>
        <v>0</v>
      </c>
      <c r="H30" s="315"/>
      <c r="I30" s="17"/>
      <c r="J30" s="17">
        <f>H30*I30</f>
        <v>0</v>
      </c>
      <c r="K30" s="17">
        <f>G30+J30</f>
        <v>0</v>
      </c>
      <c r="L30" s="17">
        <f t="shared" ref="L30:L37" si="1">H30+K30</f>
        <v>0</v>
      </c>
      <c r="M30" s="40">
        <f>M29+K30-L30</f>
        <v>0</v>
      </c>
      <c r="N30" s="17"/>
    </row>
    <row r="31" spans="1:18">
      <c r="A31" s="26">
        <v>28</v>
      </c>
      <c r="B31" s="27"/>
      <c r="C31" s="397"/>
      <c r="D31" s="17"/>
      <c r="E31" s="184"/>
      <c r="F31" s="184"/>
      <c r="G31" s="336">
        <f>E31*F31</f>
        <v>0</v>
      </c>
      <c r="H31" s="315"/>
      <c r="I31" s="17"/>
      <c r="J31" s="17">
        <f>H31*I31</f>
        <v>0</v>
      </c>
      <c r="K31" s="17">
        <f>G31+J31</f>
        <v>0</v>
      </c>
      <c r="L31" s="17">
        <f t="shared" si="1"/>
        <v>0</v>
      </c>
      <c r="M31" s="40">
        <f>M30+K31-L31</f>
        <v>0</v>
      </c>
      <c r="N31" s="17"/>
    </row>
    <row r="32" spans="1:18">
      <c r="A32" s="26">
        <v>29</v>
      </c>
      <c r="B32" s="27"/>
      <c r="C32" s="397"/>
      <c r="D32" s="17"/>
      <c r="E32" s="184"/>
      <c r="F32" s="184"/>
      <c r="G32" s="336">
        <f>E32*F32</f>
        <v>0</v>
      </c>
      <c r="H32" s="315"/>
      <c r="I32" s="17"/>
      <c r="J32" s="17">
        <f>H32*I32</f>
        <v>0</v>
      </c>
      <c r="K32" s="17">
        <f>G32+J32</f>
        <v>0</v>
      </c>
      <c r="L32" s="17">
        <f t="shared" si="1"/>
        <v>0</v>
      </c>
      <c r="M32" s="40">
        <f>M31+K32-L32</f>
        <v>0</v>
      </c>
      <c r="N32" s="17"/>
    </row>
    <row r="33" spans="1:14">
      <c r="A33" s="26">
        <v>30</v>
      </c>
      <c r="B33" s="27"/>
      <c r="C33" s="17"/>
      <c r="D33" s="17"/>
      <c r="E33" s="184"/>
      <c r="F33" s="184"/>
      <c r="G33" s="336">
        <f>E33*F33</f>
        <v>0</v>
      </c>
      <c r="H33" s="315"/>
      <c r="I33" s="17"/>
      <c r="J33" s="17">
        <f>H33*I33</f>
        <v>0</v>
      </c>
      <c r="K33" s="17">
        <f>G33+J33</f>
        <v>0</v>
      </c>
      <c r="L33" s="17">
        <f t="shared" si="1"/>
        <v>0</v>
      </c>
      <c r="M33" s="40">
        <f>M32+K33-L33</f>
        <v>0</v>
      </c>
      <c r="N33" s="17"/>
    </row>
    <row r="34" spans="1:14">
      <c r="A34" s="26">
        <v>31</v>
      </c>
      <c r="B34" s="27"/>
      <c r="C34" s="17"/>
      <c r="D34" s="17"/>
      <c r="E34" s="184"/>
      <c r="F34" s="184"/>
      <c r="G34" s="336">
        <f>E34*F34</f>
        <v>0</v>
      </c>
      <c r="H34" s="315"/>
      <c r="I34" s="17"/>
      <c r="J34" s="17">
        <f>H34*I34</f>
        <v>0</v>
      </c>
      <c r="K34" s="17">
        <f>G34+J34</f>
        <v>0</v>
      </c>
      <c r="L34" s="17">
        <f t="shared" si="1"/>
        <v>0</v>
      </c>
      <c r="M34" s="40">
        <f>M33+K34-L34</f>
        <v>0</v>
      </c>
      <c r="N34" s="17"/>
    </row>
    <row r="35" spans="1:14">
      <c r="A35" s="26">
        <v>32</v>
      </c>
      <c r="B35" s="27"/>
      <c r="C35" s="17"/>
      <c r="D35" s="17"/>
      <c r="E35" s="184"/>
      <c r="F35" s="184"/>
      <c r="G35" s="336">
        <f>E35*F35</f>
        <v>0</v>
      </c>
      <c r="H35" s="315"/>
      <c r="I35" s="17"/>
      <c r="J35" s="17"/>
      <c r="K35" s="17">
        <f>G35+J35</f>
        <v>0</v>
      </c>
      <c r="L35" s="17">
        <f t="shared" si="1"/>
        <v>0</v>
      </c>
      <c r="M35" s="40">
        <f>M34+K35-L35</f>
        <v>0</v>
      </c>
      <c r="N35" s="17"/>
    </row>
    <row r="36" spans="1:14">
      <c r="A36" s="26">
        <v>33</v>
      </c>
      <c r="B36" s="27"/>
      <c r="C36" s="17"/>
      <c r="D36" s="17"/>
      <c r="E36" s="184"/>
      <c r="F36" s="184"/>
      <c r="G36" s="336">
        <f>E36*F36</f>
        <v>0</v>
      </c>
      <c r="H36" s="315"/>
      <c r="I36" s="17"/>
      <c r="J36" s="17">
        <f>H36*I36</f>
        <v>0</v>
      </c>
      <c r="K36" s="17">
        <f>G36+J36</f>
        <v>0</v>
      </c>
      <c r="L36" s="17">
        <f t="shared" si="1"/>
        <v>0</v>
      </c>
      <c r="M36" s="40">
        <f>M35+K36-L36</f>
        <v>0</v>
      </c>
      <c r="N36" s="17"/>
    </row>
    <row r="37" spans="1:14">
      <c r="A37" s="26">
        <v>34</v>
      </c>
      <c r="B37" s="27"/>
      <c r="C37" s="17"/>
      <c r="D37" s="17"/>
      <c r="E37" s="17"/>
      <c r="F37" s="17"/>
      <c r="G37" s="336">
        <f>E37*F37</f>
        <v>0</v>
      </c>
      <c r="H37" s="315"/>
      <c r="I37" s="17"/>
      <c r="J37" s="17">
        <f>H37*I37</f>
        <v>0</v>
      </c>
      <c r="K37" s="17">
        <f>G37+J37</f>
        <v>0</v>
      </c>
      <c r="L37" s="17">
        <f t="shared" si="1"/>
        <v>0</v>
      </c>
      <c r="M37" s="40">
        <f t="shared" ref="M37:M41" si="2">M36+K37-L37</f>
        <v>0</v>
      </c>
      <c r="N37" s="17"/>
    </row>
    <row r="38" spans="1:14">
      <c r="A38" s="26"/>
      <c r="B38" s="27"/>
      <c r="C38" s="17"/>
      <c r="D38" s="17"/>
      <c r="E38" s="17"/>
      <c r="F38" s="17"/>
      <c r="G38" s="336">
        <f t="shared" ref="G38:G40" si="3">E38*F38</f>
        <v>0</v>
      </c>
      <c r="H38" s="315"/>
      <c r="I38" s="17"/>
      <c r="J38" s="17"/>
      <c r="K38" s="17">
        <f t="shared" ref="K38:K40" si="4">G38+J38</f>
        <v>0</v>
      </c>
      <c r="L38" s="17">
        <f t="shared" ref="L37:L40" si="5">H38+K38</f>
        <v>0</v>
      </c>
      <c r="M38" s="40">
        <f t="shared" si="2"/>
        <v>0</v>
      </c>
      <c r="N38" s="17"/>
    </row>
    <row r="39" spans="1:14">
      <c r="A39" s="26"/>
      <c r="B39" s="27"/>
      <c r="C39" s="17"/>
      <c r="D39" s="17"/>
      <c r="E39" s="17"/>
      <c r="F39" s="17"/>
      <c r="G39" s="336">
        <f t="shared" si="3"/>
        <v>0</v>
      </c>
      <c r="H39" s="315"/>
      <c r="I39" s="17"/>
      <c r="J39" s="17"/>
      <c r="K39" s="17">
        <f t="shared" si="4"/>
        <v>0</v>
      </c>
      <c r="L39" s="17">
        <f t="shared" si="5"/>
        <v>0</v>
      </c>
      <c r="M39" s="40">
        <f t="shared" si="2"/>
        <v>0</v>
      </c>
      <c r="N39" s="17"/>
    </row>
    <row r="40" spans="1:14">
      <c r="A40" s="26"/>
      <c r="B40" s="27"/>
      <c r="C40" s="17"/>
      <c r="D40" s="17"/>
      <c r="E40" s="17"/>
      <c r="F40" s="17"/>
      <c r="G40" s="336">
        <f t="shared" si="3"/>
        <v>0</v>
      </c>
      <c r="H40" s="315"/>
      <c r="I40" s="17"/>
      <c r="J40" s="17"/>
      <c r="K40" s="17">
        <f t="shared" si="4"/>
        <v>0</v>
      </c>
      <c r="L40" s="17">
        <f t="shared" si="5"/>
        <v>0</v>
      </c>
      <c r="M40" s="40">
        <f t="shared" si="2"/>
        <v>0</v>
      </c>
      <c r="N40" s="17"/>
    </row>
    <row r="41" spans="1:14">
      <c r="A41" s="26"/>
      <c r="B41" s="27"/>
      <c r="C41" s="17"/>
      <c r="D41" s="17"/>
      <c r="E41" s="17"/>
      <c r="F41" s="17"/>
      <c r="G41" s="336"/>
      <c r="H41" s="315"/>
      <c r="I41" s="17"/>
      <c r="J41" s="17"/>
      <c r="K41" s="17"/>
      <c r="L41" s="17"/>
      <c r="M41" s="40">
        <f t="shared" si="2"/>
        <v>0</v>
      </c>
      <c r="N41" s="17"/>
    </row>
    <row r="42" spans="1:14">
      <c r="A42" s="26"/>
      <c r="B42" s="27"/>
      <c r="C42" s="17"/>
      <c r="D42" s="17"/>
      <c r="E42" s="17"/>
      <c r="F42" s="17"/>
      <c r="G42" s="336"/>
      <c r="H42" s="315"/>
      <c r="I42" s="17"/>
      <c r="J42" s="17"/>
      <c r="K42" s="17"/>
      <c r="L42" s="17"/>
      <c r="M42" s="17"/>
      <c r="N42" s="17"/>
    </row>
    <row r="43" spans="1:14">
      <c r="A43" s="26"/>
      <c r="B43" s="27"/>
      <c r="C43" s="17"/>
      <c r="D43" s="17"/>
      <c r="E43" s="17"/>
      <c r="F43" s="17"/>
      <c r="G43" s="336"/>
      <c r="H43" s="315"/>
      <c r="I43" s="17"/>
      <c r="J43" s="17"/>
      <c r="K43" s="17"/>
      <c r="L43" s="17"/>
      <c r="M43" s="17"/>
      <c r="N43" s="17"/>
    </row>
    <row r="44" spans="1:14">
      <c r="A44" s="26"/>
      <c r="B44" s="27"/>
      <c r="C44" s="17"/>
      <c r="D44" s="17"/>
      <c r="E44" s="17"/>
      <c r="F44" s="17"/>
      <c r="G44" s="336"/>
      <c r="H44" s="315"/>
      <c r="I44" s="17"/>
      <c r="J44" s="17"/>
      <c r="K44" s="17"/>
      <c r="L44" s="17"/>
      <c r="M44" s="17"/>
      <c r="N44" s="17"/>
    </row>
    <row r="45" spans="1:14">
      <c r="A45" s="26">
        <v>35</v>
      </c>
      <c r="B45" s="27"/>
      <c r="C45" s="17"/>
      <c r="D45" s="17"/>
      <c r="E45" s="17"/>
      <c r="F45" s="17"/>
      <c r="G45" s="336">
        <f>E45*F45</f>
        <v>0</v>
      </c>
      <c r="H45" s="315"/>
      <c r="I45" s="17"/>
      <c r="J45" s="17">
        <f>H45*I45</f>
        <v>0</v>
      </c>
      <c r="K45" s="17">
        <f>G45+J45</f>
        <v>0</v>
      </c>
      <c r="L45" s="17"/>
      <c r="M45" s="17"/>
      <c r="N45" s="17"/>
    </row>
    <row r="46" spans="1:14">
      <c r="A46" s="42"/>
      <c r="B46" s="42"/>
      <c r="C46" s="42"/>
      <c r="D46" s="42"/>
      <c r="E46" s="229">
        <f>SUM(E3:E45)</f>
        <v>8670.5216999999993</v>
      </c>
      <c r="F46" s="229"/>
      <c r="G46" s="229">
        <f>SUM(G3:G45)</f>
        <v>900000.15245999978</v>
      </c>
      <c r="H46" s="229">
        <f>SUM(H3:H45)</f>
        <v>0</v>
      </c>
      <c r="I46" s="229"/>
      <c r="J46" s="229">
        <f>SUM(J3:J45)</f>
        <v>0</v>
      </c>
      <c r="K46" s="229">
        <f>SUM(K4:K45)</f>
        <v>900000.15245999978</v>
      </c>
      <c r="L46" s="229">
        <f>SUM(L3:L45)</f>
        <v>900000.15245999978</v>
      </c>
      <c r="M46" s="229"/>
      <c r="N46" s="229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AB8-1190-4CA3-8E20-1BC2619602FD}">
  <dimension ref="A1:S44"/>
  <sheetViews>
    <sheetView topLeftCell="A7" workbookViewId="0">
      <selection activeCell="J25" sqref="J25"/>
    </sheetView>
  </sheetViews>
  <sheetFormatPr defaultRowHeight="15"/>
  <cols>
    <col min="2" max="2" width="10.42578125" bestFit="1" customWidth="1"/>
    <col min="3" max="3" width="12.140625" customWidth="1"/>
    <col min="4" max="4" width="15.140625" customWidth="1"/>
    <col min="5" max="5" width="10.85546875" customWidth="1"/>
    <col min="7" max="7" width="13.7109375" bestFit="1" customWidth="1"/>
    <col min="11" max="12" width="13.5703125" bestFit="1" customWidth="1"/>
    <col min="13" max="13" width="13.140625" bestFit="1" customWidth="1"/>
    <col min="14" max="14" width="8.42578125" bestFit="1" customWidth="1"/>
  </cols>
  <sheetData>
    <row r="1" spans="1:19" ht="15.75">
      <c r="A1" s="546" t="s">
        <v>71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82"/>
    </row>
    <row r="2" spans="1:19" ht="30.75">
      <c r="A2" s="98" t="s">
        <v>0</v>
      </c>
      <c r="B2" s="99" t="s">
        <v>167</v>
      </c>
      <c r="C2" s="99" t="s">
        <v>168</v>
      </c>
      <c r="D2" s="99" t="s">
        <v>191</v>
      </c>
      <c r="E2" s="256" t="s">
        <v>170</v>
      </c>
      <c r="F2" s="256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139" t="s">
        <v>175</v>
      </c>
      <c r="M2" s="143" t="s">
        <v>192</v>
      </c>
      <c r="N2" s="101" t="s">
        <v>177</v>
      </c>
      <c r="O2" s="59"/>
    </row>
    <row r="3" spans="1:19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8">
        <v>1313281.7</v>
      </c>
      <c r="N3" s="156"/>
      <c r="O3" s="59"/>
    </row>
    <row r="4" spans="1:19">
      <c r="A4" s="196">
        <v>1</v>
      </c>
      <c r="B4" s="219">
        <v>46174</v>
      </c>
      <c r="C4" s="67"/>
      <c r="D4" s="159"/>
      <c r="E4" s="257"/>
      <c r="F4" s="257"/>
      <c r="G4" s="8">
        <f t="shared" ref="G4:G34" si="0">E4*F4</f>
        <v>0</v>
      </c>
      <c r="H4" s="65"/>
      <c r="I4" s="66"/>
      <c r="J4" s="8">
        <f>H4*I4</f>
        <v>0</v>
      </c>
      <c r="K4" s="8">
        <f>G4+J4</f>
        <v>0</v>
      </c>
      <c r="L4" s="68">
        <v>0</v>
      </c>
      <c r="M4" s="68">
        <f>+M3+K4-L4</f>
        <v>1313281.7</v>
      </c>
      <c r="N4" s="8"/>
    </row>
    <row r="5" spans="1:19">
      <c r="A5" s="46">
        <v>2</v>
      </c>
      <c r="B5" s="219">
        <v>46175</v>
      </c>
      <c r="C5" s="67"/>
      <c r="D5" s="159"/>
      <c r="E5" s="257"/>
      <c r="F5" s="257"/>
      <c r="G5" s="8">
        <f t="shared" ref="G5:G33" si="1">E5*F5</f>
        <v>0</v>
      </c>
      <c r="H5" s="65"/>
      <c r="I5" s="66"/>
      <c r="J5" s="8">
        <f t="shared" ref="J5:J33" si="2">H5*I5</f>
        <v>0</v>
      </c>
      <c r="K5" s="8">
        <f t="shared" ref="K5:K33" si="3">G5+J5</f>
        <v>0</v>
      </c>
      <c r="L5" s="68">
        <v>0</v>
      </c>
      <c r="M5" s="68">
        <f t="shared" ref="M5:M34" si="4">+M4+K5-L5</f>
        <v>1313281.7</v>
      </c>
      <c r="N5" s="8"/>
    </row>
    <row r="6" spans="1:19">
      <c r="A6" s="46">
        <v>3</v>
      </c>
      <c r="B6" s="219">
        <v>46176</v>
      </c>
      <c r="C6" s="67"/>
      <c r="D6" s="159"/>
      <c r="E6" s="257"/>
      <c r="F6" s="257"/>
      <c r="G6" s="8">
        <f t="shared" si="1"/>
        <v>0</v>
      </c>
      <c r="H6" s="65"/>
      <c r="I6" s="66"/>
      <c r="J6" s="8">
        <f t="shared" si="2"/>
        <v>0</v>
      </c>
      <c r="K6" s="8">
        <f t="shared" si="3"/>
        <v>0</v>
      </c>
      <c r="L6" s="68">
        <v>0</v>
      </c>
      <c r="M6" s="68">
        <f t="shared" si="4"/>
        <v>1313281.7</v>
      </c>
      <c r="N6" s="8"/>
      <c r="O6">
        <v>8032614</v>
      </c>
      <c r="P6">
        <v>2453209.39</v>
      </c>
      <c r="Q6">
        <f>SUM(O6:P6)</f>
        <v>10485823.390000001</v>
      </c>
    </row>
    <row r="7" spans="1:19">
      <c r="A7" s="46">
        <v>4</v>
      </c>
      <c r="B7" s="219">
        <v>46177</v>
      </c>
      <c r="C7" s="67"/>
      <c r="D7" s="159"/>
      <c r="E7" s="257"/>
      <c r="F7" s="257"/>
      <c r="G7" s="8">
        <f t="shared" si="1"/>
        <v>0</v>
      </c>
      <c r="H7" s="65"/>
      <c r="I7" s="66"/>
      <c r="J7" s="8">
        <f t="shared" si="2"/>
        <v>0</v>
      </c>
      <c r="K7" s="8">
        <f t="shared" si="3"/>
        <v>0</v>
      </c>
      <c r="L7" s="68">
        <v>0</v>
      </c>
      <c r="M7" s="68">
        <f t="shared" si="4"/>
        <v>1313281.7</v>
      </c>
      <c r="N7" s="8"/>
    </row>
    <row r="8" spans="1:19">
      <c r="A8" s="46">
        <v>5</v>
      </c>
      <c r="B8" s="219">
        <v>46178</v>
      </c>
      <c r="C8" s="67"/>
      <c r="D8" s="159"/>
      <c r="E8" s="257"/>
      <c r="F8" s="257"/>
      <c r="G8" s="8">
        <f t="shared" si="1"/>
        <v>0</v>
      </c>
      <c r="H8" s="65"/>
      <c r="I8" s="66"/>
      <c r="J8" s="8">
        <f t="shared" si="2"/>
        <v>0</v>
      </c>
      <c r="K8" s="8">
        <f t="shared" si="3"/>
        <v>0</v>
      </c>
      <c r="L8" s="68">
        <v>0</v>
      </c>
      <c r="M8" s="68">
        <f t="shared" si="4"/>
        <v>1313281.7</v>
      </c>
      <c r="N8" s="8"/>
      <c r="O8" s="69"/>
      <c r="R8" s="225"/>
    </row>
    <row r="9" spans="1:19">
      <c r="A9" s="46">
        <v>6</v>
      </c>
      <c r="B9" s="219">
        <v>46179</v>
      </c>
      <c r="C9" s="67"/>
      <c r="D9" s="159"/>
      <c r="E9" s="257"/>
      <c r="F9" s="257"/>
      <c r="G9" s="8">
        <f t="shared" si="1"/>
        <v>0</v>
      </c>
      <c r="H9" s="65"/>
      <c r="I9" s="66"/>
      <c r="J9" s="8">
        <f t="shared" si="2"/>
        <v>0</v>
      </c>
      <c r="K9" s="8">
        <f t="shared" si="3"/>
        <v>0</v>
      </c>
      <c r="L9" s="68">
        <v>0</v>
      </c>
      <c r="M9" s="68">
        <f t="shared" si="4"/>
        <v>1313281.7</v>
      </c>
      <c r="N9" s="8"/>
      <c r="O9" s="69"/>
    </row>
    <row r="10" spans="1:19">
      <c r="A10" s="46">
        <v>7</v>
      </c>
      <c r="B10" s="219">
        <v>46180</v>
      </c>
      <c r="C10" s="67"/>
      <c r="D10" s="159"/>
      <c r="E10" s="257"/>
      <c r="F10" s="257"/>
      <c r="G10" s="8">
        <f t="shared" si="1"/>
        <v>0</v>
      </c>
      <c r="H10" s="65"/>
      <c r="I10" s="66"/>
      <c r="J10" s="8">
        <f t="shared" si="2"/>
        <v>0</v>
      </c>
      <c r="K10" s="8">
        <f t="shared" si="3"/>
        <v>0</v>
      </c>
      <c r="L10" s="68">
        <v>0</v>
      </c>
      <c r="M10" s="68">
        <f t="shared" si="4"/>
        <v>1313281.7</v>
      </c>
      <c r="N10" s="8"/>
      <c r="O10" s="69"/>
      <c r="R10">
        <v>700</v>
      </c>
    </row>
    <row r="11" spans="1:19">
      <c r="A11" s="46">
        <v>8</v>
      </c>
      <c r="B11" s="219">
        <v>46181</v>
      </c>
      <c r="C11" s="67"/>
      <c r="D11" s="159"/>
      <c r="E11" s="257"/>
      <c r="F11" s="257"/>
      <c r="G11" s="8">
        <f t="shared" si="1"/>
        <v>0</v>
      </c>
      <c r="H11" s="65"/>
      <c r="I11" s="66"/>
      <c r="J11" s="8">
        <f t="shared" si="2"/>
        <v>0</v>
      </c>
      <c r="K11" s="8">
        <f t="shared" si="3"/>
        <v>0</v>
      </c>
      <c r="L11" s="68">
        <v>0</v>
      </c>
      <c r="M11" s="68">
        <f t="shared" si="4"/>
        <v>1313281.7</v>
      </c>
      <c r="N11" s="8"/>
      <c r="O11" s="69"/>
      <c r="S11">
        <v>5000</v>
      </c>
    </row>
    <row r="12" spans="1:19">
      <c r="A12" s="46">
        <v>9</v>
      </c>
      <c r="B12" s="219">
        <v>46182</v>
      </c>
      <c r="C12" s="67"/>
      <c r="D12" s="159"/>
      <c r="E12" s="257"/>
      <c r="F12" s="257"/>
      <c r="G12" s="8">
        <f t="shared" si="1"/>
        <v>0</v>
      </c>
      <c r="H12" s="65"/>
      <c r="I12" s="66"/>
      <c r="J12" s="8">
        <f t="shared" si="2"/>
        <v>0</v>
      </c>
      <c r="K12" s="8">
        <f t="shared" si="3"/>
        <v>0</v>
      </c>
      <c r="L12" s="68">
        <v>1313281</v>
      </c>
      <c r="M12" s="68">
        <f t="shared" si="4"/>
        <v>0.69999999995343387</v>
      </c>
      <c r="N12" s="8"/>
      <c r="O12" s="69"/>
      <c r="S12">
        <v>1500</v>
      </c>
    </row>
    <row r="13" spans="1:19">
      <c r="A13" s="46">
        <v>10</v>
      </c>
      <c r="B13" s="219">
        <v>46183</v>
      </c>
      <c r="C13" s="67"/>
      <c r="D13" s="159"/>
      <c r="E13" s="257"/>
      <c r="F13" s="257"/>
      <c r="G13" s="8">
        <f t="shared" si="1"/>
        <v>0</v>
      </c>
      <c r="H13" s="65"/>
      <c r="I13" s="66"/>
      <c r="J13" s="8">
        <f t="shared" si="2"/>
        <v>0</v>
      </c>
      <c r="K13" s="8">
        <f t="shared" si="3"/>
        <v>0</v>
      </c>
      <c r="L13" s="68">
        <v>0</v>
      </c>
      <c r="M13" s="68">
        <f t="shared" si="4"/>
        <v>0.69999999995343387</v>
      </c>
      <c r="N13" s="8"/>
      <c r="O13" s="69"/>
      <c r="S13">
        <v>500</v>
      </c>
    </row>
    <row r="14" spans="1:19">
      <c r="A14" s="46">
        <v>11</v>
      </c>
      <c r="B14" s="219">
        <v>46184</v>
      </c>
      <c r="C14" s="67"/>
      <c r="D14" s="159"/>
      <c r="E14" s="257"/>
      <c r="F14" s="257"/>
      <c r="G14" s="8">
        <f t="shared" si="1"/>
        <v>0</v>
      </c>
      <c r="H14" s="65"/>
      <c r="I14" s="66"/>
      <c r="J14" s="8">
        <f t="shared" si="2"/>
        <v>0</v>
      </c>
      <c r="K14" s="8">
        <f t="shared" si="3"/>
        <v>0</v>
      </c>
      <c r="L14" s="68">
        <v>0</v>
      </c>
      <c r="M14" s="68">
        <f t="shared" si="4"/>
        <v>0.69999999995343387</v>
      </c>
      <c r="N14" s="8"/>
      <c r="O14" s="69"/>
    </row>
    <row r="15" spans="1:19">
      <c r="A15" s="46">
        <v>12</v>
      </c>
      <c r="B15" s="219">
        <v>46185</v>
      </c>
      <c r="C15" s="67"/>
      <c r="D15" s="159"/>
      <c r="E15" s="257"/>
      <c r="F15" s="257"/>
      <c r="G15" s="8">
        <f t="shared" si="1"/>
        <v>0</v>
      </c>
      <c r="H15" s="65"/>
      <c r="I15" s="66"/>
      <c r="J15" s="8">
        <f t="shared" si="2"/>
        <v>0</v>
      </c>
      <c r="K15" s="8">
        <f t="shared" si="3"/>
        <v>0</v>
      </c>
      <c r="L15" s="68">
        <v>0</v>
      </c>
      <c r="M15" s="68">
        <f t="shared" si="4"/>
        <v>0.69999999995343387</v>
      </c>
      <c r="N15" s="8"/>
      <c r="O15" s="69"/>
    </row>
    <row r="16" spans="1:19">
      <c r="A16" s="46">
        <v>13</v>
      </c>
      <c r="B16" s="219">
        <v>46186</v>
      </c>
      <c r="C16" s="67"/>
      <c r="D16" s="159"/>
      <c r="E16" s="257"/>
      <c r="F16" s="257"/>
      <c r="G16" s="8">
        <f t="shared" si="1"/>
        <v>0</v>
      </c>
      <c r="H16" s="65"/>
      <c r="I16" s="66"/>
      <c r="J16" s="8">
        <f t="shared" si="2"/>
        <v>0</v>
      </c>
      <c r="K16" s="8">
        <f t="shared" si="3"/>
        <v>0</v>
      </c>
      <c r="L16" s="68">
        <v>0</v>
      </c>
      <c r="M16" s="68">
        <f t="shared" si="4"/>
        <v>0.69999999995343387</v>
      </c>
      <c r="N16" s="8"/>
      <c r="O16" s="69"/>
    </row>
    <row r="17" spans="1:17">
      <c r="A17" s="46">
        <v>14</v>
      </c>
      <c r="B17" s="219">
        <v>46187</v>
      </c>
      <c r="C17" s="67"/>
      <c r="D17" s="159"/>
      <c r="E17" s="257"/>
      <c r="F17" s="257"/>
      <c r="G17" s="8">
        <f t="shared" si="1"/>
        <v>0</v>
      </c>
      <c r="H17" s="65"/>
      <c r="I17" s="66"/>
      <c r="J17" s="8">
        <f t="shared" si="2"/>
        <v>0</v>
      </c>
      <c r="K17" s="8">
        <f t="shared" si="3"/>
        <v>0</v>
      </c>
      <c r="L17" s="68">
        <v>0</v>
      </c>
      <c r="M17" s="68">
        <f t="shared" si="4"/>
        <v>0.69999999995343387</v>
      </c>
      <c r="N17" s="8"/>
      <c r="O17" s="69"/>
    </row>
    <row r="18" spans="1:17">
      <c r="A18" s="46">
        <v>15</v>
      </c>
      <c r="B18" s="219">
        <v>46188</v>
      </c>
      <c r="C18" s="67"/>
      <c r="D18" s="159"/>
      <c r="E18" s="257"/>
      <c r="F18" s="257"/>
      <c r="G18" s="8">
        <f t="shared" si="1"/>
        <v>0</v>
      </c>
      <c r="H18" s="65"/>
      <c r="I18" s="66"/>
      <c r="J18" s="8">
        <f t="shared" si="2"/>
        <v>0</v>
      </c>
      <c r="K18" s="8">
        <f t="shared" si="3"/>
        <v>0</v>
      </c>
      <c r="L18" s="68">
        <v>0</v>
      </c>
      <c r="M18" s="68">
        <f t="shared" si="4"/>
        <v>0.69999999995343387</v>
      </c>
      <c r="N18" s="182"/>
      <c r="O18" s="69"/>
    </row>
    <row r="19" spans="1:17">
      <c r="A19" s="46">
        <v>16</v>
      </c>
      <c r="B19" s="219">
        <v>46189</v>
      </c>
      <c r="C19" s="67"/>
      <c r="D19" s="159"/>
      <c r="E19" s="257"/>
      <c r="F19" s="257"/>
      <c r="G19" s="8">
        <f t="shared" si="1"/>
        <v>0</v>
      </c>
      <c r="H19" s="65"/>
      <c r="I19" s="66"/>
      <c r="J19" s="8">
        <f t="shared" si="2"/>
        <v>0</v>
      </c>
      <c r="K19" s="8">
        <f t="shared" si="3"/>
        <v>0</v>
      </c>
      <c r="L19" s="68">
        <v>0</v>
      </c>
      <c r="M19" s="68">
        <f t="shared" si="4"/>
        <v>0.69999999995343387</v>
      </c>
      <c r="N19" s="279"/>
      <c r="O19" s="69"/>
    </row>
    <row r="20" spans="1:17">
      <c r="A20" s="46">
        <v>17</v>
      </c>
      <c r="B20" s="219">
        <v>46190</v>
      </c>
      <c r="C20" s="67"/>
      <c r="D20" s="159"/>
      <c r="E20" s="257"/>
      <c r="F20" s="257"/>
      <c r="G20" s="8">
        <f t="shared" si="1"/>
        <v>0</v>
      </c>
      <c r="H20" s="65"/>
      <c r="I20" s="66"/>
      <c r="J20" s="8">
        <f t="shared" si="2"/>
        <v>0</v>
      </c>
      <c r="K20" s="8">
        <f t="shared" si="3"/>
        <v>0</v>
      </c>
      <c r="L20" s="68">
        <v>0</v>
      </c>
      <c r="M20" s="68">
        <f t="shared" si="4"/>
        <v>0.69999999995343387</v>
      </c>
      <c r="N20" s="19"/>
      <c r="O20" s="69"/>
    </row>
    <row r="21" spans="1:17">
      <c r="A21" s="46">
        <v>18</v>
      </c>
      <c r="B21" s="219">
        <v>46191</v>
      </c>
      <c r="C21" s="67"/>
      <c r="D21" s="159"/>
      <c r="E21" s="257"/>
      <c r="F21" s="257"/>
      <c r="G21" s="8"/>
      <c r="H21" s="65"/>
      <c r="I21" s="66"/>
      <c r="J21" s="8">
        <f t="shared" si="2"/>
        <v>0</v>
      </c>
      <c r="K21" s="8">
        <f t="shared" si="3"/>
        <v>0</v>
      </c>
      <c r="L21" s="68">
        <v>0</v>
      </c>
      <c r="M21" s="68">
        <f t="shared" si="4"/>
        <v>0.69999999995343387</v>
      </c>
      <c r="N21" s="8"/>
      <c r="O21" s="69"/>
    </row>
    <row r="22" spans="1:17">
      <c r="A22" s="46">
        <v>19</v>
      </c>
      <c r="B22" s="219">
        <v>46192</v>
      </c>
      <c r="C22" s="67"/>
      <c r="D22" s="159"/>
      <c r="E22" s="257"/>
      <c r="F22" s="257"/>
      <c r="G22" s="8"/>
      <c r="H22" s="65"/>
      <c r="I22" s="66"/>
      <c r="J22" s="8">
        <f t="shared" si="2"/>
        <v>0</v>
      </c>
      <c r="K22" s="8">
        <f t="shared" si="3"/>
        <v>0</v>
      </c>
      <c r="L22" s="68">
        <v>0</v>
      </c>
      <c r="M22" s="68">
        <f t="shared" si="4"/>
        <v>0.69999999995343387</v>
      </c>
      <c r="N22" s="8"/>
      <c r="O22" s="69"/>
      <c r="Q22" s="22"/>
    </row>
    <row r="23" spans="1:17">
      <c r="A23" s="46">
        <v>20</v>
      </c>
      <c r="B23" s="219">
        <v>46193</v>
      </c>
      <c r="C23" s="67"/>
      <c r="D23" s="159"/>
      <c r="E23" s="257"/>
      <c r="F23" s="257"/>
      <c r="G23" s="8"/>
      <c r="H23" s="65"/>
      <c r="I23" s="66"/>
      <c r="J23" s="8">
        <f t="shared" si="2"/>
        <v>0</v>
      </c>
      <c r="K23" s="8">
        <f t="shared" si="3"/>
        <v>0</v>
      </c>
      <c r="L23" s="68">
        <v>0</v>
      </c>
      <c r="M23" s="68">
        <f t="shared" si="4"/>
        <v>0.69999999995343387</v>
      </c>
      <c r="N23" s="8"/>
      <c r="O23" s="69"/>
    </row>
    <row r="24" spans="1:17">
      <c r="A24" s="46">
        <v>21</v>
      </c>
      <c r="B24" s="219">
        <v>46194</v>
      </c>
      <c r="C24" s="67"/>
      <c r="D24" s="159"/>
      <c r="E24" s="257"/>
      <c r="F24" s="257"/>
      <c r="G24" s="8"/>
      <c r="H24" s="65"/>
      <c r="I24" s="66"/>
      <c r="J24" s="8">
        <f t="shared" si="2"/>
        <v>0</v>
      </c>
      <c r="K24" s="8">
        <f t="shared" si="3"/>
        <v>0</v>
      </c>
      <c r="L24" s="68">
        <v>0</v>
      </c>
      <c r="M24" s="68">
        <f t="shared" si="4"/>
        <v>0.69999999995343387</v>
      </c>
      <c r="N24" s="8"/>
      <c r="O24" s="69"/>
    </row>
    <row r="25" spans="1:17">
      <c r="A25" s="46">
        <v>22</v>
      </c>
      <c r="B25" s="219">
        <v>46195</v>
      </c>
      <c r="C25" s="67"/>
      <c r="D25" s="159"/>
      <c r="E25" s="257"/>
      <c r="F25" s="257"/>
      <c r="G25" s="8">
        <f t="shared" si="1"/>
        <v>0</v>
      </c>
      <c r="H25" s="65"/>
      <c r="I25" s="66"/>
      <c r="J25" s="8">
        <f t="shared" si="2"/>
        <v>0</v>
      </c>
      <c r="K25" s="8">
        <f t="shared" si="3"/>
        <v>0</v>
      </c>
      <c r="L25" s="68">
        <v>0</v>
      </c>
      <c r="M25" s="68">
        <f t="shared" si="4"/>
        <v>0.69999999995343387</v>
      </c>
      <c r="N25" s="8"/>
      <c r="O25" s="69"/>
    </row>
    <row r="26" spans="1:17">
      <c r="A26" s="46">
        <v>23</v>
      </c>
      <c r="B26" s="219">
        <v>46196</v>
      </c>
      <c r="C26" s="67"/>
      <c r="D26" s="159"/>
      <c r="E26" s="257"/>
      <c r="F26" s="257"/>
      <c r="G26" s="8">
        <f t="shared" si="1"/>
        <v>0</v>
      </c>
      <c r="H26" s="65"/>
      <c r="I26" s="66"/>
      <c r="J26" s="8">
        <f t="shared" si="2"/>
        <v>0</v>
      </c>
      <c r="K26" s="8">
        <f t="shared" si="3"/>
        <v>0</v>
      </c>
      <c r="L26" s="68">
        <v>0</v>
      </c>
      <c r="M26" s="68">
        <f t="shared" si="4"/>
        <v>0.69999999995343387</v>
      </c>
      <c r="N26" s="8"/>
      <c r="O26" s="69"/>
    </row>
    <row r="27" spans="1:17">
      <c r="A27" s="46">
        <v>24</v>
      </c>
      <c r="B27" s="219">
        <v>46197</v>
      </c>
      <c r="C27" s="67"/>
      <c r="D27" s="159"/>
      <c r="E27" s="257"/>
      <c r="F27" s="257"/>
      <c r="G27" s="8">
        <f t="shared" si="1"/>
        <v>0</v>
      </c>
      <c r="H27" s="65"/>
      <c r="I27" s="66"/>
      <c r="J27" s="8">
        <f t="shared" si="2"/>
        <v>0</v>
      </c>
      <c r="K27" s="8">
        <f t="shared" si="3"/>
        <v>0</v>
      </c>
      <c r="L27" s="68">
        <v>0</v>
      </c>
      <c r="M27" s="68">
        <f t="shared" si="4"/>
        <v>0.69999999995343387</v>
      </c>
      <c r="N27" s="8"/>
      <c r="O27" s="69"/>
    </row>
    <row r="28" spans="1:17">
      <c r="A28" s="221">
        <v>25</v>
      </c>
      <c r="B28" s="219">
        <v>46198</v>
      </c>
      <c r="C28" s="67"/>
      <c r="D28" s="159"/>
      <c r="E28" s="257"/>
      <c r="F28" s="257"/>
      <c r="G28" s="8">
        <f t="shared" si="1"/>
        <v>0</v>
      </c>
      <c r="H28" s="65"/>
      <c r="I28" s="66"/>
      <c r="J28" s="8">
        <f t="shared" si="2"/>
        <v>0</v>
      </c>
      <c r="K28" s="8">
        <f t="shared" si="3"/>
        <v>0</v>
      </c>
      <c r="L28" s="68">
        <v>0</v>
      </c>
      <c r="M28" s="68">
        <f t="shared" si="4"/>
        <v>0.69999999995343387</v>
      </c>
      <c r="N28" s="8"/>
      <c r="O28" s="69"/>
    </row>
    <row r="29" spans="1:17">
      <c r="A29" s="221">
        <v>26</v>
      </c>
      <c r="B29" s="219">
        <v>46199</v>
      </c>
      <c r="C29" s="67"/>
      <c r="D29" s="159"/>
      <c r="E29" s="257"/>
      <c r="F29" s="257"/>
      <c r="G29" s="8">
        <f t="shared" si="1"/>
        <v>0</v>
      </c>
      <c r="H29" s="65"/>
      <c r="I29" s="66"/>
      <c r="J29" s="8">
        <f t="shared" si="2"/>
        <v>0</v>
      </c>
      <c r="K29" s="8">
        <f t="shared" si="3"/>
        <v>0</v>
      </c>
      <c r="L29" s="68">
        <v>0</v>
      </c>
      <c r="M29" s="68">
        <f t="shared" si="4"/>
        <v>0.69999999995343387</v>
      </c>
      <c r="N29" s="8"/>
      <c r="O29" s="69"/>
    </row>
    <row r="30" spans="1:17">
      <c r="A30" s="221">
        <v>27</v>
      </c>
      <c r="B30" s="219">
        <v>46200</v>
      </c>
      <c r="C30" s="67"/>
      <c r="D30" s="159"/>
      <c r="E30" s="257"/>
      <c r="F30" s="257"/>
      <c r="G30" s="8">
        <f t="shared" si="1"/>
        <v>0</v>
      </c>
      <c r="H30" s="65"/>
      <c r="I30" s="66"/>
      <c r="J30" s="8">
        <f t="shared" si="2"/>
        <v>0</v>
      </c>
      <c r="K30" s="8">
        <f t="shared" si="3"/>
        <v>0</v>
      </c>
      <c r="L30" s="68">
        <v>0</v>
      </c>
      <c r="M30" s="68">
        <f t="shared" si="4"/>
        <v>0.69999999995343387</v>
      </c>
      <c r="N30" s="8"/>
      <c r="O30" s="69"/>
    </row>
    <row r="31" spans="1:17">
      <c r="A31" s="221">
        <v>28</v>
      </c>
      <c r="B31" s="219">
        <v>46201</v>
      </c>
      <c r="C31" s="67"/>
      <c r="D31" s="159"/>
      <c r="E31" s="257"/>
      <c r="F31" s="257"/>
      <c r="G31" s="8">
        <f t="shared" si="1"/>
        <v>0</v>
      </c>
      <c r="H31" s="65"/>
      <c r="I31" s="66"/>
      <c r="J31" s="8">
        <f t="shared" si="2"/>
        <v>0</v>
      </c>
      <c r="K31" s="8">
        <f t="shared" si="3"/>
        <v>0</v>
      </c>
      <c r="L31" s="68">
        <v>0</v>
      </c>
      <c r="M31" s="68">
        <f t="shared" si="4"/>
        <v>0.69999999995343387</v>
      </c>
      <c r="N31" s="8"/>
      <c r="O31" s="69"/>
    </row>
    <row r="32" spans="1:17">
      <c r="A32" s="222">
        <v>29</v>
      </c>
      <c r="B32" s="219">
        <v>46202</v>
      </c>
      <c r="C32" s="67"/>
      <c r="D32" s="159"/>
      <c r="E32" s="257"/>
      <c r="F32" s="257"/>
      <c r="G32" s="8">
        <f t="shared" si="1"/>
        <v>0</v>
      </c>
      <c r="H32" s="65"/>
      <c r="I32" s="66"/>
      <c r="J32" s="8">
        <f t="shared" si="2"/>
        <v>0</v>
      </c>
      <c r="K32" s="8">
        <f t="shared" si="3"/>
        <v>0</v>
      </c>
      <c r="L32" s="68"/>
      <c r="M32" s="68">
        <f t="shared" si="4"/>
        <v>0.69999999995343387</v>
      </c>
      <c r="N32" s="8"/>
      <c r="O32" s="69"/>
    </row>
    <row r="33" spans="1:15">
      <c r="A33" s="222">
        <v>30</v>
      </c>
      <c r="B33" s="219">
        <v>46203</v>
      </c>
      <c r="C33" s="67"/>
      <c r="D33" s="159"/>
      <c r="E33" s="257"/>
      <c r="F33" s="257"/>
      <c r="G33" s="8">
        <f t="shared" si="1"/>
        <v>0</v>
      </c>
      <c r="H33" s="65"/>
      <c r="I33" s="66"/>
      <c r="J33" s="8">
        <f t="shared" si="2"/>
        <v>0</v>
      </c>
      <c r="K33" s="8">
        <f t="shared" si="3"/>
        <v>0</v>
      </c>
      <c r="L33" s="68"/>
      <c r="M33" s="68">
        <f t="shared" si="4"/>
        <v>0.69999999995343387</v>
      </c>
      <c r="N33" s="8"/>
      <c r="O33" s="69"/>
    </row>
    <row r="34" spans="1:15">
      <c r="A34" s="222">
        <v>31</v>
      </c>
      <c r="B34" s="219"/>
      <c r="C34" s="67"/>
      <c r="D34" s="159"/>
      <c r="E34" s="257"/>
      <c r="F34" s="257"/>
      <c r="G34" s="8">
        <f t="shared" si="0"/>
        <v>0</v>
      </c>
      <c r="H34" s="65">
        <v>0</v>
      </c>
      <c r="I34" s="66">
        <v>0</v>
      </c>
      <c r="J34" s="8">
        <f t="shared" ref="J5:J34" si="5">H34*I34</f>
        <v>0</v>
      </c>
      <c r="K34" s="8">
        <f t="shared" ref="K5:K34" si="6">G34+J34</f>
        <v>0</v>
      </c>
      <c r="L34" s="68">
        <v>0</v>
      </c>
      <c r="M34" s="68">
        <f t="shared" si="4"/>
        <v>0.69999999995343387</v>
      </c>
      <c r="N34" s="8"/>
      <c r="O34" s="69"/>
    </row>
    <row r="35" spans="1:15">
      <c r="A35" s="62"/>
      <c r="B35" s="62"/>
      <c r="C35" s="62"/>
      <c r="D35" s="62"/>
      <c r="E35" s="258">
        <f>SUM(E4:E34)</f>
        <v>0</v>
      </c>
      <c r="F35" s="258"/>
      <c r="G35" s="63">
        <f>SUM(G4:G34)</f>
        <v>0</v>
      </c>
      <c r="H35" s="63">
        <f>SUM(H4:H34)</f>
        <v>0</v>
      </c>
      <c r="I35" s="63"/>
      <c r="J35" s="63">
        <f>SUM(J4:J34)</f>
        <v>0</v>
      </c>
      <c r="K35" s="63">
        <f>SUM(K4:K34)</f>
        <v>0</v>
      </c>
      <c r="L35" s="63">
        <f>SUM(L4:L34)</f>
        <v>1313281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F38" t="s">
        <v>193</v>
      </c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561"/>
      <c r="C43" s="561"/>
      <c r="D43" s="561"/>
      <c r="E43" s="561"/>
      <c r="F43" s="69"/>
      <c r="G43" s="69"/>
      <c r="H43" s="69"/>
      <c r="I43" s="561"/>
      <c r="J43" s="561"/>
      <c r="K43" s="561"/>
      <c r="L43" s="561"/>
      <c r="M43" s="561"/>
      <c r="N43" s="561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topLeftCell="A19" workbookViewId="0">
      <selection activeCell="K42" sqref="K42"/>
    </sheetView>
  </sheetViews>
  <sheetFormatPr defaultRowHeight="15"/>
  <cols>
    <col min="2" max="2" width="10.140625" bestFit="1" customWidth="1"/>
    <col min="7" max="7" width="11.85546875" bestFit="1" customWidth="1"/>
    <col min="10" max="12" width="10.85546875" bestFit="1" customWidth="1"/>
    <col min="13" max="13" width="10.7109375" customWidth="1"/>
  </cols>
  <sheetData>
    <row r="1" spans="1:14" ht="15.75">
      <c r="A1" s="562" t="s">
        <v>76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</row>
    <row r="2" spans="1:14" ht="27">
      <c r="A2" s="103" t="s">
        <v>0</v>
      </c>
      <c r="B2" s="106" t="s">
        <v>167</v>
      </c>
      <c r="C2" s="106" t="s">
        <v>168</v>
      </c>
      <c r="D2" s="106" t="s">
        <v>169</v>
      </c>
      <c r="E2" s="106" t="s">
        <v>170</v>
      </c>
      <c r="F2" s="106" t="s">
        <v>171</v>
      </c>
      <c r="G2" s="106" t="s">
        <v>172</v>
      </c>
      <c r="H2" s="106" t="s">
        <v>173</v>
      </c>
      <c r="I2" s="106" t="s">
        <v>171</v>
      </c>
      <c r="J2" s="106" t="s">
        <v>172</v>
      </c>
      <c r="K2" s="144" t="s">
        <v>174</v>
      </c>
      <c r="L2" s="144" t="s">
        <v>175</v>
      </c>
      <c r="M2" s="144" t="s">
        <v>176</v>
      </c>
      <c r="N2" s="106" t="s">
        <v>177</v>
      </c>
    </row>
    <row r="3" spans="1:14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9"/>
      <c r="K3" s="131"/>
      <c r="L3" s="232"/>
      <c r="M3" s="317">
        <v>15788.080000000011</v>
      </c>
      <c r="N3" s="233"/>
    </row>
    <row r="4" spans="1:14">
      <c r="A4" s="26">
        <v>1</v>
      </c>
      <c r="B4" s="27">
        <v>46174</v>
      </c>
      <c r="C4" s="107"/>
      <c r="D4" s="35"/>
      <c r="E4" s="36"/>
      <c r="F4" s="36"/>
      <c r="G4" s="36">
        <f>E4*F4</f>
        <v>0</v>
      </c>
      <c r="H4" s="323"/>
      <c r="I4" s="323"/>
      <c r="J4" s="36">
        <f>H4*I4</f>
        <v>0</v>
      </c>
      <c r="K4" s="36">
        <f t="shared" ref="K4:K31" si="0">G4+J4</f>
        <v>0</v>
      </c>
      <c r="L4" s="197">
        <v>0</v>
      </c>
      <c r="M4" s="36">
        <f>M3+K4-L4</f>
        <v>15788.080000000011</v>
      </c>
      <c r="N4" s="234"/>
    </row>
    <row r="5" spans="1:14">
      <c r="A5" s="26">
        <v>2</v>
      </c>
      <c r="B5" s="27">
        <v>46175</v>
      </c>
      <c r="C5" s="107"/>
      <c r="D5" s="35"/>
      <c r="E5" s="36">
        <v>0</v>
      </c>
      <c r="F5" s="36">
        <v>0</v>
      </c>
      <c r="G5" s="36">
        <f>E5*F5</f>
        <v>0</v>
      </c>
      <c r="H5" s="36">
        <v>40</v>
      </c>
      <c r="I5" s="36">
        <v>116.33</v>
      </c>
      <c r="J5" s="36">
        <f t="shared" ref="J5:J32" si="1">H5*I5</f>
        <v>4653.2</v>
      </c>
      <c r="K5" s="36">
        <f t="shared" si="0"/>
        <v>4653.2</v>
      </c>
      <c r="L5" s="197">
        <v>0</v>
      </c>
      <c r="M5" s="36">
        <f t="shared" ref="M5:M31" si="2">M4+K5-L5</f>
        <v>20441.28000000001</v>
      </c>
      <c r="N5" s="235"/>
    </row>
    <row r="6" spans="1:14">
      <c r="A6" s="26">
        <v>3</v>
      </c>
      <c r="B6" s="27">
        <v>46176</v>
      </c>
      <c r="C6" s="107"/>
      <c r="D6" s="35"/>
      <c r="E6" s="36"/>
      <c r="F6" s="36"/>
      <c r="G6" s="36">
        <f t="shared" ref="G6:G31" si="3">E6*F6</f>
        <v>0</v>
      </c>
      <c r="H6" s="323"/>
      <c r="I6" s="323"/>
      <c r="J6" s="36">
        <f t="shared" si="1"/>
        <v>0</v>
      </c>
      <c r="K6" s="36">
        <f t="shared" si="0"/>
        <v>0</v>
      </c>
      <c r="L6" s="197">
        <v>0</v>
      </c>
      <c r="M6" s="36">
        <f t="shared" si="2"/>
        <v>20441.28000000001</v>
      </c>
      <c r="N6" s="236"/>
    </row>
    <row r="7" spans="1:14">
      <c r="A7" s="26">
        <v>4</v>
      </c>
      <c r="B7" s="27">
        <v>46177</v>
      </c>
      <c r="C7" s="107"/>
      <c r="D7" s="35"/>
      <c r="E7" s="36"/>
      <c r="F7" s="36"/>
      <c r="G7" s="36">
        <f t="shared" si="3"/>
        <v>0</v>
      </c>
      <c r="H7" s="323"/>
      <c r="I7" s="323"/>
      <c r="J7" s="36">
        <f t="shared" si="1"/>
        <v>0</v>
      </c>
      <c r="K7" s="36">
        <f t="shared" si="0"/>
        <v>0</v>
      </c>
      <c r="L7" s="197">
        <v>0</v>
      </c>
      <c r="M7" s="36">
        <f>M6+K7-L7</f>
        <v>20441.28000000001</v>
      </c>
      <c r="N7" s="198"/>
    </row>
    <row r="8" spans="1:14">
      <c r="A8" s="26">
        <v>5</v>
      </c>
      <c r="B8" s="27">
        <v>46178</v>
      </c>
      <c r="C8" s="34"/>
      <c r="D8" s="35"/>
      <c r="E8" s="36">
        <v>2000</v>
      </c>
      <c r="F8" s="36">
        <v>104.42</v>
      </c>
      <c r="G8" s="36">
        <f t="shared" si="3"/>
        <v>208840</v>
      </c>
      <c r="H8" s="323"/>
      <c r="I8" s="323"/>
      <c r="J8" s="36">
        <f t="shared" si="1"/>
        <v>0</v>
      </c>
      <c r="K8" s="36">
        <f t="shared" si="0"/>
        <v>208840</v>
      </c>
      <c r="L8" s="197">
        <v>0</v>
      </c>
      <c r="M8" s="36">
        <f>M7+K8-L8</f>
        <v>229281.28</v>
      </c>
      <c r="N8" s="198"/>
    </row>
    <row r="9" spans="1:14">
      <c r="A9" s="26">
        <v>6</v>
      </c>
      <c r="B9" s="27">
        <v>46179</v>
      </c>
      <c r="C9" s="34"/>
      <c r="D9" s="35"/>
      <c r="E9" s="36"/>
      <c r="F9" s="36"/>
      <c r="G9" s="36">
        <f t="shared" si="3"/>
        <v>0</v>
      </c>
      <c r="H9" s="323"/>
      <c r="I9" s="323"/>
      <c r="J9" s="36">
        <f t="shared" si="1"/>
        <v>0</v>
      </c>
      <c r="K9" s="36">
        <f t="shared" si="0"/>
        <v>0</v>
      </c>
      <c r="L9" s="197">
        <v>229281</v>
      </c>
      <c r="M9" s="36">
        <f t="shared" si="2"/>
        <v>0.27999999999883585</v>
      </c>
      <c r="N9" s="198"/>
    </row>
    <row r="10" spans="1:14">
      <c r="A10" s="26">
        <v>7</v>
      </c>
      <c r="B10" s="27">
        <v>46180</v>
      </c>
      <c r="C10" s="34"/>
      <c r="D10" s="35"/>
      <c r="E10" s="36"/>
      <c r="F10" s="36"/>
      <c r="G10" s="36">
        <f t="shared" si="3"/>
        <v>0</v>
      </c>
      <c r="H10" s="323"/>
      <c r="I10" s="323"/>
      <c r="J10" s="36">
        <f t="shared" si="1"/>
        <v>0</v>
      </c>
      <c r="K10" s="36">
        <f t="shared" ref="K10:K15" si="4">G10+J10</f>
        <v>0</v>
      </c>
      <c r="L10" s="197">
        <v>0</v>
      </c>
      <c r="M10" s="36">
        <f t="shared" si="2"/>
        <v>0.27999999999883585</v>
      </c>
      <c r="N10" s="198"/>
    </row>
    <row r="11" spans="1:14">
      <c r="A11" s="26">
        <v>8</v>
      </c>
      <c r="B11" s="27">
        <v>46181</v>
      </c>
      <c r="C11" s="34"/>
      <c r="D11" s="35"/>
      <c r="E11" s="36"/>
      <c r="F11" s="36"/>
      <c r="G11" s="36">
        <f t="shared" si="3"/>
        <v>0</v>
      </c>
      <c r="H11" s="323"/>
      <c r="I11" s="323"/>
      <c r="J11" s="36">
        <f t="shared" si="1"/>
        <v>0</v>
      </c>
      <c r="K11" s="36">
        <f t="shared" si="4"/>
        <v>0</v>
      </c>
      <c r="L11" s="197">
        <v>0</v>
      </c>
      <c r="M11" s="36">
        <f t="shared" si="2"/>
        <v>0.27999999999883585</v>
      </c>
      <c r="N11" s="198"/>
    </row>
    <row r="12" spans="1:14">
      <c r="A12" s="26">
        <v>9</v>
      </c>
      <c r="B12" s="27">
        <v>46182</v>
      </c>
      <c r="C12" s="34"/>
      <c r="D12" s="35"/>
      <c r="E12" s="36"/>
      <c r="F12" s="36"/>
      <c r="G12" s="36">
        <f t="shared" si="3"/>
        <v>0</v>
      </c>
      <c r="H12" s="323"/>
      <c r="I12" s="323"/>
      <c r="J12" s="36">
        <f t="shared" si="1"/>
        <v>0</v>
      </c>
      <c r="K12" s="36">
        <f t="shared" si="4"/>
        <v>0</v>
      </c>
      <c r="L12" s="197"/>
      <c r="M12" s="36">
        <f t="shared" si="2"/>
        <v>0.27999999999883585</v>
      </c>
      <c r="N12" s="198"/>
    </row>
    <row r="13" spans="1:14">
      <c r="A13" s="26">
        <v>10</v>
      </c>
      <c r="B13" s="27">
        <v>46183</v>
      </c>
      <c r="C13" s="34"/>
      <c r="D13" s="35"/>
      <c r="E13" s="36"/>
      <c r="F13" s="36"/>
      <c r="G13" s="36">
        <f t="shared" si="3"/>
        <v>0</v>
      </c>
      <c r="H13" s="323"/>
      <c r="I13" s="323"/>
      <c r="J13" s="36">
        <f t="shared" si="1"/>
        <v>0</v>
      </c>
      <c r="K13" s="36">
        <f t="shared" si="4"/>
        <v>0</v>
      </c>
      <c r="L13" s="197"/>
      <c r="M13" s="36">
        <f>M12+K13-L13</f>
        <v>0.27999999999883585</v>
      </c>
      <c r="N13" s="198"/>
    </row>
    <row r="14" spans="1:14">
      <c r="A14" s="26">
        <v>11</v>
      </c>
      <c r="B14" s="27">
        <v>46184</v>
      </c>
      <c r="C14" s="34"/>
      <c r="D14" s="35"/>
      <c r="E14" s="36"/>
      <c r="F14" s="36"/>
      <c r="G14" s="36">
        <f t="shared" si="3"/>
        <v>0</v>
      </c>
      <c r="H14" s="323"/>
      <c r="I14" s="323"/>
      <c r="J14" s="36">
        <f t="shared" si="1"/>
        <v>0</v>
      </c>
      <c r="K14" s="36">
        <f t="shared" si="4"/>
        <v>0</v>
      </c>
      <c r="L14" s="197"/>
      <c r="M14" s="36">
        <f>M13+K14-L14</f>
        <v>0.27999999999883585</v>
      </c>
      <c r="N14" s="198"/>
    </row>
    <row r="15" spans="1:14">
      <c r="A15" s="26">
        <v>12</v>
      </c>
      <c r="B15" s="27">
        <v>46185</v>
      </c>
      <c r="C15" s="34"/>
      <c r="D15" s="35"/>
      <c r="E15" s="36"/>
      <c r="F15" s="36"/>
      <c r="G15" s="36">
        <f t="shared" si="3"/>
        <v>0</v>
      </c>
      <c r="H15" s="323"/>
      <c r="I15" s="323"/>
      <c r="J15" s="36">
        <f t="shared" si="1"/>
        <v>0</v>
      </c>
      <c r="K15" s="36">
        <f>G15+J15</f>
        <v>0</v>
      </c>
      <c r="L15" s="36"/>
      <c r="M15" s="36">
        <f t="shared" si="2"/>
        <v>0.27999999999883585</v>
      </c>
      <c r="N15" s="198"/>
    </row>
    <row r="16" spans="1:14">
      <c r="A16" s="26">
        <v>13</v>
      </c>
      <c r="B16" s="27">
        <v>46186</v>
      </c>
      <c r="C16" s="34"/>
      <c r="D16" s="35"/>
      <c r="E16" s="36"/>
      <c r="F16" s="36"/>
      <c r="G16" s="36">
        <f t="shared" si="3"/>
        <v>0</v>
      </c>
      <c r="H16" s="323"/>
      <c r="I16" s="323"/>
      <c r="J16" s="36">
        <f t="shared" si="1"/>
        <v>0</v>
      </c>
      <c r="K16" s="36">
        <f t="shared" si="0"/>
        <v>0</v>
      </c>
      <c r="L16" s="36"/>
      <c r="M16" s="36">
        <f t="shared" si="2"/>
        <v>0.27999999999883585</v>
      </c>
      <c r="N16" s="198"/>
    </row>
    <row r="17" spans="1:14">
      <c r="A17" s="26">
        <v>14</v>
      </c>
      <c r="B17" s="27">
        <v>46187</v>
      </c>
      <c r="C17" s="34"/>
      <c r="D17" s="35"/>
      <c r="E17" s="36"/>
      <c r="F17" s="36"/>
      <c r="G17" s="36">
        <f t="shared" si="3"/>
        <v>0</v>
      </c>
      <c r="H17" s="323"/>
      <c r="I17" s="323"/>
      <c r="J17" s="36">
        <f t="shared" si="1"/>
        <v>0</v>
      </c>
      <c r="K17" s="36">
        <f t="shared" si="0"/>
        <v>0</v>
      </c>
      <c r="L17" s="197"/>
      <c r="M17" s="36">
        <f t="shared" si="2"/>
        <v>0.27999999999883585</v>
      </c>
      <c r="N17" s="198"/>
    </row>
    <row r="18" spans="1:14">
      <c r="A18" s="26">
        <v>15</v>
      </c>
      <c r="B18" s="27">
        <v>46188</v>
      </c>
      <c r="C18" s="168"/>
      <c r="D18" s="35"/>
      <c r="E18" s="36"/>
      <c r="F18" s="36"/>
      <c r="G18" s="36">
        <f t="shared" si="3"/>
        <v>0</v>
      </c>
      <c r="H18" s="323"/>
      <c r="I18" s="323"/>
      <c r="J18" s="36">
        <f t="shared" si="1"/>
        <v>0</v>
      </c>
      <c r="K18" s="36">
        <f t="shared" si="0"/>
        <v>0</v>
      </c>
      <c r="L18" s="197"/>
      <c r="M18" s="36">
        <f t="shared" si="2"/>
        <v>0.27999999999883585</v>
      </c>
      <c r="N18" s="237"/>
    </row>
    <row r="19" spans="1:14">
      <c r="A19" s="26">
        <v>16</v>
      </c>
      <c r="B19" s="27">
        <v>46189</v>
      </c>
      <c r="C19" s="107"/>
      <c r="D19" s="35"/>
      <c r="E19" s="36"/>
      <c r="F19" s="36"/>
      <c r="G19" s="36">
        <v>0</v>
      </c>
      <c r="H19" s="323"/>
      <c r="I19" s="323"/>
      <c r="J19" s="36">
        <v>0</v>
      </c>
      <c r="K19" s="36">
        <v>0</v>
      </c>
      <c r="L19" s="197"/>
      <c r="M19" s="36">
        <f t="shared" si="2"/>
        <v>0.27999999999883585</v>
      </c>
      <c r="N19" s="237"/>
    </row>
    <row r="20" spans="1:14">
      <c r="A20" s="26">
        <v>17</v>
      </c>
      <c r="B20" s="27">
        <v>46190</v>
      </c>
      <c r="C20" s="180"/>
      <c r="D20" s="35"/>
      <c r="E20" s="36"/>
      <c r="F20" s="36"/>
      <c r="G20" s="36">
        <f t="shared" si="3"/>
        <v>0</v>
      </c>
      <c r="H20" s="323"/>
      <c r="I20" s="323"/>
      <c r="J20" s="36">
        <f t="shared" si="1"/>
        <v>0</v>
      </c>
      <c r="K20" s="36">
        <f t="shared" si="0"/>
        <v>0</v>
      </c>
      <c r="L20" s="197"/>
      <c r="M20" s="36">
        <f t="shared" si="2"/>
        <v>0.27999999999883585</v>
      </c>
      <c r="N20" s="237"/>
    </row>
    <row r="21" spans="1:14">
      <c r="A21" s="26">
        <v>18</v>
      </c>
      <c r="B21" s="27">
        <v>46191</v>
      </c>
      <c r="C21" s="180"/>
      <c r="D21" s="35"/>
      <c r="E21" s="257">
        <v>500</v>
      </c>
      <c r="F21" s="257">
        <v>104.42</v>
      </c>
      <c r="G21" s="8">
        <f t="shared" si="3"/>
        <v>52210</v>
      </c>
      <c r="H21" s="65"/>
      <c r="I21" s="66"/>
      <c r="J21" s="8">
        <f t="shared" si="1"/>
        <v>0</v>
      </c>
      <c r="K21" s="8">
        <f t="shared" si="0"/>
        <v>52210</v>
      </c>
      <c r="L21" s="197"/>
      <c r="M21" s="36">
        <f t="shared" si="2"/>
        <v>52210.28</v>
      </c>
      <c r="N21" s="237"/>
    </row>
    <row r="22" spans="1:14">
      <c r="A22" s="26">
        <v>19</v>
      </c>
      <c r="B22" s="27">
        <v>46192</v>
      </c>
      <c r="C22" s="107"/>
      <c r="D22" s="35"/>
      <c r="E22" s="257"/>
      <c r="F22" s="257"/>
      <c r="G22" s="8">
        <f t="shared" si="3"/>
        <v>0</v>
      </c>
      <c r="H22" s="65"/>
      <c r="I22" s="66"/>
      <c r="J22" s="8">
        <f t="shared" si="1"/>
        <v>0</v>
      </c>
      <c r="K22" s="8">
        <f t="shared" si="0"/>
        <v>0</v>
      </c>
      <c r="L22" s="197">
        <v>0</v>
      </c>
      <c r="M22" s="36">
        <f t="shared" si="2"/>
        <v>52210.28</v>
      </c>
      <c r="N22" s="198"/>
    </row>
    <row r="23" spans="1:14">
      <c r="A23" s="26">
        <v>20</v>
      </c>
      <c r="B23" s="27">
        <v>46193</v>
      </c>
      <c r="C23" s="107"/>
      <c r="D23" s="35"/>
      <c r="E23" s="257"/>
      <c r="F23" s="257"/>
      <c r="G23" s="8">
        <f t="shared" si="3"/>
        <v>0</v>
      </c>
      <c r="H23" s="65"/>
      <c r="I23" s="66"/>
      <c r="J23" s="8">
        <f t="shared" si="1"/>
        <v>0</v>
      </c>
      <c r="K23" s="8">
        <f t="shared" si="0"/>
        <v>0</v>
      </c>
      <c r="L23" s="197">
        <v>0</v>
      </c>
      <c r="M23" s="36">
        <f t="shared" si="2"/>
        <v>52210.28</v>
      </c>
      <c r="N23" s="198"/>
    </row>
    <row r="24" spans="1:14">
      <c r="A24" s="26">
        <v>21</v>
      </c>
      <c r="B24" s="27">
        <v>46194</v>
      </c>
      <c r="C24" s="107"/>
      <c r="D24" s="35"/>
      <c r="E24" s="257"/>
      <c r="F24" s="257"/>
      <c r="G24" s="8">
        <f t="shared" si="3"/>
        <v>0</v>
      </c>
      <c r="H24" s="65"/>
      <c r="I24" s="66"/>
      <c r="J24" s="8">
        <f t="shared" si="1"/>
        <v>0</v>
      </c>
      <c r="K24" s="8">
        <f t="shared" si="0"/>
        <v>0</v>
      </c>
      <c r="L24" s="197">
        <v>0</v>
      </c>
      <c r="M24" s="36">
        <f t="shared" si="2"/>
        <v>52210.28</v>
      </c>
      <c r="N24" s="198"/>
    </row>
    <row r="25" spans="1:14">
      <c r="A25" s="26">
        <v>22</v>
      </c>
      <c r="B25" s="27">
        <v>46195</v>
      </c>
      <c r="C25" s="107"/>
      <c r="D25" s="35"/>
      <c r="E25" s="257"/>
      <c r="F25" s="257"/>
      <c r="G25" s="8">
        <f t="shared" si="3"/>
        <v>0</v>
      </c>
      <c r="H25" s="65"/>
      <c r="I25" s="66"/>
      <c r="J25" s="8">
        <f t="shared" si="1"/>
        <v>0</v>
      </c>
      <c r="K25" s="8">
        <f t="shared" si="0"/>
        <v>0</v>
      </c>
      <c r="L25" s="197">
        <v>0</v>
      </c>
      <c r="M25" s="36">
        <f t="shared" si="2"/>
        <v>52210.28</v>
      </c>
      <c r="N25" s="198"/>
    </row>
    <row r="26" spans="1:14">
      <c r="A26" s="26">
        <v>23</v>
      </c>
      <c r="B26" s="27">
        <v>46196</v>
      </c>
      <c r="C26" s="107"/>
      <c r="D26" s="35"/>
      <c r="E26" s="257"/>
      <c r="F26" s="257"/>
      <c r="G26" s="8">
        <f t="shared" si="3"/>
        <v>0</v>
      </c>
      <c r="H26" s="65"/>
      <c r="I26" s="66"/>
      <c r="J26" s="8">
        <f t="shared" si="1"/>
        <v>0</v>
      </c>
      <c r="K26" s="8">
        <f t="shared" si="0"/>
        <v>0</v>
      </c>
      <c r="L26" s="197">
        <v>0</v>
      </c>
      <c r="M26" s="36">
        <f t="shared" si="2"/>
        <v>52210.28</v>
      </c>
      <c r="N26" s="198"/>
    </row>
    <row r="27" spans="1:14">
      <c r="A27" s="26">
        <v>24</v>
      </c>
      <c r="B27" s="27">
        <v>46197</v>
      </c>
      <c r="C27" s="107"/>
      <c r="D27" s="35"/>
      <c r="E27" s="257"/>
      <c r="F27" s="257"/>
      <c r="G27" s="8">
        <f t="shared" si="3"/>
        <v>0</v>
      </c>
      <c r="H27" s="65">
        <v>40</v>
      </c>
      <c r="I27" s="66">
        <v>116.33</v>
      </c>
      <c r="J27" s="8">
        <f t="shared" si="1"/>
        <v>4653.2</v>
      </c>
      <c r="K27" s="8">
        <f t="shared" si="0"/>
        <v>4653.2</v>
      </c>
      <c r="L27" s="197">
        <v>0</v>
      </c>
      <c r="M27" s="36">
        <f t="shared" si="2"/>
        <v>56863.479999999996</v>
      </c>
      <c r="N27" s="198"/>
    </row>
    <row r="28" spans="1:14">
      <c r="A28" s="26">
        <v>25</v>
      </c>
      <c r="B28" s="27">
        <v>46198</v>
      </c>
      <c r="C28" s="107"/>
      <c r="D28" s="35"/>
      <c r="E28" s="36">
        <v>0</v>
      </c>
      <c r="F28" s="36">
        <v>0</v>
      </c>
      <c r="G28" s="36">
        <f t="shared" si="3"/>
        <v>0</v>
      </c>
      <c r="H28" s="323"/>
      <c r="I28" s="323"/>
      <c r="J28" s="36">
        <f t="shared" si="1"/>
        <v>0</v>
      </c>
      <c r="K28" s="36">
        <f t="shared" si="0"/>
        <v>0</v>
      </c>
      <c r="L28" s="197">
        <v>50000</v>
      </c>
      <c r="M28" s="36">
        <f t="shared" si="2"/>
        <v>6863.4799999999959</v>
      </c>
      <c r="N28" s="198"/>
    </row>
    <row r="29" spans="1:14">
      <c r="A29" s="26">
        <v>26</v>
      </c>
      <c r="B29" s="27">
        <v>46199</v>
      </c>
      <c r="C29" s="107"/>
      <c r="D29" s="35"/>
      <c r="E29" s="36"/>
      <c r="F29" s="36"/>
      <c r="G29" s="36">
        <f t="shared" si="3"/>
        <v>0</v>
      </c>
      <c r="H29" s="323"/>
      <c r="I29" s="323"/>
      <c r="J29" s="36">
        <f t="shared" si="1"/>
        <v>0</v>
      </c>
      <c r="K29" s="36">
        <f t="shared" si="0"/>
        <v>0</v>
      </c>
      <c r="L29" s="197">
        <v>0</v>
      </c>
      <c r="M29" s="36">
        <f>M28+K29-L29</f>
        <v>6863.4799999999959</v>
      </c>
      <c r="N29" s="198"/>
    </row>
    <row r="30" spans="1:14">
      <c r="A30" s="26">
        <v>27</v>
      </c>
      <c r="B30" s="27">
        <v>46200</v>
      </c>
      <c r="C30" s="107"/>
      <c r="D30" s="35"/>
      <c r="E30" s="36"/>
      <c r="F30" s="36"/>
      <c r="G30" s="36">
        <f t="shared" si="3"/>
        <v>0</v>
      </c>
      <c r="H30" s="323"/>
      <c r="I30" s="323"/>
      <c r="J30" s="36">
        <f t="shared" si="1"/>
        <v>0</v>
      </c>
      <c r="K30" s="36">
        <f t="shared" si="0"/>
        <v>0</v>
      </c>
      <c r="L30" s="197">
        <v>0</v>
      </c>
      <c r="M30" s="36">
        <f>M29+K30-L30</f>
        <v>6863.4799999999959</v>
      </c>
      <c r="N30" s="198"/>
    </row>
    <row r="31" spans="1:14">
      <c r="A31" s="26">
        <v>28</v>
      </c>
      <c r="B31" s="27">
        <v>46201</v>
      </c>
      <c r="C31" s="107"/>
      <c r="D31" s="35"/>
      <c r="E31" s="36"/>
      <c r="F31" s="36"/>
      <c r="G31" s="36">
        <f t="shared" si="3"/>
        <v>0</v>
      </c>
      <c r="H31" s="323"/>
      <c r="I31" s="323"/>
      <c r="J31" s="36">
        <f t="shared" si="1"/>
        <v>0</v>
      </c>
      <c r="K31" s="36">
        <f t="shared" si="0"/>
        <v>0</v>
      </c>
      <c r="L31" s="197">
        <v>0</v>
      </c>
      <c r="M31" s="36">
        <f t="shared" si="2"/>
        <v>6863.4799999999959</v>
      </c>
      <c r="N31" s="198"/>
    </row>
    <row r="32" spans="1:14">
      <c r="A32" s="26">
        <v>29</v>
      </c>
      <c r="B32" s="27">
        <v>46202</v>
      </c>
      <c r="C32" s="107"/>
      <c r="D32" s="35"/>
      <c r="E32" s="36"/>
      <c r="F32" s="36"/>
      <c r="G32" s="36">
        <f t="shared" ref="G32:G34" si="5">E32*F32</f>
        <v>0</v>
      </c>
      <c r="H32" s="323"/>
      <c r="I32" s="323"/>
      <c r="J32" s="36">
        <f t="shared" si="1"/>
        <v>0</v>
      </c>
      <c r="K32" s="36">
        <f t="shared" ref="K32:K34" si="6">G32+J32</f>
        <v>0</v>
      </c>
      <c r="L32" s="197">
        <v>0</v>
      </c>
      <c r="M32" s="36">
        <f t="shared" ref="M32:M34" si="7">M31+K32-L32</f>
        <v>6863.4799999999959</v>
      </c>
      <c r="N32" s="198"/>
    </row>
    <row r="33" spans="1:14">
      <c r="A33" s="26">
        <v>30</v>
      </c>
      <c r="B33" s="27">
        <v>46203</v>
      </c>
      <c r="C33" s="107"/>
      <c r="D33" s="35"/>
      <c r="E33" s="36"/>
      <c r="F33" s="36"/>
      <c r="G33" s="36">
        <f t="shared" si="5"/>
        <v>0</v>
      </c>
      <c r="H33" s="323">
        <v>0</v>
      </c>
      <c r="I33" s="323">
        <v>0</v>
      </c>
      <c r="J33" s="36">
        <f t="shared" ref="J33" si="8">H33*I33</f>
        <v>0</v>
      </c>
      <c r="K33" s="36">
        <f t="shared" si="6"/>
        <v>0</v>
      </c>
      <c r="L33" s="197">
        <v>0</v>
      </c>
      <c r="M33" s="36">
        <f t="shared" si="7"/>
        <v>6863.4799999999959</v>
      </c>
      <c r="N33" s="198"/>
    </row>
    <row r="34" spans="1:14">
      <c r="A34" s="26">
        <v>31</v>
      </c>
      <c r="B34" s="27"/>
      <c r="C34" s="107"/>
      <c r="D34" s="35"/>
      <c r="E34" s="36"/>
      <c r="F34" s="36"/>
      <c r="G34" s="36">
        <f t="shared" si="5"/>
        <v>0</v>
      </c>
      <c r="H34" s="323"/>
      <c r="I34" s="323"/>
      <c r="J34" s="36">
        <f t="shared" ref="J32:J34" si="9">H34*I34</f>
        <v>0</v>
      </c>
      <c r="K34" s="36">
        <f t="shared" si="6"/>
        <v>0</v>
      </c>
      <c r="L34" s="197"/>
      <c r="M34" s="36">
        <f t="shared" si="7"/>
        <v>6863.4799999999959</v>
      </c>
      <c r="N34" s="198"/>
    </row>
    <row r="35" spans="1:14">
      <c r="A35" s="62"/>
      <c r="B35" s="62"/>
      <c r="C35" s="62"/>
      <c r="D35" s="62"/>
      <c r="E35" s="258">
        <f>SUM(E4:E34)</f>
        <v>2500</v>
      </c>
      <c r="F35" s="258"/>
      <c r="G35" s="63">
        <f>SUM(G4:G34)</f>
        <v>261050</v>
      </c>
      <c r="H35" s="63">
        <f>SUM(H4:H34)</f>
        <v>80</v>
      </c>
      <c r="I35" s="63"/>
      <c r="J35" s="63">
        <f>SUM(J4:J34)</f>
        <v>9306.4</v>
      </c>
      <c r="K35" s="63">
        <f>SUM(K4:K34)</f>
        <v>270356.40000000002</v>
      </c>
      <c r="L35" s="63">
        <f>SUM(L4:L34)</f>
        <v>279281</v>
      </c>
      <c r="M35" s="63"/>
      <c r="N35" s="63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C2A6-4209-49EA-B5EF-5259614B8C5D}">
  <dimension ref="A1:Q35"/>
  <sheetViews>
    <sheetView workbookViewId="0">
      <selection activeCell="P11" sqref="P11"/>
    </sheetView>
  </sheetViews>
  <sheetFormatPr defaultRowHeight="15"/>
  <cols>
    <col min="2" max="2" width="10.5703125" bestFit="1" customWidth="1"/>
    <col min="5" max="5" width="10.28515625" customWidth="1"/>
    <col min="7" max="7" width="14" customWidth="1"/>
    <col min="11" max="11" width="19.5703125" customWidth="1"/>
    <col min="12" max="12" width="17.7109375" customWidth="1"/>
    <col min="13" max="13" width="10.42578125" bestFit="1" customWidth="1"/>
  </cols>
  <sheetData>
    <row r="1" spans="1:17" ht="15.75">
      <c r="A1" s="562" t="s">
        <v>194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</row>
    <row r="2" spans="1:17" ht="27">
      <c r="A2" s="103" t="s">
        <v>0</v>
      </c>
      <c r="B2" s="106" t="s">
        <v>167</v>
      </c>
      <c r="C2" s="106" t="s">
        <v>168</v>
      </c>
      <c r="D2" s="106" t="s">
        <v>169</v>
      </c>
      <c r="E2" s="106" t="s">
        <v>170</v>
      </c>
      <c r="F2" s="106" t="s">
        <v>171</v>
      </c>
      <c r="G2" s="106" t="s">
        <v>172</v>
      </c>
      <c r="H2" s="106" t="s">
        <v>173</v>
      </c>
      <c r="I2" s="106" t="s">
        <v>171</v>
      </c>
      <c r="J2" s="106" t="s">
        <v>172</v>
      </c>
      <c r="K2" s="144" t="s">
        <v>174</v>
      </c>
      <c r="L2" s="144" t="s">
        <v>175</v>
      </c>
      <c r="M2" s="144" t="s">
        <v>176</v>
      </c>
      <c r="N2" s="106" t="s">
        <v>177</v>
      </c>
    </row>
    <row r="3" spans="1:17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9"/>
      <c r="K3" s="131"/>
      <c r="L3" s="232"/>
      <c r="M3" s="317">
        <v>171115.11040000001</v>
      </c>
      <c r="N3" s="233"/>
    </row>
    <row r="4" spans="1:17">
      <c r="A4" s="26">
        <v>1</v>
      </c>
      <c r="B4" s="27">
        <v>46174</v>
      </c>
      <c r="C4" s="107"/>
      <c r="D4" s="35"/>
      <c r="E4" s="36"/>
      <c r="F4" s="36"/>
      <c r="G4" s="36">
        <f>E4*F4</f>
        <v>0</v>
      </c>
      <c r="H4" s="323"/>
      <c r="I4" s="323"/>
      <c r="J4" s="36">
        <f>H4*I4</f>
        <v>0</v>
      </c>
      <c r="K4" s="36">
        <f t="shared" ref="K4:L34" si="0">G4+J4</f>
        <v>0</v>
      </c>
      <c r="L4" s="197">
        <v>169080</v>
      </c>
      <c r="M4" s="36">
        <f>M3+K4-L4</f>
        <v>2035.110400000005</v>
      </c>
      <c r="N4" s="234" t="s">
        <v>183</v>
      </c>
    </row>
    <row r="5" spans="1:17">
      <c r="A5" s="26">
        <v>2</v>
      </c>
      <c r="B5" s="27">
        <v>46175</v>
      </c>
      <c r="C5" s="107"/>
      <c r="D5" s="35"/>
      <c r="E5" s="36"/>
      <c r="F5" s="36"/>
      <c r="G5" s="36">
        <f>E5*F5</f>
        <v>0</v>
      </c>
      <c r="H5" s="323"/>
      <c r="I5" s="323"/>
      <c r="J5" s="36">
        <f t="shared" ref="J5:J34" si="1">H5*I5</f>
        <v>0</v>
      </c>
      <c r="K5" s="36">
        <f t="shared" si="0"/>
        <v>0</v>
      </c>
      <c r="L5" s="197">
        <v>2035.11</v>
      </c>
      <c r="M5" s="36">
        <f t="shared" ref="M5:M34" si="2">M4+K5-L5</f>
        <v>4.0000000512918632E-4</v>
      </c>
      <c r="N5" s="235"/>
    </row>
    <row r="6" spans="1:17">
      <c r="A6" s="26">
        <v>3</v>
      </c>
      <c r="B6" s="27">
        <v>46176</v>
      </c>
      <c r="C6" s="107"/>
      <c r="D6" s="35"/>
      <c r="E6" s="36"/>
      <c r="F6" s="36"/>
      <c r="G6" s="36">
        <f t="shared" ref="G6:G34" si="3">E6*F6</f>
        <v>0</v>
      </c>
      <c r="H6" s="323"/>
      <c r="I6" s="323"/>
      <c r="J6" s="36">
        <f t="shared" si="1"/>
        <v>0</v>
      </c>
      <c r="K6" s="36">
        <f t="shared" si="0"/>
        <v>0</v>
      </c>
      <c r="L6" s="197"/>
      <c r="M6" s="36">
        <f t="shared" si="2"/>
        <v>4.0000000512918632E-4</v>
      </c>
      <c r="N6" s="236"/>
    </row>
    <row r="7" spans="1:17">
      <c r="A7" s="26">
        <v>4</v>
      </c>
      <c r="B7" s="27">
        <v>46177</v>
      </c>
      <c r="C7" s="107"/>
      <c r="D7" s="35"/>
      <c r="E7" s="36"/>
      <c r="F7" s="36"/>
      <c r="G7" s="36">
        <f t="shared" si="3"/>
        <v>0</v>
      </c>
      <c r="H7" s="323"/>
      <c r="I7" s="323"/>
      <c r="J7" s="36">
        <f t="shared" si="1"/>
        <v>0</v>
      </c>
      <c r="K7" s="36">
        <f t="shared" si="0"/>
        <v>0</v>
      </c>
      <c r="L7" s="36"/>
      <c r="M7" s="36">
        <f>M6+K7-L7</f>
        <v>4.0000000512918632E-4</v>
      </c>
      <c r="N7" s="198"/>
      <c r="Q7">
        <f>1000*96.42</f>
        <v>96420</v>
      </c>
    </row>
    <row r="8" spans="1:17">
      <c r="A8" s="26">
        <v>5</v>
      </c>
      <c r="B8" s="27">
        <v>46178</v>
      </c>
      <c r="C8" s="34"/>
      <c r="D8" s="35"/>
      <c r="E8" s="36"/>
      <c r="F8" s="36"/>
      <c r="G8" s="36">
        <f t="shared" si="3"/>
        <v>0</v>
      </c>
      <c r="H8" s="323"/>
      <c r="I8" s="323"/>
      <c r="J8" s="36">
        <f t="shared" si="1"/>
        <v>0</v>
      </c>
      <c r="K8" s="36">
        <f t="shared" si="0"/>
        <v>0</v>
      </c>
      <c r="L8" s="197"/>
      <c r="M8" s="36">
        <f>M7+K8-L8</f>
        <v>4.0000000512918632E-4</v>
      </c>
      <c r="N8" s="198"/>
    </row>
    <row r="9" spans="1:17">
      <c r="A9" s="26">
        <v>6</v>
      </c>
      <c r="B9" s="27">
        <v>46179</v>
      </c>
      <c r="C9" s="34"/>
      <c r="D9" s="35"/>
      <c r="E9" s="36"/>
      <c r="F9" s="36"/>
      <c r="G9" s="36">
        <f t="shared" si="3"/>
        <v>0</v>
      </c>
      <c r="H9" s="323"/>
      <c r="I9" s="323"/>
      <c r="J9" s="36">
        <f t="shared" si="1"/>
        <v>0</v>
      </c>
      <c r="K9" s="36">
        <f t="shared" si="0"/>
        <v>0</v>
      </c>
      <c r="L9" s="197"/>
      <c r="M9" s="36">
        <f t="shared" si="2"/>
        <v>4.0000000512918632E-4</v>
      </c>
      <c r="N9" s="198"/>
    </row>
    <row r="10" spans="1:17">
      <c r="A10" s="26">
        <v>7</v>
      </c>
      <c r="B10" s="27">
        <v>46180</v>
      </c>
      <c r="C10" s="34"/>
      <c r="D10" s="35"/>
      <c r="E10" s="36"/>
      <c r="F10" s="36"/>
      <c r="G10" s="36">
        <f t="shared" si="3"/>
        <v>0</v>
      </c>
      <c r="H10" s="323"/>
      <c r="I10" s="323"/>
      <c r="J10" s="36">
        <f t="shared" si="1"/>
        <v>0</v>
      </c>
      <c r="K10" s="36">
        <f t="shared" si="0"/>
        <v>0</v>
      </c>
      <c r="L10" s="197"/>
      <c r="M10" s="36">
        <f t="shared" si="2"/>
        <v>4.0000000512918632E-4</v>
      </c>
      <c r="N10" s="198"/>
    </row>
    <row r="11" spans="1:17">
      <c r="A11" s="26">
        <v>8</v>
      </c>
      <c r="B11" s="27">
        <v>46181</v>
      </c>
      <c r="C11" s="34"/>
      <c r="D11" s="35"/>
      <c r="E11" s="36"/>
      <c r="F11" s="36"/>
      <c r="G11" s="36">
        <f t="shared" si="3"/>
        <v>0</v>
      </c>
      <c r="H11" s="323"/>
      <c r="I11" s="323"/>
      <c r="J11" s="36">
        <f t="shared" si="1"/>
        <v>0</v>
      </c>
      <c r="K11" s="36">
        <f t="shared" si="0"/>
        <v>0</v>
      </c>
      <c r="L11" s="197"/>
      <c r="M11" s="36">
        <f t="shared" si="2"/>
        <v>4.0000000512918632E-4</v>
      </c>
      <c r="N11" s="198"/>
    </row>
    <row r="12" spans="1:17">
      <c r="A12" s="26">
        <v>9</v>
      </c>
      <c r="B12" s="27">
        <v>46182</v>
      </c>
      <c r="C12" s="34"/>
      <c r="D12" s="35"/>
      <c r="E12" s="36"/>
      <c r="F12" s="36"/>
      <c r="G12" s="36">
        <f t="shared" si="3"/>
        <v>0</v>
      </c>
      <c r="H12" s="323"/>
      <c r="I12" s="323"/>
      <c r="J12" s="36">
        <f t="shared" si="1"/>
        <v>0</v>
      </c>
      <c r="K12" s="36">
        <f t="shared" si="0"/>
        <v>0</v>
      </c>
      <c r="L12" s="197"/>
      <c r="M12" s="36">
        <f t="shared" si="2"/>
        <v>4.0000000512918632E-4</v>
      </c>
      <c r="N12" s="198"/>
    </row>
    <row r="13" spans="1:17">
      <c r="A13" s="26">
        <v>10</v>
      </c>
      <c r="B13" s="27">
        <v>46183</v>
      </c>
      <c r="C13" s="34"/>
      <c r="D13" s="35"/>
      <c r="E13" s="36"/>
      <c r="F13" s="36"/>
      <c r="G13" s="36">
        <f t="shared" si="3"/>
        <v>0</v>
      </c>
      <c r="H13" s="323"/>
      <c r="I13" s="323"/>
      <c r="J13" s="36">
        <f t="shared" si="1"/>
        <v>0</v>
      </c>
      <c r="K13" s="36">
        <f t="shared" si="0"/>
        <v>0</v>
      </c>
      <c r="L13" s="197"/>
      <c r="M13" s="36">
        <f>M12+K13-L13</f>
        <v>4.0000000512918632E-4</v>
      </c>
      <c r="N13" s="198"/>
    </row>
    <row r="14" spans="1:17">
      <c r="A14" s="26">
        <v>11</v>
      </c>
      <c r="B14" s="27">
        <v>46184</v>
      </c>
      <c r="C14" s="34"/>
      <c r="D14" s="35"/>
      <c r="E14" s="36"/>
      <c r="F14" s="36"/>
      <c r="G14" s="36">
        <f t="shared" si="3"/>
        <v>0</v>
      </c>
      <c r="H14" s="323"/>
      <c r="I14" s="323"/>
      <c r="J14" s="36">
        <f t="shared" si="1"/>
        <v>0</v>
      </c>
      <c r="K14" s="36">
        <f t="shared" si="0"/>
        <v>0</v>
      </c>
      <c r="L14" s="197"/>
      <c r="M14" s="36">
        <f>M13+K14-L14</f>
        <v>4.0000000512918632E-4</v>
      </c>
      <c r="N14" s="198"/>
    </row>
    <row r="15" spans="1:17">
      <c r="A15" s="26">
        <v>12</v>
      </c>
      <c r="B15" s="27">
        <v>46185</v>
      </c>
      <c r="C15" s="34"/>
      <c r="D15" s="35"/>
      <c r="E15" s="36"/>
      <c r="F15" s="36"/>
      <c r="G15" s="36">
        <f t="shared" si="3"/>
        <v>0</v>
      </c>
      <c r="H15" s="323"/>
      <c r="I15" s="323"/>
      <c r="J15" s="36">
        <f t="shared" si="1"/>
        <v>0</v>
      </c>
      <c r="K15" s="36">
        <f>G15+J15</f>
        <v>0</v>
      </c>
      <c r="L15" s="36"/>
      <c r="M15" s="36">
        <f t="shared" si="2"/>
        <v>4.0000000512918632E-4</v>
      </c>
      <c r="N15" s="198"/>
    </row>
    <row r="16" spans="1:17">
      <c r="A16" s="26">
        <v>13</v>
      </c>
      <c r="B16" s="27">
        <v>46186</v>
      </c>
      <c r="C16" s="34"/>
      <c r="D16" s="35"/>
      <c r="E16" s="36"/>
      <c r="F16" s="36"/>
      <c r="G16" s="36">
        <f t="shared" si="3"/>
        <v>0</v>
      </c>
      <c r="H16" s="323"/>
      <c r="I16" s="323"/>
      <c r="J16" s="36">
        <f t="shared" si="1"/>
        <v>0</v>
      </c>
      <c r="K16" s="36">
        <f t="shared" si="0"/>
        <v>0</v>
      </c>
      <c r="L16" s="197"/>
      <c r="M16" s="36">
        <f t="shared" si="2"/>
        <v>4.0000000512918632E-4</v>
      </c>
      <c r="N16" s="198"/>
    </row>
    <row r="17" spans="1:14">
      <c r="A17" s="26">
        <v>14</v>
      </c>
      <c r="B17" s="27">
        <v>46187</v>
      </c>
      <c r="C17" s="34"/>
      <c r="D17" s="35"/>
      <c r="E17" s="36"/>
      <c r="F17" s="36"/>
      <c r="G17" s="36">
        <f t="shared" si="3"/>
        <v>0</v>
      </c>
      <c r="H17" s="323"/>
      <c r="I17" s="323"/>
      <c r="J17" s="36">
        <f t="shared" si="1"/>
        <v>0</v>
      </c>
      <c r="K17" s="36">
        <f t="shared" si="0"/>
        <v>0</v>
      </c>
      <c r="L17" s="197"/>
      <c r="M17" s="36">
        <f t="shared" si="2"/>
        <v>4.0000000512918632E-4</v>
      </c>
      <c r="N17" s="198"/>
    </row>
    <row r="18" spans="1:14">
      <c r="A18" s="26">
        <v>15</v>
      </c>
      <c r="B18" s="27">
        <v>46188</v>
      </c>
      <c r="C18" s="168"/>
      <c r="D18" s="35"/>
      <c r="E18" s="36"/>
      <c r="F18" s="36"/>
      <c r="G18" s="36">
        <f t="shared" si="3"/>
        <v>0</v>
      </c>
      <c r="H18" s="323"/>
      <c r="I18" s="323"/>
      <c r="J18" s="36">
        <f t="shared" si="1"/>
        <v>0</v>
      </c>
      <c r="K18" s="36">
        <f t="shared" si="0"/>
        <v>0</v>
      </c>
      <c r="L18" s="197"/>
      <c r="M18" s="36">
        <f t="shared" si="2"/>
        <v>4.0000000512918632E-4</v>
      </c>
      <c r="N18" s="237" t="s">
        <v>183</v>
      </c>
    </row>
    <row r="19" spans="1:14">
      <c r="A19" s="26">
        <v>16</v>
      </c>
      <c r="B19" s="27">
        <v>46189</v>
      </c>
      <c r="C19" s="107"/>
      <c r="D19" s="35"/>
      <c r="E19" s="36"/>
      <c r="F19" s="36"/>
      <c r="G19" s="36">
        <f t="shared" si="3"/>
        <v>0</v>
      </c>
      <c r="H19" s="323"/>
      <c r="I19" s="323"/>
      <c r="J19" s="36">
        <f t="shared" si="1"/>
        <v>0</v>
      </c>
      <c r="K19" s="36">
        <f t="shared" si="0"/>
        <v>0</v>
      </c>
      <c r="L19" s="197"/>
      <c r="M19" s="36">
        <f t="shared" si="2"/>
        <v>4.0000000512918632E-4</v>
      </c>
      <c r="N19" s="237"/>
    </row>
    <row r="20" spans="1:14">
      <c r="A20" s="26">
        <v>17</v>
      </c>
      <c r="B20" s="27">
        <v>46190</v>
      </c>
      <c r="C20" s="180"/>
      <c r="D20" s="35"/>
      <c r="E20" s="36"/>
      <c r="F20" s="36"/>
      <c r="G20" s="36">
        <f t="shared" si="3"/>
        <v>0</v>
      </c>
      <c r="H20" s="323"/>
      <c r="I20" s="323"/>
      <c r="J20" s="36">
        <f t="shared" si="1"/>
        <v>0</v>
      </c>
      <c r="K20" s="36">
        <f t="shared" si="0"/>
        <v>0</v>
      </c>
      <c r="L20" s="197"/>
      <c r="M20" s="36">
        <f t="shared" si="2"/>
        <v>4.0000000512918632E-4</v>
      </c>
      <c r="N20" s="237"/>
    </row>
    <row r="21" spans="1:14">
      <c r="A21" s="26">
        <v>18</v>
      </c>
      <c r="B21" s="27">
        <v>46191</v>
      </c>
      <c r="C21" s="180"/>
      <c r="D21" s="35"/>
      <c r="E21" s="36"/>
      <c r="F21" s="36"/>
      <c r="G21" s="36">
        <f t="shared" si="3"/>
        <v>0</v>
      </c>
      <c r="H21" s="323"/>
      <c r="I21" s="323"/>
      <c r="J21" s="36">
        <f t="shared" si="1"/>
        <v>0</v>
      </c>
      <c r="K21" s="36">
        <f t="shared" si="0"/>
        <v>0</v>
      </c>
      <c r="L21" s="197"/>
      <c r="M21" s="36">
        <f t="shared" si="2"/>
        <v>4.0000000512918632E-4</v>
      </c>
      <c r="N21" s="237" t="s">
        <v>183</v>
      </c>
    </row>
    <row r="22" spans="1:14">
      <c r="A22" s="26">
        <v>19</v>
      </c>
      <c r="B22" s="27">
        <v>46192</v>
      </c>
      <c r="C22" s="107"/>
      <c r="D22" s="35"/>
      <c r="E22" s="36"/>
      <c r="F22" s="36"/>
      <c r="G22" s="36">
        <f t="shared" si="3"/>
        <v>0</v>
      </c>
      <c r="H22" s="323"/>
      <c r="I22" s="323"/>
      <c r="J22" s="36">
        <f t="shared" si="1"/>
        <v>0</v>
      </c>
      <c r="K22" s="36">
        <f t="shared" si="0"/>
        <v>0</v>
      </c>
      <c r="L22" s="197"/>
      <c r="M22" s="36">
        <f t="shared" si="2"/>
        <v>4.0000000512918632E-4</v>
      </c>
      <c r="N22" s="198"/>
    </row>
    <row r="23" spans="1:14">
      <c r="A23" s="26">
        <v>20</v>
      </c>
      <c r="B23" s="27">
        <v>46193</v>
      </c>
      <c r="C23" s="107"/>
      <c r="D23" s="35"/>
      <c r="E23" s="36"/>
      <c r="F23" s="36"/>
      <c r="G23" s="36">
        <f t="shared" si="3"/>
        <v>0</v>
      </c>
      <c r="H23" s="323"/>
      <c r="I23" s="323"/>
      <c r="J23" s="36">
        <f t="shared" si="1"/>
        <v>0</v>
      </c>
      <c r="K23" s="36">
        <f t="shared" si="0"/>
        <v>0</v>
      </c>
      <c r="L23" s="197"/>
      <c r="M23" s="36">
        <f t="shared" si="2"/>
        <v>4.0000000512918632E-4</v>
      </c>
      <c r="N23" s="198"/>
    </row>
    <row r="24" spans="1:14">
      <c r="A24" s="26">
        <v>21</v>
      </c>
      <c r="B24" s="27">
        <v>46194</v>
      </c>
      <c r="C24" s="107"/>
      <c r="D24" s="35"/>
      <c r="E24" s="36"/>
      <c r="F24" s="36"/>
      <c r="G24" s="36">
        <f t="shared" si="3"/>
        <v>0</v>
      </c>
      <c r="H24" s="323"/>
      <c r="I24" s="323"/>
      <c r="J24" s="36">
        <f t="shared" si="1"/>
        <v>0</v>
      </c>
      <c r="K24" s="36">
        <f t="shared" si="0"/>
        <v>0</v>
      </c>
      <c r="L24" s="197"/>
      <c r="M24" s="36">
        <f t="shared" si="2"/>
        <v>4.0000000512918632E-4</v>
      </c>
      <c r="N24" s="198"/>
    </row>
    <row r="25" spans="1:14">
      <c r="A25" s="26">
        <v>22</v>
      </c>
      <c r="B25" s="27">
        <v>46195</v>
      </c>
      <c r="C25" s="107"/>
      <c r="D25" s="35"/>
      <c r="E25" s="36"/>
      <c r="F25" s="36"/>
      <c r="G25" s="36">
        <f t="shared" si="3"/>
        <v>0</v>
      </c>
      <c r="H25" s="323"/>
      <c r="I25" s="323"/>
      <c r="J25" s="36">
        <f t="shared" si="1"/>
        <v>0</v>
      </c>
      <c r="K25" s="36">
        <f t="shared" si="0"/>
        <v>0</v>
      </c>
      <c r="L25" s="197"/>
      <c r="M25" s="36">
        <f t="shared" si="2"/>
        <v>4.0000000512918632E-4</v>
      </c>
      <c r="N25" s="198"/>
    </row>
    <row r="26" spans="1:14">
      <c r="A26" s="26">
        <v>23</v>
      </c>
      <c r="B26" s="27">
        <v>46196</v>
      </c>
      <c r="C26" s="107"/>
      <c r="D26" s="35"/>
      <c r="E26" s="36"/>
      <c r="F26" s="36"/>
      <c r="G26" s="36">
        <f t="shared" si="3"/>
        <v>0</v>
      </c>
      <c r="H26" s="323"/>
      <c r="I26" s="323"/>
      <c r="J26" s="36">
        <f t="shared" si="1"/>
        <v>0</v>
      </c>
      <c r="K26" s="36">
        <f t="shared" si="0"/>
        <v>0</v>
      </c>
      <c r="L26" s="36"/>
      <c r="M26" s="36">
        <f t="shared" si="2"/>
        <v>4.0000000512918632E-4</v>
      </c>
      <c r="N26" s="198"/>
    </row>
    <row r="27" spans="1:14">
      <c r="A27" s="26">
        <v>24</v>
      </c>
      <c r="B27" s="27">
        <v>46197</v>
      </c>
      <c r="C27" s="107"/>
      <c r="D27" s="35"/>
      <c r="E27" s="36"/>
      <c r="F27" s="36"/>
      <c r="G27" s="36">
        <f t="shared" si="3"/>
        <v>0</v>
      </c>
      <c r="H27" s="323"/>
      <c r="I27" s="323"/>
      <c r="J27" s="36">
        <f t="shared" si="1"/>
        <v>0</v>
      </c>
      <c r="K27" s="36">
        <f t="shared" si="0"/>
        <v>0</v>
      </c>
      <c r="L27" s="197"/>
      <c r="M27" s="36">
        <f t="shared" si="2"/>
        <v>4.0000000512918632E-4</v>
      </c>
      <c r="N27" s="198"/>
    </row>
    <row r="28" spans="1:14">
      <c r="A28" s="26">
        <v>25</v>
      </c>
      <c r="B28" s="27">
        <v>46198</v>
      </c>
      <c r="C28" s="107"/>
      <c r="D28" s="35"/>
      <c r="E28" s="36"/>
      <c r="F28" s="36"/>
      <c r="G28" s="36">
        <f t="shared" si="3"/>
        <v>0</v>
      </c>
      <c r="H28" s="323"/>
      <c r="I28" s="323"/>
      <c r="J28" s="36">
        <f t="shared" si="1"/>
        <v>0</v>
      </c>
      <c r="K28" s="36">
        <f t="shared" si="0"/>
        <v>0</v>
      </c>
      <c r="L28" s="197"/>
      <c r="M28" s="36">
        <f t="shared" si="2"/>
        <v>4.0000000512918632E-4</v>
      </c>
      <c r="N28" s="198"/>
    </row>
    <row r="29" spans="1:14">
      <c r="A29" s="26">
        <v>26</v>
      </c>
      <c r="B29" s="27">
        <v>46199</v>
      </c>
      <c r="C29" s="107"/>
      <c r="D29" s="35"/>
      <c r="E29" s="36"/>
      <c r="F29" s="36"/>
      <c r="G29" s="36">
        <f t="shared" si="3"/>
        <v>0</v>
      </c>
      <c r="H29" s="323"/>
      <c r="I29" s="323"/>
      <c r="J29" s="36">
        <f t="shared" si="1"/>
        <v>0</v>
      </c>
      <c r="K29" s="36">
        <f t="shared" si="0"/>
        <v>0</v>
      </c>
      <c r="L29" s="197"/>
      <c r="M29" s="36">
        <f t="shared" si="2"/>
        <v>4.0000000512918632E-4</v>
      </c>
      <c r="N29" s="198"/>
    </row>
    <row r="30" spans="1:14">
      <c r="A30" s="26">
        <v>27</v>
      </c>
      <c r="B30" s="27">
        <v>46200</v>
      </c>
      <c r="C30" s="107"/>
      <c r="D30" s="35"/>
      <c r="E30" s="36"/>
      <c r="F30" s="36"/>
      <c r="G30" s="36">
        <f t="shared" si="3"/>
        <v>0</v>
      </c>
      <c r="H30" s="323"/>
      <c r="I30" s="323"/>
      <c r="J30" s="36">
        <f t="shared" si="1"/>
        <v>0</v>
      </c>
      <c r="K30" s="36">
        <f t="shared" si="0"/>
        <v>0</v>
      </c>
      <c r="L30" s="197"/>
      <c r="M30" s="36">
        <f>M29+K30-L30</f>
        <v>4.0000000512918632E-4</v>
      </c>
      <c r="N30" s="198"/>
    </row>
    <row r="31" spans="1:14">
      <c r="A31" s="26">
        <v>28</v>
      </c>
      <c r="B31" s="27">
        <v>46201</v>
      </c>
      <c r="C31" s="107"/>
      <c r="D31" s="35"/>
      <c r="E31" s="36"/>
      <c r="F31" s="36"/>
      <c r="G31" s="36">
        <f t="shared" si="3"/>
        <v>0</v>
      </c>
      <c r="H31" s="323"/>
      <c r="I31" s="323"/>
      <c r="J31" s="36">
        <f t="shared" si="1"/>
        <v>0</v>
      </c>
      <c r="K31" s="36">
        <f t="shared" si="0"/>
        <v>0</v>
      </c>
      <c r="L31" s="197"/>
      <c r="M31" s="36">
        <f t="shared" si="2"/>
        <v>4.0000000512918632E-4</v>
      </c>
      <c r="N31" s="198"/>
    </row>
    <row r="32" spans="1:14">
      <c r="A32" s="26">
        <v>29</v>
      </c>
      <c r="B32" s="27">
        <v>46202</v>
      </c>
      <c r="C32" s="107"/>
      <c r="D32" s="35"/>
      <c r="E32" s="36"/>
      <c r="F32" s="36"/>
      <c r="G32" s="36">
        <f t="shared" si="3"/>
        <v>0</v>
      </c>
      <c r="H32" s="323"/>
      <c r="I32" s="323"/>
      <c r="J32" s="36">
        <f t="shared" si="1"/>
        <v>0</v>
      </c>
      <c r="K32" s="36">
        <f t="shared" si="0"/>
        <v>0</v>
      </c>
      <c r="L32" s="197"/>
      <c r="M32" s="36">
        <f t="shared" si="2"/>
        <v>4.0000000512918632E-4</v>
      </c>
      <c r="N32" s="198"/>
    </row>
    <row r="33" spans="1:14">
      <c r="A33" s="26">
        <v>30</v>
      </c>
      <c r="B33" s="27">
        <v>46203</v>
      </c>
      <c r="C33" s="107"/>
      <c r="D33" s="35"/>
      <c r="E33" s="36"/>
      <c r="F33" s="36"/>
      <c r="G33" s="36">
        <f t="shared" si="3"/>
        <v>0</v>
      </c>
      <c r="H33" s="323">
        <v>0</v>
      </c>
      <c r="I33" s="323">
        <v>0</v>
      </c>
      <c r="J33" s="36">
        <f t="shared" si="1"/>
        <v>0</v>
      </c>
      <c r="K33" s="36">
        <f t="shared" si="0"/>
        <v>0</v>
      </c>
      <c r="L33" s="197">
        <v>0</v>
      </c>
      <c r="M33" s="36">
        <f t="shared" si="2"/>
        <v>4.0000000512918632E-4</v>
      </c>
      <c r="N33" s="198"/>
    </row>
    <row r="34" spans="1:14">
      <c r="A34" s="26">
        <v>31</v>
      </c>
      <c r="B34" s="27"/>
      <c r="C34" s="107"/>
      <c r="D34" s="35"/>
      <c r="E34" s="36"/>
      <c r="F34" s="36"/>
      <c r="G34" s="36">
        <f t="shared" si="3"/>
        <v>0</v>
      </c>
      <c r="H34" s="323"/>
      <c r="I34" s="323"/>
      <c r="J34" s="36">
        <f t="shared" si="1"/>
        <v>0</v>
      </c>
      <c r="K34" s="36">
        <f t="shared" si="0"/>
        <v>0</v>
      </c>
      <c r="L34" s="197"/>
      <c r="M34" s="36">
        <f t="shared" si="2"/>
        <v>4.0000000512918632E-4</v>
      </c>
      <c r="N34" s="198"/>
    </row>
    <row r="35" spans="1:14">
      <c r="A35" s="62"/>
      <c r="B35" s="62"/>
      <c r="C35" s="62"/>
      <c r="D35" s="62"/>
      <c r="E35" s="258">
        <f>SUM(E4:E34)</f>
        <v>0</v>
      </c>
      <c r="F35" s="258"/>
      <c r="G35" s="63">
        <f>SUM(G4:G34)</f>
        <v>0</v>
      </c>
      <c r="H35" s="63">
        <f>SUM(H4:H34)</f>
        <v>0</v>
      </c>
      <c r="I35" s="63"/>
      <c r="J35" s="63">
        <f>SUM(J4:J34)</f>
        <v>0</v>
      </c>
      <c r="K35" s="63">
        <f>SUM(K4:K34)</f>
        <v>0</v>
      </c>
      <c r="L35" s="63">
        <f>SUM(L4:L34)</f>
        <v>171115.11</v>
      </c>
      <c r="M35" s="63"/>
      <c r="N35" s="63"/>
    </row>
  </sheetData>
  <mergeCells count="2">
    <mergeCell ref="A1:N1"/>
    <mergeCell ref="A3:J3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CFE9-973B-4F2F-982C-C713DBE1FA46}">
  <dimension ref="A1:Q35"/>
  <sheetViews>
    <sheetView topLeftCell="A12" workbookViewId="0">
      <selection activeCell="M33" sqref="M33"/>
    </sheetView>
  </sheetViews>
  <sheetFormatPr defaultRowHeight="15"/>
  <cols>
    <col min="2" max="2" width="11.85546875" customWidth="1"/>
    <col min="4" max="4" width="12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1.140625" customWidth="1"/>
    <col min="13" max="13" width="11.85546875" bestFit="1" customWidth="1"/>
  </cols>
  <sheetData>
    <row r="1" spans="1:14" ht="15.75">
      <c r="A1" s="546" t="s">
        <v>80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4" ht="30.75">
      <c r="A2" s="98" t="s">
        <v>0</v>
      </c>
      <c r="B2" s="99" t="s">
        <v>167</v>
      </c>
      <c r="C2" s="99" t="s">
        <v>168</v>
      </c>
      <c r="D2" s="99" t="s">
        <v>191</v>
      </c>
      <c r="E2" s="256" t="s">
        <v>170</v>
      </c>
      <c r="F2" s="256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139" t="s">
        <v>175</v>
      </c>
      <c r="M2" s="143" t="s">
        <v>192</v>
      </c>
      <c r="N2" s="101" t="s">
        <v>177</v>
      </c>
    </row>
    <row r="3" spans="1:14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8">
        <v>108316.17139999993</v>
      </c>
      <c r="N3" s="156"/>
    </row>
    <row r="4" spans="1:14">
      <c r="A4" s="196">
        <v>1</v>
      </c>
      <c r="B4" s="219">
        <v>45809</v>
      </c>
      <c r="C4" s="67"/>
      <c r="D4" s="159"/>
      <c r="E4" s="257"/>
      <c r="F4" s="257"/>
      <c r="G4" s="8">
        <f t="shared" ref="G4:G34" si="0">E4*F4</f>
        <v>0</v>
      </c>
      <c r="H4" s="65"/>
      <c r="I4" s="66"/>
      <c r="J4" s="8">
        <f>H4*I4</f>
        <v>0</v>
      </c>
      <c r="K4" s="8">
        <f>G4+J4</f>
        <v>0</v>
      </c>
      <c r="L4" s="68"/>
      <c r="M4" s="40">
        <f t="shared" ref="M4:M34" si="1">M3+K4-L4</f>
        <v>108316.17139999993</v>
      </c>
      <c r="N4" s="8"/>
    </row>
    <row r="5" spans="1:14">
      <c r="A5" s="46">
        <v>2</v>
      </c>
      <c r="B5" s="219">
        <v>45810</v>
      </c>
      <c r="C5" s="67"/>
      <c r="D5" s="159"/>
      <c r="E5" s="257"/>
      <c r="F5" s="257"/>
      <c r="G5" s="8">
        <f t="shared" ref="G5:G34" si="2">E5*F5</f>
        <v>0</v>
      </c>
      <c r="H5" s="65"/>
      <c r="I5" s="66"/>
      <c r="J5" s="8">
        <f t="shared" ref="J5:J34" si="3">H5*I5</f>
        <v>0</v>
      </c>
      <c r="K5" s="8">
        <f t="shared" ref="K5:L34" si="4">G5+J5</f>
        <v>0</v>
      </c>
      <c r="L5" s="68"/>
      <c r="M5" s="40">
        <f t="shared" si="1"/>
        <v>108316.17139999993</v>
      </c>
      <c r="N5" s="8"/>
    </row>
    <row r="6" spans="1:14">
      <c r="A6" s="46">
        <v>3</v>
      </c>
      <c r="B6" s="219">
        <v>45811</v>
      </c>
      <c r="C6" s="67"/>
      <c r="D6" s="159"/>
      <c r="E6" s="257"/>
      <c r="F6" s="257"/>
      <c r="G6" s="8">
        <f t="shared" si="2"/>
        <v>0</v>
      </c>
      <c r="H6" s="65"/>
      <c r="I6" s="66"/>
      <c r="J6" s="8">
        <f t="shared" si="3"/>
        <v>0</v>
      </c>
      <c r="K6" s="8">
        <f t="shared" si="4"/>
        <v>0</v>
      </c>
      <c r="L6" s="68"/>
      <c r="M6" s="40">
        <f t="shared" si="1"/>
        <v>108316.17139999993</v>
      </c>
      <c r="N6" s="8"/>
    </row>
    <row r="7" spans="1:14">
      <c r="A7" s="46">
        <v>4</v>
      </c>
      <c r="B7" s="219">
        <v>45812</v>
      </c>
      <c r="C7" s="67"/>
      <c r="D7" s="159"/>
      <c r="E7" s="257"/>
      <c r="F7" s="257"/>
      <c r="G7" s="8">
        <f t="shared" si="2"/>
        <v>0</v>
      </c>
      <c r="H7" s="65"/>
      <c r="I7" s="66"/>
      <c r="J7" s="8">
        <f t="shared" si="3"/>
        <v>0</v>
      </c>
      <c r="K7" s="8">
        <f t="shared" si="4"/>
        <v>0</v>
      </c>
      <c r="L7" s="68"/>
      <c r="M7" s="40">
        <f t="shared" si="1"/>
        <v>108316.17139999993</v>
      </c>
      <c r="N7" s="8"/>
    </row>
    <row r="8" spans="1:14">
      <c r="A8" s="46">
        <v>5</v>
      </c>
      <c r="B8" s="219">
        <v>45813</v>
      </c>
      <c r="C8" s="67"/>
      <c r="D8" s="159"/>
      <c r="E8" s="257"/>
      <c r="F8" s="257"/>
      <c r="G8" s="8">
        <f t="shared" si="2"/>
        <v>0</v>
      </c>
      <c r="H8" s="65"/>
      <c r="I8" s="66"/>
      <c r="J8" s="8">
        <f t="shared" si="3"/>
        <v>0</v>
      </c>
      <c r="K8" s="8">
        <f t="shared" si="4"/>
        <v>0</v>
      </c>
      <c r="L8" s="68"/>
      <c r="M8" s="40">
        <f t="shared" si="1"/>
        <v>108316.17139999993</v>
      </c>
      <c r="N8" s="8"/>
    </row>
    <row r="9" spans="1:14">
      <c r="A9" s="46">
        <v>6</v>
      </c>
      <c r="B9" s="219">
        <v>45814</v>
      </c>
      <c r="C9" s="67"/>
      <c r="D9" s="159"/>
      <c r="E9" s="257"/>
      <c r="F9" s="257"/>
      <c r="G9" s="8">
        <f t="shared" si="2"/>
        <v>0</v>
      </c>
      <c r="H9" s="65"/>
      <c r="I9" s="66"/>
      <c r="J9" s="8">
        <f t="shared" si="3"/>
        <v>0</v>
      </c>
      <c r="K9" s="8">
        <f t="shared" si="4"/>
        <v>0</v>
      </c>
      <c r="L9" s="68"/>
      <c r="M9" s="40">
        <f t="shared" si="1"/>
        <v>108316.17139999993</v>
      </c>
      <c r="N9" s="8"/>
    </row>
    <row r="10" spans="1:14">
      <c r="A10" s="46">
        <v>7</v>
      </c>
      <c r="B10" s="219">
        <v>45815</v>
      </c>
      <c r="C10" s="67"/>
      <c r="D10" s="159"/>
      <c r="E10" s="257"/>
      <c r="F10" s="257"/>
      <c r="G10" s="8">
        <f t="shared" si="2"/>
        <v>0</v>
      </c>
      <c r="H10" s="65"/>
      <c r="I10" s="66"/>
      <c r="J10" s="8">
        <f t="shared" si="3"/>
        <v>0</v>
      </c>
      <c r="K10" s="8">
        <f t="shared" si="4"/>
        <v>0</v>
      </c>
      <c r="L10" s="68"/>
      <c r="M10" s="40">
        <f t="shared" si="1"/>
        <v>108316.17139999993</v>
      </c>
      <c r="N10" s="8"/>
    </row>
    <row r="11" spans="1:14">
      <c r="A11" s="46">
        <v>8</v>
      </c>
      <c r="B11" s="219">
        <v>45816</v>
      </c>
      <c r="C11" s="67"/>
      <c r="D11" s="159"/>
      <c r="E11" s="257"/>
      <c r="F11" s="257"/>
      <c r="G11" s="8">
        <f t="shared" si="2"/>
        <v>0</v>
      </c>
      <c r="H11" s="65"/>
      <c r="I11" s="66"/>
      <c r="J11" s="8">
        <f t="shared" si="3"/>
        <v>0</v>
      </c>
      <c r="K11" s="8">
        <f t="shared" si="4"/>
        <v>0</v>
      </c>
      <c r="L11" s="68">
        <v>108316</v>
      </c>
      <c r="M11" s="40">
        <f t="shared" si="1"/>
        <v>0.17139999993378296</v>
      </c>
      <c r="N11" s="8"/>
    </row>
    <row r="12" spans="1:14">
      <c r="A12" s="46">
        <v>9</v>
      </c>
      <c r="B12" s="219">
        <v>45817</v>
      </c>
      <c r="C12" s="67"/>
      <c r="D12" s="159"/>
      <c r="E12" s="257">
        <v>47.24</v>
      </c>
      <c r="F12" s="257">
        <v>104.56</v>
      </c>
      <c r="G12" s="8">
        <f t="shared" si="2"/>
        <v>4939.4144000000006</v>
      </c>
      <c r="H12" s="65"/>
      <c r="I12" s="66"/>
      <c r="J12" s="8">
        <f t="shared" si="3"/>
        <v>0</v>
      </c>
      <c r="K12" s="8">
        <f t="shared" si="4"/>
        <v>4939.4144000000006</v>
      </c>
      <c r="L12" s="68"/>
      <c r="M12" s="40">
        <f t="shared" si="1"/>
        <v>4939.5857999999344</v>
      </c>
      <c r="N12" s="8"/>
    </row>
    <row r="13" spans="1:14">
      <c r="A13" s="46">
        <v>10</v>
      </c>
      <c r="B13" s="219">
        <v>45818</v>
      </c>
      <c r="C13" s="67"/>
      <c r="D13" s="159"/>
      <c r="E13" s="257"/>
      <c r="F13" s="257"/>
      <c r="G13" s="8">
        <f t="shared" si="2"/>
        <v>0</v>
      </c>
      <c r="H13" s="65"/>
      <c r="I13" s="66"/>
      <c r="J13" s="8">
        <f t="shared" si="3"/>
        <v>0</v>
      </c>
      <c r="K13" s="8">
        <f t="shared" si="4"/>
        <v>0</v>
      </c>
      <c r="L13" s="68"/>
      <c r="M13" s="40">
        <f t="shared" si="1"/>
        <v>4939.5857999999344</v>
      </c>
      <c r="N13" s="8"/>
    </row>
    <row r="14" spans="1:14">
      <c r="A14" s="46">
        <v>11</v>
      </c>
      <c r="B14" s="219">
        <v>45819</v>
      </c>
      <c r="C14" s="67"/>
      <c r="D14" s="159"/>
      <c r="E14" s="257"/>
      <c r="F14" s="257"/>
      <c r="G14" s="8">
        <f t="shared" si="2"/>
        <v>0</v>
      </c>
      <c r="H14" s="65"/>
      <c r="I14" s="66"/>
      <c r="J14" s="8">
        <f t="shared" si="3"/>
        <v>0</v>
      </c>
      <c r="K14" s="8">
        <f t="shared" si="4"/>
        <v>0</v>
      </c>
      <c r="L14" s="68"/>
      <c r="M14" s="40">
        <f t="shared" si="1"/>
        <v>4939.5857999999344</v>
      </c>
      <c r="N14" s="8"/>
    </row>
    <row r="15" spans="1:14">
      <c r="A15" s="46">
        <v>12</v>
      </c>
      <c r="B15" s="219">
        <v>45820</v>
      </c>
      <c r="C15" s="67"/>
      <c r="D15" s="159"/>
      <c r="E15" s="257">
        <v>190.32</v>
      </c>
      <c r="F15" s="257">
        <v>104.56</v>
      </c>
      <c r="G15" s="8">
        <f t="shared" si="2"/>
        <v>19899.859199999999</v>
      </c>
      <c r="H15" s="65">
        <v>15</v>
      </c>
      <c r="I15" s="66">
        <v>116.54</v>
      </c>
      <c r="J15" s="8">
        <f t="shared" si="3"/>
        <v>1748.1000000000001</v>
      </c>
      <c r="K15" s="8">
        <f t="shared" si="4"/>
        <v>21647.959199999998</v>
      </c>
      <c r="L15" s="68"/>
      <c r="M15" s="40">
        <f t="shared" si="1"/>
        <v>26587.544999999933</v>
      </c>
      <c r="N15" s="8"/>
    </row>
    <row r="16" spans="1:14">
      <c r="A16" s="46">
        <v>13</v>
      </c>
      <c r="B16" s="219">
        <v>45821</v>
      </c>
      <c r="C16" s="67"/>
      <c r="D16" s="159"/>
      <c r="E16" s="257">
        <v>112</v>
      </c>
      <c r="F16" s="257">
        <v>104.56</v>
      </c>
      <c r="G16" s="8">
        <f t="shared" si="2"/>
        <v>11710.720000000001</v>
      </c>
      <c r="H16" s="65"/>
      <c r="I16" s="66"/>
      <c r="J16" s="8">
        <f t="shared" si="3"/>
        <v>0</v>
      </c>
      <c r="K16" s="8">
        <f t="shared" si="4"/>
        <v>11710.720000000001</v>
      </c>
      <c r="L16" s="68"/>
      <c r="M16" s="40">
        <f t="shared" si="1"/>
        <v>38298.264999999934</v>
      </c>
      <c r="N16" s="8"/>
    </row>
    <row r="17" spans="1:17">
      <c r="A17" s="46">
        <v>14</v>
      </c>
      <c r="B17" s="219">
        <v>45822</v>
      </c>
      <c r="C17" s="67"/>
      <c r="D17" s="159"/>
      <c r="E17" s="257">
        <v>0</v>
      </c>
      <c r="F17" s="257">
        <v>104.56</v>
      </c>
      <c r="G17" s="8">
        <f t="shared" si="2"/>
        <v>0</v>
      </c>
      <c r="H17" s="65">
        <v>8</v>
      </c>
      <c r="I17" s="66">
        <v>116.54</v>
      </c>
      <c r="J17" s="8">
        <f t="shared" si="3"/>
        <v>932.32</v>
      </c>
      <c r="K17" s="8">
        <f t="shared" si="4"/>
        <v>932.32</v>
      </c>
      <c r="L17" s="68"/>
      <c r="M17" s="40">
        <f t="shared" si="1"/>
        <v>39230.584999999934</v>
      </c>
      <c r="N17" s="8"/>
    </row>
    <row r="18" spans="1:17">
      <c r="A18" s="46">
        <v>15</v>
      </c>
      <c r="B18" s="219">
        <v>45823</v>
      </c>
      <c r="C18" s="67"/>
      <c r="D18" s="159"/>
      <c r="E18" s="396">
        <v>564.77</v>
      </c>
      <c r="F18" s="257">
        <v>104.56</v>
      </c>
      <c r="G18" s="8">
        <f t="shared" si="2"/>
        <v>59052.351199999997</v>
      </c>
      <c r="H18" s="65">
        <v>10</v>
      </c>
      <c r="I18" s="66">
        <v>116.54</v>
      </c>
      <c r="J18" s="8">
        <f t="shared" si="3"/>
        <v>1165.4000000000001</v>
      </c>
      <c r="K18" s="8">
        <f t="shared" si="4"/>
        <v>60217.751199999999</v>
      </c>
      <c r="L18" s="68"/>
      <c r="M18" s="40">
        <f t="shared" si="1"/>
        <v>99448.336199999932</v>
      </c>
      <c r="N18" s="8"/>
    </row>
    <row r="19" spans="1:17">
      <c r="A19" s="46">
        <v>16</v>
      </c>
      <c r="B19" s="219">
        <v>45824</v>
      </c>
      <c r="C19" s="67"/>
      <c r="D19" s="159"/>
      <c r="E19" s="257">
        <v>34.9</v>
      </c>
      <c r="F19" s="257">
        <v>104.56</v>
      </c>
      <c r="G19" s="8">
        <f t="shared" si="2"/>
        <v>3649.1439999999998</v>
      </c>
      <c r="H19" s="65">
        <v>3</v>
      </c>
      <c r="I19" s="66">
        <v>116.54</v>
      </c>
      <c r="J19" s="8">
        <f t="shared" si="3"/>
        <v>349.62</v>
      </c>
      <c r="K19" s="8">
        <f t="shared" si="4"/>
        <v>3998.7639999999997</v>
      </c>
      <c r="L19" s="68"/>
      <c r="M19" s="40">
        <f t="shared" si="1"/>
        <v>103447.10019999993</v>
      </c>
      <c r="N19" s="8"/>
    </row>
    <row r="20" spans="1:17">
      <c r="A20" s="46">
        <v>17</v>
      </c>
      <c r="B20" s="219">
        <v>45825</v>
      </c>
      <c r="C20" s="67"/>
      <c r="D20" s="159"/>
      <c r="E20" s="257">
        <v>1379.47</v>
      </c>
      <c r="F20" s="257">
        <v>104.56</v>
      </c>
      <c r="G20" s="8">
        <f t="shared" si="2"/>
        <v>144237.38320000001</v>
      </c>
      <c r="H20" s="65">
        <v>13</v>
      </c>
      <c r="I20" s="66">
        <v>116.54</v>
      </c>
      <c r="J20" s="8">
        <f t="shared" si="3"/>
        <v>1515.02</v>
      </c>
      <c r="K20" s="8">
        <f t="shared" si="4"/>
        <v>145752.4032</v>
      </c>
      <c r="L20" s="68"/>
      <c r="M20" s="40">
        <f t="shared" si="1"/>
        <v>249199.50339999993</v>
      </c>
      <c r="N20" s="8"/>
    </row>
    <row r="21" spans="1:17">
      <c r="A21" s="46">
        <v>18</v>
      </c>
      <c r="B21" s="219">
        <v>45826</v>
      </c>
      <c r="C21" s="67"/>
      <c r="D21" s="159"/>
      <c r="E21" s="396">
        <v>373.32</v>
      </c>
      <c r="F21" s="257">
        <v>104.56</v>
      </c>
      <c r="G21" s="8">
        <f t="shared" si="2"/>
        <v>39034.339200000002</v>
      </c>
      <c r="H21" s="65"/>
      <c r="I21" s="66"/>
      <c r="J21" s="8">
        <f t="shared" si="3"/>
        <v>0</v>
      </c>
      <c r="K21" s="8">
        <f t="shared" si="4"/>
        <v>39034.339200000002</v>
      </c>
      <c r="L21" s="68"/>
      <c r="M21" s="40">
        <f>M20+K21-L21</f>
        <v>288233.84259999992</v>
      </c>
      <c r="N21" s="8"/>
    </row>
    <row r="22" spans="1:17">
      <c r="A22" s="46">
        <v>19</v>
      </c>
      <c r="B22" s="219">
        <v>45827</v>
      </c>
      <c r="C22" s="67"/>
      <c r="D22" s="159"/>
      <c r="E22" s="65"/>
      <c r="F22" s="257"/>
      <c r="G22" s="8">
        <f t="shared" si="2"/>
        <v>0</v>
      </c>
      <c r="H22" s="65">
        <v>10</v>
      </c>
      <c r="I22" s="66">
        <v>116.54</v>
      </c>
      <c r="J22" s="8">
        <f t="shared" si="3"/>
        <v>1165.4000000000001</v>
      </c>
      <c r="K22" s="8">
        <f t="shared" si="4"/>
        <v>1165.4000000000001</v>
      </c>
      <c r="L22" s="68"/>
      <c r="M22" s="40">
        <f t="shared" si="1"/>
        <v>289399.24259999994</v>
      </c>
      <c r="N22" s="8"/>
    </row>
    <row r="23" spans="1:17">
      <c r="A23" s="46">
        <v>20</v>
      </c>
      <c r="B23" s="219">
        <v>45828</v>
      </c>
      <c r="C23" s="67"/>
      <c r="D23" s="159"/>
      <c r="E23" s="257">
        <v>37.200000000000003</v>
      </c>
      <c r="F23" s="257">
        <v>104.56</v>
      </c>
      <c r="G23" s="8">
        <f t="shared" si="2"/>
        <v>3889.6320000000005</v>
      </c>
      <c r="H23" s="65"/>
      <c r="I23" s="66"/>
      <c r="J23" s="8">
        <f t="shared" si="3"/>
        <v>0</v>
      </c>
      <c r="K23" s="8">
        <f t="shared" si="4"/>
        <v>3889.6320000000005</v>
      </c>
      <c r="L23" s="68"/>
      <c r="M23" s="40">
        <f t="shared" si="1"/>
        <v>293288.87459999992</v>
      </c>
      <c r="N23" s="8"/>
      <c r="Q23">
        <v>96.44</v>
      </c>
    </row>
    <row r="24" spans="1:17">
      <c r="A24" s="46">
        <v>21</v>
      </c>
      <c r="B24" s="219">
        <v>45829</v>
      </c>
      <c r="C24" s="67"/>
      <c r="D24" s="159"/>
      <c r="E24" s="257"/>
      <c r="F24" s="257"/>
      <c r="G24" s="8">
        <f t="shared" si="2"/>
        <v>0</v>
      </c>
      <c r="H24" s="65"/>
      <c r="I24" s="66"/>
      <c r="J24" s="8">
        <f t="shared" si="3"/>
        <v>0</v>
      </c>
      <c r="K24" s="8">
        <f t="shared" si="4"/>
        <v>0</v>
      </c>
      <c r="L24" s="68"/>
      <c r="M24" s="40">
        <f t="shared" si="1"/>
        <v>293288.87459999992</v>
      </c>
      <c r="N24" s="8"/>
    </row>
    <row r="25" spans="1:17">
      <c r="A25" s="46">
        <v>22</v>
      </c>
      <c r="B25" s="219">
        <v>45830</v>
      </c>
      <c r="C25" s="67"/>
      <c r="D25" s="159"/>
      <c r="E25" s="257">
        <v>200</v>
      </c>
      <c r="F25" s="257">
        <v>104.56</v>
      </c>
      <c r="G25" s="8">
        <f t="shared" si="2"/>
        <v>20912</v>
      </c>
      <c r="H25" s="65">
        <v>5</v>
      </c>
      <c r="I25" s="66">
        <v>116.54</v>
      </c>
      <c r="J25" s="8">
        <f t="shared" si="3"/>
        <v>582.70000000000005</v>
      </c>
      <c r="K25" s="8">
        <f t="shared" si="4"/>
        <v>21494.7</v>
      </c>
      <c r="L25" s="68"/>
      <c r="M25" s="40">
        <f t="shared" si="1"/>
        <v>314783.57459999993</v>
      </c>
      <c r="N25" s="8"/>
    </row>
    <row r="26" spans="1:17">
      <c r="A26" s="46">
        <v>23</v>
      </c>
      <c r="B26" s="219">
        <v>45831</v>
      </c>
      <c r="C26" s="67"/>
      <c r="D26" s="159"/>
      <c r="E26" s="257">
        <v>41.93</v>
      </c>
      <c r="F26" s="257">
        <v>104.56</v>
      </c>
      <c r="G26" s="8">
        <f t="shared" si="2"/>
        <v>4384.2007999999996</v>
      </c>
      <c r="H26" s="65">
        <v>5</v>
      </c>
      <c r="I26" s="66">
        <v>116.54</v>
      </c>
      <c r="J26" s="8">
        <f t="shared" si="3"/>
        <v>582.70000000000005</v>
      </c>
      <c r="K26" s="8">
        <f t="shared" si="4"/>
        <v>4966.9007999999994</v>
      </c>
      <c r="L26" s="68"/>
      <c r="M26" s="40">
        <f t="shared" si="1"/>
        <v>319750.47539999994</v>
      </c>
      <c r="N26" s="8"/>
    </row>
    <row r="27" spans="1:17">
      <c r="A27" s="46">
        <v>24</v>
      </c>
      <c r="B27" s="219">
        <v>45832</v>
      </c>
      <c r="C27" s="67"/>
      <c r="D27" s="159"/>
      <c r="E27" s="257"/>
      <c r="F27" s="257"/>
      <c r="G27" s="8">
        <f t="shared" si="2"/>
        <v>0</v>
      </c>
      <c r="H27" s="65">
        <v>20</v>
      </c>
      <c r="I27" s="66">
        <v>116.54</v>
      </c>
      <c r="J27" s="8">
        <f t="shared" si="3"/>
        <v>2330.8000000000002</v>
      </c>
      <c r="K27" s="8">
        <f t="shared" si="4"/>
        <v>2330.8000000000002</v>
      </c>
      <c r="L27" s="68"/>
      <c r="M27" s="40">
        <f t="shared" si="1"/>
        <v>322081.27539999993</v>
      </c>
      <c r="N27" s="8"/>
    </row>
    <row r="28" spans="1:17">
      <c r="A28" s="221">
        <v>25</v>
      </c>
      <c r="B28" s="219">
        <v>45833</v>
      </c>
      <c r="C28" s="67"/>
      <c r="D28" s="159"/>
      <c r="E28" s="257">
        <v>37.75</v>
      </c>
      <c r="F28" s="257">
        <v>104.56</v>
      </c>
      <c r="G28" s="8">
        <f t="shared" si="2"/>
        <v>3947.14</v>
      </c>
      <c r="H28" s="65"/>
      <c r="I28" s="66"/>
      <c r="J28" s="8">
        <v>0</v>
      </c>
      <c r="K28" s="8">
        <f t="shared" si="4"/>
        <v>3947.14</v>
      </c>
      <c r="L28" s="68">
        <v>200000</v>
      </c>
      <c r="M28" s="40">
        <f>M27+K28-L28</f>
        <v>126028.41539999994</v>
      </c>
      <c r="N28" s="8"/>
    </row>
    <row r="29" spans="1:17">
      <c r="A29" s="221">
        <v>26</v>
      </c>
      <c r="B29" s="219">
        <v>45834</v>
      </c>
      <c r="C29" s="67"/>
      <c r="D29" s="159"/>
      <c r="E29" s="257"/>
      <c r="F29" s="257"/>
      <c r="G29" s="8">
        <f t="shared" si="2"/>
        <v>0</v>
      </c>
      <c r="H29" s="65"/>
      <c r="I29" s="66"/>
      <c r="J29" s="8">
        <f t="shared" si="3"/>
        <v>0</v>
      </c>
      <c r="K29" s="8">
        <f t="shared" si="4"/>
        <v>0</v>
      </c>
      <c r="L29" s="68"/>
      <c r="M29" s="40">
        <f t="shared" si="1"/>
        <v>126028.41539999994</v>
      </c>
      <c r="N29" s="8"/>
    </row>
    <row r="30" spans="1:17">
      <c r="A30" s="221">
        <v>27</v>
      </c>
      <c r="B30" s="219">
        <v>45835</v>
      </c>
      <c r="C30" s="67"/>
      <c r="D30" s="159"/>
      <c r="E30" s="257"/>
      <c r="F30" s="257"/>
      <c r="G30" s="8">
        <f t="shared" si="2"/>
        <v>0</v>
      </c>
      <c r="H30" s="65">
        <v>5</v>
      </c>
      <c r="I30" s="66">
        <v>116.54</v>
      </c>
      <c r="J30" s="8">
        <f t="shared" si="3"/>
        <v>582.70000000000005</v>
      </c>
      <c r="K30" s="8">
        <f t="shared" si="4"/>
        <v>582.70000000000005</v>
      </c>
      <c r="L30" s="68"/>
      <c r="M30" s="40">
        <f t="shared" si="1"/>
        <v>126611.11539999994</v>
      </c>
      <c r="N30" s="8"/>
    </row>
    <row r="31" spans="1:17">
      <c r="A31" s="221">
        <v>28</v>
      </c>
      <c r="B31" s="219">
        <v>45836</v>
      </c>
      <c r="C31" s="67"/>
      <c r="D31" s="159"/>
      <c r="E31" s="257"/>
      <c r="F31" s="257"/>
      <c r="G31" s="8">
        <f t="shared" si="2"/>
        <v>0</v>
      </c>
      <c r="H31" s="65"/>
      <c r="I31" s="66"/>
      <c r="J31" s="8">
        <f t="shared" si="3"/>
        <v>0</v>
      </c>
      <c r="K31" s="8">
        <f t="shared" si="4"/>
        <v>0</v>
      </c>
      <c r="L31" s="68"/>
      <c r="M31" s="40">
        <f t="shared" si="1"/>
        <v>126611.11539999994</v>
      </c>
      <c r="N31" s="8"/>
    </row>
    <row r="32" spans="1:17">
      <c r="A32" s="222">
        <v>29</v>
      </c>
      <c r="B32" s="219">
        <v>45837</v>
      </c>
      <c r="C32" s="67"/>
      <c r="D32" s="159"/>
      <c r="E32" s="257"/>
      <c r="F32" s="257"/>
      <c r="G32" s="8">
        <f t="shared" si="2"/>
        <v>0</v>
      </c>
      <c r="H32" s="65"/>
      <c r="I32" s="66"/>
      <c r="J32" s="8">
        <f t="shared" si="3"/>
        <v>0</v>
      </c>
      <c r="K32" s="8">
        <f t="shared" si="4"/>
        <v>0</v>
      </c>
      <c r="L32" s="68"/>
      <c r="M32" s="40">
        <f t="shared" si="1"/>
        <v>126611.11539999994</v>
      </c>
      <c r="N32" s="8"/>
    </row>
    <row r="33" spans="1:14">
      <c r="A33" s="222">
        <v>30</v>
      </c>
      <c r="B33" s="219">
        <v>45838</v>
      </c>
      <c r="C33" s="67"/>
      <c r="D33" s="159"/>
      <c r="E33" s="257"/>
      <c r="F33" s="257"/>
      <c r="G33" s="8">
        <f t="shared" si="2"/>
        <v>0</v>
      </c>
      <c r="H33" s="65">
        <v>15</v>
      </c>
      <c r="I33" s="66">
        <v>116.54</v>
      </c>
      <c r="J33" s="8">
        <f t="shared" si="3"/>
        <v>1748.1000000000001</v>
      </c>
      <c r="K33" s="8">
        <f t="shared" si="4"/>
        <v>1748.1000000000001</v>
      </c>
      <c r="L33" s="68">
        <v>0</v>
      </c>
      <c r="M33" s="40">
        <f t="shared" si="1"/>
        <v>128359.21539999994</v>
      </c>
      <c r="N33" s="8"/>
    </row>
    <row r="34" spans="1:14">
      <c r="A34" s="222">
        <v>31</v>
      </c>
      <c r="B34" s="219"/>
      <c r="C34" s="67"/>
      <c r="D34" s="159"/>
      <c r="E34" s="257"/>
      <c r="F34" s="257"/>
      <c r="G34" s="8">
        <f t="shared" si="2"/>
        <v>0</v>
      </c>
      <c r="H34" s="65"/>
      <c r="I34" s="66"/>
      <c r="J34" s="8">
        <f t="shared" si="3"/>
        <v>0</v>
      </c>
      <c r="K34" s="8">
        <f t="shared" si="4"/>
        <v>0</v>
      </c>
      <c r="L34" s="68">
        <v>0</v>
      </c>
      <c r="M34" s="40">
        <f t="shared" si="1"/>
        <v>128359.21539999994</v>
      </c>
      <c r="N34" s="8"/>
    </row>
    <row r="35" spans="1:14">
      <c r="A35" s="62"/>
      <c r="B35" s="62"/>
      <c r="C35" s="62"/>
      <c r="D35" s="62"/>
      <c r="E35" s="258">
        <f>SUM(E4:E34)</f>
        <v>3018.8999999999996</v>
      </c>
      <c r="F35" s="258"/>
      <c r="G35" s="63">
        <f>SUM(G4:G34)</f>
        <v>315656.18400000001</v>
      </c>
      <c r="H35" s="63">
        <f>SUM(H4:H34)</f>
        <v>109</v>
      </c>
      <c r="I35" s="63"/>
      <c r="J35" s="63">
        <f>SUM(J4:J34)</f>
        <v>12702.860000000002</v>
      </c>
      <c r="K35" s="63">
        <f>SUM(K4:K34)</f>
        <v>328359.04399999999</v>
      </c>
      <c r="L35" s="63">
        <f>SUM(L4:L34)</f>
        <v>308316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7192-5352-4637-BAE5-2FBCF1C76B46}">
  <dimension ref="A1:N36"/>
  <sheetViews>
    <sheetView topLeftCell="A13" workbookViewId="0">
      <selection activeCell="B4" sqref="B4"/>
    </sheetView>
  </sheetViews>
  <sheetFormatPr defaultRowHeight="15"/>
  <cols>
    <col min="2" max="2" width="11.42578125" customWidth="1"/>
    <col min="5" max="5" width="15.42578125" customWidth="1"/>
    <col min="7" max="7" width="14.5703125" customWidth="1"/>
    <col min="11" max="11" width="13.5703125" bestFit="1" customWidth="1"/>
    <col min="12" max="12" width="12.5703125" customWidth="1"/>
    <col min="13" max="13" width="11.5703125" bestFit="1" customWidth="1"/>
  </cols>
  <sheetData>
    <row r="1" spans="1:14" ht="15.75">
      <c r="A1" s="546" t="s">
        <v>195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4" ht="30.75">
      <c r="A2" s="98" t="s">
        <v>0</v>
      </c>
      <c r="B2" s="99" t="s">
        <v>167</v>
      </c>
      <c r="C2" s="99" t="s">
        <v>168</v>
      </c>
      <c r="D2" s="99" t="s">
        <v>191</v>
      </c>
      <c r="E2" s="256" t="s">
        <v>170</v>
      </c>
      <c r="F2" s="256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139" t="s">
        <v>175</v>
      </c>
      <c r="M2" s="143" t="s">
        <v>192</v>
      </c>
      <c r="N2" s="101" t="s">
        <v>177</v>
      </c>
    </row>
    <row r="3" spans="1:14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8">
        <v>986125.39289999974</v>
      </c>
      <c r="N3" s="156"/>
    </row>
    <row r="4" spans="1:14">
      <c r="A4" s="196">
        <v>1</v>
      </c>
      <c r="B4" s="219">
        <v>45809</v>
      </c>
      <c r="C4" s="67"/>
      <c r="D4" s="159"/>
      <c r="E4" s="266">
        <v>690</v>
      </c>
      <c r="F4" s="379">
        <v>104.35</v>
      </c>
      <c r="G4" s="8">
        <f t="shared" ref="G4:G35" si="0">E4*F4</f>
        <v>72001.5</v>
      </c>
      <c r="H4" s="266"/>
      <c r="I4" s="295"/>
      <c r="J4" s="8">
        <f>H4*I4</f>
        <v>0</v>
      </c>
      <c r="K4" s="8">
        <f>G4+J4</f>
        <v>72001.5</v>
      </c>
      <c r="L4" s="68">
        <v>300000</v>
      </c>
      <c r="M4" s="40">
        <f>M3+K4-L4</f>
        <v>758126.89289999986</v>
      </c>
      <c r="N4" s="8"/>
    </row>
    <row r="5" spans="1:14">
      <c r="A5" s="46">
        <v>2</v>
      </c>
      <c r="B5" s="219">
        <v>45810</v>
      </c>
      <c r="C5" s="67"/>
      <c r="D5" s="159"/>
      <c r="E5" s="266">
        <v>690</v>
      </c>
      <c r="F5" s="379">
        <v>104.35</v>
      </c>
      <c r="G5" s="8">
        <f t="shared" si="0"/>
        <v>72001.5</v>
      </c>
      <c r="H5" s="266">
        <v>6</v>
      </c>
      <c r="I5" s="295">
        <v>116.25</v>
      </c>
      <c r="J5" s="8">
        <f t="shared" ref="J5:J35" si="1">H5*I5</f>
        <v>697.5</v>
      </c>
      <c r="K5" s="8">
        <f t="shared" ref="K5:K35" si="2">G5+J5</f>
        <v>72699</v>
      </c>
      <c r="L5" s="68">
        <v>0</v>
      </c>
      <c r="M5" s="40">
        <f t="shared" ref="M5:M35" si="3">M4+K5-L5</f>
        <v>830825.89289999986</v>
      </c>
      <c r="N5" s="8"/>
    </row>
    <row r="6" spans="1:14">
      <c r="A6" s="46">
        <v>3</v>
      </c>
      <c r="B6" s="219">
        <v>45811</v>
      </c>
      <c r="C6" s="67"/>
      <c r="D6" s="159"/>
      <c r="E6" s="266">
        <v>490</v>
      </c>
      <c r="F6" s="379">
        <v>104.35</v>
      </c>
      <c r="G6" s="8">
        <f t="shared" si="0"/>
        <v>51131.5</v>
      </c>
      <c r="H6" s="266"/>
      <c r="I6" s="295"/>
      <c r="J6" s="8">
        <f t="shared" si="1"/>
        <v>0</v>
      </c>
      <c r="K6" s="8">
        <f t="shared" si="2"/>
        <v>51131.5</v>
      </c>
      <c r="L6" s="68">
        <v>0</v>
      </c>
      <c r="M6" s="40">
        <f t="shared" si="3"/>
        <v>881957.39289999986</v>
      </c>
      <c r="N6" s="8"/>
    </row>
    <row r="7" spans="1:14">
      <c r="A7" s="46">
        <v>4</v>
      </c>
      <c r="B7" s="219">
        <v>45812</v>
      </c>
      <c r="C7" s="67"/>
      <c r="D7" s="159"/>
      <c r="E7" s="266"/>
      <c r="F7" s="379"/>
      <c r="G7" s="8">
        <f t="shared" si="0"/>
        <v>0</v>
      </c>
      <c r="H7" s="266">
        <v>8</v>
      </c>
      <c r="I7" s="295">
        <v>126.03</v>
      </c>
      <c r="J7" s="8">
        <f t="shared" si="1"/>
        <v>1008.24</v>
      </c>
      <c r="K7" s="8">
        <f t="shared" si="2"/>
        <v>1008.24</v>
      </c>
      <c r="L7" s="68">
        <v>0</v>
      </c>
      <c r="M7" s="40">
        <f t="shared" si="3"/>
        <v>882965.63289999985</v>
      </c>
      <c r="N7" s="8"/>
    </row>
    <row r="8" spans="1:14">
      <c r="A8" s="46">
        <v>5</v>
      </c>
      <c r="B8" s="219">
        <v>45813</v>
      </c>
      <c r="C8" s="67"/>
      <c r="D8" s="159"/>
      <c r="E8" s="266">
        <v>690</v>
      </c>
      <c r="F8" s="379">
        <v>104.35</v>
      </c>
      <c r="G8" s="8">
        <f t="shared" si="0"/>
        <v>72001.5</v>
      </c>
      <c r="H8" s="266">
        <v>7</v>
      </c>
      <c r="I8" s="295">
        <v>116.25</v>
      </c>
      <c r="J8" s="8">
        <f t="shared" si="1"/>
        <v>813.75</v>
      </c>
      <c r="K8" s="8">
        <f t="shared" si="2"/>
        <v>72815.25</v>
      </c>
      <c r="L8" s="68">
        <v>0</v>
      </c>
      <c r="M8" s="40">
        <f t="shared" si="3"/>
        <v>955780.88289999985</v>
      </c>
      <c r="N8" s="8"/>
    </row>
    <row r="9" spans="1:14">
      <c r="A9" s="46">
        <v>6</v>
      </c>
      <c r="B9" s="219">
        <v>45814</v>
      </c>
      <c r="C9" s="67"/>
      <c r="D9" s="159"/>
      <c r="E9" s="266">
        <v>690</v>
      </c>
      <c r="F9" s="379">
        <v>104.35</v>
      </c>
      <c r="G9" s="8">
        <f t="shared" si="0"/>
        <v>72001.5</v>
      </c>
      <c r="H9" s="266">
        <v>6</v>
      </c>
      <c r="I9" s="295">
        <v>116.25</v>
      </c>
      <c r="J9" s="8">
        <f t="shared" si="1"/>
        <v>697.5</v>
      </c>
      <c r="K9" s="8">
        <f t="shared" si="2"/>
        <v>72699</v>
      </c>
      <c r="L9" s="68">
        <v>0</v>
      </c>
      <c r="M9" s="40">
        <f t="shared" si="3"/>
        <v>1028479.8828999999</v>
      </c>
      <c r="N9" s="8"/>
    </row>
    <row r="10" spans="1:14">
      <c r="A10" s="46">
        <v>7</v>
      </c>
      <c r="B10" s="219">
        <v>45815</v>
      </c>
      <c r="C10" s="67"/>
      <c r="D10" s="159"/>
      <c r="E10" s="266">
        <v>690</v>
      </c>
      <c r="F10" s="379">
        <v>104.35</v>
      </c>
      <c r="G10" s="8">
        <f t="shared" si="0"/>
        <v>72001.5</v>
      </c>
      <c r="H10" s="266"/>
      <c r="I10" s="295"/>
      <c r="J10" s="8">
        <f t="shared" si="1"/>
        <v>0</v>
      </c>
      <c r="K10" s="8">
        <f t="shared" si="2"/>
        <v>72001.5</v>
      </c>
      <c r="L10" s="68">
        <v>0</v>
      </c>
      <c r="M10" s="40">
        <f t="shared" si="3"/>
        <v>1100481.3828999999</v>
      </c>
      <c r="N10" s="8"/>
    </row>
    <row r="11" spans="1:14">
      <c r="A11" s="46">
        <v>8</v>
      </c>
      <c r="B11" s="219">
        <v>45816</v>
      </c>
      <c r="C11" s="67"/>
      <c r="D11" s="159"/>
      <c r="E11" s="266"/>
      <c r="F11" s="379"/>
      <c r="G11" s="8">
        <f t="shared" si="0"/>
        <v>0</v>
      </c>
      <c r="H11" s="266"/>
      <c r="I11" s="295"/>
      <c r="J11" s="8">
        <f t="shared" si="1"/>
        <v>0</v>
      </c>
      <c r="K11" s="8">
        <f t="shared" si="2"/>
        <v>0</v>
      </c>
      <c r="L11" s="68">
        <v>900000</v>
      </c>
      <c r="M11" s="40">
        <f t="shared" si="3"/>
        <v>200481.38289999985</v>
      </c>
      <c r="N11" s="8"/>
    </row>
    <row r="12" spans="1:14">
      <c r="A12" s="46">
        <v>9</v>
      </c>
      <c r="B12" s="219">
        <v>45817</v>
      </c>
      <c r="C12" s="67"/>
      <c r="D12" s="159"/>
      <c r="E12" s="266">
        <v>691</v>
      </c>
      <c r="F12" s="379">
        <v>104.35</v>
      </c>
      <c r="G12" s="8">
        <f t="shared" si="0"/>
        <v>72105.849999999991</v>
      </c>
      <c r="H12" s="266">
        <v>6</v>
      </c>
      <c r="I12" s="295">
        <v>116.25</v>
      </c>
      <c r="J12" s="8">
        <f t="shared" si="1"/>
        <v>697.5</v>
      </c>
      <c r="K12" s="8">
        <f t="shared" si="2"/>
        <v>72803.349999999991</v>
      </c>
      <c r="L12" s="68"/>
      <c r="M12" s="40">
        <f t="shared" si="3"/>
        <v>273284.73289999983</v>
      </c>
      <c r="N12" s="8"/>
    </row>
    <row r="13" spans="1:14">
      <c r="A13" s="46">
        <v>10</v>
      </c>
      <c r="B13" s="219">
        <v>45818</v>
      </c>
      <c r="C13" s="67"/>
      <c r="D13" s="159"/>
      <c r="E13" s="266">
        <v>690</v>
      </c>
      <c r="F13" s="379">
        <v>104.35</v>
      </c>
      <c r="G13" s="8">
        <f t="shared" si="0"/>
        <v>72001.5</v>
      </c>
      <c r="H13" s="266">
        <v>5</v>
      </c>
      <c r="I13" s="295">
        <v>116.25</v>
      </c>
      <c r="J13" s="8">
        <f t="shared" si="1"/>
        <v>581.25</v>
      </c>
      <c r="K13" s="8">
        <f t="shared" si="2"/>
        <v>72582.75</v>
      </c>
      <c r="L13" s="68"/>
      <c r="M13" s="40">
        <f t="shared" si="3"/>
        <v>345867.48289999983</v>
      </c>
      <c r="N13" s="8"/>
    </row>
    <row r="14" spans="1:14">
      <c r="A14" s="46">
        <v>11</v>
      </c>
      <c r="B14" s="219">
        <v>45819</v>
      </c>
      <c r="C14" s="67"/>
      <c r="D14" s="159"/>
      <c r="E14" s="266"/>
      <c r="F14" s="379"/>
      <c r="G14" s="8">
        <f t="shared" si="0"/>
        <v>0</v>
      </c>
      <c r="H14" s="266">
        <v>11</v>
      </c>
      <c r="I14" s="295">
        <v>126.03</v>
      </c>
      <c r="J14" s="8">
        <f t="shared" si="1"/>
        <v>1386.33</v>
      </c>
      <c r="K14" s="8">
        <f t="shared" si="2"/>
        <v>1386.33</v>
      </c>
      <c r="L14" s="68"/>
      <c r="M14" s="40">
        <f t="shared" si="3"/>
        <v>347253.81289999984</v>
      </c>
      <c r="N14" s="8" t="s">
        <v>183</v>
      </c>
    </row>
    <row r="15" spans="1:14">
      <c r="A15" s="46"/>
      <c r="B15" s="219">
        <v>45820</v>
      </c>
      <c r="C15" s="67"/>
      <c r="D15" s="159"/>
      <c r="E15" s="266">
        <v>690</v>
      </c>
      <c r="F15" s="379">
        <v>104.35</v>
      </c>
      <c r="G15" s="8">
        <f t="shared" si="0"/>
        <v>72001.5</v>
      </c>
      <c r="H15" s="266"/>
      <c r="I15" s="295"/>
      <c r="J15" s="8"/>
      <c r="K15" s="8">
        <f t="shared" si="2"/>
        <v>72001.5</v>
      </c>
      <c r="L15" s="68"/>
      <c r="M15" s="40">
        <f t="shared" si="3"/>
        <v>419255.31289999984</v>
      </c>
      <c r="N15" s="8"/>
    </row>
    <row r="16" spans="1:14">
      <c r="A16" s="46">
        <v>12</v>
      </c>
      <c r="B16" s="219">
        <v>45821</v>
      </c>
      <c r="C16" s="67"/>
      <c r="D16" s="159"/>
      <c r="E16" s="266">
        <v>690</v>
      </c>
      <c r="F16" s="379">
        <v>104.35</v>
      </c>
      <c r="G16" s="8">
        <f t="shared" si="0"/>
        <v>72001.5</v>
      </c>
      <c r="H16" s="266"/>
      <c r="I16" s="295"/>
      <c r="J16" s="8">
        <f t="shared" si="1"/>
        <v>0</v>
      </c>
      <c r="K16" s="8">
        <f t="shared" si="2"/>
        <v>72001.5</v>
      </c>
      <c r="L16" s="68"/>
      <c r="M16" s="40">
        <f t="shared" si="3"/>
        <v>491256.81289999984</v>
      </c>
      <c r="N16" s="8"/>
    </row>
    <row r="17" spans="1:14">
      <c r="A17" s="46">
        <v>13</v>
      </c>
      <c r="B17" s="219">
        <v>45822</v>
      </c>
      <c r="C17" s="67"/>
      <c r="D17" s="159"/>
      <c r="E17" s="266">
        <v>690</v>
      </c>
      <c r="F17" s="379">
        <v>104.35</v>
      </c>
      <c r="G17" s="8">
        <f t="shared" si="0"/>
        <v>72001.5</v>
      </c>
      <c r="H17" s="266"/>
      <c r="I17" s="295"/>
      <c r="J17" s="8">
        <f t="shared" si="1"/>
        <v>0</v>
      </c>
      <c r="K17" s="8">
        <f t="shared" si="2"/>
        <v>72001.5</v>
      </c>
      <c r="L17" s="68"/>
      <c r="M17" s="40">
        <f t="shared" si="3"/>
        <v>563258.31289999979</v>
      </c>
      <c r="N17" s="8"/>
    </row>
    <row r="18" spans="1:14">
      <c r="A18" s="46">
        <v>14</v>
      </c>
      <c r="B18" s="219">
        <v>45823</v>
      </c>
      <c r="C18" s="67"/>
      <c r="D18" s="159"/>
      <c r="E18" s="266"/>
      <c r="F18" s="379"/>
      <c r="G18" s="8">
        <f t="shared" si="0"/>
        <v>0</v>
      </c>
      <c r="H18" s="266"/>
      <c r="I18" s="295"/>
      <c r="J18" s="8">
        <f t="shared" si="1"/>
        <v>0</v>
      </c>
      <c r="K18" s="8">
        <f t="shared" si="2"/>
        <v>0</v>
      </c>
      <c r="L18" s="68"/>
      <c r="M18" s="40">
        <f t="shared" si="3"/>
        <v>563258.31289999979</v>
      </c>
      <c r="N18" s="8"/>
    </row>
    <row r="19" spans="1:14">
      <c r="A19" s="46">
        <v>15</v>
      </c>
      <c r="B19" s="219">
        <v>45824</v>
      </c>
      <c r="C19" s="67"/>
      <c r="D19" s="159"/>
      <c r="E19" s="266">
        <v>690</v>
      </c>
      <c r="F19" s="379">
        <v>104.35</v>
      </c>
      <c r="G19" s="8">
        <f t="shared" si="0"/>
        <v>72001.5</v>
      </c>
      <c r="H19" s="266"/>
      <c r="I19" s="295"/>
      <c r="J19" s="8">
        <f t="shared" si="1"/>
        <v>0</v>
      </c>
      <c r="K19" s="8">
        <f t="shared" si="2"/>
        <v>72001.5</v>
      </c>
      <c r="L19" s="68"/>
      <c r="M19" s="40">
        <f t="shared" si="3"/>
        <v>635259.81289999979</v>
      </c>
      <c r="N19" s="8"/>
    </row>
    <row r="20" spans="1:14">
      <c r="A20" s="46">
        <v>16</v>
      </c>
      <c r="B20" s="219">
        <v>45825</v>
      </c>
      <c r="C20" s="67"/>
      <c r="D20" s="159"/>
      <c r="E20" s="266">
        <v>690</v>
      </c>
      <c r="F20" s="379">
        <v>104.35</v>
      </c>
      <c r="G20" s="8">
        <f t="shared" si="0"/>
        <v>72001.5</v>
      </c>
      <c r="H20" s="266"/>
      <c r="I20" s="295"/>
      <c r="J20" s="8">
        <f t="shared" si="1"/>
        <v>0</v>
      </c>
      <c r="K20" s="8">
        <f t="shared" si="2"/>
        <v>72001.5</v>
      </c>
      <c r="L20" s="68">
        <v>500000</v>
      </c>
      <c r="M20" s="40">
        <f t="shared" si="3"/>
        <v>207261.31289999979</v>
      </c>
      <c r="N20" s="8"/>
    </row>
    <row r="21" spans="1:14">
      <c r="A21" s="46">
        <v>17</v>
      </c>
      <c r="B21" s="219">
        <v>45826</v>
      </c>
      <c r="C21" s="67"/>
      <c r="D21" s="159"/>
      <c r="E21" s="266">
        <v>690</v>
      </c>
      <c r="F21" s="379">
        <v>104.35</v>
      </c>
      <c r="G21" s="8">
        <f t="shared" si="0"/>
        <v>72001.5</v>
      </c>
      <c r="H21" s="266"/>
      <c r="I21" s="295"/>
      <c r="J21" s="8">
        <f t="shared" si="1"/>
        <v>0</v>
      </c>
      <c r="K21" s="8">
        <f t="shared" si="2"/>
        <v>72001.5</v>
      </c>
      <c r="L21" s="68"/>
      <c r="M21" s="40">
        <f t="shared" si="3"/>
        <v>279262.81289999979</v>
      </c>
      <c r="N21" s="8"/>
    </row>
    <row r="22" spans="1:14">
      <c r="A22" s="46">
        <v>18</v>
      </c>
      <c r="B22" s="219">
        <v>45827</v>
      </c>
      <c r="C22" s="67"/>
      <c r="D22" s="159"/>
      <c r="E22" s="266">
        <v>690</v>
      </c>
      <c r="F22" s="379">
        <v>104.35</v>
      </c>
      <c r="G22" s="8">
        <f t="shared" si="0"/>
        <v>72001.5</v>
      </c>
      <c r="H22" s="266"/>
      <c r="I22" s="295"/>
      <c r="J22" s="8">
        <f t="shared" si="1"/>
        <v>0</v>
      </c>
      <c r="K22" s="8">
        <f t="shared" si="2"/>
        <v>72001.5</v>
      </c>
      <c r="L22" s="68"/>
      <c r="M22" s="40">
        <f t="shared" si="3"/>
        <v>351264.31289999979</v>
      </c>
      <c r="N22" s="8"/>
    </row>
    <row r="23" spans="1:14">
      <c r="A23" s="46">
        <v>19</v>
      </c>
      <c r="B23" s="219">
        <v>45828</v>
      </c>
      <c r="C23" s="67"/>
      <c r="D23" s="159"/>
      <c r="E23" s="266">
        <v>690</v>
      </c>
      <c r="F23" s="379">
        <v>104.35</v>
      </c>
      <c r="G23" s="8">
        <f t="shared" si="0"/>
        <v>72001.5</v>
      </c>
      <c r="H23" s="266"/>
      <c r="I23" s="295"/>
      <c r="J23" s="8">
        <f t="shared" si="1"/>
        <v>0</v>
      </c>
      <c r="K23" s="8">
        <f t="shared" si="2"/>
        <v>72001.5</v>
      </c>
      <c r="L23" s="68"/>
      <c r="M23" s="40">
        <f t="shared" si="3"/>
        <v>423265.81289999979</v>
      </c>
      <c r="N23" s="8"/>
    </row>
    <row r="24" spans="1:14">
      <c r="A24" s="46">
        <v>20</v>
      </c>
      <c r="B24" s="219">
        <v>45829</v>
      </c>
      <c r="C24" s="67"/>
      <c r="D24" s="159"/>
      <c r="E24" s="266">
        <v>690</v>
      </c>
      <c r="F24" s="379">
        <v>104.35</v>
      </c>
      <c r="G24" s="8">
        <f t="shared" si="0"/>
        <v>72001.5</v>
      </c>
      <c r="H24" s="266"/>
      <c r="I24" s="295"/>
      <c r="J24" s="8">
        <f t="shared" si="1"/>
        <v>0</v>
      </c>
      <c r="K24" s="8">
        <f t="shared" si="2"/>
        <v>72001.5</v>
      </c>
      <c r="L24" s="68"/>
      <c r="M24" s="40">
        <f t="shared" si="3"/>
        <v>495267.31289999979</v>
      </c>
      <c r="N24" s="8"/>
    </row>
    <row r="25" spans="1:14">
      <c r="A25" s="46">
        <v>21</v>
      </c>
      <c r="B25" s="219">
        <v>45830</v>
      </c>
      <c r="C25" s="67"/>
      <c r="D25" s="159"/>
      <c r="E25" s="266"/>
      <c r="F25" s="379"/>
      <c r="G25" s="8">
        <f t="shared" si="0"/>
        <v>0</v>
      </c>
      <c r="H25" s="266"/>
      <c r="I25" s="295"/>
      <c r="J25" s="8">
        <f t="shared" si="1"/>
        <v>0</v>
      </c>
      <c r="K25" s="8">
        <f t="shared" si="2"/>
        <v>0</v>
      </c>
      <c r="L25" s="68"/>
      <c r="M25" s="40">
        <f t="shared" si="3"/>
        <v>495267.31289999979</v>
      </c>
      <c r="N25" s="8"/>
    </row>
    <row r="26" spans="1:14">
      <c r="A26" s="46">
        <v>22</v>
      </c>
      <c r="B26" s="219">
        <v>45831</v>
      </c>
      <c r="C26" s="67"/>
      <c r="D26" s="159"/>
      <c r="E26" s="266">
        <v>655</v>
      </c>
      <c r="F26" s="379">
        <v>104.35</v>
      </c>
      <c r="G26" s="8">
        <f t="shared" si="0"/>
        <v>68349.25</v>
      </c>
      <c r="H26" s="266"/>
      <c r="I26" s="295"/>
      <c r="J26" s="8">
        <f t="shared" si="1"/>
        <v>0</v>
      </c>
      <c r="K26" s="8">
        <f t="shared" si="2"/>
        <v>68349.25</v>
      </c>
      <c r="L26" s="68"/>
      <c r="M26" s="40">
        <f t="shared" si="3"/>
        <v>563616.56289999979</v>
      </c>
      <c r="N26" s="8"/>
    </row>
    <row r="27" spans="1:14">
      <c r="A27" s="46">
        <v>23</v>
      </c>
      <c r="B27" s="219">
        <v>45832</v>
      </c>
      <c r="C27" s="67"/>
      <c r="D27" s="159"/>
      <c r="E27" s="266">
        <v>690</v>
      </c>
      <c r="F27" s="379">
        <v>104.35</v>
      </c>
      <c r="G27" s="8">
        <f t="shared" si="0"/>
        <v>72001.5</v>
      </c>
      <c r="H27" s="266"/>
      <c r="I27" s="295"/>
      <c r="J27" s="8">
        <f t="shared" si="1"/>
        <v>0</v>
      </c>
      <c r="K27" s="8">
        <f t="shared" si="2"/>
        <v>72001.5</v>
      </c>
      <c r="L27" s="68"/>
      <c r="M27" s="40">
        <f t="shared" si="3"/>
        <v>635618.06289999979</v>
      </c>
      <c r="N27" s="8"/>
    </row>
    <row r="28" spans="1:14">
      <c r="A28" s="46">
        <v>24</v>
      </c>
      <c r="B28" s="219">
        <v>45833</v>
      </c>
      <c r="C28" s="67"/>
      <c r="D28" s="159"/>
      <c r="E28" s="266"/>
      <c r="F28" s="379"/>
      <c r="G28" s="8">
        <f t="shared" si="0"/>
        <v>0</v>
      </c>
      <c r="H28" s="266"/>
      <c r="I28" s="295"/>
      <c r="J28" s="8">
        <f t="shared" si="1"/>
        <v>0</v>
      </c>
      <c r="K28" s="8">
        <f t="shared" si="2"/>
        <v>0</v>
      </c>
      <c r="L28" s="68"/>
      <c r="M28" s="40">
        <f t="shared" si="3"/>
        <v>635618.06289999979</v>
      </c>
      <c r="N28" s="8"/>
    </row>
    <row r="29" spans="1:14">
      <c r="A29" s="221">
        <v>25</v>
      </c>
      <c r="B29" s="219">
        <v>45834</v>
      </c>
      <c r="C29" s="67"/>
      <c r="D29" s="159"/>
      <c r="E29" s="266"/>
      <c r="F29" s="379"/>
      <c r="G29" s="8">
        <f t="shared" si="0"/>
        <v>0</v>
      </c>
      <c r="H29" s="266"/>
      <c r="I29" s="295"/>
      <c r="J29" s="8">
        <f t="shared" si="1"/>
        <v>0</v>
      </c>
      <c r="K29" s="8">
        <f t="shared" si="2"/>
        <v>0</v>
      </c>
      <c r="L29" s="68">
        <v>500000</v>
      </c>
      <c r="M29" s="40">
        <f t="shared" si="3"/>
        <v>135618.06289999979</v>
      </c>
      <c r="N29" s="8"/>
    </row>
    <row r="30" spans="1:14">
      <c r="A30" s="221">
        <v>26</v>
      </c>
      <c r="B30" s="219">
        <v>45835</v>
      </c>
      <c r="C30" s="67"/>
      <c r="D30" s="159"/>
      <c r="E30" s="266"/>
      <c r="F30" s="379"/>
      <c r="G30" s="8">
        <f t="shared" si="0"/>
        <v>0</v>
      </c>
      <c r="H30" s="65"/>
      <c r="I30" s="66"/>
      <c r="J30" s="8">
        <f t="shared" si="1"/>
        <v>0</v>
      </c>
      <c r="K30" s="8">
        <f t="shared" si="2"/>
        <v>0</v>
      </c>
      <c r="L30" s="68"/>
      <c r="M30" s="40">
        <f t="shared" si="3"/>
        <v>135618.06289999979</v>
      </c>
      <c r="N30" s="8"/>
    </row>
    <row r="31" spans="1:14">
      <c r="A31" s="221">
        <v>27</v>
      </c>
      <c r="B31" s="219">
        <v>45836</v>
      </c>
      <c r="C31" s="67"/>
      <c r="D31" s="159"/>
      <c r="E31" s="266"/>
      <c r="F31" s="379"/>
      <c r="G31" s="8">
        <f t="shared" si="0"/>
        <v>0</v>
      </c>
      <c r="H31" s="65"/>
      <c r="I31" s="66"/>
      <c r="J31" s="8">
        <f t="shared" si="1"/>
        <v>0</v>
      </c>
      <c r="K31" s="8">
        <f t="shared" si="2"/>
        <v>0</v>
      </c>
      <c r="L31" s="68"/>
      <c r="M31" s="40">
        <f t="shared" si="3"/>
        <v>135618.06289999979</v>
      </c>
      <c r="N31" s="8"/>
    </row>
    <row r="32" spans="1:14">
      <c r="A32" s="221">
        <v>28</v>
      </c>
      <c r="B32" s="219">
        <v>45837</v>
      </c>
      <c r="C32" s="67"/>
      <c r="D32" s="159"/>
      <c r="E32" s="266"/>
      <c r="F32" s="379"/>
      <c r="G32" s="8">
        <f t="shared" si="0"/>
        <v>0</v>
      </c>
      <c r="H32" s="65"/>
      <c r="I32" s="66"/>
      <c r="J32" s="8">
        <f t="shared" si="1"/>
        <v>0</v>
      </c>
      <c r="K32" s="8">
        <f t="shared" si="2"/>
        <v>0</v>
      </c>
      <c r="L32" s="68"/>
      <c r="M32" s="40">
        <f t="shared" si="3"/>
        <v>135618.06289999979</v>
      </c>
      <c r="N32" s="8"/>
    </row>
    <row r="33" spans="1:14">
      <c r="A33" s="222">
        <v>29</v>
      </c>
      <c r="B33" s="219">
        <v>45838</v>
      </c>
      <c r="C33" s="67"/>
      <c r="D33" s="159"/>
      <c r="E33" s="266">
        <v>690</v>
      </c>
      <c r="F33" s="379">
        <v>104.35</v>
      </c>
      <c r="G33" s="8">
        <f t="shared" si="0"/>
        <v>72001.5</v>
      </c>
      <c r="H33" s="65"/>
      <c r="I33" s="66"/>
      <c r="J33" s="8">
        <f t="shared" si="1"/>
        <v>0</v>
      </c>
      <c r="K33" s="8">
        <f t="shared" si="2"/>
        <v>72001.5</v>
      </c>
      <c r="L33" s="68"/>
      <c r="M33" s="40">
        <f t="shared" si="3"/>
        <v>207619.56289999979</v>
      </c>
      <c r="N33" s="8"/>
    </row>
    <row r="34" spans="1:14">
      <c r="A34" s="222">
        <v>30</v>
      </c>
      <c r="B34" s="219">
        <v>45839</v>
      </c>
      <c r="C34" s="67"/>
      <c r="D34" s="159"/>
      <c r="E34" s="266"/>
      <c r="F34" s="490"/>
      <c r="G34" s="8">
        <f t="shared" si="0"/>
        <v>0</v>
      </c>
      <c r="H34" s="65"/>
      <c r="I34" s="66"/>
      <c r="J34" s="8">
        <f t="shared" si="1"/>
        <v>0</v>
      </c>
      <c r="K34" s="8">
        <f t="shared" si="2"/>
        <v>0</v>
      </c>
      <c r="L34" s="68"/>
      <c r="M34" s="40">
        <f t="shared" si="3"/>
        <v>207619.56289999979</v>
      </c>
      <c r="N34" s="8"/>
    </row>
    <row r="35" spans="1:14">
      <c r="A35" s="222">
        <v>31</v>
      </c>
      <c r="B35" s="219">
        <v>45840</v>
      </c>
      <c r="C35" s="67"/>
      <c r="D35" s="159"/>
      <c r="E35" s="491"/>
      <c r="F35" s="490"/>
      <c r="G35" s="8">
        <f t="shared" si="0"/>
        <v>0</v>
      </c>
      <c r="H35" s="65"/>
      <c r="I35" s="66"/>
      <c r="J35" s="8">
        <f t="shared" si="1"/>
        <v>0</v>
      </c>
      <c r="K35" s="8">
        <f t="shared" si="2"/>
        <v>0</v>
      </c>
      <c r="L35" s="68"/>
      <c r="M35" s="40">
        <f t="shared" si="3"/>
        <v>207619.56289999979</v>
      </c>
      <c r="N35" s="8"/>
    </row>
    <row r="36" spans="1:14">
      <c r="A36" s="62"/>
      <c r="B36" s="62"/>
      <c r="C36" s="62"/>
      <c r="D36" s="62"/>
      <c r="E36" s="258">
        <f>SUM(E4:E35)</f>
        <v>13566</v>
      </c>
      <c r="F36" s="258"/>
      <c r="G36" s="63">
        <f>SUM(G4:G35)</f>
        <v>1415612.1</v>
      </c>
      <c r="H36" s="63">
        <f>SUM(H4:H35)</f>
        <v>49</v>
      </c>
      <c r="I36" s="63"/>
      <c r="J36" s="63">
        <f>SUM(J4:J35)</f>
        <v>5882.07</v>
      </c>
      <c r="K36" s="63">
        <f>SUM(K4:K35)</f>
        <v>1421494.17</v>
      </c>
      <c r="L36" s="63">
        <f>SUM(L4:L35)</f>
        <v>2200000</v>
      </c>
      <c r="M36" s="63"/>
      <c r="N36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993B-BBEE-4E4C-B551-5B5B42A84B3C}">
  <dimension ref="A1:U35"/>
  <sheetViews>
    <sheetView tabSelected="1" topLeftCell="A17" workbookViewId="0">
      <selection activeCell="N31" sqref="N31"/>
    </sheetView>
  </sheetViews>
  <sheetFormatPr defaultRowHeight="15"/>
  <cols>
    <col min="2" max="2" width="15" customWidth="1"/>
    <col min="4" max="4" width="13.28515625" bestFit="1" customWidth="1"/>
    <col min="7" max="7" width="11.85546875" bestFit="1" customWidth="1"/>
    <col min="11" max="12" width="13.5703125" bestFit="1" customWidth="1"/>
    <col min="14" max="14" width="11" bestFit="1" customWidth="1"/>
    <col min="21" max="21" width="15" bestFit="1" customWidth="1"/>
  </cols>
  <sheetData>
    <row r="1" spans="1:14" ht="15.75">
      <c r="A1" s="546" t="s">
        <v>196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4" ht="30.75">
      <c r="A2" s="98" t="s">
        <v>0</v>
      </c>
      <c r="B2" s="99" t="s">
        <v>167</v>
      </c>
      <c r="C2" s="99" t="s">
        <v>168</v>
      </c>
      <c r="D2" s="99" t="s">
        <v>191</v>
      </c>
      <c r="E2" s="256" t="s">
        <v>170</v>
      </c>
      <c r="F2" s="256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139" t="s">
        <v>175</v>
      </c>
      <c r="M2" s="143" t="s">
        <v>192</v>
      </c>
      <c r="N2" s="101" t="s">
        <v>177</v>
      </c>
    </row>
    <row r="3" spans="1:14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8">
        <v>0</v>
      </c>
      <c r="N3" s="156"/>
    </row>
    <row r="4" spans="1:14">
      <c r="A4" s="196">
        <v>1</v>
      </c>
      <c r="B4" s="219">
        <v>45809</v>
      </c>
      <c r="C4" s="67"/>
      <c r="D4" s="159"/>
      <c r="E4" s="159">
        <v>231.7</v>
      </c>
      <c r="F4" s="379">
        <v>107.9</v>
      </c>
      <c r="G4" s="8">
        <f t="shared" ref="G4:G34" si="0">E4*F4</f>
        <v>25000.43</v>
      </c>
      <c r="H4" s="266"/>
      <c r="I4" s="295"/>
      <c r="J4" s="8">
        <f>H4*I4</f>
        <v>0</v>
      </c>
      <c r="K4" s="8">
        <f>G4+J4</f>
        <v>25000.43</v>
      </c>
      <c r="L4" s="8">
        <f>H4+K4</f>
        <v>25000.43</v>
      </c>
      <c r="M4" s="40">
        <f>M3+K4-L4</f>
        <v>0</v>
      </c>
      <c r="N4" s="8" t="s">
        <v>183</v>
      </c>
    </row>
    <row r="5" spans="1:14">
      <c r="A5" s="46">
        <v>2</v>
      </c>
      <c r="B5" s="219">
        <v>45810</v>
      </c>
      <c r="C5" s="67"/>
      <c r="D5" s="159"/>
      <c r="E5" s="266"/>
      <c r="F5" s="379"/>
      <c r="G5" s="8">
        <f t="shared" si="0"/>
        <v>0</v>
      </c>
      <c r="H5" s="266"/>
      <c r="I5" s="295"/>
      <c r="J5" s="8">
        <f t="shared" ref="J5:J34" si="1">H5*I5</f>
        <v>0</v>
      </c>
      <c r="K5" s="8">
        <f t="shared" ref="K5:L34" si="2">G5+J5</f>
        <v>0</v>
      </c>
      <c r="L5" s="8">
        <f t="shared" si="2"/>
        <v>0</v>
      </c>
      <c r="M5" s="40">
        <f t="shared" ref="M5:M33" si="3">M4+K5-L5</f>
        <v>0</v>
      </c>
      <c r="N5" s="8"/>
    </row>
    <row r="6" spans="1:14">
      <c r="A6" s="46">
        <v>3</v>
      </c>
      <c r="B6" s="219">
        <v>45811</v>
      </c>
      <c r="C6" s="67"/>
      <c r="D6" s="159"/>
      <c r="E6" s="266"/>
      <c r="F6" s="379"/>
      <c r="G6" s="8">
        <f t="shared" si="0"/>
        <v>0</v>
      </c>
      <c r="H6" s="266"/>
      <c r="I6" s="295"/>
      <c r="J6" s="8">
        <f t="shared" si="1"/>
        <v>0</v>
      </c>
      <c r="K6" s="8">
        <f t="shared" si="2"/>
        <v>0</v>
      </c>
      <c r="L6" s="8">
        <f t="shared" si="2"/>
        <v>0</v>
      </c>
      <c r="M6" s="40">
        <f t="shared" si="3"/>
        <v>0</v>
      </c>
      <c r="N6" s="8"/>
    </row>
    <row r="7" spans="1:14">
      <c r="A7" s="46">
        <v>4</v>
      </c>
      <c r="B7" s="219">
        <v>45812</v>
      </c>
      <c r="C7" s="67"/>
      <c r="D7" s="159"/>
      <c r="E7" s="266"/>
      <c r="F7" s="379"/>
      <c r="G7" s="8">
        <f t="shared" si="0"/>
        <v>0</v>
      </c>
      <c r="H7" s="266"/>
      <c r="I7" s="295"/>
      <c r="J7" s="8">
        <f t="shared" si="1"/>
        <v>0</v>
      </c>
      <c r="K7" s="8">
        <f t="shared" si="2"/>
        <v>0</v>
      </c>
      <c r="L7" s="8">
        <f t="shared" si="2"/>
        <v>0</v>
      </c>
      <c r="M7" s="40">
        <f t="shared" si="3"/>
        <v>0</v>
      </c>
      <c r="N7" s="8"/>
    </row>
    <row r="8" spans="1:14">
      <c r="A8" s="46">
        <v>5</v>
      </c>
      <c r="B8" s="219">
        <v>45813</v>
      </c>
      <c r="C8" s="67"/>
      <c r="D8" s="159"/>
      <c r="E8" s="266"/>
      <c r="F8" s="379"/>
      <c r="G8" s="8">
        <f t="shared" si="0"/>
        <v>0</v>
      </c>
      <c r="H8" s="266"/>
      <c r="I8" s="295"/>
      <c r="J8" s="8">
        <f t="shared" si="1"/>
        <v>0</v>
      </c>
      <c r="K8" s="8">
        <f t="shared" si="2"/>
        <v>0</v>
      </c>
      <c r="L8" s="8">
        <f t="shared" si="2"/>
        <v>0</v>
      </c>
      <c r="M8" s="40">
        <f t="shared" si="3"/>
        <v>0</v>
      </c>
      <c r="N8" s="8"/>
    </row>
    <row r="9" spans="1:14">
      <c r="A9" s="46">
        <v>6</v>
      </c>
      <c r="B9" s="219">
        <v>45814</v>
      </c>
      <c r="C9" s="67"/>
      <c r="D9" s="159"/>
      <c r="E9" s="266"/>
      <c r="F9" s="379"/>
      <c r="G9" s="8">
        <f t="shared" si="0"/>
        <v>0</v>
      </c>
      <c r="H9" s="266"/>
      <c r="I9" s="295"/>
      <c r="J9" s="8">
        <f t="shared" si="1"/>
        <v>0</v>
      </c>
      <c r="K9" s="8">
        <f t="shared" si="2"/>
        <v>0</v>
      </c>
      <c r="L9" s="68">
        <v>0</v>
      </c>
      <c r="M9" s="40">
        <f t="shared" si="3"/>
        <v>0</v>
      </c>
      <c r="N9" s="8"/>
    </row>
    <row r="10" spans="1:14">
      <c r="A10" s="46">
        <v>7</v>
      </c>
      <c r="B10" s="219">
        <v>45815</v>
      </c>
      <c r="C10" s="67"/>
      <c r="D10" s="159"/>
      <c r="E10" s="266"/>
      <c r="F10" s="379"/>
      <c r="G10" s="8">
        <f t="shared" si="0"/>
        <v>0</v>
      </c>
      <c r="H10" s="266"/>
      <c r="I10" s="295"/>
      <c r="J10" s="8">
        <f t="shared" si="1"/>
        <v>0</v>
      </c>
      <c r="K10" s="8">
        <f t="shared" si="2"/>
        <v>0</v>
      </c>
      <c r="L10" s="68">
        <v>0</v>
      </c>
      <c r="M10" s="40">
        <f t="shared" si="3"/>
        <v>0</v>
      </c>
      <c r="N10" s="8"/>
    </row>
    <row r="11" spans="1:14">
      <c r="A11" s="46">
        <v>8</v>
      </c>
      <c r="B11" s="219">
        <v>45816</v>
      </c>
      <c r="C11" s="67"/>
      <c r="D11" s="159"/>
      <c r="E11" s="266"/>
      <c r="F11" s="379"/>
      <c r="G11" s="8">
        <f t="shared" si="0"/>
        <v>0</v>
      </c>
      <c r="H11" s="266"/>
      <c r="I11" s="295"/>
      <c r="J11" s="8">
        <f t="shared" si="1"/>
        <v>0</v>
      </c>
      <c r="K11" s="8">
        <f t="shared" si="2"/>
        <v>0</v>
      </c>
      <c r="L11" s="68">
        <v>0</v>
      </c>
      <c r="M11" s="40">
        <f t="shared" si="3"/>
        <v>0</v>
      </c>
      <c r="N11" s="8"/>
    </row>
    <row r="12" spans="1:14">
      <c r="A12" s="46">
        <v>9</v>
      </c>
      <c r="B12" s="219">
        <v>45817</v>
      </c>
      <c r="C12" s="67"/>
      <c r="D12" s="159"/>
      <c r="E12" s="266"/>
      <c r="F12" s="379"/>
      <c r="G12" s="8">
        <f t="shared" si="0"/>
        <v>0</v>
      </c>
      <c r="H12" s="266"/>
      <c r="I12" s="295"/>
      <c r="J12" s="8">
        <f t="shared" si="1"/>
        <v>0</v>
      </c>
      <c r="K12" s="8">
        <f t="shared" si="2"/>
        <v>0</v>
      </c>
      <c r="L12" s="68">
        <v>0</v>
      </c>
      <c r="M12" s="40">
        <f t="shared" si="3"/>
        <v>0</v>
      </c>
      <c r="N12" s="8"/>
    </row>
    <row r="13" spans="1:14">
      <c r="A13" s="46">
        <v>10</v>
      </c>
      <c r="B13" s="219">
        <v>45818</v>
      </c>
      <c r="C13" s="67"/>
      <c r="D13" s="159"/>
      <c r="E13" s="266"/>
      <c r="F13" s="379"/>
      <c r="G13" s="8">
        <f t="shared" si="0"/>
        <v>0</v>
      </c>
      <c r="H13" s="266"/>
      <c r="I13" s="295"/>
      <c r="J13" s="8">
        <f t="shared" si="1"/>
        <v>0</v>
      </c>
      <c r="K13" s="8">
        <f t="shared" si="2"/>
        <v>0</v>
      </c>
      <c r="L13" s="68">
        <v>0</v>
      </c>
      <c r="M13" s="40">
        <f t="shared" si="3"/>
        <v>0</v>
      </c>
      <c r="N13" s="8"/>
    </row>
    <row r="14" spans="1:14">
      <c r="A14" s="46">
        <v>11</v>
      </c>
      <c r="B14" s="219">
        <v>45819</v>
      </c>
      <c r="C14" s="67"/>
      <c r="D14" s="159"/>
      <c r="E14" s="266"/>
      <c r="F14" s="379"/>
      <c r="G14" s="8">
        <f t="shared" si="0"/>
        <v>0</v>
      </c>
      <c r="H14" s="266"/>
      <c r="I14" s="295"/>
      <c r="J14" s="8">
        <f t="shared" si="1"/>
        <v>0</v>
      </c>
      <c r="K14" s="8">
        <f t="shared" si="2"/>
        <v>0</v>
      </c>
      <c r="L14" s="8">
        <f t="shared" si="2"/>
        <v>0</v>
      </c>
      <c r="M14" s="40">
        <f t="shared" si="3"/>
        <v>0</v>
      </c>
      <c r="N14" s="8"/>
    </row>
    <row r="15" spans="1:14">
      <c r="A15" s="46">
        <v>12</v>
      </c>
      <c r="B15" s="219">
        <v>45820</v>
      </c>
      <c r="C15" s="67"/>
      <c r="D15" s="159"/>
      <c r="E15" s="266"/>
      <c r="F15" s="379"/>
      <c r="G15" s="8">
        <f t="shared" si="0"/>
        <v>0</v>
      </c>
      <c r="H15" s="266"/>
      <c r="I15" s="295"/>
      <c r="J15" s="8">
        <f t="shared" si="1"/>
        <v>0</v>
      </c>
      <c r="K15" s="8">
        <f t="shared" si="2"/>
        <v>0</v>
      </c>
      <c r="L15" s="68">
        <v>0</v>
      </c>
      <c r="M15" s="40">
        <f t="shared" si="3"/>
        <v>0</v>
      </c>
      <c r="N15" s="8"/>
    </row>
    <row r="16" spans="1:14">
      <c r="A16" s="46">
        <v>13</v>
      </c>
      <c r="B16" s="219">
        <v>45821</v>
      </c>
      <c r="C16" s="67"/>
      <c r="D16" s="159"/>
      <c r="E16" s="266"/>
      <c r="F16" s="379"/>
      <c r="G16" s="8">
        <f t="shared" si="0"/>
        <v>0</v>
      </c>
      <c r="H16" s="266"/>
      <c r="I16" s="295"/>
      <c r="J16" s="8">
        <f t="shared" si="1"/>
        <v>0</v>
      </c>
      <c r="K16" s="8">
        <f t="shared" si="2"/>
        <v>0</v>
      </c>
      <c r="L16" s="8">
        <f t="shared" si="2"/>
        <v>0</v>
      </c>
      <c r="M16" s="40">
        <f t="shared" si="3"/>
        <v>0</v>
      </c>
      <c r="N16" s="8"/>
    </row>
    <row r="17" spans="1:21">
      <c r="A17" s="46">
        <v>14</v>
      </c>
      <c r="B17" s="219">
        <v>45822</v>
      </c>
      <c r="C17" s="67"/>
      <c r="D17" s="159"/>
      <c r="E17" s="266"/>
      <c r="F17" s="379"/>
      <c r="G17" s="8">
        <f t="shared" si="0"/>
        <v>0</v>
      </c>
      <c r="H17" s="266"/>
      <c r="I17" s="295"/>
      <c r="J17" s="8">
        <f t="shared" si="1"/>
        <v>0</v>
      </c>
      <c r="K17" s="8">
        <f t="shared" si="2"/>
        <v>0</v>
      </c>
      <c r="L17" s="8">
        <f t="shared" si="2"/>
        <v>0</v>
      </c>
      <c r="M17" s="40">
        <f t="shared" si="3"/>
        <v>0</v>
      </c>
      <c r="N17" s="8"/>
      <c r="U17" s="22">
        <f>50000/107.9</f>
        <v>463.39202965708989</v>
      </c>
    </row>
    <row r="18" spans="1:21">
      <c r="A18" s="46">
        <v>15</v>
      </c>
      <c r="B18" s="219">
        <v>45823</v>
      </c>
      <c r="C18" s="67"/>
      <c r="D18" s="159"/>
      <c r="E18" s="266"/>
      <c r="F18" s="379"/>
      <c r="G18" s="8">
        <f t="shared" si="0"/>
        <v>0</v>
      </c>
      <c r="H18" s="266"/>
      <c r="I18" s="295"/>
      <c r="J18" s="8">
        <f t="shared" si="1"/>
        <v>0</v>
      </c>
      <c r="K18" s="8">
        <f t="shared" si="2"/>
        <v>0</v>
      </c>
      <c r="L18" s="8">
        <f t="shared" si="2"/>
        <v>0</v>
      </c>
      <c r="M18" s="40">
        <f t="shared" si="3"/>
        <v>0</v>
      </c>
      <c r="N18" s="8"/>
      <c r="R18">
        <v>185.36</v>
      </c>
    </row>
    <row r="19" spans="1:21">
      <c r="A19" s="46">
        <v>16</v>
      </c>
      <c r="B19" s="219">
        <v>45824</v>
      </c>
      <c r="C19" s="67"/>
      <c r="D19" s="159"/>
      <c r="E19" s="266"/>
      <c r="F19" s="379"/>
      <c r="G19" s="8">
        <f t="shared" si="0"/>
        <v>0</v>
      </c>
      <c r="H19" s="266"/>
      <c r="I19" s="295"/>
      <c r="J19" s="8">
        <f t="shared" si="1"/>
        <v>0</v>
      </c>
      <c r="K19" s="8">
        <f t="shared" si="2"/>
        <v>0</v>
      </c>
      <c r="L19" s="8">
        <f t="shared" si="2"/>
        <v>0</v>
      </c>
      <c r="M19" s="40">
        <f t="shared" si="3"/>
        <v>0</v>
      </c>
      <c r="N19" s="8"/>
      <c r="R19">
        <v>92.68</v>
      </c>
    </row>
    <row r="20" spans="1:21">
      <c r="A20" s="46">
        <v>17</v>
      </c>
      <c r="B20" s="219">
        <v>45825</v>
      </c>
      <c r="C20" s="67"/>
      <c r="D20" s="159"/>
      <c r="E20" s="266">
        <v>463.39</v>
      </c>
      <c r="F20" s="379">
        <v>107.9</v>
      </c>
      <c r="G20" s="8">
        <f t="shared" si="0"/>
        <v>49999.781000000003</v>
      </c>
      <c r="H20" s="266"/>
      <c r="I20" s="295"/>
      <c r="J20" s="8">
        <f t="shared" si="1"/>
        <v>0</v>
      </c>
      <c r="K20" s="8">
        <f t="shared" si="2"/>
        <v>49999.781000000003</v>
      </c>
      <c r="L20" s="8">
        <f t="shared" si="2"/>
        <v>49999.781000000003</v>
      </c>
      <c r="M20" s="40">
        <f t="shared" si="3"/>
        <v>0</v>
      </c>
      <c r="N20" s="8" t="s">
        <v>183</v>
      </c>
      <c r="R20">
        <f>SUM(R18:R19)</f>
        <v>278.04000000000002</v>
      </c>
    </row>
    <row r="21" spans="1:21">
      <c r="A21" s="46">
        <v>18</v>
      </c>
      <c r="B21" s="219">
        <v>45826</v>
      </c>
      <c r="C21" s="67"/>
      <c r="D21" s="159"/>
      <c r="E21" s="266"/>
      <c r="F21" s="379"/>
      <c r="G21" s="8">
        <f t="shared" si="0"/>
        <v>0</v>
      </c>
      <c r="H21" s="266"/>
      <c r="I21" s="295"/>
      <c r="J21" s="8">
        <f t="shared" si="1"/>
        <v>0</v>
      </c>
      <c r="K21" s="8">
        <f t="shared" si="2"/>
        <v>0</v>
      </c>
      <c r="L21" s="8">
        <f t="shared" si="2"/>
        <v>0</v>
      </c>
      <c r="M21" s="40">
        <f t="shared" si="3"/>
        <v>0</v>
      </c>
      <c r="N21" s="8"/>
    </row>
    <row r="22" spans="1:21">
      <c r="A22" s="46">
        <v>19</v>
      </c>
      <c r="B22" s="219">
        <v>45827</v>
      </c>
      <c r="C22" s="67"/>
      <c r="D22" s="159"/>
      <c r="E22" s="266"/>
      <c r="F22" s="379"/>
      <c r="G22" s="8">
        <f t="shared" si="0"/>
        <v>0</v>
      </c>
      <c r="H22" s="266"/>
      <c r="I22" s="295"/>
      <c r="J22" s="8">
        <f t="shared" si="1"/>
        <v>0</v>
      </c>
      <c r="K22" s="8">
        <f t="shared" si="2"/>
        <v>0</v>
      </c>
      <c r="L22" s="8">
        <f t="shared" si="2"/>
        <v>0</v>
      </c>
      <c r="M22" s="40">
        <f t="shared" si="3"/>
        <v>0</v>
      </c>
      <c r="N22" s="8"/>
    </row>
    <row r="23" spans="1:21">
      <c r="A23" s="46">
        <v>20</v>
      </c>
      <c r="B23" s="219">
        <v>45828</v>
      </c>
      <c r="C23" s="67"/>
      <c r="D23" s="159"/>
      <c r="E23" s="266"/>
      <c r="F23" s="379"/>
      <c r="G23" s="8">
        <f t="shared" si="0"/>
        <v>0</v>
      </c>
      <c r="H23" s="266"/>
      <c r="I23" s="295"/>
      <c r="J23" s="8">
        <f t="shared" si="1"/>
        <v>0</v>
      </c>
      <c r="K23" s="8">
        <f t="shared" si="2"/>
        <v>0</v>
      </c>
      <c r="L23" s="8">
        <f t="shared" si="2"/>
        <v>0</v>
      </c>
      <c r="M23" s="40">
        <f t="shared" si="3"/>
        <v>0</v>
      </c>
      <c r="N23" s="8"/>
    </row>
    <row r="24" spans="1:21">
      <c r="A24" s="46">
        <v>21</v>
      </c>
      <c r="B24" s="219">
        <v>45829</v>
      </c>
      <c r="C24" s="67"/>
      <c r="D24" s="159"/>
      <c r="E24" s="266">
        <v>278.04000000000002</v>
      </c>
      <c r="F24" s="379">
        <v>107.9</v>
      </c>
      <c r="G24" s="8">
        <f t="shared" si="0"/>
        <v>30000.516000000003</v>
      </c>
      <c r="H24" s="266"/>
      <c r="I24" s="295"/>
      <c r="J24" s="8">
        <f t="shared" si="1"/>
        <v>0</v>
      </c>
      <c r="K24" s="8">
        <f t="shared" si="2"/>
        <v>30000.516000000003</v>
      </c>
      <c r="L24" s="8">
        <f t="shared" si="2"/>
        <v>30000.516000000003</v>
      </c>
      <c r="M24" s="40">
        <f t="shared" si="3"/>
        <v>0</v>
      </c>
      <c r="N24" s="8" t="s">
        <v>183</v>
      </c>
      <c r="U24">
        <v>139.19999999999999</v>
      </c>
    </row>
    <row r="25" spans="1:21">
      <c r="A25" s="46">
        <v>22</v>
      </c>
      <c r="B25" s="219">
        <v>45830</v>
      </c>
      <c r="C25" s="67"/>
      <c r="D25" s="159"/>
      <c r="E25" s="266">
        <v>185.36</v>
      </c>
      <c r="F25" s="379">
        <v>107.9</v>
      </c>
      <c r="G25" s="8">
        <f t="shared" si="0"/>
        <v>20000.344000000001</v>
      </c>
      <c r="H25" s="266"/>
      <c r="I25" s="295"/>
      <c r="J25" s="8">
        <f t="shared" si="1"/>
        <v>0</v>
      </c>
      <c r="K25" s="8">
        <f t="shared" si="2"/>
        <v>20000.344000000001</v>
      </c>
      <c r="L25" s="8">
        <f t="shared" si="2"/>
        <v>20000.344000000001</v>
      </c>
      <c r="M25" s="40">
        <f t="shared" si="3"/>
        <v>0</v>
      </c>
      <c r="N25" s="8" t="s">
        <v>183</v>
      </c>
      <c r="U25">
        <v>92.68</v>
      </c>
    </row>
    <row r="26" spans="1:21">
      <c r="A26" s="46">
        <v>23</v>
      </c>
      <c r="B26" s="219">
        <v>45831</v>
      </c>
      <c r="C26" s="67"/>
      <c r="D26" s="159"/>
      <c r="E26" s="266"/>
      <c r="F26" s="379"/>
      <c r="G26" s="8">
        <f t="shared" si="0"/>
        <v>0</v>
      </c>
      <c r="H26" s="266"/>
      <c r="I26" s="295"/>
      <c r="J26" s="8">
        <f t="shared" si="1"/>
        <v>0</v>
      </c>
      <c r="K26" s="8">
        <f t="shared" si="2"/>
        <v>0</v>
      </c>
      <c r="L26" s="68">
        <f t="shared" ref="L18:L35" si="4">+K26</f>
        <v>0</v>
      </c>
      <c r="M26" s="40">
        <f t="shared" si="3"/>
        <v>0</v>
      </c>
      <c r="N26" s="8"/>
      <c r="U26">
        <f>SUM(U24:U25)</f>
        <v>231.88</v>
      </c>
    </row>
    <row r="27" spans="1:21">
      <c r="A27" s="46">
        <v>24</v>
      </c>
      <c r="B27" s="219">
        <v>45832</v>
      </c>
      <c r="C27" s="67"/>
      <c r="D27" s="159"/>
      <c r="E27" s="266"/>
      <c r="F27" s="379"/>
      <c r="G27" s="8">
        <f t="shared" si="0"/>
        <v>0</v>
      </c>
      <c r="H27" s="266"/>
      <c r="I27" s="295"/>
      <c r="J27" s="8">
        <f t="shared" si="1"/>
        <v>0</v>
      </c>
      <c r="K27" s="8">
        <f t="shared" si="2"/>
        <v>0</v>
      </c>
      <c r="L27" s="68">
        <f t="shared" si="4"/>
        <v>0</v>
      </c>
      <c r="M27" s="40">
        <f t="shared" si="3"/>
        <v>0</v>
      </c>
      <c r="N27" s="8"/>
    </row>
    <row r="28" spans="1:21">
      <c r="A28" s="221">
        <v>25</v>
      </c>
      <c r="B28" s="219">
        <v>45833</v>
      </c>
      <c r="C28" s="67"/>
      <c r="D28" s="159"/>
      <c r="E28">
        <v>231.88</v>
      </c>
      <c r="F28" s="379">
        <v>107.9</v>
      </c>
      <c r="G28" s="8">
        <f t="shared" si="0"/>
        <v>25019.852000000003</v>
      </c>
      <c r="H28" s="266"/>
      <c r="I28" s="295"/>
      <c r="J28" s="8">
        <f t="shared" si="1"/>
        <v>0</v>
      </c>
      <c r="K28" s="8">
        <f t="shared" si="2"/>
        <v>25019.852000000003</v>
      </c>
      <c r="L28" s="68">
        <f t="shared" si="4"/>
        <v>25019.852000000003</v>
      </c>
      <c r="M28" s="40">
        <f t="shared" si="3"/>
        <v>0</v>
      </c>
      <c r="N28" s="8" t="s">
        <v>183</v>
      </c>
    </row>
    <row r="29" spans="1:21">
      <c r="A29" s="221">
        <v>26</v>
      </c>
      <c r="B29" s="219">
        <v>45834</v>
      </c>
      <c r="C29" s="67"/>
      <c r="D29" s="159"/>
      <c r="E29">
        <v>231.88</v>
      </c>
      <c r="F29" s="379">
        <v>107.9</v>
      </c>
      <c r="G29" s="8">
        <f t="shared" si="0"/>
        <v>25019.852000000003</v>
      </c>
      <c r="H29" s="65"/>
      <c r="I29" s="66"/>
      <c r="J29" s="8">
        <f t="shared" si="1"/>
        <v>0</v>
      </c>
      <c r="K29" s="8">
        <f t="shared" si="2"/>
        <v>25019.852000000003</v>
      </c>
      <c r="L29" s="68">
        <f t="shared" si="4"/>
        <v>25019.852000000003</v>
      </c>
      <c r="M29" s="40">
        <f t="shared" si="3"/>
        <v>0</v>
      </c>
      <c r="N29" s="8" t="s">
        <v>183</v>
      </c>
    </row>
    <row r="30" spans="1:21">
      <c r="A30" s="221">
        <v>27</v>
      </c>
      <c r="B30" s="219">
        <v>45835</v>
      </c>
      <c r="C30" s="67"/>
      <c r="D30" s="159"/>
      <c r="E30" s="257"/>
      <c r="F30" s="257"/>
      <c r="G30" s="8">
        <f t="shared" si="0"/>
        <v>0</v>
      </c>
      <c r="H30" s="65"/>
      <c r="I30" s="66"/>
      <c r="J30" s="8">
        <f t="shared" si="1"/>
        <v>0</v>
      </c>
      <c r="K30" s="8">
        <f t="shared" si="2"/>
        <v>0</v>
      </c>
      <c r="L30" s="68">
        <f t="shared" si="4"/>
        <v>0</v>
      </c>
      <c r="M30" s="40">
        <f t="shared" si="3"/>
        <v>0</v>
      </c>
      <c r="N30" s="8"/>
    </row>
    <row r="31" spans="1:21">
      <c r="A31" s="221">
        <v>28</v>
      </c>
      <c r="B31" s="219">
        <v>45836</v>
      </c>
      <c r="C31" s="67"/>
      <c r="D31" s="159"/>
      <c r="E31" s="257">
        <v>463.4</v>
      </c>
      <c r="F31" s="257">
        <v>107.9</v>
      </c>
      <c r="G31" s="8">
        <f t="shared" si="0"/>
        <v>50000.86</v>
      </c>
      <c r="H31" s="65"/>
      <c r="I31" s="66"/>
      <c r="J31" s="8">
        <f t="shared" si="1"/>
        <v>0</v>
      </c>
      <c r="K31" s="8">
        <f t="shared" si="2"/>
        <v>50000.86</v>
      </c>
      <c r="L31" s="68">
        <f t="shared" si="4"/>
        <v>50000.86</v>
      </c>
      <c r="M31" s="40">
        <f t="shared" si="3"/>
        <v>0</v>
      </c>
      <c r="N31" s="8" t="s">
        <v>183</v>
      </c>
    </row>
    <row r="32" spans="1:21">
      <c r="A32" s="222">
        <v>29</v>
      </c>
      <c r="B32" s="219">
        <v>45837</v>
      </c>
      <c r="C32" s="67"/>
      <c r="D32" s="159"/>
      <c r="E32" s="257"/>
      <c r="F32" s="257"/>
      <c r="G32" s="8">
        <f t="shared" si="0"/>
        <v>0</v>
      </c>
      <c r="H32" s="65"/>
      <c r="I32" s="66"/>
      <c r="J32" s="8">
        <f t="shared" si="1"/>
        <v>0</v>
      </c>
      <c r="K32" s="8">
        <f t="shared" si="2"/>
        <v>0</v>
      </c>
      <c r="L32" s="68">
        <f t="shared" si="4"/>
        <v>0</v>
      </c>
      <c r="M32" s="40">
        <f t="shared" si="3"/>
        <v>0</v>
      </c>
      <c r="N32" s="8"/>
    </row>
    <row r="33" spans="1:14">
      <c r="A33" s="222">
        <v>30</v>
      </c>
      <c r="B33" s="219">
        <v>45838</v>
      </c>
      <c r="C33" s="67"/>
      <c r="D33" s="159"/>
      <c r="E33" s="257"/>
      <c r="F33" s="257"/>
      <c r="G33" s="8">
        <f t="shared" si="0"/>
        <v>0</v>
      </c>
      <c r="H33" s="65"/>
      <c r="I33" s="66"/>
      <c r="J33" s="8">
        <f t="shared" si="1"/>
        <v>0</v>
      </c>
      <c r="K33" s="8">
        <f t="shared" si="2"/>
        <v>0</v>
      </c>
      <c r="L33" s="68">
        <f t="shared" si="4"/>
        <v>0</v>
      </c>
      <c r="M33" s="40">
        <f t="shared" si="3"/>
        <v>0</v>
      </c>
      <c r="N33" s="8"/>
    </row>
    <row r="34" spans="1:14">
      <c r="A34" s="222">
        <v>31</v>
      </c>
      <c r="B34" s="219"/>
      <c r="C34" s="67"/>
      <c r="D34" s="159"/>
      <c r="E34" s="257"/>
      <c r="F34" s="257"/>
      <c r="G34" s="8">
        <f t="shared" si="0"/>
        <v>0</v>
      </c>
      <c r="H34" s="65"/>
      <c r="I34" s="66"/>
      <c r="J34" s="8">
        <f t="shared" si="1"/>
        <v>0</v>
      </c>
      <c r="K34" s="8">
        <f t="shared" si="2"/>
        <v>0</v>
      </c>
      <c r="L34" s="68">
        <f t="shared" si="4"/>
        <v>0</v>
      </c>
      <c r="M34" s="68">
        <v>0</v>
      </c>
      <c r="N34" s="8"/>
    </row>
    <row r="35" spans="1:14">
      <c r="A35" s="62"/>
      <c r="B35" s="62"/>
      <c r="C35" s="62"/>
      <c r="D35" s="62"/>
      <c r="E35" s="258">
        <f>SUM(E4:E34)</f>
        <v>2085.65</v>
      </c>
      <c r="F35" s="258"/>
      <c r="G35" s="63">
        <f>SUM(G4:G34)</f>
        <v>225041.63500000001</v>
      </c>
      <c r="H35" s="63">
        <f>SUM(H4:H34)</f>
        <v>0</v>
      </c>
      <c r="I35" s="63"/>
      <c r="J35" s="63">
        <f>SUM(J4:J34)</f>
        <v>0</v>
      </c>
      <c r="K35" s="63">
        <f>SUM(K4:K34)</f>
        <v>225041.63500000001</v>
      </c>
      <c r="L35" s="63">
        <f>SUM(L4:L34)</f>
        <v>225041.63500000001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selection activeCell="O2" sqref="O2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546" t="s">
        <v>87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82"/>
    </row>
    <row r="2" spans="1:18">
      <c r="A2" s="98" t="s">
        <v>0</v>
      </c>
      <c r="B2" s="99" t="s">
        <v>167</v>
      </c>
      <c r="C2" s="99" t="s">
        <v>168</v>
      </c>
      <c r="D2" s="99" t="s">
        <v>191</v>
      </c>
      <c r="E2" s="256" t="s">
        <v>170</v>
      </c>
      <c r="F2" s="256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139" t="s">
        <v>175</v>
      </c>
      <c r="M2" s="143" t="s">
        <v>192</v>
      </c>
      <c r="N2" s="101" t="s">
        <v>177</v>
      </c>
      <c r="O2" s="59"/>
    </row>
    <row r="3" spans="1:18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8">
        <v>0</v>
      </c>
      <c r="N3" s="156"/>
      <c r="O3" s="59"/>
    </row>
    <row r="4" spans="1:18">
      <c r="A4" s="196">
        <v>1</v>
      </c>
      <c r="B4" s="219">
        <v>45809</v>
      </c>
      <c r="C4" s="67"/>
      <c r="D4" s="159"/>
      <c r="E4" s="257"/>
      <c r="F4" s="257"/>
      <c r="G4" s="8">
        <f t="shared" ref="G4" si="0">E4*F4</f>
        <v>0</v>
      </c>
      <c r="H4" s="65">
        <v>0</v>
      </c>
      <c r="I4" s="66">
        <v>0</v>
      </c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8">
      <c r="A5" s="46">
        <v>2</v>
      </c>
      <c r="B5" s="219">
        <v>45810</v>
      </c>
      <c r="C5" s="67"/>
      <c r="D5" s="159"/>
      <c r="E5" s="257"/>
      <c r="F5" s="257"/>
      <c r="G5" s="8">
        <f t="shared" ref="G5:G33" si="1">E5*F5</f>
        <v>0</v>
      </c>
      <c r="H5" s="65">
        <v>0</v>
      </c>
      <c r="I5" s="66">
        <v>0</v>
      </c>
      <c r="J5" s="8">
        <f t="shared" ref="J5:J33" si="2">H5*I5</f>
        <v>0</v>
      </c>
      <c r="K5" s="8">
        <f t="shared" ref="K5:K33" si="3">G5+J5</f>
        <v>0</v>
      </c>
      <c r="L5" s="68">
        <f t="shared" ref="L5:L33" si="4">+K5</f>
        <v>0</v>
      </c>
      <c r="M5" s="68">
        <v>0</v>
      </c>
      <c r="N5" s="8"/>
    </row>
    <row r="6" spans="1:18">
      <c r="A6" s="46">
        <v>3</v>
      </c>
      <c r="B6" s="219">
        <v>45811</v>
      </c>
      <c r="C6" s="67"/>
      <c r="D6" s="159"/>
      <c r="E6" s="257"/>
      <c r="F6" s="257"/>
      <c r="G6" s="8">
        <f t="shared" si="1"/>
        <v>0</v>
      </c>
      <c r="H6" s="65">
        <v>0</v>
      </c>
      <c r="I6" s="66">
        <v>0</v>
      </c>
      <c r="J6" s="8">
        <f t="shared" si="2"/>
        <v>0</v>
      </c>
      <c r="K6" s="8">
        <f t="shared" si="3"/>
        <v>0</v>
      </c>
      <c r="L6" s="68">
        <f t="shared" si="4"/>
        <v>0</v>
      </c>
      <c r="M6" s="68">
        <v>0</v>
      </c>
      <c r="N6" s="8"/>
    </row>
    <row r="7" spans="1:18">
      <c r="A7" s="46">
        <v>4</v>
      </c>
      <c r="B7" s="219">
        <v>45812</v>
      </c>
      <c r="C7" s="67"/>
      <c r="D7" s="159"/>
      <c r="E7" s="257"/>
      <c r="F7" s="257"/>
      <c r="G7" s="8">
        <f t="shared" si="1"/>
        <v>0</v>
      </c>
      <c r="H7" s="65">
        <v>0</v>
      </c>
      <c r="I7" s="66">
        <v>0</v>
      </c>
      <c r="J7" s="8">
        <f t="shared" si="2"/>
        <v>0</v>
      </c>
      <c r="K7" s="8">
        <f t="shared" si="3"/>
        <v>0</v>
      </c>
      <c r="L7" s="68">
        <f t="shared" si="4"/>
        <v>0</v>
      </c>
      <c r="M7" s="68">
        <v>0</v>
      </c>
      <c r="N7" s="8"/>
    </row>
    <row r="8" spans="1:18">
      <c r="A8" s="46">
        <v>5</v>
      </c>
      <c r="B8" s="219">
        <v>45813</v>
      </c>
      <c r="C8" s="67"/>
      <c r="D8" s="159"/>
      <c r="E8" s="257"/>
      <c r="F8" s="257"/>
      <c r="G8" s="8">
        <f t="shared" si="1"/>
        <v>0</v>
      </c>
      <c r="H8" s="65">
        <v>0</v>
      </c>
      <c r="I8" s="66">
        <v>0</v>
      </c>
      <c r="J8" s="8">
        <f t="shared" si="2"/>
        <v>0</v>
      </c>
      <c r="K8" s="8">
        <f t="shared" si="3"/>
        <v>0</v>
      </c>
      <c r="L8" s="68">
        <f t="shared" si="4"/>
        <v>0</v>
      </c>
      <c r="M8" s="68">
        <v>0</v>
      </c>
      <c r="N8" s="8"/>
      <c r="O8" s="69"/>
      <c r="R8" s="225"/>
    </row>
    <row r="9" spans="1:18">
      <c r="A9" s="46">
        <v>6</v>
      </c>
      <c r="B9" s="219">
        <v>45814</v>
      </c>
      <c r="C9" s="67"/>
      <c r="D9" s="159"/>
      <c r="E9" s="257"/>
      <c r="F9" s="257"/>
      <c r="G9" s="8">
        <f t="shared" si="1"/>
        <v>0</v>
      </c>
      <c r="H9" s="65">
        <v>0</v>
      </c>
      <c r="I9" s="66">
        <v>0</v>
      </c>
      <c r="J9" s="8">
        <f t="shared" si="2"/>
        <v>0</v>
      </c>
      <c r="K9" s="8">
        <f t="shared" si="3"/>
        <v>0</v>
      </c>
      <c r="L9" s="68">
        <f t="shared" si="4"/>
        <v>0</v>
      </c>
      <c r="M9" s="68">
        <v>0</v>
      </c>
      <c r="N9" s="8"/>
      <c r="O9" s="69"/>
    </row>
    <row r="10" spans="1:18">
      <c r="A10" s="46">
        <v>7</v>
      </c>
      <c r="B10" s="219">
        <v>45815</v>
      </c>
      <c r="C10" s="67"/>
      <c r="D10" s="159"/>
      <c r="E10" s="257"/>
      <c r="F10" s="257"/>
      <c r="G10" s="8">
        <f t="shared" si="1"/>
        <v>0</v>
      </c>
      <c r="H10" s="65">
        <v>0</v>
      </c>
      <c r="I10" s="66">
        <v>0</v>
      </c>
      <c r="J10" s="8">
        <f t="shared" si="2"/>
        <v>0</v>
      </c>
      <c r="K10" s="8">
        <f t="shared" si="3"/>
        <v>0</v>
      </c>
      <c r="L10" s="68">
        <f t="shared" si="4"/>
        <v>0</v>
      </c>
      <c r="M10" s="68">
        <v>0</v>
      </c>
      <c r="N10" s="8"/>
      <c r="O10" s="69"/>
    </row>
    <row r="11" spans="1:18">
      <c r="A11" s="46">
        <v>8</v>
      </c>
      <c r="B11" s="219">
        <v>45816</v>
      </c>
      <c r="C11" s="67"/>
      <c r="D11" s="159"/>
      <c r="E11" s="257"/>
      <c r="F11" s="257"/>
      <c r="G11" s="8">
        <f t="shared" si="1"/>
        <v>0</v>
      </c>
      <c r="H11" s="65">
        <v>0</v>
      </c>
      <c r="I11" s="66">
        <v>0</v>
      </c>
      <c r="J11" s="8">
        <f t="shared" si="2"/>
        <v>0</v>
      </c>
      <c r="K11" s="8">
        <f t="shared" si="3"/>
        <v>0</v>
      </c>
      <c r="L11" s="68">
        <f t="shared" si="4"/>
        <v>0</v>
      </c>
      <c r="M11" s="68">
        <v>0</v>
      </c>
      <c r="N11" s="8"/>
      <c r="O11" s="69"/>
    </row>
    <row r="12" spans="1:18">
      <c r="A12" s="46">
        <v>9</v>
      </c>
      <c r="B12" s="219">
        <v>45817</v>
      </c>
      <c r="C12" s="67"/>
      <c r="D12" s="159"/>
      <c r="E12" s="257"/>
      <c r="F12" s="257"/>
      <c r="G12" s="8">
        <f t="shared" si="1"/>
        <v>0</v>
      </c>
      <c r="H12" s="65">
        <v>0</v>
      </c>
      <c r="I12" s="66">
        <v>0</v>
      </c>
      <c r="J12" s="8">
        <f t="shared" si="2"/>
        <v>0</v>
      </c>
      <c r="K12" s="8">
        <f t="shared" ref="K12:K18" si="5">G12+J12</f>
        <v>0</v>
      </c>
      <c r="L12" s="68">
        <f t="shared" ref="L12:L18" si="6">+K12</f>
        <v>0</v>
      </c>
      <c r="M12" s="68">
        <v>0</v>
      </c>
      <c r="N12" s="8"/>
      <c r="O12" s="69"/>
    </row>
    <row r="13" spans="1:18">
      <c r="A13" s="46">
        <v>10</v>
      </c>
      <c r="B13" s="219">
        <v>45818</v>
      </c>
      <c r="C13" s="67"/>
      <c r="D13" s="159"/>
      <c r="E13" s="257"/>
      <c r="F13" s="257"/>
      <c r="G13" s="8">
        <f t="shared" si="1"/>
        <v>0</v>
      </c>
      <c r="H13" s="65">
        <v>0</v>
      </c>
      <c r="I13" s="66">
        <v>0</v>
      </c>
      <c r="J13" s="8">
        <f t="shared" si="2"/>
        <v>0</v>
      </c>
      <c r="K13" s="8">
        <f t="shared" si="5"/>
        <v>0</v>
      </c>
      <c r="L13" s="68">
        <f t="shared" si="6"/>
        <v>0</v>
      </c>
      <c r="M13" s="68">
        <v>0</v>
      </c>
      <c r="N13" s="8"/>
      <c r="O13" s="69"/>
    </row>
    <row r="14" spans="1:18">
      <c r="A14" s="46">
        <v>11</v>
      </c>
      <c r="B14" s="219">
        <v>45819</v>
      </c>
      <c r="C14" s="67"/>
      <c r="D14" s="159"/>
      <c r="E14" s="257"/>
      <c r="F14" s="257"/>
      <c r="G14" s="8">
        <f t="shared" si="1"/>
        <v>0</v>
      </c>
      <c r="H14" s="65">
        <v>0</v>
      </c>
      <c r="I14" s="66">
        <v>0</v>
      </c>
      <c r="J14" s="8">
        <f t="shared" si="2"/>
        <v>0</v>
      </c>
      <c r="K14" s="8">
        <f t="shared" si="5"/>
        <v>0</v>
      </c>
      <c r="L14" s="68">
        <f t="shared" si="6"/>
        <v>0</v>
      </c>
      <c r="M14" s="68">
        <v>0</v>
      </c>
      <c r="N14" s="8"/>
      <c r="O14" s="69"/>
    </row>
    <row r="15" spans="1:18">
      <c r="A15" s="46">
        <v>12</v>
      </c>
      <c r="B15" s="219">
        <v>45820</v>
      </c>
      <c r="C15" s="67"/>
      <c r="D15" s="159"/>
      <c r="E15" s="257"/>
      <c r="F15" s="257"/>
      <c r="G15" s="8">
        <f t="shared" si="1"/>
        <v>0</v>
      </c>
      <c r="H15" s="65">
        <v>0</v>
      </c>
      <c r="I15" s="66">
        <v>0</v>
      </c>
      <c r="J15" s="8">
        <f t="shared" si="2"/>
        <v>0</v>
      </c>
      <c r="K15" s="8">
        <f t="shared" si="5"/>
        <v>0</v>
      </c>
      <c r="L15" s="68">
        <f t="shared" si="6"/>
        <v>0</v>
      </c>
      <c r="M15" s="68">
        <v>0</v>
      </c>
      <c r="N15" s="8"/>
      <c r="O15" s="69"/>
    </row>
    <row r="16" spans="1:18">
      <c r="A16" s="46">
        <v>13</v>
      </c>
      <c r="B16" s="219">
        <v>45821</v>
      </c>
      <c r="C16" s="67"/>
      <c r="D16" s="159"/>
      <c r="E16" s="257"/>
      <c r="F16" s="257"/>
      <c r="G16" s="8">
        <f t="shared" si="1"/>
        <v>0</v>
      </c>
      <c r="H16" s="65">
        <v>0</v>
      </c>
      <c r="I16" s="66">
        <v>0</v>
      </c>
      <c r="J16" s="8">
        <f t="shared" si="2"/>
        <v>0</v>
      </c>
      <c r="K16" s="8">
        <f t="shared" si="5"/>
        <v>0</v>
      </c>
      <c r="L16" s="68">
        <f t="shared" si="6"/>
        <v>0</v>
      </c>
      <c r="M16" s="68">
        <v>0</v>
      </c>
      <c r="N16" s="8"/>
      <c r="O16" s="69"/>
    </row>
    <row r="17" spans="1:15">
      <c r="A17" s="46">
        <v>14</v>
      </c>
      <c r="B17" s="219">
        <v>45822</v>
      </c>
      <c r="C17" s="67"/>
      <c r="D17" s="159"/>
      <c r="E17" s="257"/>
      <c r="F17" s="257"/>
      <c r="G17" s="8">
        <f t="shared" si="1"/>
        <v>0</v>
      </c>
      <c r="H17" s="65">
        <v>0</v>
      </c>
      <c r="I17" s="66">
        <v>0</v>
      </c>
      <c r="J17" s="8">
        <f t="shared" si="2"/>
        <v>0</v>
      </c>
      <c r="K17" s="8">
        <f t="shared" si="5"/>
        <v>0</v>
      </c>
      <c r="L17" s="68">
        <f t="shared" si="6"/>
        <v>0</v>
      </c>
      <c r="M17" s="68">
        <v>0</v>
      </c>
      <c r="N17" s="8"/>
      <c r="O17" s="69"/>
    </row>
    <row r="18" spans="1:15">
      <c r="A18" s="46">
        <v>15</v>
      </c>
      <c r="B18" s="219">
        <v>45823</v>
      </c>
      <c r="C18" s="67"/>
      <c r="D18" s="159"/>
      <c r="E18" s="257"/>
      <c r="F18" s="257"/>
      <c r="G18" s="8">
        <f t="shared" si="1"/>
        <v>0</v>
      </c>
      <c r="H18" s="65">
        <v>0</v>
      </c>
      <c r="I18" s="66">
        <v>0</v>
      </c>
      <c r="J18" s="8">
        <f t="shared" si="2"/>
        <v>0</v>
      </c>
      <c r="K18" s="8">
        <f t="shared" si="5"/>
        <v>0</v>
      </c>
      <c r="L18" s="68">
        <f t="shared" si="6"/>
        <v>0</v>
      </c>
      <c r="M18" s="68">
        <v>0</v>
      </c>
      <c r="N18" s="8"/>
      <c r="O18" s="69"/>
    </row>
    <row r="19" spans="1:15">
      <c r="A19" s="46">
        <v>16</v>
      </c>
      <c r="B19" s="219">
        <v>45824</v>
      </c>
      <c r="C19" s="67"/>
      <c r="D19" s="159"/>
      <c r="E19" s="257"/>
      <c r="F19" s="257"/>
      <c r="G19" s="8">
        <f t="shared" si="1"/>
        <v>0</v>
      </c>
      <c r="H19" s="65">
        <v>0</v>
      </c>
      <c r="I19" s="66">
        <v>0</v>
      </c>
      <c r="J19" s="8">
        <f t="shared" si="2"/>
        <v>0</v>
      </c>
      <c r="K19" s="8">
        <f t="shared" si="3"/>
        <v>0</v>
      </c>
      <c r="L19" s="68">
        <f t="shared" si="4"/>
        <v>0</v>
      </c>
      <c r="M19" s="68">
        <v>0</v>
      </c>
      <c r="N19" s="8"/>
      <c r="O19" s="69"/>
    </row>
    <row r="20" spans="1:15">
      <c r="A20" s="46">
        <v>17</v>
      </c>
      <c r="B20" s="219">
        <v>45825</v>
      </c>
      <c r="C20" s="67"/>
      <c r="D20" s="159"/>
      <c r="E20" s="257"/>
      <c r="F20" s="257"/>
      <c r="G20" s="8">
        <f t="shared" si="1"/>
        <v>0</v>
      </c>
      <c r="H20" s="65">
        <v>0</v>
      </c>
      <c r="I20" s="66">
        <v>0</v>
      </c>
      <c r="J20" s="8">
        <f t="shared" si="2"/>
        <v>0</v>
      </c>
      <c r="K20" s="8">
        <f t="shared" si="3"/>
        <v>0</v>
      </c>
      <c r="L20" s="68">
        <f t="shared" si="4"/>
        <v>0</v>
      </c>
      <c r="M20" s="68">
        <v>0</v>
      </c>
      <c r="N20" s="8"/>
      <c r="O20" s="69"/>
    </row>
    <row r="21" spans="1:15">
      <c r="A21" s="46">
        <v>18</v>
      </c>
      <c r="B21" s="219">
        <v>45826</v>
      </c>
      <c r="C21" s="67"/>
      <c r="D21" s="159"/>
      <c r="E21" s="257"/>
      <c r="F21" s="257"/>
      <c r="G21" s="8">
        <f t="shared" si="1"/>
        <v>0</v>
      </c>
      <c r="H21" s="65">
        <v>0</v>
      </c>
      <c r="I21" s="66">
        <v>0</v>
      </c>
      <c r="J21" s="8">
        <f t="shared" si="2"/>
        <v>0</v>
      </c>
      <c r="K21" s="8">
        <f t="shared" si="3"/>
        <v>0</v>
      </c>
      <c r="L21" s="68">
        <f t="shared" si="4"/>
        <v>0</v>
      </c>
      <c r="M21" s="68">
        <v>0</v>
      </c>
      <c r="N21" s="8"/>
      <c r="O21" s="69"/>
    </row>
    <row r="22" spans="1:15">
      <c r="A22" s="46">
        <v>19</v>
      </c>
      <c r="B22" s="219">
        <v>45827</v>
      </c>
      <c r="C22" s="67"/>
      <c r="D22" s="159"/>
      <c r="E22" s="257"/>
      <c r="F22" s="257"/>
      <c r="G22" s="8">
        <f t="shared" si="1"/>
        <v>0</v>
      </c>
      <c r="H22" s="65">
        <v>0</v>
      </c>
      <c r="I22" s="66">
        <v>0</v>
      </c>
      <c r="J22" s="8">
        <f t="shared" si="2"/>
        <v>0</v>
      </c>
      <c r="K22" s="8">
        <f t="shared" si="3"/>
        <v>0</v>
      </c>
      <c r="L22" s="68">
        <f t="shared" si="4"/>
        <v>0</v>
      </c>
      <c r="M22" s="68">
        <v>0</v>
      </c>
      <c r="N22" s="8"/>
      <c r="O22" s="69"/>
    </row>
    <row r="23" spans="1:15">
      <c r="A23" s="46">
        <v>20</v>
      </c>
      <c r="B23" s="219">
        <v>45828</v>
      </c>
      <c r="C23" s="67"/>
      <c r="D23" s="159"/>
      <c r="E23" s="257"/>
      <c r="F23" s="257"/>
      <c r="G23" s="8">
        <f t="shared" si="1"/>
        <v>0</v>
      </c>
      <c r="H23" s="65">
        <v>0</v>
      </c>
      <c r="I23" s="66">
        <v>0</v>
      </c>
      <c r="J23" s="8">
        <f t="shared" si="2"/>
        <v>0</v>
      </c>
      <c r="K23" s="8">
        <f t="shared" si="3"/>
        <v>0</v>
      </c>
      <c r="L23" s="68">
        <f t="shared" si="4"/>
        <v>0</v>
      </c>
      <c r="M23" s="68">
        <v>0</v>
      </c>
      <c r="N23" s="8"/>
      <c r="O23" s="69"/>
    </row>
    <row r="24" spans="1:15">
      <c r="A24" s="46">
        <v>21</v>
      </c>
      <c r="B24" s="219">
        <v>45829</v>
      </c>
      <c r="C24" s="67"/>
      <c r="D24" s="159"/>
      <c r="E24" s="257"/>
      <c r="F24" s="257"/>
      <c r="G24" s="8">
        <f t="shared" si="1"/>
        <v>0</v>
      </c>
      <c r="H24" s="65">
        <v>0</v>
      </c>
      <c r="I24" s="66">
        <v>0</v>
      </c>
      <c r="J24" s="8">
        <f t="shared" si="2"/>
        <v>0</v>
      </c>
      <c r="K24" s="8">
        <f t="shared" si="3"/>
        <v>0</v>
      </c>
      <c r="L24" s="68">
        <f t="shared" si="4"/>
        <v>0</v>
      </c>
      <c r="M24" s="68">
        <v>0</v>
      </c>
      <c r="N24" s="8"/>
      <c r="O24" s="69"/>
    </row>
    <row r="25" spans="1:15">
      <c r="A25" s="46">
        <v>22</v>
      </c>
      <c r="B25" s="219">
        <v>45830</v>
      </c>
      <c r="C25" s="67"/>
      <c r="D25" s="159"/>
      <c r="E25" s="257"/>
      <c r="F25" s="257"/>
      <c r="G25" s="8">
        <f t="shared" si="1"/>
        <v>0</v>
      </c>
      <c r="H25" s="65">
        <v>0</v>
      </c>
      <c r="I25" s="66">
        <v>0</v>
      </c>
      <c r="J25" s="8">
        <f t="shared" si="2"/>
        <v>0</v>
      </c>
      <c r="K25" s="8">
        <f t="shared" si="3"/>
        <v>0</v>
      </c>
      <c r="L25" s="68">
        <f t="shared" si="4"/>
        <v>0</v>
      </c>
      <c r="M25" s="68">
        <v>0</v>
      </c>
      <c r="N25" s="8"/>
      <c r="O25" s="69"/>
    </row>
    <row r="26" spans="1:15">
      <c r="A26" s="46">
        <v>23</v>
      </c>
      <c r="B26" s="219">
        <v>45831</v>
      </c>
      <c r="C26" s="67"/>
      <c r="D26" s="159"/>
      <c r="E26" s="257"/>
      <c r="F26" s="8"/>
      <c r="G26" s="8">
        <f t="shared" si="1"/>
        <v>0</v>
      </c>
      <c r="H26" s="65">
        <v>0</v>
      </c>
      <c r="I26" s="66">
        <v>0</v>
      </c>
      <c r="J26" s="8">
        <f t="shared" si="2"/>
        <v>0</v>
      </c>
      <c r="K26" s="8">
        <f t="shared" si="3"/>
        <v>0</v>
      </c>
      <c r="L26" s="68">
        <f t="shared" si="4"/>
        <v>0</v>
      </c>
      <c r="M26" s="68">
        <v>0</v>
      </c>
      <c r="N26" s="8"/>
      <c r="O26" s="69"/>
    </row>
    <row r="27" spans="1:15">
      <c r="A27" s="46">
        <v>24</v>
      </c>
      <c r="B27" s="219">
        <v>45832</v>
      </c>
      <c r="C27" s="67"/>
      <c r="D27" s="159"/>
      <c r="E27" s="257"/>
      <c r="F27" s="257"/>
      <c r="G27" s="8">
        <f t="shared" si="1"/>
        <v>0</v>
      </c>
      <c r="H27" s="65">
        <v>0</v>
      </c>
      <c r="I27" s="66">
        <v>0</v>
      </c>
      <c r="J27" s="8">
        <f t="shared" si="2"/>
        <v>0</v>
      </c>
      <c r="K27" s="8">
        <f t="shared" si="3"/>
        <v>0</v>
      </c>
      <c r="L27" s="68">
        <f t="shared" si="4"/>
        <v>0</v>
      </c>
      <c r="M27" s="68">
        <v>0</v>
      </c>
      <c r="N27" s="8"/>
      <c r="O27" s="69"/>
    </row>
    <row r="28" spans="1:15">
      <c r="A28" s="221">
        <v>25</v>
      </c>
      <c r="B28" s="219">
        <v>45833</v>
      </c>
      <c r="C28" s="67"/>
      <c r="D28" s="159"/>
      <c r="E28" s="257"/>
      <c r="F28" s="257"/>
      <c r="G28" s="8"/>
      <c r="H28" s="65">
        <v>0</v>
      </c>
      <c r="I28" s="66">
        <v>0</v>
      </c>
      <c r="J28" s="8">
        <f t="shared" si="2"/>
        <v>0</v>
      </c>
      <c r="K28" s="8">
        <f t="shared" si="3"/>
        <v>0</v>
      </c>
      <c r="L28" s="68">
        <f t="shared" si="4"/>
        <v>0</v>
      </c>
      <c r="M28" s="68">
        <v>0</v>
      </c>
      <c r="N28" s="8"/>
      <c r="O28" s="69"/>
    </row>
    <row r="29" spans="1:15">
      <c r="A29" s="221">
        <v>26</v>
      </c>
      <c r="B29" s="219">
        <v>45834</v>
      </c>
      <c r="C29" s="67"/>
      <c r="D29" s="159"/>
      <c r="E29" s="257"/>
      <c r="F29" s="257"/>
      <c r="G29" s="8">
        <f t="shared" si="1"/>
        <v>0</v>
      </c>
      <c r="H29" s="65">
        <v>0</v>
      </c>
      <c r="I29" s="66">
        <v>0</v>
      </c>
      <c r="J29" s="8">
        <f t="shared" si="2"/>
        <v>0</v>
      </c>
      <c r="K29" s="8">
        <f t="shared" si="3"/>
        <v>0</v>
      </c>
      <c r="L29" s="68">
        <f t="shared" si="4"/>
        <v>0</v>
      </c>
      <c r="M29" s="68">
        <v>0</v>
      </c>
      <c r="N29" s="8"/>
      <c r="O29" s="69"/>
    </row>
    <row r="30" spans="1:15">
      <c r="A30" s="221">
        <v>27</v>
      </c>
      <c r="B30" s="219">
        <v>45835</v>
      </c>
      <c r="C30" s="67"/>
      <c r="D30" s="159"/>
      <c r="E30" s="257"/>
      <c r="F30" s="257"/>
      <c r="G30" s="8">
        <f t="shared" si="1"/>
        <v>0</v>
      </c>
      <c r="H30" s="65">
        <v>0</v>
      </c>
      <c r="I30" s="66">
        <v>0</v>
      </c>
      <c r="J30" s="8">
        <f t="shared" si="2"/>
        <v>0</v>
      </c>
      <c r="K30" s="8">
        <f t="shared" si="3"/>
        <v>0</v>
      </c>
      <c r="L30" s="68">
        <f t="shared" si="4"/>
        <v>0</v>
      </c>
      <c r="M30" s="68">
        <v>0</v>
      </c>
      <c r="N30" s="8"/>
      <c r="O30" s="69"/>
    </row>
    <row r="31" spans="1:15">
      <c r="A31" s="221">
        <v>28</v>
      </c>
      <c r="B31" s="219">
        <v>45836</v>
      </c>
      <c r="C31" s="67"/>
      <c r="D31" s="159"/>
      <c r="E31" s="257"/>
      <c r="F31" s="257"/>
      <c r="G31" s="8">
        <f t="shared" si="1"/>
        <v>0</v>
      </c>
      <c r="H31" s="65">
        <v>0</v>
      </c>
      <c r="I31" s="66">
        <v>0</v>
      </c>
      <c r="J31" s="8">
        <f t="shared" si="2"/>
        <v>0</v>
      </c>
      <c r="K31" s="8">
        <f t="shared" si="3"/>
        <v>0</v>
      </c>
      <c r="L31" s="68">
        <f t="shared" si="4"/>
        <v>0</v>
      </c>
      <c r="M31" s="68">
        <v>0</v>
      </c>
      <c r="N31" s="8"/>
      <c r="O31" s="69"/>
    </row>
    <row r="32" spans="1:15">
      <c r="A32" s="222">
        <v>29</v>
      </c>
      <c r="B32" s="219"/>
      <c r="C32" s="67"/>
      <c r="D32" s="159"/>
      <c r="E32" s="257"/>
      <c r="F32" s="257"/>
      <c r="G32" s="8">
        <f t="shared" si="1"/>
        <v>0</v>
      </c>
      <c r="H32" s="65">
        <v>0</v>
      </c>
      <c r="I32" s="66">
        <v>0</v>
      </c>
      <c r="J32" s="8">
        <f t="shared" si="2"/>
        <v>0</v>
      </c>
      <c r="K32" s="8">
        <f t="shared" si="3"/>
        <v>0</v>
      </c>
      <c r="L32" s="68">
        <f t="shared" si="4"/>
        <v>0</v>
      </c>
      <c r="M32" s="68">
        <v>0</v>
      </c>
      <c r="N32" s="8"/>
      <c r="O32" s="69"/>
    </row>
    <row r="33" spans="1:15">
      <c r="A33" s="222">
        <v>30</v>
      </c>
      <c r="B33" s="219"/>
      <c r="C33" s="67"/>
      <c r="D33" s="159"/>
      <c r="E33" s="257"/>
      <c r="F33" s="257"/>
      <c r="G33" s="8">
        <f t="shared" ref="G33" si="7">E33*F33</f>
        <v>0</v>
      </c>
      <c r="H33" s="65">
        <v>0</v>
      </c>
      <c r="I33" s="66">
        <v>0</v>
      </c>
      <c r="J33" s="8">
        <f t="shared" si="2"/>
        <v>0</v>
      </c>
      <c r="K33" s="8">
        <f t="shared" si="3"/>
        <v>0</v>
      </c>
      <c r="L33" s="68">
        <f t="shared" si="4"/>
        <v>0</v>
      </c>
      <c r="M33" s="68">
        <v>0</v>
      </c>
      <c r="N33" s="8"/>
      <c r="O33" s="69"/>
    </row>
    <row r="34" spans="1:15">
      <c r="A34" s="222">
        <v>31</v>
      </c>
      <c r="B34" s="219"/>
      <c r="C34" s="67"/>
      <c r="D34" s="159"/>
      <c r="E34" s="257"/>
      <c r="F34" s="257"/>
      <c r="G34" s="8">
        <f t="shared" ref="G34" si="8">E34*F34</f>
        <v>0</v>
      </c>
      <c r="H34" s="65">
        <v>0</v>
      </c>
      <c r="I34" s="66">
        <v>0</v>
      </c>
      <c r="J34" s="8">
        <f t="shared" ref="J34" si="9">H34*I34</f>
        <v>0</v>
      </c>
      <c r="K34" s="8">
        <f t="shared" ref="K34" si="10">G34+J34</f>
        <v>0</v>
      </c>
      <c r="L34" s="68">
        <f t="shared" ref="L34" si="11">+K34</f>
        <v>0</v>
      </c>
      <c r="M34" s="68">
        <v>0</v>
      </c>
      <c r="N34" s="8"/>
      <c r="O34" s="69"/>
    </row>
    <row r="35" spans="1:15">
      <c r="A35" s="62"/>
      <c r="B35" s="62"/>
      <c r="C35" s="62"/>
      <c r="D35" s="62"/>
      <c r="E35" s="258">
        <f>SUM(E4:E34)</f>
        <v>0</v>
      </c>
      <c r="F35" s="258"/>
      <c r="G35" s="63">
        <f>SUM(G4:G34)</f>
        <v>0</v>
      </c>
      <c r="H35" s="63">
        <f>SUM(H4:H34)</f>
        <v>0</v>
      </c>
      <c r="I35" s="63"/>
      <c r="J35" s="63">
        <f>SUM(J4:J34)</f>
        <v>0</v>
      </c>
      <c r="K35" s="63">
        <f>SUM(K4:K34)</f>
        <v>0</v>
      </c>
      <c r="L35" s="63">
        <f>SUM(L4:L34)</f>
        <v>0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561"/>
      <c r="C43" s="561"/>
      <c r="D43" s="561"/>
      <c r="E43" s="561"/>
      <c r="F43" s="69"/>
      <c r="G43" s="69"/>
      <c r="H43" s="69"/>
      <c r="I43" s="561"/>
      <c r="J43" s="561"/>
      <c r="K43" s="561"/>
      <c r="L43" s="561"/>
      <c r="M43" s="561"/>
      <c r="N43" s="561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259"/>
  <sheetViews>
    <sheetView topLeftCell="D233" workbookViewId="0">
      <selection activeCell="M4" sqref="M4:M242"/>
    </sheetView>
  </sheetViews>
  <sheetFormatPr defaultColWidth="18.28515625" defaultRowHeight="15"/>
  <cols>
    <col min="1" max="1" width="13.42578125" customWidth="1"/>
    <col min="3" max="3" width="49" customWidth="1"/>
    <col min="4" max="4" width="27.7109375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340"/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82"/>
    </row>
    <row r="2" spans="1:18" ht="30.75">
      <c r="A2" s="98" t="s">
        <v>0</v>
      </c>
      <c r="B2" s="99" t="s">
        <v>167</v>
      </c>
      <c r="C2" s="99" t="s">
        <v>168</v>
      </c>
      <c r="D2" s="99" t="s">
        <v>191</v>
      </c>
      <c r="E2" s="256" t="s">
        <v>170</v>
      </c>
      <c r="F2" s="256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139" t="s">
        <v>175</v>
      </c>
      <c r="M2" s="143" t="s">
        <v>192</v>
      </c>
      <c r="N2" s="101" t="s">
        <v>177</v>
      </c>
      <c r="O2" s="59"/>
    </row>
    <row r="3" spans="1:18">
      <c r="A3" s="547" t="s">
        <v>178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3"/>
      <c r="M3" s="382">
        <v>0</v>
      </c>
      <c r="N3" s="215"/>
      <c r="O3" s="59"/>
    </row>
    <row r="4" spans="1:18">
      <c r="A4" s="222">
        <v>1</v>
      </c>
      <c r="B4" s="324" t="s">
        <v>197</v>
      </c>
      <c r="C4" s="388" t="s">
        <v>198</v>
      </c>
      <c r="D4" s="390" t="s">
        <v>199</v>
      </c>
      <c r="E4" s="390">
        <v>45.03</v>
      </c>
      <c r="F4" s="390">
        <v>105.29</v>
      </c>
      <c r="G4" s="390">
        <v>4741.21</v>
      </c>
      <c r="H4" s="390">
        <v>0</v>
      </c>
      <c r="I4" s="390" t="s">
        <v>200</v>
      </c>
      <c r="J4" s="390">
        <v>0</v>
      </c>
      <c r="K4" s="504">
        <f>G4+J4</f>
        <v>4741.21</v>
      </c>
      <c r="L4" s="385">
        <f>+K4</f>
        <v>4741.21</v>
      </c>
      <c r="M4" s="68">
        <f>+M3+K4-L4</f>
        <v>0</v>
      </c>
      <c r="N4" s="8" t="s">
        <v>201</v>
      </c>
    </row>
    <row r="5" spans="1:18">
      <c r="A5" s="221">
        <v>2</v>
      </c>
      <c r="B5" s="324" t="s">
        <v>197</v>
      </c>
      <c r="C5" s="391" t="s">
        <v>202</v>
      </c>
      <c r="D5" s="392" t="s">
        <v>203</v>
      </c>
      <c r="E5" s="392">
        <v>56.11</v>
      </c>
      <c r="F5" s="392">
        <v>105.21</v>
      </c>
      <c r="G5" s="392">
        <v>5903.33</v>
      </c>
      <c r="H5" s="392">
        <v>0</v>
      </c>
      <c r="I5" s="392" t="s">
        <v>200</v>
      </c>
      <c r="J5" s="392">
        <v>0</v>
      </c>
      <c r="K5" s="504">
        <f t="shared" ref="K5:K68" si="0">G5+J5</f>
        <v>5903.33</v>
      </c>
      <c r="L5" s="385">
        <f t="shared" ref="L5:L68" si="1">+K5</f>
        <v>5903.33</v>
      </c>
      <c r="M5" s="68">
        <f t="shared" ref="M5:M68" si="2">+M4+K5-L5</f>
        <v>0</v>
      </c>
      <c r="N5" s="8" t="s">
        <v>201</v>
      </c>
    </row>
    <row r="6" spans="1:18">
      <c r="A6" s="221">
        <v>3</v>
      </c>
      <c r="B6" s="324" t="s">
        <v>197</v>
      </c>
      <c r="C6" s="391" t="s">
        <v>202</v>
      </c>
      <c r="D6" s="392" t="s">
        <v>203</v>
      </c>
      <c r="E6" s="392">
        <v>56.36</v>
      </c>
      <c r="F6" s="392">
        <v>105.21</v>
      </c>
      <c r="G6" s="392">
        <v>5929.64</v>
      </c>
      <c r="H6" s="392">
        <v>0</v>
      </c>
      <c r="I6" s="392" t="s">
        <v>200</v>
      </c>
      <c r="J6" s="392">
        <v>0</v>
      </c>
      <c r="K6" s="504">
        <f t="shared" si="0"/>
        <v>5929.64</v>
      </c>
      <c r="L6" s="385">
        <f t="shared" si="1"/>
        <v>5929.64</v>
      </c>
      <c r="M6" s="68">
        <f t="shared" si="2"/>
        <v>0</v>
      </c>
      <c r="N6" s="104"/>
    </row>
    <row r="7" spans="1:18">
      <c r="A7" s="222">
        <v>4</v>
      </c>
      <c r="B7" s="324" t="s">
        <v>197</v>
      </c>
      <c r="C7" s="391" t="s">
        <v>204</v>
      </c>
      <c r="D7" s="392" t="s">
        <v>205</v>
      </c>
      <c r="E7" s="392">
        <v>90</v>
      </c>
      <c r="F7" s="392">
        <v>104.7</v>
      </c>
      <c r="G7" s="392">
        <v>9423</v>
      </c>
      <c r="H7" s="392">
        <v>0</v>
      </c>
      <c r="I7" s="392" t="s">
        <v>200</v>
      </c>
      <c r="J7" s="392">
        <v>0</v>
      </c>
      <c r="K7" s="504">
        <f t="shared" si="0"/>
        <v>9423</v>
      </c>
      <c r="L7" s="385">
        <f t="shared" si="1"/>
        <v>9423</v>
      </c>
      <c r="M7" s="68">
        <f t="shared" si="2"/>
        <v>0</v>
      </c>
      <c r="N7" s="104"/>
      <c r="O7" s="377"/>
    </row>
    <row r="8" spans="1:18">
      <c r="A8" s="221">
        <v>5</v>
      </c>
      <c r="B8" s="324" t="s">
        <v>197</v>
      </c>
      <c r="C8" s="391" t="s">
        <v>101</v>
      </c>
      <c r="D8" s="392" t="s">
        <v>90</v>
      </c>
      <c r="E8" s="392">
        <v>0</v>
      </c>
      <c r="F8" s="392" t="s">
        <v>200</v>
      </c>
      <c r="G8" s="392">
        <v>0</v>
      </c>
      <c r="H8" s="392">
        <v>5</v>
      </c>
      <c r="I8" s="392">
        <v>117.98</v>
      </c>
      <c r="J8" s="392">
        <v>589.9</v>
      </c>
      <c r="K8" s="504">
        <f t="shared" si="0"/>
        <v>589.9</v>
      </c>
      <c r="L8" s="385">
        <f t="shared" si="1"/>
        <v>589.9</v>
      </c>
      <c r="M8" s="68">
        <f t="shared" si="2"/>
        <v>0</v>
      </c>
      <c r="N8" s="8"/>
      <c r="O8" s="69"/>
      <c r="R8" s="225"/>
    </row>
    <row r="9" spans="1:18">
      <c r="A9" s="221">
        <v>6</v>
      </c>
      <c r="B9" s="324" t="s">
        <v>206</v>
      </c>
      <c r="C9" s="391" t="s">
        <v>207</v>
      </c>
      <c r="D9" s="392" t="s">
        <v>208</v>
      </c>
      <c r="E9" s="392">
        <v>46.47</v>
      </c>
      <c r="F9" s="392">
        <v>105.22</v>
      </c>
      <c r="G9" s="392">
        <v>4889.57</v>
      </c>
      <c r="H9" s="392">
        <v>0</v>
      </c>
      <c r="I9" s="392" t="s">
        <v>200</v>
      </c>
      <c r="J9" s="392">
        <v>0</v>
      </c>
      <c r="K9" s="504">
        <f t="shared" si="0"/>
        <v>4889.57</v>
      </c>
      <c r="L9" s="385">
        <f t="shared" si="1"/>
        <v>4889.57</v>
      </c>
      <c r="M9" s="68">
        <f t="shared" si="2"/>
        <v>0</v>
      </c>
      <c r="N9" s="8" t="s">
        <v>201</v>
      </c>
      <c r="O9" s="69"/>
    </row>
    <row r="10" spans="1:18">
      <c r="A10" s="222">
        <v>7</v>
      </c>
      <c r="B10" s="324" t="s">
        <v>206</v>
      </c>
      <c r="C10" s="391" t="s">
        <v>209</v>
      </c>
      <c r="D10" s="392" t="s">
        <v>210</v>
      </c>
      <c r="E10" s="392">
        <v>90</v>
      </c>
      <c r="F10" s="392">
        <v>104.7</v>
      </c>
      <c r="G10" s="392">
        <v>9423</v>
      </c>
      <c r="H10" s="392">
        <v>0</v>
      </c>
      <c r="I10" s="392" t="s">
        <v>200</v>
      </c>
      <c r="J10" s="392">
        <v>0</v>
      </c>
      <c r="K10" s="504">
        <f t="shared" si="0"/>
        <v>9423</v>
      </c>
      <c r="L10" s="385">
        <f t="shared" si="1"/>
        <v>9423</v>
      </c>
      <c r="M10" s="68">
        <f t="shared" si="2"/>
        <v>0</v>
      </c>
      <c r="N10" s="8"/>
      <c r="O10" s="69"/>
    </row>
    <row r="11" spans="1:18">
      <c r="A11" s="221">
        <v>8</v>
      </c>
      <c r="B11" s="324" t="s">
        <v>206</v>
      </c>
      <c r="C11" s="391" t="s">
        <v>209</v>
      </c>
      <c r="D11" s="392" t="s">
        <v>210</v>
      </c>
      <c r="E11" s="392">
        <v>0</v>
      </c>
      <c r="F11" s="392" t="s">
        <v>200</v>
      </c>
      <c r="G11" s="392">
        <v>0</v>
      </c>
      <c r="H11" s="392">
        <v>5</v>
      </c>
      <c r="I11" s="392">
        <v>116.99</v>
      </c>
      <c r="J11" s="392">
        <v>584.95000000000005</v>
      </c>
      <c r="K11" s="504">
        <f t="shared" si="0"/>
        <v>584.95000000000005</v>
      </c>
      <c r="L11" s="385">
        <f t="shared" si="1"/>
        <v>584.95000000000005</v>
      </c>
      <c r="M11" s="68">
        <f t="shared" si="2"/>
        <v>0</v>
      </c>
      <c r="N11" s="8" t="s">
        <v>201</v>
      </c>
      <c r="O11" s="69"/>
    </row>
    <row r="12" spans="1:18">
      <c r="A12" s="221">
        <v>9</v>
      </c>
      <c r="B12" s="324" t="s">
        <v>206</v>
      </c>
      <c r="C12" s="391" t="s">
        <v>202</v>
      </c>
      <c r="D12" s="392" t="s">
        <v>203</v>
      </c>
      <c r="E12" s="392">
        <v>50</v>
      </c>
      <c r="F12" s="392">
        <v>105.21</v>
      </c>
      <c r="G12" s="392">
        <v>5260.5</v>
      </c>
      <c r="H12" s="392">
        <v>0</v>
      </c>
      <c r="I12" s="392" t="s">
        <v>200</v>
      </c>
      <c r="J12" s="392">
        <v>0</v>
      </c>
      <c r="K12" s="504">
        <f t="shared" si="0"/>
        <v>5260.5</v>
      </c>
      <c r="L12" s="385">
        <f t="shared" si="1"/>
        <v>5260.5</v>
      </c>
      <c r="M12" s="68">
        <f t="shared" si="2"/>
        <v>0</v>
      </c>
      <c r="N12" s="8" t="s">
        <v>201</v>
      </c>
      <c r="O12" s="69"/>
    </row>
    <row r="13" spans="1:18">
      <c r="A13" s="222">
        <v>10</v>
      </c>
      <c r="B13" s="324" t="s">
        <v>206</v>
      </c>
      <c r="C13" s="391" t="s">
        <v>211</v>
      </c>
      <c r="D13" s="392" t="s">
        <v>90</v>
      </c>
      <c r="E13" s="392">
        <v>48.16</v>
      </c>
      <c r="F13" s="392">
        <v>105.59</v>
      </c>
      <c r="G13" s="392">
        <v>5085.21</v>
      </c>
      <c r="H13" s="392">
        <v>0</v>
      </c>
      <c r="I13" s="392" t="s">
        <v>200</v>
      </c>
      <c r="J13" s="392">
        <v>0</v>
      </c>
      <c r="K13" s="504">
        <f t="shared" si="0"/>
        <v>5085.21</v>
      </c>
      <c r="L13" s="385">
        <f t="shared" si="1"/>
        <v>5085.21</v>
      </c>
      <c r="M13" s="68">
        <f t="shared" si="2"/>
        <v>0</v>
      </c>
      <c r="N13" s="8"/>
      <c r="O13" s="69"/>
    </row>
    <row r="14" spans="1:18">
      <c r="A14" s="221">
        <v>11</v>
      </c>
      <c r="B14" s="324" t="s">
        <v>212</v>
      </c>
      <c r="C14" s="495" t="s">
        <v>202</v>
      </c>
      <c r="D14" s="390" t="s">
        <v>203</v>
      </c>
      <c r="E14" s="390">
        <v>100</v>
      </c>
      <c r="F14" s="390">
        <v>105.21</v>
      </c>
      <c r="G14" s="390">
        <v>10521</v>
      </c>
      <c r="H14" s="390">
        <v>0</v>
      </c>
      <c r="I14" s="390" t="s">
        <v>200</v>
      </c>
      <c r="J14" s="390">
        <v>0</v>
      </c>
      <c r="K14" s="504">
        <f t="shared" si="0"/>
        <v>10521</v>
      </c>
      <c r="L14" s="385">
        <f t="shared" si="1"/>
        <v>10521</v>
      </c>
      <c r="M14" s="68">
        <f t="shared" si="2"/>
        <v>0</v>
      </c>
      <c r="N14" s="8" t="s">
        <v>201</v>
      </c>
      <c r="O14" s="69"/>
    </row>
    <row r="15" spans="1:18">
      <c r="A15" s="221">
        <v>12</v>
      </c>
      <c r="B15" s="324" t="s">
        <v>212</v>
      </c>
      <c r="C15" s="496" t="s">
        <v>202</v>
      </c>
      <c r="D15" s="392" t="s">
        <v>203</v>
      </c>
      <c r="E15" s="392">
        <v>50</v>
      </c>
      <c r="F15" s="392">
        <v>105.21</v>
      </c>
      <c r="G15" s="392">
        <v>5260.5</v>
      </c>
      <c r="H15" s="392">
        <v>0</v>
      </c>
      <c r="I15" s="392" t="s">
        <v>200</v>
      </c>
      <c r="J15" s="392">
        <v>0</v>
      </c>
      <c r="K15" s="504">
        <f t="shared" si="0"/>
        <v>5260.5</v>
      </c>
      <c r="L15" s="385">
        <f t="shared" si="1"/>
        <v>5260.5</v>
      </c>
      <c r="M15" s="68">
        <f t="shared" si="2"/>
        <v>0</v>
      </c>
      <c r="N15" s="8" t="s">
        <v>201</v>
      </c>
      <c r="O15" s="69"/>
    </row>
    <row r="16" spans="1:18">
      <c r="A16" s="222">
        <v>13</v>
      </c>
      <c r="B16" s="324" t="s">
        <v>212</v>
      </c>
      <c r="C16" s="496" t="s">
        <v>213</v>
      </c>
      <c r="D16" s="392" t="s">
        <v>214</v>
      </c>
      <c r="E16" s="392">
        <v>36.590000000000003</v>
      </c>
      <c r="F16" s="392">
        <v>105.52</v>
      </c>
      <c r="G16" s="392">
        <v>3860.98</v>
      </c>
      <c r="H16" s="392">
        <v>0</v>
      </c>
      <c r="I16" s="392" t="s">
        <v>200</v>
      </c>
      <c r="J16" s="392">
        <v>0</v>
      </c>
      <c r="K16" s="504">
        <f t="shared" si="0"/>
        <v>3860.98</v>
      </c>
      <c r="L16" s="385">
        <f t="shared" si="1"/>
        <v>3860.98</v>
      </c>
      <c r="M16" s="68">
        <f t="shared" si="2"/>
        <v>0</v>
      </c>
      <c r="N16" s="8"/>
      <c r="O16" s="69"/>
    </row>
    <row r="17" spans="1:17">
      <c r="A17" s="221">
        <v>14</v>
      </c>
      <c r="B17" s="324" t="s">
        <v>212</v>
      </c>
      <c r="C17" s="496" t="s">
        <v>215</v>
      </c>
      <c r="D17" s="392" t="s">
        <v>216</v>
      </c>
      <c r="E17" s="392">
        <v>42.09</v>
      </c>
      <c r="F17" s="392">
        <v>105.29</v>
      </c>
      <c r="G17" s="392">
        <v>4431.66</v>
      </c>
      <c r="H17" s="392">
        <v>0</v>
      </c>
      <c r="I17" s="392" t="s">
        <v>200</v>
      </c>
      <c r="J17" s="392">
        <v>0</v>
      </c>
      <c r="K17" s="504">
        <f t="shared" si="0"/>
        <v>4431.66</v>
      </c>
      <c r="L17" s="385">
        <f t="shared" si="1"/>
        <v>4431.66</v>
      </c>
      <c r="M17" s="68">
        <f t="shared" si="2"/>
        <v>0</v>
      </c>
      <c r="N17" s="8" t="s">
        <v>201</v>
      </c>
      <c r="O17" s="69"/>
    </row>
    <row r="18" spans="1:17">
      <c r="A18" s="221">
        <v>15</v>
      </c>
      <c r="B18" s="324" t="s">
        <v>212</v>
      </c>
      <c r="C18" s="391" t="s">
        <v>217</v>
      </c>
      <c r="D18" s="392" t="s">
        <v>218</v>
      </c>
      <c r="E18" s="392">
        <v>9.82</v>
      </c>
      <c r="F18" s="392">
        <v>104.7</v>
      </c>
      <c r="G18" s="392">
        <v>1028.1500000000001</v>
      </c>
      <c r="H18" s="392">
        <v>0</v>
      </c>
      <c r="I18" s="392" t="s">
        <v>200</v>
      </c>
      <c r="J18" s="392">
        <v>0</v>
      </c>
      <c r="K18" s="504">
        <f t="shared" si="0"/>
        <v>1028.1500000000001</v>
      </c>
      <c r="L18" s="385">
        <f t="shared" si="1"/>
        <v>1028.1500000000001</v>
      </c>
      <c r="M18" s="68">
        <f t="shared" si="2"/>
        <v>0</v>
      </c>
      <c r="N18" s="8" t="s">
        <v>201</v>
      </c>
      <c r="O18" s="69"/>
    </row>
    <row r="19" spans="1:17">
      <c r="A19" s="222">
        <v>16</v>
      </c>
      <c r="B19" s="324" t="s">
        <v>219</v>
      </c>
      <c r="C19" s="388" t="s">
        <v>220</v>
      </c>
      <c r="D19" s="390" t="s">
        <v>221</v>
      </c>
      <c r="E19" s="390">
        <v>47.42</v>
      </c>
      <c r="F19" s="390">
        <v>104.62</v>
      </c>
      <c r="G19" s="390">
        <v>4961.08</v>
      </c>
      <c r="H19" s="390">
        <v>0</v>
      </c>
      <c r="I19" s="390" t="s">
        <v>200</v>
      </c>
      <c r="J19" s="390">
        <v>0</v>
      </c>
      <c r="K19" s="504">
        <f t="shared" si="0"/>
        <v>4961.08</v>
      </c>
      <c r="L19" s="385">
        <f t="shared" si="1"/>
        <v>4961.08</v>
      </c>
      <c r="M19" s="68">
        <f t="shared" si="2"/>
        <v>0</v>
      </c>
      <c r="N19" s="8" t="s">
        <v>201</v>
      </c>
      <c r="O19" s="69"/>
    </row>
    <row r="20" spans="1:17">
      <c r="A20" s="221">
        <v>17</v>
      </c>
      <c r="B20" s="324" t="s">
        <v>219</v>
      </c>
      <c r="C20" s="391" t="s">
        <v>222</v>
      </c>
      <c r="D20" s="392" t="s">
        <v>223</v>
      </c>
      <c r="E20" s="392">
        <v>53.63</v>
      </c>
      <c r="F20" s="392">
        <v>105.35</v>
      </c>
      <c r="G20" s="392">
        <v>5649.92</v>
      </c>
      <c r="H20" s="392">
        <v>0</v>
      </c>
      <c r="I20" s="392" t="s">
        <v>200</v>
      </c>
      <c r="J20" s="392">
        <v>0</v>
      </c>
      <c r="K20" s="504">
        <f t="shared" si="0"/>
        <v>5649.92</v>
      </c>
      <c r="L20" s="385">
        <f t="shared" si="1"/>
        <v>5649.92</v>
      </c>
      <c r="M20" s="68">
        <f t="shared" si="2"/>
        <v>0</v>
      </c>
      <c r="N20" s="8" t="s">
        <v>201</v>
      </c>
      <c r="O20" s="69"/>
    </row>
    <row r="21" spans="1:17">
      <c r="A21" s="221">
        <v>18</v>
      </c>
      <c r="B21" s="324" t="s">
        <v>219</v>
      </c>
      <c r="C21" s="391" t="s">
        <v>198</v>
      </c>
      <c r="D21" s="392" t="s">
        <v>216</v>
      </c>
      <c r="E21" s="392"/>
      <c r="F21" s="392"/>
      <c r="G21" s="392">
        <v>565.75</v>
      </c>
      <c r="H21" s="392">
        <v>4.8099999999999996</v>
      </c>
      <c r="I21" s="392">
        <v>117.62</v>
      </c>
      <c r="J21" s="392">
        <v>565.75</v>
      </c>
      <c r="K21" s="504">
        <f t="shared" si="0"/>
        <v>1131.5</v>
      </c>
      <c r="L21" s="385">
        <f t="shared" si="1"/>
        <v>1131.5</v>
      </c>
      <c r="M21" s="68">
        <f t="shared" si="2"/>
        <v>0</v>
      </c>
      <c r="N21" s="8" t="s">
        <v>224</v>
      </c>
      <c r="O21" s="69"/>
    </row>
    <row r="22" spans="1:17">
      <c r="A22" s="222">
        <v>19</v>
      </c>
      <c r="B22" s="324" t="s">
        <v>219</v>
      </c>
      <c r="C22" s="391" t="s">
        <v>202</v>
      </c>
      <c r="D22" s="392" t="s">
        <v>203</v>
      </c>
      <c r="E22" s="392">
        <v>70</v>
      </c>
      <c r="F22" s="392">
        <v>105.21</v>
      </c>
      <c r="G22" s="392">
        <v>7364.7</v>
      </c>
      <c r="H22" s="392">
        <v>0</v>
      </c>
      <c r="I22" s="392" t="s">
        <v>200</v>
      </c>
      <c r="J22" s="392">
        <v>0</v>
      </c>
      <c r="K22" s="504">
        <f t="shared" si="0"/>
        <v>7364.7</v>
      </c>
      <c r="L22" s="385">
        <f t="shared" si="1"/>
        <v>7364.7</v>
      </c>
      <c r="M22" s="68">
        <f t="shared" si="2"/>
        <v>0</v>
      </c>
      <c r="N22" s="8" t="s">
        <v>201</v>
      </c>
      <c r="O22" s="69"/>
    </row>
    <row r="23" spans="1:17">
      <c r="A23" s="221">
        <v>20</v>
      </c>
      <c r="B23" s="324" t="s">
        <v>219</v>
      </c>
      <c r="C23" s="391" t="s">
        <v>202</v>
      </c>
      <c r="D23" s="392" t="s">
        <v>203</v>
      </c>
      <c r="E23" s="392">
        <v>70</v>
      </c>
      <c r="F23" s="392">
        <v>105.21</v>
      </c>
      <c r="G23" s="392">
        <v>7364.7</v>
      </c>
      <c r="H23" s="392">
        <v>0</v>
      </c>
      <c r="I23" s="392" t="s">
        <v>200</v>
      </c>
      <c r="J23" s="392">
        <v>0</v>
      </c>
      <c r="K23" s="504">
        <f t="shared" si="0"/>
        <v>7364.7</v>
      </c>
      <c r="L23" s="385">
        <f t="shared" si="1"/>
        <v>7364.7</v>
      </c>
      <c r="M23" s="68">
        <f t="shared" si="2"/>
        <v>0</v>
      </c>
      <c r="N23" s="104"/>
      <c r="O23" s="69"/>
      <c r="Q23" s="22"/>
    </row>
    <row r="24" spans="1:17">
      <c r="A24" s="221">
        <v>21</v>
      </c>
      <c r="B24" s="324" t="s">
        <v>219</v>
      </c>
      <c r="C24" s="391" t="s">
        <v>202</v>
      </c>
      <c r="D24" s="392" t="s">
        <v>203</v>
      </c>
      <c r="E24" s="392">
        <v>60</v>
      </c>
      <c r="F24" s="392">
        <v>105.21</v>
      </c>
      <c r="G24" s="392">
        <v>6312.6</v>
      </c>
      <c r="H24" s="392">
        <v>0</v>
      </c>
      <c r="I24" s="392" t="s">
        <v>200</v>
      </c>
      <c r="J24" s="392">
        <v>0</v>
      </c>
      <c r="K24" s="504">
        <f t="shared" si="0"/>
        <v>6312.6</v>
      </c>
      <c r="L24" s="385">
        <f t="shared" si="1"/>
        <v>6312.6</v>
      </c>
      <c r="M24" s="68">
        <f t="shared" si="2"/>
        <v>0</v>
      </c>
      <c r="N24" s="8"/>
      <c r="O24" s="69"/>
    </row>
    <row r="25" spans="1:17">
      <c r="A25" s="222">
        <v>22</v>
      </c>
      <c r="B25" s="324" t="s">
        <v>225</v>
      </c>
      <c r="C25" s="452" t="s">
        <v>226</v>
      </c>
      <c r="D25" s="453" t="s">
        <v>227</v>
      </c>
      <c r="E25" s="453">
        <v>31.91</v>
      </c>
      <c r="F25" s="453">
        <v>94.03</v>
      </c>
      <c r="G25" s="306">
        <f t="shared" ref="G25:G52" si="3">E25*F25</f>
        <v>3000.4973</v>
      </c>
      <c r="H25" s="453"/>
      <c r="I25" s="453"/>
      <c r="J25" s="319"/>
      <c r="K25" s="504">
        <f t="shared" si="0"/>
        <v>3000.4973</v>
      </c>
      <c r="L25" s="385">
        <f t="shared" si="1"/>
        <v>3000.4973</v>
      </c>
      <c r="M25" s="68">
        <f t="shared" si="2"/>
        <v>0</v>
      </c>
      <c r="N25" s="8"/>
      <c r="O25" s="69"/>
    </row>
    <row r="26" spans="1:17">
      <c r="A26" s="221">
        <v>23</v>
      </c>
      <c r="B26" s="324" t="s">
        <v>225</v>
      </c>
      <c r="C26" s="454" t="s">
        <v>228</v>
      </c>
      <c r="D26" s="455" t="s">
        <v>229</v>
      </c>
      <c r="E26" s="455">
        <v>31.9</v>
      </c>
      <c r="F26" s="455">
        <v>104.72</v>
      </c>
      <c r="G26" s="306">
        <f t="shared" si="3"/>
        <v>3340.5679999999998</v>
      </c>
      <c r="H26" s="455"/>
      <c r="I26" s="455"/>
      <c r="J26" s="319"/>
      <c r="K26" s="504">
        <f t="shared" si="0"/>
        <v>3340.5679999999998</v>
      </c>
      <c r="L26" s="385">
        <f t="shared" si="1"/>
        <v>3340.5679999999998</v>
      </c>
      <c r="M26" s="68">
        <f t="shared" si="2"/>
        <v>0</v>
      </c>
      <c r="N26" s="388" t="s">
        <v>224</v>
      </c>
      <c r="O26" s="69"/>
    </row>
    <row r="27" spans="1:17">
      <c r="A27" s="221">
        <v>24</v>
      </c>
      <c r="B27" s="324" t="s">
        <v>230</v>
      </c>
      <c r="C27" s="510" t="s">
        <v>231</v>
      </c>
      <c r="D27" s="453" t="s">
        <v>90</v>
      </c>
      <c r="E27" s="453">
        <v>28.41</v>
      </c>
      <c r="F27" s="453">
        <v>105.59</v>
      </c>
      <c r="G27" s="453">
        <v>2999.81</v>
      </c>
      <c r="H27" s="453">
        <v>0</v>
      </c>
      <c r="I27" s="453" t="s">
        <v>200</v>
      </c>
      <c r="J27" s="453">
        <v>0</v>
      </c>
      <c r="K27" s="504">
        <f t="shared" si="0"/>
        <v>2999.81</v>
      </c>
      <c r="L27" s="385">
        <f t="shared" si="1"/>
        <v>2999.81</v>
      </c>
      <c r="M27" s="68">
        <f t="shared" si="2"/>
        <v>0</v>
      </c>
      <c r="N27" s="391" t="s">
        <v>201</v>
      </c>
      <c r="O27" s="69"/>
    </row>
    <row r="28" spans="1:17">
      <c r="A28" s="222">
        <v>25</v>
      </c>
      <c r="B28" s="324" t="s">
        <v>230</v>
      </c>
      <c r="C28" s="511" t="s">
        <v>232</v>
      </c>
      <c r="D28" s="455" t="s">
        <v>203</v>
      </c>
      <c r="E28" s="455">
        <v>0</v>
      </c>
      <c r="F28" s="455">
        <v>0</v>
      </c>
      <c r="G28" s="455">
        <v>0</v>
      </c>
      <c r="H28" s="455">
        <v>4</v>
      </c>
      <c r="I28" s="455">
        <v>117.58</v>
      </c>
      <c r="J28" s="455">
        <v>470.32</v>
      </c>
      <c r="K28" s="504">
        <f t="shared" si="0"/>
        <v>470.32</v>
      </c>
      <c r="L28" s="385">
        <f t="shared" si="1"/>
        <v>470.32</v>
      </c>
      <c r="M28" s="68">
        <f t="shared" si="2"/>
        <v>0</v>
      </c>
      <c r="N28" s="8"/>
      <c r="O28" s="69"/>
    </row>
    <row r="29" spans="1:17">
      <c r="A29" s="221">
        <v>26</v>
      </c>
      <c r="B29" s="324" t="s">
        <v>230</v>
      </c>
      <c r="C29" s="511" t="s">
        <v>232</v>
      </c>
      <c r="D29" s="455" t="s">
        <v>203</v>
      </c>
      <c r="E29" s="455">
        <v>60</v>
      </c>
      <c r="F29" s="455">
        <v>105.21</v>
      </c>
      <c r="G29" s="455">
        <v>6312.6</v>
      </c>
      <c r="H29" s="455">
        <v>0</v>
      </c>
      <c r="I29" s="455" t="s">
        <v>200</v>
      </c>
      <c r="J29" s="455">
        <v>0</v>
      </c>
      <c r="K29" s="504">
        <f t="shared" si="0"/>
        <v>6312.6</v>
      </c>
      <c r="L29" s="385">
        <f t="shared" si="1"/>
        <v>6312.6</v>
      </c>
      <c r="M29" s="68">
        <f t="shared" si="2"/>
        <v>0</v>
      </c>
      <c r="N29" s="8"/>
      <c r="O29" s="69"/>
    </row>
    <row r="30" spans="1:17">
      <c r="A30" s="221">
        <v>27</v>
      </c>
      <c r="B30" s="324" t="s">
        <v>230</v>
      </c>
      <c r="C30" s="511" t="s">
        <v>232</v>
      </c>
      <c r="D30" s="455" t="s">
        <v>203</v>
      </c>
      <c r="E30" s="455">
        <v>100.02</v>
      </c>
      <c r="F30" s="455">
        <v>105.21</v>
      </c>
      <c r="G30" s="455">
        <v>10523.1</v>
      </c>
      <c r="H30" s="455">
        <v>0</v>
      </c>
      <c r="I30" s="455" t="s">
        <v>200</v>
      </c>
      <c r="J30" s="455">
        <v>0</v>
      </c>
      <c r="K30" s="504">
        <f t="shared" si="0"/>
        <v>10523.1</v>
      </c>
      <c r="L30" s="385">
        <f t="shared" si="1"/>
        <v>10523.1</v>
      </c>
      <c r="M30" s="68">
        <f t="shared" si="2"/>
        <v>0</v>
      </c>
      <c r="N30" s="8"/>
      <c r="O30" s="69"/>
    </row>
    <row r="31" spans="1:17">
      <c r="A31" s="222">
        <v>28</v>
      </c>
      <c r="B31" s="324" t="s">
        <v>230</v>
      </c>
      <c r="C31" s="511" t="s">
        <v>220</v>
      </c>
      <c r="D31" s="455" t="s">
        <v>221</v>
      </c>
      <c r="E31" s="455">
        <v>0</v>
      </c>
      <c r="F31" s="455">
        <v>0</v>
      </c>
      <c r="G31" s="455">
        <v>0</v>
      </c>
      <c r="H31" s="455">
        <v>5</v>
      </c>
      <c r="I31" s="455">
        <v>116.9</v>
      </c>
      <c r="J31" s="455">
        <v>584.5</v>
      </c>
      <c r="K31" s="504">
        <f t="shared" si="0"/>
        <v>584.5</v>
      </c>
      <c r="L31" s="385">
        <f t="shared" si="1"/>
        <v>584.5</v>
      </c>
      <c r="M31" s="68">
        <f t="shared" si="2"/>
        <v>0</v>
      </c>
      <c r="N31" s="8"/>
      <c r="O31" s="69"/>
    </row>
    <row r="32" spans="1:17">
      <c r="A32" s="221">
        <v>29</v>
      </c>
      <c r="B32" s="324" t="s">
        <v>230</v>
      </c>
      <c r="C32" s="454" t="s">
        <v>233</v>
      </c>
      <c r="D32" s="455" t="s">
        <v>90</v>
      </c>
      <c r="E32" s="455">
        <v>0</v>
      </c>
      <c r="F32" s="455">
        <v>0</v>
      </c>
      <c r="G32" s="455">
        <v>0</v>
      </c>
      <c r="H32" s="455">
        <v>5</v>
      </c>
      <c r="I32" s="455">
        <v>117.98</v>
      </c>
      <c r="J32" s="455">
        <v>589.9</v>
      </c>
      <c r="K32" s="504">
        <f t="shared" si="0"/>
        <v>589.9</v>
      </c>
      <c r="L32" s="385">
        <f t="shared" si="1"/>
        <v>589.9</v>
      </c>
      <c r="M32" s="68">
        <f t="shared" si="2"/>
        <v>0</v>
      </c>
      <c r="N32" s="8"/>
      <c r="O32" s="69"/>
    </row>
    <row r="33" spans="1:15">
      <c r="A33" s="221">
        <v>30</v>
      </c>
      <c r="B33" s="324" t="s">
        <v>230</v>
      </c>
      <c r="C33" s="454" t="s">
        <v>222</v>
      </c>
      <c r="D33" s="455" t="s">
        <v>223</v>
      </c>
      <c r="E33" s="455">
        <v>50</v>
      </c>
      <c r="F33" s="455">
        <v>105.35</v>
      </c>
      <c r="G33" s="455">
        <v>5267.5</v>
      </c>
      <c r="H33" s="455">
        <v>0</v>
      </c>
      <c r="I33" s="455" t="s">
        <v>200</v>
      </c>
      <c r="J33" s="455">
        <v>0</v>
      </c>
      <c r="K33" s="504">
        <f t="shared" si="0"/>
        <v>5267.5</v>
      </c>
      <c r="L33" s="385">
        <f t="shared" si="1"/>
        <v>5267.5</v>
      </c>
      <c r="M33" s="68">
        <f t="shared" si="2"/>
        <v>0</v>
      </c>
      <c r="N33" s="8"/>
      <c r="O33" s="69"/>
    </row>
    <row r="34" spans="1:15">
      <c r="A34" s="221">
        <v>30</v>
      </c>
      <c r="B34" s="324" t="s">
        <v>230</v>
      </c>
      <c r="C34" s="454" t="s">
        <v>231</v>
      </c>
      <c r="D34" s="455" t="s">
        <v>90</v>
      </c>
      <c r="E34" s="455">
        <v>0</v>
      </c>
      <c r="F34" s="455">
        <v>0</v>
      </c>
      <c r="G34" s="455">
        <v>0</v>
      </c>
      <c r="H34" s="455">
        <v>4</v>
      </c>
      <c r="I34" s="455">
        <v>117.98</v>
      </c>
      <c r="J34" s="455">
        <v>471.92</v>
      </c>
      <c r="K34" s="504">
        <f t="shared" si="0"/>
        <v>471.92</v>
      </c>
      <c r="L34" s="385">
        <f t="shared" si="1"/>
        <v>471.92</v>
      </c>
      <c r="M34" s="68">
        <f t="shared" si="2"/>
        <v>0</v>
      </c>
      <c r="N34" s="8"/>
      <c r="O34" s="69"/>
    </row>
    <row r="35" spans="1:15">
      <c r="A35" s="222">
        <v>31</v>
      </c>
      <c r="B35" s="324" t="s">
        <v>230</v>
      </c>
      <c r="C35" s="454" t="s">
        <v>217</v>
      </c>
      <c r="D35" s="455" t="s">
        <v>205</v>
      </c>
      <c r="E35" s="455">
        <v>0</v>
      </c>
      <c r="F35" s="455" t="s">
        <v>200</v>
      </c>
      <c r="G35" s="455">
        <v>0</v>
      </c>
      <c r="H35" s="455">
        <v>5</v>
      </c>
      <c r="I35" s="455">
        <v>116.99</v>
      </c>
      <c r="J35" s="455">
        <v>584.95000000000005</v>
      </c>
      <c r="K35" s="504">
        <f t="shared" si="0"/>
        <v>584.95000000000005</v>
      </c>
      <c r="L35" s="385">
        <f t="shared" si="1"/>
        <v>584.95000000000005</v>
      </c>
      <c r="M35" s="68">
        <f t="shared" si="2"/>
        <v>0</v>
      </c>
      <c r="N35" s="8"/>
      <c r="O35" s="69"/>
    </row>
    <row r="36" spans="1:15">
      <c r="A36" s="221">
        <v>32</v>
      </c>
      <c r="B36" s="324" t="s">
        <v>234</v>
      </c>
      <c r="C36" s="454" t="s">
        <v>217</v>
      </c>
      <c r="D36" s="455" t="s">
        <v>205</v>
      </c>
      <c r="E36" s="455">
        <v>90</v>
      </c>
      <c r="F36" s="512">
        <v>104.7</v>
      </c>
      <c r="G36" s="455">
        <v>9423</v>
      </c>
      <c r="H36" s="455">
        <v>0</v>
      </c>
      <c r="I36" s="455" t="s">
        <v>200</v>
      </c>
      <c r="J36" s="455">
        <v>0</v>
      </c>
      <c r="K36" s="504">
        <f t="shared" si="0"/>
        <v>9423</v>
      </c>
      <c r="L36" s="385">
        <f t="shared" si="1"/>
        <v>9423</v>
      </c>
      <c r="M36" s="68">
        <f t="shared" si="2"/>
        <v>0</v>
      </c>
      <c r="N36" s="391"/>
      <c r="O36" s="69"/>
    </row>
    <row r="37" spans="1:15">
      <c r="A37" s="221">
        <v>33</v>
      </c>
      <c r="B37" s="324" t="s">
        <v>234</v>
      </c>
      <c r="C37" s="454" t="s">
        <v>217</v>
      </c>
      <c r="D37" s="455" t="s">
        <v>205</v>
      </c>
      <c r="E37" s="455">
        <v>10</v>
      </c>
      <c r="F37" s="512">
        <v>104.7</v>
      </c>
      <c r="G37" s="455">
        <v>1047</v>
      </c>
      <c r="H37" s="455">
        <v>0</v>
      </c>
      <c r="I37" s="455" t="s">
        <v>200</v>
      </c>
      <c r="J37" s="455">
        <v>0</v>
      </c>
      <c r="K37" s="504">
        <f t="shared" si="0"/>
        <v>1047</v>
      </c>
      <c r="L37" s="385">
        <f t="shared" si="1"/>
        <v>1047</v>
      </c>
      <c r="M37" s="68">
        <f t="shared" si="2"/>
        <v>0</v>
      </c>
      <c r="N37" s="8"/>
      <c r="O37" s="69"/>
    </row>
    <row r="38" spans="1:15">
      <c r="A38" s="221"/>
      <c r="B38" s="324" t="s">
        <v>234</v>
      </c>
      <c r="C38" s="454" t="s">
        <v>233</v>
      </c>
      <c r="D38" s="455" t="s">
        <v>90</v>
      </c>
      <c r="E38" s="455">
        <v>0</v>
      </c>
      <c r="F38" s="455" t="s">
        <v>200</v>
      </c>
      <c r="G38" s="455">
        <v>0</v>
      </c>
      <c r="H38" s="455">
        <v>5</v>
      </c>
      <c r="I38" s="455">
        <v>117.98</v>
      </c>
      <c r="J38" s="455">
        <v>589.9</v>
      </c>
      <c r="K38" s="504">
        <f t="shared" si="0"/>
        <v>589.9</v>
      </c>
      <c r="L38" s="385">
        <f t="shared" si="1"/>
        <v>589.9</v>
      </c>
      <c r="M38" s="68">
        <f t="shared" si="2"/>
        <v>0</v>
      </c>
      <c r="N38" s="391"/>
      <c r="O38" s="69"/>
    </row>
    <row r="39" spans="1:15">
      <c r="A39" s="221"/>
      <c r="B39" s="324" t="s">
        <v>234</v>
      </c>
      <c r="C39" s="454" t="s">
        <v>235</v>
      </c>
      <c r="D39" s="455" t="s">
        <v>90</v>
      </c>
      <c r="E39" s="455">
        <v>0</v>
      </c>
      <c r="F39" s="455" t="s">
        <v>200</v>
      </c>
      <c r="G39" s="455">
        <v>0</v>
      </c>
      <c r="H39" s="455">
        <v>5</v>
      </c>
      <c r="I39" s="455">
        <v>117.98</v>
      </c>
      <c r="J39" s="455">
        <v>589.9</v>
      </c>
      <c r="K39" s="504">
        <f t="shared" si="0"/>
        <v>589.9</v>
      </c>
      <c r="L39" s="385">
        <f t="shared" si="1"/>
        <v>589.9</v>
      </c>
      <c r="M39" s="68">
        <f t="shared" si="2"/>
        <v>0</v>
      </c>
      <c r="N39" s="19"/>
      <c r="O39" s="69"/>
    </row>
    <row r="40" spans="1:15">
      <c r="A40" s="221"/>
      <c r="B40" s="324" t="s">
        <v>234</v>
      </c>
      <c r="C40" s="454" t="s">
        <v>232</v>
      </c>
      <c r="D40" s="455" t="s">
        <v>203</v>
      </c>
      <c r="E40" s="455">
        <v>20</v>
      </c>
      <c r="F40" s="455">
        <v>105.21</v>
      </c>
      <c r="G40" s="455">
        <v>2104.1999999999998</v>
      </c>
      <c r="H40" s="455">
        <v>0</v>
      </c>
      <c r="I40" s="455" t="s">
        <v>200</v>
      </c>
      <c r="J40" s="455">
        <v>0</v>
      </c>
      <c r="K40" s="504">
        <f t="shared" si="0"/>
        <v>2104.1999999999998</v>
      </c>
      <c r="L40" s="385">
        <f t="shared" si="1"/>
        <v>2104.1999999999998</v>
      </c>
      <c r="M40" s="68">
        <f t="shared" si="2"/>
        <v>0</v>
      </c>
      <c r="N40" s="19"/>
      <c r="O40" s="69"/>
    </row>
    <row r="41" spans="1:15">
      <c r="A41" s="221"/>
      <c r="B41" s="324" t="s">
        <v>234</v>
      </c>
      <c r="C41" s="454" t="s">
        <v>232</v>
      </c>
      <c r="D41" s="455" t="s">
        <v>203</v>
      </c>
      <c r="E41" s="455">
        <v>61.78</v>
      </c>
      <c r="F41" s="455">
        <v>105.21</v>
      </c>
      <c r="G41" s="455">
        <v>6499.87</v>
      </c>
      <c r="H41" s="455">
        <v>0</v>
      </c>
      <c r="I41" s="455" t="s">
        <v>200</v>
      </c>
      <c r="J41" s="455">
        <v>0</v>
      </c>
      <c r="K41" s="504">
        <f t="shared" si="0"/>
        <v>6499.87</v>
      </c>
      <c r="L41" s="385">
        <f t="shared" si="1"/>
        <v>6499.87</v>
      </c>
      <c r="M41" s="68">
        <f t="shared" si="2"/>
        <v>0</v>
      </c>
      <c r="N41" s="19"/>
      <c r="O41" s="69"/>
    </row>
    <row r="42" spans="1:15">
      <c r="A42" s="221"/>
      <c r="B42" s="324" t="s">
        <v>236</v>
      </c>
      <c r="C42" s="388" t="s">
        <v>237</v>
      </c>
      <c r="D42" s="390" t="s">
        <v>221</v>
      </c>
      <c r="E42" s="390">
        <v>46.47</v>
      </c>
      <c r="F42" s="390">
        <v>104.62</v>
      </c>
      <c r="G42" s="390">
        <v>4861.6899999999996</v>
      </c>
      <c r="H42" s="390">
        <v>0</v>
      </c>
      <c r="I42" s="390" t="s">
        <v>200</v>
      </c>
      <c r="J42" s="390">
        <v>0</v>
      </c>
      <c r="K42" s="504">
        <f t="shared" si="0"/>
        <v>4861.6899999999996</v>
      </c>
      <c r="L42" s="385">
        <f t="shared" si="1"/>
        <v>4861.6899999999996</v>
      </c>
      <c r="M42" s="68">
        <f t="shared" si="2"/>
        <v>0</v>
      </c>
      <c r="N42" s="19"/>
      <c r="O42" s="69"/>
    </row>
    <row r="43" spans="1:15">
      <c r="A43" s="221"/>
      <c r="B43" s="324" t="s">
        <v>236</v>
      </c>
      <c r="C43" s="391" t="s">
        <v>215</v>
      </c>
      <c r="D43" s="392" t="s">
        <v>199</v>
      </c>
      <c r="E43" s="392">
        <v>45</v>
      </c>
      <c r="F43" s="392">
        <v>105.29</v>
      </c>
      <c r="G43" s="392">
        <v>4738.05</v>
      </c>
      <c r="H43" s="392">
        <v>0</v>
      </c>
      <c r="I43" s="392" t="s">
        <v>200</v>
      </c>
      <c r="J43" s="392">
        <v>0</v>
      </c>
      <c r="K43" s="504">
        <f t="shared" si="0"/>
        <v>4738.05</v>
      </c>
      <c r="L43" s="385">
        <f t="shared" si="1"/>
        <v>4738.05</v>
      </c>
      <c r="M43" s="68">
        <f t="shared" si="2"/>
        <v>0</v>
      </c>
      <c r="N43" s="19"/>
      <c r="O43" s="69"/>
    </row>
    <row r="44" spans="1:15">
      <c r="A44" s="221"/>
      <c r="B44" s="324" t="s">
        <v>236</v>
      </c>
      <c r="C44" s="496" t="s">
        <v>202</v>
      </c>
      <c r="D44" s="392" t="s">
        <v>238</v>
      </c>
      <c r="E44" s="392">
        <v>70</v>
      </c>
      <c r="F44" s="392">
        <v>105.21</v>
      </c>
      <c r="G44" s="392">
        <v>7364.7</v>
      </c>
      <c r="H44" s="392">
        <v>0</v>
      </c>
      <c r="I44" s="392" t="s">
        <v>200</v>
      </c>
      <c r="J44" s="392">
        <v>0</v>
      </c>
      <c r="K44" s="504">
        <f t="shared" si="0"/>
        <v>7364.7</v>
      </c>
      <c r="L44" s="385">
        <f t="shared" si="1"/>
        <v>7364.7</v>
      </c>
      <c r="M44" s="68">
        <f t="shared" si="2"/>
        <v>0</v>
      </c>
      <c r="N44" s="19"/>
      <c r="O44" s="69"/>
    </row>
    <row r="45" spans="1:15">
      <c r="A45" s="221"/>
      <c r="B45" s="324" t="s">
        <v>236</v>
      </c>
      <c r="C45" s="496" t="s">
        <v>202</v>
      </c>
      <c r="D45" s="392" t="s">
        <v>238</v>
      </c>
      <c r="E45" s="392">
        <v>70</v>
      </c>
      <c r="F45" s="392">
        <v>105.21</v>
      </c>
      <c r="G45" s="392">
        <v>7364.7</v>
      </c>
      <c r="H45" s="392">
        <v>0</v>
      </c>
      <c r="I45" s="392" t="s">
        <v>200</v>
      </c>
      <c r="J45" s="392">
        <v>0</v>
      </c>
      <c r="K45" s="504">
        <f t="shared" si="0"/>
        <v>7364.7</v>
      </c>
      <c r="L45" s="385">
        <f t="shared" si="1"/>
        <v>7364.7</v>
      </c>
      <c r="M45" s="68">
        <f t="shared" si="2"/>
        <v>0</v>
      </c>
      <c r="N45" s="19"/>
      <c r="O45" s="69"/>
    </row>
    <row r="46" spans="1:15">
      <c r="A46" s="221"/>
      <c r="B46" s="324" t="s">
        <v>236</v>
      </c>
      <c r="C46" s="496" t="s">
        <v>202</v>
      </c>
      <c r="D46" s="392" t="s">
        <v>238</v>
      </c>
      <c r="E46" s="392">
        <v>70</v>
      </c>
      <c r="F46" s="392">
        <v>105.21</v>
      </c>
      <c r="G46" s="392">
        <v>7364.7</v>
      </c>
      <c r="H46" s="392">
        <v>0</v>
      </c>
      <c r="I46" s="392" t="s">
        <v>200</v>
      </c>
      <c r="J46" s="392">
        <v>0</v>
      </c>
      <c r="K46" s="504">
        <f t="shared" si="0"/>
        <v>7364.7</v>
      </c>
      <c r="L46" s="385">
        <f t="shared" si="1"/>
        <v>7364.7</v>
      </c>
      <c r="M46" s="68">
        <f t="shared" si="2"/>
        <v>0</v>
      </c>
      <c r="N46" s="19"/>
      <c r="O46" s="69"/>
    </row>
    <row r="47" spans="1:15">
      <c r="A47" s="221"/>
      <c r="B47" s="324" t="s">
        <v>236</v>
      </c>
      <c r="C47" s="391" t="s">
        <v>239</v>
      </c>
      <c r="D47" s="392" t="s">
        <v>240</v>
      </c>
      <c r="E47" s="392">
        <v>21.25</v>
      </c>
      <c r="F47" s="392">
        <v>94.08</v>
      </c>
      <c r="G47" s="392">
        <v>1999.2</v>
      </c>
      <c r="H47" s="392">
        <v>0</v>
      </c>
      <c r="I47" s="392" t="s">
        <v>200</v>
      </c>
      <c r="J47" s="392">
        <v>0</v>
      </c>
      <c r="K47" s="504">
        <f t="shared" si="0"/>
        <v>1999.2</v>
      </c>
      <c r="L47" s="385">
        <f t="shared" si="1"/>
        <v>1999.2</v>
      </c>
      <c r="M47" s="68">
        <f t="shared" si="2"/>
        <v>0</v>
      </c>
      <c r="N47" s="19"/>
      <c r="O47" s="69"/>
    </row>
    <row r="48" spans="1:15">
      <c r="A48" s="221"/>
      <c r="B48" s="398" t="s">
        <v>241</v>
      </c>
      <c r="C48" s="388" t="s">
        <v>202</v>
      </c>
      <c r="D48" s="390" t="s">
        <v>203</v>
      </c>
      <c r="E48" s="388">
        <v>30</v>
      </c>
      <c r="F48" s="390">
        <v>105.21</v>
      </c>
      <c r="G48" s="306">
        <f t="shared" si="3"/>
        <v>3156.2999999999997</v>
      </c>
      <c r="H48" s="390"/>
      <c r="I48" s="390"/>
      <c r="J48" s="319"/>
      <c r="K48" s="504">
        <f t="shared" si="0"/>
        <v>3156.2999999999997</v>
      </c>
      <c r="L48" s="385">
        <f t="shared" si="1"/>
        <v>3156.2999999999997</v>
      </c>
      <c r="M48" s="68">
        <f t="shared" si="2"/>
        <v>0</v>
      </c>
      <c r="N48" s="19"/>
      <c r="O48" s="69"/>
    </row>
    <row r="49" spans="1:15">
      <c r="A49" s="221"/>
      <c r="B49" s="398" t="s">
        <v>241</v>
      </c>
      <c r="C49" s="391" t="s">
        <v>202</v>
      </c>
      <c r="D49" s="390" t="s">
        <v>203</v>
      </c>
      <c r="E49" s="391">
        <v>20</v>
      </c>
      <c r="F49" s="390">
        <v>105.21</v>
      </c>
      <c r="G49" s="306">
        <f t="shared" si="3"/>
        <v>2104.1999999999998</v>
      </c>
      <c r="H49" s="392"/>
      <c r="I49" s="392"/>
      <c r="J49" s="319"/>
      <c r="K49" s="504">
        <f t="shared" si="0"/>
        <v>2104.1999999999998</v>
      </c>
      <c r="L49" s="385">
        <f t="shared" si="1"/>
        <v>2104.1999999999998</v>
      </c>
      <c r="M49" s="68">
        <f t="shared" si="2"/>
        <v>0</v>
      </c>
      <c r="N49" s="19"/>
      <c r="O49" s="69"/>
    </row>
    <row r="50" spans="1:15">
      <c r="A50" s="221"/>
      <c r="B50" s="398" t="s">
        <v>241</v>
      </c>
      <c r="C50" s="391" t="s">
        <v>202</v>
      </c>
      <c r="D50" s="390" t="s">
        <v>203</v>
      </c>
      <c r="E50" s="391">
        <v>5</v>
      </c>
      <c r="F50" s="392">
        <v>117.58</v>
      </c>
      <c r="G50" s="306">
        <f t="shared" si="3"/>
        <v>587.9</v>
      </c>
      <c r="H50" s="392"/>
      <c r="I50" s="392"/>
      <c r="J50" s="319"/>
      <c r="K50" s="504">
        <f t="shared" si="0"/>
        <v>587.9</v>
      </c>
      <c r="L50" s="385">
        <f t="shared" si="1"/>
        <v>587.9</v>
      </c>
      <c r="M50" s="68">
        <f t="shared" si="2"/>
        <v>0</v>
      </c>
      <c r="N50" s="19"/>
      <c r="O50" s="69"/>
    </row>
    <row r="51" spans="1:15">
      <c r="A51" s="221"/>
      <c r="B51" s="398" t="s">
        <v>241</v>
      </c>
      <c r="C51" s="391" t="s">
        <v>222</v>
      </c>
      <c r="D51" s="392" t="s">
        <v>223</v>
      </c>
      <c r="E51" s="391">
        <v>48.25</v>
      </c>
      <c r="F51" s="392">
        <v>105.35</v>
      </c>
      <c r="G51" s="306">
        <f t="shared" si="3"/>
        <v>5083.1374999999998</v>
      </c>
      <c r="H51" s="392"/>
      <c r="I51" s="392"/>
      <c r="J51" s="319"/>
      <c r="K51" s="504">
        <f t="shared" si="0"/>
        <v>5083.1374999999998</v>
      </c>
      <c r="L51" s="385">
        <f t="shared" si="1"/>
        <v>5083.1374999999998</v>
      </c>
      <c r="M51" s="68">
        <f t="shared" si="2"/>
        <v>0</v>
      </c>
      <c r="N51" s="19"/>
      <c r="O51" s="69"/>
    </row>
    <row r="52" spans="1:15">
      <c r="A52" s="221"/>
      <c r="B52" s="398" t="s">
        <v>241</v>
      </c>
      <c r="C52" s="391" t="s">
        <v>222</v>
      </c>
      <c r="D52" s="392" t="s">
        <v>223</v>
      </c>
      <c r="E52" s="391">
        <v>5</v>
      </c>
      <c r="F52" s="392">
        <v>117.72</v>
      </c>
      <c r="G52" s="306">
        <f t="shared" si="3"/>
        <v>588.6</v>
      </c>
      <c r="H52" s="392"/>
      <c r="I52" s="392"/>
      <c r="J52" s="319"/>
      <c r="K52" s="504">
        <f t="shared" si="0"/>
        <v>588.6</v>
      </c>
      <c r="L52" s="385">
        <f t="shared" si="1"/>
        <v>588.6</v>
      </c>
      <c r="M52" s="68">
        <f t="shared" si="2"/>
        <v>0</v>
      </c>
      <c r="N52" s="19"/>
      <c r="O52" s="69"/>
    </row>
    <row r="53" spans="1:15">
      <c r="A53" s="221"/>
      <c r="B53" s="398" t="s">
        <v>242</v>
      </c>
      <c r="C53" s="388" t="s">
        <v>243</v>
      </c>
      <c r="D53" s="390" t="s">
        <v>200</v>
      </c>
      <c r="E53" s="390">
        <v>42.81</v>
      </c>
      <c r="F53" s="390">
        <v>105.16</v>
      </c>
      <c r="G53" s="390">
        <v>4501.8999999999996</v>
      </c>
      <c r="H53" s="390">
        <v>0</v>
      </c>
      <c r="I53" s="390" t="s">
        <v>200</v>
      </c>
      <c r="J53" s="390">
        <v>0</v>
      </c>
      <c r="K53" s="504">
        <f t="shared" si="0"/>
        <v>4501.8999999999996</v>
      </c>
      <c r="L53" s="385">
        <f t="shared" si="1"/>
        <v>4501.8999999999996</v>
      </c>
      <c r="M53" s="68">
        <f t="shared" si="2"/>
        <v>0</v>
      </c>
      <c r="N53" s="19"/>
      <c r="O53" s="69"/>
    </row>
    <row r="54" spans="1:15">
      <c r="A54" s="221"/>
      <c r="B54" s="398" t="s">
        <v>242</v>
      </c>
      <c r="C54" s="391" t="s">
        <v>202</v>
      </c>
      <c r="D54" s="392" t="s">
        <v>203</v>
      </c>
      <c r="E54" s="392">
        <v>37.28</v>
      </c>
      <c r="F54" s="392">
        <v>105.21</v>
      </c>
      <c r="G54" s="392">
        <v>3922.23</v>
      </c>
      <c r="H54" s="392">
        <v>0</v>
      </c>
      <c r="I54" s="392" t="s">
        <v>200</v>
      </c>
      <c r="J54" s="392">
        <v>0</v>
      </c>
      <c r="K54" s="504">
        <f t="shared" si="0"/>
        <v>3922.23</v>
      </c>
      <c r="L54" s="385">
        <f t="shared" si="1"/>
        <v>3922.23</v>
      </c>
      <c r="M54" s="68">
        <f t="shared" si="2"/>
        <v>0</v>
      </c>
      <c r="N54" s="19"/>
      <c r="O54" s="69"/>
    </row>
    <row r="55" spans="1:15">
      <c r="A55" s="221"/>
      <c r="B55" s="398" t="s">
        <v>242</v>
      </c>
      <c r="C55" s="391" t="s">
        <v>222</v>
      </c>
      <c r="D55" s="392" t="s">
        <v>223</v>
      </c>
      <c r="E55" s="392">
        <v>34.11</v>
      </c>
      <c r="F55" s="392">
        <v>105.35</v>
      </c>
      <c r="G55" s="392">
        <v>3593.49</v>
      </c>
      <c r="H55" s="392">
        <v>0</v>
      </c>
      <c r="I55" s="392" t="s">
        <v>200</v>
      </c>
      <c r="J55" s="392">
        <v>0</v>
      </c>
      <c r="K55" s="504">
        <f t="shared" si="0"/>
        <v>3593.49</v>
      </c>
      <c r="L55" s="385">
        <f t="shared" si="1"/>
        <v>3593.49</v>
      </c>
      <c r="M55" s="68">
        <f t="shared" si="2"/>
        <v>0</v>
      </c>
      <c r="N55" s="19"/>
      <c r="O55" s="69"/>
    </row>
    <row r="56" spans="1:15">
      <c r="A56" s="221"/>
      <c r="B56" s="398" t="s">
        <v>242</v>
      </c>
      <c r="C56" s="391" t="s">
        <v>215</v>
      </c>
      <c r="D56" s="392" t="s">
        <v>199</v>
      </c>
      <c r="E56" s="392">
        <v>0</v>
      </c>
      <c r="F56" s="392" t="s">
        <v>200</v>
      </c>
      <c r="G56" s="392">
        <v>0</v>
      </c>
      <c r="H56" s="392">
        <v>6.04</v>
      </c>
      <c r="I56" s="392">
        <v>117.62</v>
      </c>
      <c r="J56" s="392">
        <v>710.42</v>
      </c>
      <c r="K56" s="504">
        <f t="shared" si="0"/>
        <v>710.42</v>
      </c>
      <c r="L56" s="385">
        <f t="shared" si="1"/>
        <v>710.42</v>
      </c>
      <c r="M56" s="68">
        <f t="shared" si="2"/>
        <v>0</v>
      </c>
      <c r="N56" s="19"/>
      <c r="O56" s="69"/>
    </row>
    <row r="57" spans="1:15">
      <c r="A57" s="221"/>
      <c r="B57" s="398" t="s">
        <v>242</v>
      </c>
      <c r="C57" s="391" t="s">
        <v>202</v>
      </c>
      <c r="D57" s="392" t="s">
        <v>203</v>
      </c>
      <c r="E57" s="392">
        <v>50</v>
      </c>
      <c r="F57" s="392">
        <v>105.21</v>
      </c>
      <c r="G57" s="392">
        <v>5260.5</v>
      </c>
      <c r="H57" s="392">
        <v>0</v>
      </c>
      <c r="I57" s="392" t="s">
        <v>200</v>
      </c>
      <c r="J57" s="392">
        <v>0</v>
      </c>
      <c r="K57" s="504">
        <f t="shared" si="0"/>
        <v>5260.5</v>
      </c>
      <c r="L57" s="385">
        <f t="shared" si="1"/>
        <v>5260.5</v>
      </c>
      <c r="M57" s="68">
        <f t="shared" si="2"/>
        <v>0</v>
      </c>
      <c r="N57" s="19"/>
      <c r="O57" s="69"/>
    </row>
    <row r="58" spans="1:15">
      <c r="A58" s="221"/>
      <c r="B58" s="398" t="s">
        <v>242</v>
      </c>
      <c r="C58" s="391" t="s">
        <v>202</v>
      </c>
      <c r="D58" s="392" t="s">
        <v>203</v>
      </c>
      <c r="E58" s="392">
        <v>100</v>
      </c>
      <c r="F58" s="392">
        <v>105.21</v>
      </c>
      <c r="G58" s="392">
        <v>10521</v>
      </c>
      <c r="H58" s="392">
        <v>0</v>
      </c>
      <c r="I58" s="392" t="s">
        <v>200</v>
      </c>
      <c r="J58" s="392">
        <v>0</v>
      </c>
      <c r="K58" s="504">
        <f t="shared" si="0"/>
        <v>10521</v>
      </c>
      <c r="L58" s="385">
        <f t="shared" si="1"/>
        <v>10521</v>
      </c>
      <c r="M58" s="68">
        <f t="shared" si="2"/>
        <v>0</v>
      </c>
      <c r="N58" s="19"/>
      <c r="O58" s="69"/>
    </row>
    <row r="59" spans="1:15">
      <c r="A59" s="221"/>
      <c r="B59" s="398" t="s">
        <v>242</v>
      </c>
      <c r="C59" s="391" t="s">
        <v>202</v>
      </c>
      <c r="D59" s="392" t="s">
        <v>203</v>
      </c>
      <c r="E59" s="392">
        <v>60</v>
      </c>
      <c r="F59" s="392">
        <v>105.21</v>
      </c>
      <c r="G59" s="392">
        <v>6312.6</v>
      </c>
      <c r="H59" s="392">
        <v>0</v>
      </c>
      <c r="I59" s="392" t="s">
        <v>200</v>
      </c>
      <c r="J59" s="392">
        <v>0</v>
      </c>
      <c r="K59" s="504">
        <f t="shared" si="0"/>
        <v>6312.6</v>
      </c>
      <c r="L59" s="385">
        <f t="shared" si="1"/>
        <v>6312.6</v>
      </c>
      <c r="M59" s="68">
        <f t="shared" si="2"/>
        <v>0</v>
      </c>
      <c r="N59" s="19"/>
      <c r="O59" s="69"/>
    </row>
    <row r="60" spans="1:15">
      <c r="A60" s="221"/>
      <c r="B60" s="398" t="s">
        <v>242</v>
      </c>
      <c r="C60" s="391" t="s">
        <v>202</v>
      </c>
      <c r="D60" s="392" t="s">
        <v>203</v>
      </c>
      <c r="E60" s="392">
        <v>50</v>
      </c>
      <c r="F60" s="392">
        <v>105.21</v>
      </c>
      <c r="G60" s="392">
        <v>5260.5</v>
      </c>
      <c r="H60" s="392">
        <v>0</v>
      </c>
      <c r="I60" s="392" t="s">
        <v>200</v>
      </c>
      <c r="J60" s="392">
        <v>0</v>
      </c>
      <c r="K60" s="504">
        <f t="shared" si="0"/>
        <v>5260.5</v>
      </c>
      <c r="L60" s="385">
        <f t="shared" si="1"/>
        <v>5260.5</v>
      </c>
      <c r="M60" s="68">
        <f t="shared" si="2"/>
        <v>0</v>
      </c>
      <c r="N60" s="19"/>
      <c r="O60" s="69"/>
    </row>
    <row r="61" spans="1:15">
      <c r="A61" s="221"/>
      <c r="B61" s="398" t="s">
        <v>242</v>
      </c>
      <c r="C61" s="388" t="s">
        <v>244</v>
      </c>
      <c r="D61" s="390" t="s">
        <v>90</v>
      </c>
      <c r="E61" s="390">
        <v>0</v>
      </c>
      <c r="F61" s="390">
        <v>0</v>
      </c>
      <c r="G61" s="390">
        <v>0</v>
      </c>
      <c r="H61" s="390">
        <v>8.48</v>
      </c>
      <c r="I61" s="390">
        <v>117.48</v>
      </c>
      <c r="J61" s="390">
        <v>996.23</v>
      </c>
      <c r="K61" s="504">
        <f t="shared" si="0"/>
        <v>996.23</v>
      </c>
      <c r="L61" s="385">
        <f t="shared" si="1"/>
        <v>996.23</v>
      </c>
      <c r="M61" s="68">
        <f t="shared" si="2"/>
        <v>0</v>
      </c>
      <c r="N61" s="19"/>
      <c r="O61" s="69"/>
    </row>
    <row r="62" spans="1:15">
      <c r="A62" s="221"/>
      <c r="B62" s="398" t="s">
        <v>242</v>
      </c>
      <c r="C62" s="388" t="s">
        <v>245</v>
      </c>
      <c r="D62" s="390" t="s">
        <v>246</v>
      </c>
      <c r="E62" s="390">
        <v>9.49</v>
      </c>
      <c r="F62" s="390">
        <v>105.34</v>
      </c>
      <c r="G62" s="390">
        <v>999.68</v>
      </c>
      <c r="H62" s="390">
        <v>0</v>
      </c>
      <c r="I62" s="390">
        <v>0</v>
      </c>
      <c r="J62" s="390">
        <v>0</v>
      </c>
      <c r="K62" s="504">
        <f t="shared" si="0"/>
        <v>999.68</v>
      </c>
      <c r="L62" s="385">
        <f t="shared" si="1"/>
        <v>999.68</v>
      </c>
      <c r="M62" s="68">
        <f t="shared" si="2"/>
        <v>0</v>
      </c>
      <c r="N62" s="19"/>
      <c r="O62" s="69"/>
    </row>
    <row r="63" spans="1:15">
      <c r="A63" s="221"/>
      <c r="B63" s="398" t="s">
        <v>247</v>
      </c>
      <c r="C63" s="391" t="s">
        <v>248</v>
      </c>
      <c r="D63" s="392" t="s">
        <v>249</v>
      </c>
      <c r="E63" s="392">
        <v>28</v>
      </c>
      <c r="F63" s="392">
        <v>104.96</v>
      </c>
      <c r="G63" s="392">
        <v>2938.88</v>
      </c>
      <c r="H63" s="392">
        <v>0</v>
      </c>
      <c r="I63" s="392">
        <v>0</v>
      </c>
      <c r="J63" s="392">
        <v>0</v>
      </c>
      <c r="K63" s="504">
        <f t="shared" si="0"/>
        <v>2938.88</v>
      </c>
      <c r="L63" s="385">
        <f t="shared" si="1"/>
        <v>2938.88</v>
      </c>
      <c r="M63" s="68">
        <f t="shared" si="2"/>
        <v>0</v>
      </c>
      <c r="N63" s="19"/>
      <c r="O63" s="69"/>
    </row>
    <row r="64" spans="1:15">
      <c r="A64" s="221"/>
      <c r="B64" s="398" t="s">
        <v>247</v>
      </c>
      <c r="C64" s="391" t="s">
        <v>250</v>
      </c>
      <c r="D64" s="392" t="s">
        <v>251</v>
      </c>
      <c r="E64" s="392">
        <v>0</v>
      </c>
      <c r="F64" s="392" t="s">
        <v>200</v>
      </c>
      <c r="G64" s="392">
        <v>0</v>
      </c>
      <c r="H64" s="392">
        <v>7</v>
      </c>
      <c r="I64" s="392">
        <v>117.06</v>
      </c>
      <c r="J64" s="392">
        <v>819.42</v>
      </c>
      <c r="K64" s="504">
        <f t="shared" si="0"/>
        <v>819.42</v>
      </c>
      <c r="L64" s="385">
        <f t="shared" si="1"/>
        <v>819.42</v>
      </c>
      <c r="M64" s="68">
        <f t="shared" si="2"/>
        <v>0</v>
      </c>
      <c r="N64" s="19"/>
      <c r="O64" s="69"/>
    </row>
    <row r="65" spans="1:15">
      <c r="A65" s="221"/>
      <c r="B65" s="398" t="s">
        <v>247</v>
      </c>
      <c r="C65" s="391" t="s">
        <v>231</v>
      </c>
      <c r="D65" s="392" t="s">
        <v>90</v>
      </c>
      <c r="E65" s="392">
        <v>0</v>
      </c>
      <c r="F65" s="392" t="s">
        <v>200</v>
      </c>
      <c r="G65" s="392">
        <v>0</v>
      </c>
      <c r="H65" s="392">
        <v>5</v>
      </c>
      <c r="I65" s="392">
        <v>177.98</v>
      </c>
      <c r="J65" s="392">
        <v>889.9</v>
      </c>
      <c r="K65" s="504">
        <f t="shared" si="0"/>
        <v>889.9</v>
      </c>
      <c r="L65" s="385">
        <f t="shared" si="1"/>
        <v>889.9</v>
      </c>
      <c r="M65" s="68">
        <f t="shared" si="2"/>
        <v>0</v>
      </c>
      <c r="N65" s="19"/>
      <c r="O65" s="69"/>
    </row>
    <row r="66" spans="1:15">
      <c r="A66" s="221"/>
      <c r="B66" s="398" t="s">
        <v>247</v>
      </c>
      <c r="C66" s="391" t="s">
        <v>222</v>
      </c>
      <c r="D66" s="392" t="s">
        <v>223</v>
      </c>
      <c r="E66" s="392">
        <v>44.62</v>
      </c>
      <c r="F66" s="392">
        <v>105.35</v>
      </c>
      <c r="G66" s="392">
        <v>4700.72</v>
      </c>
      <c r="H66" s="392">
        <v>0</v>
      </c>
      <c r="I66" s="392" t="s">
        <v>200</v>
      </c>
      <c r="J66" s="392">
        <v>0</v>
      </c>
      <c r="K66" s="504">
        <f t="shared" si="0"/>
        <v>4700.72</v>
      </c>
      <c r="L66" s="385">
        <f t="shared" si="1"/>
        <v>4700.72</v>
      </c>
      <c r="M66" s="68">
        <f t="shared" si="2"/>
        <v>0</v>
      </c>
      <c r="N66" s="19"/>
      <c r="O66" s="69"/>
    </row>
    <row r="67" spans="1:15">
      <c r="A67" s="221"/>
      <c r="B67" s="398" t="s">
        <v>247</v>
      </c>
      <c r="C67" s="391" t="s">
        <v>222</v>
      </c>
      <c r="D67" s="392" t="s">
        <v>223</v>
      </c>
      <c r="E67" s="392">
        <v>0</v>
      </c>
      <c r="F67" s="392" t="s">
        <v>200</v>
      </c>
      <c r="G67" s="392">
        <v>0</v>
      </c>
      <c r="H67" s="392">
        <v>5</v>
      </c>
      <c r="I67" s="392">
        <v>117.72</v>
      </c>
      <c r="J67" s="392">
        <v>588.6</v>
      </c>
      <c r="K67" s="504">
        <f t="shared" si="0"/>
        <v>588.6</v>
      </c>
      <c r="L67" s="385">
        <f t="shared" si="1"/>
        <v>588.6</v>
      </c>
      <c r="M67" s="68">
        <f t="shared" si="2"/>
        <v>0</v>
      </c>
      <c r="N67" s="19"/>
      <c r="O67" s="69"/>
    </row>
    <row r="68" spans="1:15">
      <c r="A68" s="221"/>
      <c r="B68" s="398" t="s">
        <v>247</v>
      </c>
      <c r="C68" s="496" t="s">
        <v>220</v>
      </c>
      <c r="D68" s="392" t="s">
        <v>221</v>
      </c>
      <c r="E68" s="392">
        <v>0</v>
      </c>
      <c r="F68" s="392" t="s">
        <v>200</v>
      </c>
      <c r="G68" s="392">
        <v>0</v>
      </c>
      <c r="H68" s="392">
        <v>5</v>
      </c>
      <c r="I68" s="392">
        <v>116.9</v>
      </c>
      <c r="J68" s="392">
        <v>584.5</v>
      </c>
      <c r="K68" s="504">
        <f t="shared" si="0"/>
        <v>584.5</v>
      </c>
      <c r="L68" s="385">
        <f t="shared" si="1"/>
        <v>584.5</v>
      </c>
      <c r="M68" s="68">
        <f t="shared" si="2"/>
        <v>0</v>
      </c>
      <c r="N68" s="19"/>
      <c r="O68" s="69"/>
    </row>
    <row r="69" spans="1:15">
      <c r="A69" s="221"/>
      <c r="B69" s="398" t="s">
        <v>247</v>
      </c>
      <c r="C69" s="391" t="s">
        <v>252</v>
      </c>
      <c r="D69" s="392" t="s">
        <v>253</v>
      </c>
      <c r="E69" s="392">
        <v>80</v>
      </c>
      <c r="F69" s="392">
        <v>103.88</v>
      </c>
      <c r="G69" s="392">
        <v>8310.4</v>
      </c>
      <c r="H69" s="392">
        <v>0</v>
      </c>
      <c r="I69" s="392" t="s">
        <v>200</v>
      </c>
      <c r="J69" s="392">
        <v>0</v>
      </c>
      <c r="K69" s="504">
        <f t="shared" ref="K69:K132" si="4">G69+J69</f>
        <v>8310.4</v>
      </c>
      <c r="L69" s="385">
        <f t="shared" ref="L69:L132" si="5">+K69</f>
        <v>8310.4</v>
      </c>
      <c r="M69" s="68">
        <f t="shared" ref="M69:M132" si="6">+M68+K69-L69</f>
        <v>0</v>
      </c>
      <c r="N69" s="19"/>
      <c r="O69" s="69"/>
    </row>
    <row r="70" spans="1:15">
      <c r="A70" s="221"/>
      <c r="B70" s="398" t="s">
        <v>247</v>
      </c>
      <c r="C70" s="391" t="s">
        <v>202</v>
      </c>
      <c r="D70" s="392" t="s">
        <v>203</v>
      </c>
      <c r="E70" s="392">
        <v>70</v>
      </c>
      <c r="F70" s="392">
        <v>105.21</v>
      </c>
      <c r="G70" s="392">
        <v>7364.7</v>
      </c>
      <c r="H70" s="392">
        <v>0</v>
      </c>
      <c r="I70" s="392" t="s">
        <v>200</v>
      </c>
      <c r="J70" s="392">
        <v>0</v>
      </c>
      <c r="K70" s="504">
        <f t="shared" si="4"/>
        <v>7364.7</v>
      </c>
      <c r="L70" s="385">
        <f t="shared" si="5"/>
        <v>7364.7</v>
      </c>
      <c r="M70" s="68">
        <f t="shared" si="6"/>
        <v>0</v>
      </c>
      <c r="N70" s="19"/>
      <c r="O70" s="69"/>
    </row>
    <row r="71" spans="1:15">
      <c r="A71" s="221"/>
      <c r="B71" s="398" t="s">
        <v>254</v>
      </c>
      <c r="C71" s="388" t="s">
        <v>217</v>
      </c>
      <c r="D71" s="390" t="s">
        <v>218</v>
      </c>
      <c r="E71" s="390">
        <v>0</v>
      </c>
      <c r="F71" s="390" t="s">
        <v>200</v>
      </c>
      <c r="G71" s="390">
        <v>0</v>
      </c>
      <c r="H71" s="390">
        <v>5</v>
      </c>
      <c r="I71" s="390">
        <v>116.99</v>
      </c>
      <c r="J71" s="390">
        <v>584.95000000000005</v>
      </c>
      <c r="K71" s="504">
        <f t="shared" si="4"/>
        <v>584.95000000000005</v>
      </c>
      <c r="L71" s="385">
        <f t="shared" si="5"/>
        <v>584.95000000000005</v>
      </c>
      <c r="M71" s="68">
        <f t="shared" si="6"/>
        <v>0</v>
      </c>
      <c r="N71" s="19"/>
      <c r="O71" s="69"/>
    </row>
    <row r="72" spans="1:15">
      <c r="A72" s="221"/>
      <c r="B72" s="398" t="s">
        <v>254</v>
      </c>
      <c r="C72" s="391" t="s">
        <v>217</v>
      </c>
      <c r="D72" s="392" t="s">
        <v>218</v>
      </c>
      <c r="E72" s="392">
        <v>10</v>
      </c>
      <c r="F72" s="392">
        <v>104.7</v>
      </c>
      <c r="G72" s="392">
        <v>1047</v>
      </c>
      <c r="H72" s="392">
        <v>0</v>
      </c>
      <c r="I72" s="392" t="s">
        <v>200</v>
      </c>
      <c r="J72" s="392">
        <v>0</v>
      </c>
      <c r="K72" s="504">
        <f t="shared" si="4"/>
        <v>1047</v>
      </c>
      <c r="L72" s="385">
        <f t="shared" si="5"/>
        <v>1047</v>
      </c>
      <c r="M72" s="68">
        <f t="shared" si="6"/>
        <v>0</v>
      </c>
      <c r="N72" s="19"/>
      <c r="O72" s="69"/>
    </row>
    <row r="73" spans="1:15">
      <c r="A73" s="221"/>
      <c r="B73" s="398" t="s">
        <v>254</v>
      </c>
      <c r="C73" s="391" t="s">
        <v>215</v>
      </c>
      <c r="D73" s="392" t="s">
        <v>216</v>
      </c>
      <c r="E73" s="392">
        <v>47.16</v>
      </c>
      <c r="F73" s="392">
        <v>105.29</v>
      </c>
      <c r="G73" s="392">
        <v>4965.4799999999996</v>
      </c>
      <c r="H73" s="392">
        <v>0</v>
      </c>
      <c r="I73" s="392" t="s">
        <v>200</v>
      </c>
      <c r="J73" s="392">
        <v>0</v>
      </c>
      <c r="K73" s="504">
        <f t="shared" si="4"/>
        <v>4965.4799999999996</v>
      </c>
      <c r="L73" s="385">
        <f t="shared" si="5"/>
        <v>4965.4799999999996</v>
      </c>
      <c r="M73" s="68">
        <f t="shared" si="6"/>
        <v>0</v>
      </c>
      <c r="N73" s="19"/>
      <c r="O73" s="69"/>
    </row>
    <row r="74" spans="1:15">
      <c r="A74" s="221"/>
      <c r="B74" s="398" t="s">
        <v>254</v>
      </c>
      <c r="C74" s="391" t="s">
        <v>222</v>
      </c>
      <c r="D74" s="392" t="s">
        <v>223</v>
      </c>
      <c r="E74" s="392">
        <v>45.95</v>
      </c>
      <c r="F74" s="392">
        <v>105.35</v>
      </c>
      <c r="G74" s="392">
        <v>4840.83</v>
      </c>
      <c r="H74" s="392">
        <v>0</v>
      </c>
      <c r="I74" s="392" t="s">
        <v>200</v>
      </c>
      <c r="J74" s="392">
        <v>0</v>
      </c>
      <c r="K74" s="504">
        <f t="shared" si="4"/>
        <v>4840.83</v>
      </c>
      <c r="L74" s="385">
        <f t="shared" si="5"/>
        <v>4840.83</v>
      </c>
      <c r="M74" s="68">
        <f t="shared" si="6"/>
        <v>0</v>
      </c>
      <c r="N74" s="19"/>
      <c r="O74" s="69"/>
    </row>
    <row r="75" spans="1:15">
      <c r="A75" s="221"/>
      <c r="B75" s="398" t="s">
        <v>254</v>
      </c>
      <c r="C75" s="391" t="s">
        <v>222</v>
      </c>
      <c r="D75" s="392" t="s">
        <v>223</v>
      </c>
      <c r="E75" s="392">
        <v>60</v>
      </c>
      <c r="F75" s="392">
        <v>105.35</v>
      </c>
      <c r="G75" s="392">
        <v>6321</v>
      </c>
      <c r="H75" s="392">
        <v>0</v>
      </c>
      <c r="I75" s="392" t="s">
        <v>200</v>
      </c>
      <c r="J75" s="392">
        <v>0</v>
      </c>
      <c r="K75" s="504">
        <f t="shared" si="4"/>
        <v>6321</v>
      </c>
      <c r="L75" s="385">
        <f t="shared" si="5"/>
        <v>6321</v>
      </c>
      <c r="M75" s="68">
        <f t="shared" si="6"/>
        <v>0</v>
      </c>
      <c r="N75" s="19"/>
      <c r="O75" s="69"/>
    </row>
    <row r="76" spans="1:15">
      <c r="A76" s="221"/>
      <c r="B76" s="398" t="s">
        <v>254</v>
      </c>
      <c r="C76" s="391" t="s">
        <v>222</v>
      </c>
      <c r="D76" s="392" t="s">
        <v>223</v>
      </c>
      <c r="E76" s="392">
        <v>60</v>
      </c>
      <c r="F76" s="392">
        <v>105.35</v>
      </c>
      <c r="G76" s="392">
        <v>6321</v>
      </c>
      <c r="H76" s="392">
        <v>0</v>
      </c>
      <c r="I76" s="392" t="s">
        <v>200</v>
      </c>
      <c r="J76" s="392">
        <v>0</v>
      </c>
      <c r="K76" s="504">
        <f t="shared" si="4"/>
        <v>6321</v>
      </c>
      <c r="L76" s="385">
        <f t="shared" si="5"/>
        <v>6321</v>
      </c>
      <c r="M76" s="68">
        <f t="shared" si="6"/>
        <v>0</v>
      </c>
      <c r="N76" s="19"/>
      <c r="O76" s="69"/>
    </row>
    <row r="77" spans="1:15">
      <c r="A77" s="221"/>
      <c r="B77" s="398" t="s">
        <v>254</v>
      </c>
      <c r="C77" s="391" t="s">
        <v>255</v>
      </c>
      <c r="D77" s="392" t="s">
        <v>203</v>
      </c>
      <c r="E77" s="392">
        <v>60</v>
      </c>
      <c r="F77" s="392">
        <v>105.21</v>
      </c>
      <c r="G77" s="392">
        <v>6312.6</v>
      </c>
      <c r="H77" s="392">
        <v>0</v>
      </c>
      <c r="I77" s="392" t="s">
        <v>200</v>
      </c>
      <c r="J77" s="392">
        <v>0</v>
      </c>
      <c r="K77" s="504">
        <f t="shared" si="4"/>
        <v>6312.6</v>
      </c>
      <c r="L77" s="385">
        <f t="shared" si="5"/>
        <v>6312.6</v>
      </c>
      <c r="M77" s="68">
        <f t="shared" si="6"/>
        <v>0</v>
      </c>
      <c r="N77" s="19"/>
      <c r="O77" s="69"/>
    </row>
    <row r="78" spans="1:15">
      <c r="A78" s="221"/>
      <c r="B78" s="398" t="s">
        <v>254</v>
      </c>
      <c r="C78" s="391" t="s">
        <v>101</v>
      </c>
      <c r="D78" s="392" t="s">
        <v>90</v>
      </c>
      <c r="E78" s="392">
        <v>30</v>
      </c>
      <c r="F78" s="392">
        <v>105.59</v>
      </c>
      <c r="G78" s="392">
        <v>3167.7</v>
      </c>
      <c r="H78" s="392">
        <v>0</v>
      </c>
      <c r="I78" s="392" t="s">
        <v>200</v>
      </c>
      <c r="J78" s="392">
        <v>0</v>
      </c>
      <c r="K78" s="504">
        <f t="shared" si="4"/>
        <v>3167.7</v>
      </c>
      <c r="L78" s="385">
        <f t="shared" si="5"/>
        <v>3167.7</v>
      </c>
      <c r="M78" s="68">
        <f t="shared" si="6"/>
        <v>0</v>
      </c>
      <c r="N78" s="19"/>
      <c r="O78" s="69"/>
    </row>
    <row r="79" spans="1:15">
      <c r="A79" s="221"/>
      <c r="B79" s="398" t="s">
        <v>254</v>
      </c>
      <c r="C79" s="391" t="s">
        <v>256</v>
      </c>
      <c r="D79" s="392" t="s">
        <v>246</v>
      </c>
      <c r="E79" s="392">
        <v>25</v>
      </c>
      <c r="F79" s="392">
        <v>104.92</v>
      </c>
      <c r="G79" s="392">
        <v>2623</v>
      </c>
      <c r="H79" s="392">
        <v>0</v>
      </c>
      <c r="I79" s="392" t="s">
        <v>200</v>
      </c>
      <c r="J79" s="392">
        <v>0</v>
      </c>
      <c r="K79" s="504">
        <f t="shared" si="4"/>
        <v>2623</v>
      </c>
      <c r="L79" s="385">
        <f t="shared" si="5"/>
        <v>2623</v>
      </c>
      <c r="M79" s="68">
        <f t="shared" si="6"/>
        <v>0</v>
      </c>
      <c r="N79" s="19"/>
      <c r="O79" s="69"/>
    </row>
    <row r="80" spans="1:15">
      <c r="A80" s="221"/>
      <c r="B80" s="398" t="s">
        <v>254</v>
      </c>
      <c r="C80" s="391" t="s">
        <v>256</v>
      </c>
      <c r="D80" s="392" t="s">
        <v>246</v>
      </c>
      <c r="E80" s="392">
        <v>29.53</v>
      </c>
      <c r="F80" s="392">
        <v>104.92</v>
      </c>
      <c r="G80" s="392">
        <v>3098.39</v>
      </c>
      <c r="H80" s="392">
        <v>0</v>
      </c>
      <c r="I80" s="392" t="s">
        <v>200</v>
      </c>
      <c r="J80" s="392">
        <v>0</v>
      </c>
      <c r="K80" s="504">
        <f t="shared" si="4"/>
        <v>3098.39</v>
      </c>
      <c r="L80" s="385">
        <f t="shared" si="5"/>
        <v>3098.39</v>
      </c>
      <c r="M80" s="68">
        <f t="shared" si="6"/>
        <v>0</v>
      </c>
      <c r="N80" s="19"/>
      <c r="O80" s="69"/>
    </row>
    <row r="81" spans="1:15">
      <c r="A81" s="221"/>
      <c r="B81" s="398" t="s">
        <v>257</v>
      </c>
      <c r="C81" s="391" t="s">
        <v>217</v>
      </c>
      <c r="D81" s="392" t="s">
        <v>218</v>
      </c>
      <c r="E81" s="392">
        <v>20</v>
      </c>
      <c r="F81" s="392">
        <v>104.7</v>
      </c>
      <c r="G81" s="392">
        <v>2094</v>
      </c>
      <c r="H81" s="392">
        <v>0</v>
      </c>
      <c r="I81" s="392" t="s">
        <v>200</v>
      </c>
      <c r="J81" s="392">
        <v>0</v>
      </c>
      <c r="K81" s="504">
        <f t="shared" si="4"/>
        <v>2094</v>
      </c>
      <c r="L81" s="385">
        <f t="shared" si="5"/>
        <v>2094</v>
      </c>
      <c r="M81" s="68">
        <f t="shared" si="6"/>
        <v>0</v>
      </c>
      <c r="N81" s="19"/>
      <c r="O81" s="69"/>
    </row>
    <row r="82" spans="1:15">
      <c r="A82" s="221"/>
      <c r="B82" s="398" t="s">
        <v>257</v>
      </c>
      <c r="C82" s="391" t="s">
        <v>217</v>
      </c>
      <c r="D82" s="392" t="s">
        <v>218</v>
      </c>
      <c r="E82" s="392">
        <v>0</v>
      </c>
      <c r="F82" s="392" t="s">
        <v>200</v>
      </c>
      <c r="G82" s="392">
        <v>0</v>
      </c>
      <c r="H82" s="392">
        <v>2</v>
      </c>
      <c r="I82" s="392">
        <v>116.99</v>
      </c>
      <c r="J82" s="392">
        <v>233.98</v>
      </c>
      <c r="K82" s="504">
        <f t="shared" si="4"/>
        <v>233.98</v>
      </c>
      <c r="L82" s="385">
        <f t="shared" si="5"/>
        <v>233.98</v>
      </c>
      <c r="M82" s="68">
        <f t="shared" si="6"/>
        <v>0</v>
      </c>
      <c r="N82" s="19"/>
      <c r="O82" s="69"/>
    </row>
    <row r="83" spans="1:15">
      <c r="A83" s="221"/>
      <c r="B83" s="398" t="s">
        <v>257</v>
      </c>
      <c r="C83" s="391" t="s">
        <v>244</v>
      </c>
      <c r="D83" s="392" t="s">
        <v>258</v>
      </c>
      <c r="E83" s="392">
        <v>0</v>
      </c>
      <c r="F83" s="392" t="s">
        <v>200</v>
      </c>
      <c r="G83" s="392">
        <v>0</v>
      </c>
      <c r="H83" s="392">
        <v>5</v>
      </c>
      <c r="I83" s="392">
        <v>117.98</v>
      </c>
      <c r="J83" s="392">
        <v>589.9</v>
      </c>
      <c r="K83" s="504">
        <f t="shared" si="4"/>
        <v>589.9</v>
      </c>
      <c r="L83" s="385">
        <f t="shared" si="5"/>
        <v>589.9</v>
      </c>
      <c r="M83" s="68">
        <f t="shared" si="6"/>
        <v>0</v>
      </c>
      <c r="N83" s="19"/>
      <c r="O83" s="69"/>
    </row>
    <row r="84" spans="1:15">
      <c r="A84" s="221"/>
      <c r="B84" s="398" t="s">
        <v>257</v>
      </c>
      <c r="C84" s="391" t="s">
        <v>255</v>
      </c>
      <c r="D84" s="392" t="s">
        <v>259</v>
      </c>
      <c r="E84" s="392">
        <v>100</v>
      </c>
      <c r="F84" s="392">
        <v>105.21</v>
      </c>
      <c r="G84" s="392">
        <v>10521</v>
      </c>
      <c r="H84" s="392">
        <v>0</v>
      </c>
      <c r="I84" s="392" t="s">
        <v>200</v>
      </c>
      <c r="J84" s="392">
        <v>0</v>
      </c>
      <c r="K84" s="504">
        <f t="shared" si="4"/>
        <v>10521</v>
      </c>
      <c r="L84" s="385">
        <f t="shared" si="5"/>
        <v>10521</v>
      </c>
      <c r="M84" s="68">
        <f t="shared" si="6"/>
        <v>0</v>
      </c>
      <c r="N84" s="19"/>
      <c r="O84" s="69"/>
    </row>
    <row r="85" spans="1:15">
      <c r="A85" s="221"/>
      <c r="B85" s="398" t="s">
        <v>257</v>
      </c>
      <c r="C85" s="391" t="s">
        <v>255</v>
      </c>
      <c r="D85" s="392" t="s">
        <v>259</v>
      </c>
      <c r="E85" s="392">
        <v>70</v>
      </c>
      <c r="F85" s="392">
        <v>105.21</v>
      </c>
      <c r="G85" s="392">
        <v>7364.7</v>
      </c>
      <c r="H85" s="392">
        <v>0</v>
      </c>
      <c r="I85" s="392" t="s">
        <v>200</v>
      </c>
      <c r="J85" s="392">
        <v>0</v>
      </c>
      <c r="K85" s="504">
        <f t="shared" si="4"/>
        <v>7364.7</v>
      </c>
      <c r="L85" s="385">
        <f t="shared" si="5"/>
        <v>7364.7</v>
      </c>
      <c r="M85" s="68">
        <f t="shared" si="6"/>
        <v>0</v>
      </c>
      <c r="N85" s="19"/>
      <c r="O85" s="69"/>
    </row>
    <row r="86" spans="1:15">
      <c r="A86" s="221"/>
      <c r="B86" s="398" t="s">
        <v>257</v>
      </c>
      <c r="C86" s="391" t="s">
        <v>255</v>
      </c>
      <c r="D86" s="392" t="s">
        <v>259</v>
      </c>
      <c r="E86" s="392">
        <v>40</v>
      </c>
      <c r="F86" s="392">
        <v>105.21</v>
      </c>
      <c r="G86" s="392">
        <v>4208.3999999999996</v>
      </c>
      <c r="H86" s="392">
        <v>0</v>
      </c>
      <c r="I86" s="392" t="s">
        <v>200</v>
      </c>
      <c r="J86" s="392">
        <v>0</v>
      </c>
      <c r="K86" s="504">
        <f t="shared" si="4"/>
        <v>4208.3999999999996</v>
      </c>
      <c r="L86" s="385">
        <f t="shared" si="5"/>
        <v>4208.3999999999996</v>
      </c>
      <c r="M86" s="68">
        <f t="shared" si="6"/>
        <v>0</v>
      </c>
      <c r="N86" s="19"/>
      <c r="O86" s="69"/>
    </row>
    <row r="87" spans="1:15">
      <c r="A87" s="221"/>
      <c r="B87" s="398" t="s">
        <v>260</v>
      </c>
      <c r="C87" s="391" t="s">
        <v>256</v>
      </c>
      <c r="D87" s="392" t="s">
        <v>246</v>
      </c>
      <c r="E87" s="392">
        <v>25</v>
      </c>
      <c r="F87" s="392">
        <v>104.92</v>
      </c>
      <c r="G87" s="392">
        <v>2623</v>
      </c>
      <c r="H87" s="392">
        <v>0</v>
      </c>
      <c r="I87" s="392" t="s">
        <v>200</v>
      </c>
      <c r="J87" s="392">
        <v>0</v>
      </c>
      <c r="K87" s="504">
        <f t="shared" si="4"/>
        <v>2623</v>
      </c>
      <c r="L87" s="385">
        <f t="shared" si="5"/>
        <v>2623</v>
      </c>
      <c r="M87" s="68">
        <f t="shared" si="6"/>
        <v>0</v>
      </c>
      <c r="N87" s="19"/>
      <c r="O87" s="69"/>
    </row>
    <row r="88" spans="1:15">
      <c r="A88" s="221"/>
      <c r="B88" s="398" t="s">
        <v>260</v>
      </c>
      <c r="C88" s="496" t="s">
        <v>222</v>
      </c>
      <c r="D88" s="392" t="s">
        <v>223</v>
      </c>
      <c r="E88" s="392">
        <v>60</v>
      </c>
      <c r="F88" s="392">
        <v>105.35</v>
      </c>
      <c r="G88" s="392">
        <v>6321</v>
      </c>
      <c r="H88" s="392">
        <v>0</v>
      </c>
      <c r="I88" s="392" t="s">
        <v>200</v>
      </c>
      <c r="J88" s="392">
        <v>0</v>
      </c>
      <c r="K88" s="504">
        <f t="shared" si="4"/>
        <v>6321</v>
      </c>
      <c r="L88" s="385">
        <f t="shared" si="5"/>
        <v>6321</v>
      </c>
      <c r="M88" s="68">
        <f t="shared" si="6"/>
        <v>0</v>
      </c>
      <c r="N88" s="19"/>
      <c r="O88" s="69"/>
    </row>
    <row r="89" spans="1:15">
      <c r="A89" s="221"/>
      <c r="B89" s="398" t="s">
        <v>260</v>
      </c>
      <c r="C89" s="496" t="s">
        <v>261</v>
      </c>
      <c r="D89" s="392" t="s">
        <v>203</v>
      </c>
      <c r="E89" s="392">
        <v>80</v>
      </c>
      <c r="F89" s="392">
        <v>105.2</v>
      </c>
      <c r="G89" s="392">
        <v>8416</v>
      </c>
      <c r="H89" s="392">
        <v>0</v>
      </c>
      <c r="I89" s="392" t="s">
        <v>200</v>
      </c>
      <c r="J89" s="392">
        <v>0</v>
      </c>
      <c r="K89" s="504">
        <f t="shared" si="4"/>
        <v>8416</v>
      </c>
      <c r="L89" s="385">
        <f t="shared" si="5"/>
        <v>8416</v>
      </c>
      <c r="M89" s="68">
        <f t="shared" si="6"/>
        <v>0</v>
      </c>
      <c r="N89" s="19"/>
      <c r="O89" s="69"/>
    </row>
    <row r="90" spans="1:15">
      <c r="A90" s="221"/>
      <c r="B90" s="398" t="s">
        <v>260</v>
      </c>
      <c r="C90" s="496" t="s">
        <v>222</v>
      </c>
      <c r="D90" s="392" t="s">
        <v>223</v>
      </c>
      <c r="E90" s="392">
        <v>37.5</v>
      </c>
      <c r="F90" s="392">
        <v>105.35</v>
      </c>
      <c r="G90" s="392">
        <v>3950.63</v>
      </c>
      <c r="H90" s="392">
        <v>0</v>
      </c>
      <c r="I90" s="392" t="s">
        <v>200</v>
      </c>
      <c r="J90" s="392">
        <v>0</v>
      </c>
      <c r="K90" s="504">
        <f t="shared" si="4"/>
        <v>3950.63</v>
      </c>
      <c r="L90" s="385">
        <f t="shared" si="5"/>
        <v>3950.63</v>
      </c>
      <c r="M90" s="68">
        <f t="shared" si="6"/>
        <v>0</v>
      </c>
      <c r="N90" s="19"/>
      <c r="O90" s="69"/>
    </row>
    <row r="91" spans="1:15">
      <c r="A91" s="221"/>
      <c r="B91" s="398" t="s">
        <v>260</v>
      </c>
      <c r="C91" s="496" t="s">
        <v>261</v>
      </c>
      <c r="D91" s="392" t="s">
        <v>203</v>
      </c>
      <c r="E91" s="392" t="s">
        <v>200</v>
      </c>
      <c r="F91" s="392" t="s">
        <v>200</v>
      </c>
      <c r="G91" s="392">
        <v>0</v>
      </c>
      <c r="H91" s="392">
        <v>5</v>
      </c>
      <c r="I91" s="392">
        <v>117.58</v>
      </c>
      <c r="J91" s="392">
        <v>587.9</v>
      </c>
      <c r="K91" s="504">
        <f t="shared" si="4"/>
        <v>587.9</v>
      </c>
      <c r="L91" s="385">
        <f t="shared" si="5"/>
        <v>587.9</v>
      </c>
      <c r="M91" s="68">
        <f t="shared" si="6"/>
        <v>0</v>
      </c>
      <c r="N91" s="19"/>
      <c r="O91" s="69"/>
    </row>
    <row r="92" spans="1:15">
      <c r="A92" s="221"/>
      <c r="B92" s="398" t="s">
        <v>260</v>
      </c>
      <c r="C92" s="496" t="s">
        <v>262</v>
      </c>
      <c r="D92" s="392" t="s">
        <v>263</v>
      </c>
      <c r="E92" s="392" t="s">
        <v>200</v>
      </c>
      <c r="F92" s="392" t="s">
        <v>200</v>
      </c>
      <c r="G92" s="392">
        <v>0</v>
      </c>
      <c r="H92" s="392">
        <v>6.71</v>
      </c>
      <c r="I92" s="392">
        <v>104.8</v>
      </c>
      <c r="J92" s="392">
        <v>703.21</v>
      </c>
      <c r="K92" s="504">
        <f t="shared" si="4"/>
        <v>703.21</v>
      </c>
      <c r="L92" s="385">
        <f t="shared" si="5"/>
        <v>703.21</v>
      </c>
      <c r="M92" s="68">
        <f t="shared" si="6"/>
        <v>0</v>
      </c>
      <c r="N92" s="19"/>
      <c r="O92" s="69"/>
    </row>
    <row r="93" spans="1:15">
      <c r="A93" s="221"/>
      <c r="B93" s="398" t="s">
        <v>260</v>
      </c>
      <c r="C93" s="496" t="s">
        <v>264</v>
      </c>
      <c r="D93" s="392" t="s">
        <v>221</v>
      </c>
      <c r="E93" s="392">
        <v>34.49</v>
      </c>
      <c r="F93" s="392">
        <v>104.62</v>
      </c>
      <c r="G93" s="392">
        <v>3608.34</v>
      </c>
      <c r="H93" s="392">
        <v>0</v>
      </c>
      <c r="I93" s="392" t="s">
        <v>200</v>
      </c>
      <c r="J93" s="392">
        <v>0</v>
      </c>
      <c r="K93" s="504">
        <f t="shared" si="4"/>
        <v>3608.34</v>
      </c>
      <c r="L93" s="385">
        <f t="shared" si="5"/>
        <v>3608.34</v>
      </c>
      <c r="M93" s="68">
        <f t="shared" si="6"/>
        <v>0</v>
      </c>
      <c r="N93" s="19"/>
      <c r="O93" s="69"/>
    </row>
    <row r="94" spans="1:15">
      <c r="A94" s="221"/>
      <c r="B94" s="398" t="s">
        <v>260</v>
      </c>
      <c r="C94" s="496" t="s">
        <v>265</v>
      </c>
      <c r="D94" s="392" t="s">
        <v>221</v>
      </c>
      <c r="E94" s="392">
        <v>45.77</v>
      </c>
      <c r="F94" s="392">
        <v>104.51</v>
      </c>
      <c r="G94" s="392">
        <v>4783.42</v>
      </c>
      <c r="H94" s="392">
        <v>0</v>
      </c>
      <c r="I94" s="392" t="s">
        <v>200</v>
      </c>
      <c r="J94" s="392">
        <v>0</v>
      </c>
      <c r="K94" s="504">
        <f t="shared" si="4"/>
        <v>4783.42</v>
      </c>
      <c r="L94" s="385">
        <f t="shared" si="5"/>
        <v>4783.42</v>
      </c>
      <c r="M94" s="68">
        <f t="shared" si="6"/>
        <v>0</v>
      </c>
      <c r="N94" s="19"/>
      <c r="O94" s="69"/>
    </row>
    <row r="95" spans="1:15">
      <c r="A95" s="221"/>
      <c r="B95" s="398" t="s">
        <v>266</v>
      </c>
      <c r="C95" s="388" t="s">
        <v>267</v>
      </c>
      <c r="D95" s="390" t="s">
        <v>268</v>
      </c>
      <c r="E95" s="390">
        <v>30</v>
      </c>
      <c r="F95" s="390">
        <v>104.65</v>
      </c>
      <c r="G95" s="390">
        <v>3139.5</v>
      </c>
      <c r="H95" s="390">
        <v>0</v>
      </c>
      <c r="I95" s="390" t="s">
        <v>200</v>
      </c>
      <c r="J95" s="390">
        <v>0</v>
      </c>
      <c r="K95" s="504">
        <f t="shared" si="4"/>
        <v>3139.5</v>
      </c>
      <c r="L95" s="385">
        <f t="shared" si="5"/>
        <v>3139.5</v>
      </c>
      <c r="M95" s="68">
        <f t="shared" si="6"/>
        <v>0</v>
      </c>
      <c r="N95" s="19"/>
      <c r="O95" s="69"/>
    </row>
    <row r="96" spans="1:15">
      <c r="A96" s="221"/>
      <c r="B96" s="398" t="s">
        <v>266</v>
      </c>
      <c r="C96" s="391" t="s">
        <v>267</v>
      </c>
      <c r="D96" s="392" t="s">
        <v>268</v>
      </c>
      <c r="E96" s="392">
        <v>30</v>
      </c>
      <c r="F96" s="392">
        <v>104.64</v>
      </c>
      <c r="G96" s="392">
        <v>3139.2</v>
      </c>
      <c r="H96" s="392">
        <v>0</v>
      </c>
      <c r="I96" s="392" t="s">
        <v>200</v>
      </c>
      <c r="J96" s="392">
        <v>0</v>
      </c>
      <c r="K96" s="504">
        <f t="shared" si="4"/>
        <v>3139.2</v>
      </c>
      <c r="L96" s="385">
        <f t="shared" si="5"/>
        <v>3139.2</v>
      </c>
      <c r="M96" s="68">
        <f t="shared" si="6"/>
        <v>0</v>
      </c>
      <c r="N96" s="19"/>
      <c r="O96" s="69"/>
    </row>
    <row r="97" spans="1:15">
      <c r="A97" s="221"/>
      <c r="B97" s="398" t="s">
        <v>266</v>
      </c>
      <c r="C97" s="391" t="s">
        <v>267</v>
      </c>
      <c r="D97" s="392" t="s">
        <v>268</v>
      </c>
      <c r="E97" s="392" t="s">
        <v>200</v>
      </c>
      <c r="F97" s="392" t="s">
        <v>200</v>
      </c>
      <c r="G97" s="392">
        <v>0</v>
      </c>
      <c r="H97" s="392">
        <v>5.04</v>
      </c>
      <c r="I97" s="392">
        <v>116.96</v>
      </c>
      <c r="J97" s="392">
        <v>589.48</v>
      </c>
      <c r="K97" s="504">
        <f t="shared" si="4"/>
        <v>589.48</v>
      </c>
      <c r="L97" s="385">
        <f t="shared" si="5"/>
        <v>589.48</v>
      </c>
      <c r="M97" s="68">
        <f t="shared" si="6"/>
        <v>0</v>
      </c>
      <c r="N97" s="19"/>
      <c r="O97" s="69"/>
    </row>
    <row r="98" spans="1:15">
      <c r="A98" s="221"/>
      <c r="B98" s="398" t="s">
        <v>266</v>
      </c>
      <c r="C98" s="391" t="s">
        <v>269</v>
      </c>
      <c r="D98" s="392" t="s">
        <v>90</v>
      </c>
      <c r="E98" s="392">
        <v>45.04</v>
      </c>
      <c r="F98" s="392">
        <v>105.59</v>
      </c>
      <c r="G98" s="392">
        <v>4755.7700000000004</v>
      </c>
      <c r="H98" s="392">
        <v>0</v>
      </c>
      <c r="I98" s="392" t="s">
        <v>200</v>
      </c>
      <c r="J98" s="392">
        <v>0</v>
      </c>
      <c r="K98" s="504">
        <f t="shared" si="4"/>
        <v>4755.7700000000004</v>
      </c>
      <c r="L98" s="385">
        <f t="shared" si="5"/>
        <v>4755.7700000000004</v>
      </c>
      <c r="M98" s="68">
        <f t="shared" si="6"/>
        <v>0</v>
      </c>
      <c r="N98" s="19"/>
      <c r="O98" s="69"/>
    </row>
    <row r="99" spans="1:15">
      <c r="A99" s="221"/>
      <c r="B99" s="398" t="s">
        <v>266</v>
      </c>
      <c r="C99" s="391" t="s">
        <v>269</v>
      </c>
      <c r="D99" s="392" t="s">
        <v>90</v>
      </c>
      <c r="E99" s="392">
        <v>44.86</v>
      </c>
      <c r="F99" s="392">
        <v>105.59</v>
      </c>
      <c r="G99" s="392">
        <v>4736.7700000000004</v>
      </c>
      <c r="H99" s="392">
        <v>0</v>
      </c>
      <c r="I99" s="392" t="s">
        <v>200</v>
      </c>
      <c r="J99" s="392">
        <v>0</v>
      </c>
      <c r="K99" s="504">
        <f t="shared" si="4"/>
        <v>4736.7700000000004</v>
      </c>
      <c r="L99" s="385">
        <f t="shared" si="5"/>
        <v>4736.7700000000004</v>
      </c>
      <c r="M99" s="68">
        <f t="shared" si="6"/>
        <v>0</v>
      </c>
      <c r="N99" s="19"/>
      <c r="O99" s="69"/>
    </row>
    <row r="100" spans="1:15">
      <c r="A100" s="221"/>
      <c r="B100" s="398" t="s">
        <v>266</v>
      </c>
      <c r="C100" s="496" t="s">
        <v>261</v>
      </c>
      <c r="D100" s="392" t="s">
        <v>259</v>
      </c>
      <c r="E100" s="392">
        <v>80</v>
      </c>
      <c r="F100" s="520">
        <v>105.21</v>
      </c>
      <c r="G100" s="392">
        <v>8416.7999999999993</v>
      </c>
      <c r="H100" s="392">
        <v>0</v>
      </c>
      <c r="I100" s="392" t="s">
        <v>200</v>
      </c>
      <c r="J100" s="392">
        <v>0</v>
      </c>
      <c r="K100" s="504">
        <f t="shared" si="4"/>
        <v>8416.7999999999993</v>
      </c>
      <c r="L100" s="385">
        <f t="shared" si="5"/>
        <v>8416.7999999999993</v>
      </c>
      <c r="M100" s="68">
        <f t="shared" si="6"/>
        <v>0</v>
      </c>
      <c r="N100" s="19"/>
      <c r="O100" s="69"/>
    </row>
    <row r="101" spans="1:15">
      <c r="A101" s="221"/>
      <c r="B101" s="398" t="s">
        <v>270</v>
      </c>
      <c r="C101" s="128" t="s">
        <v>222</v>
      </c>
      <c r="D101" s="129" t="s">
        <v>223</v>
      </c>
      <c r="E101" s="303">
        <v>70</v>
      </c>
      <c r="F101" s="399">
        <v>105.35</v>
      </c>
      <c r="G101" s="19">
        <v>7374.5</v>
      </c>
      <c r="H101" s="303">
        <v>0</v>
      </c>
      <c r="I101" s="399"/>
      <c r="J101" s="19">
        <v>0</v>
      </c>
      <c r="K101" s="504">
        <f t="shared" si="4"/>
        <v>7374.5</v>
      </c>
      <c r="L101" s="385">
        <f t="shared" si="5"/>
        <v>7374.5</v>
      </c>
      <c r="M101" s="68">
        <f t="shared" si="6"/>
        <v>0</v>
      </c>
      <c r="N101" s="19"/>
      <c r="O101" s="69"/>
    </row>
    <row r="102" spans="1:15">
      <c r="A102" s="221"/>
      <c r="B102" s="398" t="s">
        <v>270</v>
      </c>
      <c r="C102" s="128" t="s">
        <v>271</v>
      </c>
      <c r="D102" s="129" t="s">
        <v>203</v>
      </c>
      <c r="E102" s="303">
        <v>180</v>
      </c>
      <c r="F102" s="399">
        <v>105.21</v>
      </c>
      <c r="G102" s="19">
        <v>18937.8</v>
      </c>
      <c r="H102" s="303">
        <v>0</v>
      </c>
      <c r="I102" s="399"/>
      <c r="J102" s="19">
        <v>0</v>
      </c>
      <c r="K102" s="504">
        <f t="shared" si="4"/>
        <v>18937.8</v>
      </c>
      <c r="L102" s="385">
        <f t="shared" si="5"/>
        <v>18937.8</v>
      </c>
      <c r="M102" s="68">
        <f t="shared" si="6"/>
        <v>0</v>
      </c>
      <c r="N102" s="19"/>
      <c r="O102" s="69"/>
    </row>
    <row r="103" spans="1:15">
      <c r="A103" s="221"/>
      <c r="B103" s="398" t="s">
        <v>270</v>
      </c>
      <c r="C103" s="128" t="s">
        <v>272</v>
      </c>
      <c r="D103" s="129" t="s">
        <v>90</v>
      </c>
      <c r="E103" s="303">
        <v>34.64</v>
      </c>
      <c r="F103" s="399">
        <v>105.59</v>
      </c>
      <c r="G103" s="19">
        <v>3657.64</v>
      </c>
      <c r="H103" s="303">
        <v>0</v>
      </c>
      <c r="I103" s="399"/>
      <c r="J103" s="19">
        <v>0</v>
      </c>
      <c r="K103" s="504">
        <f t="shared" si="4"/>
        <v>3657.64</v>
      </c>
      <c r="L103" s="385">
        <f t="shared" si="5"/>
        <v>3657.64</v>
      </c>
      <c r="M103" s="68">
        <f t="shared" si="6"/>
        <v>0</v>
      </c>
      <c r="N103" s="19"/>
      <c r="O103" s="69"/>
    </row>
    <row r="104" spans="1:15">
      <c r="A104" s="221"/>
      <c r="B104" s="398" t="s">
        <v>270</v>
      </c>
      <c r="C104" s="128" t="s">
        <v>222</v>
      </c>
      <c r="D104" s="129" t="s">
        <v>223</v>
      </c>
      <c r="E104" s="303">
        <v>40</v>
      </c>
      <c r="F104" s="399">
        <v>105.35</v>
      </c>
      <c r="G104" s="19">
        <v>4214</v>
      </c>
      <c r="H104" s="303">
        <v>0</v>
      </c>
      <c r="I104" s="399"/>
      <c r="J104" s="19">
        <v>0</v>
      </c>
      <c r="K104" s="504">
        <f t="shared" si="4"/>
        <v>4214</v>
      </c>
      <c r="L104" s="385">
        <f t="shared" si="5"/>
        <v>4214</v>
      </c>
      <c r="M104" s="68">
        <f t="shared" si="6"/>
        <v>0</v>
      </c>
      <c r="N104" s="19"/>
      <c r="O104" s="69"/>
    </row>
    <row r="105" spans="1:15">
      <c r="A105" s="221"/>
      <c r="B105" s="398" t="s">
        <v>270</v>
      </c>
      <c r="C105" s="128" t="s">
        <v>222</v>
      </c>
      <c r="D105" s="129" t="s">
        <v>223</v>
      </c>
      <c r="E105" s="303">
        <v>32</v>
      </c>
      <c r="F105" s="399">
        <v>105.35</v>
      </c>
      <c r="G105" s="19">
        <v>3371.2</v>
      </c>
      <c r="H105" s="303">
        <v>0</v>
      </c>
      <c r="I105" s="399"/>
      <c r="J105" s="19">
        <v>0</v>
      </c>
      <c r="K105" s="504">
        <f t="shared" si="4"/>
        <v>3371.2</v>
      </c>
      <c r="L105" s="385">
        <f t="shared" si="5"/>
        <v>3371.2</v>
      </c>
      <c r="M105" s="68">
        <f t="shared" si="6"/>
        <v>0</v>
      </c>
      <c r="N105" s="19"/>
      <c r="O105" s="69"/>
    </row>
    <row r="106" spans="1:15">
      <c r="A106" s="221"/>
      <c r="B106" s="398" t="s">
        <v>270</v>
      </c>
      <c r="C106" s="128" t="s">
        <v>217</v>
      </c>
      <c r="D106" s="129" t="s">
        <v>218</v>
      </c>
      <c r="E106" s="303">
        <v>0</v>
      </c>
      <c r="F106" s="399"/>
      <c r="G106" s="19">
        <v>0</v>
      </c>
      <c r="H106" s="303">
        <v>5</v>
      </c>
      <c r="I106" s="399">
        <v>116.99</v>
      </c>
      <c r="J106" s="19">
        <v>584.95000000000005</v>
      </c>
      <c r="K106" s="504">
        <f t="shared" si="4"/>
        <v>584.95000000000005</v>
      </c>
      <c r="L106" s="385">
        <f t="shared" si="5"/>
        <v>584.95000000000005</v>
      </c>
      <c r="M106" s="68">
        <f t="shared" si="6"/>
        <v>0</v>
      </c>
      <c r="N106" s="19"/>
      <c r="O106" s="69"/>
    </row>
    <row r="107" spans="1:15">
      <c r="A107" s="221"/>
      <c r="B107" s="398" t="s">
        <v>270</v>
      </c>
      <c r="C107" s="128" t="s">
        <v>273</v>
      </c>
      <c r="D107" s="129" t="s">
        <v>216</v>
      </c>
      <c r="E107" s="303">
        <v>49.2</v>
      </c>
      <c r="F107" s="399">
        <v>105.29</v>
      </c>
      <c r="G107" s="19">
        <v>5180.2700000000004</v>
      </c>
      <c r="H107" s="303">
        <v>0</v>
      </c>
      <c r="I107" s="399"/>
      <c r="J107" s="19">
        <v>0</v>
      </c>
      <c r="K107" s="504">
        <f t="shared" si="4"/>
        <v>5180.2700000000004</v>
      </c>
      <c r="L107" s="385">
        <f t="shared" si="5"/>
        <v>5180.2700000000004</v>
      </c>
      <c r="M107" s="68">
        <f t="shared" si="6"/>
        <v>0</v>
      </c>
      <c r="N107" s="19"/>
      <c r="O107" s="69"/>
    </row>
    <row r="108" spans="1:15">
      <c r="A108" s="221"/>
      <c r="B108" s="398" t="s">
        <v>270</v>
      </c>
      <c r="C108" s="128" t="s">
        <v>274</v>
      </c>
      <c r="D108" s="129" t="s">
        <v>90</v>
      </c>
      <c r="E108" s="303">
        <v>0</v>
      </c>
      <c r="F108" s="399"/>
      <c r="G108" s="19">
        <v>0</v>
      </c>
      <c r="H108" s="303">
        <v>5</v>
      </c>
      <c r="I108" s="399">
        <v>118</v>
      </c>
      <c r="J108" s="19">
        <v>590</v>
      </c>
      <c r="K108" s="504">
        <f t="shared" si="4"/>
        <v>590</v>
      </c>
      <c r="L108" s="385">
        <f t="shared" si="5"/>
        <v>590</v>
      </c>
      <c r="M108" s="68">
        <f t="shared" si="6"/>
        <v>0</v>
      </c>
      <c r="N108" s="19"/>
      <c r="O108" s="69"/>
    </row>
    <row r="109" spans="1:15">
      <c r="A109" s="221"/>
      <c r="B109" s="398" t="s">
        <v>275</v>
      </c>
      <c r="C109" s="495" t="s">
        <v>202</v>
      </c>
      <c r="D109" s="522" t="s">
        <v>203</v>
      </c>
      <c r="E109" s="390">
        <v>80</v>
      </c>
      <c r="F109" s="522">
        <v>105.21</v>
      </c>
      <c r="G109" s="390">
        <v>8416.7999999999993</v>
      </c>
      <c r="H109" s="390">
        <v>0</v>
      </c>
      <c r="I109" s="390" t="s">
        <v>200</v>
      </c>
      <c r="J109" s="390">
        <v>0</v>
      </c>
      <c r="K109" s="504">
        <f t="shared" si="4"/>
        <v>8416.7999999999993</v>
      </c>
      <c r="L109" s="385">
        <f t="shared" si="5"/>
        <v>8416.7999999999993</v>
      </c>
      <c r="M109" s="68">
        <f t="shared" si="6"/>
        <v>0</v>
      </c>
      <c r="N109" s="19"/>
      <c r="O109" s="69"/>
    </row>
    <row r="110" spans="1:15">
      <c r="A110" s="221"/>
      <c r="B110" s="398" t="s">
        <v>275</v>
      </c>
      <c r="C110" s="496" t="s">
        <v>276</v>
      </c>
      <c r="D110" s="520" t="s">
        <v>277</v>
      </c>
      <c r="E110" s="392">
        <v>50</v>
      </c>
      <c r="F110" s="520">
        <v>105.46</v>
      </c>
      <c r="G110" s="392">
        <v>5273</v>
      </c>
      <c r="H110" s="392">
        <v>0</v>
      </c>
      <c r="I110" s="392" t="s">
        <v>200</v>
      </c>
      <c r="J110" s="392">
        <v>0</v>
      </c>
      <c r="K110" s="504">
        <f t="shared" si="4"/>
        <v>5273</v>
      </c>
      <c r="L110" s="385">
        <f t="shared" si="5"/>
        <v>5273</v>
      </c>
      <c r="M110" s="68">
        <f t="shared" si="6"/>
        <v>0</v>
      </c>
      <c r="N110" s="19"/>
      <c r="O110" s="69"/>
    </row>
    <row r="111" spans="1:15">
      <c r="A111" s="221"/>
      <c r="B111" s="398" t="s">
        <v>275</v>
      </c>
      <c r="C111" s="496" t="s">
        <v>276</v>
      </c>
      <c r="D111" s="520" t="s">
        <v>277</v>
      </c>
      <c r="E111" s="392">
        <v>0</v>
      </c>
      <c r="F111" s="520">
        <v>0</v>
      </c>
      <c r="G111" s="392">
        <v>0</v>
      </c>
      <c r="H111" s="392">
        <v>8</v>
      </c>
      <c r="I111" s="520">
        <v>117.84</v>
      </c>
      <c r="J111" s="392">
        <v>942.72</v>
      </c>
      <c r="K111" s="504">
        <f t="shared" si="4"/>
        <v>942.72</v>
      </c>
      <c r="L111" s="385">
        <f t="shared" si="5"/>
        <v>942.72</v>
      </c>
      <c r="M111" s="68">
        <f t="shared" si="6"/>
        <v>0</v>
      </c>
      <c r="N111" s="19"/>
      <c r="O111" s="69"/>
    </row>
    <row r="112" spans="1:15">
      <c r="A112" s="221"/>
      <c r="B112" s="398" t="s">
        <v>275</v>
      </c>
      <c r="C112" s="496" t="s">
        <v>269</v>
      </c>
      <c r="D112" s="520" t="s">
        <v>90</v>
      </c>
      <c r="E112" s="392">
        <v>44.64</v>
      </c>
      <c r="F112" s="520">
        <v>105.59</v>
      </c>
      <c r="G112" s="392">
        <v>4713.54</v>
      </c>
      <c r="H112" s="392">
        <v>0</v>
      </c>
      <c r="I112" s="392" t="s">
        <v>200</v>
      </c>
      <c r="J112" s="392">
        <v>0</v>
      </c>
      <c r="K112" s="504">
        <f t="shared" si="4"/>
        <v>4713.54</v>
      </c>
      <c r="L112" s="385">
        <f t="shared" si="5"/>
        <v>4713.54</v>
      </c>
      <c r="M112" s="68">
        <f t="shared" si="6"/>
        <v>0</v>
      </c>
      <c r="N112" s="19"/>
      <c r="O112" s="69"/>
    </row>
    <row r="113" spans="1:15">
      <c r="A113" s="221"/>
      <c r="B113" s="398" t="s">
        <v>275</v>
      </c>
      <c r="C113" s="496" t="s">
        <v>278</v>
      </c>
      <c r="D113" s="520" t="s">
        <v>200</v>
      </c>
      <c r="E113" s="392">
        <v>49.21</v>
      </c>
      <c r="F113" s="520">
        <v>104.54</v>
      </c>
      <c r="G113" s="392">
        <v>5144.41</v>
      </c>
      <c r="H113" s="392">
        <v>0</v>
      </c>
      <c r="I113" s="392" t="s">
        <v>200</v>
      </c>
      <c r="J113" s="392">
        <v>0</v>
      </c>
      <c r="K113" s="504">
        <f t="shared" si="4"/>
        <v>5144.41</v>
      </c>
      <c r="L113" s="385">
        <f t="shared" si="5"/>
        <v>5144.41</v>
      </c>
      <c r="M113" s="68">
        <f t="shared" si="6"/>
        <v>0</v>
      </c>
      <c r="N113" s="19"/>
      <c r="O113" s="69"/>
    </row>
    <row r="114" spans="1:15">
      <c r="A114" s="221"/>
      <c r="B114" s="398" t="s">
        <v>275</v>
      </c>
      <c r="C114" s="496" t="s">
        <v>279</v>
      </c>
      <c r="D114" s="520" t="s">
        <v>221</v>
      </c>
      <c r="E114" s="392">
        <v>46.43</v>
      </c>
      <c r="F114" s="520">
        <v>104.62</v>
      </c>
      <c r="G114" s="392">
        <v>4857.51</v>
      </c>
      <c r="H114" s="392">
        <v>0</v>
      </c>
      <c r="I114" s="392" t="s">
        <v>200</v>
      </c>
      <c r="J114" s="392">
        <v>0</v>
      </c>
      <c r="K114" s="504">
        <f t="shared" si="4"/>
        <v>4857.51</v>
      </c>
      <c r="L114" s="385">
        <f t="shared" si="5"/>
        <v>4857.51</v>
      </c>
      <c r="M114" s="68">
        <f t="shared" si="6"/>
        <v>0</v>
      </c>
      <c r="N114" s="19"/>
      <c r="O114" s="69"/>
    </row>
    <row r="115" spans="1:15">
      <c r="A115" s="221"/>
      <c r="B115" s="398" t="s">
        <v>280</v>
      </c>
      <c r="C115" s="495" t="s">
        <v>281</v>
      </c>
      <c r="D115" s="522" t="s">
        <v>268</v>
      </c>
      <c r="E115" s="390">
        <v>0</v>
      </c>
      <c r="F115" s="522">
        <v>0</v>
      </c>
      <c r="G115" s="390">
        <v>0</v>
      </c>
      <c r="H115" s="390">
        <v>5</v>
      </c>
      <c r="I115" s="390">
        <v>116.99</v>
      </c>
      <c r="J115" s="390">
        <v>584.95000000000005</v>
      </c>
      <c r="K115" s="504">
        <f t="shared" si="4"/>
        <v>584.95000000000005</v>
      </c>
      <c r="L115" s="385">
        <f t="shared" si="5"/>
        <v>584.95000000000005</v>
      </c>
      <c r="M115" s="68">
        <f t="shared" si="6"/>
        <v>0</v>
      </c>
      <c r="N115" s="19"/>
      <c r="O115" s="69"/>
    </row>
    <row r="116" spans="1:15">
      <c r="A116" s="221"/>
      <c r="B116" s="398" t="s">
        <v>280</v>
      </c>
      <c r="C116" s="496" t="s">
        <v>282</v>
      </c>
      <c r="D116" s="520" t="s">
        <v>283</v>
      </c>
      <c r="E116" s="392">
        <v>0</v>
      </c>
      <c r="F116" s="520">
        <v>0</v>
      </c>
      <c r="G116" s="392">
        <v>0</v>
      </c>
      <c r="H116" s="392">
        <v>6</v>
      </c>
      <c r="I116" s="392">
        <v>117.98</v>
      </c>
      <c r="J116" s="392">
        <v>707.88</v>
      </c>
      <c r="K116" s="504">
        <f t="shared" si="4"/>
        <v>707.88</v>
      </c>
      <c r="L116" s="385">
        <f t="shared" si="5"/>
        <v>707.88</v>
      </c>
      <c r="M116" s="68">
        <f t="shared" si="6"/>
        <v>0</v>
      </c>
      <c r="N116" s="19"/>
      <c r="O116" s="69"/>
    </row>
    <row r="117" spans="1:15">
      <c r="A117" s="221"/>
      <c r="B117" s="398" t="s">
        <v>280</v>
      </c>
      <c r="C117" s="496" t="s">
        <v>269</v>
      </c>
      <c r="D117" s="520" t="s">
        <v>283</v>
      </c>
      <c r="E117" s="392">
        <v>46.37</v>
      </c>
      <c r="F117" s="520">
        <v>105.59</v>
      </c>
      <c r="G117" s="392">
        <v>4896.21</v>
      </c>
      <c r="H117" s="392">
        <v>0</v>
      </c>
      <c r="I117" s="392">
        <v>0</v>
      </c>
      <c r="J117" s="392">
        <v>0</v>
      </c>
      <c r="K117" s="504">
        <f t="shared" si="4"/>
        <v>4896.21</v>
      </c>
      <c r="L117" s="385">
        <f t="shared" si="5"/>
        <v>4896.21</v>
      </c>
      <c r="M117" s="68">
        <f t="shared" si="6"/>
        <v>0</v>
      </c>
      <c r="N117" s="19"/>
      <c r="O117" s="69"/>
    </row>
    <row r="118" spans="1:15">
      <c r="A118" s="221"/>
      <c r="B118" s="398" t="s">
        <v>280</v>
      </c>
      <c r="C118" s="496" t="s">
        <v>269</v>
      </c>
      <c r="D118" s="520" t="s">
        <v>283</v>
      </c>
      <c r="E118" s="392">
        <v>0</v>
      </c>
      <c r="F118" s="520">
        <v>0</v>
      </c>
      <c r="G118" s="392">
        <v>0</v>
      </c>
      <c r="H118" s="392">
        <v>5.93</v>
      </c>
      <c r="I118" s="392">
        <v>118.04</v>
      </c>
      <c r="J118" s="392">
        <v>699.98</v>
      </c>
      <c r="K118" s="504">
        <f t="shared" si="4"/>
        <v>699.98</v>
      </c>
      <c r="L118" s="385">
        <f t="shared" si="5"/>
        <v>699.98</v>
      </c>
      <c r="M118" s="68">
        <f t="shared" si="6"/>
        <v>0</v>
      </c>
      <c r="N118" s="19"/>
      <c r="O118" s="69"/>
    </row>
    <row r="119" spans="1:15">
      <c r="A119" s="221"/>
      <c r="B119" s="398" t="s">
        <v>280</v>
      </c>
      <c r="C119" s="496" t="s">
        <v>284</v>
      </c>
      <c r="D119" s="392" t="s">
        <v>223</v>
      </c>
      <c r="E119" s="392">
        <v>100</v>
      </c>
      <c r="F119" s="392">
        <v>105.35</v>
      </c>
      <c r="G119" s="392">
        <v>10535</v>
      </c>
      <c r="H119" s="392">
        <v>0</v>
      </c>
      <c r="I119" s="392">
        <v>0</v>
      </c>
      <c r="J119" s="392">
        <v>0</v>
      </c>
      <c r="K119" s="504">
        <f t="shared" si="4"/>
        <v>10535</v>
      </c>
      <c r="L119" s="385">
        <f t="shared" si="5"/>
        <v>10535</v>
      </c>
      <c r="M119" s="68">
        <f t="shared" si="6"/>
        <v>0</v>
      </c>
      <c r="N119" s="19"/>
      <c r="O119" s="69"/>
    </row>
    <row r="120" spans="1:15">
      <c r="A120" s="221"/>
      <c r="B120" s="398" t="s">
        <v>280</v>
      </c>
      <c r="C120" s="496" t="s">
        <v>200</v>
      </c>
      <c r="D120" s="523" t="s">
        <v>200</v>
      </c>
      <c r="E120" s="523">
        <v>47.17</v>
      </c>
      <c r="F120" s="523">
        <v>106</v>
      </c>
      <c r="G120" s="523">
        <v>5000.0200000000004</v>
      </c>
      <c r="H120" s="392">
        <v>0</v>
      </c>
      <c r="I120" s="523">
        <v>0</v>
      </c>
      <c r="J120" s="523">
        <v>0</v>
      </c>
      <c r="K120" s="504">
        <f t="shared" si="4"/>
        <v>5000.0200000000004</v>
      </c>
      <c r="L120" s="385">
        <f t="shared" si="5"/>
        <v>5000.0200000000004</v>
      </c>
      <c r="M120" s="68">
        <f t="shared" si="6"/>
        <v>0</v>
      </c>
      <c r="N120" s="19"/>
      <c r="O120" s="69"/>
    </row>
    <row r="121" spans="1:15">
      <c r="A121" s="221"/>
      <c r="B121" s="398" t="s">
        <v>280</v>
      </c>
      <c r="C121" s="496" t="s">
        <v>285</v>
      </c>
      <c r="D121" s="524" t="s">
        <v>286</v>
      </c>
      <c r="E121" s="524">
        <v>150</v>
      </c>
      <c r="F121" s="524">
        <v>105.34</v>
      </c>
      <c r="G121" s="524">
        <v>15801</v>
      </c>
      <c r="H121" s="392">
        <v>0</v>
      </c>
      <c r="I121" s="524">
        <v>0</v>
      </c>
      <c r="J121" s="524">
        <v>0</v>
      </c>
      <c r="K121" s="504">
        <f t="shared" si="4"/>
        <v>15801</v>
      </c>
      <c r="L121" s="385">
        <f t="shared" si="5"/>
        <v>15801</v>
      </c>
      <c r="M121" s="68">
        <f t="shared" si="6"/>
        <v>0</v>
      </c>
      <c r="N121" s="19"/>
      <c r="O121" s="69"/>
    </row>
    <row r="122" spans="1:15">
      <c r="A122" s="221"/>
      <c r="B122" s="398" t="s">
        <v>280</v>
      </c>
      <c r="C122" s="496" t="s">
        <v>287</v>
      </c>
      <c r="D122" s="524" t="s">
        <v>200</v>
      </c>
      <c r="E122" s="524">
        <v>47.655000000000001</v>
      </c>
      <c r="F122" s="524">
        <v>104.92</v>
      </c>
      <c r="G122" s="524">
        <v>4999.96</v>
      </c>
      <c r="H122" s="523">
        <v>0</v>
      </c>
      <c r="I122" s="524">
        <v>0</v>
      </c>
      <c r="J122" s="524">
        <v>0</v>
      </c>
      <c r="K122" s="504">
        <f t="shared" si="4"/>
        <v>4999.96</v>
      </c>
      <c r="L122" s="385">
        <f t="shared" si="5"/>
        <v>4999.96</v>
      </c>
      <c r="M122" s="68">
        <f t="shared" si="6"/>
        <v>0</v>
      </c>
      <c r="N122" s="19"/>
      <c r="O122" s="69"/>
    </row>
    <row r="123" spans="1:15">
      <c r="A123" s="221"/>
      <c r="B123" s="398" t="s">
        <v>280</v>
      </c>
      <c r="C123" s="496" t="s">
        <v>276</v>
      </c>
      <c r="D123" s="524" t="s">
        <v>200</v>
      </c>
      <c r="E123" s="524">
        <v>20</v>
      </c>
      <c r="F123" s="524">
        <v>105.46</v>
      </c>
      <c r="G123" s="524">
        <v>2109.1999999999998</v>
      </c>
      <c r="H123" s="524">
        <v>0</v>
      </c>
      <c r="I123" s="524">
        <v>0</v>
      </c>
      <c r="J123" s="524">
        <v>0</v>
      </c>
      <c r="K123" s="504">
        <f t="shared" si="4"/>
        <v>2109.1999999999998</v>
      </c>
      <c r="L123" s="385">
        <f t="shared" si="5"/>
        <v>2109.1999999999998</v>
      </c>
      <c r="M123" s="68">
        <f t="shared" si="6"/>
        <v>0</v>
      </c>
      <c r="N123" s="19"/>
      <c r="O123" s="69"/>
    </row>
    <row r="124" spans="1:15">
      <c r="A124" s="221"/>
      <c r="B124" s="528" t="s">
        <v>280</v>
      </c>
      <c r="C124" s="529" t="s">
        <v>288</v>
      </c>
      <c r="D124" s="524" t="s">
        <v>200</v>
      </c>
      <c r="E124" s="524">
        <v>0</v>
      </c>
      <c r="F124" s="524">
        <v>0</v>
      </c>
      <c r="G124" s="524">
        <v>0</v>
      </c>
      <c r="H124" s="524">
        <v>5</v>
      </c>
      <c r="I124" s="524">
        <v>117.75</v>
      </c>
      <c r="J124" s="524">
        <v>588.75</v>
      </c>
      <c r="K124" s="504">
        <f t="shared" si="4"/>
        <v>588.75</v>
      </c>
      <c r="L124" s="385">
        <f t="shared" si="5"/>
        <v>588.75</v>
      </c>
      <c r="M124" s="68">
        <f t="shared" si="6"/>
        <v>0</v>
      </c>
      <c r="N124" s="19"/>
      <c r="O124" s="69"/>
    </row>
    <row r="125" spans="1:15">
      <c r="A125" s="221"/>
      <c r="B125" s="398">
        <v>46192</v>
      </c>
      <c r="C125" s="527" t="s">
        <v>276</v>
      </c>
      <c r="D125" s="527" t="s">
        <v>277</v>
      </c>
      <c r="E125" s="104">
        <v>30</v>
      </c>
      <c r="F125" s="104">
        <v>105.46</v>
      </c>
      <c r="G125" s="104">
        <v>3163.8</v>
      </c>
      <c r="H125" s="104">
        <v>0</v>
      </c>
      <c r="I125" s="104">
        <v>0</v>
      </c>
      <c r="J125" s="104">
        <v>0</v>
      </c>
      <c r="K125" s="504">
        <f t="shared" si="4"/>
        <v>3163.8</v>
      </c>
      <c r="L125" s="385">
        <f t="shared" si="5"/>
        <v>3163.8</v>
      </c>
      <c r="M125" s="68">
        <f t="shared" si="6"/>
        <v>0</v>
      </c>
      <c r="N125" s="19"/>
      <c r="O125" s="69"/>
    </row>
    <row r="126" spans="1:15">
      <c r="A126" s="221"/>
      <c r="B126" s="398">
        <v>46192</v>
      </c>
      <c r="C126" s="527" t="s">
        <v>289</v>
      </c>
      <c r="D126" s="104" t="s">
        <v>290</v>
      </c>
      <c r="E126" s="104">
        <v>0</v>
      </c>
      <c r="F126" s="104">
        <v>0</v>
      </c>
      <c r="G126" s="104">
        <v>0</v>
      </c>
      <c r="H126" s="104">
        <v>6</v>
      </c>
      <c r="I126" s="104">
        <v>117.24</v>
      </c>
      <c r="J126" s="104">
        <v>703.44</v>
      </c>
      <c r="K126" s="504">
        <f t="shared" si="4"/>
        <v>703.44</v>
      </c>
      <c r="L126" s="385">
        <f t="shared" si="5"/>
        <v>703.44</v>
      </c>
      <c r="M126" s="68">
        <f t="shared" si="6"/>
        <v>0</v>
      </c>
      <c r="N126" s="19"/>
      <c r="O126" s="69"/>
    </row>
    <row r="127" spans="1:15">
      <c r="A127" s="221"/>
      <c r="B127" s="398">
        <v>46192</v>
      </c>
      <c r="C127" s="527" t="s">
        <v>289</v>
      </c>
      <c r="D127" s="104" t="s">
        <v>290</v>
      </c>
      <c r="E127" s="104">
        <v>20</v>
      </c>
      <c r="F127" s="104">
        <v>104.93</v>
      </c>
      <c r="G127" s="104">
        <v>2098.6</v>
      </c>
      <c r="H127" s="104">
        <v>0</v>
      </c>
      <c r="I127" s="104">
        <v>0</v>
      </c>
      <c r="J127" s="104">
        <v>0</v>
      </c>
      <c r="K127" s="504">
        <f t="shared" si="4"/>
        <v>2098.6</v>
      </c>
      <c r="L127" s="385">
        <f t="shared" si="5"/>
        <v>2098.6</v>
      </c>
      <c r="M127" s="68">
        <f t="shared" si="6"/>
        <v>0</v>
      </c>
      <c r="N127" s="19"/>
      <c r="O127" s="69"/>
    </row>
    <row r="128" spans="1:15">
      <c r="A128" s="221"/>
      <c r="B128" s="398">
        <v>46192</v>
      </c>
      <c r="C128" s="527" t="s">
        <v>202</v>
      </c>
      <c r="D128" s="104" t="s">
        <v>203</v>
      </c>
      <c r="E128" s="104">
        <v>0</v>
      </c>
      <c r="F128" s="104">
        <v>0</v>
      </c>
      <c r="G128" s="104">
        <v>0</v>
      </c>
      <c r="H128" s="104">
        <v>5</v>
      </c>
      <c r="I128" s="104">
        <v>117.58</v>
      </c>
      <c r="J128" s="104">
        <v>587.9</v>
      </c>
      <c r="K128" s="504">
        <f t="shared" si="4"/>
        <v>587.9</v>
      </c>
      <c r="L128" s="385">
        <f t="shared" si="5"/>
        <v>587.9</v>
      </c>
      <c r="M128" s="68">
        <f t="shared" si="6"/>
        <v>0</v>
      </c>
      <c r="N128" s="19"/>
      <c r="O128" s="69"/>
    </row>
    <row r="129" spans="1:15">
      <c r="A129" s="221"/>
      <c r="B129" s="398">
        <v>46192</v>
      </c>
      <c r="C129" s="527" t="s">
        <v>269</v>
      </c>
      <c r="D129" s="527" t="s">
        <v>90</v>
      </c>
      <c r="E129" s="104">
        <v>51.51</v>
      </c>
      <c r="F129" s="104">
        <v>105.59</v>
      </c>
      <c r="G129" s="104">
        <v>5438.94</v>
      </c>
      <c r="H129" s="104">
        <v>0</v>
      </c>
      <c r="I129" s="104">
        <v>0</v>
      </c>
      <c r="J129" s="104">
        <v>0</v>
      </c>
      <c r="K129" s="504">
        <f t="shared" si="4"/>
        <v>5438.94</v>
      </c>
      <c r="L129" s="385">
        <f t="shared" si="5"/>
        <v>5438.94</v>
      </c>
      <c r="M129" s="68">
        <f t="shared" si="6"/>
        <v>0</v>
      </c>
      <c r="N129" s="19"/>
      <c r="O129" s="69"/>
    </row>
    <row r="130" spans="1:15">
      <c r="A130" s="221"/>
      <c r="B130" s="398">
        <v>46192</v>
      </c>
      <c r="C130" s="527" t="s">
        <v>202</v>
      </c>
      <c r="D130" s="104" t="s">
        <v>203</v>
      </c>
      <c r="E130" s="104">
        <v>200</v>
      </c>
      <c r="F130" s="104">
        <v>105.21</v>
      </c>
      <c r="G130" s="104">
        <v>21042</v>
      </c>
      <c r="H130" s="104">
        <v>0</v>
      </c>
      <c r="I130" s="104">
        <v>0</v>
      </c>
      <c r="J130" s="104">
        <v>0</v>
      </c>
      <c r="K130" s="504">
        <f t="shared" si="4"/>
        <v>21042</v>
      </c>
      <c r="L130" s="385">
        <f t="shared" si="5"/>
        <v>21042</v>
      </c>
      <c r="M130" s="68">
        <f t="shared" si="6"/>
        <v>0</v>
      </c>
      <c r="N130" s="19"/>
      <c r="O130" s="69"/>
    </row>
    <row r="131" spans="1:15">
      <c r="A131" s="221"/>
      <c r="B131" s="398">
        <v>46192</v>
      </c>
      <c r="C131" s="527" t="s">
        <v>273</v>
      </c>
      <c r="D131" s="527" t="s">
        <v>216</v>
      </c>
      <c r="E131" s="527">
        <v>38.92</v>
      </c>
      <c r="F131" s="104">
        <v>105.29</v>
      </c>
      <c r="G131" s="104">
        <v>4097.8900000000003</v>
      </c>
      <c r="H131" s="104">
        <v>0</v>
      </c>
      <c r="I131" s="104">
        <v>0</v>
      </c>
      <c r="J131" s="104">
        <v>0</v>
      </c>
      <c r="K131" s="504">
        <f t="shared" si="4"/>
        <v>4097.8900000000003</v>
      </c>
      <c r="L131" s="385">
        <f t="shared" si="5"/>
        <v>4097.8900000000003</v>
      </c>
      <c r="M131" s="68">
        <f t="shared" si="6"/>
        <v>0</v>
      </c>
      <c r="N131" s="19"/>
      <c r="O131" s="69"/>
    </row>
    <row r="132" spans="1:15">
      <c r="A132" s="221"/>
      <c r="B132" s="398">
        <v>46192</v>
      </c>
      <c r="C132" s="527" t="s">
        <v>269</v>
      </c>
      <c r="D132" s="527" t="s">
        <v>90</v>
      </c>
      <c r="E132" s="104">
        <v>35</v>
      </c>
      <c r="F132" s="104">
        <v>105.59</v>
      </c>
      <c r="G132" s="104">
        <v>3695.65</v>
      </c>
      <c r="H132" s="104">
        <v>0</v>
      </c>
      <c r="I132" s="104">
        <v>0</v>
      </c>
      <c r="J132" s="104">
        <v>0</v>
      </c>
      <c r="K132" s="504">
        <f t="shared" si="4"/>
        <v>3695.65</v>
      </c>
      <c r="L132" s="385">
        <f t="shared" si="5"/>
        <v>3695.65</v>
      </c>
      <c r="M132" s="68">
        <f t="shared" si="6"/>
        <v>0</v>
      </c>
      <c r="N132" s="19"/>
      <c r="O132" s="69"/>
    </row>
    <row r="133" spans="1:15">
      <c r="A133" s="221"/>
      <c r="B133" s="398">
        <v>46192</v>
      </c>
      <c r="C133" s="527" t="s">
        <v>269</v>
      </c>
      <c r="D133" s="527" t="s">
        <v>90</v>
      </c>
      <c r="E133" s="104">
        <v>0</v>
      </c>
      <c r="F133" s="104">
        <v>0</v>
      </c>
      <c r="G133" s="104">
        <v>0</v>
      </c>
      <c r="H133" s="104">
        <v>6</v>
      </c>
      <c r="I133" s="104">
        <v>117.98</v>
      </c>
      <c r="J133" s="104">
        <v>707.88</v>
      </c>
      <c r="K133" s="504">
        <f t="shared" ref="K133:K171" si="7">G133+J133</f>
        <v>707.88</v>
      </c>
      <c r="L133" s="385">
        <f t="shared" ref="L133:L196" si="8">+K133</f>
        <v>707.88</v>
      </c>
      <c r="M133" s="68">
        <f t="shared" ref="M133:M196" si="9">+M132+K133-L133</f>
        <v>0</v>
      </c>
      <c r="N133" s="19"/>
      <c r="O133" s="69"/>
    </row>
    <row r="134" spans="1:15">
      <c r="A134" s="221"/>
      <c r="B134" s="398">
        <v>46192</v>
      </c>
      <c r="C134" s="527" t="s">
        <v>276</v>
      </c>
      <c r="D134" s="527" t="s">
        <v>277</v>
      </c>
      <c r="E134" s="104">
        <v>10</v>
      </c>
      <c r="F134" s="104">
        <v>105.46</v>
      </c>
      <c r="G134" s="104">
        <v>1054.5999999999999</v>
      </c>
      <c r="H134" s="104">
        <v>0</v>
      </c>
      <c r="I134" s="104">
        <v>0</v>
      </c>
      <c r="J134" s="104">
        <v>0</v>
      </c>
      <c r="K134" s="504">
        <f t="shared" si="7"/>
        <v>1054.5999999999999</v>
      </c>
      <c r="L134" s="385">
        <f t="shared" si="8"/>
        <v>1054.5999999999999</v>
      </c>
      <c r="M134" s="68">
        <f t="shared" si="9"/>
        <v>0</v>
      </c>
      <c r="N134" s="19"/>
      <c r="O134" s="69"/>
    </row>
    <row r="135" spans="1:15">
      <c r="A135" s="221"/>
      <c r="B135" s="398">
        <v>46192</v>
      </c>
      <c r="C135" s="527" t="s">
        <v>284</v>
      </c>
      <c r="D135" s="104" t="s">
        <v>223</v>
      </c>
      <c r="E135" s="104">
        <v>50</v>
      </c>
      <c r="F135" s="104">
        <v>105.35</v>
      </c>
      <c r="G135" s="104">
        <v>5267.5</v>
      </c>
      <c r="H135" s="104">
        <v>0</v>
      </c>
      <c r="I135" s="104">
        <v>0</v>
      </c>
      <c r="J135" s="104">
        <v>0</v>
      </c>
      <c r="K135" s="504">
        <f t="shared" si="7"/>
        <v>5267.5</v>
      </c>
      <c r="L135" s="385">
        <f t="shared" si="8"/>
        <v>5267.5</v>
      </c>
      <c r="M135" s="68">
        <f t="shared" si="9"/>
        <v>0</v>
      </c>
      <c r="N135" s="19"/>
      <c r="O135" s="69"/>
    </row>
    <row r="136" spans="1:15">
      <c r="A136" s="221"/>
      <c r="B136" s="398">
        <v>46192</v>
      </c>
      <c r="C136" s="527" t="s">
        <v>291</v>
      </c>
      <c r="D136" s="104" t="s">
        <v>268</v>
      </c>
      <c r="E136" s="104">
        <v>9.5500000000000007</v>
      </c>
      <c r="F136" s="104">
        <v>104.68</v>
      </c>
      <c r="G136" s="104">
        <v>999.69</v>
      </c>
      <c r="H136" s="104">
        <v>0</v>
      </c>
      <c r="I136" s="104">
        <v>0</v>
      </c>
      <c r="J136" s="104">
        <v>0</v>
      </c>
      <c r="K136" s="504">
        <f t="shared" si="7"/>
        <v>999.69</v>
      </c>
      <c r="L136" s="385">
        <f t="shared" si="8"/>
        <v>999.69</v>
      </c>
      <c r="M136" s="68">
        <f t="shared" si="9"/>
        <v>0</v>
      </c>
      <c r="N136" s="19"/>
      <c r="O136" s="69"/>
    </row>
    <row r="137" spans="1:15">
      <c r="A137" s="221"/>
      <c r="B137" s="398">
        <v>46192</v>
      </c>
      <c r="C137" s="527" t="s">
        <v>291</v>
      </c>
      <c r="D137" s="104" t="s">
        <v>268</v>
      </c>
      <c r="E137" s="104">
        <v>0</v>
      </c>
      <c r="F137" s="104">
        <v>0</v>
      </c>
      <c r="G137" s="104">
        <v>0</v>
      </c>
      <c r="H137" s="104">
        <v>8.5500000000000007</v>
      </c>
      <c r="I137" s="104">
        <v>116.96</v>
      </c>
      <c r="J137" s="104">
        <v>1000.01</v>
      </c>
      <c r="K137" s="504">
        <f t="shared" si="7"/>
        <v>1000.01</v>
      </c>
      <c r="L137" s="385">
        <f t="shared" si="8"/>
        <v>1000.01</v>
      </c>
      <c r="M137" s="68">
        <f t="shared" si="9"/>
        <v>0</v>
      </c>
      <c r="N137" s="19"/>
      <c r="O137" s="69"/>
    </row>
    <row r="138" spans="1:15">
      <c r="A138" s="221"/>
      <c r="B138" s="398">
        <v>46193</v>
      </c>
      <c r="C138" s="527" t="s">
        <v>292</v>
      </c>
      <c r="D138" s="104" t="s">
        <v>200</v>
      </c>
      <c r="E138" s="527">
        <v>200</v>
      </c>
      <c r="F138" s="527">
        <v>103.51</v>
      </c>
      <c r="G138" s="104">
        <v>20702</v>
      </c>
      <c r="H138" s="104">
        <v>0</v>
      </c>
      <c r="I138" s="104">
        <v>0</v>
      </c>
      <c r="J138" s="104">
        <v>0</v>
      </c>
      <c r="K138" s="504">
        <f t="shared" si="7"/>
        <v>20702</v>
      </c>
      <c r="L138" s="385">
        <f t="shared" si="8"/>
        <v>20702</v>
      </c>
      <c r="M138" s="68">
        <f t="shared" si="9"/>
        <v>0</v>
      </c>
      <c r="N138" s="19"/>
      <c r="O138" s="69"/>
    </row>
    <row r="139" spans="1:15">
      <c r="A139" s="221"/>
      <c r="B139" s="398">
        <v>46193</v>
      </c>
      <c r="C139" s="527" t="s">
        <v>287</v>
      </c>
      <c r="D139" s="104" t="s">
        <v>246</v>
      </c>
      <c r="E139" s="527">
        <v>40</v>
      </c>
      <c r="F139" s="527">
        <v>104.92</v>
      </c>
      <c r="G139" s="104">
        <v>4196.8</v>
      </c>
      <c r="H139" s="104">
        <v>0</v>
      </c>
      <c r="I139" s="104">
        <v>0</v>
      </c>
      <c r="J139" s="104">
        <v>0</v>
      </c>
      <c r="K139" s="504">
        <f t="shared" si="7"/>
        <v>4196.8</v>
      </c>
      <c r="L139" s="385">
        <f t="shared" si="8"/>
        <v>4196.8</v>
      </c>
      <c r="M139" s="68">
        <f t="shared" si="9"/>
        <v>0</v>
      </c>
      <c r="N139" s="19"/>
      <c r="O139" s="69"/>
    </row>
    <row r="140" spans="1:15">
      <c r="A140" s="221"/>
      <c r="B140" s="398">
        <v>46193</v>
      </c>
      <c r="C140" s="527" t="s">
        <v>287</v>
      </c>
      <c r="D140" s="104" t="s">
        <v>246</v>
      </c>
      <c r="E140" s="527">
        <v>49.808999999999997</v>
      </c>
      <c r="F140" s="527">
        <v>104.92</v>
      </c>
      <c r="G140" s="104">
        <v>5225.96</v>
      </c>
      <c r="H140" s="104">
        <v>0</v>
      </c>
      <c r="I140" s="104">
        <v>0</v>
      </c>
      <c r="J140" s="104">
        <v>0</v>
      </c>
      <c r="K140" s="504">
        <f t="shared" si="7"/>
        <v>5225.96</v>
      </c>
      <c r="L140" s="385">
        <f t="shared" si="8"/>
        <v>5225.96</v>
      </c>
      <c r="M140" s="68">
        <f t="shared" si="9"/>
        <v>0</v>
      </c>
      <c r="N140" s="19"/>
      <c r="O140" s="69"/>
    </row>
    <row r="141" spans="1:15">
      <c r="A141" s="221"/>
      <c r="B141" s="398">
        <v>46193</v>
      </c>
      <c r="C141" s="527" t="s">
        <v>293</v>
      </c>
      <c r="D141" s="104" t="s">
        <v>283</v>
      </c>
      <c r="E141" s="527">
        <v>50</v>
      </c>
      <c r="F141" s="527">
        <v>105.59</v>
      </c>
      <c r="G141" s="104">
        <v>5279.5</v>
      </c>
      <c r="H141" s="104">
        <v>0</v>
      </c>
      <c r="I141" s="104">
        <v>0</v>
      </c>
      <c r="J141" s="104">
        <v>0</v>
      </c>
      <c r="K141" s="504">
        <f t="shared" si="7"/>
        <v>5279.5</v>
      </c>
      <c r="L141" s="385">
        <f t="shared" si="8"/>
        <v>5279.5</v>
      </c>
      <c r="M141" s="68">
        <f t="shared" si="9"/>
        <v>0</v>
      </c>
      <c r="N141" s="19"/>
      <c r="O141" s="69"/>
    </row>
    <row r="142" spans="1:15">
      <c r="A142" s="221"/>
      <c r="B142" s="398">
        <v>46193</v>
      </c>
      <c r="C142" s="527" t="s">
        <v>261</v>
      </c>
      <c r="D142" s="104" t="s">
        <v>238</v>
      </c>
      <c r="E142" s="527">
        <v>170</v>
      </c>
      <c r="F142" s="527">
        <v>105.21</v>
      </c>
      <c r="G142" s="104">
        <v>17885.7</v>
      </c>
      <c r="H142" s="104">
        <v>0</v>
      </c>
      <c r="I142" s="104">
        <v>0</v>
      </c>
      <c r="J142" s="104">
        <v>0</v>
      </c>
      <c r="K142" s="504">
        <f t="shared" si="7"/>
        <v>17885.7</v>
      </c>
      <c r="L142" s="385">
        <f t="shared" si="8"/>
        <v>17885.7</v>
      </c>
      <c r="M142" s="68">
        <f t="shared" si="9"/>
        <v>0</v>
      </c>
      <c r="N142" s="19"/>
      <c r="O142" s="69"/>
    </row>
    <row r="143" spans="1:15">
      <c r="A143" s="221"/>
      <c r="B143" s="398">
        <v>46193</v>
      </c>
      <c r="C143" s="527" t="s">
        <v>294</v>
      </c>
      <c r="D143" s="104" t="s">
        <v>223</v>
      </c>
      <c r="E143" s="527" t="s">
        <v>295</v>
      </c>
      <c r="F143" s="527" t="s">
        <v>296</v>
      </c>
      <c r="G143" s="104">
        <v>0</v>
      </c>
      <c r="H143" s="104">
        <v>7</v>
      </c>
      <c r="I143" s="104">
        <v>117.72</v>
      </c>
      <c r="J143" s="104">
        <v>824.04</v>
      </c>
      <c r="K143" s="504">
        <f t="shared" si="7"/>
        <v>824.04</v>
      </c>
      <c r="L143" s="385">
        <f t="shared" si="8"/>
        <v>824.04</v>
      </c>
      <c r="M143" s="68">
        <f t="shared" si="9"/>
        <v>0</v>
      </c>
      <c r="N143" s="19"/>
      <c r="O143" s="69"/>
    </row>
    <row r="144" spans="1:15">
      <c r="A144" s="221"/>
      <c r="B144" s="398">
        <v>46193</v>
      </c>
      <c r="C144" s="527" t="s">
        <v>276</v>
      </c>
      <c r="D144" s="527" t="s">
        <v>277</v>
      </c>
      <c r="E144" s="527">
        <v>15</v>
      </c>
      <c r="F144" s="527">
        <v>105.46</v>
      </c>
      <c r="G144" s="104">
        <v>1581.9</v>
      </c>
      <c r="H144" s="104">
        <v>0</v>
      </c>
      <c r="I144" s="104">
        <v>0</v>
      </c>
      <c r="J144" s="104">
        <v>0</v>
      </c>
      <c r="K144" s="504">
        <f t="shared" si="7"/>
        <v>1581.9</v>
      </c>
      <c r="L144" s="385">
        <f t="shared" si="8"/>
        <v>1581.9</v>
      </c>
      <c r="M144" s="68">
        <f t="shared" si="9"/>
        <v>0</v>
      </c>
      <c r="N144" s="19"/>
      <c r="O144" s="69"/>
    </row>
    <row r="145" spans="1:15">
      <c r="A145" s="221"/>
      <c r="B145" s="398">
        <v>46194</v>
      </c>
      <c r="C145" s="527" t="s">
        <v>276</v>
      </c>
      <c r="D145" s="527" t="s">
        <v>277</v>
      </c>
      <c r="E145" s="527">
        <v>25</v>
      </c>
      <c r="F145" s="527">
        <v>105.46</v>
      </c>
      <c r="G145" s="104">
        <v>2636.5</v>
      </c>
      <c r="H145" s="104">
        <v>0</v>
      </c>
      <c r="I145" s="104">
        <v>0</v>
      </c>
      <c r="J145" s="104">
        <v>0</v>
      </c>
      <c r="K145" s="504">
        <f t="shared" si="7"/>
        <v>2636.5</v>
      </c>
      <c r="L145" s="385">
        <f t="shared" si="8"/>
        <v>2636.5</v>
      </c>
      <c r="M145" s="68">
        <f t="shared" si="9"/>
        <v>0</v>
      </c>
      <c r="N145" s="19"/>
      <c r="O145" s="69"/>
    </row>
    <row r="146" spans="1:15">
      <c r="A146" s="221"/>
      <c r="B146" s="398">
        <v>46194</v>
      </c>
      <c r="C146" s="527" t="s">
        <v>297</v>
      </c>
      <c r="D146" s="527" t="s">
        <v>298</v>
      </c>
      <c r="E146" s="527" t="s">
        <v>295</v>
      </c>
      <c r="F146" s="527" t="s">
        <v>296</v>
      </c>
      <c r="G146" s="104">
        <v>0</v>
      </c>
      <c r="H146" s="104">
        <v>5</v>
      </c>
      <c r="I146" s="104">
        <v>117.75</v>
      </c>
      <c r="J146" s="104">
        <v>588.75</v>
      </c>
      <c r="K146" s="504">
        <f t="shared" si="7"/>
        <v>588.75</v>
      </c>
      <c r="L146" s="385">
        <f t="shared" si="8"/>
        <v>588.75</v>
      </c>
      <c r="M146" s="68">
        <f t="shared" si="9"/>
        <v>0</v>
      </c>
      <c r="N146" s="19"/>
      <c r="O146" s="69"/>
    </row>
    <row r="147" spans="1:15">
      <c r="A147" s="221"/>
      <c r="B147" s="398">
        <v>46194</v>
      </c>
      <c r="C147" s="527" t="s">
        <v>269</v>
      </c>
      <c r="D147" s="527" t="s">
        <v>90</v>
      </c>
      <c r="E147" s="527">
        <v>49.7</v>
      </c>
      <c r="F147" s="527">
        <v>105.59</v>
      </c>
      <c r="G147" s="104">
        <v>5247.82</v>
      </c>
      <c r="H147" s="104">
        <v>0</v>
      </c>
      <c r="I147" s="104">
        <v>0</v>
      </c>
      <c r="J147" s="104">
        <v>0</v>
      </c>
      <c r="K147" s="504">
        <f t="shared" si="7"/>
        <v>5247.82</v>
      </c>
      <c r="L147" s="385">
        <f t="shared" si="8"/>
        <v>5247.82</v>
      </c>
      <c r="M147" s="68">
        <f t="shared" si="9"/>
        <v>0</v>
      </c>
      <c r="N147" s="19"/>
      <c r="O147" s="69"/>
    </row>
    <row r="148" spans="1:15">
      <c r="A148" s="221"/>
      <c r="B148" s="398">
        <v>46194</v>
      </c>
      <c r="C148" s="527" t="s">
        <v>269</v>
      </c>
      <c r="D148" s="527" t="s">
        <v>90</v>
      </c>
      <c r="E148" s="527" t="s">
        <v>295</v>
      </c>
      <c r="F148" s="527" t="s">
        <v>296</v>
      </c>
      <c r="G148" s="104">
        <v>0</v>
      </c>
      <c r="H148" s="104">
        <v>2</v>
      </c>
      <c r="I148" s="104">
        <v>117.98</v>
      </c>
      <c r="J148" s="104">
        <v>235.96</v>
      </c>
      <c r="K148" s="504">
        <f t="shared" si="7"/>
        <v>235.96</v>
      </c>
      <c r="L148" s="385">
        <f t="shared" si="8"/>
        <v>235.96</v>
      </c>
      <c r="M148" s="68">
        <f t="shared" si="9"/>
        <v>0</v>
      </c>
      <c r="N148" s="19"/>
      <c r="O148" s="69"/>
    </row>
    <row r="149" spans="1:15">
      <c r="A149" s="221"/>
      <c r="B149" s="398">
        <v>46194</v>
      </c>
      <c r="C149" s="527" t="s">
        <v>299</v>
      </c>
      <c r="D149" s="527" t="s">
        <v>200</v>
      </c>
      <c r="E149" s="527">
        <v>35</v>
      </c>
      <c r="F149" s="527">
        <v>104.76</v>
      </c>
      <c r="G149" s="104">
        <v>3666.5</v>
      </c>
      <c r="H149" s="104">
        <v>0</v>
      </c>
      <c r="I149" s="104">
        <v>0</v>
      </c>
      <c r="J149" s="104">
        <v>0</v>
      </c>
      <c r="K149" s="504">
        <f t="shared" si="7"/>
        <v>3666.5</v>
      </c>
      <c r="L149" s="385">
        <f t="shared" si="8"/>
        <v>3666.5</v>
      </c>
      <c r="M149" s="68">
        <f t="shared" si="9"/>
        <v>0</v>
      </c>
      <c r="N149" s="19"/>
      <c r="O149" s="69"/>
    </row>
    <row r="150" spans="1:15">
      <c r="A150" s="221"/>
      <c r="B150" s="398">
        <v>46195</v>
      </c>
      <c r="C150" s="495" t="s">
        <v>269</v>
      </c>
      <c r="D150" s="531" t="s">
        <v>283</v>
      </c>
      <c r="E150" s="524">
        <v>0</v>
      </c>
      <c r="F150" s="524">
        <v>0</v>
      </c>
      <c r="G150" s="524">
        <v>0</v>
      </c>
      <c r="H150" s="524">
        <v>5</v>
      </c>
      <c r="I150" s="524">
        <v>117.98</v>
      </c>
      <c r="J150" s="524">
        <v>589.9</v>
      </c>
      <c r="K150" s="504">
        <f t="shared" si="7"/>
        <v>589.9</v>
      </c>
      <c r="L150" s="385">
        <f t="shared" si="8"/>
        <v>589.9</v>
      </c>
      <c r="M150" s="68">
        <f t="shared" si="9"/>
        <v>0</v>
      </c>
      <c r="N150" s="19"/>
      <c r="O150" s="69"/>
    </row>
    <row r="151" spans="1:15">
      <c r="A151" s="221"/>
      <c r="B151" s="398">
        <v>46195</v>
      </c>
      <c r="C151" s="496" t="s">
        <v>300</v>
      </c>
      <c r="D151" s="531" t="s">
        <v>90</v>
      </c>
      <c r="E151" s="531">
        <v>60</v>
      </c>
      <c r="F151" s="531">
        <v>105.21</v>
      </c>
      <c r="G151" s="524">
        <v>6312.6</v>
      </c>
      <c r="H151" s="524">
        <v>0</v>
      </c>
      <c r="I151" s="524">
        <v>0</v>
      </c>
      <c r="J151" s="524">
        <v>0</v>
      </c>
      <c r="K151" s="504">
        <f t="shared" si="7"/>
        <v>6312.6</v>
      </c>
      <c r="L151" s="385">
        <f t="shared" si="8"/>
        <v>6312.6</v>
      </c>
      <c r="M151" s="68">
        <f t="shared" si="9"/>
        <v>0</v>
      </c>
      <c r="N151" s="19"/>
      <c r="O151" s="69"/>
    </row>
    <row r="152" spans="1:15">
      <c r="A152" s="221"/>
      <c r="B152" s="398">
        <v>46195</v>
      </c>
      <c r="C152" s="496" t="s">
        <v>276</v>
      </c>
      <c r="D152" s="531" t="s">
        <v>301</v>
      </c>
      <c r="E152" s="531">
        <v>30</v>
      </c>
      <c r="F152" s="531">
        <v>105.46</v>
      </c>
      <c r="G152" s="524">
        <v>3163.8</v>
      </c>
      <c r="H152" s="524">
        <v>0</v>
      </c>
      <c r="I152" s="524">
        <v>0</v>
      </c>
      <c r="J152" s="524">
        <v>0</v>
      </c>
      <c r="K152" s="504">
        <f t="shared" si="7"/>
        <v>3163.8</v>
      </c>
      <c r="L152" s="385">
        <f t="shared" si="8"/>
        <v>3163.8</v>
      </c>
      <c r="M152" s="68">
        <f t="shared" si="9"/>
        <v>0</v>
      </c>
      <c r="N152" s="19"/>
      <c r="O152" s="69"/>
    </row>
    <row r="153" spans="1:15">
      <c r="A153" s="221"/>
      <c r="B153" s="398">
        <v>46195</v>
      </c>
      <c r="C153" s="496" t="s">
        <v>302</v>
      </c>
      <c r="D153" s="531" t="s">
        <v>218</v>
      </c>
      <c r="E153" s="524">
        <v>0</v>
      </c>
      <c r="F153" s="524">
        <v>0</v>
      </c>
      <c r="G153" s="524">
        <v>0</v>
      </c>
      <c r="H153" s="524">
        <v>10</v>
      </c>
      <c r="I153" s="524">
        <v>116.96</v>
      </c>
      <c r="J153" s="524">
        <v>1169.5999999999999</v>
      </c>
      <c r="K153" s="504">
        <f t="shared" si="7"/>
        <v>1169.5999999999999</v>
      </c>
      <c r="L153" s="385">
        <f t="shared" si="8"/>
        <v>1169.5999999999999</v>
      </c>
      <c r="M153" s="68">
        <f t="shared" si="9"/>
        <v>0</v>
      </c>
      <c r="N153" s="19"/>
      <c r="O153" s="69"/>
    </row>
    <row r="154" spans="1:15">
      <c r="A154" s="221"/>
      <c r="B154" s="398">
        <v>46195</v>
      </c>
      <c r="C154" s="496" t="s">
        <v>302</v>
      </c>
      <c r="D154" s="531" t="s">
        <v>218</v>
      </c>
      <c r="E154" s="531">
        <v>10</v>
      </c>
      <c r="F154" s="531">
        <v>104.68</v>
      </c>
      <c r="G154" s="524">
        <v>1046.8</v>
      </c>
      <c r="H154" s="524">
        <v>0</v>
      </c>
      <c r="I154" s="524">
        <v>0</v>
      </c>
      <c r="J154" s="524">
        <v>0</v>
      </c>
      <c r="K154" s="504">
        <f t="shared" si="7"/>
        <v>1046.8</v>
      </c>
      <c r="L154" s="385">
        <f t="shared" si="8"/>
        <v>1046.8</v>
      </c>
      <c r="M154" s="68">
        <f t="shared" si="9"/>
        <v>0</v>
      </c>
      <c r="N154" s="19"/>
      <c r="O154" s="69"/>
    </row>
    <row r="155" spans="1:15">
      <c r="A155" s="221"/>
      <c r="B155" s="398">
        <v>46195</v>
      </c>
      <c r="C155" s="496" t="s">
        <v>276</v>
      </c>
      <c r="D155" s="531" t="s">
        <v>301</v>
      </c>
      <c r="E155" s="531">
        <v>20</v>
      </c>
      <c r="F155" s="531">
        <v>105.46</v>
      </c>
      <c r="G155" s="524">
        <v>2109.1999999999998</v>
      </c>
      <c r="H155" s="524">
        <v>0</v>
      </c>
      <c r="I155" s="524">
        <v>0</v>
      </c>
      <c r="J155" s="524">
        <v>0</v>
      </c>
      <c r="K155" s="504">
        <f t="shared" si="7"/>
        <v>2109.1999999999998</v>
      </c>
      <c r="L155" s="385">
        <f t="shared" si="8"/>
        <v>2109.1999999999998</v>
      </c>
      <c r="M155" s="68">
        <f t="shared" si="9"/>
        <v>0</v>
      </c>
      <c r="N155" s="19"/>
      <c r="O155" s="69"/>
    </row>
    <row r="156" spans="1:15">
      <c r="A156" s="221"/>
      <c r="B156" s="398">
        <v>46195</v>
      </c>
      <c r="C156" s="496" t="s">
        <v>303</v>
      </c>
      <c r="D156" s="531" t="s">
        <v>90</v>
      </c>
      <c r="E156" s="524">
        <v>0</v>
      </c>
      <c r="F156" s="524">
        <v>0</v>
      </c>
      <c r="G156" s="524">
        <v>0</v>
      </c>
      <c r="H156" s="524">
        <v>5</v>
      </c>
      <c r="I156" s="524">
        <v>117.58</v>
      </c>
      <c r="J156" s="524">
        <v>587.9</v>
      </c>
      <c r="K156" s="504">
        <f t="shared" si="7"/>
        <v>587.9</v>
      </c>
      <c r="L156" s="385">
        <f t="shared" si="8"/>
        <v>587.9</v>
      </c>
      <c r="M156" s="68">
        <f t="shared" si="9"/>
        <v>0</v>
      </c>
      <c r="N156" s="19"/>
      <c r="O156" s="69"/>
    </row>
    <row r="157" spans="1:15">
      <c r="A157" s="221"/>
      <c r="B157" s="398">
        <v>46195</v>
      </c>
      <c r="C157" s="496" t="s">
        <v>281</v>
      </c>
      <c r="D157" s="531" t="s">
        <v>218</v>
      </c>
      <c r="E157" s="524">
        <v>0</v>
      </c>
      <c r="F157" s="524">
        <v>0</v>
      </c>
      <c r="G157" s="524">
        <v>0</v>
      </c>
      <c r="H157" s="524">
        <v>5</v>
      </c>
      <c r="I157" s="524">
        <v>116.99</v>
      </c>
      <c r="J157" s="524">
        <v>584.95000000000005</v>
      </c>
      <c r="K157" s="504">
        <f t="shared" si="7"/>
        <v>584.95000000000005</v>
      </c>
      <c r="L157" s="385">
        <f t="shared" si="8"/>
        <v>584.95000000000005</v>
      </c>
      <c r="M157" s="68">
        <f t="shared" si="9"/>
        <v>0</v>
      </c>
      <c r="N157" s="19"/>
      <c r="O157" s="69"/>
    </row>
    <row r="158" spans="1:15">
      <c r="A158" s="221"/>
      <c r="B158" s="398">
        <v>46195</v>
      </c>
      <c r="C158" s="496" t="s">
        <v>287</v>
      </c>
      <c r="D158" s="390" t="s">
        <v>246</v>
      </c>
      <c r="E158" s="524">
        <v>50</v>
      </c>
      <c r="F158" s="524">
        <v>104.92</v>
      </c>
      <c r="G158" s="524">
        <v>5246</v>
      </c>
      <c r="H158" s="524">
        <v>0</v>
      </c>
      <c r="I158" s="524">
        <v>0</v>
      </c>
      <c r="J158" s="524">
        <v>0</v>
      </c>
      <c r="K158" s="504">
        <f t="shared" si="7"/>
        <v>5246</v>
      </c>
      <c r="L158" s="385">
        <f t="shared" si="8"/>
        <v>5246</v>
      </c>
      <c r="M158" s="68">
        <f t="shared" si="9"/>
        <v>0</v>
      </c>
      <c r="N158" s="19"/>
      <c r="O158" s="69"/>
    </row>
    <row r="159" spans="1:15">
      <c r="A159" s="221"/>
      <c r="B159" s="398">
        <v>46195</v>
      </c>
      <c r="C159" s="496" t="s">
        <v>287</v>
      </c>
      <c r="D159" s="392" t="s">
        <v>246</v>
      </c>
      <c r="E159" s="524">
        <v>40</v>
      </c>
      <c r="F159" s="524">
        <v>104.92</v>
      </c>
      <c r="G159" s="524">
        <v>4196.8</v>
      </c>
      <c r="H159" s="524">
        <v>0</v>
      </c>
      <c r="I159" s="524">
        <v>0</v>
      </c>
      <c r="J159" s="524">
        <v>0</v>
      </c>
      <c r="K159" s="504">
        <f t="shared" si="7"/>
        <v>4196.8</v>
      </c>
      <c r="L159" s="385">
        <f t="shared" si="8"/>
        <v>4196.8</v>
      </c>
      <c r="M159" s="68">
        <f t="shared" si="9"/>
        <v>0</v>
      </c>
      <c r="N159" s="19"/>
      <c r="O159" s="69"/>
    </row>
    <row r="160" spans="1:15">
      <c r="A160" s="221"/>
      <c r="B160" s="398">
        <v>46195</v>
      </c>
      <c r="C160" s="391" t="s">
        <v>244</v>
      </c>
      <c r="D160" s="392" t="s">
        <v>258</v>
      </c>
      <c r="E160" s="524" t="s">
        <v>200</v>
      </c>
      <c r="F160" s="524" t="s">
        <v>200</v>
      </c>
      <c r="G160" s="524">
        <v>0</v>
      </c>
      <c r="H160" s="524">
        <v>5</v>
      </c>
      <c r="I160" s="524">
        <v>117.98</v>
      </c>
      <c r="J160" s="524">
        <v>589.9</v>
      </c>
      <c r="K160" s="504">
        <f t="shared" si="7"/>
        <v>589.9</v>
      </c>
      <c r="L160" s="385">
        <f t="shared" si="8"/>
        <v>589.9</v>
      </c>
      <c r="M160" s="68">
        <f t="shared" si="9"/>
        <v>0</v>
      </c>
      <c r="N160" s="19"/>
      <c r="O160" s="69"/>
    </row>
    <row r="161" spans="1:15">
      <c r="A161" s="221"/>
      <c r="B161" s="398">
        <v>46196</v>
      </c>
      <c r="C161" s="496" t="s">
        <v>289</v>
      </c>
      <c r="D161" s="523" t="s">
        <v>290</v>
      </c>
      <c r="E161" s="524" t="s">
        <v>200</v>
      </c>
      <c r="F161" s="524" t="s">
        <v>200</v>
      </c>
      <c r="G161" s="524">
        <v>0</v>
      </c>
      <c r="H161" s="524">
        <v>6</v>
      </c>
      <c r="I161" s="524">
        <v>117.24</v>
      </c>
      <c r="J161" s="524">
        <v>703.44</v>
      </c>
      <c r="K161" s="504">
        <f t="shared" si="7"/>
        <v>703.44</v>
      </c>
      <c r="L161" s="385">
        <f t="shared" si="8"/>
        <v>703.44</v>
      </c>
      <c r="M161" s="68">
        <f t="shared" si="9"/>
        <v>0</v>
      </c>
      <c r="N161" s="19"/>
      <c r="O161" s="69"/>
    </row>
    <row r="162" spans="1:15">
      <c r="A162" s="221"/>
      <c r="B162" s="398">
        <v>46196</v>
      </c>
      <c r="C162" s="496" t="s">
        <v>276</v>
      </c>
      <c r="D162" s="531" t="s">
        <v>301</v>
      </c>
      <c r="E162" s="524">
        <v>30</v>
      </c>
      <c r="F162" s="524">
        <v>105.46</v>
      </c>
      <c r="G162" s="524">
        <v>3163.8</v>
      </c>
      <c r="H162" s="524" t="s">
        <v>200</v>
      </c>
      <c r="I162" s="524" t="s">
        <v>200</v>
      </c>
      <c r="J162" s="524">
        <v>0</v>
      </c>
      <c r="K162" s="504">
        <f t="shared" si="7"/>
        <v>3163.8</v>
      </c>
      <c r="L162" s="385">
        <f t="shared" si="8"/>
        <v>3163.8</v>
      </c>
      <c r="M162" s="68">
        <f t="shared" si="9"/>
        <v>0</v>
      </c>
      <c r="N162" s="19"/>
      <c r="O162" s="69"/>
    </row>
    <row r="163" spans="1:15">
      <c r="A163" s="221"/>
      <c r="B163" s="398">
        <v>46196</v>
      </c>
      <c r="C163" s="496" t="s">
        <v>269</v>
      </c>
      <c r="D163" s="531" t="s">
        <v>283</v>
      </c>
      <c r="E163" s="524">
        <v>43</v>
      </c>
      <c r="F163" s="524">
        <v>105.59</v>
      </c>
      <c r="G163" s="524">
        <v>4540.37</v>
      </c>
      <c r="H163" s="524" t="s">
        <v>200</v>
      </c>
      <c r="I163" s="524" t="s">
        <v>200</v>
      </c>
      <c r="J163" s="524">
        <v>0</v>
      </c>
      <c r="K163" s="504">
        <f t="shared" si="7"/>
        <v>4540.37</v>
      </c>
      <c r="L163" s="385">
        <f t="shared" si="8"/>
        <v>4540.37</v>
      </c>
      <c r="M163" s="68">
        <f t="shared" si="9"/>
        <v>0</v>
      </c>
      <c r="N163" s="19"/>
      <c r="O163" s="69"/>
    </row>
    <row r="164" spans="1:15">
      <c r="A164" s="221"/>
      <c r="B164" s="398">
        <v>46196</v>
      </c>
      <c r="C164" s="496" t="s">
        <v>269</v>
      </c>
      <c r="D164" s="531" t="s">
        <v>283</v>
      </c>
      <c r="E164" s="524" t="s">
        <v>200</v>
      </c>
      <c r="F164" s="524" t="s">
        <v>200</v>
      </c>
      <c r="G164" s="524">
        <v>0</v>
      </c>
      <c r="H164" s="524">
        <v>5</v>
      </c>
      <c r="I164" s="524">
        <v>117.98</v>
      </c>
      <c r="J164" s="524">
        <v>589.9</v>
      </c>
      <c r="K164" s="504">
        <f t="shared" si="7"/>
        <v>589.9</v>
      </c>
      <c r="L164" s="385">
        <f t="shared" si="8"/>
        <v>589.9</v>
      </c>
      <c r="M164" s="68">
        <f t="shared" si="9"/>
        <v>0</v>
      </c>
      <c r="N164" s="19"/>
      <c r="O164" s="69"/>
    </row>
    <row r="165" spans="1:15">
      <c r="A165" s="221"/>
      <c r="B165" s="398">
        <v>46196</v>
      </c>
      <c r="C165" s="496" t="s">
        <v>269</v>
      </c>
      <c r="D165" s="531" t="s">
        <v>283</v>
      </c>
      <c r="E165" s="524" t="s">
        <v>200</v>
      </c>
      <c r="F165" s="524" t="s">
        <v>200</v>
      </c>
      <c r="G165" s="524">
        <v>0</v>
      </c>
      <c r="H165" s="524">
        <v>5</v>
      </c>
      <c r="I165" s="524">
        <v>117.98</v>
      </c>
      <c r="J165" s="524">
        <v>589.9</v>
      </c>
      <c r="K165" s="504">
        <f t="shared" si="7"/>
        <v>589.9</v>
      </c>
      <c r="L165" s="385">
        <f t="shared" si="8"/>
        <v>589.9</v>
      </c>
      <c r="M165" s="68">
        <f t="shared" si="9"/>
        <v>0</v>
      </c>
      <c r="N165" s="19"/>
      <c r="O165" s="69"/>
    </row>
    <row r="166" spans="1:15">
      <c r="A166" s="221"/>
      <c r="B166" s="398">
        <v>46196</v>
      </c>
      <c r="C166" s="496" t="s">
        <v>276</v>
      </c>
      <c r="D166" s="531" t="s">
        <v>301</v>
      </c>
      <c r="E166" s="524">
        <v>49.08</v>
      </c>
      <c r="F166" s="531">
        <v>105.46</v>
      </c>
      <c r="G166" s="524">
        <v>5175.9799999999996</v>
      </c>
      <c r="H166" s="524" t="s">
        <v>200</v>
      </c>
      <c r="I166" s="524" t="s">
        <v>200</v>
      </c>
      <c r="J166" s="524">
        <v>0</v>
      </c>
      <c r="K166" s="504">
        <f t="shared" si="7"/>
        <v>5175.9799999999996</v>
      </c>
      <c r="L166" s="385">
        <f t="shared" si="8"/>
        <v>5175.9799999999996</v>
      </c>
      <c r="M166" s="68">
        <f t="shared" si="9"/>
        <v>0</v>
      </c>
      <c r="N166" s="19"/>
      <c r="O166" s="69"/>
    </row>
    <row r="167" spans="1:15">
      <c r="A167" s="221"/>
      <c r="B167" s="398">
        <v>46196</v>
      </c>
      <c r="C167" s="496" t="s">
        <v>215</v>
      </c>
      <c r="D167" s="524" t="s">
        <v>216</v>
      </c>
      <c r="E167" s="524">
        <v>40</v>
      </c>
      <c r="F167" s="524">
        <v>105.21</v>
      </c>
      <c r="G167" s="524">
        <v>4208.3999999999996</v>
      </c>
      <c r="H167" s="524" t="s">
        <v>200</v>
      </c>
      <c r="I167" s="524" t="s">
        <v>200</v>
      </c>
      <c r="J167" s="524">
        <v>0</v>
      </c>
      <c r="K167" s="504">
        <f t="shared" si="7"/>
        <v>4208.3999999999996</v>
      </c>
      <c r="L167" s="385">
        <f t="shared" si="8"/>
        <v>4208.3999999999996</v>
      </c>
      <c r="M167" s="68">
        <f t="shared" si="9"/>
        <v>0</v>
      </c>
      <c r="N167" s="19"/>
      <c r="O167" s="69"/>
    </row>
    <row r="168" spans="1:15">
      <c r="A168" s="221"/>
      <c r="B168" s="398">
        <v>46196</v>
      </c>
      <c r="C168" s="496" t="s">
        <v>276</v>
      </c>
      <c r="D168" s="531" t="s">
        <v>301</v>
      </c>
      <c r="E168" s="524">
        <v>20</v>
      </c>
      <c r="F168" s="524">
        <v>105.46</v>
      </c>
      <c r="G168" s="524">
        <v>2109.1999999999998</v>
      </c>
      <c r="H168" s="524" t="s">
        <v>200</v>
      </c>
      <c r="I168" s="524" t="s">
        <v>200</v>
      </c>
      <c r="J168" s="524">
        <v>0</v>
      </c>
      <c r="K168" s="504">
        <f t="shared" si="7"/>
        <v>2109.1999999999998</v>
      </c>
      <c r="L168" s="385">
        <f t="shared" si="8"/>
        <v>2109.1999999999998</v>
      </c>
      <c r="M168" s="68">
        <f t="shared" si="9"/>
        <v>0</v>
      </c>
      <c r="N168" s="19"/>
      <c r="O168" s="69"/>
    </row>
    <row r="169" spans="1:15">
      <c r="A169" s="221"/>
      <c r="B169" s="398">
        <v>46196</v>
      </c>
      <c r="C169" s="496" t="s">
        <v>303</v>
      </c>
      <c r="D169" s="531" t="s">
        <v>90</v>
      </c>
      <c r="E169" s="524">
        <v>100</v>
      </c>
      <c r="F169" s="524">
        <v>105.21</v>
      </c>
      <c r="G169" s="524">
        <v>10521</v>
      </c>
      <c r="H169" s="524" t="s">
        <v>200</v>
      </c>
      <c r="I169" s="524" t="s">
        <v>200</v>
      </c>
      <c r="J169" s="524">
        <v>0</v>
      </c>
      <c r="K169" s="504">
        <f t="shared" si="7"/>
        <v>10521</v>
      </c>
      <c r="L169" s="385">
        <f t="shared" si="8"/>
        <v>10521</v>
      </c>
      <c r="M169" s="68">
        <f t="shared" si="9"/>
        <v>0</v>
      </c>
      <c r="N169" s="19"/>
      <c r="O169" s="69"/>
    </row>
    <row r="170" spans="1:15">
      <c r="A170" s="221"/>
      <c r="B170" s="398">
        <v>46196</v>
      </c>
      <c r="C170" s="529" t="s">
        <v>303</v>
      </c>
      <c r="D170" s="531" t="s">
        <v>90</v>
      </c>
      <c r="E170" s="524">
        <v>80</v>
      </c>
      <c r="F170" s="524">
        <v>105.21</v>
      </c>
      <c r="G170" s="524">
        <v>8416.7999999999993</v>
      </c>
      <c r="H170" s="524" t="s">
        <v>200</v>
      </c>
      <c r="I170" s="524" t="s">
        <v>200</v>
      </c>
      <c r="J170" s="524">
        <v>0</v>
      </c>
      <c r="K170" s="504">
        <f t="shared" si="7"/>
        <v>8416.7999999999993</v>
      </c>
      <c r="L170" s="530">
        <f t="shared" si="8"/>
        <v>8416.7999999999993</v>
      </c>
      <c r="M170" s="68">
        <f t="shared" si="9"/>
        <v>0</v>
      </c>
      <c r="N170" s="19"/>
      <c r="O170" s="69"/>
    </row>
    <row r="171" spans="1:15">
      <c r="A171" s="221"/>
      <c r="B171" s="219">
        <v>46196</v>
      </c>
      <c r="C171" s="527" t="s">
        <v>215</v>
      </c>
      <c r="D171" s="527" t="s">
        <v>216</v>
      </c>
      <c r="E171" s="104" t="s">
        <v>200</v>
      </c>
      <c r="F171" s="104" t="s">
        <v>200</v>
      </c>
      <c r="G171" s="104">
        <v>0</v>
      </c>
      <c r="H171" s="104">
        <v>8</v>
      </c>
      <c r="I171" s="104">
        <v>117.62</v>
      </c>
      <c r="J171" s="104">
        <v>940.96</v>
      </c>
      <c r="K171" s="504">
        <f t="shared" si="7"/>
        <v>940.96</v>
      </c>
      <c r="L171" s="530">
        <f t="shared" si="8"/>
        <v>940.96</v>
      </c>
      <c r="M171" s="68">
        <f t="shared" si="9"/>
        <v>0</v>
      </c>
      <c r="N171" s="19"/>
      <c r="O171" s="69"/>
    </row>
    <row r="172" spans="1:15">
      <c r="A172" s="221"/>
      <c r="B172" s="538">
        <v>46197</v>
      </c>
      <c r="C172" s="522" t="s">
        <v>261</v>
      </c>
      <c r="D172" s="531" t="s">
        <v>90</v>
      </c>
      <c r="E172" s="524">
        <v>80</v>
      </c>
      <c r="F172" s="524">
        <v>105.21</v>
      </c>
      <c r="G172" s="524">
        <v>8416.7999999999993</v>
      </c>
      <c r="H172" s="524" t="s">
        <v>200</v>
      </c>
      <c r="I172" s="524" t="s">
        <v>200</v>
      </c>
      <c r="J172" s="524">
        <v>0</v>
      </c>
      <c r="K172" s="504">
        <v>8416.7999999999993</v>
      </c>
      <c r="L172" s="530">
        <f t="shared" si="8"/>
        <v>8416.7999999999993</v>
      </c>
      <c r="M172" s="68">
        <f t="shared" si="9"/>
        <v>0</v>
      </c>
      <c r="N172" s="19"/>
      <c r="O172" s="69"/>
    </row>
    <row r="173" spans="1:15">
      <c r="A173" s="221"/>
      <c r="B173" s="538">
        <v>46197</v>
      </c>
      <c r="C173" s="520" t="s">
        <v>287</v>
      </c>
      <c r="D173" s="390" t="s">
        <v>246</v>
      </c>
      <c r="E173" s="524">
        <v>100</v>
      </c>
      <c r="F173" s="524">
        <v>104.92</v>
      </c>
      <c r="G173" s="524">
        <v>10492</v>
      </c>
      <c r="H173" s="524" t="s">
        <v>200</v>
      </c>
      <c r="I173" s="524" t="s">
        <v>200</v>
      </c>
      <c r="J173" s="524">
        <v>0</v>
      </c>
      <c r="K173" s="539">
        <v>10492</v>
      </c>
      <c r="L173" s="530">
        <f t="shared" si="8"/>
        <v>10492</v>
      </c>
      <c r="M173" s="68">
        <f t="shared" si="9"/>
        <v>0</v>
      </c>
      <c r="N173" s="19"/>
      <c r="O173" s="69"/>
    </row>
    <row r="174" spans="1:15">
      <c r="A174" s="221"/>
      <c r="B174" s="538">
        <v>46197</v>
      </c>
      <c r="C174" s="520" t="s">
        <v>269</v>
      </c>
      <c r="D174" s="540" t="s">
        <v>283</v>
      </c>
      <c r="E174" s="524">
        <v>50.27</v>
      </c>
      <c r="F174" s="524">
        <v>105.59</v>
      </c>
      <c r="G174" s="524">
        <v>5308.01</v>
      </c>
      <c r="H174" s="524" t="s">
        <v>200</v>
      </c>
      <c r="I174" s="524" t="s">
        <v>200</v>
      </c>
      <c r="J174" s="524">
        <v>0</v>
      </c>
      <c r="K174" s="539">
        <v>5308.01</v>
      </c>
      <c r="L174" s="530">
        <f t="shared" si="8"/>
        <v>5308.01</v>
      </c>
      <c r="M174" s="68">
        <f t="shared" si="9"/>
        <v>0</v>
      </c>
      <c r="N174" s="19"/>
      <c r="O174" s="69"/>
    </row>
    <row r="175" spans="1:15">
      <c r="A175" s="221"/>
      <c r="B175" s="538">
        <v>46197</v>
      </c>
      <c r="C175" s="520" t="s">
        <v>276</v>
      </c>
      <c r="D175" s="531" t="s">
        <v>301</v>
      </c>
      <c r="E175" s="524">
        <v>20</v>
      </c>
      <c r="F175" s="524">
        <v>105.46</v>
      </c>
      <c r="G175" s="524">
        <v>2109.1999999999998</v>
      </c>
      <c r="H175" s="524" t="s">
        <v>200</v>
      </c>
      <c r="I175" s="524" t="s">
        <v>200</v>
      </c>
      <c r="J175" s="524">
        <v>0</v>
      </c>
      <c r="K175" s="539">
        <v>2109.1999999999998</v>
      </c>
      <c r="L175" s="530">
        <f t="shared" si="8"/>
        <v>2109.1999999999998</v>
      </c>
      <c r="M175" s="68">
        <f t="shared" si="9"/>
        <v>0</v>
      </c>
      <c r="N175" s="19"/>
      <c r="O175" s="69"/>
    </row>
    <row r="176" spans="1:15">
      <c r="A176" s="221"/>
      <c r="B176" s="538">
        <v>46197</v>
      </c>
      <c r="C176" s="520" t="s">
        <v>276</v>
      </c>
      <c r="D176" s="531" t="s">
        <v>301</v>
      </c>
      <c r="E176" s="524">
        <v>20</v>
      </c>
      <c r="F176" s="524">
        <v>105.46</v>
      </c>
      <c r="G176" s="524">
        <v>2109.1999999999998</v>
      </c>
      <c r="H176" s="524" t="s">
        <v>200</v>
      </c>
      <c r="I176" s="524" t="s">
        <v>200</v>
      </c>
      <c r="J176" s="524">
        <v>0</v>
      </c>
      <c r="K176" s="539">
        <v>2109.1999999999998</v>
      </c>
      <c r="L176" s="530">
        <f t="shared" si="8"/>
        <v>2109.1999999999998</v>
      </c>
      <c r="M176" s="68">
        <f t="shared" si="9"/>
        <v>0</v>
      </c>
      <c r="N176" s="19"/>
      <c r="O176" s="69"/>
    </row>
    <row r="177" spans="1:15">
      <c r="A177" s="221"/>
      <c r="B177" s="538">
        <v>46197</v>
      </c>
      <c r="C177" s="520" t="s">
        <v>269</v>
      </c>
      <c r="D177" s="531" t="s">
        <v>283</v>
      </c>
      <c r="E177" s="524">
        <v>44.45</v>
      </c>
      <c r="F177" s="524">
        <v>105.59</v>
      </c>
      <c r="G177" s="524">
        <v>4693.4799999999996</v>
      </c>
      <c r="H177" s="524" t="s">
        <v>200</v>
      </c>
      <c r="I177" s="524" t="s">
        <v>200</v>
      </c>
      <c r="J177" s="524">
        <v>0</v>
      </c>
      <c r="K177" s="539">
        <v>4693.4799999999996</v>
      </c>
      <c r="L177" s="530">
        <f t="shared" si="8"/>
        <v>4693.4799999999996</v>
      </c>
      <c r="M177" s="68">
        <f t="shared" si="9"/>
        <v>0</v>
      </c>
      <c r="N177" s="19"/>
      <c r="O177" s="69"/>
    </row>
    <row r="178" spans="1:15">
      <c r="A178" s="221"/>
      <c r="B178" s="538">
        <v>46197</v>
      </c>
      <c r="C178" s="520" t="s">
        <v>276</v>
      </c>
      <c r="D178" s="531" t="s">
        <v>301</v>
      </c>
      <c r="E178" s="524" t="s">
        <v>200</v>
      </c>
      <c r="F178" s="524" t="s">
        <v>200</v>
      </c>
      <c r="G178" s="524">
        <v>0</v>
      </c>
      <c r="H178" s="524">
        <v>5</v>
      </c>
      <c r="I178" s="524">
        <v>117.84</v>
      </c>
      <c r="J178" s="524">
        <v>589.20000000000005</v>
      </c>
      <c r="K178" s="392">
        <v>589.20000000000005</v>
      </c>
      <c r="L178" s="530">
        <f t="shared" si="8"/>
        <v>589.20000000000005</v>
      </c>
      <c r="M178" s="68">
        <f t="shared" si="9"/>
        <v>0</v>
      </c>
      <c r="N178" s="19"/>
      <c r="O178" s="69"/>
    </row>
    <row r="179" spans="1:15">
      <c r="A179" s="221"/>
      <c r="B179" s="538">
        <v>46197</v>
      </c>
      <c r="C179" s="520" t="s">
        <v>269</v>
      </c>
      <c r="D179" s="531" t="s">
        <v>283</v>
      </c>
      <c r="E179" s="524" t="s">
        <v>200</v>
      </c>
      <c r="F179" s="524" t="s">
        <v>200</v>
      </c>
      <c r="G179" s="524">
        <v>0</v>
      </c>
      <c r="H179" s="524">
        <v>5</v>
      </c>
      <c r="I179" s="524">
        <v>117.98</v>
      </c>
      <c r="J179" s="524">
        <v>589.9</v>
      </c>
      <c r="K179" s="392">
        <v>589.9</v>
      </c>
      <c r="L179" s="530">
        <f t="shared" si="8"/>
        <v>589.9</v>
      </c>
      <c r="M179" s="68">
        <f t="shared" si="9"/>
        <v>0</v>
      </c>
      <c r="N179" s="19"/>
      <c r="O179" s="69"/>
    </row>
    <row r="180" spans="1:15">
      <c r="A180" s="221"/>
      <c r="B180" s="538">
        <v>46198</v>
      </c>
      <c r="C180" s="520" t="s">
        <v>304</v>
      </c>
      <c r="D180" s="531" t="s">
        <v>200</v>
      </c>
      <c r="E180" s="531">
        <v>47.26</v>
      </c>
      <c r="F180" s="524">
        <v>104.62</v>
      </c>
      <c r="G180" s="524">
        <v>4944.34</v>
      </c>
      <c r="H180" s="524" t="s">
        <v>200</v>
      </c>
      <c r="I180" s="524" t="s">
        <v>200</v>
      </c>
      <c r="J180" s="524">
        <v>0</v>
      </c>
      <c r="K180" s="539">
        <v>4944.34</v>
      </c>
      <c r="L180" s="530">
        <f t="shared" si="8"/>
        <v>4944.34</v>
      </c>
      <c r="M180" s="68">
        <f t="shared" si="9"/>
        <v>0</v>
      </c>
      <c r="N180" s="19"/>
      <c r="O180" s="69"/>
    </row>
    <row r="181" spans="1:15">
      <c r="A181" s="221"/>
      <c r="B181" s="538">
        <v>46198</v>
      </c>
      <c r="C181" s="520" t="s">
        <v>276</v>
      </c>
      <c r="D181" s="531" t="s">
        <v>301</v>
      </c>
      <c r="E181" s="531">
        <v>20</v>
      </c>
      <c r="F181" s="524">
        <v>105.46</v>
      </c>
      <c r="G181" s="524">
        <v>2109.1999999999998</v>
      </c>
      <c r="H181" s="524" t="s">
        <v>200</v>
      </c>
      <c r="I181" s="524" t="s">
        <v>200</v>
      </c>
      <c r="J181" s="524">
        <v>0</v>
      </c>
      <c r="K181" s="539">
        <v>2109.1999999999998</v>
      </c>
      <c r="L181" s="530">
        <f t="shared" si="8"/>
        <v>2109.1999999999998</v>
      </c>
      <c r="M181" s="68">
        <f t="shared" si="9"/>
        <v>0</v>
      </c>
      <c r="N181" s="19"/>
      <c r="O181" s="69"/>
    </row>
    <row r="182" spans="1:15">
      <c r="A182" s="221"/>
      <c r="B182" s="538">
        <v>46198</v>
      </c>
      <c r="C182" s="520" t="s">
        <v>276</v>
      </c>
      <c r="D182" s="531" t="s">
        <v>301</v>
      </c>
      <c r="E182" s="531">
        <v>20</v>
      </c>
      <c r="F182" s="524">
        <v>105.46</v>
      </c>
      <c r="G182" s="524">
        <v>2109.1999999999998</v>
      </c>
      <c r="H182" s="524" t="s">
        <v>200</v>
      </c>
      <c r="I182" s="524" t="s">
        <v>200</v>
      </c>
      <c r="J182" s="524">
        <v>0</v>
      </c>
      <c r="K182" s="539">
        <v>2109.1999999999998</v>
      </c>
      <c r="L182" s="530">
        <f t="shared" si="8"/>
        <v>2109.1999999999998</v>
      </c>
      <c r="M182" s="68">
        <f t="shared" si="9"/>
        <v>0</v>
      </c>
      <c r="N182" s="19"/>
      <c r="O182" s="69"/>
    </row>
    <row r="183" spans="1:15">
      <c r="A183" s="221"/>
      <c r="B183" s="538">
        <v>46198</v>
      </c>
      <c r="C183" s="520" t="s">
        <v>305</v>
      </c>
      <c r="D183" s="531" t="s">
        <v>301</v>
      </c>
      <c r="E183" s="531">
        <v>47.8</v>
      </c>
      <c r="F183" s="524">
        <v>104.76</v>
      </c>
      <c r="G183" s="524">
        <v>5007.53</v>
      </c>
      <c r="H183" s="524" t="s">
        <v>200</v>
      </c>
      <c r="I183" s="524" t="s">
        <v>200</v>
      </c>
      <c r="J183" s="524">
        <v>0</v>
      </c>
      <c r="K183" s="539">
        <v>5007.53</v>
      </c>
      <c r="L183" s="530">
        <f t="shared" si="8"/>
        <v>5007.53</v>
      </c>
      <c r="M183" s="68">
        <f t="shared" si="9"/>
        <v>0</v>
      </c>
      <c r="N183" s="19"/>
      <c r="O183" s="69"/>
    </row>
    <row r="184" spans="1:15">
      <c r="A184" s="221"/>
      <c r="B184" s="538">
        <v>46198</v>
      </c>
      <c r="C184" s="520" t="s">
        <v>276</v>
      </c>
      <c r="D184" s="531" t="s">
        <v>301</v>
      </c>
      <c r="E184" s="531">
        <v>20</v>
      </c>
      <c r="F184" s="524">
        <v>105.46</v>
      </c>
      <c r="G184" s="524">
        <v>2109.1999999999998</v>
      </c>
      <c r="H184" s="524" t="s">
        <v>200</v>
      </c>
      <c r="I184" s="524" t="s">
        <v>200</v>
      </c>
      <c r="J184" s="524">
        <v>0</v>
      </c>
      <c r="K184" s="539">
        <v>2109.1999999999998</v>
      </c>
      <c r="L184" s="530">
        <f t="shared" si="8"/>
        <v>2109.1999999999998</v>
      </c>
      <c r="M184" s="68">
        <f t="shared" si="9"/>
        <v>0</v>
      </c>
      <c r="N184" s="19"/>
      <c r="O184" s="69"/>
    </row>
    <row r="185" spans="1:15">
      <c r="A185" s="221"/>
      <c r="B185" s="538">
        <v>46198</v>
      </c>
      <c r="C185" s="520" t="s">
        <v>261</v>
      </c>
      <c r="D185" s="531" t="s">
        <v>90</v>
      </c>
      <c r="E185" s="531">
        <v>30</v>
      </c>
      <c r="F185" s="524">
        <v>105.21</v>
      </c>
      <c r="G185" s="524">
        <v>3156.3</v>
      </c>
      <c r="H185" s="524" t="s">
        <v>200</v>
      </c>
      <c r="I185" s="524" t="s">
        <v>200</v>
      </c>
      <c r="J185" s="524">
        <v>0</v>
      </c>
      <c r="K185" s="539">
        <v>3156.3</v>
      </c>
      <c r="L185" s="530">
        <f t="shared" si="8"/>
        <v>3156.3</v>
      </c>
      <c r="M185" s="68">
        <f t="shared" si="9"/>
        <v>0</v>
      </c>
      <c r="N185" s="19"/>
      <c r="O185" s="69"/>
    </row>
    <row r="186" spans="1:15">
      <c r="A186" s="221"/>
      <c r="B186" s="538">
        <v>46198</v>
      </c>
      <c r="C186" s="520" t="s">
        <v>261</v>
      </c>
      <c r="D186" s="531" t="s">
        <v>90</v>
      </c>
      <c r="E186" s="531">
        <v>30</v>
      </c>
      <c r="F186" s="524">
        <v>105.21</v>
      </c>
      <c r="G186" s="524">
        <v>3156.3</v>
      </c>
      <c r="H186" s="524" t="s">
        <v>200</v>
      </c>
      <c r="I186" s="524" t="s">
        <v>200</v>
      </c>
      <c r="J186" s="524">
        <v>0</v>
      </c>
      <c r="K186" s="539">
        <v>3156.3</v>
      </c>
      <c r="L186" s="530">
        <f t="shared" si="8"/>
        <v>3156.3</v>
      </c>
      <c r="M186" s="68">
        <f t="shared" si="9"/>
        <v>0</v>
      </c>
      <c r="N186" s="19"/>
      <c r="O186" s="69"/>
    </row>
    <row r="187" spans="1:15">
      <c r="A187" s="221"/>
      <c r="B187" s="538">
        <v>46198</v>
      </c>
      <c r="C187" s="520" t="s">
        <v>215</v>
      </c>
      <c r="D187" s="531" t="s">
        <v>216</v>
      </c>
      <c r="E187" s="531">
        <v>48</v>
      </c>
      <c r="F187" s="524">
        <v>105.29</v>
      </c>
      <c r="G187" s="524">
        <v>5053.92</v>
      </c>
      <c r="H187" s="524" t="s">
        <v>200</v>
      </c>
      <c r="I187" s="524" t="s">
        <v>200</v>
      </c>
      <c r="J187" s="524">
        <v>0</v>
      </c>
      <c r="K187" s="539">
        <v>5053.92</v>
      </c>
      <c r="L187" s="530">
        <f t="shared" si="8"/>
        <v>5053.92</v>
      </c>
      <c r="M187" s="68">
        <f t="shared" si="9"/>
        <v>0</v>
      </c>
      <c r="N187" s="19"/>
      <c r="O187" s="69"/>
    </row>
    <row r="188" spans="1:15">
      <c r="A188" s="221"/>
      <c r="B188" s="538">
        <v>46198</v>
      </c>
      <c r="C188" s="520" t="s">
        <v>261</v>
      </c>
      <c r="D188" s="531" t="s">
        <v>90</v>
      </c>
      <c r="E188" s="531">
        <v>120</v>
      </c>
      <c r="F188" s="524">
        <v>105.46</v>
      </c>
      <c r="G188" s="524">
        <v>12655.2</v>
      </c>
      <c r="H188" s="524" t="s">
        <v>200</v>
      </c>
      <c r="I188" s="524" t="s">
        <v>200</v>
      </c>
      <c r="J188" s="524">
        <v>0</v>
      </c>
      <c r="K188" s="539">
        <v>12655.2</v>
      </c>
      <c r="L188" s="530">
        <f t="shared" si="8"/>
        <v>12655.2</v>
      </c>
      <c r="M188" s="68">
        <f t="shared" si="9"/>
        <v>0</v>
      </c>
      <c r="N188" s="19"/>
      <c r="O188" s="69"/>
    </row>
    <row r="189" spans="1:15">
      <c r="A189" s="221"/>
      <c r="B189" s="538">
        <v>46198</v>
      </c>
      <c r="C189" s="520" t="s">
        <v>306</v>
      </c>
      <c r="D189" s="531" t="s">
        <v>246</v>
      </c>
      <c r="E189" s="531">
        <v>19.062000000000001</v>
      </c>
      <c r="F189" s="524">
        <v>104.92</v>
      </c>
      <c r="G189" s="524">
        <v>1999.99</v>
      </c>
      <c r="H189" s="524" t="s">
        <v>200</v>
      </c>
      <c r="I189" s="524" t="s">
        <v>200</v>
      </c>
      <c r="J189" s="524">
        <v>0</v>
      </c>
      <c r="K189" s="539">
        <v>1999.99</v>
      </c>
      <c r="L189" s="530">
        <f t="shared" si="8"/>
        <v>1999.99</v>
      </c>
      <c r="M189" s="68">
        <f t="shared" si="9"/>
        <v>0</v>
      </c>
      <c r="N189" s="19"/>
      <c r="O189" s="69"/>
    </row>
    <row r="190" spans="1:15">
      <c r="A190" s="221"/>
      <c r="B190" s="538">
        <v>46198</v>
      </c>
      <c r="C190" s="520" t="s">
        <v>307</v>
      </c>
      <c r="D190" s="531" t="s">
        <v>200</v>
      </c>
      <c r="E190" s="524">
        <v>0</v>
      </c>
      <c r="F190" s="524">
        <v>0</v>
      </c>
      <c r="G190" s="524">
        <v>0</v>
      </c>
      <c r="H190" s="531">
        <v>5</v>
      </c>
      <c r="I190" s="524">
        <v>117.68</v>
      </c>
      <c r="J190" s="524">
        <v>588.4</v>
      </c>
      <c r="K190" s="392">
        <v>588.4</v>
      </c>
      <c r="L190" s="530">
        <f t="shared" si="8"/>
        <v>588.4</v>
      </c>
      <c r="M190" s="68">
        <f t="shared" si="9"/>
        <v>0</v>
      </c>
      <c r="N190" s="19"/>
      <c r="O190" s="69"/>
    </row>
    <row r="191" spans="1:15">
      <c r="A191" s="221"/>
      <c r="B191" s="538">
        <v>46198</v>
      </c>
      <c r="C191" s="520" t="s">
        <v>284</v>
      </c>
      <c r="D191" s="390" t="s">
        <v>223</v>
      </c>
      <c r="E191" s="524">
        <v>0</v>
      </c>
      <c r="F191" s="524">
        <v>0</v>
      </c>
      <c r="G191" s="524">
        <v>0</v>
      </c>
      <c r="H191" s="531">
        <v>5</v>
      </c>
      <c r="I191" s="524">
        <v>117.72</v>
      </c>
      <c r="J191" s="524">
        <v>588.6</v>
      </c>
      <c r="K191" s="392">
        <v>588.6</v>
      </c>
      <c r="L191" s="530">
        <f t="shared" si="8"/>
        <v>588.6</v>
      </c>
      <c r="M191" s="68">
        <f t="shared" si="9"/>
        <v>0</v>
      </c>
      <c r="N191" s="19"/>
      <c r="O191" s="69"/>
    </row>
    <row r="192" spans="1:15">
      <c r="A192" s="221"/>
      <c r="B192" s="538">
        <v>46199</v>
      </c>
      <c r="C192" s="520" t="s">
        <v>281</v>
      </c>
      <c r="D192" s="540" t="s">
        <v>218</v>
      </c>
      <c r="E192" s="524">
        <v>0</v>
      </c>
      <c r="F192" s="524">
        <v>0</v>
      </c>
      <c r="G192" s="524">
        <v>0</v>
      </c>
      <c r="H192" s="524">
        <v>10</v>
      </c>
      <c r="I192" s="524">
        <v>116.99</v>
      </c>
      <c r="J192" s="524">
        <v>1169.9000000000001</v>
      </c>
      <c r="K192" s="539">
        <v>1169.9000000000001</v>
      </c>
      <c r="L192" s="530">
        <f t="shared" si="8"/>
        <v>1169.9000000000001</v>
      </c>
      <c r="M192" s="68">
        <f t="shared" si="9"/>
        <v>0</v>
      </c>
      <c r="N192" s="19"/>
      <c r="O192" s="69"/>
    </row>
    <row r="193" spans="1:15">
      <c r="A193" s="221"/>
      <c r="B193" s="538">
        <v>46199</v>
      </c>
      <c r="C193" s="520" t="s">
        <v>281</v>
      </c>
      <c r="D193" s="531" t="s">
        <v>218</v>
      </c>
      <c r="E193" s="524">
        <v>0</v>
      </c>
      <c r="F193" s="524">
        <v>0</v>
      </c>
      <c r="G193" s="524">
        <v>0</v>
      </c>
      <c r="H193" s="524">
        <v>5</v>
      </c>
      <c r="I193" s="524">
        <v>116.99</v>
      </c>
      <c r="J193" s="524">
        <v>584.95000000000005</v>
      </c>
      <c r="K193" s="392">
        <v>584.95000000000005</v>
      </c>
      <c r="L193" s="530">
        <f t="shared" si="8"/>
        <v>584.95000000000005</v>
      </c>
      <c r="M193" s="68">
        <f t="shared" si="9"/>
        <v>0</v>
      </c>
      <c r="N193" s="19"/>
      <c r="O193" s="69"/>
    </row>
    <row r="194" spans="1:15">
      <c r="A194" s="221"/>
      <c r="B194" s="538">
        <v>46199</v>
      </c>
      <c r="C194" s="520" t="s">
        <v>284</v>
      </c>
      <c r="D194" s="390" t="s">
        <v>223</v>
      </c>
      <c r="E194" s="524">
        <v>0</v>
      </c>
      <c r="F194" s="524">
        <v>0</v>
      </c>
      <c r="G194" s="524">
        <v>0</v>
      </c>
      <c r="H194" s="524">
        <v>5</v>
      </c>
      <c r="I194" s="524">
        <v>117.72</v>
      </c>
      <c r="J194" s="524">
        <v>588.6</v>
      </c>
      <c r="K194" s="392">
        <v>588.6</v>
      </c>
      <c r="L194" s="530">
        <f t="shared" si="8"/>
        <v>588.6</v>
      </c>
      <c r="M194" s="68">
        <f t="shared" si="9"/>
        <v>0</v>
      </c>
      <c r="N194" s="19"/>
      <c r="O194" s="69"/>
    </row>
    <row r="195" spans="1:15">
      <c r="A195" s="221"/>
      <c r="B195" s="538">
        <v>46199</v>
      </c>
      <c r="C195" s="520" t="s">
        <v>239</v>
      </c>
      <c r="D195" s="392" t="s">
        <v>240</v>
      </c>
      <c r="E195" s="524">
        <v>48.15</v>
      </c>
      <c r="F195" s="524">
        <v>94.08</v>
      </c>
      <c r="G195" s="524">
        <v>4529.95</v>
      </c>
      <c r="H195" s="524" t="s">
        <v>200</v>
      </c>
      <c r="I195" s="524" t="s">
        <v>200</v>
      </c>
      <c r="J195" s="524">
        <v>0</v>
      </c>
      <c r="K195" s="539">
        <v>4529.95</v>
      </c>
      <c r="L195" s="530">
        <f t="shared" si="8"/>
        <v>4529.95</v>
      </c>
      <c r="M195" s="68">
        <f t="shared" si="9"/>
        <v>0</v>
      </c>
      <c r="N195" s="19"/>
      <c r="O195" s="69"/>
    </row>
    <row r="196" spans="1:15">
      <c r="A196" s="221"/>
      <c r="B196" s="538">
        <v>46199</v>
      </c>
      <c r="C196" s="520" t="s">
        <v>289</v>
      </c>
      <c r="D196" s="523" t="s">
        <v>290</v>
      </c>
      <c r="E196" s="524">
        <v>0</v>
      </c>
      <c r="F196" s="524">
        <v>0</v>
      </c>
      <c r="G196" s="524">
        <v>0</v>
      </c>
      <c r="H196" s="524">
        <v>6</v>
      </c>
      <c r="I196" s="524">
        <v>117.24</v>
      </c>
      <c r="J196" s="524">
        <v>703.44</v>
      </c>
      <c r="K196" s="392">
        <v>703.44</v>
      </c>
      <c r="L196" s="530">
        <f t="shared" si="8"/>
        <v>703.44</v>
      </c>
      <c r="M196" s="68">
        <f t="shared" si="9"/>
        <v>0</v>
      </c>
      <c r="N196" s="19"/>
      <c r="O196" s="69"/>
    </row>
    <row r="197" spans="1:15">
      <c r="A197" s="221"/>
      <c r="B197" s="538">
        <v>46199</v>
      </c>
      <c r="C197" s="520" t="s">
        <v>215</v>
      </c>
      <c r="D197" s="531" t="s">
        <v>216</v>
      </c>
      <c r="E197" s="524">
        <v>30</v>
      </c>
      <c r="F197" s="524">
        <v>105.29</v>
      </c>
      <c r="G197" s="524">
        <v>3158.7</v>
      </c>
      <c r="H197" s="524" t="s">
        <v>200</v>
      </c>
      <c r="I197" s="524" t="s">
        <v>200</v>
      </c>
      <c r="J197" s="524">
        <v>0</v>
      </c>
      <c r="K197" s="539">
        <v>3158.7</v>
      </c>
      <c r="L197" s="530">
        <f t="shared" ref="L197:L242" si="10">+K197</f>
        <v>3158.7</v>
      </c>
      <c r="M197" s="68">
        <f t="shared" ref="M197:M242" si="11">+M196+K197-L197</f>
        <v>0</v>
      </c>
      <c r="N197" s="19"/>
      <c r="O197" s="69"/>
    </row>
    <row r="198" spans="1:15">
      <c r="A198" s="221"/>
      <c r="B198" s="538">
        <v>46199</v>
      </c>
      <c r="C198" s="520" t="s">
        <v>261</v>
      </c>
      <c r="D198" s="531" t="s">
        <v>203</v>
      </c>
      <c r="E198" s="524">
        <v>150</v>
      </c>
      <c r="F198" s="524">
        <v>105.21</v>
      </c>
      <c r="G198" s="524">
        <v>15781.5</v>
      </c>
      <c r="H198" s="524" t="s">
        <v>200</v>
      </c>
      <c r="I198" s="524" t="s">
        <v>200</v>
      </c>
      <c r="J198" s="524">
        <v>0</v>
      </c>
      <c r="K198" s="539">
        <v>15781.5</v>
      </c>
      <c r="L198" s="530">
        <f t="shared" si="10"/>
        <v>15781.5</v>
      </c>
      <c r="M198" s="68">
        <f t="shared" si="11"/>
        <v>0</v>
      </c>
      <c r="N198" s="19"/>
      <c r="O198" s="69"/>
    </row>
    <row r="199" spans="1:15">
      <c r="A199" s="221"/>
      <c r="B199" s="538">
        <v>46200</v>
      </c>
      <c r="C199" s="520" t="s">
        <v>306</v>
      </c>
      <c r="D199" s="531" t="s">
        <v>246</v>
      </c>
      <c r="E199" s="531">
        <v>28.593</v>
      </c>
      <c r="F199" s="524">
        <v>104.92</v>
      </c>
      <c r="G199" s="524">
        <v>2999.98</v>
      </c>
      <c r="H199" s="524" t="s">
        <v>200</v>
      </c>
      <c r="I199" s="524" t="s">
        <v>200</v>
      </c>
      <c r="J199" s="524">
        <v>0</v>
      </c>
      <c r="K199" s="539">
        <v>2999.98</v>
      </c>
      <c r="L199" s="530">
        <f t="shared" si="10"/>
        <v>2999.98</v>
      </c>
      <c r="M199" s="68">
        <f t="shared" si="11"/>
        <v>0</v>
      </c>
      <c r="N199" s="19"/>
      <c r="O199" s="69"/>
    </row>
    <row r="200" spans="1:15">
      <c r="A200" s="221"/>
      <c r="B200" s="538">
        <v>46200</v>
      </c>
      <c r="C200" s="520" t="s">
        <v>306</v>
      </c>
      <c r="D200" s="531" t="s">
        <v>246</v>
      </c>
      <c r="E200" s="531">
        <v>19.062000000000001</v>
      </c>
      <c r="F200" s="524">
        <v>104.92</v>
      </c>
      <c r="G200" s="524">
        <v>1999.99</v>
      </c>
      <c r="H200" s="524" t="s">
        <v>200</v>
      </c>
      <c r="I200" s="524" t="s">
        <v>200</v>
      </c>
      <c r="J200" s="524">
        <v>0</v>
      </c>
      <c r="K200" s="539">
        <v>1999.99</v>
      </c>
      <c r="L200" s="530">
        <f t="shared" si="10"/>
        <v>1999.99</v>
      </c>
      <c r="M200" s="68">
        <f t="shared" si="11"/>
        <v>0</v>
      </c>
      <c r="N200" s="19"/>
      <c r="O200" s="69"/>
    </row>
    <row r="201" spans="1:15">
      <c r="A201" s="221"/>
      <c r="B201" s="538">
        <v>46200</v>
      </c>
      <c r="C201" s="520" t="s">
        <v>261</v>
      </c>
      <c r="D201" s="531" t="s">
        <v>90</v>
      </c>
      <c r="E201" s="531">
        <v>50</v>
      </c>
      <c r="F201" s="524">
        <v>105.21</v>
      </c>
      <c r="G201" s="524">
        <v>5260.5</v>
      </c>
      <c r="H201" s="524" t="s">
        <v>200</v>
      </c>
      <c r="I201" s="524" t="s">
        <v>200</v>
      </c>
      <c r="J201" s="524">
        <v>0</v>
      </c>
      <c r="K201" s="539">
        <v>5260.5</v>
      </c>
      <c r="L201" s="530">
        <f t="shared" si="10"/>
        <v>5260.5</v>
      </c>
      <c r="M201" s="68">
        <f t="shared" si="11"/>
        <v>0</v>
      </c>
      <c r="N201" s="19"/>
      <c r="O201" s="69"/>
    </row>
    <row r="202" spans="1:15">
      <c r="A202" s="221"/>
      <c r="B202" s="538">
        <v>46200</v>
      </c>
      <c r="C202" s="520" t="s">
        <v>278</v>
      </c>
      <c r="D202" s="524" t="s">
        <v>221</v>
      </c>
      <c r="E202" s="531">
        <v>44.2</v>
      </c>
      <c r="F202" s="524">
        <v>104.54</v>
      </c>
      <c r="G202" s="524">
        <v>4620.67</v>
      </c>
      <c r="H202" s="524" t="s">
        <v>200</v>
      </c>
      <c r="I202" s="524" t="s">
        <v>200</v>
      </c>
      <c r="J202" s="524">
        <v>0</v>
      </c>
      <c r="K202" s="539">
        <v>4620.67</v>
      </c>
      <c r="L202" s="530">
        <f t="shared" si="10"/>
        <v>4620.67</v>
      </c>
      <c r="M202" s="68">
        <f t="shared" si="11"/>
        <v>0</v>
      </c>
      <c r="N202" s="19"/>
      <c r="O202" s="69"/>
    </row>
    <row r="203" spans="1:15">
      <c r="A203" s="221"/>
      <c r="B203" s="538">
        <v>46200</v>
      </c>
      <c r="C203" s="520" t="s">
        <v>215</v>
      </c>
      <c r="D203" s="531" t="s">
        <v>216</v>
      </c>
      <c r="E203" s="531">
        <v>33</v>
      </c>
      <c r="F203" s="524">
        <v>105.29</v>
      </c>
      <c r="G203" s="524">
        <v>3474.57</v>
      </c>
      <c r="H203" s="524" t="s">
        <v>200</v>
      </c>
      <c r="I203" s="524" t="s">
        <v>200</v>
      </c>
      <c r="J203" s="524">
        <v>0</v>
      </c>
      <c r="K203" s="539">
        <v>3474.57</v>
      </c>
      <c r="L203" s="530">
        <f t="shared" si="10"/>
        <v>3474.57</v>
      </c>
      <c r="M203" s="68">
        <f t="shared" si="11"/>
        <v>0</v>
      </c>
      <c r="N203" s="19"/>
      <c r="O203" s="69"/>
    </row>
    <row r="204" spans="1:15">
      <c r="A204" s="221"/>
      <c r="B204" s="538">
        <v>46200</v>
      </c>
      <c r="C204" s="520" t="s">
        <v>215</v>
      </c>
      <c r="D204" s="531" t="s">
        <v>216</v>
      </c>
      <c r="E204" s="531">
        <v>40</v>
      </c>
      <c r="F204" s="524">
        <v>105.29</v>
      </c>
      <c r="G204" s="524">
        <v>4211.6000000000004</v>
      </c>
      <c r="H204" s="524" t="s">
        <v>200</v>
      </c>
      <c r="I204" s="524" t="s">
        <v>200</v>
      </c>
      <c r="J204" s="524">
        <v>0</v>
      </c>
      <c r="K204" s="539">
        <v>4211.6000000000004</v>
      </c>
      <c r="L204" s="530">
        <f t="shared" si="10"/>
        <v>4211.6000000000004</v>
      </c>
      <c r="M204" s="68">
        <f t="shared" si="11"/>
        <v>0</v>
      </c>
      <c r="N204" s="19"/>
      <c r="O204" s="69"/>
    </row>
    <row r="205" spans="1:15">
      <c r="A205" s="221"/>
      <c r="B205" s="538">
        <v>46200</v>
      </c>
      <c r="C205" s="520" t="s">
        <v>284</v>
      </c>
      <c r="D205" s="390" t="s">
        <v>223</v>
      </c>
      <c r="E205" s="531">
        <v>42.67</v>
      </c>
      <c r="F205" s="524">
        <v>105.35</v>
      </c>
      <c r="G205" s="524">
        <v>4495.28</v>
      </c>
      <c r="H205" s="524" t="s">
        <v>200</v>
      </c>
      <c r="I205" s="524" t="s">
        <v>200</v>
      </c>
      <c r="J205" s="524">
        <v>0</v>
      </c>
      <c r="K205" s="539">
        <v>4495.28</v>
      </c>
      <c r="L205" s="530">
        <f t="shared" si="10"/>
        <v>4495.28</v>
      </c>
      <c r="M205" s="68">
        <f t="shared" si="11"/>
        <v>0</v>
      </c>
      <c r="N205" s="19"/>
      <c r="O205" s="69"/>
    </row>
    <row r="206" spans="1:15">
      <c r="A206" s="221"/>
      <c r="B206" s="538">
        <v>46201</v>
      </c>
      <c r="C206" s="520" t="s">
        <v>308</v>
      </c>
      <c r="D206" s="540" t="s">
        <v>309</v>
      </c>
      <c r="E206" s="531" t="s">
        <v>200</v>
      </c>
      <c r="F206" s="524" t="s">
        <v>200</v>
      </c>
      <c r="G206" s="524">
        <v>0</v>
      </c>
      <c r="H206" s="531">
        <v>7</v>
      </c>
      <c r="I206" s="524">
        <v>117.06</v>
      </c>
      <c r="J206" s="524">
        <v>819.42</v>
      </c>
      <c r="K206" s="392">
        <v>819.42</v>
      </c>
      <c r="L206" s="530">
        <f t="shared" si="10"/>
        <v>819.42</v>
      </c>
      <c r="M206" s="68">
        <f t="shared" si="11"/>
        <v>0</v>
      </c>
      <c r="N206" s="19"/>
      <c r="O206" s="69"/>
    </row>
    <row r="207" spans="1:15">
      <c r="A207" s="221"/>
      <c r="B207" s="538">
        <v>46201</v>
      </c>
      <c r="C207" s="520" t="s">
        <v>261</v>
      </c>
      <c r="D207" s="531" t="s">
        <v>203</v>
      </c>
      <c r="E207" s="531">
        <v>160</v>
      </c>
      <c r="F207" s="524">
        <v>105.21</v>
      </c>
      <c r="G207" s="524">
        <v>16833.599999999999</v>
      </c>
      <c r="H207" s="531" t="s">
        <v>200</v>
      </c>
      <c r="I207" s="524" t="s">
        <v>200</v>
      </c>
      <c r="J207" s="524">
        <v>0</v>
      </c>
      <c r="K207" s="539">
        <v>16833.599999999999</v>
      </c>
      <c r="L207" s="530">
        <f t="shared" si="10"/>
        <v>16833.599999999999</v>
      </c>
      <c r="M207" s="68">
        <f t="shared" si="11"/>
        <v>0</v>
      </c>
      <c r="N207" s="19"/>
      <c r="O207" s="69"/>
    </row>
    <row r="208" spans="1:15">
      <c r="A208" s="221"/>
      <c r="B208" s="538">
        <v>46201</v>
      </c>
      <c r="C208" s="520" t="s">
        <v>276</v>
      </c>
      <c r="D208" s="531" t="s">
        <v>90</v>
      </c>
      <c r="E208" s="531" t="s">
        <v>200</v>
      </c>
      <c r="F208" s="524" t="s">
        <v>200</v>
      </c>
      <c r="G208" s="524">
        <v>0</v>
      </c>
      <c r="H208" s="531">
        <v>5</v>
      </c>
      <c r="I208" s="524">
        <v>117.84</v>
      </c>
      <c r="J208" s="524">
        <v>589.20000000000005</v>
      </c>
      <c r="K208" s="392">
        <v>589.20000000000005</v>
      </c>
      <c r="L208" s="530">
        <f t="shared" si="10"/>
        <v>589.20000000000005</v>
      </c>
      <c r="M208" s="68">
        <f t="shared" si="11"/>
        <v>0</v>
      </c>
      <c r="N208" s="19"/>
      <c r="O208" s="69"/>
    </row>
    <row r="209" spans="1:15">
      <c r="A209" s="221"/>
      <c r="B209" s="538">
        <v>46201</v>
      </c>
      <c r="C209" s="520" t="s">
        <v>284</v>
      </c>
      <c r="D209" s="531" t="s">
        <v>223</v>
      </c>
      <c r="E209" s="531">
        <v>30</v>
      </c>
      <c r="F209" s="524">
        <v>105.35</v>
      </c>
      <c r="G209" s="524">
        <v>3160.5</v>
      </c>
      <c r="H209" s="531" t="s">
        <v>200</v>
      </c>
      <c r="I209" s="524" t="s">
        <v>200</v>
      </c>
      <c r="J209" s="524">
        <v>0</v>
      </c>
      <c r="K209" s="539">
        <v>3160.5</v>
      </c>
      <c r="L209" s="530">
        <f t="shared" si="10"/>
        <v>3160.5</v>
      </c>
      <c r="M209" s="68">
        <f t="shared" si="11"/>
        <v>0</v>
      </c>
      <c r="N209" s="19"/>
      <c r="O209" s="69"/>
    </row>
    <row r="210" spans="1:15">
      <c r="A210" s="221"/>
      <c r="B210" s="538">
        <v>46201</v>
      </c>
      <c r="C210" s="520" t="s">
        <v>269</v>
      </c>
      <c r="D210" s="531" t="s">
        <v>90</v>
      </c>
      <c r="E210" s="531">
        <v>48.34</v>
      </c>
      <c r="F210" s="524">
        <v>105.59</v>
      </c>
      <c r="G210" s="524">
        <v>5104.22</v>
      </c>
      <c r="H210" s="531" t="s">
        <v>200</v>
      </c>
      <c r="I210" s="524" t="s">
        <v>200</v>
      </c>
      <c r="J210" s="524">
        <v>0</v>
      </c>
      <c r="K210" s="539">
        <v>5104.22</v>
      </c>
      <c r="L210" s="530">
        <f t="shared" si="10"/>
        <v>5104.22</v>
      </c>
      <c r="M210" s="68">
        <f t="shared" si="11"/>
        <v>0</v>
      </c>
      <c r="N210" s="19"/>
      <c r="O210" s="69"/>
    </row>
    <row r="211" spans="1:15">
      <c r="A211" s="221"/>
      <c r="B211" s="538">
        <v>46201</v>
      </c>
      <c r="C211" s="520" t="s">
        <v>217</v>
      </c>
      <c r="D211" s="531" t="s">
        <v>218</v>
      </c>
      <c r="E211" s="531" t="s">
        <v>200</v>
      </c>
      <c r="F211" s="524" t="s">
        <v>200</v>
      </c>
      <c r="G211" s="524">
        <v>0</v>
      </c>
      <c r="H211" s="531">
        <v>15</v>
      </c>
      <c r="I211" s="524">
        <v>116.99</v>
      </c>
      <c r="J211" s="524">
        <v>1754.85</v>
      </c>
      <c r="K211" s="539">
        <v>1754.85</v>
      </c>
      <c r="L211" s="530">
        <f t="shared" si="10"/>
        <v>1754.85</v>
      </c>
      <c r="M211" s="68">
        <f t="shared" si="11"/>
        <v>0</v>
      </c>
      <c r="N211" s="19"/>
      <c r="O211" s="69"/>
    </row>
    <row r="212" spans="1:15">
      <c r="A212" s="221"/>
      <c r="B212" s="538">
        <v>46201</v>
      </c>
      <c r="C212" s="520" t="s">
        <v>217</v>
      </c>
      <c r="D212" s="531" t="s">
        <v>218</v>
      </c>
      <c r="E212" s="531">
        <v>10</v>
      </c>
      <c r="F212" s="524">
        <v>104.7</v>
      </c>
      <c r="G212" s="524">
        <v>1047</v>
      </c>
      <c r="H212" s="524" t="s">
        <v>200</v>
      </c>
      <c r="I212" s="524" t="s">
        <v>200</v>
      </c>
      <c r="J212" s="524" t="s">
        <v>200</v>
      </c>
      <c r="K212" s="539">
        <v>1047</v>
      </c>
      <c r="L212" s="530">
        <f t="shared" si="10"/>
        <v>1047</v>
      </c>
      <c r="M212" s="68">
        <f t="shared" si="11"/>
        <v>0</v>
      </c>
      <c r="N212" s="19"/>
      <c r="O212" s="69"/>
    </row>
    <row r="213" spans="1:15">
      <c r="A213" s="221"/>
      <c r="B213" s="538">
        <v>46201</v>
      </c>
      <c r="C213" s="520" t="s">
        <v>310</v>
      </c>
      <c r="D213" s="531" t="s">
        <v>200</v>
      </c>
      <c r="E213" s="531">
        <v>30</v>
      </c>
      <c r="F213" s="524">
        <v>104.72</v>
      </c>
      <c r="G213" s="524">
        <v>3141.6</v>
      </c>
      <c r="H213" s="524" t="s">
        <v>200</v>
      </c>
      <c r="I213" s="524" t="s">
        <v>200</v>
      </c>
      <c r="J213" s="524">
        <v>0</v>
      </c>
      <c r="K213" s="539">
        <v>3141.6</v>
      </c>
      <c r="L213" s="530">
        <f t="shared" si="10"/>
        <v>3141.6</v>
      </c>
      <c r="M213" s="68">
        <f t="shared" si="11"/>
        <v>0</v>
      </c>
      <c r="N213" s="19"/>
      <c r="O213" s="69"/>
    </row>
    <row r="214" spans="1:15">
      <c r="A214" s="221"/>
      <c r="B214" s="538">
        <v>46201</v>
      </c>
      <c r="C214" s="520" t="s">
        <v>220</v>
      </c>
      <c r="D214" s="531" t="s">
        <v>221</v>
      </c>
      <c r="E214" s="531">
        <v>43.33</v>
      </c>
      <c r="F214" s="524">
        <v>104.62</v>
      </c>
      <c r="G214" s="524">
        <v>4533.18</v>
      </c>
      <c r="H214" s="524" t="s">
        <v>200</v>
      </c>
      <c r="I214" s="524" t="s">
        <v>200</v>
      </c>
      <c r="J214" s="524">
        <v>0</v>
      </c>
      <c r="K214" s="539">
        <v>4533.18</v>
      </c>
      <c r="L214" s="530">
        <f t="shared" si="10"/>
        <v>4533.18</v>
      </c>
      <c r="M214" s="68">
        <f t="shared" si="11"/>
        <v>0</v>
      </c>
      <c r="N214" s="19"/>
      <c r="O214" s="69"/>
    </row>
    <row r="215" spans="1:15">
      <c r="A215" s="221"/>
      <c r="B215" s="538">
        <v>46202</v>
      </c>
      <c r="C215" s="520" t="s">
        <v>215</v>
      </c>
      <c r="D215" s="531" t="s">
        <v>216</v>
      </c>
      <c r="E215" s="531">
        <v>40</v>
      </c>
      <c r="F215" s="524">
        <v>105.29</v>
      </c>
      <c r="G215" s="524">
        <v>4533.18</v>
      </c>
      <c r="H215" s="524" t="s">
        <v>200</v>
      </c>
      <c r="I215" s="524" t="s">
        <v>200</v>
      </c>
      <c r="J215" s="524">
        <v>0</v>
      </c>
      <c r="K215" s="539">
        <v>4533.18</v>
      </c>
      <c r="L215" s="530">
        <f t="shared" si="10"/>
        <v>4533.18</v>
      </c>
      <c r="M215" s="68">
        <f t="shared" si="11"/>
        <v>0</v>
      </c>
      <c r="N215" s="19"/>
      <c r="O215" s="69"/>
    </row>
    <row r="216" spans="1:15">
      <c r="A216" s="221"/>
      <c r="B216" s="538">
        <v>46202</v>
      </c>
      <c r="C216" s="520" t="s">
        <v>222</v>
      </c>
      <c r="D216" s="531" t="s">
        <v>223</v>
      </c>
      <c r="E216" s="531" t="s">
        <v>200</v>
      </c>
      <c r="F216" s="524" t="s">
        <v>200</v>
      </c>
      <c r="G216" s="524" t="s">
        <v>200</v>
      </c>
      <c r="H216" s="531">
        <v>5</v>
      </c>
      <c r="I216" s="524">
        <v>117.72</v>
      </c>
      <c r="J216" s="524">
        <v>588.6</v>
      </c>
      <c r="K216" s="392">
        <v>588.6</v>
      </c>
      <c r="L216" s="530">
        <f t="shared" si="10"/>
        <v>588.6</v>
      </c>
      <c r="M216" s="68">
        <f t="shared" si="11"/>
        <v>0</v>
      </c>
      <c r="N216" s="19"/>
      <c r="O216" s="69"/>
    </row>
    <row r="217" spans="1:15">
      <c r="A217" s="221"/>
      <c r="B217" s="538">
        <v>46202</v>
      </c>
      <c r="C217" s="520" t="s">
        <v>311</v>
      </c>
      <c r="D217" s="531" t="s">
        <v>312</v>
      </c>
      <c r="E217" s="531" t="s">
        <v>200</v>
      </c>
      <c r="F217" s="524" t="s">
        <v>200</v>
      </c>
      <c r="G217" s="524" t="s">
        <v>200</v>
      </c>
      <c r="H217" s="531">
        <v>6</v>
      </c>
      <c r="I217" s="524">
        <v>117.24</v>
      </c>
      <c r="J217" s="524">
        <v>703.44</v>
      </c>
      <c r="K217" s="392">
        <v>703.44</v>
      </c>
      <c r="L217" s="530">
        <f t="shared" si="10"/>
        <v>703.44</v>
      </c>
      <c r="M217" s="68">
        <f t="shared" si="11"/>
        <v>0</v>
      </c>
      <c r="N217" s="19"/>
      <c r="O217" s="69"/>
    </row>
    <row r="218" spans="1:15">
      <c r="A218" s="221"/>
      <c r="B218" s="538">
        <v>46202</v>
      </c>
      <c r="C218" s="520" t="s">
        <v>222</v>
      </c>
      <c r="D218" s="531" t="s">
        <v>313</v>
      </c>
      <c r="E218" s="531" t="s">
        <v>200</v>
      </c>
      <c r="F218" s="524" t="s">
        <v>200</v>
      </c>
      <c r="G218" s="524">
        <v>0</v>
      </c>
      <c r="H218" s="531">
        <v>5</v>
      </c>
      <c r="I218" s="524">
        <v>117.72</v>
      </c>
      <c r="J218" s="524">
        <v>588.6</v>
      </c>
      <c r="K218" s="392">
        <v>588.6</v>
      </c>
      <c r="L218" s="530">
        <f t="shared" si="10"/>
        <v>588.6</v>
      </c>
      <c r="M218" s="68">
        <f t="shared" si="11"/>
        <v>0</v>
      </c>
      <c r="N218" s="19"/>
      <c r="O218" s="69"/>
    </row>
    <row r="219" spans="1:15">
      <c r="A219" s="221"/>
      <c r="B219" s="538">
        <v>46202</v>
      </c>
      <c r="C219" s="520" t="s">
        <v>269</v>
      </c>
      <c r="D219" s="531" t="s">
        <v>283</v>
      </c>
      <c r="E219" s="531" t="s">
        <v>200</v>
      </c>
      <c r="F219" s="524" t="s">
        <v>200</v>
      </c>
      <c r="G219" s="524">
        <v>0</v>
      </c>
      <c r="H219" s="531">
        <v>5</v>
      </c>
      <c r="I219" s="524">
        <v>117.98</v>
      </c>
      <c r="J219" s="524">
        <v>589.9</v>
      </c>
      <c r="K219" s="392">
        <v>589.9</v>
      </c>
      <c r="L219" s="530">
        <f t="shared" si="10"/>
        <v>589.9</v>
      </c>
      <c r="M219" s="68">
        <f t="shared" si="11"/>
        <v>0</v>
      </c>
      <c r="N219" s="19"/>
      <c r="O219" s="69"/>
    </row>
    <row r="220" spans="1:15">
      <c r="A220" s="221"/>
      <c r="B220" s="538">
        <v>46202</v>
      </c>
      <c r="C220" s="520" t="s">
        <v>314</v>
      </c>
      <c r="D220" s="531" t="s">
        <v>315</v>
      </c>
      <c r="E220" s="531">
        <v>49.64</v>
      </c>
      <c r="F220" s="524">
        <v>105.35</v>
      </c>
      <c r="G220" s="524">
        <v>5229.57</v>
      </c>
      <c r="H220" s="531" t="s">
        <v>200</v>
      </c>
      <c r="I220" s="524" t="s">
        <v>200</v>
      </c>
      <c r="J220" s="524">
        <v>0</v>
      </c>
      <c r="K220" s="539">
        <v>5229.57</v>
      </c>
      <c r="L220" s="530">
        <f t="shared" si="10"/>
        <v>5229.57</v>
      </c>
      <c r="M220" s="68">
        <f t="shared" si="11"/>
        <v>0</v>
      </c>
      <c r="N220" s="19"/>
      <c r="O220" s="69"/>
    </row>
    <row r="221" spans="1:15">
      <c r="A221" s="221"/>
      <c r="B221" s="538">
        <v>46202</v>
      </c>
      <c r="C221" s="520" t="s">
        <v>222</v>
      </c>
      <c r="D221" s="531" t="s">
        <v>313</v>
      </c>
      <c r="E221" s="531">
        <v>48.35</v>
      </c>
      <c r="F221" s="524">
        <v>105.35</v>
      </c>
      <c r="G221" s="524">
        <v>5093.67</v>
      </c>
      <c r="H221" s="531" t="s">
        <v>200</v>
      </c>
      <c r="I221" s="524" t="s">
        <v>200</v>
      </c>
      <c r="J221" s="524">
        <v>0</v>
      </c>
      <c r="K221" s="539">
        <v>5093.67</v>
      </c>
      <c r="L221" s="530">
        <f t="shared" si="10"/>
        <v>5093.67</v>
      </c>
      <c r="M221" s="68">
        <f t="shared" si="11"/>
        <v>0</v>
      </c>
      <c r="N221" s="19"/>
      <c r="O221" s="69"/>
    </row>
    <row r="222" spans="1:15">
      <c r="A222" s="221"/>
      <c r="B222" s="538">
        <v>46202</v>
      </c>
      <c r="C222" s="520" t="s">
        <v>269</v>
      </c>
      <c r="D222" s="531" t="s">
        <v>283</v>
      </c>
      <c r="E222" s="531" t="s">
        <v>200</v>
      </c>
      <c r="F222" s="524" t="s">
        <v>200</v>
      </c>
      <c r="G222" s="524">
        <v>0</v>
      </c>
      <c r="H222" s="531">
        <v>10</v>
      </c>
      <c r="I222" s="524">
        <v>117.98</v>
      </c>
      <c r="J222" s="524">
        <v>1179.8</v>
      </c>
      <c r="K222" s="539">
        <v>1179.8</v>
      </c>
      <c r="L222" s="530">
        <f t="shared" si="10"/>
        <v>1179.8</v>
      </c>
      <c r="M222" s="68">
        <f t="shared" si="11"/>
        <v>0</v>
      </c>
      <c r="N222" s="19"/>
      <c r="O222" s="69"/>
    </row>
    <row r="223" spans="1:15">
      <c r="A223" s="221"/>
      <c r="B223" s="538">
        <v>46202</v>
      </c>
      <c r="C223" s="520" t="s">
        <v>261</v>
      </c>
      <c r="D223" s="531" t="s">
        <v>283</v>
      </c>
      <c r="E223" s="531">
        <v>120</v>
      </c>
      <c r="F223" s="524">
        <v>105.21</v>
      </c>
      <c r="G223" s="524">
        <v>12625.2</v>
      </c>
      <c r="H223" s="531" t="s">
        <v>200</v>
      </c>
      <c r="I223" s="524" t="s">
        <v>200</v>
      </c>
      <c r="J223" s="524">
        <v>0</v>
      </c>
      <c r="K223" s="539">
        <v>12625.2</v>
      </c>
      <c r="L223" s="530">
        <f t="shared" si="10"/>
        <v>12625.2</v>
      </c>
      <c r="M223" s="68">
        <f t="shared" si="11"/>
        <v>0</v>
      </c>
      <c r="N223" s="19"/>
      <c r="O223" s="69"/>
    </row>
    <row r="224" spans="1:15">
      <c r="A224" s="221"/>
      <c r="B224" s="538">
        <v>46202</v>
      </c>
      <c r="C224" s="520" t="s">
        <v>316</v>
      </c>
      <c r="D224" s="531" t="s">
        <v>283</v>
      </c>
      <c r="E224" s="531">
        <v>70</v>
      </c>
      <c r="F224" s="524">
        <v>105.21</v>
      </c>
      <c r="G224" s="524">
        <v>7364.7</v>
      </c>
      <c r="H224" s="531" t="s">
        <v>200</v>
      </c>
      <c r="I224" s="524" t="s">
        <v>200</v>
      </c>
      <c r="J224" s="524">
        <v>0</v>
      </c>
      <c r="K224" s="539">
        <v>7364.7</v>
      </c>
      <c r="L224" s="530">
        <f t="shared" si="10"/>
        <v>7364.7</v>
      </c>
      <c r="M224" s="68">
        <f t="shared" si="11"/>
        <v>0</v>
      </c>
      <c r="N224" s="19"/>
      <c r="O224" s="69"/>
    </row>
    <row r="225" spans="1:15">
      <c r="A225" s="221"/>
      <c r="B225" s="538">
        <v>46202</v>
      </c>
      <c r="C225" s="520" t="s">
        <v>215</v>
      </c>
      <c r="D225" s="531" t="s">
        <v>216</v>
      </c>
      <c r="E225" s="531">
        <v>40</v>
      </c>
      <c r="F225" s="524">
        <v>105.29</v>
      </c>
      <c r="G225" s="524">
        <v>4211.6000000000004</v>
      </c>
      <c r="H225" s="531" t="s">
        <v>200</v>
      </c>
      <c r="I225" s="524" t="s">
        <v>200</v>
      </c>
      <c r="J225" s="524">
        <v>0</v>
      </c>
      <c r="K225" s="539">
        <v>4211.6000000000004</v>
      </c>
      <c r="L225" s="530">
        <f t="shared" si="10"/>
        <v>4211.6000000000004</v>
      </c>
      <c r="M225" s="68">
        <f t="shared" si="11"/>
        <v>0</v>
      </c>
      <c r="N225" s="19"/>
      <c r="O225" s="69"/>
    </row>
    <row r="226" spans="1:15">
      <c r="A226" s="221"/>
      <c r="B226" s="538">
        <v>46202</v>
      </c>
      <c r="C226" s="520" t="s">
        <v>276</v>
      </c>
      <c r="D226" s="531" t="s">
        <v>301</v>
      </c>
      <c r="E226" s="531">
        <v>10</v>
      </c>
      <c r="F226" s="524">
        <v>105.46</v>
      </c>
      <c r="G226" s="524">
        <v>1054.5999999999999</v>
      </c>
      <c r="H226" s="531" t="s">
        <v>200</v>
      </c>
      <c r="I226" s="524" t="s">
        <v>200</v>
      </c>
      <c r="J226" s="524">
        <v>0</v>
      </c>
      <c r="K226" s="539">
        <v>1054.5999999999999</v>
      </c>
      <c r="L226" s="530">
        <f t="shared" si="10"/>
        <v>1054.5999999999999</v>
      </c>
      <c r="M226" s="68">
        <f t="shared" si="11"/>
        <v>0</v>
      </c>
      <c r="N226" s="19"/>
      <c r="O226" s="69"/>
    </row>
    <row r="227" spans="1:15">
      <c r="A227" s="221"/>
      <c r="B227" s="538">
        <v>46202</v>
      </c>
      <c r="C227" s="520" t="s">
        <v>306</v>
      </c>
      <c r="D227" s="531" t="s">
        <v>246</v>
      </c>
      <c r="E227" s="531">
        <v>14.3</v>
      </c>
      <c r="F227" s="524">
        <v>104.92</v>
      </c>
      <c r="G227" s="524">
        <v>1500.04</v>
      </c>
      <c r="H227" s="524" t="s">
        <v>200</v>
      </c>
      <c r="I227" s="524" t="s">
        <v>200</v>
      </c>
      <c r="J227" s="524">
        <v>0</v>
      </c>
      <c r="K227" s="539">
        <v>1500.04</v>
      </c>
      <c r="L227" s="530">
        <f t="shared" si="10"/>
        <v>1500.04</v>
      </c>
      <c r="M227" s="68">
        <f t="shared" si="11"/>
        <v>0</v>
      </c>
      <c r="N227" s="19"/>
      <c r="O227" s="69"/>
    </row>
    <row r="228" spans="1:15">
      <c r="A228" s="221"/>
      <c r="B228" s="538">
        <v>46202</v>
      </c>
      <c r="C228" s="520" t="s">
        <v>306</v>
      </c>
      <c r="D228" s="531" t="s">
        <v>246</v>
      </c>
      <c r="E228" s="531">
        <v>35</v>
      </c>
      <c r="F228" s="524">
        <v>104.92</v>
      </c>
      <c r="G228" s="524">
        <v>3672.2</v>
      </c>
      <c r="H228" s="524" t="s">
        <v>200</v>
      </c>
      <c r="I228" s="524" t="s">
        <v>200</v>
      </c>
      <c r="J228" s="524">
        <v>0</v>
      </c>
      <c r="K228" s="539">
        <v>3672.2</v>
      </c>
      <c r="L228" s="530">
        <f t="shared" si="10"/>
        <v>3672.2</v>
      </c>
      <c r="M228" s="68">
        <f t="shared" si="11"/>
        <v>0</v>
      </c>
      <c r="N228" s="19"/>
      <c r="O228" s="69"/>
    </row>
    <row r="229" spans="1:15">
      <c r="A229" s="221"/>
      <c r="B229" s="538">
        <v>46202</v>
      </c>
      <c r="C229" s="520" t="s">
        <v>306</v>
      </c>
      <c r="D229" s="524" t="s">
        <v>246</v>
      </c>
      <c r="E229" s="531">
        <v>35</v>
      </c>
      <c r="F229" s="524">
        <v>104.92</v>
      </c>
      <c r="G229" s="524">
        <v>3672.2</v>
      </c>
      <c r="H229" s="524">
        <v>0</v>
      </c>
      <c r="I229" s="524" t="s">
        <v>200</v>
      </c>
      <c r="J229" s="524">
        <v>0</v>
      </c>
      <c r="K229" s="539">
        <v>3672.2</v>
      </c>
      <c r="L229" s="530">
        <f t="shared" si="10"/>
        <v>3672.2</v>
      </c>
      <c r="M229" s="68">
        <f t="shared" si="11"/>
        <v>0</v>
      </c>
      <c r="N229" s="19"/>
      <c r="O229" s="69"/>
    </row>
    <row r="230" spans="1:15">
      <c r="A230" s="221"/>
      <c r="B230" s="538">
        <v>46203</v>
      </c>
      <c r="C230" s="520" t="s">
        <v>261</v>
      </c>
      <c r="D230" s="524" t="s">
        <v>317</v>
      </c>
      <c r="E230" s="531">
        <v>80</v>
      </c>
      <c r="F230" s="524">
        <v>105.21</v>
      </c>
      <c r="G230" s="524">
        <v>8416.7999999999993</v>
      </c>
      <c r="H230" s="524" t="s">
        <v>200</v>
      </c>
      <c r="I230" s="524" t="s">
        <v>200</v>
      </c>
      <c r="J230" s="524" t="s">
        <v>200</v>
      </c>
      <c r="K230" s="539">
        <v>8416.7999999999993</v>
      </c>
      <c r="L230" s="530">
        <f t="shared" si="10"/>
        <v>8416.7999999999993</v>
      </c>
      <c r="M230" s="68">
        <f t="shared" si="11"/>
        <v>0</v>
      </c>
      <c r="N230" s="19"/>
      <c r="O230" s="69"/>
    </row>
    <row r="231" spans="1:15">
      <c r="A231" s="221"/>
      <c r="B231" s="538">
        <v>46203</v>
      </c>
      <c r="C231" s="520" t="s">
        <v>261</v>
      </c>
      <c r="D231" s="524" t="s">
        <v>238</v>
      </c>
      <c r="E231" s="531">
        <v>30</v>
      </c>
      <c r="F231" s="524">
        <v>105.21</v>
      </c>
      <c r="G231" s="524">
        <v>3156.3</v>
      </c>
      <c r="H231" s="524" t="s">
        <v>200</v>
      </c>
      <c r="I231" s="524" t="s">
        <v>200</v>
      </c>
      <c r="J231" s="524" t="s">
        <v>200</v>
      </c>
      <c r="K231" s="539">
        <v>3156.3</v>
      </c>
      <c r="L231" s="530">
        <f t="shared" si="10"/>
        <v>3156.3</v>
      </c>
      <c r="M231" s="68">
        <f t="shared" si="11"/>
        <v>0</v>
      </c>
      <c r="N231" s="19"/>
      <c r="O231" s="69"/>
    </row>
    <row r="232" spans="1:15">
      <c r="A232" s="221"/>
      <c r="B232" s="541">
        <v>46203</v>
      </c>
      <c r="C232" s="542" t="s">
        <v>239</v>
      </c>
      <c r="D232" s="543" t="s">
        <v>240</v>
      </c>
      <c r="E232" s="543">
        <v>54.21</v>
      </c>
      <c r="F232" s="543">
        <v>94.08</v>
      </c>
      <c r="G232" s="543">
        <v>5100.08</v>
      </c>
      <c r="H232" s="543" t="s">
        <v>200</v>
      </c>
      <c r="I232" s="543" t="s">
        <v>200</v>
      </c>
      <c r="J232" s="543" t="s">
        <v>200</v>
      </c>
      <c r="K232" s="544">
        <v>5100.08</v>
      </c>
      <c r="L232" s="530">
        <f t="shared" si="10"/>
        <v>5100.08</v>
      </c>
      <c r="M232" s="68">
        <f t="shared" si="11"/>
        <v>0</v>
      </c>
      <c r="N232" s="19"/>
      <c r="O232" s="69"/>
    </row>
    <row r="233" spans="1:15">
      <c r="A233" s="221"/>
      <c r="B233" s="538">
        <v>46203</v>
      </c>
      <c r="C233" s="520" t="s">
        <v>239</v>
      </c>
      <c r="D233" s="524" t="s">
        <v>240</v>
      </c>
      <c r="E233" s="531">
        <v>51.56</v>
      </c>
      <c r="F233" s="524">
        <v>94.08</v>
      </c>
      <c r="G233" s="524">
        <v>4850.76</v>
      </c>
      <c r="H233" s="524" t="s">
        <v>200</v>
      </c>
      <c r="I233" s="524" t="s">
        <v>200</v>
      </c>
      <c r="J233" s="524" t="s">
        <v>200</v>
      </c>
      <c r="K233" s="539">
        <v>4850.76</v>
      </c>
      <c r="L233" s="530">
        <f t="shared" si="10"/>
        <v>4850.76</v>
      </c>
      <c r="M233" s="68">
        <f t="shared" si="11"/>
        <v>0</v>
      </c>
      <c r="N233" s="19"/>
      <c r="O233" s="69"/>
    </row>
    <row r="234" spans="1:15">
      <c r="A234" s="221"/>
      <c r="B234" s="538">
        <v>46203</v>
      </c>
      <c r="C234" s="520" t="s">
        <v>307</v>
      </c>
      <c r="D234" s="524" t="s">
        <v>318</v>
      </c>
      <c r="E234" s="531" t="s">
        <v>200</v>
      </c>
      <c r="F234" s="524" t="s">
        <v>200</v>
      </c>
      <c r="G234" s="524" t="s">
        <v>200</v>
      </c>
      <c r="H234" s="524">
        <v>5</v>
      </c>
      <c r="I234" s="524">
        <v>117.68</v>
      </c>
      <c r="J234" s="524">
        <v>588.4</v>
      </c>
      <c r="K234" s="392">
        <v>588.4</v>
      </c>
      <c r="L234" s="530">
        <f t="shared" si="10"/>
        <v>588.4</v>
      </c>
      <c r="M234" s="68">
        <f t="shared" si="11"/>
        <v>0</v>
      </c>
      <c r="N234" s="19"/>
      <c r="O234" s="69"/>
    </row>
    <row r="235" spans="1:15">
      <c r="A235" s="221"/>
      <c r="B235" s="538">
        <v>46203</v>
      </c>
      <c r="C235" s="520" t="s">
        <v>311</v>
      </c>
      <c r="D235" s="531" t="s">
        <v>312</v>
      </c>
      <c r="E235" s="531">
        <v>42</v>
      </c>
      <c r="F235" s="524">
        <v>104.93</v>
      </c>
      <c r="G235" s="524">
        <v>4407.0600000000004</v>
      </c>
      <c r="H235" s="524" t="s">
        <v>200</v>
      </c>
      <c r="I235" s="524" t="s">
        <v>200</v>
      </c>
      <c r="J235" s="524" t="s">
        <v>200</v>
      </c>
      <c r="K235" s="539">
        <v>4407.0600000000004</v>
      </c>
      <c r="L235" s="530">
        <f t="shared" si="10"/>
        <v>4407.0600000000004</v>
      </c>
      <c r="M235" s="68">
        <f t="shared" si="11"/>
        <v>0</v>
      </c>
      <c r="N235" s="19"/>
      <c r="O235" s="69"/>
    </row>
    <row r="236" spans="1:15">
      <c r="A236" s="221"/>
      <c r="B236" s="538">
        <v>46203</v>
      </c>
      <c r="C236" s="520" t="s">
        <v>217</v>
      </c>
      <c r="D236" s="524" t="s">
        <v>218</v>
      </c>
      <c r="E236" s="531">
        <v>48.93</v>
      </c>
      <c r="F236" s="524">
        <v>104.7</v>
      </c>
      <c r="G236" s="524">
        <v>5122.97</v>
      </c>
      <c r="H236" s="524" t="s">
        <v>200</v>
      </c>
      <c r="I236" s="524" t="s">
        <v>200</v>
      </c>
      <c r="J236" s="524" t="s">
        <v>200</v>
      </c>
      <c r="K236" s="539">
        <v>5122.97</v>
      </c>
      <c r="L236" s="530">
        <f t="shared" si="10"/>
        <v>5122.97</v>
      </c>
      <c r="M236" s="68">
        <f t="shared" si="11"/>
        <v>0</v>
      </c>
      <c r="N236" s="19"/>
      <c r="O236" s="69"/>
    </row>
    <row r="237" spans="1:15">
      <c r="A237" s="221"/>
      <c r="B237" s="538">
        <v>46203</v>
      </c>
      <c r="C237" s="520" t="s">
        <v>217</v>
      </c>
      <c r="D237" s="524" t="s">
        <v>218</v>
      </c>
      <c r="E237" s="531" t="s">
        <v>200</v>
      </c>
      <c r="F237" s="524" t="s">
        <v>200</v>
      </c>
      <c r="G237" s="524" t="s">
        <v>200</v>
      </c>
      <c r="H237" s="524">
        <v>10.61</v>
      </c>
      <c r="I237" s="524">
        <v>116.99</v>
      </c>
      <c r="J237" s="524">
        <v>1241.46</v>
      </c>
      <c r="K237" s="539">
        <v>1241.46</v>
      </c>
      <c r="L237" s="530">
        <f t="shared" si="10"/>
        <v>1241.46</v>
      </c>
      <c r="M237" s="68">
        <f t="shared" si="11"/>
        <v>0</v>
      </c>
      <c r="N237" s="19"/>
      <c r="O237" s="69"/>
    </row>
    <row r="238" spans="1:15">
      <c r="A238" s="221"/>
      <c r="B238" s="538">
        <v>46203</v>
      </c>
      <c r="C238" s="520" t="s">
        <v>222</v>
      </c>
      <c r="D238" s="531" t="s">
        <v>313</v>
      </c>
      <c r="E238" s="531">
        <v>50</v>
      </c>
      <c r="F238" s="524">
        <v>105.35</v>
      </c>
      <c r="G238" s="524">
        <v>5267.5</v>
      </c>
      <c r="H238" s="524" t="s">
        <v>200</v>
      </c>
      <c r="I238" s="524" t="s">
        <v>200</v>
      </c>
      <c r="J238" s="524" t="s">
        <v>200</v>
      </c>
      <c r="K238" s="539">
        <v>5267.5</v>
      </c>
      <c r="L238" s="530">
        <f t="shared" si="10"/>
        <v>5267.5</v>
      </c>
      <c r="M238" s="68">
        <f t="shared" si="11"/>
        <v>0</v>
      </c>
      <c r="N238" s="19"/>
      <c r="O238" s="69"/>
    </row>
    <row r="239" spans="1:15">
      <c r="A239" s="221"/>
      <c r="B239" s="538">
        <v>46203</v>
      </c>
      <c r="C239" s="520" t="s">
        <v>269</v>
      </c>
      <c r="D239" s="531" t="s">
        <v>283</v>
      </c>
      <c r="E239" s="531">
        <v>30</v>
      </c>
      <c r="F239" s="524">
        <v>105.59</v>
      </c>
      <c r="G239" s="524">
        <v>3167.7</v>
      </c>
      <c r="H239" s="524" t="s">
        <v>200</v>
      </c>
      <c r="I239" s="524" t="s">
        <v>200</v>
      </c>
      <c r="J239" s="524" t="s">
        <v>200</v>
      </c>
      <c r="K239" s="539">
        <v>3167.7</v>
      </c>
      <c r="L239" s="530">
        <f t="shared" si="10"/>
        <v>3167.7</v>
      </c>
      <c r="M239" s="68">
        <f t="shared" si="11"/>
        <v>0</v>
      </c>
      <c r="N239" s="19"/>
      <c r="O239" s="69"/>
    </row>
    <row r="240" spans="1:15">
      <c r="A240" s="221"/>
      <c r="B240" s="538">
        <v>46203</v>
      </c>
      <c r="C240" s="520" t="s">
        <v>261</v>
      </c>
      <c r="D240" s="524" t="s">
        <v>238</v>
      </c>
      <c r="E240" s="531" t="s">
        <v>200</v>
      </c>
      <c r="F240" s="524" t="s">
        <v>200</v>
      </c>
      <c r="G240" s="524" t="s">
        <v>200</v>
      </c>
      <c r="H240" s="524">
        <v>5</v>
      </c>
      <c r="I240" s="524">
        <v>117.58</v>
      </c>
      <c r="J240" s="524">
        <v>587.9</v>
      </c>
      <c r="K240" s="392">
        <v>587.9</v>
      </c>
      <c r="L240" s="530">
        <f t="shared" si="10"/>
        <v>587.9</v>
      </c>
      <c r="M240" s="68">
        <f t="shared" si="11"/>
        <v>0</v>
      </c>
      <c r="N240" s="19"/>
      <c r="O240" s="69"/>
    </row>
    <row r="241" spans="1:15">
      <c r="A241" s="221"/>
      <c r="B241" s="538">
        <v>46203</v>
      </c>
      <c r="C241" s="520" t="s">
        <v>306</v>
      </c>
      <c r="D241" s="531" t="s">
        <v>246</v>
      </c>
      <c r="E241" s="531">
        <v>40</v>
      </c>
      <c r="F241" s="524">
        <v>104.92</v>
      </c>
      <c r="G241" s="524">
        <v>4196.8</v>
      </c>
      <c r="H241" s="524" t="s">
        <v>200</v>
      </c>
      <c r="I241" s="524" t="s">
        <v>200</v>
      </c>
      <c r="J241" s="524" t="s">
        <v>200</v>
      </c>
      <c r="K241" s="539">
        <v>4196.8</v>
      </c>
      <c r="L241" s="530">
        <f t="shared" si="10"/>
        <v>4196.8</v>
      </c>
      <c r="M241" s="68">
        <f t="shared" si="11"/>
        <v>0</v>
      </c>
      <c r="N241" s="19"/>
      <c r="O241" s="69"/>
    </row>
    <row r="242" spans="1:15">
      <c r="A242" s="221"/>
      <c r="B242" s="538">
        <v>46203</v>
      </c>
      <c r="C242" s="520" t="s">
        <v>306</v>
      </c>
      <c r="D242" s="531" t="s">
        <v>246</v>
      </c>
      <c r="E242" s="531">
        <v>19.059999999999999</v>
      </c>
      <c r="F242" s="524">
        <v>104.92</v>
      </c>
      <c r="G242" s="524">
        <v>2000</v>
      </c>
      <c r="H242" s="524" t="s">
        <v>200</v>
      </c>
      <c r="I242" s="524" t="s">
        <v>200</v>
      </c>
      <c r="J242" s="524" t="s">
        <v>200</v>
      </c>
      <c r="K242" s="539">
        <v>2000</v>
      </c>
      <c r="L242" s="530">
        <f t="shared" si="10"/>
        <v>2000</v>
      </c>
      <c r="M242" s="68">
        <f t="shared" si="11"/>
        <v>0</v>
      </c>
      <c r="N242" s="19"/>
      <c r="O242" s="69"/>
    </row>
    <row r="243" spans="1:15">
      <c r="A243" s="221"/>
      <c r="B243" s="398"/>
      <c r="C243" s="128"/>
      <c r="D243" s="129"/>
      <c r="E243" s="303"/>
      <c r="F243" s="399"/>
      <c r="G243" s="19"/>
      <c r="H243" s="303"/>
      <c r="I243" s="399"/>
      <c r="J243" s="19"/>
      <c r="K243" s="19"/>
      <c r="L243" s="130"/>
      <c r="M243" s="130"/>
      <c r="N243" s="19"/>
      <c r="O243" s="69"/>
    </row>
    <row r="244" spans="1:15">
      <c r="A244" s="221"/>
      <c r="B244" s="398"/>
      <c r="C244" s="128"/>
      <c r="D244" s="129"/>
      <c r="E244" s="303"/>
      <c r="F244" s="399"/>
      <c r="G244" s="19"/>
      <c r="H244" s="303"/>
      <c r="I244" s="399"/>
      <c r="J244" s="19"/>
      <c r="K244" s="19"/>
      <c r="L244" s="130"/>
      <c r="M244" s="130"/>
      <c r="N244" s="19"/>
      <c r="O244" s="69"/>
    </row>
    <row r="245" spans="1:15">
      <c r="A245" s="221"/>
      <c r="B245" s="398"/>
      <c r="C245" s="128"/>
      <c r="D245" s="129"/>
      <c r="E245" s="303"/>
      <c r="F245" s="399"/>
      <c r="G245" s="19"/>
      <c r="H245" s="303"/>
      <c r="I245" s="399"/>
      <c r="J245" s="19"/>
      <c r="K245" s="19"/>
      <c r="L245" s="130"/>
      <c r="M245" s="130"/>
      <c r="N245" s="19"/>
      <c r="O245" s="69"/>
    </row>
    <row r="246" spans="1:15">
      <c r="A246" s="62"/>
      <c r="B246" s="160"/>
      <c r="C246" s="160"/>
      <c r="D246" s="160"/>
      <c r="E246" s="383">
        <f>SUM(E4:E245)</f>
        <v>8824.400999999998</v>
      </c>
      <c r="F246" s="383"/>
      <c r="G246" s="383">
        <f>SUM(G4:G245)</f>
        <v>926569.7527999999</v>
      </c>
      <c r="H246" s="383">
        <f>SUM(H4:H245)</f>
        <v>371.17</v>
      </c>
      <c r="I246" s="161"/>
      <c r="J246" s="383">
        <f>SUM(J4:J245)</f>
        <v>43828.700000000004</v>
      </c>
      <c r="K246" s="161">
        <f>SUM(K4:K245)</f>
        <v>970398.45279999974</v>
      </c>
      <c r="L246" s="161">
        <v>970398.45279999974</v>
      </c>
      <c r="M246" s="161"/>
      <c r="N246" s="161"/>
      <c r="O246" s="59"/>
    </row>
    <row r="247" spans="1:15">
      <c r="A247" s="72"/>
      <c r="B247" s="73"/>
      <c r="C247" s="72"/>
      <c r="D247" s="72"/>
      <c r="E247" s="74"/>
      <c r="F247" s="74"/>
      <c r="G247" s="74"/>
      <c r="H247" s="74"/>
      <c r="I247" s="74"/>
      <c r="J247" s="75"/>
      <c r="K247" s="75"/>
      <c r="L247" s="75"/>
      <c r="M247" s="75"/>
      <c r="N247" s="74"/>
      <c r="O247" s="69"/>
    </row>
    <row r="248" spans="1:15">
      <c r="O248" s="69"/>
    </row>
    <row r="249" spans="1:15">
      <c r="O249" s="69"/>
    </row>
    <row r="250" spans="1:15">
      <c r="O250" s="69"/>
    </row>
    <row r="251" spans="1:15">
      <c r="O251" s="69"/>
    </row>
    <row r="252" spans="1:15">
      <c r="O252" s="69"/>
    </row>
    <row r="253" spans="1:15">
      <c r="A253" s="69"/>
      <c r="B253" s="59"/>
      <c r="C253" s="69"/>
      <c r="D253" s="69"/>
      <c r="E253" s="69"/>
      <c r="F253" s="69"/>
      <c r="G253" s="76"/>
      <c r="H253" s="69"/>
      <c r="I253" s="69"/>
      <c r="J253" s="59"/>
      <c r="K253" s="59"/>
      <c r="L253" s="59"/>
      <c r="M253" s="59"/>
      <c r="N253" s="69"/>
      <c r="O253" s="74"/>
    </row>
    <row r="254" spans="1:15">
      <c r="A254" s="69"/>
      <c r="B254" s="561"/>
      <c r="C254" s="561"/>
      <c r="D254" s="561"/>
      <c r="E254" s="561"/>
      <c r="F254" s="69"/>
      <c r="G254" s="69"/>
      <c r="H254" s="69"/>
      <c r="I254" s="561"/>
      <c r="J254" s="561"/>
      <c r="K254" s="561"/>
      <c r="L254" s="561"/>
      <c r="M254" s="561"/>
      <c r="N254" s="561"/>
      <c r="O254" s="74"/>
    </row>
    <row r="255" spans="1:15">
      <c r="A255" s="69"/>
      <c r="B255" s="59"/>
      <c r="C255" s="69"/>
      <c r="D255" s="69"/>
      <c r="E255" s="69"/>
      <c r="F255" s="69"/>
      <c r="G255" s="69"/>
      <c r="H255" s="69"/>
      <c r="I255" s="69">
        <v>435.43</v>
      </c>
      <c r="J255" s="59">
        <v>45858.98</v>
      </c>
      <c r="K255" s="59">
        <v>17</v>
      </c>
      <c r="L255" s="59">
        <v>1999.92</v>
      </c>
      <c r="M255" s="59"/>
      <c r="N255" s="69"/>
      <c r="O255" s="74"/>
    </row>
    <row r="256" spans="1:15">
      <c r="I256">
        <v>19.100000000000001</v>
      </c>
      <c r="J256">
        <v>2000</v>
      </c>
    </row>
    <row r="257" spans="9:10">
      <c r="I257">
        <f>SUM(I255:I256)</f>
        <v>454.53000000000003</v>
      </c>
      <c r="J257">
        <f>SUM(J255:J256)</f>
        <v>47858.98</v>
      </c>
    </row>
    <row r="258" spans="9:10">
      <c r="J258">
        <v>1999.92</v>
      </c>
    </row>
    <row r="259" spans="9:10">
      <c r="J259">
        <f>J257+J258</f>
        <v>49858.9</v>
      </c>
    </row>
  </sheetData>
  <mergeCells count="3">
    <mergeCell ref="A3:L3"/>
    <mergeCell ref="B254:E254"/>
    <mergeCell ref="I254:N25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6"/>
  <sheetViews>
    <sheetView topLeftCell="A14" workbookViewId="0">
      <selection activeCell="L32" sqref="L32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546" t="s">
        <v>196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82"/>
    </row>
    <row r="2" spans="1:18" ht="30.75">
      <c r="A2" s="98" t="s">
        <v>0</v>
      </c>
      <c r="B2" s="99" t="s">
        <v>167</v>
      </c>
      <c r="C2" s="99" t="s">
        <v>168</v>
      </c>
      <c r="D2" s="99" t="s">
        <v>191</v>
      </c>
      <c r="E2" s="256" t="s">
        <v>170</v>
      </c>
      <c r="F2" s="256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139" t="s">
        <v>175</v>
      </c>
      <c r="M2" s="143" t="s">
        <v>192</v>
      </c>
      <c r="N2" s="101" t="s">
        <v>177</v>
      </c>
      <c r="O2" s="59"/>
    </row>
    <row r="3" spans="1:18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8">
        <v>0</v>
      </c>
      <c r="N3" s="156"/>
      <c r="O3" s="59"/>
    </row>
    <row r="4" spans="1:18">
      <c r="A4" s="196">
        <v>1</v>
      </c>
      <c r="B4" s="219">
        <v>46174</v>
      </c>
      <c r="C4" s="67"/>
      <c r="D4" s="159"/>
      <c r="E4" s="257"/>
      <c r="F4" s="257"/>
      <c r="G4" s="8">
        <f t="shared" ref="G4:G36" si="0">E4*F4</f>
        <v>0</v>
      </c>
      <c r="H4" s="65">
        <v>9.49</v>
      </c>
      <c r="I4" s="66">
        <v>105.32</v>
      </c>
      <c r="J4" s="8">
        <f>H4*I4</f>
        <v>999.4867999999999</v>
      </c>
      <c r="K4" s="8">
        <f>G4+J4</f>
        <v>999.4867999999999</v>
      </c>
      <c r="L4" s="68">
        <f>+K4</f>
        <v>999.4867999999999</v>
      </c>
      <c r="M4" s="68">
        <v>0</v>
      </c>
      <c r="N4" s="8"/>
    </row>
    <row r="5" spans="1:18">
      <c r="A5" s="196"/>
      <c r="B5" s="219">
        <v>46174</v>
      </c>
      <c r="C5" s="67"/>
      <c r="D5" s="76"/>
      <c r="E5" s="257"/>
      <c r="F5" s="257"/>
      <c r="G5" s="8"/>
      <c r="H5" s="65">
        <v>3.4</v>
      </c>
      <c r="I5" s="66">
        <v>117.66</v>
      </c>
      <c r="J5" s="8">
        <f>H5*I5</f>
        <v>400.04399999999998</v>
      </c>
      <c r="K5" s="8">
        <f>G5+J5</f>
        <v>400.04399999999998</v>
      </c>
      <c r="L5" s="68">
        <f>+K5</f>
        <v>400.04399999999998</v>
      </c>
      <c r="M5" s="68"/>
      <c r="N5" s="182"/>
    </row>
    <row r="6" spans="1:18">
      <c r="A6" s="46">
        <v>2</v>
      </c>
      <c r="B6" s="219">
        <v>46175</v>
      </c>
      <c r="C6" s="67"/>
      <c r="E6" s="257"/>
      <c r="F6" s="257"/>
      <c r="G6" s="8">
        <f t="shared" si="0"/>
        <v>0</v>
      </c>
      <c r="H6" s="65"/>
      <c r="I6" s="66"/>
      <c r="J6" s="8">
        <f t="shared" ref="J6:J36" si="1">H6*I6</f>
        <v>0</v>
      </c>
      <c r="K6" s="8">
        <f t="shared" ref="K6:K36" si="2">G6+J6</f>
        <v>0</v>
      </c>
      <c r="L6" s="68">
        <f t="shared" ref="L6:L36" si="3">+K6</f>
        <v>0</v>
      </c>
      <c r="M6" s="68">
        <v>0</v>
      </c>
      <c r="N6" s="182" t="s">
        <v>224</v>
      </c>
    </row>
    <row r="7" spans="1:18">
      <c r="A7" s="46">
        <v>3</v>
      </c>
      <c r="B7" s="219">
        <v>46176</v>
      </c>
      <c r="C7" s="67"/>
      <c r="D7" s="159"/>
      <c r="E7" s="257"/>
      <c r="F7" s="257"/>
      <c r="G7" s="8">
        <f t="shared" si="0"/>
        <v>0</v>
      </c>
      <c r="H7" s="65"/>
      <c r="I7" s="66"/>
      <c r="J7" s="8">
        <f t="shared" si="1"/>
        <v>0</v>
      </c>
      <c r="K7" s="8">
        <f t="shared" si="2"/>
        <v>0</v>
      </c>
      <c r="L7" s="68">
        <f t="shared" si="3"/>
        <v>0</v>
      </c>
      <c r="M7" s="374">
        <v>0</v>
      </c>
      <c r="N7" s="17"/>
    </row>
    <row r="8" spans="1:18">
      <c r="A8" s="46">
        <v>4</v>
      </c>
      <c r="B8" s="219">
        <v>46177</v>
      </c>
      <c r="C8" s="67"/>
      <c r="D8" s="159"/>
      <c r="E8" s="257"/>
      <c r="F8" s="257"/>
      <c r="G8" s="8">
        <f t="shared" si="0"/>
        <v>0</v>
      </c>
      <c r="H8" s="65"/>
      <c r="I8" s="66"/>
      <c r="J8" s="8">
        <f t="shared" si="1"/>
        <v>0</v>
      </c>
      <c r="K8" s="8">
        <f t="shared" si="2"/>
        <v>0</v>
      </c>
      <c r="L8" s="68">
        <f t="shared" si="3"/>
        <v>0</v>
      </c>
      <c r="M8" s="374">
        <v>0</v>
      </c>
      <c r="N8" s="8"/>
    </row>
    <row r="9" spans="1:18">
      <c r="A9" s="46">
        <v>5</v>
      </c>
      <c r="B9" s="219">
        <v>46178</v>
      </c>
      <c r="C9" s="67"/>
      <c r="D9" s="159"/>
      <c r="E9" s="257"/>
      <c r="F9" s="257"/>
      <c r="G9" s="8">
        <f t="shared" si="0"/>
        <v>0</v>
      </c>
      <c r="H9" s="65"/>
      <c r="I9" s="66"/>
      <c r="J9" s="8">
        <f t="shared" si="1"/>
        <v>0</v>
      </c>
      <c r="K9" s="8">
        <f t="shared" si="2"/>
        <v>0</v>
      </c>
      <c r="L9" s="68">
        <f t="shared" si="3"/>
        <v>0</v>
      </c>
      <c r="M9" s="374">
        <v>0</v>
      </c>
      <c r="N9" s="8"/>
      <c r="O9" s="69"/>
      <c r="R9" s="225"/>
    </row>
    <row r="10" spans="1:18">
      <c r="A10" s="46">
        <v>6</v>
      </c>
      <c r="B10" s="219">
        <v>46179</v>
      </c>
      <c r="C10" s="67"/>
      <c r="D10" s="159"/>
      <c r="E10" s="257"/>
      <c r="F10" s="257"/>
      <c r="G10" s="8">
        <f t="shared" si="0"/>
        <v>0</v>
      </c>
      <c r="H10" s="65"/>
      <c r="I10" s="66"/>
      <c r="J10" s="8">
        <f t="shared" si="1"/>
        <v>0</v>
      </c>
      <c r="K10" s="8">
        <f t="shared" si="2"/>
        <v>0</v>
      </c>
      <c r="L10" s="68">
        <f t="shared" si="3"/>
        <v>0</v>
      </c>
      <c r="M10" s="68">
        <v>0</v>
      </c>
      <c r="N10" s="19" t="s">
        <v>181</v>
      </c>
      <c r="O10" s="69"/>
    </row>
    <row r="11" spans="1:18">
      <c r="A11" s="46">
        <v>7</v>
      </c>
      <c r="B11" s="219">
        <v>46180</v>
      </c>
      <c r="C11" s="67"/>
      <c r="D11" s="159"/>
      <c r="E11" s="257"/>
      <c r="F11" s="257"/>
      <c r="G11" s="8">
        <f t="shared" si="0"/>
        <v>0</v>
      </c>
      <c r="H11" s="65"/>
      <c r="I11" s="66"/>
      <c r="J11" s="8">
        <f t="shared" si="1"/>
        <v>0</v>
      </c>
      <c r="K11" s="8">
        <f t="shared" si="2"/>
        <v>0</v>
      </c>
      <c r="L11" s="68">
        <f t="shared" si="3"/>
        <v>0</v>
      </c>
      <c r="M11" s="68">
        <v>0</v>
      </c>
      <c r="N11" s="8"/>
      <c r="O11" s="69">
        <v>169.99</v>
      </c>
    </row>
    <row r="12" spans="1:18">
      <c r="A12" s="46">
        <v>8</v>
      </c>
      <c r="B12" s="219">
        <v>46181</v>
      </c>
      <c r="C12" s="67"/>
      <c r="D12" s="159"/>
      <c r="E12" s="257"/>
      <c r="F12" s="257"/>
      <c r="G12" s="8">
        <f t="shared" si="0"/>
        <v>0</v>
      </c>
      <c r="H12" s="65"/>
      <c r="I12" s="66"/>
      <c r="J12" s="8">
        <f t="shared" si="1"/>
        <v>0</v>
      </c>
      <c r="K12" s="8">
        <f t="shared" si="2"/>
        <v>0</v>
      </c>
      <c r="L12" s="68">
        <f t="shared" si="3"/>
        <v>0</v>
      </c>
      <c r="M12" s="68">
        <v>0</v>
      </c>
      <c r="N12" s="8"/>
      <c r="O12" s="69">
        <v>80</v>
      </c>
    </row>
    <row r="13" spans="1:18">
      <c r="A13" s="46">
        <v>9</v>
      </c>
      <c r="B13" s="219">
        <v>46182</v>
      </c>
      <c r="C13" s="67"/>
      <c r="D13" s="159"/>
      <c r="E13" s="257"/>
      <c r="F13" s="257"/>
      <c r="G13" s="8">
        <f t="shared" si="0"/>
        <v>0</v>
      </c>
      <c r="H13" s="65"/>
      <c r="I13" s="66"/>
      <c r="J13" s="8">
        <f t="shared" si="1"/>
        <v>0</v>
      </c>
      <c r="K13" s="8">
        <f t="shared" si="2"/>
        <v>0</v>
      </c>
      <c r="L13" s="68">
        <f t="shared" si="3"/>
        <v>0</v>
      </c>
      <c r="M13" s="68">
        <v>0</v>
      </c>
      <c r="N13" s="8"/>
      <c r="O13" s="69">
        <f>SUM(O11:O12)</f>
        <v>249.99</v>
      </c>
      <c r="P13">
        <v>97.76</v>
      </c>
      <c r="Q13">
        <f>O13*P13</f>
        <v>24439.022400000002</v>
      </c>
    </row>
    <row r="14" spans="1:18">
      <c r="A14" s="46">
        <v>10</v>
      </c>
      <c r="B14" s="219">
        <v>46183</v>
      </c>
      <c r="C14" s="67"/>
      <c r="D14" s="159"/>
      <c r="E14" s="257"/>
      <c r="F14" s="257"/>
      <c r="G14" s="8">
        <f t="shared" si="0"/>
        <v>0</v>
      </c>
      <c r="H14" s="65"/>
      <c r="I14" s="66"/>
      <c r="J14" s="8">
        <f t="shared" si="1"/>
        <v>0</v>
      </c>
      <c r="K14" s="8">
        <f t="shared" si="2"/>
        <v>0</v>
      </c>
      <c r="L14" s="68">
        <f t="shared" si="3"/>
        <v>0</v>
      </c>
      <c r="M14" s="68">
        <v>0</v>
      </c>
      <c r="N14" s="8"/>
      <c r="O14" s="69"/>
    </row>
    <row r="15" spans="1:18">
      <c r="A15" s="46">
        <v>11</v>
      </c>
      <c r="B15" s="219">
        <v>46184</v>
      </c>
      <c r="C15" s="67"/>
      <c r="D15" s="159"/>
      <c r="E15" s="257"/>
      <c r="F15" s="257"/>
      <c r="G15" s="8">
        <f t="shared" si="0"/>
        <v>0</v>
      </c>
      <c r="H15" s="65"/>
      <c r="I15" s="66"/>
      <c r="J15" s="8">
        <f t="shared" si="1"/>
        <v>0</v>
      </c>
      <c r="K15" s="8">
        <f>G15+J15</f>
        <v>0</v>
      </c>
      <c r="L15" s="68">
        <f>+K15</f>
        <v>0</v>
      </c>
      <c r="M15" s="68">
        <v>0</v>
      </c>
      <c r="N15" s="8"/>
      <c r="O15" s="69"/>
    </row>
    <row r="16" spans="1:18">
      <c r="A16" s="46">
        <v>12</v>
      </c>
      <c r="B16" s="219">
        <v>46185</v>
      </c>
      <c r="C16" s="67"/>
      <c r="D16" s="159"/>
      <c r="E16" s="257"/>
      <c r="F16" s="257"/>
      <c r="G16" s="8">
        <f t="shared" si="0"/>
        <v>0</v>
      </c>
      <c r="H16" s="65"/>
      <c r="I16" s="66"/>
      <c r="J16" s="8">
        <f t="shared" si="1"/>
        <v>0</v>
      </c>
      <c r="K16" s="8">
        <f t="shared" si="2"/>
        <v>0</v>
      </c>
      <c r="L16" s="68">
        <f t="shared" si="3"/>
        <v>0</v>
      </c>
      <c r="M16" s="68">
        <v>0</v>
      </c>
      <c r="N16" s="8"/>
      <c r="O16" s="69"/>
      <c r="P16">
        <v>7820.8</v>
      </c>
    </row>
    <row r="17" spans="1:16">
      <c r="A17" s="46">
        <v>13</v>
      </c>
      <c r="B17" s="219">
        <v>46186</v>
      </c>
      <c r="C17" s="67"/>
      <c r="D17" s="159"/>
      <c r="E17" s="257"/>
      <c r="F17" s="257"/>
      <c r="G17" s="8">
        <f t="shared" si="0"/>
        <v>0</v>
      </c>
      <c r="H17" s="65"/>
      <c r="I17" s="66"/>
      <c r="J17" s="8">
        <f t="shared" si="1"/>
        <v>0</v>
      </c>
      <c r="K17" s="8">
        <f t="shared" si="2"/>
        <v>0</v>
      </c>
      <c r="L17" s="68">
        <f t="shared" si="3"/>
        <v>0</v>
      </c>
      <c r="M17" s="68">
        <v>0</v>
      </c>
      <c r="N17" s="8"/>
      <c r="O17" s="69"/>
      <c r="P17">
        <v>16619.2</v>
      </c>
    </row>
    <row r="18" spans="1:16">
      <c r="A18" s="46">
        <v>14</v>
      </c>
      <c r="B18" s="219">
        <v>46187</v>
      </c>
      <c r="C18" s="67"/>
      <c r="D18" s="159"/>
      <c r="E18" s="257"/>
      <c r="F18" s="257"/>
      <c r="G18" s="8">
        <f t="shared" si="0"/>
        <v>0</v>
      </c>
      <c r="H18" s="65"/>
      <c r="I18" s="66"/>
      <c r="J18" s="8">
        <f t="shared" si="1"/>
        <v>0</v>
      </c>
      <c r="K18" s="8">
        <f t="shared" si="2"/>
        <v>0</v>
      </c>
      <c r="L18" s="68">
        <f t="shared" si="3"/>
        <v>0</v>
      </c>
      <c r="M18" s="68">
        <v>0</v>
      </c>
      <c r="N18" s="8"/>
      <c r="O18" s="69"/>
      <c r="P18">
        <f>SUM(P16:P17)</f>
        <v>24440</v>
      </c>
    </row>
    <row r="19" spans="1:16">
      <c r="A19" s="46">
        <v>15</v>
      </c>
      <c r="B19" s="219">
        <v>46188</v>
      </c>
      <c r="C19" s="67"/>
      <c r="D19" s="159"/>
      <c r="E19" s="321"/>
      <c r="F19" s="321"/>
      <c r="G19" s="182">
        <f t="shared" si="0"/>
        <v>0</v>
      </c>
      <c r="H19" s="65"/>
      <c r="I19" s="66"/>
      <c r="J19" s="182">
        <f t="shared" si="1"/>
        <v>0</v>
      </c>
      <c r="K19" s="182">
        <f t="shared" si="2"/>
        <v>0</v>
      </c>
      <c r="L19" s="322">
        <f t="shared" si="3"/>
        <v>0</v>
      </c>
      <c r="M19" s="322">
        <v>0</v>
      </c>
      <c r="N19" s="8"/>
      <c r="O19" s="69"/>
    </row>
    <row r="20" spans="1:16">
      <c r="A20" s="46">
        <v>16</v>
      </c>
      <c r="B20" s="219">
        <v>46189</v>
      </c>
      <c r="C20" s="67"/>
      <c r="D20" s="320"/>
      <c r="E20" s="257"/>
      <c r="F20" s="257"/>
      <c r="G20" s="8">
        <f t="shared" si="0"/>
        <v>0</v>
      </c>
      <c r="H20" s="65"/>
      <c r="I20" s="66"/>
      <c r="J20" s="8">
        <f t="shared" si="1"/>
        <v>0</v>
      </c>
      <c r="K20" s="8">
        <f t="shared" si="2"/>
        <v>0</v>
      </c>
      <c r="L20" s="68">
        <f>+K20</f>
        <v>0</v>
      </c>
      <c r="M20" s="68">
        <v>0</v>
      </c>
      <c r="N20" s="193"/>
      <c r="O20" s="69"/>
    </row>
    <row r="21" spans="1:16">
      <c r="A21" s="46">
        <v>17</v>
      </c>
      <c r="B21" s="219">
        <v>46190</v>
      </c>
      <c r="C21" s="67"/>
      <c r="D21" s="320"/>
      <c r="E21" s="257"/>
      <c r="F21" s="257"/>
      <c r="G21" s="8">
        <f t="shared" si="0"/>
        <v>0</v>
      </c>
      <c r="H21" s="65"/>
      <c r="I21" s="66"/>
      <c r="J21" s="8">
        <f t="shared" si="1"/>
        <v>0</v>
      </c>
      <c r="K21" s="8">
        <f t="shared" si="2"/>
        <v>0</v>
      </c>
      <c r="L21" s="68">
        <f t="shared" si="3"/>
        <v>0</v>
      </c>
      <c r="M21" s="68">
        <v>0</v>
      </c>
      <c r="N21" s="193"/>
      <c r="O21" s="69"/>
    </row>
    <row r="22" spans="1:16">
      <c r="A22" s="46">
        <v>18</v>
      </c>
      <c r="B22" s="219">
        <v>46191</v>
      </c>
      <c r="C22" s="67"/>
      <c r="D22" s="320"/>
      <c r="E22" s="17"/>
      <c r="F22" s="17"/>
      <c r="G22" s="8">
        <f t="shared" si="0"/>
        <v>0</v>
      </c>
      <c r="H22" s="65"/>
      <c r="I22" s="66"/>
      <c r="J22" s="8">
        <f t="shared" si="1"/>
        <v>0</v>
      </c>
      <c r="K22" s="8">
        <f t="shared" si="2"/>
        <v>0</v>
      </c>
      <c r="L22" s="68">
        <f t="shared" si="3"/>
        <v>0</v>
      </c>
      <c r="M22" s="68">
        <v>0</v>
      </c>
      <c r="N22" s="193"/>
      <c r="O22" s="69"/>
    </row>
    <row r="23" spans="1:16">
      <c r="A23" s="46">
        <v>19</v>
      </c>
      <c r="B23" s="219">
        <v>46192</v>
      </c>
      <c r="C23" s="67"/>
      <c r="D23" s="320"/>
      <c r="E23" s="17"/>
      <c r="F23" s="17"/>
      <c r="G23" s="8">
        <f t="shared" si="0"/>
        <v>0</v>
      </c>
      <c r="H23" s="65">
        <v>2.5499999999999998</v>
      </c>
      <c r="I23" s="66">
        <v>117.66</v>
      </c>
      <c r="J23" s="8">
        <f t="shared" si="1"/>
        <v>300.03299999999996</v>
      </c>
      <c r="K23" s="8">
        <f t="shared" si="2"/>
        <v>300.03299999999996</v>
      </c>
      <c r="L23" s="68">
        <f t="shared" si="3"/>
        <v>300.03299999999996</v>
      </c>
      <c r="M23" s="68">
        <v>0</v>
      </c>
      <c r="N23" s="193"/>
      <c r="O23" s="69"/>
    </row>
    <row r="24" spans="1:16">
      <c r="A24" s="46">
        <v>20</v>
      </c>
      <c r="B24" s="219">
        <v>46193</v>
      </c>
      <c r="C24" s="67"/>
      <c r="D24" s="320"/>
      <c r="E24" s="17"/>
      <c r="F24" s="17"/>
      <c r="G24" s="8">
        <f t="shared" si="0"/>
        <v>0</v>
      </c>
      <c r="H24" s="65"/>
      <c r="I24" s="66"/>
      <c r="J24" s="8">
        <f t="shared" si="1"/>
        <v>0</v>
      </c>
      <c r="K24" s="8">
        <f t="shared" si="2"/>
        <v>0</v>
      </c>
      <c r="L24" s="68">
        <f t="shared" si="3"/>
        <v>0</v>
      </c>
      <c r="M24" s="68">
        <v>0</v>
      </c>
      <c r="N24" s="193"/>
      <c r="O24" s="69"/>
    </row>
    <row r="25" spans="1:16">
      <c r="A25" s="46">
        <v>21</v>
      </c>
      <c r="B25" s="219">
        <v>46194</v>
      </c>
      <c r="C25" s="67"/>
      <c r="D25" s="320"/>
      <c r="E25" s="17"/>
      <c r="F25" s="17"/>
      <c r="G25" s="8">
        <f t="shared" si="0"/>
        <v>0</v>
      </c>
      <c r="H25" s="65"/>
      <c r="I25" s="66"/>
      <c r="J25" s="8">
        <f t="shared" si="1"/>
        <v>0</v>
      </c>
      <c r="K25" s="8">
        <f t="shared" si="2"/>
        <v>0</v>
      </c>
      <c r="L25" s="68">
        <f t="shared" si="3"/>
        <v>0</v>
      </c>
      <c r="M25" s="68">
        <v>0</v>
      </c>
      <c r="N25" s="193"/>
      <c r="O25" s="69"/>
    </row>
    <row r="26" spans="1:16">
      <c r="A26" s="46">
        <v>22</v>
      </c>
      <c r="B26" s="219">
        <v>46195</v>
      </c>
      <c r="C26" s="67"/>
      <c r="D26" s="320"/>
      <c r="E26" s="17"/>
      <c r="F26" s="17"/>
      <c r="G26" s="8">
        <f t="shared" si="0"/>
        <v>0</v>
      </c>
      <c r="H26" s="65"/>
      <c r="I26" s="66"/>
      <c r="J26" s="8">
        <f t="shared" si="1"/>
        <v>0</v>
      </c>
      <c r="K26" s="8">
        <f t="shared" si="2"/>
        <v>0</v>
      </c>
      <c r="L26" s="68">
        <f t="shared" si="3"/>
        <v>0</v>
      </c>
      <c r="M26" s="68">
        <v>0</v>
      </c>
      <c r="N26" s="193"/>
      <c r="O26" s="69"/>
    </row>
    <row r="27" spans="1:16">
      <c r="A27" s="46">
        <v>23</v>
      </c>
      <c r="B27" s="219">
        <v>46196</v>
      </c>
      <c r="C27" s="67"/>
      <c r="D27" s="320"/>
      <c r="E27" s="17"/>
      <c r="F27" s="17"/>
      <c r="G27" s="8">
        <f t="shared" si="0"/>
        <v>0</v>
      </c>
      <c r="H27" s="65"/>
      <c r="I27" s="66"/>
      <c r="J27" s="8">
        <f t="shared" si="1"/>
        <v>0</v>
      </c>
      <c r="K27" s="8">
        <f t="shared" si="2"/>
        <v>0</v>
      </c>
      <c r="L27" s="68">
        <f t="shared" si="3"/>
        <v>0</v>
      </c>
      <c r="M27" s="68">
        <v>0</v>
      </c>
      <c r="N27" s="193"/>
      <c r="O27" s="69"/>
    </row>
    <row r="28" spans="1:16">
      <c r="A28" s="46">
        <v>24</v>
      </c>
      <c r="B28" s="219">
        <v>46197</v>
      </c>
      <c r="C28" s="67"/>
      <c r="D28" s="320"/>
      <c r="E28" s="17"/>
      <c r="F28" s="17"/>
      <c r="G28" s="8">
        <f t="shared" si="0"/>
        <v>0</v>
      </c>
      <c r="H28" s="65"/>
      <c r="I28" s="66"/>
      <c r="J28" s="8">
        <f t="shared" si="1"/>
        <v>0</v>
      </c>
      <c r="K28" s="8">
        <f t="shared" si="2"/>
        <v>0</v>
      </c>
      <c r="L28" s="68">
        <f t="shared" si="3"/>
        <v>0</v>
      </c>
      <c r="M28" s="68">
        <v>0</v>
      </c>
      <c r="N28" s="193"/>
      <c r="O28" s="69"/>
    </row>
    <row r="29" spans="1:16">
      <c r="A29" s="221">
        <v>25</v>
      </c>
      <c r="B29" s="219">
        <v>46198</v>
      </c>
      <c r="C29" s="67"/>
      <c r="D29" s="320"/>
      <c r="E29" s="17"/>
      <c r="F29" s="17"/>
      <c r="G29" s="8">
        <f t="shared" si="0"/>
        <v>0</v>
      </c>
      <c r="H29" s="65"/>
      <c r="I29" s="66"/>
      <c r="J29" s="8">
        <f t="shared" si="1"/>
        <v>0</v>
      </c>
      <c r="K29" s="8">
        <f t="shared" si="2"/>
        <v>0</v>
      </c>
      <c r="L29" s="68">
        <f t="shared" si="3"/>
        <v>0</v>
      </c>
      <c r="M29" s="68">
        <v>0</v>
      </c>
      <c r="N29" s="193"/>
      <c r="O29" s="69"/>
    </row>
    <row r="30" spans="1:16">
      <c r="A30" s="221"/>
      <c r="B30" s="219">
        <v>46199</v>
      </c>
      <c r="C30" s="67"/>
      <c r="D30" s="320"/>
      <c r="E30" s="17"/>
      <c r="F30" s="17"/>
      <c r="G30" s="19"/>
      <c r="H30" s="65"/>
      <c r="I30" s="66"/>
      <c r="J30" s="8">
        <f t="shared" si="1"/>
        <v>0</v>
      </c>
      <c r="K30" s="8">
        <f t="shared" si="2"/>
        <v>0</v>
      </c>
      <c r="L30" s="68">
        <f t="shared" si="3"/>
        <v>0</v>
      </c>
      <c r="M30" s="130"/>
      <c r="N30" s="193"/>
      <c r="O30" s="69"/>
    </row>
    <row r="31" spans="1:16">
      <c r="A31" s="221">
        <v>26</v>
      </c>
      <c r="B31" s="219">
        <v>46200</v>
      </c>
      <c r="C31" s="67"/>
      <c r="D31" s="159"/>
      <c r="E31" s="17"/>
      <c r="F31" s="17"/>
      <c r="G31" s="19">
        <f t="shared" si="0"/>
        <v>0</v>
      </c>
      <c r="H31" s="65"/>
      <c r="I31" s="66"/>
      <c r="J31" s="19">
        <f t="shared" si="1"/>
        <v>0</v>
      </c>
      <c r="K31" s="19">
        <f t="shared" si="2"/>
        <v>0</v>
      </c>
      <c r="L31" s="130">
        <f t="shared" si="3"/>
        <v>0</v>
      </c>
      <c r="M31" s="130">
        <v>0</v>
      </c>
      <c r="N31" s="8"/>
      <c r="O31" s="69"/>
    </row>
    <row r="32" spans="1:16">
      <c r="A32" s="221">
        <v>27</v>
      </c>
      <c r="B32" s="219">
        <v>46201</v>
      </c>
      <c r="C32" s="67"/>
      <c r="D32" s="159"/>
      <c r="E32" s="17"/>
      <c r="F32" s="17"/>
      <c r="G32" s="8">
        <f t="shared" si="0"/>
        <v>0</v>
      </c>
      <c r="H32" s="65">
        <v>3.4</v>
      </c>
      <c r="I32" s="66">
        <v>117.66</v>
      </c>
      <c r="J32" s="8">
        <f t="shared" si="1"/>
        <v>400.04399999999998</v>
      </c>
      <c r="K32" s="8">
        <f t="shared" si="2"/>
        <v>400.04399999999998</v>
      </c>
      <c r="L32" s="68">
        <f t="shared" si="3"/>
        <v>400.04399999999998</v>
      </c>
      <c r="M32" s="68">
        <v>0</v>
      </c>
      <c r="N32" s="8"/>
      <c r="O32" s="69"/>
    </row>
    <row r="33" spans="1:15">
      <c r="A33" s="221">
        <v>28</v>
      </c>
      <c r="B33" s="219">
        <v>46202</v>
      </c>
      <c r="C33" s="67"/>
      <c r="D33" s="159"/>
      <c r="E33" s="159"/>
      <c r="F33" s="17"/>
      <c r="G33" s="8">
        <f t="shared" si="0"/>
        <v>0</v>
      </c>
      <c r="H33" s="65"/>
      <c r="I33" s="66"/>
      <c r="J33" s="8">
        <f t="shared" si="1"/>
        <v>0</v>
      </c>
      <c r="K33" s="8">
        <f t="shared" si="2"/>
        <v>0</v>
      </c>
      <c r="L33" s="68">
        <f t="shared" si="3"/>
        <v>0</v>
      </c>
      <c r="M33" s="68">
        <v>0</v>
      </c>
      <c r="N33" s="8"/>
      <c r="O33" s="69"/>
    </row>
    <row r="34" spans="1:15">
      <c r="A34" s="222">
        <v>29</v>
      </c>
      <c r="B34" s="219">
        <v>46203</v>
      </c>
      <c r="C34" s="67"/>
      <c r="D34" s="159"/>
      <c r="E34" s="17"/>
      <c r="F34" s="17"/>
      <c r="G34" s="8">
        <f t="shared" si="0"/>
        <v>0</v>
      </c>
      <c r="H34" s="65"/>
      <c r="I34" s="66"/>
      <c r="J34" s="8">
        <f t="shared" si="1"/>
        <v>0</v>
      </c>
      <c r="K34" s="8">
        <f t="shared" si="2"/>
        <v>0</v>
      </c>
      <c r="L34" s="68">
        <f t="shared" si="3"/>
        <v>0</v>
      </c>
      <c r="M34" s="68">
        <v>0</v>
      </c>
      <c r="N34" s="8"/>
      <c r="O34" s="69"/>
    </row>
    <row r="35" spans="1:15">
      <c r="A35" s="222">
        <v>30</v>
      </c>
      <c r="B35" s="219"/>
      <c r="C35" s="67"/>
      <c r="D35" s="159"/>
      <c r="E35" s="17"/>
      <c r="F35" s="17"/>
      <c r="G35" s="8">
        <f t="shared" si="0"/>
        <v>0</v>
      </c>
      <c r="H35" s="65"/>
      <c r="I35" s="66"/>
      <c r="J35" s="8">
        <f t="shared" si="1"/>
        <v>0</v>
      </c>
      <c r="K35" s="8">
        <f t="shared" si="2"/>
        <v>0</v>
      </c>
      <c r="L35" s="68">
        <f t="shared" si="3"/>
        <v>0</v>
      </c>
      <c r="M35" s="68">
        <v>0</v>
      </c>
      <c r="N35" s="8"/>
      <c r="O35" s="69"/>
    </row>
    <row r="36" spans="1:15">
      <c r="A36" s="222">
        <v>31</v>
      </c>
      <c r="B36" s="219"/>
      <c r="C36" s="67"/>
      <c r="D36" s="159"/>
      <c r="E36" s="257"/>
      <c r="F36" s="17"/>
      <c r="G36" s="8">
        <f t="shared" si="0"/>
        <v>0</v>
      </c>
      <c r="H36" s="65"/>
      <c r="I36" s="66"/>
      <c r="J36" s="8">
        <f t="shared" si="1"/>
        <v>0</v>
      </c>
      <c r="K36" s="8">
        <f t="shared" si="2"/>
        <v>0</v>
      </c>
      <c r="L36" s="68">
        <f t="shared" si="3"/>
        <v>0</v>
      </c>
      <c r="M36" s="68">
        <v>0</v>
      </c>
      <c r="N36" s="8"/>
      <c r="O36" s="69"/>
    </row>
    <row r="37" spans="1:15">
      <c r="A37" s="62"/>
      <c r="B37" s="62"/>
      <c r="C37" s="62"/>
      <c r="D37" s="62"/>
      <c r="E37" s="258">
        <f>SUM(E4:E36)</f>
        <v>0</v>
      </c>
      <c r="F37" s="258"/>
      <c r="G37" s="63">
        <f>SUM(G4:G36)</f>
        <v>0</v>
      </c>
      <c r="H37" s="63">
        <f>SUM(H4:H36)</f>
        <v>18.84</v>
      </c>
      <c r="I37" s="63"/>
      <c r="J37" s="63">
        <f>SUM(J4:J36)</f>
        <v>2099.6077999999998</v>
      </c>
      <c r="K37" s="63">
        <f>SUM(K4:K36)</f>
        <v>2099.6077999999998</v>
      </c>
      <c r="L37" s="63">
        <f>SUM(L4:L36)</f>
        <v>2099.6077999999998</v>
      </c>
      <c r="M37" s="63"/>
      <c r="N37" s="63"/>
      <c r="O37" s="59"/>
    </row>
    <row r="38" spans="1:15">
      <c r="A38" s="72"/>
      <c r="B38" s="73"/>
      <c r="C38" s="72"/>
      <c r="D38" s="72"/>
      <c r="E38" s="74"/>
      <c r="F38" s="74"/>
      <c r="G38" s="74"/>
      <c r="H38" s="74"/>
      <c r="I38" s="74"/>
      <c r="J38" s="75"/>
      <c r="K38" s="75"/>
      <c r="L38" s="75"/>
      <c r="M38" s="75"/>
      <c r="N38" s="74"/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O42" s="69"/>
    </row>
    <row r="43" spans="1:15">
      <c r="O43" s="69"/>
    </row>
    <row r="44" spans="1:15">
      <c r="A44" s="69"/>
      <c r="B44" s="59"/>
      <c r="C44" s="69"/>
      <c r="D44" s="69"/>
      <c r="E44" s="69"/>
      <c r="F44" s="69"/>
      <c r="G44" s="76"/>
      <c r="H44" s="69"/>
      <c r="I44" s="69"/>
      <c r="J44" s="59"/>
      <c r="K44" s="59"/>
      <c r="L44" s="59"/>
      <c r="M44" s="59"/>
      <c r="N44" s="69"/>
      <c r="O44" s="74"/>
    </row>
    <row r="45" spans="1:15">
      <c r="A45" s="69"/>
      <c r="B45" s="561"/>
      <c r="C45" s="561"/>
      <c r="D45" s="561"/>
      <c r="E45" s="561"/>
      <c r="F45" s="69"/>
      <c r="G45" s="69"/>
      <c r="H45" s="69"/>
      <c r="I45" s="561"/>
      <c r="J45" s="561"/>
      <c r="K45" s="561"/>
      <c r="L45" s="561"/>
      <c r="M45" s="561"/>
      <c r="N45" s="561"/>
      <c r="O45" s="74"/>
    </row>
    <row r="46" spans="1:15">
      <c r="A46" s="69"/>
      <c r="B46" s="59"/>
      <c r="C46" s="69"/>
      <c r="D46" s="69"/>
      <c r="E46" s="69"/>
      <c r="F46" s="69"/>
      <c r="G46" s="69"/>
      <c r="H46" s="69"/>
      <c r="I46" s="69"/>
      <c r="J46" s="59"/>
      <c r="K46" s="59"/>
      <c r="L46" s="59"/>
      <c r="M46" s="59"/>
      <c r="N46" s="69"/>
      <c r="O46" s="74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3" activePane="bottomLeft" state="frozen"/>
      <selection pane="bottomLeft" activeCell="A11" sqref="A11:XFD11"/>
    </sheetView>
  </sheetViews>
  <sheetFormatPr defaultColWidth="12.28515625" defaultRowHeight="12.75"/>
  <cols>
    <col min="1" max="1" width="8.42578125" style="61" customWidth="1"/>
    <col min="2" max="3" width="12.28515625" style="61"/>
    <col min="4" max="4" width="13.5703125" style="61" customWidth="1"/>
    <col min="5" max="5" width="12.28515625" style="61"/>
    <col min="6" max="6" width="13.7109375" style="61" bestFit="1" customWidth="1"/>
    <col min="7" max="16384" width="12.28515625" style="61"/>
  </cols>
  <sheetData>
    <row r="1" spans="1:15" ht="15.75" customHeight="1">
      <c r="A1" s="564" t="s">
        <v>99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60"/>
    </row>
    <row r="2" spans="1:15" ht="15.75" customHeight="1">
      <c r="A2" s="87" t="s">
        <v>0</v>
      </c>
      <c r="B2" s="88" t="s">
        <v>167</v>
      </c>
      <c r="C2" s="88" t="s">
        <v>168</v>
      </c>
      <c r="D2" s="88" t="s">
        <v>169</v>
      </c>
      <c r="E2" s="88" t="s">
        <v>170</v>
      </c>
      <c r="F2" s="88" t="s">
        <v>171</v>
      </c>
      <c r="G2" s="88" t="s">
        <v>172</v>
      </c>
      <c r="H2" s="88" t="s">
        <v>173</v>
      </c>
      <c r="I2" s="88" t="s">
        <v>171</v>
      </c>
      <c r="J2" s="112" t="s">
        <v>172</v>
      </c>
      <c r="K2" s="114" t="s">
        <v>174</v>
      </c>
      <c r="L2" s="115" t="s">
        <v>175</v>
      </c>
      <c r="M2" s="116" t="s">
        <v>192</v>
      </c>
      <c r="N2" s="89" t="s">
        <v>177</v>
      </c>
      <c r="O2" s="33"/>
    </row>
    <row r="3" spans="1:15" ht="15.75" customHeight="1">
      <c r="A3" s="547" t="s">
        <v>178</v>
      </c>
      <c r="B3" s="548"/>
      <c r="C3" s="560"/>
      <c r="D3" s="560"/>
      <c r="E3" s="560"/>
      <c r="F3" s="560"/>
      <c r="G3" s="560"/>
      <c r="H3" s="560"/>
      <c r="I3" s="560"/>
      <c r="J3" s="563"/>
      <c r="K3" s="200">
        <v>159888.9</v>
      </c>
      <c r="L3" s="203">
        <v>0</v>
      </c>
      <c r="M3" s="200">
        <v>159888.9</v>
      </c>
      <c r="N3" s="203"/>
      <c r="O3" s="33">
        <v>207239.43099999998</v>
      </c>
    </row>
    <row r="4" spans="1:15" ht="15">
      <c r="A4" s="26">
        <v>1</v>
      </c>
      <c r="B4" s="27">
        <v>45809</v>
      </c>
      <c r="C4" s="107"/>
      <c r="D4" s="107"/>
      <c r="E4" s="36"/>
      <c r="F4" s="36"/>
      <c r="G4" s="36">
        <f>E4*F4</f>
        <v>0</v>
      </c>
      <c r="H4" s="199"/>
      <c r="I4" s="199"/>
      <c r="J4" s="36">
        <f>H4*I4</f>
        <v>0</v>
      </c>
      <c r="K4" s="36">
        <f>G4+J4</f>
        <v>0</v>
      </c>
      <c r="L4" s="203"/>
      <c r="M4" s="200">
        <f>M3+K4-L4</f>
        <v>159888.9</v>
      </c>
      <c r="N4" s="36"/>
      <c r="O4" s="28"/>
    </row>
    <row r="5" spans="1:15" ht="15">
      <c r="A5" s="26">
        <v>2</v>
      </c>
      <c r="B5" s="27">
        <v>45810</v>
      </c>
      <c r="C5" s="107"/>
      <c r="D5" s="107"/>
      <c r="E5" s="36"/>
      <c r="F5" s="36"/>
      <c r="G5" s="36">
        <f t="shared" ref="G5:G33" si="0">E5*F5</f>
        <v>0</v>
      </c>
      <c r="H5" s="199"/>
      <c r="I5" s="199"/>
      <c r="J5" s="36">
        <f t="shared" ref="J5:J33" si="1">H5*I5</f>
        <v>0</v>
      </c>
      <c r="K5" s="36">
        <f t="shared" ref="K5:K33" si="2">G5+J5</f>
        <v>0</v>
      </c>
      <c r="L5" s="203"/>
      <c r="M5" s="200">
        <f>M4+K5-L5</f>
        <v>159888.9</v>
      </c>
      <c r="N5" s="36"/>
      <c r="O5" s="28"/>
    </row>
    <row r="6" spans="1:15" ht="15">
      <c r="A6" s="26">
        <v>3</v>
      </c>
      <c r="B6" s="27">
        <v>45811</v>
      </c>
      <c r="C6" s="107"/>
      <c r="D6" s="107"/>
      <c r="E6" s="36"/>
      <c r="F6" s="36"/>
      <c r="G6" s="36">
        <f t="shared" si="0"/>
        <v>0</v>
      </c>
      <c r="H6" s="199"/>
      <c r="I6" s="199"/>
      <c r="J6" s="36">
        <f t="shared" si="1"/>
        <v>0</v>
      </c>
      <c r="K6" s="36">
        <f t="shared" si="2"/>
        <v>0</v>
      </c>
      <c r="L6" s="203"/>
      <c r="M6" s="200">
        <f>M5+K6-L6</f>
        <v>159888.9</v>
      </c>
      <c r="N6" s="36"/>
      <c r="O6" s="28"/>
    </row>
    <row r="7" spans="1:15" ht="15">
      <c r="A7" s="26">
        <v>4</v>
      </c>
      <c r="B7" s="27">
        <v>45812</v>
      </c>
      <c r="C7" s="107"/>
      <c r="D7" s="107"/>
      <c r="E7" s="36"/>
      <c r="F7" s="36"/>
      <c r="G7" s="36">
        <f t="shared" si="0"/>
        <v>0</v>
      </c>
      <c r="H7" s="199"/>
      <c r="I7" s="199"/>
      <c r="J7" s="36">
        <f t="shared" si="1"/>
        <v>0</v>
      </c>
      <c r="K7" s="36">
        <f t="shared" si="2"/>
        <v>0</v>
      </c>
      <c r="L7" s="203"/>
      <c r="M7" s="200">
        <f>M6+K7-L7</f>
        <v>159888.9</v>
      </c>
      <c r="N7" s="36"/>
      <c r="O7" s="28"/>
    </row>
    <row r="8" spans="1:15" ht="15">
      <c r="A8" s="26">
        <v>5</v>
      </c>
      <c r="B8" s="27">
        <v>45813</v>
      </c>
      <c r="C8" s="107"/>
      <c r="D8" s="107"/>
      <c r="E8" s="36"/>
      <c r="F8" s="36">
        <v>0</v>
      </c>
      <c r="G8" s="36">
        <f t="shared" si="0"/>
        <v>0</v>
      </c>
      <c r="H8" s="199">
        <v>0</v>
      </c>
      <c r="I8" s="199">
        <v>0</v>
      </c>
      <c r="J8" s="36">
        <f t="shared" si="1"/>
        <v>0</v>
      </c>
      <c r="K8" s="36">
        <f t="shared" si="2"/>
        <v>0</v>
      </c>
      <c r="L8" s="203"/>
      <c r="M8" s="200">
        <f>M7+K8-L8</f>
        <v>159888.9</v>
      </c>
      <c r="N8" s="36"/>
      <c r="O8" s="28"/>
    </row>
    <row r="9" spans="1:15" ht="15">
      <c r="A9" s="26">
        <v>6</v>
      </c>
      <c r="B9" s="27">
        <v>45814</v>
      </c>
      <c r="C9" s="107"/>
      <c r="D9" s="107"/>
      <c r="E9" s="36"/>
      <c r="F9" s="36">
        <v>0</v>
      </c>
      <c r="G9" s="36">
        <f t="shared" ref="G9:G18" si="3">E9*F9</f>
        <v>0</v>
      </c>
      <c r="H9" s="199">
        <v>0</v>
      </c>
      <c r="I9" s="199">
        <v>0</v>
      </c>
      <c r="J9" s="36">
        <f t="shared" si="1"/>
        <v>0</v>
      </c>
      <c r="K9" s="36">
        <f t="shared" si="2"/>
        <v>0</v>
      </c>
      <c r="L9" s="203"/>
      <c r="M9" s="200">
        <f t="shared" ref="M9:M33" si="4">M8+K9-L9</f>
        <v>159888.9</v>
      </c>
      <c r="N9" s="36"/>
      <c r="O9" s="28"/>
    </row>
    <row r="10" spans="1:15" ht="15">
      <c r="A10" s="26">
        <v>7</v>
      </c>
      <c r="B10" s="27">
        <v>45815</v>
      </c>
      <c r="C10" s="107"/>
      <c r="D10" s="107"/>
      <c r="E10" s="36"/>
      <c r="F10" s="36">
        <v>0</v>
      </c>
      <c r="G10" s="36">
        <f t="shared" si="3"/>
        <v>0</v>
      </c>
      <c r="H10" s="199">
        <v>0</v>
      </c>
      <c r="I10" s="199">
        <v>0</v>
      </c>
      <c r="J10" s="36">
        <f t="shared" ref="J10:J17" si="5">H10*I10</f>
        <v>0</v>
      </c>
      <c r="K10" s="36">
        <f t="shared" ref="K10:K17" si="6">G10+J10</f>
        <v>0</v>
      </c>
      <c r="L10" s="203"/>
      <c r="M10" s="200">
        <f t="shared" si="4"/>
        <v>159888.9</v>
      </c>
      <c r="N10" s="36"/>
      <c r="O10" s="28"/>
    </row>
    <row r="11" spans="1:15" ht="15">
      <c r="A11" s="26">
        <v>8</v>
      </c>
      <c r="B11" s="27">
        <v>45816</v>
      </c>
      <c r="C11" s="107"/>
      <c r="D11" s="107"/>
      <c r="E11" s="36"/>
      <c r="F11" s="36">
        <v>0</v>
      </c>
      <c r="G11" s="36">
        <f t="shared" si="3"/>
        <v>0</v>
      </c>
      <c r="H11" s="199">
        <v>0</v>
      </c>
      <c r="I11" s="199">
        <v>0</v>
      </c>
      <c r="J11" s="36">
        <f t="shared" si="5"/>
        <v>0</v>
      </c>
      <c r="K11" s="36">
        <f t="shared" si="6"/>
        <v>0</v>
      </c>
      <c r="L11" s="513">
        <v>159889</v>
      </c>
      <c r="M11" s="200">
        <f t="shared" si="4"/>
        <v>-0.10000000000582077</v>
      </c>
      <c r="N11" s="36"/>
      <c r="O11" s="28"/>
    </row>
    <row r="12" spans="1:15" ht="15">
      <c r="A12" s="26">
        <v>9</v>
      </c>
      <c r="B12" s="27">
        <v>45817</v>
      </c>
      <c r="C12" s="107"/>
      <c r="D12" s="107"/>
      <c r="E12" s="36">
        <v>1000</v>
      </c>
      <c r="F12" s="36">
        <v>102.96</v>
      </c>
      <c r="G12" s="36">
        <f t="shared" si="3"/>
        <v>102960</v>
      </c>
      <c r="H12" s="199">
        <v>140</v>
      </c>
      <c r="I12" s="199">
        <v>117.3</v>
      </c>
      <c r="J12" s="36">
        <f t="shared" si="5"/>
        <v>16422</v>
      </c>
      <c r="K12" s="36">
        <f t="shared" si="6"/>
        <v>119382</v>
      </c>
      <c r="L12" s="203"/>
      <c r="M12" s="200">
        <f t="shared" si="4"/>
        <v>119381.9</v>
      </c>
      <c r="N12" s="36"/>
      <c r="O12" s="28"/>
    </row>
    <row r="13" spans="1:15" ht="15">
      <c r="A13" s="26">
        <v>10</v>
      </c>
      <c r="B13" s="27">
        <v>45818</v>
      </c>
      <c r="C13" s="107"/>
      <c r="D13" s="107"/>
      <c r="E13" s="36">
        <v>1000</v>
      </c>
      <c r="F13" s="36">
        <v>102.96</v>
      </c>
      <c r="G13" s="36">
        <f t="shared" si="3"/>
        <v>102960</v>
      </c>
      <c r="H13" s="199">
        <v>0</v>
      </c>
      <c r="I13" s="199">
        <v>0</v>
      </c>
      <c r="J13" s="36">
        <f t="shared" si="5"/>
        <v>0</v>
      </c>
      <c r="K13" s="36">
        <f t="shared" si="6"/>
        <v>102960</v>
      </c>
      <c r="L13" s="203"/>
      <c r="M13" s="200">
        <f t="shared" si="4"/>
        <v>222341.9</v>
      </c>
      <c r="N13" s="36"/>
      <c r="O13" s="28"/>
    </row>
    <row r="14" spans="1:15" ht="15">
      <c r="A14" s="26">
        <v>11</v>
      </c>
      <c r="B14" s="27">
        <v>45819</v>
      </c>
      <c r="C14" s="107"/>
      <c r="D14" s="107"/>
      <c r="E14" s="36">
        <v>1000</v>
      </c>
      <c r="F14" s="36">
        <v>102.96</v>
      </c>
      <c r="G14" s="36">
        <f t="shared" si="3"/>
        <v>102960</v>
      </c>
      <c r="H14" s="199">
        <v>0</v>
      </c>
      <c r="I14" s="199">
        <v>0</v>
      </c>
      <c r="J14" s="36">
        <f t="shared" si="5"/>
        <v>0</v>
      </c>
      <c r="K14" s="36">
        <f t="shared" si="6"/>
        <v>102960</v>
      </c>
      <c r="L14" s="203"/>
      <c r="M14" s="200">
        <f t="shared" si="4"/>
        <v>325301.90000000002</v>
      </c>
      <c r="N14" s="36"/>
      <c r="O14" s="28"/>
    </row>
    <row r="15" spans="1:15" ht="15">
      <c r="A15" s="26">
        <v>12</v>
      </c>
      <c r="B15" s="27">
        <v>45820</v>
      </c>
      <c r="C15" s="107"/>
      <c r="D15" s="107"/>
      <c r="E15" s="36"/>
      <c r="F15" s="36">
        <v>0</v>
      </c>
      <c r="G15" s="36">
        <f t="shared" si="3"/>
        <v>0</v>
      </c>
      <c r="H15" s="199">
        <v>0</v>
      </c>
      <c r="I15" s="199">
        <v>0</v>
      </c>
      <c r="J15" s="36">
        <f t="shared" si="5"/>
        <v>0</v>
      </c>
      <c r="K15" s="36">
        <f t="shared" si="6"/>
        <v>0</v>
      </c>
      <c r="L15" s="203"/>
      <c r="M15" s="200">
        <f t="shared" si="4"/>
        <v>325301.90000000002</v>
      </c>
      <c r="N15" s="36"/>
      <c r="O15" s="28"/>
    </row>
    <row r="16" spans="1:15" ht="15">
      <c r="A16" s="26">
        <v>13</v>
      </c>
      <c r="B16" s="27">
        <v>45821</v>
      </c>
      <c r="C16" s="107"/>
      <c r="D16" s="107"/>
      <c r="E16" s="36"/>
      <c r="F16" s="36">
        <v>0</v>
      </c>
      <c r="G16" s="36">
        <f t="shared" si="3"/>
        <v>0</v>
      </c>
      <c r="H16" s="199">
        <v>0</v>
      </c>
      <c r="I16" s="199">
        <v>0</v>
      </c>
      <c r="J16" s="36">
        <f t="shared" si="5"/>
        <v>0</v>
      </c>
      <c r="K16" s="36">
        <f t="shared" si="6"/>
        <v>0</v>
      </c>
      <c r="L16" s="203"/>
      <c r="M16" s="200">
        <f t="shared" si="4"/>
        <v>325301.90000000002</v>
      </c>
      <c r="N16" s="36"/>
      <c r="O16" s="28"/>
    </row>
    <row r="17" spans="1:15" ht="15">
      <c r="A17" s="26">
        <v>14</v>
      </c>
      <c r="B17" s="27">
        <v>45822</v>
      </c>
      <c r="C17" s="107"/>
      <c r="D17" s="107"/>
      <c r="E17" s="36"/>
      <c r="F17" s="36">
        <v>0</v>
      </c>
      <c r="G17" s="36">
        <f t="shared" si="3"/>
        <v>0</v>
      </c>
      <c r="H17" s="199">
        <v>0</v>
      </c>
      <c r="I17" s="199">
        <v>0</v>
      </c>
      <c r="J17" s="36">
        <f t="shared" si="5"/>
        <v>0</v>
      </c>
      <c r="K17" s="36">
        <f t="shared" si="6"/>
        <v>0</v>
      </c>
      <c r="L17" s="203"/>
      <c r="M17" s="200">
        <f t="shared" si="4"/>
        <v>325301.90000000002</v>
      </c>
      <c r="N17" s="36"/>
      <c r="O17" s="28"/>
    </row>
    <row r="18" spans="1:15" ht="15">
      <c r="A18" s="26">
        <v>15</v>
      </c>
      <c r="B18" s="27">
        <v>45823</v>
      </c>
      <c r="C18" s="107"/>
      <c r="D18" s="107"/>
      <c r="E18" s="36"/>
      <c r="F18" s="36">
        <v>0</v>
      </c>
      <c r="G18" s="36">
        <f t="shared" si="3"/>
        <v>0</v>
      </c>
      <c r="H18" s="199">
        <v>0</v>
      </c>
      <c r="I18" s="199">
        <v>0</v>
      </c>
      <c r="J18" s="36">
        <f t="shared" si="1"/>
        <v>0</v>
      </c>
      <c r="K18" s="36">
        <f t="shared" si="2"/>
        <v>0</v>
      </c>
      <c r="L18" s="203"/>
      <c r="M18" s="200">
        <f t="shared" si="4"/>
        <v>325301.90000000002</v>
      </c>
      <c r="N18" s="36"/>
      <c r="O18" s="28"/>
    </row>
    <row r="19" spans="1:15" ht="15">
      <c r="A19" s="26">
        <v>16</v>
      </c>
      <c r="B19" s="27">
        <v>45824</v>
      </c>
      <c r="C19" s="107"/>
      <c r="D19" s="107"/>
      <c r="E19" s="36"/>
      <c r="F19" s="36">
        <v>0</v>
      </c>
      <c r="G19" s="36">
        <f t="shared" si="0"/>
        <v>0</v>
      </c>
      <c r="H19" s="199">
        <v>0</v>
      </c>
      <c r="I19" s="199">
        <v>0</v>
      </c>
      <c r="J19" s="36">
        <f t="shared" si="1"/>
        <v>0</v>
      </c>
      <c r="K19" s="36">
        <f t="shared" si="2"/>
        <v>0</v>
      </c>
      <c r="L19" s="203"/>
      <c r="M19" s="200">
        <f t="shared" si="4"/>
        <v>325301.90000000002</v>
      </c>
      <c r="N19" s="36"/>
      <c r="O19" s="28"/>
    </row>
    <row r="20" spans="1:15" ht="15">
      <c r="A20" s="26">
        <v>17</v>
      </c>
      <c r="B20" s="27">
        <v>45825</v>
      </c>
      <c r="C20" s="107"/>
      <c r="D20" s="107"/>
      <c r="E20" s="36"/>
      <c r="F20" s="36">
        <v>0</v>
      </c>
      <c r="G20" s="36">
        <f t="shared" si="0"/>
        <v>0</v>
      </c>
      <c r="H20" s="199">
        <v>0</v>
      </c>
      <c r="I20" s="199">
        <v>0</v>
      </c>
      <c r="J20" s="36">
        <f t="shared" si="1"/>
        <v>0</v>
      </c>
      <c r="K20" s="36">
        <f t="shared" si="2"/>
        <v>0</v>
      </c>
      <c r="L20" s="203"/>
      <c r="M20" s="200">
        <f t="shared" si="4"/>
        <v>325301.90000000002</v>
      </c>
      <c r="N20" s="36"/>
      <c r="O20" s="28"/>
    </row>
    <row r="21" spans="1:15" ht="15">
      <c r="A21" s="26">
        <v>18</v>
      </c>
      <c r="B21" s="27">
        <v>45826</v>
      </c>
      <c r="C21" s="107"/>
      <c r="D21" s="107"/>
      <c r="E21" s="36"/>
      <c r="F21" s="36">
        <v>0</v>
      </c>
      <c r="G21" s="36">
        <f t="shared" si="0"/>
        <v>0</v>
      </c>
      <c r="H21" s="199">
        <v>0</v>
      </c>
      <c r="I21" s="199">
        <v>0</v>
      </c>
      <c r="J21" s="36">
        <f t="shared" si="1"/>
        <v>0</v>
      </c>
      <c r="K21" s="36">
        <f t="shared" si="2"/>
        <v>0</v>
      </c>
      <c r="L21" s="203"/>
      <c r="M21" s="200">
        <f t="shared" si="4"/>
        <v>325301.90000000002</v>
      </c>
      <c r="N21" s="36"/>
      <c r="O21" s="28"/>
    </row>
    <row r="22" spans="1:15" ht="15">
      <c r="A22" s="26">
        <v>19</v>
      </c>
      <c r="B22" s="27">
        <v>45827</v>
      </c>
      <c r="C22" s="107"/>
      <c r="D22" s="107"/>
      <c r="E22" s="36"/>
      <c r="F22" s="36">
        <v>0</v>
      </c>
      <c r="G22" s="36"/>
      <c r="H22" s="199">
        <v>0</v>
      </c>
      <c r="I22" s="199">
        <v>0</v>
      </c>
      <c r="J22" s="36">
        <f t="shared" si="1"/>
        <v>0</v>
      </c>
      <c r="K22" s="36">
        <f t="shared" si="2"/>
        <v>0</v>
      </c>
      <c r="L22" s="203"/>
      <c r="M22" s="200">
        <f t="shared" si="4"/>
        <v>325301.90000000002</v>
      </c>
      <c r="N22" s="36"/>
      <c r="O22" s="28"/>
    </row>
    <row r="23" spans="1:15" ht="15">
      <c r="A23" s="26">
        <v>20</v>
      </c>
      <c r="B23" s="27">
        <v>45828</v>
      </c>
      <c r="C23" s="107"/>
      <c r="D23" s="107"/>
      <c r="E23" s="36"/>
      <c r="F23" s="36">
        <v>0</v>
      </c>
      <c r="G23" s="36"/>
      <c r="H23" s="199">
        <v>0</v>
      </c>
      <c r="I23" s="199">
        <v>0</v>
      </c>
      <c r="J23" s="36">
        <f t="shared" ref="J23:J32" si="7">H23*I23</f>
        <v>0</v>
      </c>
      <c r="K23" s="36">
        <f t="shared" ref="K23:K32" si="8">G23+J23</f>
        <v>0</v>
      </c>
      <c r="L23" s="203"/>
      <c r="M23" s="200">
        <f t="shared" si="4"/>
        <v>325301.90000000002</v>
      </c>
      <c r="N23" s="36"/>
      <c r="O23" s="28"/>
    </row>
    <row r="24" spans="1:15" ht="15">
      <c r="A24" s="26">
        <v>21</v>
      </c>
      <c r="B24" s="27">
        <v>45829</v>
      </c>
      <c r="C24" s="107"/>
      <c r="D24" s="107"/>
      <c r="E24" s="36"/>
      <c r="F24" s="36">
        <v>0</v>
      </c>
      <c r="G24" s="36"/>
      <c r="H24" s="199"/>
      <c r="I24" s="199"/>
      <c r="J24" s="36">
        <f t="shared" si="7"/>
        <v>0</v>
      </c>
      <c r="K24" s="36">
        <f t="shared" si="8"/>
        <v>0</v>
      </c>
      <c r="L24" s="203"/>
      <c r="M24" s="200">
        <f t="shared" si="4"/>
        <v>325301.90000000002</v>
      </c>
      <c r="N24" s="36"/>
      <c r="O24" s="28"/>
    </row>
    <row r="25" spans="1:15" ht="15">
      <c r="A25" s="26">
        <v>22</v>
      </c>
      <c r="B25" s="27">
        <v>45830</v>
      </c>
      <c r="C25" s="107"/>
      <c r="D25" s="107"/>
      <c r="E25" s="36"/>
      <c r="F25" s="36">
        <v>0</v>
      </c>
      <c r="G25" s="36"/>
      <c r="H25" s="199"/>
      <c r="I25" s="199"/>
      <c r="J25" s="36">
        <f t="shared" si="7"/>
        <v>0</v>
      </c>
      <c r="K25" s="36">
        <f t="shared" si="8"/>
        <v>0</v>
      </c>
      <c r="L25" s="203"/>
      <c r="M25" s="200">
        <f t="shared" si="4"/>
        <v>325301.90000000002</v>
      </c>
      <c r="N25" s="36"/>
      <c r="O25" s="28"/>
    </row>
    <row r="26" spans="1:15" ht="15">
      <c r="A26" s="26">
        <v>23</v>
      </c>
      <c r="B26" s="27">
        <v>45831</v>
      </c>
      <c r="C26" s="107"/>
      <c r="D26" s="107"/>
      <c r="E26" s="36"/>
      <c r="F26" s="36">
        <v>0</v>
      </c>
      <c r="G26" s="36"/>
      <c r="H26" s="199"/>
      <c r="I26" s="199"/>
      <c r="J26" s="36">
        <f t="shared" si="7"/>
        <v>0</v>
      </c>
      <c r="K26" s="36">
        <f t="shared" si="8"/>
        <v>0</v>
      </c>
      <c r="L26" s="203"/>
      <c r="M26" s="200">
        <f t="shared" si="4"/>
        <v>325301.90000000002</v>
      </c>
      <c r="N26" s="36"/>
      <c r="O26" s="28"/>
    </row>
    <row r="27" spans="1:15" ht="15">
      <c r="A27" s="26">
        <v>24</v>
      </c>
      <c r="B27" s="27">
        <v>45832</v>
      </c>
      <c r="C27" s="107"/>
      <c r="D27" s="107"/>
      <c r="E27" s="36"/>
      <c r="F27" s="36">
        <v>0</v>
      </c>
      <c r="G27" s="36"/>
      <c r="H27" s="199"/>
      <c r="I27" s="199"/>
      <c r="J27" s="36">
        <f t="shared" si="7"/>
        <v>0</v>
      </c>
      <c r="K27" s="36">
        <f t="shared" si="8"/>
        <v>0</v>
      </c>
      <c r="L27" s="203"/>
      <c r="M27" s="200">
        <f t="shared" si="4"/>
        <v>325301.90000000002</v>
      </c>
      <c r="N27" s="36"/>
      <c r="O27" s="28"/>
    </row>
    <row r="28" spans="1:15" ht="15">
      <c r="A28" s="26">
        <v>25</v>
      </c>
      <c r="B28" s="27">
        <v>45833</v>
      </c>
      <c r="C28" s="107"/>
      <c r="D28" s="107"/>
      <c r="E28" s="36"/>
      <c r="F28" s="36">
        <v>0</v>
      </c>
      <c r="G28" s="36"/>
      <c r="H28" s="199"/>
      <c r="I28" s="199"/>
      <c r="J28" s="36">
        <f t="shared" si="7"/>
        <v>0</v>
      </c>
      <c r="K28" s="36">
        <f t="shared" si="8"/>
        <v>0</v>
      </c>
      <c r="L28" s="203"/>
      <c r="M28" s="200">
        <f>M27+K28-L28</f>
        <v>325301.90000000002</v>
      </c>
      <c r="N28" s="36"/>
      <c r="O28" s="28"/>
    </row>
    <row r="29" spans="1:15" ht="15">
      <c r="A29" s="26">
        <v>26</v>
      </c>
      <c r="B29" s="27">
        <v>45834</v>
      </c>
      <c r="C29" s="107"/>
      <c r="D29" s="107"/>
      <c r="E29" s="36"/>
      <c r="F29" s="36">
        <v>0</v>
      </c>
      <c r="G29" s="36"/>
      <c r="H29" s="199"/>
      <c r="I29" s="199"/>
      <c r="J29" s="36">
        <f t="shared" si="7"/>
        <v>0</v>
      </c>
      <c r="K29" s="36">
        <f t="shared" si="8"/>
        <v>0</v>
      </c>
      <c r="L29" s="203"/>
      <c r="M29" s="200">
        <f t="shared" si="4"/>
        <v>325301.90000000002</v>
      </c>
      <c r="N29" s="36"/>
      <c r="O29" s="28"/>
    </row>
    <row r="30" spans="1:15" ht="15">
      <c r="A30" s="26">
        <v>27</v>
      </c>
      <c r="B30" s="27">
        <v>45835</v>
      </c>
      <c r="C30" s="107"/>
      <c r="D30" s="107"/>
      <c r="E30" s="36"/>
      <c r="F30" s="36">
        <v>0</v>
      </c>
      <c r="G30" s="36"/>
      <c r="H30" s="199"/>
      <c r="I30" s="199"/>
      <c r="J30" s="36">
        <f t="shared" si="7"/>
        <v>0</v>
      </c>
      <c r="K30" s="36">
        <f t="shared" si="8"/>
        <v>0</v>
      </c>
      <c r="L30" s="203"/>
      <c r="M30" s="200">
        <f t="shared" si="4"/>
        <v>325301.90000000002</v>
      </c>
      <c r="N30" s="36"/>
      <c r="O30" s="28"/>
    </row>
    <row r="31" spans="1:15" ht="15">
      <c r="A31" s="26">
        <v>28</v>
      </c>
      <c r="B31" s="27">
        <v>45836</v>
      </c>
      <c r="C31" s="107"/>
      <c r="D31" s="107"/>
      <c r="E31" s="36"/>
      <c r="F31" s="36">
        <v>0</v>
      </c>
      <c r="G31" s="36"/>
      <c r="H31" s="199"/>
      <c r="I31" s="199"/>
      <c r="J31" s="36">
        <f t="shared" si="7"/>
        <v>0</v>
      </c>
      <c r="K31" s="36">
        <f t="shared" si="8"/>
        <v>0</v>
      </c>
      <c r="L31" s="203"/>
      <c r="M31" s="200">
        <f t="shared" si="4"/>
        <v>325301.90000000002</v>
      </c>
      <c r="N31" s="36"/>
      <c r="O31" s="28"/>
    </row>
    <row r="32" spans="1:15" ht="15">
      <c r="A32" s="26">
        <v>29</v>
      </c>
      <c r="B32" s="27">
        <v>45837</v>
      </c>
      <c r="C32" s="107"/>
      <c r="D32" s="107"/>
      <c r="E32" s="36"/>
      <c r="F32" s="36">
        <v>0</v>
      </c>
      <c r="G32" s="36">
        <f t="shared" ref="G32" si="9">E32*F32</f>
        <v>0</v>
      </c>
      <c r="H32" s="199">
        <v>0</v>
      </c>
      <c r="I32" s="199">
        <v>0</v>
      </c>
      <c r="J32" s="36">
        <f t="shared" si="7"/>
        <v>0</v>
      </c>
      <c r="K32" s="36">
        <f t="shared" si="8"/>
        <v>0</v>
      </c>
      <c r="L32" s="203"/>
      <c r="M32" s="200">
        <f t="shared" si="4"/>
        <v>325301.90000000002</v>
      </c>
      <c r="N32" s="216"/>
      <c r="O32" s="28"/>
    </row>
    <row r="33" spans="1:15" ht="15">
      <c r="A33" s="26">
        <v>30</v>
      </c>
      <c r="B33" s="27">
        <v>45838</v>
      </c>
      <c r="C33" s="107"/>
      <c r="D33" s="107"/>
      <c r="E33" s="36"/>
      <c r="F33" s="36">
        <v>0</v>
      </c>
      <c r="G33" s="36">
        <f t="shared" si="0"/>
        <v>0</v>
      </c>
      <c r="H33" s="199">
        <v>0</v>
      </c>
      <c r="I33" s="199">
        <v>0</v>
      </c>
      <c r="J33" s="36">
        <f t="shared" si="1"/>
        <v>0</v>
      </c>
      <c r="K33" s="36">
        <f t="shared" si="2"/>
        <v>0</v>
      </c>
      <c r="L33" s="203"/>
      <c r="M33" s="200">
        <f t="shared" si="4"/>
        <v>325301.90000000002</v>
      </c>
      <c r="N33" s="216"/>
      <c r="O33" s="28"/>
    </row>
    <row r="34" spans="1:15" ht="15">
      <c r="A34" s="26">
        <v>31</v>
      </c>
      <c r="B34" s="27"/>
      <c r="C34" s="107"/>
      <c r="D34" s="107"/>
      <c r="E34" s="36"/>
      <c r="F34" s="36">
        <v>0</v>
      </c>
      <c r="G34" s="36">
        <f t="shared" ref="G34" si="10">E34*F34</f>
        <v>0</v>
      </c>
      <c r="H34" s="199"/>
      <c r="I34" s="199"/>
      <c r="J34" s="36">
        <f t="shared" ref="J34" si="11">H34*I34</f>
        <v>0</v>
      </c>
      <c r="K34" s="36">
        <f t="shared" ref="K34" si="12">G34+J34</f>
        <v>0</v>
      </c>
      <c r="L34" s="203"/>
      <c r="M34" s="216"/>
      <c r="N34" s="216"/>
      <c r="O34" s="28"/>
    </row>
    <row r="35" spans="1:15">
      <c r="A35" s="42"/>
      <c r="B35" s="42"/>
      <c r="C35" s="204"/>
      <c r="D35" s="204"/>
      <c r="E35" s="205">
        <f>SUM(E4:E34)</f>
        <v>3000</v>
      </c>
      <c r="F35" s="205"/>
      <c r="G35" s="205">
        <f>SUM(G4:G34)</f>
        <v>308880</v>
      </c>
      <c r="H35" s="205">
        <f>SUM(H4:H34)</f>
        <v>140</v>
      </c>
      <c r="I35" s="205"/>
      <c r="J35" s="205">
        <f>SUM(J4:J34)</f>
        <v>16422</v>
      </c>
      <c r="K35" s="205">
        <f>SUM(K4:K34)</f>
        <v>325302</v>
      </c>
      <c r="L35" s="205">
        <f>SUM(L4:L31)</f>
        <v>159889</v>
      </c>
      <c r="M35" s="205"/>
      <c r="N35" s="205"/>
      <c r="O35" s="33"/>
    </row>
    <row r="36" spans="1:15">
      <c r="A36" s="30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8"/>
    </row>
    <row r="37" spans="1:15">
      <c r="A37" s="28"/>
      <c r="B37" s="28"/>
      <c r="C37" s="28"/>
      <c r="D37" s="28"/>
      <c r="E37" s="28"/>
      <c r="F37" s="28"/>
      <c r="G37" s="31"/>
      <c r="H37" s="28"/>
      <c r="I37" s="28"/>
      <c r="J37" s="28"/>
      <c r="K37" s="28"/>
      <c r="L37" s="28"/>
      <c r="M37" s="28"/>
      <c r="N37" s="28"/>
      <c r="O37" s="32"/>
    </row>
    <row r="38" spans="1:15">
      <c r="A38" s="28"/>
      <c r="B38" s="565"/>
      <c r="C38" s="565"/>
      <c r="D38" s="565"/>
      <c r="E38" s="565"/>
      <c r="F38" s="28"/>
      <c r="G38" s="28"/>
      <c r="H38" s="28"/>
      <c r="I38" s="565"/>
      <c r="J38" s="565"/>
      <c r="K38" s="565"/>
      <c r="L38" s="565"/>
      <c r="M38" s="565"/>
      <c r="N38" s="565"/>
      <c r="O38" s="32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2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41"/>
  <sheetViews>
    <sheetView topLeftCell="A19" workbookViewId="0">
      <selection activeCell="M34" sqref="M34"/>
    </sheetView>
  </sheetViews>
  <sheetFormatPr defaultRowHeight="15"/>
  <cols>
    <col min="2" max="2" width="10.28515625" customWidth="1"/>
    <col min="5" max="5" width="12.5703125" bestFit="1" customWidth="1"/>
    <col min="10" max="10" width="10.85546875" bestFit="1" customWidth="1"/>
    <col min="11" max="11" width="10.42578125" bestFit="1" customWidth="1"/>
    <col min="12" max="12" width="11.85546875" bestFit="1" customWidth="1"/>
    <col min="13" max="13" width="13.5703125" bestFit="1" customWidth="1"/>
    <col min="14" max="14" width="25.28515625" bestFit="1" customWidth="1"/>
  </cols>
  <sheetData>
    <row r="1" spans="1:34">
      <c r="A1" s="566" t="s">
        <v>92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</row>
    <row r="2" spans="1:34" ht="25.5">
      <c r="A2" s="87" t="s">
        <v>0</v>
      </c>
      <c r="B2" s="88" t="s">
        <v>167</v>
      </c>
      <c r="C2" s="88" t="s">
        <v>168</v>
      </c>
      <c r="D2" s="88" t="s">
        <v>169</v>
      </c>
      <c r="E2" s="88" t="s">
        <v>170</v>
      </c>
      <c r="F2" s="88" t="s">
        <v>171</v>
      </c>
      <c r="G2" s="88" t="s">
        <v>172</v>
      </c>
      <c r="H2" s="88" t="s">
        <v>173</v>
      </c>
      <c r="I2" s="88" t="s">
        <v>171</v>
      </c>
      <c r="J2" s="112" t="s">
        <v>172</v>
      </c>
      <c r="K2" s="88" t="s">
        <v>174</v>
      </c>
      <c r="L2" s="112" t="s">
        <v>175</v>
      </c>
      <c r="M2" s="111" t="s">
        <v>192</v>
      </c>
      <c r="N2" s="89" t="s">
        <v>177</v>
      </c>
      <c r="O2" s="33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</row>
    <row r="3" spans="1:34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67"/>
      <c r="K3" s="29">
        <v>189118.95990299998</v>
      </c>
      <c r="L3" s="46"/>
      <c r="M3" s="113">
        <v>189118.95990299998</v>
      </c>
      <c r="N3" s="46"/>
      <c r="O3" s="33"/>
      <c r="P3" s="49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</row>
    <row r="4" spans="1:34">
      <c r="A4" s="26">
        <v>1</v>
      </c>
      <c r="B4" s="27">
        <v>46174</v>
      </c>
      <c r="C4" s="47" t="s">
        <v>200</v>
      </c>
      <c r="D4" s="48" t="s">
        <v>200</v>
      </c>
      <c r="E4" s="47"/>
      <c r="F4" s="47"/>
      <c r="G4" s="46">
        <f t="shared" ref="G4:G5" si="0">E4*F4</f>
        <v>0</v>
      </c>
      <c r="H4" s="47"/>
      <c r="I4" s="47"/>
      <c r="J4" s="49">
        <f t="shared" ref="J4" si="1">H4*I4</f>
        <v>0</v>
      </c>
      <c r="K4" s="46">
        <f t="shared" ref="K4:L5" si="2">G4+J4</f>
        <v>0</v>
      </c>
      <c r="L4" s="46">
        <v>150000</v>
      </c>
      <c r="M4" s="49">
        <f>M3+K4-L4</f>
        <v>39118.959902999981</v>
      </c>
      <c r="N4" s="104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</row>
    <row r="5" spans="1:34">
      <c r="A5" s="26"/>
      <c r="B5" s="27">
        <v>46174</v>
      </c>
      <c r="C5" s="47"/>
      <c r="D5" s="48"/>
      <c r="E5" s="47">
        <v>300</v>
      </c>
      <c r="F5" s="47">
        <v>99.14</v>
      </c>
      <c r="G5" s="46">
        <f t="shared" si="0"/>
        <v>29742</v>
      </c>
      <c r="H5" s="47"/>
      <c r="I5" s="47"/>
      <c r="J5" s="49"/>
      <c r="K5" s="46">
        <f t="shared" si="2"/>
        <v>29742</v>
      </c>
      <c r="L5" s="46">
        <f t="shared" si="2"/>
        <v>29742</v>
      </c>
      <c r="M5" s="49">
        <f>M4+K5-L5</f>
        <v>39118.959902999981</v>
      </c>
      <c r="N5" s="499" t="s">
        <v>201</v>
      </c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</row>
    <row r="6" spans="1:34">
      <c r="A6" s="26">
        <v>2</v>
      </c>
      <c r="B6" s="27">
        <v>46175</v>
      </c>
      <c r="C6" s="47" t="s">
        <v>200</v>
      </c>
      <c r="D6" s="48" t="s">
        <v>200</v>
      </c>
      <c r="E6" s="47">
        <v>1200</v>
      </c>
      <c r="F6" s="47">
        <v>99.14</v>
      </c>
      <c r="G6" s="46">
        <f t="shared" ref="G6:G36" si="3">E6*F6</f>
        <v>118968</v>
      </c>
      <c r="H6" s="47">
        <v>35</v>
      </c>
      <c r="I6" s="47">
        <v>111.24</v>
      </c>
      <c r="J6" s="49">
        <f t="shared" ref="J6:J36" si="4">H6*I6</f>
        <v>3893.3999999999996</v>
      </c>
      <c r="K6" s="46">
        <f t="shared" ref="K6:L36" si="5">G6+J6</f>
        <v>122861.4</v>
      </c>
      <c r="L6" s="46"/>
      <c r="M6" s="49">
        <f>M4+K6-L6</f>
        <v>161980.35990299998</v>
      </c>
      <c r="N6" s="104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>
      <c r="A7" s="26">
        <v>3</v>
      </c>
      <c r="B7" s="27">
        <v>46176</v>
      </c>
      <c r="C7" s="47" t="s">
        <v>200</v>
      </c>
      <c r="D7" s="48" t="s">
        <v>200</v>
      </c>
      <c r="E7" s="47"/>
      <c r="F7" s="47"/>
      <c r="G7" s="46">
        <f t="shared" si="3"/>
        <v>0</v>
      </c>
      <c r="H7" s="47"/>
      <c r="I7" s="47"/>
      <c r="J7" s="49">
        <f t="shared" si="4"/>
        <v>0</v>
      </c>
      <c r="K7" s="46">
        <f t="shared" si="5"/>
        <v>0</v>
      </c>
      <c r="L7" s="46"/>
      <c r="M7" s="49">
        <f t="shared" ref="M7:M38" si="6">M6+K7-L7</f>
        <v>161980.35990299998</v>
      </c>
      <c r="N7" s="110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>
      <c r="A8" s="26">
        <v>4</v>
      </c>
      <c r="B8" s="27">
        <v>46177</v>
      </c>
      <c r="C8" s="47" t="s">
        <v>200</v>
      </c>
      <c r="D8" s="48" t="s">
        <v>200</v>
      </c>
      <c r="E8" s="47"/>
      <c r="F8" s="47"/>
      <c r="G8" s="46">
        <f t="shared" ref="G8:G17" si="7">E8*F8</f>
        <v>0</v>
      </c>
      <c r="H8" s="47"/>
      <c r="I8" s="47"/>
      <c r="J8" s="49">
        <f t="shared" si="4"/>
        <v>0</v>
      </c>
      <c r="K8" s="46">
        <f t="shared" si="5"/>
        <v>0</v>
      </c>
      <c r="L8" s="46"/>
      <c r="M8" s="49">
        <f t="shared" si="6"/>
        <v>161980.35990299998</v>
      </c>
      <c r="N8" s="110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>
      <c r="A9" s="26">
        <v>5</v>
      </c>
      <c r="B9" s="27">
        <v>46178</v>
      </c>
      <c r="C9" s="47" t="s">
        <v>200</v>
      </c>
      <c r="D9" s="48" t="s">
        <v>200</v>
      </c>
      <c r="E9" s="47">
        <v>500</v>
      </c>
      <c r="F9" s="47">
        <v>99.14</v>
      </c>
      <c r="G9" s="46">
        <f t="shared" ref="G9:G37" si="8">E9*F9</f>
        <v>49570</v>
      </c>
      <c r="H9" s="47">
        <v>35</v>
      </c>
      <c r="I9" s="47">
        <v>111.24</v>
      </c>
      <c r="J9" s="49">
        <f t="shared" si="4"/>
        <v>3893.3999999999996</v>
      </c>
      <c r="K9" s="46">
        <f t="shared" si="5"/>
        <v>53463.4</v>
      </c>
      <c r="L9" s="46"/>
      <c r="M9" s="49">
        <f t="shared" si="6"/>
        <v>215443.75990299997</v>
      </c>
      <c r="N9" s="104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>
      <c r="A10" s="26">
        <v>6</v>
      </c>
      <c r="B10" s="27">
        <v>46179</v>
      </c>
      <c r="C10" s="47" t="s">
        <v>200</v>
      </c>
      <c r="D10" s="48" t="s">
        <v>200</v>
      </c>
      <c r="E10" s="47">
        <v>1200</v>
      </c>
      <c r="F10" s="47">
        <v>99.14</v>
      </c>
      <c r="G10" s="46">
        <f t="shared" si="8"/>
        <v>118968</v>
      </c>
      <c r="H10" s="47">
        <v>35</v>
      </c>
      <c r="I10" s="47">
        <v>111.24</v>
      </c>
      <c r="J10" s="49">
        <f t="shared" si="4"/>
        <v>3893.3999999999996</v>
      </c>
      <c r="K10" s="46">
        <f t="shared" si="5"/>
        <v>122861.4</v>
      </c>
      <c r="L10" s="46">
        <v>200000</v>
      </c>
      <c r="M10" s="49">
        <f t="shared" si="6"/>
        <v>138305.15990299999</v>
      </c>
      <c r="N10" s="110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>
      <c r="A11" s="26">
        <v>7</v>
      </c>
      <c r="B11" s="27">
        <v>46180</v>
      </c>
      <c r="C11" s="47" t="s">
        <v>200</v>
      </c>
      <c r="D11" s="48" t="s">
        <v>200</v>
      </c>
      <c r="E11" s="47"/>
      <c r="F11" s="47"/>
      <c r="G11" s="46">
        <f t="shared" si="8"/>
        <v>0</v>
      </c>
      <c r="H11" s="47"/>
      <c r="I11" s="47"/>
      <c r="J11" s="49">
        <f t="shared" si="4"/>
        <v>0</v>
      </c>
      <c r="K11" s="46">
        <f t="shared" si="5"/>
        <v>0</v>
      </c>
      <c r="L11" s="46"/>
      <c r="M11" s="49">
        <f t="shared" si="6"/>
        <v>138305.15990299999</v>
      </c>
      <c r="N11" s="104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</row>
    <row r="12" spans="1:34">
      <c r="A12" s="26">
        <v>8</v>
      </c>
      <c r="B12" s="27">
        <v>46181</v>
      </c>
      <c r="C12" s="47" t="s">
        <v>200</v>
      </c>
      <c r="D12" s="48" t="s">
        <v>200</v>
      </c>
      <c r="E12" s="47"/>
      <c r="F12" s="47"/>
      <c r="G12" s="46">
        <f t="shared" si="8"/>
        <v>0</v>
      </c>
      <c r="H12" s="47"/>
      <c r="I12" s="47"/>
      <c r="J12" s="49">
        <f t="shared" si="4"/>
        <v>0</v>
      </c>
      <c r="K12" s="46">
        <f t="shared" si="5"/>
        <v>0</v>
      </c>
      <c r="L12" s="46"/>
      <c r="M12" s="49">
        <f t="shared" si="6"/>
        <v>138305.15990299999</v>
      </c>
      <c r="N12" s="109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</row>
    <row r="13" spans="1:34">
      <c r="A13" s="26">
        <v>9</v>
      </c>
      <c r="B13" s="27">
        <v>46182</v>
      </c>
      <c r="C13" s="47" t="s">
        <v>200</v>
      </c>
      <c r="D13" s="48" t="s">
        <v>200</v>
      </c>
      <c r="E13" s="47">
        <v>600</v>
      </c>
      <c r="F13" s="47">
        <v>99.14</v>
      </c>
      <c r="G13" s="46">
        <f t="shared" si="8"/>
        <v>59484</v>
      </c>
      <c r="H13" s="47">
        <v>35</v>
      </c>
      <c r="I13" s="47">
        <v>111.24</v>
      </c>
      <c r="J13" s="49">
        <f t="shared" si="4"/>
        <v>3893.3999999999996</v>
      </c>
      <c r="K13" s="46">
        <f t="shared" si="5"/>
        <v>63377.4</v>
      </c>
      <c r="L13" s="46">
        <v>100000</v>
      </c>
      <c r="M13" s="49">
        <f t="shared" si="6"/>
        <v>101682.55990299999</v>
      </c>
      <c r="N13" s="104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</row>
    <row r="14" spans="1:34">
      <c r="A14" s="26">
        <v>10</v>
      </c>
      <c r="B14" s="27">
        <v>46183</v>
      </c>
      <c r="C14" s="47" t="s">
        <v>200</v>
      </c>
      <c r="D14" s="48" t="s">
        <v>200</v>
      </c>
      <c r="E14" s="47">
        <v>600</v>
      </c>
      <c r="F14" s="47">
        <v>99.14</v>
      </c>
      <c r="G14" s="46">
        <f t="shared" si="8"/>
        <v>59484</v>
      </c>
      <c r="H14" s="47"/>
      <c r="I14" s="47"/>
      <c r="J14" s="49">
        <f t="shared" si="4"/>
        <v>0</v>
      </c>
      <c r="K14" s="46">
        <f t="shared" si="5"/>
        <v>59484</v>
      </c>
      <c r="L14" s="46"/>
      <c r="M14" s="49">
        <f t="shared" si="6"/>
        <v>161166.55990299999</v>
      </c>
      <c r="N14" s="104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</row>
    <row r="15" spans="1:34">
      <c r="A15" s="26">
        <v>11</v>
      </c>
      <c r="B15" s="27">
        <v>46184</v>
      </c>
      <c r="C15" s="47" t="s">
        <v>200</v>
      </c>
      <c r="D15" s="48" t="s">
        <v>200</v>
      </c>
      <c r="E15" s="47"/>
      <c r="F15" s="47"/>
      <c r="G15" s="46">
        <f t="shared" si="8"/>
        <v>0</v>
      </c>
      <c r="H15" s="47"/>
      <c r="I15" s="47"/>
      <c r="J15" s="49">
        <f t="shared" si="4"/>
        <v>0</v>
      </c>
      <c r="K15" s="46">
        <f t="shared" si="5"/>
        <v>0</v>
      </c>
      <c r="L15" s="46"/>
      <c r="M15" s="49">
        <f t="shared" si="6"/>
        <v>161166.55990299999</v>
      </c>
      <c r="N15" s="104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</row>
    <row r="16" spans="1:34">
      <c r="A16" s="26">
        <v>12</v>
      </c>
      <c r="B16" s="27">
        <v>46185</v>
      </c>
      <c r="C16" s="47"/>
      <c r="D16" s="48"/>
      <c r="E16" s="47">
        <v>0</v>
      </c>
      <c r="F16" s="47"/>
      <c r="G16" s="46">
        <f t="shared" si="8"/>
        <v>0</v>
      </c>
      <c r="H16" s="47"/>
      <c r="I16" s="47"/>
      <c r="J16" s="49"/>
      <c r="K16" s="46">
        <f t="shared" si="5"/>
        <v>0</v>
      </c>
      <c r="L16" s="46"/>
      <c r="M16" s="49">
        <f t="shared" si="6"/>
        <v>161166.55990299999</v>
      </c>
      <c r="N16" s="104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</row>
    <row r="17" spans="1:34">
      <c r="A17" s="26">
        <v>13</v>
      </c>
      <c r="B17" s="27">
        <v>46186</v>
      </c>
      <c r="C17" s="47" t="s">
        <v>200</v>
      </c>
      <c r="D17" s="48" t="s">
        <v>200</v>
      </c>
      <c r="E17" s="47"/>
      <c r="F17" s="47"/>
      <c r="G17" s="46">
        <f t="shared" si="8"/>
        <v>0</v>
      </c>
      <c r="H17" s="47"/>
      <c r="I17" s="47"/>
      <c r="J17" s="49">
        <f t="shared" si="4"/>
        <v>0</v>
      </c>
      <c r="K17" s="46">
        <f t="shared" si="5"/>
        <v>0</v>
      </c>
      <c r="L17" s="46"/>
      <c r="M17" s="49">
        <f t="shared" si="6"/>
        <v>161166.55990299999</v>
      </c>
      <c r="N17" s="104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</row>
    <row r="18" spans="1:34">
      <c r="A18" s="26">
        <v>14</v>
      </c>
      <c r="B18" s="27">
        <v>46187</v>
      </c>
      <c r="C18" s="47" t="s">
        <v>200</v>
      </c>
      <c r="D18" s="48" t="s">
        <v>200</v>
      </c>
      <c r="E18" s="47"/>
      <c r="F18" s="47"/>
      <c r="G18" s="46">
        <f t="shared" si="8"/>
        <v>0</v>
      </c>
      <c r="H18" s="47"/>
      <c r="I18" s="47"/>
      <c r="J18" s="49">
        <f t="shared" si="4"/>
        <v>0</v>
      </c>
      <c r="K18" s="46">
        <f t="shared" si="5"/>
        <v>0</v>
      </c>
      <c r="L18" s="46"/>
      <c r="M18" s="49">
        <f t="shared" si="6"/>
        <v>161166.55990299999</v>
      </c>
      <c r="N18" s="104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</row>
    <row r="19" spans="1:34">
      <c r="A19" s="26">
        <v>15</v>
      </c>
      <c r="B19" s="27">
        <v>46188</v>
      </c>
      <c r="C19" s="47" t="s">
        <v>200</v>
      </c>
      <c r="D19" s="48" t="s">
        <v>200</v>
      </c>
      <c r="E19" s="47"/>
      <c r="F19" s="47"/>
      <c r="G19" s="46">
        <f t="shared" si="8"/>
        <v>0</v>
      </c>
      <c r="H19" s="47"/>
      <c r="I19" s="47"/>
      <c r="J19" s="49">
        <f t="shared" si="4"/>
        <v>0</v>
      </c>
      <c r="K19" s="46">
        <f t="shared" si="5"/>
        <v>0</v>
      </c>
      <c r="L19" s="46"/>
      <c r="M19" s="49">
        <f t="shared" si="6"/>
        <v>161166.55990299999</v>
      </c>
      <c r="N19" s="49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</row>
    <row r="20" spans="1:34">
      <c r="A20" s="26">
        <v>16</v>
      </c>
      <c r="B20" s="27">
        <v>46189</v>
      </c>
      <c r="C20" s="47" t="s">
        <v>200</v>
      </c>
      <c r="D20" s="48" t="s">
        <v>200</v>
      </c>
      <c r="E20" s="47"/>
      <c r="F20" s="47"/>
      <c r="G20" s="46">
        <f t="shared" si="8"/>
        <v>0</v>
      </c>
      <c r="H20" s="47"/>
      <c r="I20" s="47"/>
      <c r="J20" s="49">
        <f t="shared" si="4"/>
        <v>0</v>
      </c>
      <c r="K20" s="46">
        <f t="shared" si="5"/>
        <v>0</v>
      </c>
      <c r="L20" s="46">
        <v>150000</v>
      </c>
      <c r="M20" s="49">
        <f t="shared" si="6"/>
        <v>11166.559902999987</v>
      </c>
      <c r="N20" s="104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</row>
    <row r="21" spans="1:34">
      <c r="A21" s="26">
        <v>17</v>
      </c>
      <c r="B21" s="27">
        <v>46190</v>
      </c>
      <c r="C21" s="47" t="s">
        <v>200</v>
      </c>
      <c r="D21" s="48" t="s">
        <v>200</v>
      </c>
      <c r="E21" s="47">
        <v>1200</v>
      </c>
      <c r="F21" s="47">
        <v>99.14</v>
      </c>
      <c r="G21" s="46">
        <f t="shared" si="8"/>
        <v>118968</v>
      </c>
      <c r="H21" s="521">
        <v>70</v>
      </c>
      <c r="I21" s="47">
        <v>111.24</v>
      </c>
      <c r="J21" s="49">
        <f t="shared" si="4"/>
        <v>7786.7999999999993</v>
      </c>
      <c r="K21" s="46">
        <f t="shared" si="5"/>
        <v>126754.8</v>
      </c>
      <c r="L21" s="46"/>
      <c r="M21" s="49">
        <f t="shared" si="6"/>
        <v>137921.359903</v>
      </c>
      <c r="N21" s="104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</row>
    <row r="22" spans="1:34">
      <c r="A22" s="26">
        <v>18</v>
      </c>
      <c r="B22" s="27">
        <v>46191</v>
      </c>
      <c r="C22" s="47" t="s">
        <v>200</v>
      </c>
      <c r="D22" s="48" t="s">
        <v>200</v>
      </c>
      <c r="E22" s="47"/>
      <c r="F22" s="47"/>
      <c r="G22" s="46">
        <f t="shared" si="8"/>
        <v>0</v>
      </c>
      <c r="H22" s="47"/>
      <c r="I22" s="47"/>
      <c r="J22" s="49">
        <f t="shared" si="4"/>
        <v>0</v>
      </c>
      <c r="K22" s="46">
        <f t="shared" si="5"/>
        <v>0</v>
      </c>
      <c r="L22" s="46"/>
      <c r="M22" s="49">
        <f t="shared" si="6"/>
        <v>137921.359903</v>
      </c>
      <c r="N22" s="104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</row>
    <row r="23" spans="1:34">
      <c r="A23" s="26">
        <v>19</v>
      </c>
      <c r="B23" s="27">
        <v>46192</v>
      </c>
      <c r="C23" s="47" t="s">
        <v>200</v>
      </c>
      <c r="D23" s="48" t="s">
        <v>200</v>
      </c>
      <c r="E23" s="47">
        <v>1000</v>
      </c>
      <c r="F23" s="47">
        <v>99.14</v>
      </c>
      <c r="G23" s="46">
        <f t="shared" si="8"/>
        <v>99140</v>
      </c>
      <c r="H23" s="47"/>
      <c r="I23" s="47"/>
      <c r="J23" s="49">
        <f t="shared" si="4"/>
        <v>0</v>
      </c>
      <c r="K23" s="46">
        <f t="shared" si="5"/>
        <v>99140</v>
      </c>
      <c r="L23" s="46"/>
      <c r="M23" s="49">
        <f t="shared" si="6"/>
        <v>237061.359903</v>
      </c>
      <c r="N23" s="10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</row>
    <row r="24" spans="1:34">
      <c r="A24" s="26">
        <v>20</v>
      </c>
      <c r="B24" s="27">
        <v>46193</v>
      </c>
      <c r="C24" s="47" t="s">
        <v>200</v>
      </c>
      <c r="D24" s="48" t="s">
        <v>200</v>
      </c>
      <c r="E24" s="47"/>
      <c r="F24" s="47"/>
      <c r="G24" s="46">
        <f t="shared" si="8"/>
        <v>0</v>
      </c>
      <c r="H24" s="47"/>
      <c r="I24" s="47"/>
      <c r="J24" s="49">
        <f t="shared" si="4"/>
        <v>0</v>
      </c>
      <c r="K24" s="46">
        <f t="shared" si="5"/>
        <v>0</v>
      </c>
      <c r="L24" s="46"/>
      <c r="M24" s="49">
        <f t="shared" si="6"/>
        <v>237061.359903</v>
      </c>
      <c r="N24" s="104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</row>
    <row r="25" spans="1:34">
      <c r="A25" s="26">
        <v>21</v>
      </c>
      <c r="B25" s="27">
        <v>46194</v>
      </c>
      <c r="C25" s="47" t="s">
        <v>200</v>
      </c>
      <c r="D25" s="48" t="s">
        <v>200</v>
      </c>
      <c r="E25" s="47"/>
      <c r="F25" s="47"/>
      <c r="G25" s="46">
        <f t="shared" si="8"/>
        <v>0</v>
      </c>
      <c r="H25" s="47"/>
      <c r="I25" s="47"/>
      <c r="J25" s="49">
        <f t="shared" si="4"/>
        <v>0</v>
      </c>
      <c r="K25" s="46">
        <f t="shared" si="5"/>
        <v>0</v>
      </c>
      <c r="L25" s="46"/>
      <c r="M25" s="49">
        <f t="shared" si="6"/>
        <v>237061.359903</v>
      </c>
      <c r="N25" s="104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</row>
    <row r="26" spans="1:34">
      <c r="A26" s="26">
        <v>22</v>
      </c>
      <c r="B26" s="27">
        <v>46195</v>
      </c>
      <c r="C26" s="47" t="s">
        <v>200</v>
      </c>
      <c r="D26" s="48" t="s">
        <v>200</v>
      </c>
      <c r="E26" s="47"/>
      <c r="F26" s="47"/>
      <c r="G26" s="46">
        <f t="shared" si="8"/>
        <v>0</v>
      </c>
      <c r="H26" s="47"/>
      <c r="I26" s="47"/>
      <c r="J26" s="49">
        <f t="shared" si="4"/>
        <v>0</v>
      </c>
      <c r="K26" s="46">
        <f t="shared" si="5"/>
        <v>0</v>
      </c>
      <c r="L26" s="46"/>
      <c r="M26" s="49">
        <f t="shared" si="6"/>
        <v>237061.359903</v>
      </c>
      <c r="N26" s="104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</row>
    <row r="27" spans="1:34">
      <c r="A27" s="26">
        <v>23</v>
      </c>
      <c r="B27" s="27">
        <v>46196</v>
      </c>
      <c r="C27" s="47" t="s">
        <v>200</v>
      </c>
      <c r="D27" s="48" t="s">
        <v>200</v>
      </c>
      <c r="E27" s="47"/>
      <c r="F27" s="47"/>
      <c r="G27" s="46">
        <f t="shared" si="8"/>
        <v>0</v>
      </c>
      <c r="H27" s="47"/>
      <c r="I27" s="47"/>
      <c r="J27" s="49">
        <f t="shared" si="4"/>
        <v>0</v>
      </c>
      <c r="K27" s="46">
        <f t="shared" si="5"/>
        <v>0</v>
      </c>
      <c r="L27" s="46"/>
      <c r="M27" s="49">
        <f t="shared" si="6"/>
        <v>237061.359903</v>
      </c>
      <c r="N27" s="104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</row>
    <row r="28" spans="1:34">
      <c r="A28" s="26">
        <v>24</v>
      </c>
      <c r="B28" s="27">
        <v>46197</v>
      </c>
      <c r="C28" s="47" t="s">
        <v>200</v>
      </c>
      <c r="D28" s="48" t="s">
        <v>200</v>
      </c>
      <c r="E28" s="47"/>
      <c r="F28" s="47"/>
      <c r="G28" s="46">
        <f t="shared" si="8"/>
        <v>0</v>
      </c>
      <c r="H28" s="47"/>
      <c r="I28" s="47"/>
      <c r="J28" s="49">
        <f t="shared" si="4"/>
        <v>0</v>
      </c>
      <c r="K28" s="46">
        <f t="shared" si="5"/>
        <v>0</v>
      </c>
      <c r="L28" s="46"/>
      <c r="M28" s="49">
        <f t="shared" si="6"/>
        <v>237061.359903</v>
      </c>
      <c r="N28" s="10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</row>
    <row r="29" spans="1:34">
      <c r="A29" s="26">
        <v>25</v>
      </c>
      <c r="B29" s="27">
        <v>46198</v>
      </c>
      <c r="C29" s="47" t="s">
        <v>200</v>
      </c>
      <c r="D29" s="48" t="s">
        <v>200</v>
      </c>
      <c r="E29" s="47"/>
      <c r="F29" s="47"/>
      <c r="G29" s="46">
        <f t="shared" si="8"/>
        <v>0</v>
      </c>
      <c r="H29" s="47"/>
      <c r="I29" s="47"/>
      <c r="J29" s="49">
        <f t="shared" si="4"/>
        <v>0</v>
      </c>
      <c r="K29" s="46">
        <f t="shared" si="5"/>
        <v>0</v>
      </c>
      <c r="L29" s="46">
        <v>200000</v>
      </c>
      <c r="M29" s="49">
        <f t="shared" si="6"/>
        <v>37061.359903000004</v>
      </c>
      <c r="N29" s="104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</row>
    <row r="30" spans="1:34">
      <c r="A30" s="26">
        <v>26</v>
      </c>
      <c r="B30" s="27">
        <v>46199</v>
      </c>
      <c r="C30" s="47"/>
      <c r="D30" s="48"/>
      <c r="E30" s="47">
        <v>1200</v>
      </c>
      <c r="F30" s="47">
        <v>99.14</v>
      </c>
      <c r="G30" s="46">
        <f t="shared" si="8"/>
        <v>118968</v>
      </c>
      <c r="H30" s="47"/>
      <c r="I30" s="47"/>
      <c r="J30" s="49">
        <f t="shared" si="4"/>
        <v>0</v>
      </c>
      <c r="K30" s="46">
        <f t="shared" si="5"/>
        <v>118968</v>
      </c>
      <c r="L30" s="46"/>
      <c r="M30" s="49">
        <f t="shared" si="6"/>
        <v>156029.359903</v>
      </c>
      <c r="N30" s="104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</row>
    <row r="31" spans="1:34">
      <c r="A31" s="26">
        <v>27</v>
      </c>
      <c r="B31" s="27">
        <v>46200</v>
      </c>
      <c r="C31" s="47"/>
      <c r="D31" s="48"/>
      <c r="E31" s="47"/>
      <c r="F31" s="47"/>
      <c r="G31" s="46">
        <f t="shared" si="8"/>
        <v>0</v>
      </c>
      <c r="H31" s="47"/>
      <c r="I31" s="47"/>
      <c r="J31" s="49">
        <f t="shared" si="4"/>
        <v>0</v>
      </c>
      <c r="K31" s="46">
        <f t="shared" si="5"/>
        <v>0</v>
      </c>
      <c r="L31" s="46"/>
      <c r="M31" s="49">
        <f t="shared" si="6"/>
        <v>156029.359903</v>
      </c>
      <c r="N31" s="104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</row>
    <row r="32" spans="1:34">
      <c r="A32" s="26">
        <v>28</v>
      </c>
      <c r="B32" s="27">
        <v>46201</v>
      </c>
      <c r="C32" s="47" t="s">
        <v>200</v>
      </c>
      <c r="D32" s="48" t="s">
        <v>200</v>
      </c>
      <c r="E32" s="47"/>
      <c r="F32" s="47"/>
      <c r="G32" s="46">
        <f t="shared" si="8"/>
        <v>0</v>
      </c>
      <c r="H32" s="47"/>
      <c r="I32" s="47"/>
      <c r="J32" s="49">
        <f t="shared" si="4"/>
        <v>0</v>
      </c>
      <c r="K32" s="46">
        <f t="shared" si="5"/>
        <v>0</v>
      </c>
      <c r="L32" s="46"/>
      <c r="M32" s="49">
        <f t="shared" si="6"/>
        <v>156029.359903</v>
      </c>
      <c r="N32" s="104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</row>
    <row r="33" spans="1:34">
      <c r="A33" s="26">
        <v>29</v>
      </c>
      <c r="B33" s="27">
        <v>46202</v>
      </c>
      <c r="C33" s="47" t="s">
        <v>200</v>
      </c>
      <c r="D33" s="48" t="s">
        <v>200</v>
      </c>
      <c r="E33" s="47"/>
      <c r="F33" s="47"/>
      <c r="G33" s="46">
        <f t="shared" si="8"/>
        <v>0</v>
      </c>
      <c r="H33" s="47"/>
      <c r="I33" s="47"/>
      <c r="J33" s="49">
        <f t="shared" si="4"/>
        <v>0</v>
      </c>
      <c r="K33" s="46">
        <f t="shared" si="5"/>
        <v>0</v>
      </c>
      <c r="L33" s="46"/>
      <c r="M33" s="49">
        <f t="shared" si="6"/>
        <v>156029.359903</v>
      </c>
      <c r="N33" s="104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</row>
    <row r="34" spans="1:34">
      <c r="A34" s="26">
        <v>30</v>
      </c>
      <c r="B34" s="27">
        <v>46203</v>
      </c>
      <c r="C34" s="47" t="s">
        <v>200</v>
      </c>
      <c r="D34" s="48" t="s">
        <v>200</v>
      </c>
      <c r="E34" s="47">
        <v>1200</v>
      </c>
      <c r="F34" s="47">
        <v>99.14</v>
      </c>
      <c r="G34" s="46">
        <f t="shared" si="8"/>
        <v>118968</v>
      </c>
      <c r="H34" s="47">
        <v>70</v>
      </c>
      <c r="I34" s="47">
        <v>111.24</v>
      </c>
      <c r="J34" s="49">
        <f t="shared" si="4"/>
        <v>7786.7999999999993</v>
      </c>
      <c r="K34" s="46">
        <f t="shared" si="5"/>
        <v>126754.8</v>
      </c>
      <c r="L34" s="46"/>
      <c r="M34" s="49">
        <f t="shared" si="6"/>
        <v>282784.15990299999</v>
      </c>
      <c r="N34" s="104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</row>
    <row r="35" spans="1:34">
      <c r="A35" s="26">
        <v>31</v>
      </c>
      <c r="B35" s="27"/>
      <c r="C35" s="46"/>
      <c r="D35" s="48" t="s">
        <v>200</v>
      </c>
      <c r="E35" s="47"/>
      <c r="F35" s="47"/>
      <c r="G35" s="46">
        <f t="shared" si="8"/>
        <v>0</v>
      </c>
      <c r="H35" s="47"/>
      <c r="I35" s="47"/>
      <c r="J35" s="49">
        <f t="shared" si="4"/>
        <v>0</v>
      </c>
      <c r="K35" s="46">
        <f t="shared" si="5"/>
        <v>0</v>
      </c>
      <c r="L35" s="46"/>
      <c r="M35" s="49">
        <f t="shared" si="6"/>
        <v>282784.15990299999</v>
      </c>
      <c r="N35" s="104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</row>
    <row r="36" spans="1:34">
      <c r="A36" s="26">
        <v>32</v>
      </c>
      <c r="B36" s="27"/>
      <c r="C36" s="46"/>
      <c r="D36" s="48" t="s">
        <v>200</v>
      </c>
      <c r="E36" s="47"/>
      <c r="F36" s="47"/>
      <c r="G36" s="46">
        <f t="shared" si="8"/>
        <v>0</v>
      </c>
      <c r="H36" s="47"/>
      <c r="I36" s="47"/>
      <c r="J36" s="49">
        <f t="shared" si="4"/>
        <v>0</v>
      </c>
      <c r="K36" s="46">
        <f t="shared" si="5"/>
        <v>0</v>
      </c>
      <c r="L36" s="46"/>
      <c r="M36" s="49">
        <f t="shared" si="6"/>
        <v>282784.15990299999</v>
      </c>
      <c r="N36" s="104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</row>
    <row r="37" spans="1:34">
      <c r="A37" s="26">
        <v>33</v>
      </c>
      <c r="B37" s="27"/>
      <c r="C37" s="46"/>
      <c r="D37" s="48" t="s">
        <v>200</v>
      </c>
      <c r="E37" s="47"/>
      <c r="F37" s="47"/>
      <c r="G37" s="46">
        <f t="shared" si="8"/>
        <v>0</v>
      </c>
      <c r="H37" s="47"/>
      <c r="I37" s="47"/>
      <c r="J37" s="49">
        <f t="shared" ref="J6:J37" si="9">H37*I37</f>
        <v>0</v>
      </c>
      <c r="K37" s="46">
        <f t="shared" ref="K6:K38" si="10">G37+J37</f>
        <v>0</v>
      </c>
      <c r="L37" s="46"/>
      <c r="M37" s="49">
        <f t="shared" si="6"/>
        <v>282784.15990299999</v>
      </c>
      <c r="N37" s="104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spans="1:34">
      <c r="A38" s="26">
        <v>34</v>
      </c>
      <c r="B38" s="27"/>
      <c r="C38" s="46"/>
      <c r="D38" s="48" t="s">
        <v>200</v>
      </c>
      <c r="E38" s="47"/>
      <c r="F38" s="47"/>
      <c r="G38" s="46">
        <f t="shared" ref="G6:G38" si="11">E38*F38</f>
        <v>0</v>
      </c>
      <c r="H38" s="47"/>
      <c r="I38" s="47"/>
      <c r="J38" s="49">
        <f t="shared" ref="J6:J38" si="12">H38*I38</f>
        <v>0</v>
      </c>
      <c r="K38" s="46">
        <f t="shared" si="10"/>
        <v>0</v>
      </c>
      <c r="L38" s="108"/>
      <c r="M38" s="49">
        <f t="shared" si="6"/>
        <v>282784.15990299999</v>
      </c>
      <c r="N38" s="104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</row>
    <row r="39" spans="1:34">
      <c r="A39" s="42"/>
      <c r="B39" s="42"/>
      <c r="C39" s="42"/>
      <c r="D39" s="42"/>
      <c r="E39" s="43">
        <f>SUM(E4:E38)</f>
        <v>9000</v>
      </c>
      <c r="F39" s="43"/>
      <c r="G39" s="43">
        <f>SUM(G4:G38)</f>
        <v>892260</v>
      </c>
      <c r="H39" s="43">
        <f>SUM(H4:H38)</f>
        <v>280</v>
      </c>
      <c r="I39" s="43"/>
      <c r="J39" s="43">
        <f>SUM(J4:J38)</f>
        <v>31147.199999999997</v>
      </c>
      <c r="K39" s="43">
        <f>SUM(K4:K38)</f>
        <v>923407.20000000007</v>
      </c>
      <c r="L39" s="43">
        <f>SUM(L4:L38)</f>
        <v>829742</v>
      </c>
      <c r="M39" s="43"/>
      <c r="N39" s="43"/>
      <c r="O39" s="33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</row>
    <row r="40" spans="1:34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</row>
    <row r="41" spans="1:34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</row>
  </sheetData>
  <mergeCells count="2">
    <mergeCell ref="A1:N1"/>
    <mergeCell ref="A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660B-2832-46A0-9F46-5DA983B0C51D}">
  <dimension ref="A1:AH41"/>
  <sheetViews>
    <sheetView topLeftCell="A29" workbookViewId="0">
      <selection activeCell="S24" sqref="S24"/>
    </sheetView>
  </sheetViews>
  <sheetFormatPr defaultRowHeight="15"/>
  <cols>
    <col min="11" max="11" width="10.7109375" customWidth="1"/>
    <col min="12" max="12" width="10.28515625" customWidth="1"/>
    <col min="13" max="13" width="11.7109375" customWidth="1"/>
  </cols>
  <sheetData>
    <row r="1" spans="1:34">
      <c r="A1" s="566" t="s">
        <v>319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</row>
    <row r="2" spans="1:34" ht="27">
      <c r="A2" s="87" t="s">
        <v>0</v>
      </c>
      <c r="B2" s="88" t="s">
        <v>167</v>
      </c>
      <c r="C2" s="88" t="s">
        <v>168</v>
      </c>
      <c r="D2" s="88" t="s">
        <v>169</v>
      </c>
      <c r="E2" s="88" t="s">
        <v>170</v>
      </c>
      <c r="F2" s="88" t="s">
        <v>171</v>
      </c>
      <c r="G2" s="88" t="s">
        <v>172</v>
      </c>
      <c r="H2" s="88" t="s">
        <v>173</v>
      </c>
      <c r="I2" s="88" t="s">
        <v>171</v>
      </c>
      <c r="J2" s="112" t="s">
        <v>172</v>
      </c>
      <c r="K2" s="88" t="s">
        <v>174</v>
      </c>
      <c r="L2" s="112" t="s">
        <v>175</v>
      </c>
      <c r="M2" s="111" t="s">
        <v>192</v>
      </c>
      <c r="N2" s="89" t="s">
        <v>177</v>
      </c>
      <c r="O2" s="33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</row>
    <row r="3" spans="1:34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67"/>
      <c r="K3" s="29">
        <v>0</v>
      </c>
      <c r="L3" s="46"/>
      <c r="M3" s="113">
        <v>0</v>
      </c>
      <c r="N3" s="46"/>
      <c r="O3" s="33"/>
      <c r="P3" s="49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</row>
    <row r="4" spans="1:34">
      <c r="A4" s="26">
        <v>1</v>
      </c>
      <c r="B4" s="27">
        <v>46174</v>
      </c>
      <c r="C4" s="47" t="s">
        <v>200</v>
      </c>
      <c r="D4" s="48" t="s">
        <v>200</v>
      </c>
      <c r="E4" s="47"/>
      <c r="F4" s="47"/>
      <c r="G4" s="46"/>
      <c r="H4" s="47"/>
      <c r="I4" s="47"/>
      <c r="J4" s="49"/>
      <c r="K4" s="46"/>
      <c r="L4" s="46"/>
      <c r="M4" s="49">
        <f>M3+K4-L4</f>
        <v>0</v>
      </c>
      <c r="N4" s="104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</row>
    <row r="5" spans="1:34">
      <c r="A5" s="26"/>
      <c r="B5" s="27">
        <v>46174</v>
      </c>
      <c r="C5" s="47"/>
      <c r="D5" s="48"/>
      <c r="E5" s="47"/>
      <c r="F5" s="47"/>
      <c r="G5" s="46"/>
      <c r="H5" s="47"/>
      <c r="I5" s="47"/>
      <c r="J5" s="49"/>
      <c r="K5" s="46"/>
      <c r="L5" s="46"/>
      <c r="M5" s="49">
        <f>M4+K5-L5</f>
        <v>0</v>
      </c>
      <c r="N5" s="499" t="s">
        <v>201</v>
      </c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</row>
    <row r="6" spans="1:34">
      <c r="A6" s="26">
        <v>2</v>
      </c>
      <c r="B6" s="27">
        <v>46175</v>
      </c>
      <c r="C6" s="47" t="s">
        <v>200</v>
      </c>
      <c r="D6" s="48" t="s">
        <v>200</v>
      </c>
      <c r="E6" s="47"/>
      <c r="F6" s="47"/>
      <c r="G6" s="46"/>
      <c r="H6" s="47"/>
      <c r="I6" s="47"/>
      <c r="J6" s="49"/>
      <c r="K6" s="46"/>
      <c r="L6" s="46"/>
      <c r="M6" s="49">
        <f>M4+K6-L6</f>
        <v>0</v>
      </c>
      <c r="N6" s="104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>
      <c r="A7" s="26">
        <v>3</v>
      </c>
      <c r="B7" s="27">
        <v>46176</v>
      </c>
      <c r="C7" s="47" t="s">
        <v>200</v>
      </c>
      <c r="D7" s="48" t="s">
        <v>200</v>
      </c>
      <c r="E7" s="47"/>
      <c r="F7" s="47"/>
      <c r="G7" s="46"/>
      <c r="H7" s="47"/>
      <c r="I7" s="47"/>
      <c r="J7" s="49"/>
      <c r="K7" s="46"/>
      <c r="L7" s="46"/>
      <c r="M7" s="49">
        <f t="shared" ref="M7:M38" si="0">M6+K7-L7</f>
        <v>0</v>
      </c>
      <c r="N7" s="110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>
      <c r="A8" s="26">
        <v>4</v>
      </c>
      <c r="B8" s="27">
        <v>46177</v>
      </c>
      <c r="C8" s="47" t="s">
        <v>200</v>
      </c>
      <c r="D8" s="48" t="s">
        <v>200</v>
      </c>
      <c r="E8" s="47"/>
      <c r="F8" s="47"/>
      <c r="G8" s="46"/>
      <c r="H8" s="47"/>
      <c r="I8" s="47"/>
      <c r="J8" s="49"/>
      <c r="K8" s="46"/>
      <c r="L8" s="46"/>
      <c r="M8" s="49">
        <f t="shared" si="0"/>
        <v>0</v>
      </c>
      <c r="N8" s="110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>
      <c r="A9" s="26">
        <v>5</v>
      </c>
      <c r="B9" s="27">
        <v>46178</v>
      </c>
      <c r="C9" s="47" t="s">
        <v>200</v>
      </c>
      <c r="D9" s="48" t="s">
        <v>200</v>
      </c>
      <c r="E9" s="47"/>
      <c r="F9" s="47"/>
      <c r="G9" s="46"/>
      <c r="H9" s="47"/>
      <c r="I9" s="47"/>
      <c r="J9" s="49"/>
      <c r="K9" s="46"/>
      <c r="L9" s="46"/>
      <c r="M9" s="49">
        <f t="shared" si="0"/>
        <v>0</v>
      </c>
      <c r="N9" s="104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>
      <c r="A10" s="26">
        <v>6</v>
      </c>
      <c r="B10" s="27">
        <v>46179</v>
      </c>
      <c r="C10" s="47" t="s">
        <v>200</v>
      </c>
      <c r="D10" s="48" t="s">
        <v>200</v>
      </c>
      <c r="E10" s="47"/>
      <c r="F10" s="47"/>
      <c r="G10" s="46"/>
      <c r="H10" s="47"/>
      <c r="I10" s="47"/>
      <c r="J10" s="49"/>
      <c r="K10" s="46"/>
      <c r="L10" s="46"/>
      <c r="M10" s="49">
        <f t="shared" si="0"/>
        <v>0</v>
      </c>
      <c r="N10" s="110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>
      <c r="A11" s="26">
        <v>7</v>
      </c>
      <c r="B11" s="27">
        <v>46180</v>
      </c>
      <c r="C11" s="47" t="s">
        <v>200</v>
      </c>
      <c r="D11" s="48" t="s">
        <v>200</v>
      </c>
      <c r="E11" s="47"/>
      <c r="F11" s="47"/>
      <c r="G11" s="46"/>
      <c r="H11" s="47"/>
      <c r="I11" s="47"/>
      <c r="J11" s="49"/>
      <c r="K11" s="46"/>
      <c r="L11" s="46"/>
      <c r="M11" s="49">
        <f t="shared" si="0"/>
        <v>0</v>
      </c>
      <c r="N11" s="104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</row>
    <row r="12" spans="1:34">
      <c r="A12" s="26">
        <v>8</v>
      </c>
      <c r="B12" s="27">
        <v>46181</v>
      </c>
      <c r="C12" s="47" t="s">
        <v>200</v>
      </c>
      <c r="D12" s="48" t="s">
        <v>200</v>
      </c>
      <c r="E12" s="47"/>
      <c r="F12" s="47"/>
      <c r="G12" s="46"/>
      <c r="H12" s="47"/>
      <c r="I12" s="47"/>
      <c r="J12" s="49"/>
      <c r="K12" s="46"/>
      <c r="L12" s="46"/>
      <c r="M12" s="49">
        <f t="shared" si="0"/>
        <v>0</v>
      </c>
      <c r="N12" s="109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</row>
    <row r="13" spans="1:34">
      <c r="A13" s="26">
        <v>9</v>
      </c>
      <c r="B13" s="27">
        <v>46182</v>
      </c>
      <c r="C13" s="47" t="s">
        <v>200</v>
      </c>
      <c r="D13" s="48" t="s">
        <v>200</v>
      </c>
      <c r="E13" s="47"/>
      <c r="F13" s="47"/>
      <c r="G13" s="46"/>
      <c r="H13" s="47"/>
      <c r="I13" s="47"/>
      <c r="J13" s="49"/>
      <c r="K13" s="46"/>
      <c r="L13" s="46"/>
      <c r="M13" s="49">
        <f t="shared" si="0"/>
        <v>0</v>
      </c>
      <c r="N13" s="104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</row>
    <row r="14" spans="1:34">
      <c r="A14" s="26">
        <v>10</v>
      </c>
      <c r="B14" s="27">
        <v>46183</v>
      </c>
      <c r="C14" s="47" t="s">
        <v>200</v>
      </c>
      <c r="D14" s="48" t="s">
        <v>200</v>
      </c>
      <c r="E14" s="47"/>
      <c r="F14" s="47"/>
      <c r="G14" s="46"/>
      <c r="H14" s="47"/>
      <c r="I14" s="47"/>
      <c r="J14" s="49"/>
      <c r="K14" s="46"/>
      <c r="L14" s="46"/>
      <c r="M14" s="49">
        <f t="shared" si="0"/>
        <v>0</v>
      </c>
      <c r="N14" s="104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</row>
    <row r="15" spans="1:34">
      <c r="A15" s="26">
        <v>11</v>
      </c>
      <c r="B15" s="27">
        <v>46184</v>
      </c>
      <c r="C15" s="47" t="s">
        <v>200</v>
      </c>
      <c r="D15" s="48" t="s">
        <v>200</v>
      </c>
      <c r="E15" s="47"/>
      <c r="F15" s="47"/>
      <c r="G15" s="46"/>
      <c r="H15" s="47"/>
      <c r="I15" s="47"/>
      <c r="J15" s="49"/>
      <c r="K15" s="46"/>
      <c r="L15" s="46"/>
      <c r="M15" s="49">
        <f t="shared" si="0"/>
        <v>0</v>
      </c>
      <c r="N15" s="104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</row>
    <row r="16" spans="1:34">
      <c r="A16" s="26">
        <v>12</v>
      </c>
      <c r="B16" s="27">
        <v>46185</v>
      </c>
      <c r="C16" s="47"/>
      <c r="D16" s="48"/>
      <c r="E16" s="47">
        <v>1000</v>
      </c>
      <c r="F16" s="47">
        <v>99.02</v>
      </c>
      <c r="G16" s="46">
        <f t="shared" ref="G4:G38" si="1">E16*F16</f>
        <v>99020</v>
      </c>
      <c r="H16" s="47"/>
      <c r="I16" s="47"/>
      <c r="J16" s="49"/>
      <c r="K16" s="46">
        <f t="shared" ref="K4:L19" si="2">G16+J16</f>
        <v>99020</v>
      </c>
      <c r="L16" s="46"/>
      <c r="M16" s="49">
        <f t="shared" si="0"/>
        <v>99020</v>
      </c>
      <c r="N16" s="104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</row>
    <row r="17" spans="1:34">
      <c r="A17" s="26">
        <v>13</v>
      </c>
      <c r="B17" s="27">
        <v>46186</v>
      </c>
      <c r="C17" s="47" t="s">
        <v>200</v>
      </c>
      <c r="D17" s="48" t="s">
        <v>200</v>
      </c>
      <c r="E17" s="47"/>
      <c r="F17" s="47"/>
      <c r="G17" s="46">
        <f t="shared" si="1"/>
        <v>0</v>
      </c>
      <c r="H17" s="47"/>
      <c r="I17" s="47"/>
      <c r="J17" s="49">
        <f t="shared" ref="J6:J38" si="3">H17*I17</f>
        <v>0</v>
      </c>
      <c r="K17" s="46">
        <f t="shared" si="2"/>
        <v>0</v>
      </c>
      <c r="L17" s="46"/>
      <c r="M17" s="49">
        <f t="shared" si="0"/>
        <v>99020</v>
      </c>
      <c r="N17" s="104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</row>
    <row r="18" spans="1:34">
      <c r="A18" s="26">
        <v>14</v>
      </c>
      <c r="B18" s="27">
        <v>46187</v>
      </c>
      <c r="C18" s="47" t="s">
        <v>200</v>
      </c>
      <c r="D18" s="48" t="s">
        <v>200</v>
      </c>
      <c r="E18" s="47">
        <v>1000</v>
      </c>
      <c r="F18" s="47">
        <v>99.02</v>
      </c>
      <c r="G18" s="46">
        <f t="shared" si="1"/>
        <v>99020</v>
      </c>
      <c r="H18" s="47">
        <v>35</v>
      </c>
      <c r="I18" s="47">
        <v>111.12</v>
      </c>
      <c r="J18" s="49">
        <f t="shared" si="3"/>
        <v>3889.2000000000003</v>
      </c>
      <c r="K18" s="46">
        <f t="shared" si="2"/>
        <v>102909.2</v>
      </c>
      <c r="L18" s="46"/>
      <c r="M18" s="49">
        <f t="shared" si="0"/>
        <v>201929.2</v>
      </c>
      <c r="N18" s="104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</row>
    <row r="19" spans="1:34">
      <c r="A19" s="26">
        <v>15</v>
      </c>
      <c r="B19" s="27">
        <v>46188</v>
      </c>
      <c r="C19" s="47" t="s">
        <v>200</v>
      </c>
      <c r="D19" s="48" t="s">
        <v>200</v>
      </c>
      <c r="E19" s="47"/>
      <c r="F19" s="47"/>
      <c r="G19" s="46">
        <f t="shared" si="1"/>
        <v>0</v>
      </c>
      <c r="H19" s="47"/>
      <c r="I19" s="47"/>
      <c r="J19" s="49">
        <f t="shared" si="3"/>
        <v>0</v>
      </c>
      <c r="K19" s="46">
        <f t="shared" si="2"/>
        <v>0</v>
      </c>
      <c r="L19" s="46"/>
      <c r="M19" s="49">
        <f t="shared" si="0"/>
        <v>201929.2</v>
      </c>
      <c r="N19" s="49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</row>
    <row r="20" spans="1:34">
      <c r="A20" s="26">
        <v>16</v>
      </c>
      <c r="B20" s="27">
        <v>46189</v>
      </c>
      <c r="C20" s="47" t="s">
        <v>200</v>
      </c>
      <c r="D20" s="48" t="s">
        <v>200</v>
      </c>
      <c r="E20" s="47"/>
      <c r="F20" s="47"/>
      <c r="G20" s="46">
        <f t="shared" si="1"/>
        <v>0</v>
      </c>
      <c r="H20" s="47"/>
      <c r="I20" s="47"/>
      <c r="J20" s="49">
        <f t="shared" si="3"/>
        <v>0</v>
      </c>
      <c r="K20" s="46">
        <f t="shared" ref="K20:K41" si="4">G20+J20</f>
        <v>0</v>
      </c>
      <c r="L20" s="46">
        <v>0</v>
      </c>
      <c r="M20" s="49">
        <f t="shared" si="0"/>
        <v>201929.2</v>
      </c>
      <c r="N20" s="104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</row>
    <row r="21" spans="1:34">
      <c r="A21" s="26">
        <v>17</v>
      </c>
      <c r="B21" s="27">
        <v>46190</v>
      </c>
      <c r="C21" s="47" t="s">
        <v>200</v>
      </c>
      <c r="D21" s="48" t="s">
        <v>200</v>
      </c>
      <c r="E21" s="47"/>
      <c r="F21" s="47"/>
      <c r="G21" s="46">
        <f t="shared" si="1"/>
        <v>0</v>
      </c>
      <c r="H21" s="47"/>
      <c r="I21" s="47"/>
      <c r="J21" s="49">
        <f t="shared" si="3"/>
        <v>0</v>
      </c>
      <c r="K21" s="46">
        <f t="shared" si="4"/>
        <v>0</v>
      </c>
      <c r="L21" s="46">
        <v>200000</v>
      </c>
      <c r="M21" s="49">
        <f t="shared" si="0"/>
        <v>1929.2000000000116</v>
      </c>
      <c r="N21" s="104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</row>
    <row r="22" spans="1:34">
      <c r="A22" s="26">
        <v>18</v>
      </c>
      <c r="B22" s="27">
        <v>46191</v>
      </c>
      <c r="C22" s="47" t="s">
        <v>200</v>
      </c>
      <c r="D22" s="48" t="s">
        <v>200</v>
      </c>
      <c r="E22" s="47"/>
      <c r="F22" s="47"/>
      <c r="G22" s="46">
        <f t="shared" si="1"/>
        <v>0</v>
      </c>
      <c r="H22" s="47"/>
      <c r="I22" s="47"/>
      <c r="J22" s="49">
        <f t="shared" si="3"/>
        <v>0</v>
      </c>
      <c r="K22" s="46">
        <f t="shared" si="4"/>
        <v>0</v>
      </c>
      <c r="L22" s="46"/>
      <c r="M22" s="49">
        <f t="shared" si="0"/>
        <v>1929.2000000000116</v>
      </c>
      <c r="N22" s="104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</row>
    <row r="23" spans="1:34">
      <c r="A23" s="26">
        <v>19</v>
      </c>
      <c r="B23" s="27">
        <v>46192</v>
      </c>
      <c r="C23" s="47" t="s">
        <v>200</v>
      </c>
      <c r="D23" s="48" t="s">
        <v>200</v>
      </c>
      <c r="E23" s="47"/>
      <c r="F23" s="47"/>
      <c r="G23" s="46">
        <f t="shared" si="1"/>
        <v>0</v>
      </c>
      <c r="H23" s="47"/>
      <c r="I23" s="47"/>
      <c r="J23" s="49">
        <f t="shared" si="3"/>
        <v>0</v>
      </c>
      <c r="K23" s="46">
        <f t="shared" si="4"/>
        <v>0</v>
      </c>
      <c r="L23" s="46"/>
      <c r="M23" s="49">
        <f t="shared" si="0"/>
        <v>1929.2000000000116</v>
      </c>
      <c r="N23" s="10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</row>
    <row r="24" spans="1:34">
      <c r="A24" s="26">
        <v>20</v>
      </c>
      <c r="B24" s="27">
        <v>46193</v>
      </c>
      <c r="C24" s="47" t="s">
        <v>200</v>
      </c>
      <c r="D24" s="48" t="s">
        <v>200</v>
      </c>
      <c r="E24" s="47"/>
      <c r="F24" s="47"/>
      <c r="G24" s="46">
        <f t="shared" si="1"/>
        <v>0</v>
      </c>
      <c r="H24" s="47"/>
      <c r="I24" s="47"/>
      <c r="J24" s="49">
        <f t="shared" si="3"/>
        <v>0</v>
      </c>
      <c r="K24" s="46">
        <f t="shared" si="4"/>
        <v>0</v>
      </c>
      <c r="L24" s="46"/>
      <c r="M24" s="49">
        <f t="shared" si="0"/>
        <v>1929.2000000000116</v>
      </c>
      <c r="N24" s="104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</row>
    <row r="25" spans="1:34">
      <c r="A25" s="26">
        <v>21</v>
      </c>
      <c r="B25" s="27">
        <v>46194</v>
      </c>
      <c r="C25" s="47" t="s">
        <v>200</v>
      </c>
      <c r="D25" s="48" t="s">
        <v>200</v>
      </c>
      <c r="E25" s="47"/>
      <c r="F25" s="47"/>
      <c r="G25" s="46">
        <f t="shared" si="1"/>
        <v>0</v>
      </c>
      <c r="H25" s="47"/>
      <c r="I25" s="47"/>
      <c r="J25" s="49">
        <f t="shared" si="3"/>
        <v>0</v>
      </c>
      <c r="K25" s="46">
        <f t="shared" si="4"/>
        <v>0</v>
      </c>
      <c r="L25" s="46"/>
      <c r="M25" s="49">
        <f t="shared" si="0"/>
        <v>1929.2000000000116</v>
      </c>
      <c r="N25" s="104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</row>
    <row r="26" spans="1:34">
      <c r="A26" s="26">
        <v>22</v>
      </c>
      <c r="B26" s="27">
        <v>46195</v>
      </c>
      <c r="C26" s="47" t="s">
        <v>200</v>
      </c>
      <c r="D26" s="48" t="s">
        <v>200</v>
      </c>
      <c r="E26" s="47">
        <v>1000</v>
      </c>
      <c r="F26" s="47">
        <v>99.02</v>
      </c>
      <c r="G26" s="46">
        <f t="shared" si="1"/>
        <v>99020</v>
      </c>
      <c r="H26" s="47">
        <v>35</v>
      </c>
      <c r="I26" s="47">
        <v>111.12</v>
      </c>
      <c r="J26" s="49">
        <f t="shared" si="3"/>
        <v>3889.2000000000003</v>
      </c>
      <c r="K26" s="46">
        <f t="shared" si="4"/>
        <v>102909.2</v>
      </c>
      <c r="L26" s="46"/>
      <c r="M26" s="49">
        <f t="shared" si="0"/>
        <v>104838.40000000001</v>
      </c>
      <c r="N26" s="104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</row>
    <row r="27" spans="1:34">
      <c r="A27" s="26">
        <v>23</v>
      </c>
      <c r="B27" s="27">
        <v>46196</v>
      </c>
      <c r="C27" s="47" t="s">
        <v>200</v>
      </c>
      <c r="D27" s="48" t="s">
        <v>200</v>
      </c>
      <c r="E27" s="47"/>
      <c r="F27" s="47"/>
      <c r="G27" s="46">
        <f t="shared" si="1"/>
        <v>0</v>
      </c>
      <c r="H27" s="47"/>
      <c r="I27" s="47"/>
      <c r="J27" s="49">
        <f t="shared" si="3"/>
        <v>0</v>
      </c>
      <c r="K27" s="46">
        <f t="shared" si="4"/>
        <v>0</v>
      </c>
      <c r="L27" s="46"/>
      <c r="M27" s="49">
        <f t="shared" si="0"/>
        <v>104838.40000000001</v>
      </c>
      <c r="N27" s="104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</row>
    <row r="28" spans="1:34">
      <c r="A28" s="26">
        <v>24</v>
      </c>
      <c r="B28" s="27">
        <v>46197</v>
      </c>
      <c r="C28" s="47" t="s">
        <v>200</v>
      </c>
      <c r="D28" s="48" t="s">
        <v>200</v>
      </c>
      <c r="E28" s="47">
        <v>1000</v>
      </c>
      <c r="F28" s="47">
        <v>99.02</v>
      </c>
      <c r="G28" s="46">
        <f t="shared" si="1"/>
        <v>99020</v>
      </c>
      <c r="H28" s="47">
        <v>35</v>
      </c>
      <c r="I28" s="47">
        <v>111.12</v>
      </c>
      <c r="J28" s="49">
        <f t="shared" si="3"/>
        <v>3889.2000000000003</v>
      </c>
      <c r="K28" s="46">
        <f t="shared" si="4"/>
        <v>102909.2</v>
      </c>
      <c r="L28" s="46"/>
      <c r="M28" s="49">
        <f t="shared" si="0"/>
        <v>207747.6</v>
      </c>
      <c r="N28" s="10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</row>
    <row r="29" spans="1:34">
      <c r="A29" s="26">
        <v>25</v>
      </c>
      <c r="B29" s="27">
        <v>46198</v>
      </c>
      <c r="C29" s="47" t="s">
        <v>200</v>
      </c>
      <c r="D29" s="48" t="s">
        <v>200</v>
      </c>
      <c r="E29" s="47"/>
      <c r="F29" s="47"/>
      <c r="G29" s="46">
        <f t="shared" si="1"/>
        <v>0</v>
      </c>
      <c r="H29" s="47"/>
      <c r="I29" s="47"/>
      <c r="J29" s="49">
        <f t="shared" si="3"/>
        <v>0</v>
      </c>
      <c r="K29" s="46">
        <f t="shared" si="4"/>
        <v>0</v>
      </c>
      <c r="L29" s="46"/>
      <c r="M29" s="49">
        <f t="shared" si="0"/>
        <v>207747.6</v>
      </c>
      <c r="N29" s="104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</row>
    <row r="30" spans="1:34">
      <c r="A30" s="26">
        <v>26</v>
      </c>
      <c r="B30" s="27">
        <v>46199</v>
      </c>
      <c r="C30" s="47"/>
      <c r="D30" s="48"/>
      <c r="E30" s="47"/>
      <c r="F30" s="47"/>
      <c r="G30" s="46">
        <f t="shared" si="1"/>
        <v>0</v>
      </c>
      <c r="H30" s="47"/>
      <c r="I30" s="47"/>
      <c r="J30" s="49">
        <f t="shared" si="3"/>
        <v>0</v>
      </c>
      <c r="K30" s="46">
        <f t="shared" si="4"/>
        <v>0</v>
      </c>
      <c r="L30" s="46"/>
      <c r="M30" s="49">
        <f t="shared" si="0"/>
        <v>207747.6</v>
      </c>
      <c r="N30" s="104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</row>
    <row r="31" spans="1:34">
      <c r="A31" s="26">
        <v>27</v>
      </c>
      <c r="B31" s="27">
        <v>46200</v>
      </c>
      <c r="C31" s="47"/>
      <c r="D31" s="48"/>
      <c r="E31" s="47"/>
      <c r="F31" s="47"/>
      <c r="G31" s="46">
        <f t="shared" si="1"/>
        <v>0</v>
      </c>
      <c r="H31" s="47"/>
      <c r="I31" s="47"/>
      <c r="J31" s="49">
        <f t="shared" si="3"/>
        <v>0</v>
      </c>
      <c r="K31" s="46">
        <f t="shared" si="4"/>
        <v>0</v>
      </c>
      <c r="L31" s="46"/>
      <c r="M31" s="49">
        <f t="shared" si="0"/>
        <v>207747.6</v>
      </c>
      <c r="N31" s="104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</row>
    <row r="32" spans="1:34">
      <c r="A32" s="26">
        <v>28</v>
      </c>
      <c r="B32" s="27">
        <v>46201</v>
      </c>
      <c r="C32" s="47" t="s">
        <v>200</v>
      </c>
      <c r="D32" s="48" t="s">
        <v>200</v>
      </c>
      <c r="E32" s="47"/>
      <c r="F32" s="47"/>
      <c r="G32" s="46">
        <f t="shared" si="1"/>
        <v>0</v>
      </c>
      <c r="H32" s="47"/>
      <c r="I32" s="47"/>
      <c r="J32" s="49">
        <f t="shared" si="3"/>
        <v>0</v>
      </c>
      <c r="K32" s="46">
        <f t="shared" si="4"/>
        <v>0</v>
      </c>
      <c r="L32" s="46"/>
      <c r="M32" s="49">
        <f t="shared" si="0"/>
        <v>207747.6</v>
      </c>
      <c r="N32" s="104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</row>
    <row r="33" spans="1:34">
      <c r="A33" s="26">
        <v>29</v>
      </c>
      <c r="B33" s="27">
        <v>46202</v>
      </c>
      <c r="C33" s="47" t="s">
        <v>200</v>
      </c>
      <c r="D33" s="48" t="s">
        <v>200</v>
      </c>
      <c r="E33" s="47"/>
      <c r="F33" s="47"/>
      <c r="G33" s="46">
        <f t="shared" si="1"/>
        <v>0</v>
      </c>
      <c r="H33" s="47"/>
      <c r="I33" s="47"/>
      <c r="J33" s="49">
        <f t="shared" si="3"/>
        <v>0</v>
      </c>
      <c r="K33" s="46">
        <f t="shared" si="4"/>
        <v>0</v>
      </c>
      <c r="L33" s="46"/>
      <c r="M33" s="49">
        <f t="shared" si="0"/>
        <v>207747.6</v>
      </c>
      <c r="N33" s="104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</row>
    <row r="34" spans="1:34">
      <c r="A34" s="26">
        <v>30</v>
      </c>
      <c r="B34" s="27">
        <v>46203</v>
      </c>
      <c r="C34" s="47" t="s">
        <v>200</v>
      </c>
      <c r="D34" s="48" t="s">
        <v>200</v>
      </c>
      <c r="E34" s="47"/>
      <c r="F34" s="47"/>
      <c r="G34" s="46">
        <f t="shared" si="1"/>
        <v>0</v>
      </c>
      <c r="H34" s="47"/>
      <c r="I34" s="47"/>
      <c r="J34" s="49">
        <f t="shared" si="3"/>
        <v>0</v>
      </c>
      <c r="K34" s="46">
        <f t="shared" si="4"/>
        <v>0</v>
      </c>
      <c r="L34" s="46"/>
      <c r="M34" s="49">
        <f t="shared" si="0"/>
        <v>207747.6</v>
      </c>
      <c r="N34" s="104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</row>
    <row r="35" spans="1:34">
      <c r="A35" s="26">
        <v>31</v>
      </c>
      <c r="B35" s="27"/>
      <c r="C35" s="46"/>
      <c r="D35" s="48" t="s">
        <v>200</v>
      </c>
      <c r="E35" s="47"/>
      <c r="F35" s="47"/>
      <c r="G35" s="46">
        <f t="shared" si="1"/>
        <v>0</v>
      </c>
      <c r="H35" s="47"/>
      <c r="I35" s="47"/>
      <c r="J35" s="49">
        <f t="shared" si="3"/>
        <v>0</v>
      </c>
      <c r="K35" s="46">
        <f t="shared" si="4"/>
        <v>0</v>
      </c>
      <c r="L35" s="46"/>
      <c r="M35" s="49">
        <f t="shared" si="0"/>
        <v>207747.6</v>
      </c>
      <c r="N35" s="104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</row>
    <row r="36" spans="1:34">
      <c r="A36" s="26">
        <v>32</v>
      </c>
      <c r="B36" s="27"/>
      <c r="C36" s="46"/>
      <c r="D36" s="48" t="s">
        <v>200</v>
      </c>
      <c r="E36" s="47"/>
      <c r="F36" s="47"/>
      <c r="G36" s="46">
        <f t="shared" si="1"/>
        <v>0</v>
      </c>
      <c r="H36" s="47"/>
      <c r="I36" s="47"/>
      <c r="J36" s="49">
        <f t="shared" si="3"/>
        <v>0</v>
      </c>
      <c r="K36" s="46">
        <f t="shared" si="4"/>
        <v>0</v>
      </c>
      <c r="L36" s="46"/>
      <c r="M36" s="49">
        <f t="shared" si="0"/>
        <v>207747.6</v>
      </c>
      <c r="N36" s="104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</row>
    <row r="37" spans="1:34">
      <c r="A37" s="26">
        <v>33</v>
      </c>
      <c r="B37" s="27"/>
      <c r="C37" s="46"/>
      <c r="D37" s="48" t="s">
        <v>200</v>
      </c>
      <c r="E37" s="47"/>
      <c r="F37" s="47"/>
      <c r="G37" s="46">
        <f t="shared" si="1"/>
        <v>0</v>
      </c>
      <c r="H37" s="47"/>
      <c r="I37" s="47"/>
      <c r="J37" s="49">
        <f t="shared" si="3"/>
        <v>0</v>
      </c>
      <c r="K37" s="46">
        <f t="shared" si="4"/>
        <v>0</v>
      </c>
      <c r="L37" s="46"/>
      <c r="M37" s="49">
        <f t="shared" si="0"/>
        <v>207747.6</v>
      </c>
      <c r="N37" s="104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spans="1:34">
      <c r="A38" s="26">
        <v>34</v>
      </c>
      <c r="B38" s="27"/>
      <c r="C38" s="46"/>
      <c r="D38" s="48" t="s">
        <v>200</v>
      </c>
      <c r="E38" s="47"/>
      <c r="F38" s="47"/>
      <c r="G38" s="46">
        <f t="shared" si="1"/>
        <v>0</v>
      </c>
      <c r="H38" s="47"/>
      <c r="I38" s="47"/>
      <c r="J38" s="49">
        <f t="shared" si="3"/>
        <v>0</v>
      </c>
      <c r="K38" s="46">
        <f t="shared" si="4"/>
        <v>0</v>
      </c>
      <c r="L38" s="108"/>
      <c r="M38" s="49">
        <f t="shared" si="0"/>
        <v>207747.6</v>
      </c>
      <c r="N38" s="104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</row>
    <row r="39" spans="1:34">
      <c r="A39" s="42"/>
      <c r="B39" s="42"/>
      <c r="C39" s="42"/>
      <c r="D39" s="42"/>
      <c r="E39" s="43">
        <f>SUM(E4:E38)</f>
        <v>4000</v>
      </c>
      <c r="F39" s="43"/>
      <c r="G39" s="43">
        <f>SUM(G4:G38)</f>
        <v>396080</v>
      </c>
      <c r="H39" s="43">
        <f>SUM(H4:H38)</f>
        <v>105</v>
      </c>
      <c r="I39" s="43"/>
      <c r="J39" s="43">
        <f>SUM(J4:J38)</f>
        <v>11667.6</v>
      </c>
      <c r="K39" s="43">
        <f>SUM(K4:K38)</f>
        <v>407747.60000000003</v>
      </c>
      <c r="L39" s="43">
        <f>SUM(L4:L38)</f>
        <v>200000</v>
      </c>
      <c r="M39" s="43"/>
      <c r="N39" s="43"/>
      <c r="O39" s="33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</row>
    <row r="40" spans="1:34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</row>
    <row r="41" spans="1:34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workbookViewId="0">
      <selection activeCell="M21" sqref="M21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4" max="14" width="14.85546875" bestFit="1" customWidth="1"/>
    <col min="16" max="16" width="10" customWidth="1"/>
  </cols>
  <sheetData>
    <row r="1" spans="1:14" ht="15.75" customHeight="1">
      <c r="A1" s="568" t="s">
        <v>95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</row>
    <row r="2" spans="1:14" ht="25.5">
      <c r="A2" s="103" t="s">
        <v>0</v>
      </c>
      <c r="B2" s="106" t="s">
        <v>167</v>
      </c>
      <c r="C2" s="106" t="s">
        <v>168</v>
      </c>
      <c r="D2" s="106" t="s">
        <v>169</v>
      </c>
      <c r="E2" s="106" t="s">
        <v>170</v>
      </c>
      <c r="F2" s="106" t="s">
        <v>171</v>
      </c>
      <c r="G2" s="106" t="s">
        <v>172</v>
      </c>
      <c r="H2" s="106" t="s">
        <v>173</v>
      </c>
      <c r="I2" s="106" t="s">
        <v>171</v>
      </c>
      <c r="J2" s="106" t="s">
        <v>172</v>
      </c>
      <c r="K2" s="106" t="s">
        <v>174</v>
      </c>
      <c r="L2" s="106" t="s">
        <v>175</v>
      </c>
      <c r="M2" s="106" t="s">
        <v>192</v>
      </c>
      <c r="N2" s="106" t="s">
        <v>177</v>
      </c>
    </row>
    <row r="3" spans="1:14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9"/>
      <c r="K3">
        <v>148201.19409999979</v>
      </c>
      <c r="L3" s="150"/>
      <c r="M3" s="150">
        <v>148201.19409999979</v>
      </c>
      <c r="N3" s="107"/>
    </row>
    <row r="4" spans="1:14">
      <c r="A4" s="26">
        <v>1</v>
      </c>
      <c r="B4" s="27">
        <v>46174</v>
      </c>
      <c r="C4" s="107">
        <v>0</v>
      </c>
      <c r="D4" s="121"/>
      <c r="E4" s="36">
        <v>0</v>
      </c>
      <c r="F4" s="36">
        <v>0</v>
      </c>
      <c r="G4" s="36">
        <f>E4*F4</f>
        <v>0</v>
      </c>
      <c r="H4" s="122">
        <v>0</v>
      </c>
      <c r="I4" s="122">
        <v>0</v>
      </c>
      <c r="J4" s="36">
        <f>H4*I4</f>
        <v>0</v>
      </c>
      <c r="K4" s="36">
        <f>G4+J4</f>
        <v>0</v>
      </c>
      <c r="L4" s="36">
        <v>107927</v>
      </c>
      <c r="M4" s="36">
        <f t="shared" ref="M4:M33" si="0">M3+K4-L4</f>
        <v>40274.19409999979</v>
      </c>
      <c r="N4" s="498" t="s">
        <v>320</v>
      </c>
    </row>
    <row r="5" spans="1:14">
      <c r="A5" s="26">
        <v>2</v>
      </c>
      <c r="B5" s="27">
        <v>46175</v>
      </c>
      <c r="C5" s="107">
        <v>0</v>
      </c>
      <c r="D5" s="121"/>
      <c r="E5" s="36">
        <v>1000</v>
      </c>
      <c r="F5" s="36">
        <v>99.99</v>
      </c>
      <c r="G5" s="36">
        <f t="shared" ref="G5:G31" si="1">E5*F5</f>
        <v>99990</v>
      </c>
      <c r="H5" s="122"/>
      <c r="I5" s="122"/>
      <c r="J5" s="36">
        <f t="shared" ref="J5:J31" si="2">H5*I5</f>
        <v>0</v>
      </c>
      <c r="K5" s="36">
        <f t="shared" ref="K5:K31" si="3">G5+J5</f>
        <v>99990</v>
      </c>
      <c r="L5" s="36"/>
      <c r="M5" s="36">
        <f t="shared" si="0"/>
        <v>140264.19409999979</v>
      </c>
      <c r="N5" s="44"/>
    </row>
    <row r="6" spans="1:14">
      <c r="A6" s="26">
        <v>3</v>
      </c>
      <c r="B6" s="27">
        <v>46176</v>
      </c>
      <c r="C6" s="107">
        <v>0</v>
      </c>
      <c r="D6" s="121"/>
      <c r="E6" s="36"/>
      <c r="F6" s="36"/>
      <c r="G6" s="36">
        <f t="shared" si="1"/>
        <v>0</v>
      </c>
      <c r="H6" s="122"/>
      <c r="I6" s="122"/>
      <c r="J6" s="36">
        <f t="shared" si="2"/>
        <v>0</v>
      </c>
      <c r="K6" s="36">
        <f t="shared" si="3"/>
        <v>0</v>
      </c>
      <c r="L6" s="36"/>
      <c r="M6" s="36">
        <f t="shared" si="0"/>
        <v>140264.19409999979</v>
      </c>
      <c r="N6" s="44"/>
    </row>
    <row r="7" spans="1:14">
      <c r="A7" s="26">
        <v>4</v>
      </c>
      <c r="B7" s="27">
        <v>46177</v>
      </c>
      <c r="C7" s="107">
        <v>0</v>
      </c>
      <c r="D7" s="121"/>
      <c r="E7" s="36"/>
      <c r="F7" s="36"/>
      <c r="G7" s="36">
        <f t="shared" si="1"/>
        <v>0</v>
      </c>
      <c r="H7" s="122"/>
      <c r="I7" s="122"/>
      <c r="J7" s="36">
        <f t="shared" si="2"/>
        <v>0</v>
      </c>
      <c r="K7" s="36">
        <f t="shared" si="3"/>
        <v>0</v>
      </c>
      <c r="L7" s="36"/>
      <c r="M7" s="36">
        <f t="shared" si="0"/>
        <v>140264.19409999979</v>
      </c>
      <c r="N7" s="44"/>
    </row>
    <row r="8" spans="1:14">
      <c r="A8" s="26">
        <v>5</v>
      </c>
      <c r="B8" s="27">
        <v>46178</v>
      </c>
      <c r="C8" s="107">
        <v>0</v>
      </c>
      <c r="D8" s="121"/>
      <c r="E8" s="36"/>
      <c r="F8" s="36"/>
      <c r="G8" s="36">
        <f t="shared" ref="G8:G20" si="4">E8*F8</f>
        <v>0</v>
      </c>
      <c r="H8" s="122"/>
      <c r="I8" s="122"/>
      <c r="J8" s="36">
        <f t="shared" ref="J8:J20" si="5">H8*I8</f>
        <v>0</v>
      </c>
      <c r="K8" s="36">
        <f t="shared" ref="K8:K34" si="6">G8+J8</f>
        <v>0</v>
      </c>
      <c r="L8" s="36"/>
      <c r="M8" s="36">
        <f t="shared" si="0"/>
        <v>140264.19409999979</v>
      </c>
      <c r="N8" s="44"/>
    </row>
    <row r="9" spans="1:14">
      <c r="A9" s="26">
        <v>6</v>
      </c>
      <c r="B9" s="27">
        <v>46179</v>
      </c>
      <c r="C9" s="107">
        <v>0</v>
      </c>
      <c r="D9" s="121"/>
      <c r="E9" s="36"/>
      <c r="F9" s="36"/>
      <c r="G9" s="36">
        <f t="shared" si="4"/>
        <v>0</v>
      </c>
      <c r="H9" s="122"/>
      <c r="I9" s="122"/>
      <c r="J9" s="36">
        <f t="shared" si="5"/>
        <v>0</v>
      </c>
      <c r="K9" s="36">
        <f t="shared" si="6"/>
        <v>0</v>
      </c>
      <c r="L9" s="36"/>
      <c r="M9" s="36">
        <f t="shared" si="0"/>
        <v>140264.19409999979</v>
      </c>
      <c r="N9" s="44"/>
    </row>
    <row r="10" spans="1:14">
      <c r="A10" s="26">
        <v>7</v>
      </c>
      <c r="B10" s="27">
        <v>46180</v>
      </c>
      <c r="C10" s="107">
        <v>0</v>
      </c>
      <c r="D10" s="121"/>
      <c r="E10" s="36"/>
      <c r="F10" s="36"/>
      <c r="G10" s="36">
        <f t="shared" si="4"/>
        <v>0</v>
      </c>
      <c r="H10" s="122"/>
      <c r="I10" s="122"/>
      <c r="J10" s="36">
        <f t="shared" si="5"/>
        <v>0</v>
      </c>
      <c r="K10" s="36">
        <f t="shared" si="6"/>
        <v>0</v>
      </c>
      <c r="L10" s="36"/>
      <c r="M10" s="36">
        <f t="shared" si="0"/>
        <v>140264.19409999979</v>
      </c>
      <c r="N10" s="44"/>
    </row>
    <row r="11" spans="1:14">
      <c r="A11" s="26">
        <v>8</v>
      </c>
      <c r="B11" s="27">
        <v>46181</v>
      </c>
      <c r="C11" s="107">
        <v>0</v>
      </c>
      <c r="D11" s="121"/>
      <c r="E11" s="36"/>
      <c r="F11" s="36"/>
      <c r="G11" s="36">
        <f t="shared" si="4"/>
        <v>0</v>
      </c>
      <c r="H11" s="122"/>
      <c r="I11" s="122"/>
      <c r="J11" s="36">
        <f t="shared" si="5"/>
        <v>0</v>
      </c>
      <c r="K11" s="36">
        <f t="shared" si="6"/>
        <v>0</v>
      </c>
      <c r="L11" s="36">
        <v>140000</v>
      </c>
      <c r="M11" s="36">
        <f t="shared" si="0"/>
        <v>264.19409999978961</v>
      </c>
      <c r="N11" s="44"/>
    </row>
    <row r="12" spans="1:14">
      <c r="A12" s="26">
        <v>9</v>
      </c>
      <c r="B12" s="27">
        <v>46182</v>
      </c>
      <c r="C12" s="107">
        <v>0</v>
      </c>
      <c r="D12" s="121"/>
      <c r="E12" s="36">
        <v>1000</v>
      </c>
      <c r="F12" s="36">
        <v>99.21</v>
      </c>
      <c r="G12" s="36">
        <f t="shared" si="4"/>
        <v>99210</v>
      </c>
      <c r="H12" s="122">
        <v>70</v>
      </c>
      <c r="I12" s="122">
        <v>111.43</v>
      </c>
      <c r="J12" s="36">
        <f t="shared" si="5"/>
        <v>7800.1</v>
      </c>
      <c r="K12" s="36">
        <f t="shared" si="6"/>
        <v>107010.1</v>
      </c>
      <c r="L12" s="36"/>
      <c r="M12" s="36">
        <f t="shared" si="0"/>
        <v>107274.2940999998</v>
      </c>
      <c r="N12" s="44"/>
    </row>
    <row r="13" spans="1:14">
      <c r="A13" s="26">
        <v>10</v>
      </c>
      <c r="B13" s="27">
        <v>46183</v>
      </c>
      <c r="C13" s="107">
        <v>0</v>
      </c>
      <c r="D13" s="121"/>
      <c r="E13" s="36"/>
      <c r="F13" s="36"/>
      <c r="G13" s="36">
        <f t="shared" si="4"/>
        <v>0</v>
      </c>
      <c r="H13" s="122"/>
      <c r="I13" s="122"/>
      <c r="J13" s="36">
        <f t="shared" si="5"/>
        <v>0</v>
      </c>
      <c r="K13" s="36">
        <f t="shared" si="6"/>
        <v>0</v>
      </c>
      <c r="L13" s="36"/>
      <c r="M13" s="36">
        <f t="shared" si="0"/>
        <v>107274.2940999998</v>
      </c>
      <c r="N13" s="44"/>
    </row>
    <row r="14" spans="1:14">
      <c r="A14" s="26">
        <v>11</v>
      </c>
      <c r="B14" s="27">
        <v>46184</v>
      </c>
      <c r="C14" s="107">
        <v>0</v>
      </c>
      <c r="D14" s="121"/>
      <c r="E14" s="36"/>
      <c r="F14" s="36"/>
      <c r="G14" s="36">
        <f t="shared" si="4"/>
        <v>0</v>
      </c>
      <c r="H14" s="122"/>
      <c r="I14" s="122"/>
      <c r="J14" s="36">
        <f t="shared" si="5"/>
        <v>0</v>
      </c>
      <c r="K14" s="36">
        <f t="shared" si="6"/>
        <v>0</v>
      </c>
      <c r="L14" s="36"/>
      <c r="M14" s="36">
        <f t="shared" si="0"/>
        <v>107274.2940999998</v>
      </c>
      <c r="N14" s="44"/>
    </row>
    <row r="15" spans="1:14">
      <c r="A15" s="26">
        <v>12</v>
      </c>
      <c r="B15" s="27">
        <v>46185</v>
      </c>
      <c r="C15" s="107">
        <v>0</v>
      </c>
      <c r="D15" s="121"/>
      <c r="E15" s="36"/>
      <c r="F15" s="36"/>
      <c r="G15" s="36">
        <f t="shared" si="4"/>
        <v>0</v>
      </c>
      <c r="H15" s="122"/>
      <c r="I15" s="122"/>
      <c r="J15" s="36">
        <f t="shared" si="5"/>
        <v>0</v>
      </c>
      <c r="K15" s="36">
        <f t="shared" si="6"/>
        <v>0</v>
      </c>
      <c r="L15" s="36"/>
      <c r="M15" s="36">
        <f t="shared" si="0"/>
        <v>107274.2940999998</v>
      </c>
      <c r="N15" s="44"/>
    </row>
    <row r="16" spans="1:14">
      <c r="A16" s="26">
        <v>13</v>
      </c>
      <c r="B16" s="27">
        <v>46186</v>
      </c>
      <c r="C16" s="107">
        <v>0</v>
      </c>
      <c r="D16" s="121"/>
      <c r="E16" s="36"/>
      <c r="F16" s="36"/>
      <c r="G16" s="36">
        <f t="shared" si="4"/>
        <v>0</v>
      </c>
      <c r="H16" s="122"/>
      <c r="I16" s="122"/>
      <c r="J16" s="36">
        <f t="shared" si="5"/>
        <v>0</v>
      </c>
      <c r="K16" s="36">
        <f t="shared" si="6"/>
        <v>0</v>
      </c>
      <c r="L16" s="36"/>
      <c r="M16" s="36">
        <f t="shared" si="0"/>
        <v>107274.2940999998</v>
      </c>
      <c r="N16" s="44"/>
    </row>
    <row r="17" spans="1:14">
      <c r="A17" s="26">
        <v>14</v>
      </c>
      <c r="B17" s="27">
        <v>46187</v>
      </c>
      <c r="C17" s="107">
        <v>0</v>
      </c>
      <c r="D17" s="121"/>
      <c r="E17" s="36"/>
      <c r="F17" s="36"/>
      <c r="G17" s="36">
        <f t="shared" si="4"/>
        <v>0</v>
      </c>
      <c r="H17" s="122"/>
      <c r="I17" s="122"/>
      <c r="J17" s="36">
        <f t="shared" si="5"/>
        <v>0</v>
      </c>
      <c r="K17" s="36">
        <f t="shared" si="6"/>
        <v>0</v>
      </c>
      <c r="L17" s="36"/>
      <c r="M17" s="36">
        <f t="shared" si="0"/>
        <v>107274.2940999998</v>
      </c>
      <c r="N17" s="44"/>
    </row>
    <row r="18" spans="1:14">
      <c r="A18" s="26">
        <v>15</v>
      </c>
      <c r="B18" s="27">
        <v>46188</v>
      </c>
      <c r="C18" s="107">
        <v>0</v>
      </c>
      <c r="D18" s="121"/>
      <c r="E18" s="36"/>
      <c r="F18" s="36"/>
      <c r="G18" s="36">
        <f t="shared" si="4"/>
        <v>0</v>
      </c>
      <c r="H18" s="122"/>
      <c r="I18" s="122"/>
      <c r="J18" s="36">
        <f t="shared" si="5"/>
        <v>0</v>
      </c>
      <c r="K18" s="36">
        <f t="shared" si="6"/>
        <v>0</v>
      </c>
      <c r="L18" s="36"/>
      <c r="M18" s="36">
        <f t="shared" si="0"/>
        <v>107274.2940999998</v>
      </c>
      <c r="N18" s="44"/>
    </row>
    <row r="19" spans="1:14">
      <c r="A19" s="26">
        <v>16</v>
      </c>
      <c r="B19" s="27">
        <v>46189</v>
      </c>
      <c r="C19" s="107">
        <v>0</v>
      </c>
      <c r="D19" s="121"/>
      <c r="E19" s="36"/>
      <c r="F19" s="36"/>
      <c r="G19" s="36">
        <f t="shared" si="4"/>
        <v>0</v>
      </c>
      <c r="H19" s="122"/>
      <c r="I19" s="122"/>
      <c r="J19" s="36">
        <f t="shared" si="5"/>
        <v>0</v>
      </c>
      <c r="K19" s="36">
        <f t="shared" si="6"/>
        <v>0</v>
      </c>
      <c r="L19" s="36">
        <v>100000</v>
      </c>
      <c r="M19" s="36">
        <f t="shared" si="0"/>
        <v>7274.2940999997954</v>
      </c>
      <c r="N19" s="44"/>
    </row>
    <row r="20" spans="1:14">
      <c r="A20" s="26">
        <v>17</v>
      </c>
      <c r="B20" s="27">
        <v>46190</v>
      </c>
      <c r="C20" s="107">
        <v>0</v>
      </c>
      <c r="D20" s="121"/>
      <c r="E20" s="36"/>
      <c r="F20" s="36"/>
      <c r="G20" s="36">
        <f t="shared" si="4"/>
        <v>0</v>
      </c>
      <c r="H20" s="122"/>
      <c r="I20" s="122"/>
      <c r="J20" s="36">
        <f t="shared" si="5"/>
        <v>0</v>
      </c>
      <c r="K20" s="36">
        <f t="shared" si="6"/>
        <v>0</v>
      </c>
      <c r="L20" s="36"/>
      <c r="M20" s="36">
        <f t="shared" si="0"/>
        <v>7274.2940999997954</v>
      </c>
      <c r="N20" s="44"/>
    </row>
    <row r="21" spans="1:14">
      <c r="A21" s="26">
        <v>18</v>
      </c>
      <c r="B21" s="27">
        <v>46191</v>
      </c>
      <c r="C21" s="107">
        <v>0</v>
      </c>
      <c r="D21" s="121"/>
      <c r="E21" s="36">
        <v>1000</v>
      </c>
      <c r="F21" s="36">
        <v>99.21</v>
      </c>
      <c r="G21" s="36">
        <f t="shared" si="1"/>
        <v>99210</v>
      </c>
      <c r="H21" s="122">
        <v>70</v>
      </c>
      <c r="I21" s="122">
        <v>111.43</v>
      </c>
      <c r="J21" s="36">
        <f t="shared" si="2"/>
        <v>7800.1</v>
      </c>
      <c r="K21" s="36">
        <f t="shared" si="6"/>
        <v>107010.1</v>
      </c>
      <c r="L21" s="36"/>
      <c r="M21" s="36">
        <f t="shared" si="0"/>
        <v>114284.3940999998</v>
      </c>
      <c r="N21" s="44"/>
    </row>
    <row r="22" spans="1:14">
      <c r="A22" s="26">
        <v>19</v>
      </c>
      <c r="B22" s="27">
        <v>46192</v>
      </c>
      <c r="C22" s="107">
        <v>0</v>
      </c>
      <c r="D22" s="121"/>
      <c r="E22" s="36"/>
      <c r="F22" s="36"/>
      <c r="G22" s="36">
        <f t="shared" si="1"/>
        <v>0</v>
      </c>
      <c r="H22" s="122"/>
      <c r="I22" s="122"/>
      <c r="J22" s="36">
        <f t="shared" si="2"/>
        <v>0</v>
      </c>
      <c r="K22" s="36">
        <f t="shared" si="6"/>
        <v>0</v>
      </c>
      <c r="L22" s="36"/>
      <c r="M22" s="36">
        <f t="shared" si="0"/>
        <v>114284.3940999998</v>
      </c>
      <c r="N22" s="44"/>
    </row>
    <row r="23" spans="1:14">
      <c r="A23" s="26">
        <v>20</v>
      </c>
      <c r="B23" s="27">
        <v>46193</v>
      </c>
      <c r="C23" s="107">
        <v>0</v>
      </c>
      <c r="D23" s="121"/>
      <c r="E23" s="36"/>
      <c r="F23" s="36"/>
      <c r="G23" s="36">
        <f t="shared" si="1"/>
        <v>0</v>
      </c>
      <c r="H23" s="122"/>
      <c r="I23" s="122"/>
      <c r="J23" s="36">
        <f t="shared" si="2"/>
        <v>0</v>
      </c>
      <c r="K23" s="36">
        <f t="shared" si="6"/>
        <v>0</v>
      </c>
      <c r="L23" s="36"/>
      <c r="M23" s="36">
        <f t="shared" si="0"/>
        <v>114284.3940999998</v>
      </c>
      <c r="N23" s="44"/>
    </row>
    <row r="24" spans="1:14">
      <c r="A24" s="26">
        <v>21</v>
      </c>
      <c r="B24" s="27">
        <v>46194</v>
      </c>
      <c r="C24" s="107">
        <v>0</v>
      </c>
      <c r="D24" s="121"/>
      <c r="E24" s="36"/>
      <c r="F24" s="36"/>
      <c r="G24" s="36">
        <f t="shared" si="1"/>
        <v>0</v>
      </c>
      <c r="H24" s="122"/>
      <c r="I24" s="122"/>
      <c r="J24" s="36">
        <f t="shared" si="2"/>
        <v>0</v>
      </c>
      <c r="K24" s="36">
        <f t="shared" si="6"/>
        <v>0</v>
      </c>
      <c r="L24" s="36"/>
      <c r="M24" s="36">
        <f t="shared" si="0"/>
        <v>114284.3940999998</v>
      </c>
      <c r="N24" s="44"/>
    </row>
    <row r="25" spans="1:14">
      <c r="A25" s="26">
        <v>22</v>
      </c>
      <c r="B25" s="27">
        <v>46195</v>
      </c>
      <c r="C25" s="107">
        <v>0</v>
      </c>
      <c r="D25" s="121"/>
      <c r="E25" s="36"/>
      <c r="F25" s="36"/>
      <c r="G25" s="36">
        <f t="shared" ref="G25:G33" si="7">E25*F25</f>
        <v>0</v>
      </c>
      <c r="H25" s="122"/>
      <c r="I25" s="122"/>
      <c r="J25" s="36">
        <f t="shared" ref="J25:J33" si="8">H25*I25</f>
        <v>0</v>
      </c>
      <c r="K25" s="36">
        <f t="shared" si="6"/>
        <v>0</v>
      </c>
      <c r="L25" s="36"/>
      <c r="M25" s="36">
        <f t="shared" si="0"/>
        <v>114284.3940999998</v>
      </c>
      <c r="N25" s="44"/>
    </row>
    <row r="26" spans="1:14">
      <c r="A26" s="26">
        <v>23</v>
      </c>
      <c r="B26" s="27">
        <v>46196</v>
      </c>
      <c r="C26" s="107">
        <v>0</v>
      </c>
      <c r="D26" s="121"/>
      <c r="E26" s="36"/>
      <c r="F26" s="36"/>
      <c r="G26" s="36">
        <f t="shared" si="7"/>
        <v>0</v>
      </c>
      <c r="H26" s="122"/>
      <c r="I26" s="122"/>
      <c r="J26" s="36">
        <f t="shared" si="8"/>
        <v>0</v>
      </c>
      <c r="K26" s="36">
        <f t="shared" si="6"/>
        <v>0</v>
      </c>
      <c r="L26" s="36"/>
      <c r="M26" s="36">
        <f t="shared" si="0"/>
        <v>114284.3940999998</v>
      </c>
      <c r="N26" s="44"/>
    </row>
    <row r="27" spans="1:14">
      <c r="A27" s="26">
        <v>24</v>
      </c>
      <c r="B27" s="27">
        <v>46197</v>
      </c>
      <c r="C27" s="107">
        <v>0</v>
      </c>
      <c r="D27" s="121"/>
      <c r="E27" s="36"/>
      <c r="F27" s="36"/>
      <c r="G27" s="36">
        <f t="shared" si="7"/>
        <v>0</v>
      </c>
      <c r="H27" s="122"/>
      <c r="I27" s="122"/>
      <c r="J27" s="36">
        <f t="shared" si="8"/>
        <v>0</v>
      </c>
      <c r="K27" s="36">
        <f t="shared" si="6"/>
        <v>0</v>
      </c>
      <c r="L27" s="36"/>
      <c r="M27" s="36">
        <f t="shared" si="0"/>
        <v>114284.3940999998</v>
      </c>
      <c r="N27" s="44"/>
    </row>
    <row r="28" spans="1:14">
      <c r="A28" s="26">
        <v>25</v>
      </c>
      <c r="B28" s="27">
        <v>46198</v>
      </c>
      <c r="C28" s="107">
        <v>0</v>
      </c>
      <c r="D28" s="121"/>
      <c r="E28" s="36"/>
      <c r="F28" s="36"/>
      <c r="G28" s="36">
        <f t="shared" si="7"/>
        <v>0</v>
      </c>
      <c r="H28" s="122"/>
      <c r="I28" s="122"/>
      <c r="J28" s="36">
        <f t="shared" si="8"/>
        <v>0</v>
      </c>
      <c r="K28" s="36">
        <f t="shared" si="6"/>
        <v>0</v>
      </c>
      <c r="L28" s="36"/>
      <c r="M28" s="36">
        <f t="shared" si="0"/>
        <v>114284.3940999998</v>
      </c>
      <c r="N28" s="44"/>
    </row>
    <row r="29" spans="1:14">
      <c r="A29" s="26">
        <v>26</v>
      </c>
      <c r="B29" s="27">
        <v>46199</v>
      </c>
      <c r="C29" s="107">
        <v>0</v>
      </c>
      <c r="D29" s="121"/>
      <c r="E29" s="36"/>
      <c r="F29" s="36"/>
      <c r="G29" s="36">
        <f t="shared" si="7"/>
        <v>0</v>
      </c>
      <c r="H29" s="122"/>
      <c r="I29" s="122"/>
      <c r="J29" s="36">
        <f t="shared" si="8"/>
        <v>0</v>
      </c>
      <c r="K29" s="36">
        <f t="shared" si="6"/>
        <v>0</v>
      </c>
      <c r="L29" s="36"/>
      <c r="M29" s="36">
        <f t="shared" si="0"/>
        <v>114284.3940999998</v>
      </c>
      <c r="N29" s="44"/>
    </row>
    <row r="30" spans="1:14">
      <c r="A30" s="26">
        <v>27</v>
      </c>
      <c r="B30" s="27">
        <v>46200</v>
      </c>
      <c r="C30" s="107">
        <v>0</v>
      </c>
      <c r="D30" s="121"/>
      <c r="E30" s="36"/>
      <c r="F30" s="36"/>
      <c r="G30" s="36">
        <f t="shared" si="7"/>
        <v>0</v>
      </c>
      <c r="H30" s="122"/>
      <c r="I30" s="122"/>
      <c r="J30" s="36">
        <f t="shared" si="8"/>
        <v>0</v>
      </c>
      <c r="K30" s="36">
        <f t="shared" si="6"/>
        <v>0</v>
      </c>
      <c r="L30" s="36"/>
      <c r="M30" s="36">
        <f t="shared" si="0"/>
        <v>114284.3940999998</v>
      </c>
      <c r="N30" s="44"/>
    </row>
    <row r="31" spans="1:14">
      <c r="A31" s="26">
        <v>28</v>
      </c>
      <c r="B31" s="27">
        <v>46201</v>
      </c>
      <c r="C31" s="107">
        <v>0</v>
      </c>
      <c r="D31" s="121"/>
      <c r="E31" s="36"/>
      <c r="F31" s="36"/>
      <c r="G31" s="36">
        <f t="shared" si="7"/>
        <v>0</v>
      </c>
      <c r="H31" s="122"/>
      <c r="I31" s="122"/>
      <c r="J31" s="36">
        <f t="shared" si="8"/>
        <v>0</v>
      </c>
      <c r="K31" s="36">
        <f t="shared" si="6"/>
        <v>0</v>
      </c>
      <c r="L31" s="36"/>
      <c r="M31" s="36">
        <f t="shared" si="0"/>
        <v>114284.3940999998</v>
      </c>
      <c r="N31" s="44"/>
    </row>
    <row r="32" spans="1:14">
      <c r="A32" s="26">
        <v>29</v>
      </c>
      <c r="B32" s="27">
        <v>46202</v>
      </c>
      <c r="C32" s="107">
        <v>0</v>
      </c>
      <c r="D32" s="121"/>
      <c r="E32" s="36"/>
      <c r="F32" s="36"/>
      <c r="G32" s="36">
        <f t="shared" si="7"/>
        <v>0</v>
      </c>
      <c r="H32" s="122"/>
      <c r="I32" s="122"/>
      <c r="J32" s="36">
        <f t="shared" si="8"/>
        <v>0</v>
      </c>
      <c r="K32" s="36">
        <f t="shared" si="6"/>
        <v>0</v>
      </c>
      <c r="L32" s="36"/>
      <c r="M32" s="36">
        <f t="shared" si="0"/>
        <v>114284.3940999998</v>
      </c>
      <c r="N32" s="44"/>
    </row>
    <row r="33" spans="1:14">
      <c r="A33" s="26">
        <v>30</v>
      </c>
      <c r="B33" s="27">
        <v>46203</v>
      </c>
      <c r="C33" s="107">
        <v>0</v>
      </c>
      <c r="D33" s="121"/>
      <c r="E33" s="36"/>
      <c r="F33" s="36"/>
      <c r="G33" s="36">
        <f t="shared" si="7"/>
        <v>0</v>
      </c>
      <c r="H33" s="122"/>
      <c r="I33" s="122"/>
      <c r="J33" s="36">
        <f t="shared" si="8"/>
        <v>0</v>
      </c>
      <c r="K33" s="36">
        <f t="shared" si="6"/>
        <v>0</v>
      </c>
      <c r="L33" s="36"/>
      <c r="M33" s="36">
        <f t="shared" si="0"/>
        <v>114284.3940999998</v>
      </c>
      <c r="N33" s="44"/>
    </row>
    <row r="34" spans="1:14">
      <c r="A34" s="26">
        <v>31</v>
      </c>
      <c r="B34" s="27"/>
      <c r="C34" s="107"/>
      <c r="D34" s="121"/>
      <c r="E34" s="36"/>
      <c r="F34" s="36"/>
      <c r="G34" s="36"/>
      <c r="H34" s="122"/>
      <c r="I34" s="122"/>
      <c r="J34" s="36"/>
      <c r="K34" s="36">
        <f t="shared" si="6"/>
        <v>0</v>
      </c>
      <c r="L34" s="36"/>
      <c r="M34" s="36"/>
      <c r="N34" s="44"/>
    </row>
    <row r="35" spans="1:14">
      <c r="A35" s="42"/>
      <c r="B35" s="42"/>
      <c r="C35" s="42"/>
      <c r="D35" s="42"/>
      <c r="E35" s="43">
        <f>SUM(E4:E34)</f>
        <v>3000</v>
      </c>
      <c r="F35" s="43"/>
      <c r="G35" s="43">
        <f>SUM(G4:G34)</f>
        <v>298410</v>
      </c>
      <c r="H35" s="43">
        <f>SUM(H4:H34)</f>
        <v>140</v>
      </c>
      <c r="I35" s="43"/>
      <c r="J35" s="43">
        <f>SUM(J4:J34)</f>
        <v>15600.2</v>
      </c>
      <c r="K35" s="43">
        <f>SUM(K4:K34)</f>
        <v>314010.2</v>
      </c>
      <c r="L35" s="43">
        <f>SUM(L4:L34)</f>
        <v>347927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3" activePane="bottomLeft" state="frozen"/>
      <selection pane="bottomLeft" activeCell="L11" sqref="L11"/>
    </sheetView>
  </sheetViews>
  <sheetFormatPr defaultColWidth="9.28515625" defaultRowHeight="15"/>
  <cols>
    <col min="1" max="1" width="5.42578125" style="51" bestFit="1" customWidth="1"/>
    <col min="2" max="2" width="11" style="51" bestFit="1" customWidth="1"/>
    <col min="3" max="3" width="7.140625" style="51" bestFit="1" customWidth="1"/>
    <col min="4" max="4" width="15.140625" style="51" bestFit="1" customWidth="1"/>
    <col min="5" max="5" width="9.28515625" style="51"/>
    <col min="6" max="6" width="9.85546875" style="51" bestFit="1" customWidth="1"/>
    <col min="7" max="7" width="10.42578125" style="51" bestFit="1" customWidth="1"/>
    <col min="8" max="8" width="9.28515625" style="51"/>
    <col min="9" max="9" width="11.7109375" style="51" customWidth="1"/>
    <col min="10" max="10" width="9.5703125" style="51" bestFit="1" customWidth="1"/>
    <col min="11" max="11" width="12.28515625" style="51" customWidth="1"/>
    <col min="12" max="12" width="11.7109375" style="51" bestFit="1" customWidth="1"/>
    <col min="13" max="13" width="11.7109375" style="51" customWidth="1"/>
    <col min="14" max="14" width="17.7109375" style="51" bestFit="1" customWidth="1"/>
    <col min="15" max="16384" width="9.28515625" style="51"/>
  </cols>
  <sheetData>
    <row r="1" spans="1:15" ht="15.75">
      <c r="A1" s="569" t="s">
        <v>101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</row>
    <row r="2" spans="1:15" ht="25.5">
      <c r="A2" s="87" t="s">
        <v>0</v>
      </c>
      <c r="B2" s="88" t="s">
        <v>167</v>
      </c>
      <c r="C2" s="88" t="s">
        <v>168</v>
      </c>
      <c r="D2" s="88" t="s">
        <v>169</v>
      </c>
      <c r="E2" s="88" t="s">
        <v>170</v>
      </c>
      <c r="F2" s="88" t="s">
        <v>171</v>
      </c>
      <c r="G2" s="88" t="s">
        <v>172</v>
      </c>
      <c r="H2" s="88" t="s">
        <v>173</v>
      </c>
      <c r="I2" s="88" t="s">
        <v>171</v>
      </c>
      <c r="J2" s="112" t="s">
        <v>172</v>
      </c>
      <c r="K2" s="114" t="s">
        <v>174</v>
      </c>
      <c r="L2" s="115" t="s">
        <v>175</v>
      </c>
      <c r="M2" s="116" t="s">
        <v>192</v>
      </c>
      <c r="N2" s="89" t="s">
        <v>177</v>
      </c>
      <c r="O2" s="33"/>
    </row>
    <row r="3" spans="1:15" ht="15.75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9"/>
      <c r="K3" s="52">
        <v>182925.70000000007</v>
      </c>
      <c r="L3" s="123"/>
      <c r="M3" s="120">
        <v>182925.70000000007</v>
      </c>
      <c r="N3" s="50"/>
    </row>
    <row r="4" spans="1:15" ht="15.75">
      <c r="A4" s="26">
        <v>1</v>
      </c>
      <c r="B4" s="27">
        <v>46174</v>
      </c>
      <c r="C4" s="118"/>
      <c r="D4" s="119"/>
      <c r="E4" s="79"/>
      <c r="F4" s="117"/>
      <c r="G4" s="117">
        <f>E4*F4</f>
        <v>0</v>
      </c>
      <c r="H4" s="117"/>
      <c r="I4" s="117"/>
      <c r="J4" s="117">
        <f>H4*I4</f>
        <v>0</v>
      </c>
      <c r="K4" s="117">
        <f>G4+J4</f>
        <v>0</v>
      </c>
      <c r="L4" s="117">
        <v>150000</v>
      </c>
      <c r="M4" s="123">
        <f>M3+K4-L4</f>
        <v>32925.70000000007</v>
      </c>
      <c r="N4" s="117"/>
    </row>
    <row r="5" spans="1:15" ht="15.75">
      <c r="A5" s="26">
        <v>2</v>
      </c>
      <c r="B5" s="27">
        <v>46175</v>
      </c>
      <c r="C5" s="23"/>
      <c r="D5" s="24"/>
      <c r="E5" s="79"/>
      <c r="F5" s="117"/>
      <c r="G5" s="117">
        <f t="shared" ref="G5:G33" si="0">E5*F5</f>
        <v>0</v>
      </c>
      <c r="H5" s="117"/>
      <c r="I5" s="117"/>
      <c r="J5" s="117">
        <f t="shared" ref="J5:J33" si="1">H5*I5</f>
        <v>0</v>
      </c>
      <c r="K5" s="117">
        <f t="shared" ref="K5:K33" si="2">G5+J5</f>
        <v>0</v>
      </c>
      <c r="L5" s="117"/>
      <c r="M5" s="123">
        <f>M4+K5-L5</f>
        <v>32925.70000000007</v>
      </c>
      <c r="N5" s="44"/>
    </row>
    <row r="6" spans="1:15" ht="18.75" customHeight="1">
      <c r="A6" s="26">
        <v>3</v>
      </c>
      <c r="B6" s="27">
        <v>46176</v>
      </c>
      <c r="C6" s="208"/>
      <c r="D6" s="189"/>
      <c r="E6" s="79"/>
      <c r="F6" s="117"/>
      <c r="G6" s="117">
        <f t="shared" si="0"/>
        <v>0</v>
      </c>
      <c r="H6" s="117"/>
      <c r="I6" s="117"/>
      <c r="J6" s="117">
        <f t="shared" si="1"/>
        <v>0</v>
      </c>
      <c r="K6" s="117">
        <f t="shared" si="2"/>
        <v>0</v>
      </c>
      <c r="L6" s="117"/>
      <c r="M6" s="123">
        <f>M5+K6-L6</f>
        <v>32925.70000000007</v>
      </c>
      <c r="N6" s="50"/>
    </row>
    <row r="7" spans="1:15" ht="15.75">
      <c r="A7" s="26">
        <v>4</v>
      </c>
      <c r="B7" s="27">
        <v>46177</v>
      </c>
      <c r="C7" s="206"/>
      <c r="D7" s="207"/>
      <c r="E7" s="79"/>
      <c r="F7" s="117"/>
      <c r="G7" s="117">
        <f t="shared" si="0"/>
        <v>0</v>
      </c>
      <c r="H7" s="117"/>
      <c r="I7" s="117"/>
      <c r="J7" s="117">
        <f t="shared" si="1"/>
        <v>0</v>
      </c>
      <c r="K7" s="117">
        <f t="shared" si="2"/>
        <v>0</v>
      </c>
      <c r="L7" s="117"/>
      <c r="M7" s="123">
        <f>M6+K7-L7</f>
        <v>32925.70000000007</v>
      </c>
      <c r="N7" s="44"/>
    </row>
    <row r="8" spans="1:15" ht="15.75" customHeight="1">
      <c r="A8" s="26">
        <v>5</v>
      </c>
      <c r="B8" s="27">
        <v>46178</v>
      </c>
      <c r="C8" s="117"/>
      <c r="D8" s="117"/>
      <c r="E8" s="79"/>
      <c r="F8" s="117"/>
      <c r="G8" s="117">
        <f t="shared" si="0"/>
        <v>0</v>
      </c>
      <c r="H8" s="117"/>
      <c r="I8" s="117"/>
      <c r="J8" s="117">
        <f t="shared" si="1"/>
        <v>0</v>
      </c>
      <c r="K8" s="117">
        <f t="shared" si="2"/>
        <v>0</v>
      </c>
      <c r="L8" s="117"/>
      <c r="M8" s="123">
        <f t="shared" ref="M8:M34" si="3">M7+K8-L8</f>
        <v>32925.70000000007</v>
      </c>
      <c r="N8" s="50"/>
    </row>
    <row r="9" spans="1:15" ht="15.75" customHeight="1">
      <c r="A9" s="26">
        <v>6</v>
      </c>
      <c r="B9" s="27">
        <v>46179</v>
      </c>
      <c r="C9" s="50"/>
      <c r="D9" s="117"/>
      <c r="E9" s="79"/>
      <c r="F9" s="117"/>
      <c r="G9" s="117">
        <f t="shared" si="0"/>
        <v>0</v>
      </c>
      <c r="H9" s="117"/>
      <c r="I9" s="117"/>
      <c r="J9" s="117">
        <f t="shared" si="1"/>
        <v>0</v>
      </c>
      <c r="K9" s="117">
        <f t="shared" si="2"/>
        <v>0</v>
      </c>
      <c r="L9" s="117"/>
      <c r="M9" s="123">
        <f t="shared" si="3"/>
        <v>32925.70000000007</v>
      </c>
      <c r="N9" s="50"/>
    </row>
    <row r="10" spans="1:15" ht="15.75" customHeight="1">
      <c r="A10" s="26">
        <v>7</v>
      </c>
      <c r="B10" s="27">
        <v>46180</v>
      </c>
      <c r="C10" s="50"/>
      <c r="D10" s="117"/>
      <c r="E10" s="79"/>
      <c r="F10" s="117"/>
      <c r="G10" s="117">
        <f t="shared" si="0"/>
        <v>0</v>
      </c>
      <c r="H10" s="117"/>
      <c r="I10" s="117"/>
      <c r="J10" s="117">
        <f t="shared" si="1"/>
        <v>0</v>
      </c>
      <c r="K10" s="117">
        <f t="shared" si="2"/>
        <v>0</v>
      </c>
      <c r="L10" s="117"/>
      <c r="M10" s="123">
        <f t="shared" si="3"/>
        <v>32925.70000000007</v>
      </c>
      <c r="N10" s="50"/>
    </row>
    <row r="11" spans="1:15" ht="15.75" customHeight="1">
      <c r="A11" s="26">
        <v>8</v>
      </c>
      <c r="B11" s="27">
        <v>46181</v>
      </c>
      <c r="C11" s="50"/>
      <c r="D11" s="117"/>
      <c r="E11" s="79"/>
      <c r="F11" s="117"/>
      <c r="G11" s="117">
        <f t="shared" si="0"/>
        <v>0</v>
      </c>
      <c r="H11" s="117"/>
      <c r="I11" s="117"/>
      <c r="J11" s="117">
        <f t="shared" si="1"/>
        <v>0</v>
      </c>
      <c r="K11" s="117">
        <f t="shared" si="2"/>
        <v>0</v>
      </c>
      <c r="L11" s="117">
        <v>32855</v>
      </c>
      <c r="M11" s="123">
        <f t="shared" si="3"/>
        <v>70.700000000069849</v>
      </c>
      <c r="N11" s="50"/>
    </row>
    <row r="12" spans="1:15" ht="15.75" customHeight="1">
      <c r="A12" s="26">
        <v>9</v>
      </c>
      <c r="B12" s="27">
        <v>46182</v>
      </c>
      <c r="C12" s="50"/>
      <c r="D12" s="117"/>
      <c r="E12" s="79">
        <v>1500</v>
      </c>
      <c r="F12" s="117">
        <v>99.92</v>
      </c>
      <c r="G12" s="117">
        <f t="shared" si="0"/>
        <v>149880</v>
      </c>
      <c r="H12" s="117">
        <v>70</v>
      </c>
      <c r="I12" s="117">
        <v>111.84</v>
      </c>
      <c r="J12" s="117">
        <f t="shared" si="1"/>
        <v>7828.8</v>
      </c>
      <c r="K12" s="117">
        <f t="shared" si="2"/>
        <v>157708.79999999999</v>
      </c>
      <c r="L12" s="117"/>
      <c r="M12" s="123">
        <f t="shared" si="3"/>
        <v>157779.50000000006</v>
      </c>
      <c r="N12" s="50"/>
    </row>
    <row r="13" spans="1:15" ht="15.75" customHeight="1">
      <c r="A13" s="26">
        <v>10</v>
      </c>
      <c r="B13" s="27">
        <v>46183</v>
      </c>
      <c r="C13" s="50"/>
      <c r="D13" s="117"/>
      <c r="E13" s="79"/>
      <c r="F13" s="117"/>
      <c r="G13" s="117">
        <f t="shared" si="0"/>
        <v>0</v>
      </c>
      <c r="H13" s="117"/>
      <c r="I13" s="117"/>
      <c r="J13" s="117">
        <f t="shared" si="1"/>
        <v>0</v>
      </c>
      <c r="K13" s="117">
        <f t="shared" si="2"/>
        <v>0</v>
      </c>
      <c r="L13" s="117"/>
      <c r="M13" s="123">
        <f t="shared" si="3"/>
        <v>157779.50000000006</v>
      </c>
      <c r="N13" s="50"/>
    </row>
    <row r="14" spans="1:15" ht="15.75" customHeight="1">
      <c r="A14" s="26">
        <v>11</v>
      </c>
      <c r="B14" s="27">
        <v>46184</v>
      </c>
      <c r="C14" s="50"/>
      <c r="D14" s="117"/>
      <c r="E14" s="79"/>
      <c r="F14" s="117"/>
      <c r="G14" s="117">
        <f t="shared" si="0"/>
        <v>0</v>
      </c>
      <c r="H14" s="117"/>
      <c r="I14" s="117"/>
      <c r="J14" s="117">
        <f t="shared" si="1"/>
        <v>0</v>
      </c>
      <c r="K14" s="117">
        <f t="shared" si="2"/>
        <v>0</v>
      </c>
      <c r="L14" s="117"/>
      <c r="M14" s="123">
        <f t="shared" si="3"/>
        <v>157779.50000000006</v>
      </c>
      <c r="N14" s="50"/>
    </row>
    <row r="15" spans="1:15" ht="15.75" customHeight="1">
      <c r="A15" s="26">
        <v>12</v>
      </c>
      <c r="B15" s="27">
        <v>46185</v>
      </c>
      <c r="C15" s="50"/>
      <c r="D15" s="117"/>
      <c r="E15" s="79"/>
      <c r="F15" s="117"/>
      <c r="G15" s="117">
        <f t="shared" si="0"/>
        <v>0</v>
      </c>
      <c r="H15" s="117"/>
      <c r="I15" s="117"/>
      <c r="J15" s="117">
        <f t="shared" si="1"/>
        <v>0</v>
      </c>
      <c r="K15" s="117">
        <f t="shared" si="2"/>
        <v>0</v>
      </c>
      <c r="L15" s="117"/>
      <c r="M15" s="123">
        <f t="shared" si="3"/>
        <v>157779.50000000006</v>
      </c>
      <c r="N15" s="50"/>
    </row>
    <row r="16" spans="1:15" ht="15.75" customHeight="1">
      <c r="A16" s="26">
        <v>13</v>
      </c>
      <c r="B16" s="27">
        <v>46186</v>
      </c>
      <c r="C16" s="50"/>
      <c r="D16" s="117"/>
      <c r="E16" s="79"/>
      <c r="F16" s="117"/>
      <c r="G16" s="117">
        <f t="shared" si="0"/>
        <v>0</v>
      </c>
      <c r="H16" s="117"/>
      <c r="I16" s="117"/>
      <c r="J16" s="117">
        <f t="shared" si="1"/>
        <v>0</v>
      </c>
      <c r="K16" s="117">
        <f t="shared" si="2"/>
        <v>0</v>
      </c>
      <c r="L16" s="117"/>
      <c r="M16" s="123">
        <f t="shared" si="3"/>
        <v>157779.50000000006</v>
      </c>
      <c r="N16" s="50"/>
    </row>
    <row r="17" spans="1:14" ht="15.75" customHeight="1">
      <c r="A17" s="26">
        <v>14</v>
      </c>
      <c r="B17" s="27">
        <v>46187</v>
      </c>
      <c r="C17" s="50"/>
      <c r="D17" s="117"/>
      <c r="E17" s="79"/>
      <c r="F17" s="117"/>
      <c r="G17" s="117">
        <f t="shared" si="0"/>
        <v>0</v>
      </c>
      <c r="H17" s="117"/>
      <c r="I17" s="117"/>
      <c r="J17" s="117">
        <f t="shared" si="1"/>
        <v>0</v>
      </c>
      <c r="K17" s="117">
        <f t="shared" si="2"/>
        <v>0</v>
      </c>
      <c r="L17" s="117"/>
      <c r="M17" s="123">
        <f t="shared" si="3"/>
        <v>157779.50000000006</v>
      </c>
      <c r="N17" s="50"/>
    </row>
    <row r="18" spans="1:14" ht="15.75" customHeight="1">
      <c r="A18" s="26">
        <v>15</v>
      </c>
      <c r="B18" s="27">
        <v>46188</v>
      </c>
      <c r="C18" s="50"/>
      <c r="D18" s="117"/>
      <c r="E18" s="79"/>
      <c r="F18" s="117"/>
      <c r="G18" s="117">
        <f t="shared" si="0"/>
        <v>0</v>
      </c>
      <c r="H18" s="117"/>
      <c r="I18" s="117"/>
      <c r="J18" s="117">
        <f t="shared" si="1"/>
        <v>0</v>
      </c>
      <c r="K18" s="117">
        <f t="shared" si="2"/>
        <v>0</v>
      </c>
      <c r="L18" s="117"/>
      <c r="M18" s="123">
        <f t="shared" si="3"/>
        <v>157779.50000000006</v>
      </c>
      <c r="N18" s="50"/>
    </row>
    <row r="19" spans="1:14" ht="15.75" customHeight="1">
      <c r="A19" s="26">
        <v>16</v>
      </c>
      <c r="B19" s="27">
        <v>46189</v>
      </c>
      <c r="C19" s="50"/>
      <c r="D19" s="117"/>
      <c r="E19" s="79"/>
      <c r="F19" s="117"/>
      <c r="G19" s="117">
        <f t="shared" si="0"/>
        <v>0</v>
      </c>
      <c r="H19" s="117"/>
      <c r="I19" s="117"/>
      <c r="J19" s="117">
        <f t="shared" si="1"/>
        <v>0</v>
      </c>
      <c r="K19" s="117">
        <f t="shared" si="2"/>
        <v>0</v>
      </c>
      <c r="L19" s="117">
        <v>150000</v>
      </c>
      <c r="M19" s="123">
        <f t="shared" si="3"/>
        <v>7779.5000000000582</v>
      </c>
      <c r="N19" s="50"/>
    </row>
    <row r="20" spans="1:14" ht="15.75" customHeight="1">
      <c r="A20" s="26">
        <v>17</v>
      </c>
      <c r="B20" s="27">
        <v>46190</v>
      </c>
      <c r="C20" s="50"/>
      <c r="D20" s="117"/>
      <c r="E20" s="79">
        <v>2000</v>
      </c>
      <c r="F20" s="117">
        <v>99.92</v>
      </c>
      <c r="G20" s="117">
        <f t="shared" si="0"/>
        <v>199840</v>
      </c>
      <c r="H20" s="117">
        <v>70</v>
      </c>
      <c r="I20" s="117">
        <v>111.84</v>
      </c>
      <c r="J20" s="117">
        <f t="shared" si="1"/>
        <v>7828.8</v>
      </c>
      <c r="K20" s="117">
        <f t="shared" si="2"/>
        <v>207668.8</v>
      </c>
      <c r="L20" s="117"/>
      <c r="M20" s="123">
        <f t="shared" si="3"/>
        <v>215448.30000000005</v>
      </c>
      <c r="N20" s="50"/>
    </row>
    <row r="21" spans="1:14" ht="15.75" customHeight="1">
      <c r="A21" s="26">
        <v>18</v>
      </c>
      <c r="B21" s="27">
        <v>46191</v>
      </c>
      <c r="C21" s="50"/>
      <c r="D21" s="117"/>
      <c r="E21" s="79"/>
      <c r="F21" s="117"/>
      <c r="G21" s="117">
        <f t="shared" si="0"/>
        <v>0</v>
      </c>
      <c r="H21" s="117"/>
      <c r="I21" s="117"/>
      <c r="J21" s="117">
        <f t="shared" si="1"/>
        <v>0</v>
      </c>
      <c r="K21" s="117">
        <f t="shared" si="2"/>
        <v>0</v>
      </c>
      <c r="L21" s="117"/>
      <c r="M21" s="123">
        <f t="shared" si="3"/>
        <v>215448.30000000005</v>
      </c>
      <c r="N21" s="50"/>
    </row>
    <row r="22" spans="1:14" ht="15.75" customHeight="1">
      <c r="A22" s="26">
        <v>19</v>
      </c>
      <c r="B22" s="27">
        <v>46192</v>
      </c>
      <c r="C22" s="50"/>
      <c r="D22" s="117"/>
      <c r="E22" s="79"/>
      <c r="F22" s="117"/>
      <c r="G22" s="117">
        <f t="shared" si="0"/>
        <v>0</v>
      </c>
      <c r="H22" s="117"/>
      <c r="I22" s="117"/>
      <c r="J22" s="117">
        <f t="shared" si="1"/>
        <v>0</v>
      </c>
      <c r="K22" s="117">
        <f t="shared" si="2"/>
        <v>0</v>
      </c>
      <c r="L22" s="117"/>
      <c r="M22" s="123">
        <f t="shared" si="3"/>
        <v>215448.30000000005</v>
      </c>
      <c r="N22" s="50"/>
    </row>
    <row r="23" spans="1:14" ht="15.75" customHeight="1">
      <c r="A23" s="26">
        <v>20</v>
      </c>
      <c r="B23" s="27">
        <v>46193</v>
      </c>
      <c r="C23" s="50"/>
      <c r="D23" s="117"/>
      <c r="E23" s="79"/>
      <c r="F23" s="117"/>
      <c r="G23" s="117">
        <f t="shared" si="0"/>
        <v>0</v>
      </c>
      <c r="H23" s="117"/>
      <c r="I23" s="117"/>
      <c r="J23" s="117">
        <f t="shared" si="1"/>
        <v>0</v>
      </c>
      <c r="K23" s="117">
        <f t="shared" si="2"/>
        <v>0</v>
      </c>
      <c r="L23" s="117"/>
      <c r="M23" s="123">
        <f t="shared" si="3"/>
        <v>215448.30000000005</v>
      </c>
      <c r="N23" s="50"/>
    </row>
    <row r="24" spans="1:14" ht="15.75" customHeight="1">
      <c r="A24" s="26">
        <v>21</v>
      </c>
      <c r="B24" s="27">
        <v>46194</v>
      </c>
      <c r="C24" s="50"/>
      <c r="D24" s="117"/>
      <c r="E24" s="79"/>
      <c r="F24" s="117"/>
      <c r="G24" s="117">
        <f t="shared" si="0"/>
        <v>0</v>
      </c>
      <c r="H24" s="117"/>
      <c r="I24" s="117"/>
      <c r="J24" s="117">
        <f t="shared" si="1"/>
        <v>0</v>
      </c>
      <c r="K24" s="117">
        <f t="shared" si="2"/>
        <v>0</v>
      </c>
      <c r="L24" s="117"/>
      <c r="M24" s="123">
        <f t="shared" si="3"/>
        <v>215448.30000000005</v>
      </c>
      <c r="N24" s="50"/>
    </row>
    <row r="25" spans="1:14" ht="15.75" customHeight="1">
      <c r="A25" s="26">
        <v>22</v>
      </c>
      <c r="B25" s="27">
        <v>46195</v>
      </c>
      <c r="C25" s="50"/>
      <c r="D25" s="117"/>
      <c r="E25" s="79"/>
      <c r="F25" s="117"/>
      <c r="G25" s="117">
        <f t="shared" si="0"/>
        <v>0</v>
      </c>
      <c r="H25" s="117"/>
      <c r="I25" s="117"/>
      <c r="J25" s="117">
        <f t="shared" si="1"/>
        <v>0</v>
      </c>
      <c r="K25" s="117">
        <f t="shared" si="2"/>
        <v>0</v>
      </c>
      <c r="L25" s="117"/>
      <c r="M25" s="123">
        <f t="shared" si="3"/>
        <v>215448.30000000005</v>
      </c>
      <c r="N25" s="50"/>
    </row>
    <row r="26" spans="1:14" ht="15.75" customHeight="1">
      <c r="A26" s="26">
        <v>23</v>
      </c>
      <c r="B26" s="27">
        <v>46196</v>
      </c>
      <c r="C26" s="50"/>
      <c r="D26" s="117"/>
      <c r="E26" s="79"/>
      <c r="F26" s="117"/>
      <c r="G26" s="117">
        <f t="shared" si="0"/>
        <v>0</v>
      </c>
      <c r="H26" s="117"/>
      <c r="I26" s="117"/>
      <c r="J26" s="117">
        <f t="shared" si="1"/>
        <v>0</v>
      </c>
      <c r="K26" s="117">
        <f t="shared" si="2"/>
        <v>0</v>
      </c>
      <c r="L26" s="117"/>
      <c r="M26" s="123">
        <f t="shared" si="3"/>
        <v>215448.30000000005</v>
      </c>
      <c r="N26" s="50"/>
    </row>
    <row r="27" spans="1:14" ht="15.75" customHeight="1">
      <c r="A27" s="26">
        <v>24</v>
      </c>
      <c r="B27" s="27">
        <v>46197</v>
      </c>
      <c r="C27" s="50"/>
      <c r="D27" s="117"/>
      <c r="E27" s="79"/>
      <c r="F27" s="117"/>
      <c r="G27" s="117">
        <f t="shared" si="0"/>
        <v>0</v>
      </c>
      <c r="H27" s="117"/>
      <c r="I27" s="117"/>
      <c r="J27" s="117">
        <f t="shared" si="1"/>
        <v>0</v>
      </c>
      <c r="K27" s="117">
        <f t="shared" si="2"/>
        <v>0</v>
      </c>
      <c r="L27" s="117"/>
      <c r="M27" s="123">
        <f t="shared" si="3"/>
        <v>215448.30000000005</v>
      </c>
      <c r="N27" s="50"/>
    </row>
    <row r="28" spans="1:14" ht="15.75" customHeight="1">
      <c r="A28" s="26">
        <v>25</v>
      </c>
      <c r="B28" s="27">
        <v>46198</v>
      </c>
      <c r="C28" s="50"/>
      <c r="D28" s="117"/>
      <c r="E28" s="79"/>
      <c r="F28" s="117"/>
      <c r="G28" s="117">
        <f t="shared" si="0"/>
        <v>0</v>
      </c>
      <c r="H28" s="117"/>
      <c r="I28" s="117"/>
      <c r="J28" s="117">
        <f t="shared" si="1"/>
        <v>0</v>
      </c>
      <c r="K28" s="117">
        <f t="shared" si="2"/>
        <v>0</v>
      </c>
      <c r="L28" s="117"/>
      <c r="M28" s="123">
        <f t="shared" si="3"/>
        <v>215448.30000000005</v>
      </c>
      <c r="N28" s="50"/>
    </row>
    <row r="29" spans="1:14" ht="15.75" customHeight="1">
      <c r="A29" s="26">
        <v>26</v>
      </c>
      <c r="B29" s="27">
        <v>46199</v>
      </c>
      <c r="C29" s="50"/>
      <c r="D29" s="117"/>
      <c r="E29" s="79"/>
      <c r="F29" s="117"/>
      <c r="G29" s="117">
        <f t="shared" si="0"/>
        <v>0</v>
      </c>
      <c r="H29" s="117"/>
      <c r="I29" s="117"/>
      <c r="J29" s="117">
        <f t="shared" si="1"/>
        <v>0</v>
      </c>
      <c r="K29" s="117">
        <f t="shared" si="2"/>
        <v>0</v>
      </c>
      <c r="L29" s="117"/>
      <c r="M29" s="123">
        <f t="shared" si="3"/>
        <v>215448.30000000005</v>
      </c>
      <c r="N29" s="50"/>
    </row>
    <row r="30" spans="1:14" ht="15.75" customHeight="1">
      <c r="A30" s="26">
        <v>27</v>
      </c>
      <c r="B30" s="27">
        <v>46200</v>
      </c>
      <c r="C30" s="50"/>
      <c r="D30" s="117"/>
      <c r="E30" s="79"/>
      <c r="F30" s="117"/>
      <c r="G30" s="117">
        <f t="shared" si="0"/>
        <v>0</v>
      </c>
      <c r="H30" s="117"/>
      <c r="I30" s="117"/>
      <c r="J30" s="117">
        <f t="shared" si="1"/>
        <v>0</v>
      </c>
      <c r="K30" s="117">
        <f t="shared" si="2"/>
        <v>0</v>
      </c>
      <c r="L30" s="117"/>
      <c r="M30" s="123">
        <f t="shared" si="3"/>
        <v>215448.30000000005</v>
      </c>
      <c r="N30" s="50"/>
    </row>
    <row r="31" spans="1:14" ht="15.75" customHeight="1">
      <c r="A31" s="26">
        <v>28</v>
      </c>
      <c r="B31" s="27">
        <v>46201</v>
      </c>
      <c r="C31" s="50"/>
      <c r="D31" s="117"/>
      <c r="E31" s="79"/>
      <c r="F31" s="117"/>
      <c r="G31" s="117">
        <f t="shared" si="0"/>
        <v>0</v>
      </c>
      <c r="H31" s="117">
        <v>35</v>
      </c>
      <c r="I31" s="117">
        <v>111.84</v>
      </c>
      <c r="J31" s="117">
        <f t="shared" si="1"/>
        <v>3914.4</v>
      </c>
      <c r="K31" s="117">
        <f t="shared" si="2"/>
        <v>3914.4</v>
      </c>
      <c r="L31" s="117"/>
      <c r="M31" s="123">
        <f t="shared" si="3"/>
        <v>219362.70000000004</v>
      </c>
      <c r="N31" s="50"/>
    </row>
    <row r="32" spans="1:14" ht="15.75" customHeight="1">
      <c r="A32" s="26">
        <v>29</v>
      </c>
      <c r="B32" s="27">
        <v>46202</v>
      </c>
      <c r="C32" s="50"/>
      <c r="D32" s="117"/>
      <c r="E32" s="79"/>
      <c r="F32" s="117"/>
      <c r="G32" s="117">
        <f t="shared" si="0"/>
        <v>0</v>
      </c>
      <c r="H32" s="117"/>
      <c r="I32" s="117"/>
      <c r="J32" s="117">
        <f t="shared" si="1"/>
        <v>0</v>
      </c>
      <c r="K32" s="117">
        <f t="shared" si="2"/>
        <v>0</v>
      </c>
      <c r="L32" s="117"/>
      <c r="M32" s="123">
        <f t="shared" si="3"/>
        <v>219362.70000000004</v>
      </c>
      <c r="N32" s="50"/>
    </row>
    <row r="33" spans="1:15" ht="15.75" customHeight="1">
      <c r="A33" s="26">
        <v>30</v>
      </c>
      <c r="B33" s="27">
        <v>46203</v>
      </c>
      <c r="C33" s="50"/>
      <c r="D33" s="117"/>
      <c r="E33" s="79"/>
      <c r="F33" s="117"/>
      <c r="G33" s="117">
        <f t="shared" si="0"/>
        <v>0</v>
      </c>
      <c r="H33" s="117"/>
      <c r="I33" s="117"/>
      <c r="J33" s="117">
        <f t="shared" si="1"/>
        <v>0</v>
      </c>
      <c r="K33" s="117">
        <f t="shared" si="2"/>
        <v>0</v>
      </c>
      <c r="L33" s="117"/>
      <c r="M33" s="123">
        <f t="shared" si="3"/>
        <v>219362.70000000004</v>
      </c>
      <c r="N33" s="50"/>
    </row>
    <row r="34" spans="1:15" ht="15.75" customHeight="1">
      <c r="A34" s="26">
        <v>31</v>
      </c>
      <c r="B34" s="27"/>
      <c r="C34" s="50"/>
      <c r="D34" s="117"/>
      <c r="E34" s="79"/>
      <c r="F34" s="117"/>
      <c r="G34" s="117">
        <f t="shared" ref="G34" si="4">E34*F34</f>
        <v>0</v>
      </c>
      <c r="H34" s="117"/>
      <c r="I34" s="117"/>
      <c r="J34" s="117">
        <f t="shared" ref="J34" si="5">H34*I34</f>
        <v>0</v>
      </c>
      <c r="K34" s="117">
        <f t="shared" ref="K34" si="6">G34+J34</f>
        <v>0</v>
      </c>
      <c r="L34" s="117"/>
      <c r="M34" s="123">
        <f t="shared" si="3"/>
        <v>219362.70000000004</v>
      </c>
      <c r="N34" s="50"/>
    </row>
    <row r="35" spans="1:15">
      <c r="A35" s="42"/>
      <c r="B35" s="42"/>
      <c r="C35" s="42"/>
      <c r="D35" s="42"/>
      <c r="E35" s="43">
        <f>SUM(E4:E34)</f>
        <v>3500</v>
      </c>
      <c r="F35" s="43"/>
      <c r="G35" s="43">
        <f>SUM(G4:G34)</f>
        <v>349720</v>
      </c>
      <c r="H35" s="43">
        <f>SUM(H4:H34)</f>
        <v>175</v>
      </c>
      <c r="I35" s="43"/>
      <c r="J35" s="43">
        <f>SUM(J4:J34)</f>
        <v>19572</v>
      </c>
      <c r="K35" s="43">
        <f>SUM(K4:K34)</f>
        <v>369292</v>
      </c>
      <c r="L35" s="43">
        <f>SUM(L4:L34)</f>
        <v>332855</v>
      </c>
      <c r="M35" s="43"/>
      <c r="N35" s="43"/>
      <c r="O35" s="33"/>
    </row>
    <row r="37" spans="1:15">
      <c r="D37" s="45"/>
      <c r="E37" s="45"/>
    </row>
  </sheetData>
  <mergeCells count="2">
    <mergeCell ref="A1:N1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S46"/>
  <sheetViews>
    <sheetView workbookViewId="0">
      <pane ySplit="2" topLeftCell="A15" activePane="bottomLeft" state="frozen"/>
      <selection pane="bottomLeft" activeCell="M33" sqref="M33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19.28515625" bestFit="1" customWidth="1"/>
    <col min="16" max="16" width="12" bestFit="1" customWidth="1"/>
    <col min="19" max="19" width="12" bestFit="1" customWidth="1"/>
  </cols>
  <sheetData>
    <row r="1" spans="1:15">
      <c r="A1" s="570" t="s">
        <v>321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82"/>
    </row>
    <row r="2" spans="1:15">
      <c r="A2" s="124" t="s">
        <v>0</v>
      </c>
      <c r="B2" s="125" t="s">
        <v>167</v>
      </c>
      <c r="C2" s="125" t="s">
        <v>168</v>
      </c>
      <c r="D2" s="125" t="s">
        <v>169</v>
      </c>
      <c r="E2" s="125" t="s">
        <v>170</v>
      </c>
      <c r="F2" s="125" t="s">
        <v>171</v>
      </c>
      <c r="G2" s="125" t="s">
        <v>172</v>
      </c>
      <c r="H2" s="125" t="s">
        <v>173</v>
      </c>
      <c r="I2" s="125" t="s">
        <v>171</v>
      </c>
      <c r="J2" s="126" t="s">
        <v>172</v>
      </c>
      <c r="K2" s="124" t="s">
        <v>174</v>
      </c>
      <c r="L2" s="127" t="s">
        <v>175</v>
      </c>
      <c r="M2" s="127" t="s">
        <v>192</v>
      </c>
      <c r="N2" s="125" t="s">
        <v>177</v>
      </c>
      <c r="O2" s="59"/>
    </row>
    <row r="3" spans="1:15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9"/>
      <c r="K3" s="96">
        <v>95753.509699999951</v>
      </c>
      <c r="L3" s="40"/>
      <c r="M3" s="40">
        <f>+K3</f>
        <v>95753.509699999951</v>
      </c>
      <c r="N3" s="17"/>
      <c r="O3" s="59">
        <v>46138.763999999966</v>
      </c>
    </row>
    <row r="4" spans="1:15">
      <c r="A4" s="26">
        <v>1</v>
      </c>
      <c r="B4" s="27">
        <v>45809</v>
      </c>
      <c r="C4" s="128"/>
      <c r="D4" s="129"/>
      <c r="E4" s="93">
        <v>600</v>
      </c>
      <c r="F4" s="93">
        <v>99.82</v>
      </c>
      <c r="G4" s="19">
        <f>E4*F4</f>
        <v>59891.999999999993</v>
      </c>
      <c r="H4" s="93">
        <v>30</v>
      </c>
      <c r="I4" s="330">
        <v>111.73</v>
      </c>
      <c r="J4" s="19">
        <f>H4*I4</f>
        <v>3351.9</v>
      </c>
      <c r="K4" s="19">
        <f>G4+J4</f>
        <v>63243.899999999994</v>
      </c>
      <c r="L4" s="130">
        <v>0</v>
      </c>
      <c r="M4" s="130">
        <f>M3+K4-L4</f>
        <v>158997.40969999996</v>
      </c>
      <c r="N4" s="44"/>
    </row>
    <row r="5" spans="1:15">
      <c r="A5" s="26">
        <v>2</v>
      </c>
      <c r="B5" s="27">
        <v>45810</v>
      </c>
      <c r="C5" s="128"/>
      <c r="D5" s="129"/>
      <c r="E5" s="93">
        <v>0</v>
      </c>
      <c r="F5" s="93">
        <v>0</v>
      </c>
      <c r="G5" s="19">
        <f t="shared" ref="G5:G35" si="0">E5*F5</f>
        <v>0</v>
      </c>
      <c r="H5" s="93">
        <v>0</v>
      </c>
      <c r="I5" s="330">
        <v>0</v>
      </c>
      <c r="J5" s="19">
        <f t="shared" ref="J5:J35" si="1">H5*I5</f>
        <v>0</v>
      </c>
      <c r="K5" s="19">
        <f t="shared" ref="K5:K35" si="2">G5+J5</f>
        <v>0</v>
      </c>
      <c r="L5" s="130">
        <v>0</v>
      </c>
      <c r="M5" s="130">
        <f>M4+K5-L5</f>
        <v>158997.40969999996</v>
      </c>
      <c r="N5" s="44"/>
    </row>
    <row r="6" spans="1:15">
      <c r="A6" s="26">
        <v>3</v>
      </c>
      <c r="B6" s="27">
        <v>45811</v>
      </c>
      <c r="C6" s="128"/>
      <c r="D6" s="129"/>
      <c r="E6" s="93">
        <v>0</v>
      </c>
      <c r="F6" s="93">
        <v>0</v>
      </c>
      <c r="G6" s="19">
        <f t="shared" si="0"/>
        <v>0</v>
      </c>
      <c r="H6" s="93">
        <v>0</v>
      </c>
      <c r="I6" s="330">
        <v>0</v>
      </c>
      <c r="J6" s="19">
        <f t="shared" si="1"/>
        <v>0</v>
      </c>
      <c r="K6" s="19">
        <f t="shared" si="2"/>
        <v>0</v>
      </c>
      <c r="L6" s="130">
        <v>0</v>
      </c>
      <c r="M6" s="130">
        <f>M5+K6-L6</f>
        <v>158997.40969999996</v>
      </c>
      <c r="N6" s="44"/>
    </row>
    <row r="7" spans="1:15">
      <c r="A7" s="26">
        <v>4</v>
      </c>
      <c r="B7" s="27">
        <v>45812</v>
      </c>
      <c r="C7" s="128"/>
      <c r="D7" s="129"/>
      <c r="E7" s="93">
        <v>0</v>
      </c>
      <c r="F7" s="93">
        <v>0</v>
      </c>
      <c r="G7" s="19">
        <f t="shared" si="0"/>
        <v>0</v>
      </c>
      <c r="H7" s="93">
        <v>0</v>
      </c>
      <c r="I7" s="330">
        <v>0</v>
      </c>
      <c r="J7" s="19">
        <f t="shared" si="1"/>
        <v>0</v>
      </c>
      <c r="K7" s="19">
        <f t="shared" si="2"/>
        <v>0</v>
      </c>
      <c r="L7" s="130">
        <v>0</v>
      </c>
      <c r="M7" s="130">
        <f>M6+K7-L7</f>
        <v>158997.40969999996</v>
      </c>
      <c r="N7" s="44"/>
    </row>
    <row r="8" spans="1:15">
      <c r="A8" s="26">
        <v>5</v>
      </c>
      <c r="B8" s="27">
        <v>45813</v>
      </c>
      <c r="C8" s="128"/>
      <c r="D8" s="129"/>
      <c r="E8" s="93">
        <v>600</v>
      </c>
      <c r="F8" s="93">
        <v>99.82</v>
      </c>
      <c r="G8" s="19">
        <f t="shared" ref="G8:G34" si="3">E8*F8</f>
        <v>59891.999999999993</v>
      </c>
      <c r="H8" s="93">
        <v>20</v>
      </c>
      <c r="I8" s="330">
        <v>111.73</v>
      </c>
      <c r="J8" s="19">
        <f t="shared" si="1"/>
        <v>2234.6</v>
      </c>
      <c r="K8" s="19">
        <f t="shared" si="2"/>
        <v>62126.599999999991</v>
      </c>
      <c r="L8" s="130">
        <v>0</v>
      </c>
      <c r="M8" s="130">
        <f t="shared" ref="M8:M36" si="4">M7+K8-L8</f>
        <v>221124.00969999994</v>
      </c>
      <c r="N8" s="44"/>
      <c r="O8" s="69"/>
    </row>
    <row r="9" spans="1:15">
      <c r="A9" s="26">
        <v>6</v>
      </c>
      <c r="B9" s="27">
        <v>45814</v>
      </c>
      <c r="C9" s="128"/>
      <c r="D9" s="129"/>
      <c r="E9" s="93">
        <v>0</v>
      </c>
      <c r="F9" s="93">
        <v>0</v>
      </c>
      <c r="G9" s="19">
        <f t="shared" si="3"/>
        <v>0</v>
      </c>
      <c r="H9" s="93">
        <v>0</v>
      </c>
      <c r="I9" s="330">
        <v>0</v>
      </c>
      <c r="J9" s="19">
        <f t="shared" si="1"/>
        <v>0</v>
      </c>
      <c r="K9" s="19">
        <f t="shared" si="2"/>
        <v>0</v>
      </c>
      <c r="L9" s="130">
        <v>158000</v>
      </c>
      <c r="M9" s="130">
        <f t="shared" si="4"/>
        <v>63124.009699999937</v>
      </c>
      <c r="N9" s="44"/>
      <c r="O9" s="69"/>
    </row>
    <row r="10" spans="1:15">
      <c r="A10" s="26">
        <v>7</v>
      </c>
      <c r="B10" s="27">
        <v>45815</v>
      </c>
      <c r="C10" s="128"/>
      <c r="D10" s="129"/>
      <c r="E10" s="93">
        <v>0</v>
      </c>
      <c r="F10" s="93">
        <v>0</v>
      </c>
      <c r="G10" s="19">
        <f t="shared" si="3"/>
        <v>0</v>
      </c>
      <c r="H10" s="93">
        <v>0</v>
      </c>
      <c r="I10" s="330">
        <v>0</v>
      </c>
      <c r="J10" s="19">
        <f t="shared" si="1"/>
        <v>0</v>
      </c>
      <c r="K10" s="19">
        <f t="shared" si="2"/>
        <v>0</v>
      </c>
      <c r="L10" s="130">
        <v>0</v>
      </c>
      <c r="M10" s="130">
        <f t="shared" si="4"/>
        <v>63124.009699999937</v>
      </c>
      <c r="N10" s="44"/>
      <c r="O10" s="69"/>
    </row>
    <row r="11" spans="1:15">
      <c r="A11" s="26">
        <v>8</v>
      </c>
      <c r="B11" s="27">
        <v>45816</v>
      </c>
      <c r="C11" s="128"/>
      <c r="D11" s="129"/>
      <c r="E11" s="93">
        <v>0</v>
      </c>
      <c r="F11" s="93">
        <v>0</v>
      </c>
      <c r="G11" s="19">
        <f t="shared" si="3"/>
        <v>0</v>
      </c>
      <c r="H11" s="93">
        <v>0</v>
      </c>
      <c r="I11" s="330">
        <v>0</v>
      </c>
      <c r="J11" s="19">
        <f t="shared" si="1"/>
        <v>0</v>
      </c>
      <c r="K11" s="19">
        <f t="shared" si="2"/>
        <v>0</v>
      </c>
      <c r="L11" s="130">
        <v>0</v>
      </c>
      <c r="M11" s="130">
        <f t="shared" si="4"/>
        <v>63124.009699999937</v>
      </c>
      <c r="N11" s="44"/>
      <c r="O11" s="69"/>
    </row>
    <row r="12" spans="1:15">
      <c r="A12" s="26">
        <v>9</v>
      </c>
      <c r="B12" s="27">
        <v>45817</v>
      </c>
      <c r="C12" s="128"/>
      <c r="D12" s="129"/>
      <c r="E12" s="93">
        <v>0</v>
      </c>
      <c r="F12" s="93">
        <v>0</v>
      </c>
      <c r="G12" s="19">
        <f t="shared" si="3"/>
        <v>0</v>
      </c>
      <c r="H12" s="93">
        <v>0</v>
      </c>
      <c r="I12" s="330">
        <v>0</v>
      </c>
      <c r="J12" s="19">
        <f t="shared" si="1"/>
        <v>0</v>
      </c>
      <c r="K12" s="19">
        <f t="shared" si="2"/>
        <v>0</v>
      </c>
      <c r="L12" s="130">
        <v>0</v>
      </c>
      <c r="M12" s="130">
        <f t="shared" si="4"/>
        <v>63124.009699999937</v>
      </c>
      <c r="N12" s="44"/>
      <c r="O12" s="69"/>
    </row>
    <row r="13" spans="1:15">
      <c r="A13" s="26">
        <v>10</v>
      </c>
      <c r="B13" s="27">
        <v>45818</v>
      </c>
      <c r="C13" s="128"/>
      <c r="D13" s="129"/>
      <c r="E13" s="93">
        <v>600</v>
      </c>
      <c r="F13" s="93">
        <v>99.82</v>
      </c>
      <c r="G13" s="19">
        <f t="shared" si="3"/>
        <v>59891.999999999993</v>
      </c>
      <c r="H13" s="93">
        <v>30</v>
      </c>
      <c r="I13" s="330">
        <v>111.73</v>
      </c>
      <c r="J13" s="19">
        <f t="shared" si="1"/>
        <v>3351.9</v>
      </c>
      <c r="K13" s="19">
        <f t="shared" si="2"/>
        <v>63243.899999999994</v>
      </c>
      <c r="L13" s="130">
        <v>0</v>
      </c>
      <c r="M13" s="130">
        <f t="shared" si="4"/>
        <v>126367.90969999993</v>
      </c>
      <c r="N13" s="44"/>
      <c r="O13" s="69"/>
    </row>
    <row r="14" spans="1:15">
      <c r="A14" s="26">
        <v>11</v>
      </c>
      <c r="B14" s="27">
        <v>45819</v>
      </c>
      <c r="C14" s="128"/>
      <c r="D14" s="129"/>
      <c r="E14" s="93">
        <v>0</v>
      </c>
      <c r="F14" s="93">
        <v>0</v>
      </c>
      <c r="G14" s="19">
        <f t="shared" si="3"/>
        <v>0</v>
      </c>
      <c r="H14" s="93">
        <v>0</v>
      </c>
      <c r="I14" s="330">
        <v>0</v>
      </c>
      <c r="J14" s="19">
        <f t="shared" si="1"/>
        <v>0</v>
      </c>
      <c r="K14" s="19">
        <f t="shared" si="2"/>
        <v>0</v>
      </c>
      <c r="L14" s="130">
        <v>0</v>
      </c>
      <c r="M14" s="130">
        <f t="shared" si="4"/>
        <v>126367.90969999993</v>
      </c>
      <c r="N14" s="44"/>
      <c r="O14" s="69"/>
    </row>
    <row r="15" spans="1:15">
      <c r="A15" s="26">
        <v>12</v>
      </c>
      <c r="B15" s="27">
        <v>45820</v>
      </c>
      <c r="C15" s="128"/>
      <c r="D15" s="129"/>
      <c r="E15" s="93">
        <v>0</v>
      </c>
      <c r="F15" s="93">
        <v>0</v>
      </c>
      <c r="G15" s="19">
        <f t="shared" si="3"/>
        <v>0</v>
      </c>
      <c r="H15" s="93">
        <v>0</v>
      </c>
      <c r="I15" s="330">
        <v>0</v>
      </c>
      <c r="J15" s="19">
        <f t="shared" si="1"/>
        <v>0</v>
      </c>
      <c r="K15" s="19">
        <f t="shared" si="2"/>
        <v>0</v>
      </c>
      <c r="L15" s="130">
        <v>0</v>
      </c>
      <c r="M15" s="130">
        <f t="shared" si="4"/>
        <v>126367.90969999993</v>
      </c>
      <c r="N15" s="44"/>
      <c r="O15" s="69"/>
    </row>
    <row r="16" spans="1:15">
      <c r="A16" s="26">
        <v>13</v>
      </c>
      <c r="B16" s="27">
        <v>45821</v>
      </c>
      <c r="C16" s="128"/>
      <c r="D16" s="129"/>
      <c r="E16" s="93">
        <v>600</v>
      </c>
      <c r="F16" s="93">
        <v>99.82</v>
      </c>
      <c r="G16" s="19">
        <f t="shared" si="3"/>
        <v>59891.999999999993</v>
      </c>
      <c r="H16" s="93">
        <v>30</v>
      </c>
      <c r="I16" s="330">
        <v>111.73</v>
      </c>
      <c r="J16" s="19">
        <f t="shared" si="1"/>
        <v>3351.9</v>
      </c>
      <c r="K16" s="19">
        <f t="shared" si="2"/>
        <v>63243.899999999994</v>
      </c>
      <c r="L16" s="130">
        <v>0</v>
      </c>
      <c r="M16" s="130">
        <f t="shared" si="4"/>
        <v>189611.80969999993</v>
      </c>
      <c r="N16" s="44"/>
      <c r="O16" s="69"/>
    </row>
    <row r="17" spans="1:19">
      <c r="A17" s="26">
        <v>14</v>
      </c>
      <c r="B17" s="27">
        <v>45822</v>
      </c>
      <c r="C17" s="128"/>
      <c r="D17" s="129"/>
      <c r="E17" s="93">
        <v>0</v>
      </c>
      <c r="F17" s="93">
        <v>0</v>
      </c>
      <c r="G17" s="19">
        <f t="shared" si="3"/>
        <v>0</v>
      </c>
      <c r="H17" s="93">
        <v>0</v>
      </c>
      <c r="I17" s="330">
        <v>0</v>
      </c>
      <c r="J17" s="19">
        <f t="shared" si="1"/>
        <v>0</v>
      </c>
      <c r="K17" s="19">
        <f t="shared" si="2"/>
        <v>0</v>
      </c>
      <c r="L17" s="130">
        <v>0</v>
      </c>
      <c r="M17" s="130">
        <f t="shared" si="4"/>
        <v>189611.80969999993</v>
      </c>
      <c r="N17" s="44"/>
      <c r="O17" s="69"/>
    </row>
    <row r="18" spans="1:19">
      <c r="A18" s="26">
        <v>15</v>
      </c>
      <c r="B18" s="27">
        <v>45823</v>
      </c>
      <c r="C18" s="128"/>
      <c r="D18" s="129"/>
      <c r="E18" s="93">
        <v>0</v>
      </c>
      <c r="F18" s="93">
        <v>0</v>
      </c>
      <c r="G18" s="19">
        <f t="shared" si="3"/>
        <v>0</v>
      </c>
      <c r="H18" s="93">
        <v>0</v>
      </c>
      <c r="I18" s="330">
        <v>0</v>
      </c>
      <c r="J18" s="19">
        <f t="shared" si="1"/>
        <v>0</v>
      </c>
      <c r="K18" s="19">
        <f t="shared" si="2"/>
        <v>0</v>
      </c>
      <c r="L18" s="130">
        <v>0</v>
      </c>
      <c r="M18" s="130">
        <f t="shared" si="4"/>
        <v>189611.80969999993</v>
      </c>
      <c r="N18" s="44" t="s">
        <v>183</v>
      </c>
      <c r="O18" s="69"/>
      <c r="Q18" s="241"/>
      <c r="S18" s="174"/>
    </row>
    <row r="19" spans="1:19">
      <c r="A19" s="26">
        <v>16</v>
      </c>
      <c r="B19" s="27">
        <v>45824</v>
      </c>
      <c r="C19" s="128"/>
      <c r="D19" s="129"/>
      <c r="E19" s="93">
        <v>0</v>
      </c>
      <c r="F19" s="93">
        <v>0</v>
      </c>
      <c r="G19" s="19">
        <f t="shared" si="3"/>
        <v>0</v>
      </c>
      <c r="H19" s="93">
        <v>0</v>
      </c>
      <c r="I19" s="330">
        <v>0</v>
      </c>
      <c r="J19" s="19">
        <f t="shared" si="1"/>
        <v>0</v>
      </c>
      <c r="K19" s="19">
        <f t="shared" si="2"/>
        <v>0</v>
      </c>
      <c r="L19" s="130">
        <v>189000</v>
      </c>
      <c r="M19" s="130">
        <f t="shared" si="4"/>
        <v>611.80969999992521</v>
      </c>
      <c r="N19" s="44"/>
      <c r="O19" s="69"/>
    </row>
    <row r="20" spans="1:19">
      <c r="A20" s="26">
        <v>17</v>
      </c>
      <c r="B20" s="27">
        <v>45825</v>
      </c>
      <c r="C20" s="128"/>
      <c r="D20" s="129"/>
      <c r="E20" s="93">
        <v>600</v>
      </c>
      <c r="F20" s="93">
        <v>99.82</v>
      </c>
      <c r="G20" s="19">
        <f t="shared" si="3"/>
        <v>59891.999999999993</v>
      </c>
      <c r="H20" s="93">
        <v>0</v>
      </c>
      <c r="I20" s="330">
        <v>0</v>
      </c>
      <c r="J20" s="19">
        <f t="shared" si="1"/>
        <v>0</v>
      </c>
      <c r="K20" s="19">
        <f t="shared" si="2"/>
        <v>59891.999999999993</v>
      </c>
      <c r="L20" s="130">
        <v>0</v>
      </c>
      <c r="M20" s="130">
        <f t="shared" si="4"/>
        <v>60503.809699999918</v>
      </c>
      <c r="N20" s="44"/>
      <c r="O20" s="69"/>
    </row>
    <row r="21" spans="1:19">
      <c r="A21" s="26">
        <v>18</v>
      </c>
      <c r="B21" s="27">
        <v>45826</v>
      </c>
      <c r="C21" s="128"/>
      <c r="D21" s="129"/>
      <c r="E21" s="93">
        <v>0</v>
      </c>
      <c r="F21" s="93">
        <v>0</v>
      </c>
      <c r="G21" s="19">
        <f t="shared" si="3"/>
        <v>0</v>
      </c>
      <c r="H21" s="93">
        <v>0</v>
      </c>
      <c r="I21" s="330">
        <v>0</v>
      </c>
      <c r="J21" s="19">
        <f t="shared" si="1"/>
        <v>0</v>
      </c>
      <c r="K21" s="19">
        <f t="shared" si="2"/>
        <v>0</v>
      </c>
      <c r="L21" s="130">
        <v>0</v>
      </c>
      <c r="M21" s="130">
        <f t="shared" si="4"/>
        <v>60503.809699999918</v>
      </c>
      <c r="N21" s="44"/>
      <c r="O21" s="69"/>
    </row>
    <row r="22" spans="1:19">
      <c r="A22" s="26">
        <v>19</v>
      </c>
      <c r="B22" s="27">
        <v>45827</v>
      </c>
      <c r="C22" s="128"/>
      <c r="D22" s="129"/>
      <c r="E22" s="93">
        <v>600</v>
      </c>
      <c r="F22" s="93">
        <v>99.82</v>
      </c>
      <c r="G22" s="19">
        <f t="shared" si="3"/>
        <v>59891.999999999993</v>
      </c>
      <c r="H22" s="93">
        <v>30</v>
      </c>
      <c r="I22" s="330">
        <v>111.73</v>
      </c>
      <c r="J22" s="19">
        <f t="shared" si="1"/>
        <v>3351.9</v>
      </c>
      <c r="K22" s="19">
        <f t="shared" si="2"/>
        <v>63243.899999999994</v>
      </c>
      <c r="L22" s="130">
        <v>0</v>
      </c>
      <c r="M22" s="130">
        <f t="shared" si="4"/>
        <v>123747.70969999992</v>
      </c>
      <c r="N22" s="44"/>
      <c r="O22" s="69"/>
    </row>
    <row r="23" spans="1:19">
      <c r="A23" s="26">
        <v>20</v>
      </c>
      <c r="B23" s="27">
        <v>45828</v>
      </c>
      <c r="C23" s="128"/>
      <c r="D23" s="129"/>
      <c r="E23" s="93">
        <v>0</v>
      </c>
      <c r="F23" s="93">
        <v>0</v>
      </c>
      <c r="G23" s="19">
        <f t="shared" si="3"/>
        <v>0</v>
      </c>
      <c r="H23" s="93">
        <v>0</v>
      </c>
      <c r="I23" s="330">
        <v>0</v>
      </c>
      <c r="J23" s="19">
        <f t="shared" si="1"/>
        <v>0</v>
      </c>
      <c r="K23" s="19">
        <f t="shared" si="2"/>
        <v>0</v>
      </c>
      <c r="L23" s="130">
        <v>0</v>
      </c>
      <c r="M23" s="130">
        <f t="shared" si="4"/>
        <v>123747.70969999992</v>
      </c>
      <c r="N23" s="44"/>
      <c r="O23" s="69"/>
    </row>
    <row r="24" spans="1:19">
      <c r="A24" s="26">
        <v>21</v>
      </c>
      <c r="B24" s="27">
        <v>45829</v>
      </c>
      <c r="C24" s="128"/>
      <c r="D24" s="129"/>
      <c r="E24" s="93">
        <v>0</v>
      </c>
      <c r="F24" s="93">
        <v>0</v>
      </c>
      <c r="G24" s="19">
        <f t="shared" si="3"/>
        <v>0</v>
      </c>
      <c r="H24" s="93">
        <v>0</v>
      </c>
      <c r="I24" s="330">
        <v>0</v>
      </c>
      <c r="J24" s="19">
        <f t="shared" si="1"/>
        <v>0</v>
      </c>
      <c r="K24" s="19">
        <f t="shared" si="2"/>
        <v>0</v>
      </c>
      <c r="L24" s="130">
        <v>0</v>
      </c>
      <c r="M24" s="130">
        <f t="shared" si="4"/>
        <v>123747.70969999992</v>
      </c>
      <c r="N24" s="254"/>
      <c r="O24" s="240"/>
    </row>
    <row r="25" spans="1:19">
      <c r="A25" s="26">
        <v>22</v>
      </c>
      <c r="B25" s="27">
        <v>45830</v>
      </c>
      <c r="C25" s="128"/>
      <c r="D25" s="129"/>
      <c r="E25" s="93">
        <v>600</v>
      </c>
      <c r="F25" s="93">
        <v>99.82</v>
      </c>
      <c r="G25" s="19">
        <f t="shared" si="3"/>
        <v>59891.999999999993</v>
      </c>
      <c r="H25" s="93">
        <v>20</v>
      </c>
      <c r="I25" s="330">
        <v>111.73</v>
      </c>
      <c r="J25" s="19">
        <f t="shared" si="1"/>
        <v>2234.6</v>
      </c>
      <c r="K25" s="19">
        <f t="shared" si="2"/>
        <v>62126.599999999991</v>
      </c>
      <c r="L25" s="130">
        <v>0</v>
      </c>
      <c r="M25" s="130">
        <f t="shared" si="4"/>
        <v>185874.30969999993</v>
      </c>
      <c r="N25" s="44"/>
      <c r="O25" s="69"/>
    </row>
    <row r="26" spans="1:19">
      <c r="A26" s="26">
        <v>23</v>
      </c>
      <c r="B26" s="27">
        <v>45831</v>
      </c>
      <c r="C26" s="128"/>
      <c r="D26" s="129"/>
      <c r="E26" s="93">
        <v>0</v>
      </c>
      <c r="F26" s="93">
        <v>0</v>
      </c>
      <c r="G26" s="19">
        <f t="shared" si="3"/>
        <v>0</v>
      </c>
      <c r="H26" s="93">
        <v>0</v>
      </c>
      <c r="I26" s="330">
        <v>0</v>
      </c>
      <c r="J26" s="19">
        <f t="shared" si="1"/>
        <v>0</v>
      </c>
      <c r="K26" s="19">
        <f t="shared" si="2"/>
        <v>0</v>
      </c>
      <c r="L26" s="130">
        <v>0</v>
      </c>
      <c r="M26" s="130">
        <f t="shared" si="4"/>
        <v>185874.30969999993</v>
      </c>
      <c r="N26" s="44"/>
      <c r="O26" s="69"/>
    </row>
    <row r="27" spans="1:19">
      <c r="A27" s="26">
        <v>24</v>
      </c>
      <c r="B27" s="27">
        <v>45832</v>
      </c>
      <c r="C27" s="128"/>
      <c r="D27" s="129"/>
      <c r="E27" s="93">
        <v>0</v>
      </c>
      <c r="F27" s="93">
        <v>0</v>
      </c>
      <c r="G27" s="19">
        <f t="shared" si="3"/>
        <v>0</v>
      </c>
      <c r="H27" s="93">
        <v>0</v>
      </c>
      <c r="I27" s="330">
        <v>0</v>
      </c>
      <c r="J27" s="19">
        <f t="shared" si="1"/>
        <v>0</v>
      </c>
      <c r="K27" s="19">
        <f t="shared" si="2"/>
        <v>0</v>
      </c>
      <c r="L27" s="130">
        <v>0</v>
      </c>
      <c r="M27" s="130">
        <f t="shared" si="4"/>
        <v>185874.30969999993</v>
      </c>
      <c r="N27" s="44"/>
      <c r="O27" s="69"/>
    </row>
    <row r="28" spans="1:19">
      <c r="A28" s="26">
        <v>25</v>
      </c>
      <c r="B28" s="27">
        <v>45833</v>
      </c>
      <c r="C28" s="128"/>
      <c r="D28" s="129"/>
      <c r="E28" s="93">
        <v>0</v>
      </c>
      <c r="F28" s="93">
        <v>0</v>
      </c>
      <c r="G28" s="19">
        <f t="shared" si="3"/>
        <v>0</v>
      </c>
      <c r="H28" s="93">
        <v>0</v>
      </c>
      <c r="I28" s="330">
        <v>0</v>
      </c>
      <c r="J28" s="19">
        <f t="shared" si="1"/>
        <v>0</v>
      </c>
      <c r="K28" s="19">
        <f t="shared" si="2"/>
        <v>0</v>
      </c>
      <c r="L28" s="130">
        <v>180000</v>
      </c>
      <c r="M28" s="130">
        <f t="shared" si="4"/>
        <v>5874.3096999999252</v>
      </c>
      <c r="N28" s="44"/>
      <c r="O28" s="69"/>
    </row>
    <row r="29" spans="1:19">
      <c r="A29" s="26">
        <v>26</v>
      </c>
      <c r="B29" s="27">
        <v>45834</v>
      </c>
      <c r="C29" s="128"/>
      <c r="D29" s="129"/>
      <c r="E29" s="93">
        <v>600</v>
      </c>
      <c r="F29" s="93">
        <v>99.82</v>
      </c>
      <c r="G29" s="19">
        <f t="shared" si="3"/>
        <v>59891.999999999993</v>
      </c>
      <c r="H29" s="93">
        <v>30</v>
      </c>
      <c r="I29" s="330">
        <v>111.73</v>
      </c>
      <c r="J29" s="19">
        <f t="shared" si="1"/>
        <v>3351.9</v>
      </c>
      <c r="K29" s="19">
        <f t="shared" si="2"/>
        <v>63243.899999999994</v>
      </c>
      <c r="L29" s="130">
        <v>0</v>
      </c>
      <c r="M29" s="130">
        <f>M28+K29-L29</f>
        <v>69118.209699999919</v>
      </c>
      <c r="N29" s="44"/>
      <c r="O29" s="69"/>
    </row>
    <row r="30" spans="1:19">
      <c r="A30" s="26">
        <v>27</v>
      </c>
      <c r="B30" s="27">
        <v>45835</v>
      </c>
      <c r="C30" s="128"/>
      <c r="D30" s="129"/>
      <c r="E30" s="93">
        <v>0</v>
      </c>
      <c r="F30" s="93">
        <v>0</v>
      </c>
      <c r="G30" s="19">
        <f t="shared" si="3"/>
        <v>0</v>
      </c>
      <c r="H30" s="93">
        <v>0</v>
      </c>
      <c r="I30" s="330">
        <v>0</v>
      </c>
      <c r="J30" s="19">
        <f t="shared" si="1"/>
        <v>0</v>
      </c>
      <c r="K30" s="19">
        <f t="shared" si="2"/>
        <v>0</v>
      </c>
      <c r="L30" s="130">
        <v>0</v>
      </c>
      <c r="M30" s="130">
        <f t="shared" si="4"/>
        <v>69118.209699999919</v>
      </c>
      <c r="N30" s="44"/>
      <c r="O30" s="69"/>
    </row>
    <row r="31" spans="1:19">
      <c r="A31" s="26">
        <v>28</v>
      </c>
      <c r="B31" s="27">
        <v>45836</v>
      </c>
      <c r="C31" s="128"/>
      <c r="D31" s="129"/>
      <c r="E31" s="93">
        <v>0</v>
      </c>
      <c r="F31" s="93">
        <v>0</v>
      </c>
      <c r="G31" s="19">
        <f t="shared" si="3"/>
        <v>0</v>
      </c>
      <c r="H31" s="93">
        <v>0</v>
      </c>
      <c r="I31" s="330">
        <v>0</v>
      </c>
      <c r="J31" s="19">
        <f t="shared" si="1"/>
        <v>0</v>
      </c>
      <c r="K31" s="19">
        <f t="shared" si="2"/>
        <v>0</v>
      </c>
      <c r="L31" s="130">
        <v>0</v>
      </c>
      <c r="M31" s="130">
        <f t="shared" si="4"/>
        <v>69118.209699999919</v>
      </c>
      <c r="N31" s="44"/>
      <c r="O31" s="69"/>
      <c r="P31" s="241"/>
    </row>
    <row r="32" spans="1:19">
      <c r="A32" s="26">
        <v>29</v>
      </c>
      <c r="B32" s="27">
        <v>45837</v>
      </c>
      <c r="C32" s="128"/>
      <c r="D32" s="129"/>
      <c r="E32" s="93">
        <v>0</v>
      </c>
      <c r="F32" s="93">
        <v>0</v>
      </c>
      <c r="G32" s="19">
        <f t="shared" si="3"/>
        <v>0</v>
      </c>
      <c r="H32" s="93">
        <v>0</v>
      </c>
      <c r="I32" s="330">
        <v>0</v>
      </c>
      <c r="J32" s="19">
        <f t="shared" si="1"/>
        <v>0</v>
      </c>
      <c r="K32" s="19">
        <f t="shared" si="2"/>
        <v>0</v>
      </c>
      <c r="L32" s="130">
        <v>0</v>
      </c>
      <c r="M32" s="130">
        <f t="shared" si="4"/>
        <v>69118.209699999919</v>
      </c>
      <c r="N32" s="44"/>
      <c r="O32" s="69"/>
    </row>
    <row r="33" spans="1:19">
      <c r="A33" s="26">
        <v>30</v>
      </c>
      <c r="B33" s="27">
        <v>45838</v>
      </c>
      <c r="C33" s="128"/>
      <c r="D33" s="129"/>
      <c r="E33" s="93">
        <v>600</v>
      </c>
      <c r="F33" s="93">
        <v>99.82</v>
      </c>
      <c r="G33" s="19">
        <f t="shared" si="3"/>
        <v>59891.999999999993</v>
      </c>
      <c r="H33" s="93">
        <v>30</v>
      </c>
      <c r="I33" s="330">
        <v>111.73</v>
      </c>
      <c r="J33" s="19">
        <f t="shared" si="1"/>
        <v>3351.9</v>
      </c>
      <c r="K33" s="19">
        <f t="shared" si="2"/>
        <v>63243.899999999994</v>
      </c>
      <c r="L33" s="130">
        <v>0</v>
      </c>
      <c r="M33" s="130">
        <f t="shared" si="4"/>
        <v>132362.10969999991</v>
      </c>
      <c r="N33" s="44"/>
      <c r="O33" s="69"/>
      <c r="P33" s="241"/>
    </row>
    <row r="34" spans="1:19">
      <c r="A34" s="26">
        <v>31</v>
      </c>
      <c r="B34" s="27">
        <v>45839</v>
      </c>
      <c r="C34" s="128"/>
      <c r="D34" s="129"/>
      <c r="E34" s="93">
        <v>0</v>
      </c>
      <c r="F34" s="93">
        <v>0</v>
      </c>
      <c r="G34" s="19">
        <f t="shared" si="3"/>
        <v>0</v>
      </c>
      <c r="H34" s="93">
        <v>0</v>
      </c>
      <c r="I34" s="330">
        <v>0</v>
      </c>
      <c r="J34" s="19">
        <f t="shared" si="1"/>
        <v>0</v>
      </c>
      <c r="K34" s="19">
        <f t="shared" si="2"/>
        <v>0</v>
      </c>
      <c r="L34" s="130">
        <v>0</v>
      </c>
      <c r="M34" s="130">
        <f t="shared" si="4"/>
        <v>132362.10969999991</v>
      </c>
      <c r="N34" s="44"/>
      <c r="O34" s="69"/>
    </row>
    <row r="35" spans="1:19">
      <c r="A35" s="26"/>
      <c r="B35" s="27"/>
      <c r="C35" s="128"/>
      <c r="D35" s="129"/>
      <c r="E35" s="93">
        <v>0</v>
      </c>
      <c r="F35" s="93">
        <v>0</v>
      </c>
      <c r="G35" s="19">
        <f t="shared" si="0"/>
        <v>0</v>
      </c>
      <c r="H35" s="93">
        <v>0</v>
      </c>
      <c r="I35" s="330">
        <v>0</v>
      </c>
      <c r="J35" s="19">
        <f t="shared" si="1"/>
        <v>0</v>
      </c>
      <c r="K35" s="19">
        <f t="shared" si="2"/>
        <v>0</v>
      </c>
      <c r="L35" s="130">
        <v>0</v>
      </c>
      <c r="M35" s="130">
        <f t="shared" si="4"/>
        <v>132362.10969999991</v>
      </c>
      <c r="N35" s="44"/>
      <c r="O35" s="69"/>
    </row>
    <row r="36" spans="1:19">
      <c r="A36" s="26"/>
      <c r="B36" s="27"/>
      <c r="C36" s="128"/>
      <c r="D36" s="129"/>
      <c r="E36" s="93">
        <v>0</v>
      </c>
      <c r="F36" s="93">
        <v>0</v>
      </c>
      <c r="G36" s="19">
        <f t="shared" ref="G36" si="5">E36*F36</f>
        <v>0</v>
      </c>
      <c r="H36" s="93">
        <v>0</v>
      </c>
      <c r="I36" s="330">
        <v>0</v>
      </c>
      <c r="J36" s="19">
        <f t="shared" ref="J36" si="6">H36*I36</f>
        <v>0</v>
      </c>
      <c r="K36" s="19">
        <f t="shared" ref="K36" si="7">G36+J36</f>
        <v>0</v>
      </c>
      <c r="L36" s="130">
        <v>0</v>
      </c>
      <c r="M36" s="130">
        <f t="shared" si="4"/>
        <v>132362.10969999991</v>
      </c>
      <c r="N36" s="44"/>
      <c r="O36" s="69"/>
    </row>
    <row r="37" spans="1:19">
      <c r="A37" s="42"/>
      <c r="B37" s="42"/>
      <c r="C37" s="42"/>
      <c r="D37" s="42"/>
      <c r="E37" s="43">
        <f>SUM(E4:E35)</f>
        <v>5400</v>
      </c>
      <c r="F37" s="43"/>
      <c r="G37" s="43">
        <f>SUM(G4:G35)</f>
        <v>539027.99999999988</v>
      </c>
      <c r="H37" s="43">
        <f>SUM(H4:H35)</f>
        <v>220</v>
      </c>
      <c r="I37" s="43"/>
      <c r="J37" s="43">
        <f>SUM(J4:J35)</f>
        <v>24580.600000000002</v>
      </c>
      <c r="K37" s="43">
        <f>SUM(K4:K35)</f>
        <v>563608.6</v>
      </c>
      <c r="L37" s="43">
        <f>SUM(L4:L35)</f>
        <v>527000</v>
      </c>
      <c r="M37" s="43"/>
      <c r="N37" s="43"/>
      <c r="O37" s="33"/>
    </row>
    <row r="38" spans="1:19">
      <c r="A38" s="72"/>
      <c r="B38" s="73"/>
      <c r="C38" s="72"/>
      <c r="D38" s="72"/>
      <c r="E38" s="74">
        <v>0</v>
      </c>
      <c r="F38" s="74"/>
      <c r="G38" s="74">
        <v>0</v>
      </c>
      <c r="H38" s="74">
        <v>0</v>
      </c>
      <c r="I38" s="74"/>
      <c r="J38" s="75">
        <v>0</v>
      </c>
      <c r="K38" s="75">
        <f>G38+J38</f>
        <v>0</v>
      </c>
      <c r="L38" s="75">
        <v>0</v>
      </c>
      <c r="M38" s="75"/>
      <c r="N38" s="74"/>
      <c r="O38" s="69"/>
    </row>
    <row r="39" spans="1:19">
      <c r="E39" s="135"/>
      <c r="F39" s="135"/>
      <c r="G39" s="135"/>
      <c r="H39" s="135"/>
      <c r="I39" s="135"/>
      <c r="J39" s="135"/>
      <c r="K39" s="135"/>
      <c r="L39" s="135"/>
      <c r="M39" s="241"/>
      <c r="O39" s="69"/>
    </row>
    <row r="40" spans="1:19">
      <c r="O40" s="69"/>
    </row>
    <row r="41" spans="1:19">
      <c r="M41" s="174"/>
      <c r="O41" s="69"/>
    </row>
    <row r="42" spans="1:19">
      <c r="O42" s="69"/>
    </row>
    <row r="43" spans="1:19">
      <c r="O43" s="69"/>
      <c r="S43">
        <v>9052944708</v>
      </c>
    </row>
    <row r="44" spans="1:19">
      <c r="A44" s="69"/>
      <c r="B44" s="59"/>
      <c r="C44" s="69"/>
      <c r="D44" s="69"/>
      <c r="E44" s="69"/>
      <c r="F44" s="69"/>
      <c r="G44" s="76"/>
      <c r="H44" s="69"/>
      <c r="I44" s="69"/>
      <c r="J44" s="59"/>
      <c r="K44" s="59"/>
      <c r="L44" s="59"/>
      <c r="M44" s="59"/>
      <c r="N44" s="69"/>
      <c r="O44" s="74"/>
    </row>
    <row r="45" spans="1:19">
      <c r="A45" s="69"/>
      <c r="B45" s="561"/>
      <c r="C45" s="561"/>
      <c r="D45" s="561"/>
      <c r="E45" s="561"/>
      <c r="F45" s="69"/>
      <c r="G45" s="69"/>
      <c r="H45" s="69"/>
      <c r="I45" s="561"/>
      <c r="J45" s="561"/>
      <c r="K45" s="561"/>
      <c r="L45" s="561"/>
      <c r="M45" s="561"/>
      <c r="N45" s="561"/>
      <c r="O45" s="74"/>
    </row>
    <row r="46" spans="1:19">
      <c r="A46" s="69"/>
      <c r="B46" s="59"/>
      <c r="C46" s="69"/>
      <c r="D46" s="69"/>
      <c r="E46" s="69"/>
      <c r="F46" s="69"/>
      <c r="G46" s="69"/>
      <c r="H46" s="69"/>
      <c r="I46" s="69"/>
      <c r="J46" s="59"/>
      <c r="K46" s="59"/>
      <c r="L46" s="59"/>
      <c r="M46" s="59"/>
      <c r="N46" s="69"/>
      <c r="O46" s="74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topLeftCell="A15" workbookViewId="0">
      <selection activeCell="M31" sqref="M31"/>
    </sheetView>
  </sheetViews>
  <sheetFormatPr defaultRowHeight="15"/>
  <cols>
    <col min="2" max="2" width="10.140625" bestFit="1" customWidth="1"/>
    <col min="4" max="4" width="24.85546875" bestFit="1" customWidth="1"/>
    <col min="12" max="12" width="9.28515625" bestFit="1" customWidth="1"/>
    <col min="14" max="14" width="12.7109375" customWidth="1"/>
  </cols>
  <sheetData>
    <row r="1" spans="1:14" ht="15.75">
      <c r="A1" s="568" t="s">
        <v>322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</row>
    <row r="2" spans="1:14" ht="25.5">
      <c r="A2" s="103" t="s">
        <v>0</v>
      </c>
      <c r="B2" s="106" t="s">
        <v>167</v>
      </c>
      <c r="C2" s="106" t="s">
        <v>168</v>
      </c>
      <c r="D2" s="106" t="s">
        <v>169</v>
      </c>
      <c r="E2" s="106" t="s">
        <v>170</v>
      </c>
      <c r="F2" s="106" t="s">
        <v>171</v>
      </c>
      <c r="G2" s="106" t="s">
        <v>172</v>
      </c>
      <c r="H2" s="106" t="s">
        <v>173</v>
      </c>
      <c r="I2" s="106" t="s">
        <v>171</v>
      </c>
      <c r="J2" s="106" t="s">
        <v>172</v>
      </c>
      <c r="K2" s="106" t="s">
        <v>174</v>
      </c>
      <c r="L2" s="106" t="s">
        <v>175</v>
      </c>
      <c r="M2" s="106" t="s">
        <v>192</v>
      </c>
      <c r="N2" s="106" t="s">
        <v>177</v>
      </c>
    </row>
    <row r="3" spans="1:14">
      <c r="A3" s="571" t="s">
        <v>178</v>
      </c>
      <c r="B3" s="571"/>
      <c r="C3" s="571"/>
      <c r="D3" s="571"/>
      <c r="E3" s="571"/>
      <c r="F3" s="571"/>
      <c r="G3" s="571"/>
      <c r="H3" s="571"/>
      <c r="I3" s="571"/>
      <c r="J3" s="571"/>
      <c r="K3" s="95">
        <v>62820</v>
      </c>
      <c r="L3" s="95">
        <v>0</v>
      </c>
      <c r="M3" s="95">
        <v>62820</v>
      </c>
      <c r="N3" s="17"/>
    </row>
    <row r="4" spans="1:14">
      <c r="A4" s="26">
        <v>1</v>
      </c>
      <c r="B4" s="27">
        <v>46174</v>
      </c>
      <c r="C4" s="17"/>
      <c r="D4" s="17"/>
      <c r="E4" s="86"/>
      <c r="F4" s="86"/>
      <c r="G4" s="17">
        <f>E4*F4</f>
        <v>0</v>
      </c>
      <c r="H4" s="86"/>
      <c r="I4" s="86"/>
      <c r="J4" s="17">
        <f>H4*I4</f>
        <v>0</v>
      </c>
      <c r="K4" s="17">
        <f>G4+J4</f>
        <v>0</v>
      </c>
      <c r="L4" s="17"/>
      <c r="M4" s="17">
        <f>M3+K4-L4</f>
        <v>62820</v>
      </c>
      <c r="N4" s="224"/>
    </row>
    <row r="5" spans="1:14">
      <c r="A5" s="26">
        <v>2</v>
      </c>
      <c r="B5" s="27">
        <v>46175</v>
      </c>
      <c r="C5" s="17"/>
      <c r="D5" s="17"/>
      <c r="E5" s="86"/>
      <c r="F5" s="86"/>
      <c r="G5" s="17">
        <f t="shared" ref="G5" si="0">E5*F5</f>
        <v>0</v>
      </c>
      <c r="H5" s="86"/>
      <c r="I5" s="86"/>
      <c r="J5" s="17">
        <f t="shared" ref="J5" si="1">H5*I5</f>
        <v>0</v>
      </c>
      <c r="K5" s="17">
        <f t="shared" ref="K5" si="2">G5+J5</f>
        <v>0</v>
      </c>
      <c r="L5" s="17"/>
      <c r="M5" s="97">
        <f t="shared" ref="M5:M34" si="3">M4+K5-L5</f>
        <v>62820</v>
      </c>
      <c r="N5" s="44"/>
    </row>
    <row r="6" spans="1:14">
      <c r="A6" s="26">
        <v>3</v>
      </c>
      <c r="B6" s="27">
        <v>46176</v>
      </c>
      <c r="C6" s="17"/>
      <c r="D6" s="17"/>
      <c r="E6" s="86"/>
      <c r="F6" s="86"/>
      <c r="G6" s="17">
        <f t="shared" ref="G6:G7" si="4">E6*F6</f>
        <v>0</v>
      </c>
      <c r="H6" s="86"/>
      <c r="I6" s="86"/>
      <c r="J6" s="17">
        <f t="shared" ref="J6:J33" si="5">H6*I6</f>
        <v>0</v>
      </c>
      <c r="K6" s="17">
        <f t="shared" ref="K6:K33" si="6">G6+J6</f>
        <v>0</v>
      </c>
      <c r="L6" s="17"/>
      <c r="M6" s="97">
        <f t="shared" si="3"/>
        <v>62820</v>
      </c>
      <c r="N6" s="44"/>
    </row>
    <row r="7" spans="1:14">
      <c r="A7" s="26">
        <v>4</v>
      </c>
      <c r="B7" s="27">
        <v>46177</v>
      </c>
      <c r="C7" s="17"/>
      <c r="D7" s="17"/>
      <c r="E7" s="86"/>
      <c r="F7" s="86"/>
      <c r="G7" s="17">
        <f t="shared" si="4"/>
        <v>0</v>
      </c>
      <c r="H7" s="86"/>
      <c r="I7" s="86"/>
      <c r="J7" s="17">
        <f t="shared" si="5"/>
        <v>0</v>
      </c>
      <c r="K7" s="17">
        <f t="shared" si="6"/>
        <v>0</v>
      </c>
      <c r="L7" s="17"/>
      <c r="M7" s="492">
        <f t="shared" si="3"/>
        <v>62820</v>
      </c>
      <c r="N7" s="17"/>
    </row>
    <row r="8" spans="1:14">
      <c r="A8" s="26">
        <v>5</v>
      </c>
      <c r="B8" s="27">
        <v>46178</v>
      </c>
      <c r="C8" s="17"/>
      <c r="D8" s="17"/>
      <c r="E8" s="86"/>
      <c r="F8" s="86"/>
      <c r="G8" s="17">
        <f>E8*F8</f>
        <v>0</v>
      </c>
      <c r="H8" s="86"/>
      <c r="I8" s="86"/>
      <c r="J8" s="17">
        <f t="shared" si="5"/>
        <v>0</v>
      </c>
      <c r="K8" s="17">
        <f t="shared" si="6"/>
        <v>0</v>
      </c>
      <c r="L8" s="17"/>
      <c r="M8" s="492">
        <f t="shared" si="3"/>
        <v>62820</v>
      </c>
      <c r="N8" s="44"/>
    </row>
    <row r="9" spans="1:14">
      <c r="A9" s="26">
        <v>6</v>
      </c>
      <c r="B9" s="27">
        <v>46179</v>
      </c>
      <c r="C9" s="17"/>
      <c r="D9" s="17"/>
      <c r="E9" s="86">
        <v>340</v>
      </c>
      <c r="F9" s="86">
        <v>99.87</v>
      </c>
      <c r="G9" s="17">
        <f>E9*F9</f>
        <v>33955.800000000003</v>
      </c>
      <c r="H9" s="86">
        <v>17</v>
      </c>
      <c r="I9" s="86">
        <v>111.78</v>
      </c>
      <c r="J9" s="17">
        <f t="shared" si="5"/>
        <v>1900.26</v>
      </c>
      <c r="K9" s="17">
        <f t="shared" si="6"/>
        <v>35856.060000000005</v>
      </c>
      <c r="L9" s="17">
        <v>62000</v>
      </c>
      <c r="M9" s="492">
        <f t="shared" si="3"/>
        <v>36676.06</v>
      </c>
      <c r="N9" s="44"/>
    </row>
    <row r="10" spans="1:14">
      <c r="A10" s="26">
        <v>7</v>
      </c>
      <c r="B10" s="27">
        <v>46180</v>
      </c>
      <c r="C10" s="17"/>
      <c r="D10" s="17"/>
      <c r="E10" s="86"/>
      <c r="F10" s="86"/>
      <c r="G10" s="17">
        <f>E10*F10</f>
        <v>0</v>
      </c>
      <c r="H10" s="86"/>
      <c r="I10" s="86"/>
      <c r="J10" s="17">
        <f t="shared" si="5"/>
        <v>0</v>
      </c>
      <c r="K10" s="17">
        <f t="shared" si="6"/>
        <v>0</v>
      </c>
      <c r="L10" s="17"/>
      <c r="M10" s="492">
        <f t="shared" si="3"/>
        <v>36676.06</v>
      </c>
      <c r="N10" s="44"/>
    </row>
    <row r="11" spans="1:14">
      <c r="A11" s="26">
        <v>8</v>
      </c>
      <c r="B11" s="27">
        <v>46181</v>
      </c>
      <c r="C11" s="17"/>
      <c r="D11" s="17"/>
      <c r="E11" s="86"/>
      <c r="F11" s="86"/>
      <c r="G11" s="17">
        <f>E11*F11</f>
        <v>0</v>
      </c>
      <c r="H11" s="86"/>
      <c r="I11" s="86"/>
      <c r="J11" s="17">
        <f t="shared" si="5"/>
        <v>0</v>
      </c>
      <c r="K11" s="17">
        <f t="shared" si="6"/>
        <v>0</v>
      </c>
      <c r="L11" s="17"/>
      <c r="M11" s="492">
        <f t="shared" si="3"/>
        <v>36676.06</v>
      </c>
      <c r="N11" s="44"/>
    </row>
    <row r="12" spans="1:14">
      <c r="A12" s="26">
        <v>9</v>
      </c>
      <c r="B12" s="27">
        <v>46182</v>
      </c>
      <c r="C12" s="17"/>
      <c r="D12" s="17"/>
      <c r="E12" s="86"/>
      <c r="F12" s="86"/>
      <c r="G12" s="17">
        <f>E12*F12</f>
        <v>0</v>
      </c>
      <c r="H12" s="86">
        <v>35</v>
      </c>
      <c r="I12" s="86">
        <v>111.78</v>
      </c>
      <c r="J12" s="17">
        <f t="shared" si="5"/>
        <v>3912.3</v>
      </c>
      <c r="K12" s="17">
        <f t="shared" si="6"/>
        <v>3912.3</v>
      </c>
      <c r="L12" s="17"/>
      <c r="M12" s="40">
        <f t="shared" si="3"/>
        <v>40588.36</v>
      </c>
      <c r="N12" s="93"/>
    </row>
    <row r="13" spans="1:14">
      <c r="A13" s="26">
        <v>10</v>
      </c>
      <c r="B13" s="27">
        <v>46183</v>
      </c>
      <c r="C13" s="17"/>
      <c r="D13" s="17"/>
      <c r="E13" s="86"/>
      <c r="F13" s="86"/>
      <c r="G13" s="17">
        <f>E13*F13</f>
        <v>0</v>
      </c>
      <c r="H13" s="86"/>
      <c r="I13" s="86"/>
      <c r="J13" s="17">
        <f t="shared" si="5"/>
        <v>0</v>
      </c>
      <c r="K13" s="17">
        <f t="shared" si="6"/>
        <v>0</v>
      </c>
      <c r="L13" s="17"/>
      <c r="M13" s="40">
        <f t="shared" si="3"/>
        <v>40588.36</v>
      </c>
      <c r="N13" s="44"/>
    </row>
    <row r="14" spans="1:14">
      <c r="A14" s="26">
        <v>11</v>
      </c>
      <c r="B14" s="27">
        <v>46184</v>
      </c>
      <c r="C14" s="17"/>
      <c r="D14" s="17"/>
      <c r="E14" s="86"/>
      <c r="F14" s="86"/>
      <c r="G14" s="17">
        <f>E14*F14</f>
        <v>0</v>
      </c>
      <c r="H14" s="86"/>
      <c r="I14" s="86"/>
      <c r="J14" s="17">
        <f t="shared" si="5"/>
        <v>0</v>
      </c>
      <c r="K14" s="17">
        <f t="shared" si="6"/>
        <v>0</v>
      </c>
      <c r="L14" s="17"/>
      <c r="M14" s="40">
        <f t="shared" si="3"/>
        <v>40588.36</v>
      </c>
      <c r="N14" s="44"/>
    </row>
    <row r="15" spans="1:14">
      <c r="A15" s="26">
        <v>12</v>
      </c>
      <c r="B15" s="27">
        <v>46185</v>
      </c>
      <c r="C15" s="17"/>
      <c r="D15" s="17"/>
      <c r="E15" s="86"/>
      <c r="F15" s="86"/>
      <c r="G15" s="17">
        <f>E15*F15</f>
        <v>0</v>
      </c>
      <c r="H15" s="86"/>
      <c r="I15" s="86"/>
      <c r="J15" s="17">
        <f t="shared" si="5"/>
        <v>0</v>
      </c>
      <c r="K15" s="17">
        <f t="shared" si="6"/>
        <v>0</v>
      </c>
      <c r="L15" s="17"/>
      <c r="M15" s="40">
        <f t="shared" si="3"/>
        <v>40588.36</v>
      </c>
      <c r="N15" s="44"/>
    </row>
    <row r="16" spans="1:14">
      <c r="A16" s="26">
        <v>13</v>
      </c>
      <c r="B16" s="27">
        <v>46186</v>
      </c>
      <c r="C16" s="17"/>
      <c r="D16" s="17"/>
      <c r="E16" s="86">
        <v>300</v>
      </c>
      <c r="F16" s="86">
        <v>99.87</v>
      </c>
      <c r="G16" s="17">
        <f>E16*F16</f>
        <v>29961</v>
      </c>
      <c r="H16" s="86">
        <v>20</v>
      </c>
      <c r="I16" s="86">
        <v>111.78</v>
      </c>
      <c r="J16" s="17">
        <f t="shared" si="5"/>
        <v>2235.6</v>
      </c>
      <c r="K16" s="17">
        <f t="shared" si="6"/>
        <v>32196.6</v>
      </c>
      <c r="L16" s="17"/>
      <c r="M16" s="40">
        <f t="shared" si="3"/>
        <v>72784.959999999992</v>
      </c>
      <c r="N16" s="44"/>
    </row>
    <row r="17" spans="1:14">
      <c r="A17" s="26">
        <v>14</v>
      </c>
      <c r="B17" s="27">
        <v>46187</v>
      </c>
      <c r="C17" s="17"/>
      <c r="D17" s="17"/>
      <c r="E17" s="86"/>
      <c r="F17" s="86"/>
      <c r="G17" s="17">
        <f>E17*F17</f>
        <v>0</v>
      </c>
      <c r="H17" s="86"/>
      <c r="I17" s="86"/>
      <c r="J17" s="17">
        <f t="shared" si="5"/>
        <v>0</v>
      </c>
      <c r="K17" s="17">
        <f t="shared" si="6"/>
        <v>0</v>
      </c>
      <c r="L17" s="17"/>
      <c r="M17" s="40">
        <f t="shared" si="3"/>
        <v>72784.959999999992</v>
      </c>
      <c r="N17" s="44"/>
    </row>
    <row r="18" spans="1:14">
      <c r="A18" s="26">
        <v>15</v>
      </c>
      <c r="B18" s="27">
        <v>46188</v>
      </c>
      <c r="C18" s="17"/>
      <c r="D18" s="17"/>
      <c r="E18" s="86"/>
      <c r="F18" s="86"/>
      <c r="G18" s="17">
        <f>E18*F18</f>
        <v>0</v>
      </c>
      <c r="H18" s="86"/>
      <c r="I18" s="86"/>
      <c r="J18" s="17">
        <f t="shared" si="5"/>
        <v>0</v>
      </c>
      <c r="K18" s="17">
        <f t="shared" si="6"/>
        <v>0</v>
      </c>
      <c r="L18" s="17"/>
      <c r="M18" s="40">
        <f t="shared" si="3"/>
        <v>72784.959999999992</v>
      </c>
      <c r="N18" s="44"/>
    </row>
    <row r="19" spans="1:14">
      <c r="A19" s="26">
        <v>16</v>
      </c>
      <c r="B19" s="27">
        <v>46189</v>
      </c>
      <c r="C19" s="17"/>
      <c r="D19" s="17"/>
      <c r="E19" s="86"/>
      <c r="F19" s="86"/>
      <c r="G19" s="17">
        <f>E19*F19</f>
        <v>0</v>
      </c>
      <c r="H19" s="86"/>
      <c r="I19" s="86"/>
      <c r="J19" s="17">
        <f t="shared" si="5"/>
        <v>0</v>
      </c>
      <c r="K19" s="17">
        <f t="shared" si="6"/>
        <v>0</v>
      </c>
      <c r="L19" s="17">
        <v>40000</v>
      </c>
      <c r="M19" s="40">
        <f t="shared" si="3"/>
        <v>32784.959999999992</v>
      </c>
      <c r="N19" s="44"/>
    </row>
    <row r="20" spans="1:14">
      <c r="A20" s="26">
        <v>17</v>
      </c>
      <c r="B20" s="27">
        <v>46190</v>
      </c>
      <c r="C20" s="17"/>
      <c r="D20" s="17"/>
      <c r="E20" s="86"/>
      <c r="F20" s="86"/>
      <c r="G20" s="17">
        <f>E20*F20</f>
        <v>0</v>
      </c>
      <c r="H20" s="86">
        <v>35</v>
      </c>
      <c r="I20" s="86">
        <v>111.78</v>
      </c>
      <c r="J20" s="17">
        <f t="shared" si="5"/>
        <v>3912.3</v>
      </c>
      <c r="K20" s="17">
        <f t="shared" si="6"/>
        <v>3912.3</v>
      </c>
      <c r="L20" s="17"/>
      <c r="M20" s="40">
        <f t="shared" si="3"/>
        <v>36697.259999999995</v>
      </c>
      <c r="N20" s="44"/>
    </row>
    <row r="21" spans="1:14">
      <c r="A21" s="26">
        <v>18</v>
      </c>
      <c r="B21" s="27">
        <v>46191</v>
      </c>
      <c r="C21" s="17"/>
      <c r="D21" s="17"/>
      <c r="E21" s="86"/>
      <c r="F21" s="86"/>
      <c r="G21" s="17">
        <f>E21*F21</f>
        <v>0</v>
      </c>
      <c r="H21" s="86"/>
      <c r="I21" s="86"/>
      <c r="J21" s="17">
        <f t="shared" si="5"/>
        <v>0</v>
      </c>
      <c r="K21" s="17">
        <f t="shared" si="6"/>
        <v>0</v>
      </c>
      <c r="L21" s="17"/>
      <c r="M21" s="40">
        <f t="shared" si="3"/>
        <v>36697.259999999995</v>
      </c>
      <c r="N21" s="44"/>
    </row>
    <row r="22" spans="1:14">
      <c r="A22" s="26">
        <v>19</v>
      </c>
      <c r="B22" s="27">
        <v>46192</v>
      </c>
      <c r="C22" s="17"/>
      <c r="D22" s="17"/>
      <c r="E22" s="86"/>
      <c r="F22" s="86"/>
      <c r="G22" s="17">
        <f>E22*F22</f>
        <v>0</v>
      </c>
      <c r="H22" s="86"/>
      <c r="I22" s="86"/>
      <c r="J22" s="17">
        <f t="shared" si="5"/>
        <v>0</v>
      </c>
      <c r="K22" s="17">
        <f t="shared" si="6"/>
        <v>0</v>
      </c>
      <c r="L22" s="17"/>
      <c r="M22" s="40">
        <f t="shared" si="3"/>
        <v>36697.259999999995</v>
      </c>
      <c r="N22" s="44"/>
    </row>
    <row r="23" spans="1:14">
      <c r="A23" s="26">
        <v>20</v>
      </c>
      <c r="B23" s="27">
        <v>46193</v>
      </c>
      <c r="C23" s="17"/>
      <c r="D23" s="17"/>
      <c r="E23" s="86"/>
      <c r="F23" s="86"/>
      <c r="G23" s="17">
        <f>E23*F23</f>
        <v>0</v>
      </c>
      <c r="H23" s="86"/>
      <c r="I23" s="86"/>
      <c r="J23" s="17">
        <f t="shared" si="5"/>
        <v>0</v>
      </c>
      <c r="K23" s="17">
        <f t="shared" si="6"/>
        <v>0</v>
      </c>
      <c r="L23" s="17"/>
      <c r="M23" s="40">
        <f t="shared" si="3"/>
        <v>36697.259999999995</v>
      </c>
      <c r="N23" s="44"/>
    </row>
    <row r="24" spans="1:14">
      <c r="A24" s="26">
        <v>21</v>
      </c>
      <c r="B24" s="27">
        <v>46194</v>
      </c>
      <c r="C24" s="17"/>
      <c r="D24" s="17"/>
      <c r="E24" s="86"/>
      <c r="F24" s="86"/>
      <c r="G24" s="17">
        <f>E24*F24</f>
        <v>0</v>
      </c>
      <c r="H24" s="86"/>
      <c r="I24" s="86"/>
      <c r="J24" s="17">
        <f t="shared" si="5"/>
        <v>0</v>
      </c>
      <c r="K24" s="17">
        <f t="shared" si="6"/>
        <v>0</v>
      </c>
      <c r="L24" s="17"/>
      <c r="M24" s="40">
        <f t="shared" si="3"/>
        <v>36697.259999999995</v>
      </c>
      <c r="N24" s="44"/>
    </row>
    <row r="25" spans="1:14">
      <c r="A25" s="26">
        <v>22</v>
      </c>
      <c r="B25" s="27">
        <v>46195</v>
      </c>
      <c r="C25" s="17"/>
      <c r="D25" s="17"/>
      <c r="E25" s="86"/>
      <c r="F25" s="86"/>
      <c r="G25" s="17">
        <f>E25*F25</f>
        <v>0</v>
      </c>
      <c r="H25" s="86"/>
      <c r="I25" s="86"/>
      <c r="J25" s="17">
        <f t="shared" si="5"/>
        <v>0</v>
      </c>
      <c r="K25" s="17">
        <f t="shared" si="6"/>
        <v>0</v>
      </c>
      <c r="L25" s="17"/>
      <c r="M25" s="40">
        <f>M24+K25-L25</f>
        <v>36697.259999999995</v>
      </c>
      <c r="N25" s="44"/>
    </row>
    <row r="26" spans="1:14">
      <c r="A26" s="26">
        <v>23</v>
      </c>
      <c r="B26" s="27">
        <v>46196</v>
      </c>
      <c r="C26" s="17"/>
      <c r="D26" s="17"/>
      <c r="E26" s="86"/>
      <c r="F26" s="86"/>
      <c r="G26" s="17">
        <f>E26*F26</f>
        <v>0</v>
      </c>
      <c r="H26" s="86"/>
      <c r="I26" s="86"/>
      <c r="J26" s="17">
        <f t="shared" si="5"/>
        <v>0</v>
      </c>
      <c r="K26" s="17">
        <f t="shared" si="6"/>
        <v>0</v>
      </c>
      <c r="L26" s="17"/>
      <c r="M26" s="40">
        <f t="shared" si="3"/>
        <v>36697.259999999995</v>
      </c>
      <c r="N26" s="44"/>
    </row>
    <row r="27" spans="1:14">
      <c r="A27" s="26">
        <v>24</v>
      </c>
      <c r="B27" s="27">
        <v>46197</v>
      </c>
      <c r="C27" s="17"/>
      <c r="D27" s="17"/>
      <c r="E27" s="86">
        <v>400</v>
      </c>
      <c r="F27" s="86">
        <v>99.87</v>
      </c>
      <c r="G27" s="17">
        <f>E27*F27</f>
        <v>39948</v>
      </c>
      <c r="H27" s="86"/>
      <c r="I27" s="86"/>
      <c r="J27" s="17">
        <f t="shared" si="5"/>
        <v>0</v>
      </c>
      <c r="K27" s="17">
        <f t="shared" si="6"/>
        <v>39948</v>
      </c>
      <c r="L27" s="17"/>
      <c r="M27" s="40">
        <f t="shared" si="3"/>
        <v>76645.259999999995</v>
      </c>
      <c r="N27" s="44"/>
    </row>
    <row r="28" spans="1:14">
      <c r="A28" s="26">
        <v>25</v>
      </c>
      <c r="B28" s="27">
        <v>46198</v>
      </c>
      <c r="C28" s="17"/>
      <c r="D28" s="17"/>
      <c r="E28" s="86"/>
      <c r="F28" s="86"/>
      <c r="G28" s="17">
        <f>E28*F28</f>
        <v>0</v>
      </c>
      <c r="H28" s="86"/>
      <c r="I28" s="86"/>
      <c r="J28" s="17">
        <f t="shared" si="5"/>
        <v>0</v>
      </c>
      <c r="K28" s="17">
        <f t="shared" si="6"/>
        <v>0</v>
      </c>
      <c r="L28" s="17">
        <v>70000</v>
      </c>
      <c r="M28" s="40">
        <f t="shared" si="3"/>
        <v>6645.2599999999948</v>
      </c>
      <c r="N28" s="44"/>
    </row>
    <row r="29" spans="1:14">
      <c r="A29" s="26">
        <v>26</v>
      </c>
      <c r="B29" s="27">
        <v>46199</v>
      </c>
      <c r="C29" s="17"/>
      <c r="D29" s="17"/>
      <c r="E29" s="86"/>
      <c r="F29" s="86"/>
      <c r="G29" s="17">
        <f>E29*F29</f>
        <v>0</v>
      </c>
      <c r="H29" s="86"/>
      <c r="I29" s="86"/>
      <c r="J29" s="17">
        <f t="shared" si="5"/>
        <v>0</v>
      </c>
      <c r="K29" s="17">
        <f t="shared" si="6"/>
        <v>0</v>
      </c>
      <c r="L29" s="17"/>
      <c r="M29" s="40">
        <f t="shared" si="3"/>
        <v>6645.2599999999948</v>
      </c>
      <c r="N29" s="44"/>
    </row>
    <row r="30" spans="1:14">
      <c r="A30" s="26">
        <v>27</v>
      </c>
      <c r="B30" s="27">
        <v>46200</v>
      </c>
      <c r="C30" s="17"/>
      <c r="D30" s="17"/>
      <c r="E30" s="86"/>
      <c r="F30" s="86"/>
      <c r="G30" s="17">
        <f>E30*F30</f>
        <v>0</v>
      </c>
      <c r="H30" s="86">
        <v>20</v>
      </c>
      <c r="I30" s="86">
        <v>111.78</v>
      </c>
      <c r="J30" s="17">
        <f t="shared" si="5"/>
        <v>2235.6</v>
      </c>
      <c r="K30" s="17">
        <f t="shared" si="6"/>
        <v>2235.6</v>
      </c>
      <c r="L30" s="17"/>
      <c r="M30" s="40">
        <f t="shared" si="3"/>
        <v>8880.8599999999951</v>
      </c>
      <c r="N30" s="44"/>
    </row>
    <row r="31" spans="1:14">
      <c r="A31" s="26">
        <v>28</v>
      </c>
      <c r="B31" s="27">
        <v>46201</v>
      </c>
      <c r="C31" s="17"/>
      <c r="D31" s="17"/>
      <c r="E31" s="86"/>
      <c r="F31" s="86"/>
      <c r="G31" s="17">
        <f>E31*F31</f>
        <v>0</v>
      </c>
      <c r="H31" s="86"/>
      <c r="I31" s="86"/>
      <c r="J31" s="17">
        <f t="shared" si="5"/>
        <v>0</v>
      </c>
      <c r="K31" s="17">
        <f t="shared" si="6"/>
        <v>0</v>
      </c>
      <c r="L31" s="17"/>
      <c r="M31" s="40">
        <f t="shared" si="3"/>
        <v>8880.8599999999951</v>
      </c>
      <c r="N31" s="44"/>
    </row>
    <row r="32" spans="1:14">
      <c r="A32" s="26">
        <v>29</v>
      </c>
      <c r="B32" s="27">
        <v>46202</v>
      </c>
      <c r="C32" s="17"/>
      <c r="D32" s="17"/>
      <c r="E32" s="86"/>
      <c r="F32" s="86"/>
      <c r="G32" s="17">
        <f>E32*F32</f>
        <v>0</v>
      </c>
      <c r="H32" s="86"/>
      <c r="I32" s="86"/>
      <c r="J32" s="17">
        <f t="shared" si="5"/>
        <v>0</v>
      </c>
      <c r="K32" s="17">
        <f t="shared" si="6"/>
        <v>0</v>
      </c>
      <c r="L32" s="17"/>
      <c r="M32" s="40">
        <f t="shared" si="3"/>
        <v>8880.8599999999951</v>
      </c>
      <c r="N32" s="44"/>
    </row>
    <row r="33" spans="1:14">
      <c r="A33" s="26">
        <v>30</v>
      </c>
      <c r="B33" s="27">
        <v>46203</v>
      </c>
      <c r="C33" s="17"/>
      <c r="D33" s="17"/>
      <c r="E33" s="86"/>
      <c r="F33" s="86"/>
      <c r="G33" s="17">
        <f>E33*F33</f>
        <v>0</v>
      </c>
      <c r="H33" s="86"/>
      <c r="I33" s="86"/>
      <c r="J33" s="17">
        <f t="shared" si="5"/>
        <v>0</v>
      </c>
      <c r="K33" s="17">
        <f t="shared" si="6"/>
        <v>0</v>
      </c>
      <c r="L33" s="17"/>
      <c r="M33" s="40">
        <f t="shared" si="3"/>
        <v>8880.8599999999951</v>
      </c>
      <c r="N33" s="44"/>
    </row>
    <row r="34" spans="1:14">
      <c r="A34" s="26">
        <v>31</v>
      </c>
      <c r="B34" s="27"/>
      <c r="C34" s="17"/>
      <c r="D34" s="17"/>
      <c r="E34" s="86"/>
      <c r="F34" s="86"/>
      <c r="G34" s="17">
        <f t="shared" ref="G34" si="7">E34*F34</f>
        <v>0</v>
      </c>
      <c r="H34" s="86"/>
      <c r="I34" s="86"/>
      <c r="J34" s="17"/>
      <c r="K34" s="17">
        <f>G34+J34</f>
        <v>0</v>
      </c>
      <c r="L34" s="17">
        <v>0</v>
      </c>
      <c r="M34" s="40">
        <f>M33+K34-L34</f>
        <v>8880.8599999999951</v>
      </c>
      <c r="N34" s="44"/>
    </row>
    <row r="35" spans="1:14">
      <c r="A35" s="42"/>
      <c r="B35" s="42"/>
      <c r="C35" s="42"/>
      <c r="D35" s="42"/>
      <c r="E35" s="42">
        <f>SUM(E4:E34)</f>
        <v>1040</v>
      </c>
      <c r="F35" s="42"/>
      <c r="G35" s="42">
        <f>SUM(G4:G34)</f>
        <v>103864.8</v>
      </c>
      <c r="H35" s="42">
        <f>SUM(H4:H34)</f>
        <v>127</v>
      </c>
      <c r="I35" s="42"/>
      <c r="J35" s="42">
        <f>SUM(J4:J34)</f>
        <v>14196.06</v>
      </c>
      <c r="K35" s="42">
        <f>SUM(K4:K34)</f>
        <v>118060.86000000002</v>
      </c>
      <c r="L35" s="42">
        <f>SUM(L4:L34)</f>
        <v>172000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S38"/>
  <sheetViews>
    <sheetView topLeftCell="A19" workbookViewId="0">
      <selection activeCell="M34" sqref="M34"/>
    </sheetView>
  </sheetViews>
  <sheetFormatPr defaultRowHeight="15"/>
  <cols>
    <col min="2" max="2" width="18.42578125" customWidth="1"/>
    <col min="5" max="5" width="9.28515625" bestFit="1" customWidth="1"/>
    <col min="7" max="7" width="9.28515625" bestFit="1" customWidth="1"/>
    <col min="12" max="12" width="16.85546875" customWidth="1"/>
    <col min="14" max="14" width="24.7109375" bestFit="1" customWidth="1"/>
    <col min="19" max="19" width="9.28515625" bestFit="1" customWidth="1"/>
  </cols>
  <sheetData>
    <row r="1" spans="1:19" ht="15.75">
      <c r="A1" s="568" t="s">
        <v>323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</row>
    <row r="2" spans="1:19" ht="25.5">
      <c r="A2" s="103" t="s">
        <v>0</v>
      </c>
      <c r="B2" s="106" t="s">
        <v>167</v>
      </c>
      <c r="C2" s="106" t="s">
        <v>168</v>
      </c>
      <c r="D2" s="106" t="s">
        <v>169</v>
      </c>
      <c r="E2" s="106" t="s">
        <v>170</v>
      </c>
      <c r="F2" s="106" t="s">
        <v>171</v>
      </c>
      <c r="G2" s="106" t="s">
        <v>172</v>
      </c>
      <c r="H2" s="106" t="s">
        <v>173</v>
      </c>
      <c r="I2" s="106" t="s">
        <v>171</v>
      </c>
      <c r="J2" s="106" t="s">
        <v>172</v>
      </c>
      <c r="K2" s="106" t="s">
        <v>174</v>
      </c>
      <c r="L2" s="106" t="s">
        <v>175</v>
      </c>
      <c r="M2" s="106" t="s">
        <v>192</v>
      </c>
      <c r="N2" s="106" t="s">
        <v>177</v>
      </c>
    </row>
    <row r="3" spans="1:19">
      <c r="A3" s="571" t="s">
        <v>178</v>
      </c>
      <c r="B3" s="571"/>
      <c r="C3" s="571"/>
      <c r="D3" s="571"/>
      <c r="E3" s="571"/>
      <c r="F3" s="571"/>
      <c r="G3" s="571"/>
      <c r="H3" s="571"/>
      <c r="I3" s="571"/>
      <c r="J3" s="571"/>
      <c r="K3" s="95">
        <v>71615.086599999981</v>
      </c>
      <c r="L3" s="95">
        <v>71615.086599999981</v>
      </c>
      <c r="M3" s="95">
        <v>71615.086599999981</v>
      </c>
      <c r="N3" s="17"/>
    </row>
    <row r="4" spans="1:19">
      <c r="A4" s="26">
        <v>1</v>
      </c>
      <c r="B4" s="27">
        <v>46174</v>
      </c>
      <c r="C4" s="17"/>
      <c r="D4" s="17"/>
      <c r="E4" s="384"/>
      <c r="F4" s="384"/>
      <c r="G4" s="17">
        <f>E4*F4</f>
        <v>0</v>
      </c>
      <c r="H4" s="86"/>
      <c r="I4" s="86"/>
      <c r="J4" s="17">
        <f>H4*I4</f>
        <v>0</v>
      </c>
      <c r="K4" s="17">
        <f>G4+J4</f>
        <v>0</v>
      </c>
      <c r="L4" s="17"/>
      <c r="M4" s="17">
        <f>M3+K4-L4</f>
        <v>71615.086599999981</v>
      </c>
      <c r="N4" s="44"/>
    </row>
    <row r="5" spans="1:19">
      <c r="A5" s="26">
        <v>2</v>
      </c>
      <c r="B5" s="27">
        <v>46175</v>
      </c>
      <c r="C5" s="17"/>
      <c r="D5" s="17"/>
      <c r="E5" s="86">
        <v>600.72</v>
      </c>
      <c r="F5" s="86">
        <v>99.88</v>
      </c>
      <c r="G5" s="17">
        <f t="shared" ref="G5:G35" si="0">E5*F5</f>
        <v>59999.9136</v>
      </c>
      <c r="H5" s="86">
        <v>35</v>
      </c>
      <c r="I5" s="86">
        <v>111.79</v>
      </c>
      <c r="J5" s="17">
        <f t="shared" ref="J5:J35" si="1">H5*I5</f>
        <v>3912.65</v>
      </c>
      <c r="K5" s="17">
        <f t="shared" ref="K5:L35" si="2">G5+J5</f>
        <v>63912.563600000001</v>
      </c>
      <c r="L5" s="17"/>
      <c r="M5" s="17">
        <f t="shared" ref="M5:M35" si="3">M4+K5-L5</f>
        <v>135527.65019999997</v>
      </c>
      <c r="N5" s="44"/>
    </row>
    <row r="6" spans="1:19">
      <c r="A6" s="26">
        <v>3</v>
      </c>
      <c r="B6" s="27">
        <v>46176</v>
      </c>
      <c r="C6" s="17"/>
      <c r="D6" s="17"/>
      <c r="E6" s="86"/>
      <c r="F6" s="86"/>
      <c r="G6" s="17">
        <f t="shared" si="0"/>
        <v>0</v>
      </c>
      <c r="H6" s="86"/>
      <c r="I6" s="86"/>
      <c r="J6" s="17">
        <f t="shared" si="1"/>
        <v>0</v>
      </c>
      <c r="K6" s="17">
        <f t="shared" si="2"/>
        <v>0</v>
      </c>
      <c r="L6" s="17"/>
      <c r="M6" s="17">
        <f t="shared" si="3"/>
        <v>135527.65019999997</v>
      </c>
      <c r="N6" s="44"/>
      <c r="R6">
        <f>L7+L8</f>
        <v>19972</v>
      </c>
    </row>
    <row r="7" spans="1:19">
      <c r="A7" s="26">
        <v>4</v>
      </c>
      <c r="B7" s="27">
        <v>46177</v>
      </c>
      <c r="C7" s="17"/>
      <c r="D7" s="17"/>
      <c r="E7" s="86"/>
      <c r="F7" s="86"/>
      <c r="G7" s="17">
        <f t="shared" si="0"/>
        <v>0</v>
      </c>
      <c r="H7" s="86"/>
      <c r="I7" s="86"/>
      <c r="J7" s="17">
        <f t="shared" si="1"/>
        <v>0</v>
      </c>
      <c r="K7" s="17">
        <f t="shared" si="2"/>
        <v>0</v>
      </c>
      <c r="L7" s="17"/>
      <c r="M7" s="17">
        <f t="shared" si="3"/>
        <v>135527.65019999997</v>
      </c>
      <c r="N7" s="44"/>
    </row>
    <row r="8" spans="1:19">
      <c r="A8" s="26">
        <v>5</v>
      </c>
      <c r="B8" s="27">
        <v>46178</v>
      </c>
      <c r="C8" s="17"/>
      <c r="D8" s="17"/>
      <c r="E8" s="86">
        <v>200</v>
      </c>
      <c r="F8" s="86">
        <v>99.86</v>
      </c>
      <c r="G8" s="17">
        <f t="shared" si="0"/>
        <v>19972</v>
      </c>
      <c r="H8" s="86"/>
      <c r="I8" s="86"/>
      <c r="J8" s="17">
        <f t="shared" si="1"/>
        <v>0</v>
      </c>
      <c r="K8" s="17">
        <f t="shared" si="2"/>
        <v>19972</v>
      </c>
      <c r="L8" s="17">
        <f t="shared" si="2"/>
        <v>19972</v>
      </c>
      <c r="M8" s="17">
        <f t="shared" si="3"/>
        <v>135527.65019999997</v>
      </c>
      <c r="N8" s="44" t="s">
        <v>324</v>
      </c>
    </row>
    <row r="9" spans="1:19">
      <c r="A9" s="26">
        <v>6</v>
      </c>
      <c r="B9" s="27">
        <v>46179</v>
      </c>
      <c r="C9" s="17"/>
      <c r="D9" s="17"/>
      <c r="E9" s="86">
        <v>800</v>
      </c>
      <c r="F9" s="86">
        <v>99.88</v>
      </c>
      <c r="G9" s="17">
        <f t="shared" si="0"/>
        <v>79904</v>
      </c>
      <c r="H9" s="86">
        <v>35</v>
      </c>
      <c r="I9" s="86">
        <v>111.79</v>
      </c>
      <c r="J9" s="17">
        <f t="shared" si="1"/>
        <v>3912.65</v>
      </c>
      <c r="K9" s="17">
        <f t="shared" si="2"/>
        <v>83816.649999999994</v>
      </c>
      <c r="L9" s="17">
        <v>135514</v>
      </c>
      <c r="M9" s="17">
        <f t="shared" si="3"/>
        <v>83830.300199999969</v>
      </c>
      <c r="N9" s="44"/>
      <c r="Q9">
        <v>54242</v>
      </c>
    </row>
    <row r="10" spans="1:19">
      <c r="A10" s="26">
        <v>7</v>
      </c>
      <c r="B10" s="27">
        <v>46180</v>
      </c>
      <c r="C10" s="17"/>
      <c r="D10" s="17"/>
      <c r="E10" s="86"/>
      <c r="F10" s="86"/>
      <c r="G10" s="17">
        <f t="shared" si="0"/>
        <v>0</v>
      </c>
      <c r="H10" s="86"/>
      <c r="I10" s="86"/>
      <c r="J10" s="17">
        <f t="shared" si="1"/>
        <v>0</v>
      </c>
      <c r="K10" s="17">
        <f t="shared" si="2"/>
        <v>0</v>
      </c>
      <c r="L10" s="17"/>
      <c r="M10" s="17">
        <f>M9+K10-L10</f>
        <v>83830.300199999969</v>
      </c>
      <c r="N10" s="44"/>
      <c r="S10">
        <v>80000</v>
      </c>
    </row>
    <row r="11" spans="1:19">
      <c r="A11" s="26">
        <v>8</v>
      </c>
      <c r="B11" s="27">
        <v>46181</v>
      </c>
      <c r="C11" s="17"/>
      <c r="D11" s="17"/>
      <c r="E11" s="86"/>
      <c r="F11" s="86"/>
      <c r="G11" s="17">
        <f t="shared" si="0"/>
        <v>0</v>
      </c>
      <c r="H11" s="86"/>
      <c r="I11" s="86"/>
      <c r="J11" s="17">
        <f t="shared" si="1"/>
        <v>0</v>
      </c>
      <c r="K11" s="17">
        <f t="shared" si="2"/>
        <v>0</v>
      </c>
      <c r="L11" s="17"/>
      <c r="M11" s="17">
        <f t="shared" si="3"/>
        <v>83830.300199999969</v>
      </c>
      <c r="N11" s="44"/>
      <c r="S11">
        <v>18414</v>
      </c>
    </row>
    <row r="12" spans="1:19">
      <c r="A12" s="26">
        <v>9</v>
      </c>
      <c r="B12" s="27">
        <v>46182</v>
      </c>
      <c r="C12" s="17"/>
      <c r="D12" s="17"/>
      <c r="E12" s="86"/>
      <c r="F12" s="86"/>
      <c r="G12" s="17">
        <f t="shared" si="0"/>
        <v>0</v>
      </c>
      <c r="H12" s="86"/>
      <c r="I12" s="86"/>
      <c r="J12" s="17">
        <f t="shared" si="1"/>
        <v>0</v>
      </c>
      <c r="K12" s="17">
        <f t="shared" si="2"/>
        <v>0</v>
      </c>
      <c r="L12" s="17"/>
      <c r="M12" s="17">
        <f t="shared" si="3"/>
        <v>83830.300199999969</v>
      </c>
      <c r="N12" s="44"/>
      <c r="S12">
        <v>18414</v>
      </c>
    </row>
    <row r="13" spans="1:19">
      <c r="A13" s="26">
        <v>10</v>
      </c>
      <c r="B13" s="27">
        <v>46183</v>
      </c>
      <c r="C13" s="17"/>
      <c r="D13" s="17"/>
      <c r="E13" s="86"/>
      <c r="F13" s="86"/>
      <c r="G13" s="17">
        <f t="shared" si="0"/>
        <v>0</v>
      </c>
      <c r="H13" s="86"/>
      <c r="I13" s="86"/>
      <c r="J13" s="17">
        <f t="shared" si="1"/>
        <v>0</v>
      </c>
      <c r="K13" s="17">
        <f t="shared" si="2"/>
        <v>0</v>
      </c>
      <c r="L13" s="17"/>
      <c r="M13" s="17">
        <f t="shared" si="3"/>
        <v>83830.300199999969</v>
      </c>
      <c r="N13" s="44"/>
      <c r="S13">
        <v>18417.68</v>
      </c>
    </row>
    <row r="14" spans="1:19">
      <c r="A14" s="26">
        <v>11</v>
      </c>
      <c r="B14" s="27">
        <v>46184</v>
      </c>
      <c r="C14" s="17"/>
      <c r="D14" s="17"/>
      <c r="E14" s="86"/>
      <c r="F14" s="86"/>
      <c r="G14" s="17">
        <f t="shared" ref="G14" si="4">E14*F14</f>
        <v>0</v>
      </c>
      <c r="H14" s="86">
        <v>35</v>
      </c>
      <c r="I14" s="86">
        <v>111.79</v>
      </c>
      <c r="J14" s="17">
        <f t="shared" si="1"/>
        <v>3912.65</v>
      </c>
      <c r="K14" s="17">
        <f t="shared" si="2"/>
        <v>3912.65</v>
      </c>
      <c r="L14" s="17"/>
      <c r="M14" s="17">
        <f t="shared" si="3"/>
        <v>87742.950199999963</v>
      </c>
      <c r="N14" s="44"/>
      <c r="S14">
        <f>SUM(S10:S13)</f>
        <v>135245.68</v>
      </c>
    </row>
    <row r="15" spans="1:19">
      <c r="A15" s="26">
        <v>12</v>
      </c>
      <c r="B15" s="27">
        <v>46185</v>
      </c>
      <c r="C15" s="17"/>
      <c r="D15" s="17"/>
      <c r="E15" s="86"/>
      <c r="F15" s="86"/>
      <c r="G15" s="17">
        <f t="shared" si="0"/>
        <v>0</v>
      </c>
      <c r="H15" s="86"/>
      <c r="I15" s="86"/>
      <c r="J15" s="17">
        <f t="shared" si="1"/>
        <v>0</v>
      </c>
      <c r="K15" s="17">
        <f t="shared" si="2"/>
        <v>0</v>
      </c>
      <c r="L15" s="17"/>
      <c r="M15" s="17">
        <f t="shared" si="3"/>
        <v>87742.950199999963</v>
      </c>
      <c r="N15" s="44"/>
    </row>
    <row r="16" spans="1:19">
      <c r="A16" s="26">
        <v>13</v>
      </c>
      <c r="B16" s="27">
        <v>46186</v>
      </c>
      <c r="C16" s="17"/>
      <c r="D16" s="17"/>
      <c r="E16" s="86"/>
      <c r="F16" s="86"/>
      <c r="G16" s="17">
        <f t="shared" si="0"/>
        <v>0</v>
      </c>
      <c r="H16" s="86"/>
      <c r="I16" s="86"/>
      <c r="J16" s="17">
        <f t="shared" si="1"/>
        <v>0</v>
      </c>
      <c r="K16" s="17">
        <f t="shared" si="2"/>
        <v>0</v>
      </c>
      <c r="L16" s="17"/>
      <c r="M16" s="17">
        <f t="shared" si="3"/>
        <v>87742.950199999963</v>
      </c>
      <c r="N16" s="44"/>
    </row>
    <row r="17" spans="1:14">
      <c r="A17" s="26">
        <v>14</v>
      </c>
      <c r="B17" s="27">
        <v>46187</v>
      </c>
      <c r="C17" s="17"/>
      <c r="D17" s="17"/>
      <c r="E17" s="86"/>
      <c r="F17" s="86"/>
      <c r="G17" s="17">
        <f t="shared" si="0"/>
        <v>0</v>
      </c>
      <c r="H17" s="86"/>
      <c r="I17" s="86"/>
      <c r="J17" s="17">
        <f t="shared" si="1"/>
        <v>0</v>
      </c>
      <c r="K17" s="17">
        <f t="shared" si="2"/>
        <v>0</v>
      </c>
      <c r="L17" s="17"/>
      <c r="M17" s="17">
        <f t="shared" si="3"/>
        <v>87742.950199999963</v>
      </c>
      <c r="N17" s="44"/>
    </row>
    <row r="18" spans="1:14">
      <c r="A18" s="26">
        <v>15</v>
      </c>
      <c r="B18" s="27">
        <v>46188</v>
      </c>
      <c r="C18" s="17"/>
      <c r="D18" s="17"/>
      <c r="E18" s="86">
        <v>599.99</v>
      </c>
      <c r="F18" s="86">
        <v>99.88</v>
      </c>
      <c r="G18" s="17">
        <f t="shared" si="0"/>
        <v>59927.001199999999</v>
      </c>
      <c r="H18" s="86">
        <v>35</v>
      </c>
      <c r="I18" s="86">
        <v>111.79</v>
      </c>
      <c r="J18" s="17">
        <f t="shared" si="1"/>
        <v>3912.65</v>
      </c>
      <c r="K18" s="17">
        <f t="shared" si="2"/>
        <v>63839.6512</v>
      </c>
      <c r="L18" s="17"/>
      <c r="M18" s="17">
        <f t="shared" si="3"/>
        <v>151582.60139999996</v>
      </c>
      <c r="N18" s="44"/>
    </row>
    <row r="19" spans="1:14">
      <c r="A19" s="26">
        <v>16</v>
      </c>
      <c r="B19" s="27">
        <v>46189</v>
      </c>
      <c r="C19" s="17"/>
      <c r="D19" s="17"/>
      <c r="E19" s="86"/>
      <c r="F19" s="86"/>
      <c r="G19" s="17">
        <f t="shared" si="0"/>
        <v>0</v>
      </c>
      <c r="H19" s="86"/>
      <c r="I19" s="86"/>
      <c r="J19" s="17">
        <f t="shared" si="1"/>
        <v>0</v>
      </c>
      <c r="K19" s="17">
        <f t="shared" si="2"/>
        <v>0</v>
      </c>
      <c r="L19" s="17">
        <v>87000</v>
      </c>
      <c r="M19" s="17">
        <f t="shared" si="3"/>
        <v>64582.601399999956</v>
      </c>
      <c r="N19" s="44"/>
    </row>
    <row r="20" spans="1:14">
      <c r="A20" s="26">
        <v>17</v>
      </c>
      <c r="B20" s="27">
        <v>46190</v>
      </c>
      <c r="C20" s="17"/>
      <c r="D20" s="17"/>
      <c r="E20" s="86"/>
      <c r="F20" s="86"/>
      <c r="G20" s="17">
        <f t="shared" si="0"/>
        <v>0</v>
      </c>
      <c r="H20" s="86"/>
      <c r="I20" s="86"/>
      <c r="J20" s="17">
        <f t="shared" si="1"/>
        <v>0</v>
      </c>
      <c r="K20" s="17">
        <f t="shared" si="2"/>
        <v>0</v>
      </c>
      <c r="L20" s="17"/>
      <c r="M20" s="17">
        <f t="shared" si="3"/>
        <v>64582.601399999956</v>
      </c>
      <c r="N20" s="44"/>
    </row>
    <row r="21" spans="1:14">
      <c r="A21" s="26">
        <v>18</v>
      </c>
      <c r="B21" s="27">
        <v>46191</v>
      </c>
      <c r="C21" s="17"/>
      <c r="D21" s="17"/>
      <c r="E21" s="86">
        <v>600</v>
      </c>
      <c r="F21" s="86">
        <v>99.88</v>
      </c>
      <c r="G21" s="17">
        <f t="shared" si="0"/>
        <v>59928</v>
      </c>
      <c r="H21" s="86">
        <v>35</v>
      </c>
      <c r="I21" s="86">
        <v>111.79</v>
      </c>
      <c r="J21" s="17">
        <f t="shared" si="1"/>
        <v>3912.65</v>
      </c>
      <c r="K21" s="17">
        <f t="shared" si="2"/>
        <v>63840.65</v>
      </c>
      <c r="L21" s="17"/>
      <c r="M21" s="17">
        <f t="shared" si="3"/>
        <v>128423.25139999995</v>
      </c>
      <c r="N21" s="44"/>
    </row>
    <row r="22" spans="1:14">
      <c r="A22" s="26">
        <v>19</v>
      </c>
      <c r="B22" s="27">
        <v>46192</v>
      </c>
      <c r="C22" s="17"/>
      <c r="D22" s="17"/>
      <c r="E22" s="86"/>
      <c r="F22" s="86"/>
      <c r="G22" s="17">
        <f t="shared" si="0"/>
        <v>0</v>
      </c>
      <c r="H22" s="86"/>
      <c r="I22" s="86"/>
      <c r="J22" s="17">
        <f t="shared" si="1"/>
        <v>0</v>
      </c>
      <c r="K22" s="17">
        <f t="shared" si="2"/>
        <v>0</v>
      </c>
      <c r="L22" s="17"/>
      <c r="M22" s="17">
        <f t="shared" si="3"/>
        <v>128423.25139999995</v>
      </c>
      <c r="N22" s="44"/>
    </row>
    <row r="23" spans="1:14">
      <c r="A23" s="26">
        <v>20</v>
      </c>
      <c r="B23" s="27">
        <v>46193</v>
      </c>
      <c r="C23" s="17"/>
      <c r="D23" s="17"/>
      <c r="E23" s="86"/>
      <c r="F23" s="86"/>
      <c r="G23" s="17">
        <f t="shared" si="0"/>
        <v>0</v>
      </c>
      <c r="H23" s="86"/>
      <c r="I23" s="86"/>
      <c r="J23" s="17">
        <f t="shared" si="1"/>
        <v>0</v>
      </c>
      <c r="K23" s="17">
        <f t="shared" si="2"/>
        <v>0</v>
      </c>
      <c r="L23" s="17"/>
      <c r="M23" s="17">
        <f t="shared" si="3"/>
        <v>128423.25139999995</v>
      </c>
      <c r="N23" s="44"/>
    </row>
    <row r="24" spans="1:14">
      <c r="A24" s="26"/>
      <c r="B24" s="27">
        <v>46194</v>
      </c>
      <c r="C24" s="17"/>
      <c r="D24" s="17"/>
      <c r="E24" s="86"/>
      <c r="F24" s="86"/>
      <c r="G24" s="17"/>
      <c r="H24" s="86"/>
      <c r="I24" s="86"/>
      <c r="J24" s="17"/>
      <c r="K24" s="17"/>
      <c r="L24" s="17"/>
      <c r="M24" s="17">
        <f t="shared" si="3"/>
        <v>128423.25139999995</v>
      </c>
      <c r="N24" s="44"/>
    </row>
    <row r="25" spans="1:14">
      <c r="A25" s="26">
        <v>21</v>
      </c>
      <c r="B25" s="27">
        <v>46195</v>
      </c>
      <c r="C25" s="17"/>
      <c r="D25" s="17"/>
      <c r="E25" s="86">
        <v>600</v>
      </c>
      <c r="F25" s="86">
        <v>99.88</v>
      </c>
      <c r="G25" s="17">
        <f t="shared" si="0"/>
        <v>59928</v>
      </c>
      <c r="H25" s="86"/>
      <c r="I25" s="86"/>
      <c r="J25" s="17">
        <f t="shared" si="1"/>
        <v>0</v>
      </c>
      <c r="K25" s="17">
        <f t="shared" si="2"/>
        <v>59928</v>
      </c>
      <c r="L25" s="17"/>
      <c r="M25" s="17">
        <f t="shared" si="3"/>
        <v>188351.25139999995</v>
      </c>
      <c r="N25" s="44"/>
    </row>
    <row r="26" spans="1:14">
      <c r="A26" s="26">
        <v>22</v>
      </c>
      <c r="B26" s="27">
        <v>46196</v>
      </c>
      <c r="C26" s="17"/>
      <c r="D26" s="17"/>
      <c r="E26" s="86"/>
      <c r="F26" s="86"/>
      <c r="G26" s="17">
        <f t="shared" si="0"/>
        <v>0</v>
      </c>
      <c r="H26" s="86"/>
      <c r="I26" s="86"/>
      <c r="J26" s="17">
        <f t="shared" si="1"/>
        <v>0</v>
      </c>
      <c r="K26" s="17">
        <f t="shared" si="2"/>
        <v>0</v>
      </c>
      <c r="L26" s="17"/>
      <c r="M26" s="17">
        <f t="shared" si="3"/>
        <v>188351.25139999995</v>
      </c>
      <c r="N26" s="44"/>
    </row>
    <row r="27" spans="1:14">
      <c r="A27" s="26">
        <v>23</v>
      </c>
      <c r="B27" s="27">
        <v>46197</v>
      </c>
      <c r="C27" s="17"/>
      <c r="D27" s="17"/>
      <c r="E27" s="86">
        <v>400</v>
      </c>
      <c r="F27" s="86">
        <v>99.88</v>
      </c>
      <c r="G27" s="17">
        <f t="shared" si="0"/>
        <v>39952</v>
      </c>
      <c r="H27" s="86">
        <v>35</v>
      </c>
      <c r="I27" s="86">
        <v>111.79</v>
      </c>
      <c r="J27" s="17">
        <f t="shared" si="1"/>
        <v>3912.65</v>
      </c>
      <c r="K27" s="17">
        <f t="shared" si="2"/>
        <v>43864.65</v>
      </c>
      <c r="L27" s="17"/>
      <c r="M27" s="17">
        <f t="shared" si="3"/>
        <v>232215.90139999994</v>
      </c>
      <c r="N27" s="44"/>
    </row>
    <row r="28" spans="1:14">
      <c r="A28" s="26">
        <v>24</v>
      </c>
      <c r="B28" s="27">
        <v>46198</v>
      </c>
      <c r="C28" s="17"/>
      <c r="D28" s="17"/>
      <c r="E28" s="86"/>
      <c r="F28" s="86"/>
      <c r="G28" s="17">
        <f t="shared" si="0"/>
        <v>0</v>
      </c>
      <c r="H28" s="86"/>
      <c r="I28" s="86"/>
      <c r="J28" s="17">
        <f t="shared" si="1"/>
        <v>0</v>
      </c>
      <c r="K28" s="17">
        <f t="shared" si="2"/>
        <v>0</v>
      </c>
      <c r="L28" s="17">
        <v>180000</v>
      </c>
      <c r="M28" s="17">
        <f t="shared" si="3"/>
        <v>52215.901399999944</v>
      </c>
      <c r="N28" s="44"/>
    </row>
    <row r="29" spans="1:14">
      <c r="A29" s="26">
        <v>25</v>
      </c>
      <c r="B29" s="27">
        <v>46199</v>
      </c>
      <c r="C29" s="17"/>
      <c r="D29" s="17"/>
      <c r="E29" s="86"/>
      <c r="F29" s="86"/>
      <c r="G29" s="17">
        <f t="shared" si="0"/>
        <v>0</v>
      </c>
      <c r="H29" s="86"/>
      <c r="I29" s="86"/>
      <c r="J29" s="17">
        <f t="shared" si="1"/>
        <v>0</v>
      </c>
      <c r="K29" s="17">
        <f t="shared" si="2"/>
        <v>0</v>
      </c>
      <c r="L29" s="17"/>
      <c r="M29" s="17">
        <f t="shared" si="3"/>
        <v>52215.901399999944</v>
      </c>
      <c r="N29" s="44"/>
    </row>
    <row r="30" spans="1:14">
      <c r="A30" s="26">
        <v>26</v>
      </c>
      <c r="B30" s="27">
        <v>46200</v>
      </c>
      <c r="C30" s="17"/>
      <c r="D30" s="17"/>
      <c r="E30" s="86"/>
      <c r="F30" s="86"/>
      <c r="G30" s="17">
        <f t="shared" si="0"/>
        <v>0</v>
      </c>
      <c r="H30" s="86"/>
      <c r="I30" s="86"/>
      <c r="J30" s="17">
        <f t="shared" si="1"/>
        <v>0</v>
      </c>
      <c r="K30" s="17">
        <f t="shared" si="2"/>
        <v>0</v>
      </c>
      <c r="L30" s="17"/>
      <c r="M30" s="17">
        <f t="shared" si="3"/>
        <v>52215.901399999944</v>
      </c>
      <c r="N30" s="44"/>
    </row>
    <row r="31" spans="1:14">
      <c r="A31" s="26">
        <v>27</v>
      </c>
      <c r="B31" s="27">
        <v>46201</v>
      </c>
      <c r="C31" s="17"/>
      <c r="D31" s="17"/>
      <c r="E31" s="86"/>
      <c r="F31" s="86"/>
      <c r="G31" s="17">
        <f t="shared" si="0"/>
        <v>0</v>
      </c>
      <c r="H31" s="86"/>
      <c r="I31" s="86"/>
      <c r="J31" s="17">
        <f t="shared" si="1"/>
        <v>0</v>
      </c>
      <c r="K31" s="17">
        <f t="shared" si="2"/>
        <v>0</v>
      </c>
      <c r="L31" s="17"/>
      <c r="M31" s="17">
        <f t="shared" si="3"/>
        <v>52215.901399999944</v>
      </c>
      <c r="N31" s="44"/>
    </row>
    <row r="32" spans="1:14">
      <c r="A32" s="26">
        <v>28</v>
      </c>
      <c r="B32" s="27">
        <v>46202</v>
      </c>
      <c r="C32" s="17"/>
      <c r="D32" s="17"/>
      <c r="E32" s="86">
        <v>600</v>
      </c>
      <c r="F32" s="86">
        <v>99.88</v>
      </c>
      <c r="G32" s="17">
        <f t="shared" si="0"/>
        <v>59928</v>
      </c>
      <c r="H32" s="86">
        <v>35</v>
      </c>
      <c r="I32" s="86">
        <v>111.79</v>
      </c>
      <c r="J32" s="17">
        <f t="shared" si="1"/>
        <v>3912.65</v>
      </c>
      <c r="K32" s="17">
        <f t="shared" si="2"/>
        <v>63840.65</v>
      </c>
      <c r="L32" s="17"/>
      <c r="M32" s="17">
        <f t="shared" si="3"/>
        <v>116056.55139999994</v>
      </c>
      <c r="N32" s="44"/>
    </row>
    <row r="33" spans="1:14">
      <c r="A33" s="26">
        <v>29</v>
      </c>
      <c r="B33" s="27">
        <v>46203</v>
      </c>
      <c r="C33" s="17"/>
      <c r="D33" s="17"/>
      <c r="E33" s="86"/>
      <c r="F33" s="86"/>
      <c r="G33" s="17">
        <f t="shared" si="0"/>
        <v>0</v>
      </c>
      <c r="H33" s="86"/>
      <c r="I33" s="86"/>
      <c r="J33" s="17">
        <f t="shared" si="1"/>
        <v>0</v>
      </c>
      <c r="K33" s="17">
        <f t="shared" si="2"/>
        <v>0</v>
      </c>
      <c r="L33" s="17"/>
      <c r="M33" s="17">
        <f t="shared" si="3"/>
        <v>116056.55139999994</v>
      </c>
      <c r="N33" s="44"/>
    </row>
    <row r="34" spans="1:14">
      <c r="A34" s="26">
        <v>30</v>
      </c>
      <c r="B34" s="27"/>
      <c r="C34" s="17"/>
      <c r="D34" s="17"/>
      <c r="E34" s="86"/>
      <c r="F34" s="86"/>
      <c r="G34" s="17">
        <f t="shared" si="0"/>
        <v>0</v>
      </c>
      <c r="H34" s="86"/>
      <c r="I34" s="86"/>
      <c r="J34" s="17">
        <f t="shared" si="1"/>
        <v>0</v>
      </c>
      <c r="K34" s="17">
        <f t="shared" si="2"/>
        <v>0</v>
      </c>
      <c r="L34" s="17"/>
      <c r="M34" s="17">
        <f t="shared" si="3"/>
        <v>116056.55139999994</v>
      </c>
      <c r="N34" s="44"/>
    </row>
    <row r="35" spans="1:14">
      <c r="A35" s="26">
        <v>31</v>
      </c>
      <c r="B35" s="27"/>
      <c r="C35" s="17"/>
      <c r="D35" s="17"/>
      <c r="E35" s="86"/>
      <c r="F35" s="86"/>
      <c r="G35" s="17">
        <f t="shared" si="0"/>
        <v>0</v>
      </c>
      <c r="H35" s="86"/>
      <c r="I35" s="86"/>
      <c r="J35" s="17">
        <f t="shared" si="1"/>
        <v>0</v>
      </c>
      <c r="K35" s="17">
        <f t="shared" si="2"/>
        <v>0</v>
      </c>
      <c r="L35" s="17"/>
      <c r="M35" s="17">
        <f t="shared" si="3"/>
        <v>116056.55139999994</v>
      </c>
      <c r="N35" s="44"/>
    </row>
    <row r="36" spans="1:14">
      <c r="A36" s="26"/>
      <c r="B36" s="27"/>
      <c r="C36" s="17"/>
      <c r="D36" s="17"/>
      <c r="E36" s="86"/>
      <c r="F36" s="86"/>
      <c r="G36" s="17"/>
      <c r="H36" s="86"/>
      <c r="I36" s="86"/>
      <c r="J36" s="17"/>
      <c r="K36" s="17"/>
      <c r="L36" s="17"/>
      <c r="M36" s="17"/>
      <c r="N36" s="44"/>
    </row>
    <row r="37" spans="1:14">
      <c r="A37" s="26"/>
      <c r="B37" s="27"/>
      <c r="C37" s="17"/>
      <c r="D37" s="17"/>
      <c r="E37" s="86"/>
      <c r="F37" s="86"/>
      <c r="G37" s="17"/>
      <c r="H37" s="86"/>
      <c r="I37" s="86"/>
      <c r="J37" s="17"/>
      <c r="K37" s="17"/>
      <c r="L37" s="17"/>
      <c r="M37" s="17"/>
      <c r="N37" s="44"/>
    </row>
    <row r="38" spans="1:14">
      <c r="A38" s="42"/>
      <c r="B38" s="42"/>
      <c r="C38" s="42"/>
      <c r="D38" s="42"/>
      <c r="E38" s="42">
        <f>SUM(E4:E35)</f>
        <v>4400.71</v>
      </c>
      <c r="F38" s="42"/>
      <c r="G38" s="42">
        <f>SUM(G4:G35)</f>
        <v>439538.91480000003</v>
      </c>
      <c r="H38" s="42">
        <f>SUM(H4:H35)</f>
        <v>245</v>
      </c>
      <c r="I38" s="42"/>
      <c r="J38" s="42">
        <f>SUM(J4:J35)</f>
        <v>27388.550000000003</v>
      </c>
      <c r="K38" s="42">
        <f>SUM(K4:K35)</f>
        <v>466927.46480000002</v>
      </c>
      <c r="L38" s="42">
        <f>SUM(L4:L35)</f>
        <v>422486</v>
      </c>
      <c r="M38" s="42"/>
      <c r="N38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T36"/>
  <sheetViews>
    <sheetView topLeftCell="A15" workbookViewId="0">
      <selection activeCell="Q37" sqref="Q37"/>
    </sheetView>
  </sheetViews>
  <sheetFormatPr defaultRowHeight="15"/>
  <cols>
    <col min="2" max="2" width="10.5703125" bestFit="1" customWidth="1"/>
    <col min="3" max="3" width="15.42578125" customWidth="1"/>
    <col min="4" max="4" width="19.140625" customWidth="1"/>
  </cols>
  <sheetData>
    <row r="1" spans="1:14" ht="15.75">
      <c r="A1" s="568" t="s">
        <v>325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</row>
    <row r="2" spans="1:14" ht="27">
      <c r="A2" s="103" t="s">
        <v>0</v>
      </c>
      <c r="B2" s="106" t="s">
        <v>167</v>
      </c>
      <c r="C2" s="106" t="s">
        <v>168</v>
      </c>
      <c r="D2" s="106" t="s">
        <v>169</v>
      </c>
      <c r="E2" s="106" t="s">
        <v>170</v>
      </c>
      <c r="F2" s="106" t="s">
        <v>171</v>
      </c>
      <c r="G2" s="106" t="s">
        <v>172</v>
      </c>
      <c r="H2" s="106" t="s">
        <v>173</v>
      </c>
      <c r="I2" s="106" t="s">
        <v>171</v>
      </c>
      <c r="J2" s="106" t="s">
        <v>172</v>
      </c>
      <c r="K2" s="106" t="s">
        <v>174</v>
      </c>
      <c r="L2" s="106" t="s">
        <v>175</v>
      </c>
      <c r="M2" s="106" t="s">
        <v>192</v>
      </c>
      <c r="N2" s="106" t="s">
        <v>177</v>
      </c>
    </row>
    <row r="3" spans="1:14">
      <c r="A3" s="571" t="s">
        <v>178</v>
      </c>
      <c r="B3" s="571"/>
      <c r="C3" s="571"/>
      <c r="D3" s="571"/>
      <c r="E3" s="571"/>
      <c r="F3" s="571"/>
      <c r="G3" s="571"/>
      <c r="H3" s="571"/>
      <c r="I3" s="571"/>
      <c r="J3" s="571"/>
      <c r="K3" s="95">
        <v>0</v>
      </c>
      <c r="L3" s="95">
        <v>0</v>
      </c>
      <c r="M3" s="95">
        <v>0</v>
      </c>
      <c r="N3" s="17"/>
    </row>
    <row r="4" spans="1:14">
      <c r="A4" s="26">
        <v>1</v>
      </c>
      <c r="B4" s="27">
        <v>46174</v>
      </c>
      <c r="C4" s="17"/>
      <c r="D4" s="17"/>
      <c r="E4" s="86">
        <v>38.07</v>
      </c>
      <c r="F4" s="86">
        <v>99.88</v>
      </c>
      <c r="G4" s="17">
        <f>E4*F4</f>
        <v>3802.4315999999999</v>
      </c>
      <c r="H4" s="86">
        <v>5</v>
      </c>
      <c r="I4" s="86">
        <v>111.79</v>
      </c>
      <c r="J4" s="17">
        <f>H4*I4</f>
        <v>558.95000000000005</v>
      </c>
      <c r="K4" s="17">
        <f>G4+J4</f>
        <v>4361.3815999999997</v>
      </c>
      <c r="L4" s="17">
        <f>K4</f>
        <v>4361.3815999999997</v>
      </c>
      <c r="M4" s="17">
        <f>M3+K4-L4</f>
        <v>0</v>
      </c>
      <c r="N4" s="44"/>
    </row>
    <row r="5" spans="1:14">
      <c r="A5" s="26">
        <v>2</v>
      </c>
      <c r="B5" s="27">
        <v>46175</v>
      </c>
      <c r="C5" s="17"/>
      <c r="D5" s="17"/>
      <c r="E5" s="86"/>
      <c r="F5" s="86"/>
      <c r="G5" s="17">
        <f t="shared" ref="G5:G34" si="0">E5*F5</f>
        <v>0</v>
      </c>
      <c r="H5" s="86"/>
      <c r="I5" s="86"/>
      <c r="J5" s="17">
        <f t="shared" ref="J5:J34" si="1">H5*I5</f>
        <v>0</v>
      </c>
      <c r="K5" s="17">
        <f>G5+J5</f>
        <v>0</v>
      </c>
      <c r="L5" s="17">
        <f t="shared" ref="L5:L35" si="2">K5</f>
        <v>0</v>
      </c>
      <c r="M5" s="17">
        <f t="shared" ref="M5:M28" si="3">M4+K5-L5</f>
        <v>0</v>
      </c>
      <c r="N5" s="44"/>
    </row>
    <row r="6" spans="1:14">
      <c r="A6" s="26">
        <v>3</v>
      </c>
      <c r="B6" s="27">
        <v>46176</v>
      </c>
      <c r="C6" s="17"/>
      <c r="D6" s="17"/>
      <c r="E6" s="86">
        <v>25</v>
      </c>
      <c r="F6" s="86">
        <v>99.88</v>
      </c>
      <c r="G6" s="17">
        <f t="shared" si="0"/>
        <v>2497</v>
      </c>
      <c r="H6" s="86">
        <v>15</v>
      </c>
      <c r="I6" s="86">
        <v>111.79</v>
      </c>
      <c r="J6" s="17">
        <f t="shared" si="1"/>
        <v>1676.8500000000001</v>
      </c>
      <c r="K6" s="17">
        <f t="shared" ref="K6:K35" si="4">G6+J6</f>
        <v>4173.8500000000004</v>
      </c>
      <c r="L6" s="17">
        <f t="shared" si="2"/>
        <v>4173.8500000000004</v>
      </c>
      <c r="M6" s="17">
        <f t="shared" si="3"/>
        <v>0</v>
      </c>
      <c r="N6" s="44"/>
    </row>
    <row r="7" spans="1:14">
      <c r="A7" s="26">
        <v>4</v>
      </c>
      <c r="B7" s="27">
        <v>46177</v>
      </c>
      <c r="C7" s="17"/>
      <c r="D7" s="17"/>
      <c r="E7" s="86"/>
      <c r="F7" s="86"/>
      <c r="G7" s="17">
        <f t="shared" si="0"/>
        <v>0</v>
      </c>
      <c r="H7" s="86"/>
      <c r="I7" s="86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4"/>
    </row>
    <row r="8" spans="1:14">
      <c r="A8" s="26">
        <v>5</v>
      </c>
      <c r="B8" s="27">
        <v>46178</v>
      </c>
      <c r="C8" s="17"/>
      <c r="D8" s="17"/>
      <c r="E8" s="86">
        <v>75</v>
      </c>
      <c r="F8" s="86">
        <v>99.88</v>
      </c>
      <c r="G8" s="17">
        <f t="shared" si="0"/>
        <v>7491</v>
      </c>
      <c r="H8" s="86"/>
      <c r="I8" s="86"/>
      <c r="J8" s="17">
        <f t="shared" si="1"/>
        <v>0</v>
      </c>
      <c r="K8" s="17">
        <f t="shared" si="4"/>
        <v>7491</v>
      </c>
      <c r="L8" s="17">
        <f t="shared" si="2"/>
        <v>7491</v>
      </c>
      <c r="M8" s="17">
        <f t="shared" si="3"/>
        <v>0</v>
      </c>
      <c r="N8" s="44"/>
    </row>
    <row r="9" spans="1:14">
      <c r="A9" s="26">
        <v>6</v>
      </c>
      <c r="B9" s="27">
        <v>46179</v>
      </c>
      <c r="C9" s="17"/>
      <c r="D9" s="17"/>
      <c r="E9" s="86">
        <v>40</v>
      </c>
      <c r="F9" s="86">
        <v>99.88</v>
      </c>
      <c r="G9" s="17">
        <f t="shared" si="0"/>
        <v>3995.2</v>
      </c>
      <c r="H9" s="86"/>
      <c r="I9" s="86"/>
      <c r="J9" s="17">
        <f t="shared" si="1"/>
        <v>0</v>
      </c>
      <c r="K9" s="17">
        <f t="shared" si="4"/>
        <v>3995.2</v>
      </c>
      <c r="L9" s="17">
        <f t="shared" si="2"/>
        <v>3995.2</v>
      </c>
      <c r="M9" s="17">
        <f t="shared" si="3"/>
        <v>0</v>
      </c>
      <c r="N9" s="44"/>
    </row>
    <row r="10" spans="1:14">
      <c r="A10" s="26">
        <v>7</v>
      </c>
      <c r="B10" s="27">
        <v>46180</v>
      </c>
      <c r="C10" s="17"/>
      <c r="D10" s="17"/>
      <c r="E10" s="86"/>
      <c r="F10" s="86"/>
      <c r="G10" s="17">
        <f t="shared" si="0"/>
        <v>0</v>
      </c>
      <c r="H10" s="86"/>
      <c r="I10" s="86"/>
      <c r="J10" s="17">
        <f t="shared" si="1"/>
        <v>0</v>
      </c>
      <c r="K10" s="17">
        <f t="shared" si="4"/>
        <v>0</v>
      </c>
      <c r="L10" s="17">
        <f t="shared" si="2"/>
        <v>0</v>
      </c>
      <c r="M10" s="17">
        <f t="shared" si="3"/>
        <v>0</v>
      </c>
      <c r="N10" s="44"/>
    </row>
    <row r="11" spans="1:14">
      <c r="A11" s="26">
        <v>8</v>
      </c>
      <c r="B11" s="27">
        <v>46181</v>
      </c>
      <c r="C11" s="17"/>
      <c r="D11" s="17"/>
      <c r="E11" s="86">
        <v>61.41</v>
      </c>
      <c r="F11" s="86">
        <v>99.88</v>
      </c>
      <c r="G11" s="17">
        <f t="shared" si="0"/>
        <v>6133.630799999999</v>
      </c>
      <c r="H11" s="86"/>
      <c r="I11" s="86"/>
      <c r="J11" s="17">
        <f t="shared" si="1"/>
        <v>0</v>
      </c>
      <c r="K11" s="17">
        <f t="shared" si="4"/>
        <v>6133.630799999999</v>
      </c>
      <c r="L11" s="17">
        <f t="shared" si="2"/>
        <v>6133.630799999999</v>
      </c>
      <c r="M11" s="17">
        <f t="shared" si="3"/>
        <v>0</v>
      </c>
      <c r="N11" s="44"/>
    </row>
    <row r="12" spans="1:14">
      <c r="A12" s="26">
        <v>9</v>
      </c>
      <c r="B12" s="27">
        <v>46182</v>
      </c>
      <c r="C12" s="17"/>
      <c r="D12" s="17"/>
      <c r="E12" s="86"/>
      <c r="F12" s="86"/>
      <c r="G12" s="17">
        <f t="shared" si="0"/>
        <v>0</v>
      </c>
      <c r="H12" s="86"/>
      <c r="I12" s="86"/>
      <c r="J12" s="17">
        <f t="shared" si="1"/>
        <v>0</v>
      </c>
      <c r="K12" s="17">
        <f t="shared" si="4"/>
        <v>0</v>
      </c>
      <c r="L12" s="17">
        <f t="shared" si="2"/>
        <v>0</v>
      </c>
      <c r="M12" s="17">
        <f t="shared" si="3"/>
        <v>0</v>
      </c>
      <c r="N12" s="44"/>
    </row>
    <row r="13" spans="1:14">
      <c r="A13" s="26">
        <v>10</v>
      </c>
      <c r="B13" s="27">
        <v>46183</v>
      </c>
      <c r="C13" s="17"/>
      <c r="D13" s="17"/>
      <c r="E13" s="86">
        <v>70</v>
      </c>
      <c r="F13" s="86">
        <v>99.88</v>
      </c>
      <c r="G13" s="17">
        <f t="shared" si="0"/>
        <v>6991.5999999999995</v>
      </c>
      <c r="H13" s="86"/>
      <c r="I13" s="86"/>
      <c r="J13" s="17">
        <f t="shared" si="1"/>
        <v>0</v>
      </c>
      <c r="K13" s="17">
        <f t="shared" si="4"/>
        <v>6991.5999999999995</v>
      </c>
      <c r="L13" s="17">
        <f t="shared" si="2"/>
        <v>6991.5999999999995</v>
      </c>
      <c r="M13" s="17">
        <f t="shared" si="3"/>
        <v>0</v>
      </c>
      <c r="N13" s="44"/>
    </row>
    <row r="14" spans="1:14">
      <c r="A14" s="26">
        <v>11</v>
      </c>
      <c r="B14" s="27">
        <v>46184</v>
      </c>
      <c r="C14" s="17"/>
      <c r="D14" s="17"/>
      <c r="E14" s="86">
        <v>160</v>
      </c>
      <c r="F14" s="86">
        <v>99.88</v>
      </c>
      <c r="G14" s="17">
        <f t="shared" si="0"/>
        <v>15980.8</v>
      </c>
      <c r="H14" s="86"/>
      <c r="I14" s="86"/>
      <c r="J14" s="17">
        <f t="shared" si="1"/>
        <v>0</v>
      </c>
      <c r="K14" s="17">
        <f t="shared" si="4"/>
        <v>15980.8</v>
      </c>
      <c r="L14" s="17">
        <f t="shared" si="2"/>
        <v>15980.8</v>
      </c>
      <c r="M14" s="17">
        <f t="shared" si="3"/>
        <v>0</v>
      </c>
      <c r="N14" s="44"/>
    </row>
    <row r="15" spans="1:14">
      <c r="A15" s="26">
        <v>12</v>
      </c>
      <c r="B15" s="27">
        <v>46185</v>
      </c>
      <c r="C15" s="17"/>
      <c r="D15" s="17"/>
      <c r="E15" s="86"/>
      <c r="F15" s="86"/>
      <c r="G15" s="17">
        <f t="shared" si="0"/>
        <v>0</v>
      </c>
      <c r="H15" s="86"/>
      <c r="I15" s="86"/>
      <c r="J15" s="17">
        <f t="shared" si="1"/>
        <v>0</v>
      </c>
      <c r="K15" s="17">
        <f t="shared" si="4"/>
        <v>0</v>
      </c>
      <c r="L15" s="17">
        <f t="shared" si="2"/>
        <v>0</v>
      </c>
      <c r="M15" s="17">
        <f t="shared" si="3"/>
        <v>0</v>
      </c>
      <c r="N15" s="44"/>
    </row>
    <row r="16" spans="1:14">
      <c r="A16" s="26">
        <v>13</v>
      </c>
      <c r="B16" s="27">
        <v>46186</v>
      </c>
      <c r="C16" s="17"/>
      <c r="D16" s="17"/>
      <c r="E16" s="86"/>
      <c r="F16" s="86"/>
      <c r="G16" s="17">
        <f t="shared" si="0"/>
        <v>0</v>
      </c>
      <c r="H16" s="86"/>
      <c r="I16" s="86"/>
      <c r="J16" s="17">
        <f t="shared" si="1"/>
        <v>0</v>
      </c>
      <c r="K16" s="17">
        <f t="shared" si="4"/>
        <v>0</v>
      </c>
      <c r="L16" s="17">
        <f t="shared" si="2"/>
        <v>0</v>
      </c>
      <c r="M16" s="17">
        <f t="shared" si="3"/>
        <v>0</v>
      </c>
      <c r="N16" s="44"/>
    </row>
    <row r="17" spans="1:20">
      <c r="A17" s="26">
        <v>14</v>
      </c>
      <c r="B17" s="27">
        <v>46187</v>
      </c>
      <c r="C17" s="17"/>
      <c r="D17" s="17"/>
      <c r="E17" s="86">
        <v>200</v>
      </c>
      <c r="F17" s="86">
        <v>99.88</v>
      </c>
      <c r="G17" s="17">
        <f t="shared" si="0"/>
        <v>19976</v>
      </c>
      <c r="H17" s="86">
        <v>6</v>
      </c>
      <c r="I17" s="86">
        <v>111.78</v>
      </c>
      <c r="J17" s="17">
        <f t="shared" si="1"/>
        <v>670.68000000000006</v>
      </c>
      <c r="K17" s="17">
        <f t="shared" si="4"/>
        <v>20646.68</v>
      </c>
      <c r="L17" s="17">
        <f t="shared" si="2"/>
        <v>20646.68</v>
      </c>
      <c r="M17" s="17">
        <f t="shared" si="3"/>
        <v>0</v>
      </c>
      <c r="N17" s="44"/>
    </row>
    <row r="18" spans="1:20">
      <c r="A18" s="26">
        <v>15</v>
      </c>
      <c r="B18" s="27">
        <v>46188</v>
      </c>
      <c r="C18" s="17"/>
      <c r="D18" s="17"/>
      <c r="E18" s="86"/>
      <c r="F18" s="86"/>
      <c r="G18" s="17">
        <f t="shared" si="0"/>
        <v>0</v>
      </c>
      <c r="H18" s="86"/>
      <c r="I18" s="86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4"/>
    </row>
    <row r="19" spans="1:20">
      <c r="A19" s="26">
        <v>16</v>
      </c>
      <c r="B19" s="27">
        <v>46189</v>
      </c>
      <c r="C19" s="17"/>
      <c r="D19" s="17"/>
      <c r="E19" s="86"/>
      <c r="F19" s="86"/>
      <c r="G19" s="17">
        <f t="shared" si="0"/>
        <v>0</v>
      </c>
      <c r="H19" s="86"/>
      <c r="I19" s="86"/>
      <c r="J19" s="17">
        <f t="shared" si="1"/>
        <v>0</v>
      </c>
      <c r="K19" s="17">
        <f t="shared" si="4"/>
        <v>0</v>
      </c>
      <c r="L19" s="17">
        <f t="shared" si="2"/>
        <v>0</v>
      </c>
      <c r="M19" s="17">
        <f t="shared" si="3"/>
        <v>0</v>
      </c>
      <c r="N19" s="44"/>
    </row>
    <row r="20" spans="1:20">
      <c r="A20" s="26">
        <v>17</v>
      </c>
      <c r="B20" s="27">
        <v>46190</v>
      </c>
      <c r="C20" s="17"/>
      <c r="D20" s="17"/>
      <c r="E20" s="86">
        <v>40.22</v>
      </c>
      <c r="F20" s="86">
        <v>99.88</v>
      </c>
      <c r="G20" s="17">
        <f t="shared" si="0"/>
        <v>4017.1735999999996</v>
      </c>
      <c r="H20" s="86">
        <v>12</v>
      </c>
      <c r="I20" s="86">
        <v>111.79</v>
      </c>
      <c r="J20" s="17">
        <f t="shared" si="1"/>
        <v>1341.48</v>
      </c>
      <c r="K20" s="17">
        <f t="shared" si="4"/>
        <v>5358.6535999999996</v>
      </c>
      <c r="L20" s="17">
        <f t="shared" si="2"/>
        <v>5358.6535999999996</v>
      </c>
      <c r="M20" s="17">
        <f t="shared" si="3"/>
        <v>0</v>
      </c>
      <c r="N20" s="44"/>
      <c r="T20">
        <v>54.83</v>
      </c>
    </row>
    <row r="21" spans="1:20">
      <c r="A21" s="26">
        <v>18</v>
      </c>
      <c r="B21" s="27">
        <v>46191</v>
      </c>
      <c r="C21" s="17"/>
      <c r="D21" s="17"/>
      <c r="E21" s="86">
        <v>74.95</v>
      </c>
      <c r="F21" s="86">
        <v>99.88</v>
      </c>
      <c r="G21" s="17">
        <f t="shared" si="0"/>
        <v>7486.0060000000003</v>
      </c>
      <c r="H21" s="86"/>
      <c r="I21" s="86"/>
      <c r="J21" s="17">
        <f t="shared" si="1"/>
        <v>0</v>
      </c>
      <c r="K21" s="17">
        <f t="shared" si="4"/>
        <v>7486.0060000000003</v>
      </c>
      <c r="L21" s="17">
        <f t="shared" si="2"/>
        <v>7486.0060000000003</v>
      </c>
      <c r="M21" s="17">
        <f t="shared" si="3"/>
        <v>0</v>
      </c>
      <c r="N21" s="44"/>
      <c r="T21">
        <v>0.55000000000000004</v>
      </c>
    </row>
    <row r="22" spans="1:20">
      <c r="A22" s="26">
        <v>19</v>
      </c>
      <c r="B22" s="27">
        <v>46192</v>
      </c>
      <c r="C22" s="17"/>
      <c r="D22" s="17"/>
      <c r="E22" s="86"/>
      <c r="F22" s="86"/>
      <c r="G22" s="17">
        <f t="shared" si="0"/>
        <v>0</v>
      </c>
      <c r="H22" s="86">
        <v>12</v>
      </c>
      <c r="I22" s="86">
        <v>111.79</v>
      </c>
      <c r="J22" s="17">
        <f t="shared" si="1"/>
        <v>1341.48</v>
      </c>
      <c r="K22" s="17">
        <f t="shared" si="4"/>
        <v>1341.48</v>
      </c>
      <c r="L22" s="17">
        <f t="shared" si="2"/>
        <v>1341.48</v>
      </c>
      <c r="M22" s="17">
        <f t="shared" si="3"/>
        <v>0</v>
      </c>
      <c r="N22" s="44"/>
    </row>
    <row r="23" spans="1:20">
      <c r="A23" s="26"/>
      <c r="B23" s="27">
        <v>46193</v>
      </c>
      <c r="C23" s="17"/>
      <c r="D23" s="17"/>
      <c r="E23" s="86"/>
      <c r="F23" s="86"/>
      <c r="G23" s="17">
        <f t="shared" si="0"/>
        <v>0</v>
      </c>
      <c r="H23" s="86"/>
      <c r="I23" s="86"/>
      <c r="J23" s="17"/>
      <c r="K23" s="17">
        <f t="shared" si="4"/>
        <v>0</v>
      </c>
      <c r="L23" s="17">
        <f t="shared" si="2"/>
        <v>0</v>
      </c>
      <c r="M23" s="17"/>
      <c r="N23" s="44"/>
    </row>
    <row r="24" spans="1:20">
      <c r="A24" s="26">
        <v>20</v>
      </c>
      <c r="B24" s="27">
        <v>46194</v>
      </c>
      <c r="C24" s="17"/>
      <c r="D24" s="17"/>
      <c r="E24" s="86">
        <v>66.959999999999994</v>
      </c>
      <c r="F24" s="86">
        <v>99.88</v>
      </c>
      <c r="G24" s="17">
        <f t="shared" si="0"/>
        <v>6687.9647999999988</v>
      </c>
      <c r="H24" s="86">
        <v>6</v>
      </c>
      <c r="I24" s="86">
        <v>111.79</v>
      </c>
      <c r="J24" s="17">
        <f t="shared" si="1"/>
        <v>670.74</v>
      </c>
      <c r="K24" s="17">
        <f t="shared" si="4"/>
        <v>7358.7047999999986</v>
      </c>
      <c r="L24" s="17">
        <f t="shared" si="2"/>
        <v>7358.7047999999986</v>
      </c>
      <c r="M24" s="17">
        <f>M22+K24-L24</f>
        <v>0</v>
      </c>
      <c r="N24" s="44"/>
    </row>
    <row r="25" spans="1:20">
      <c r="A25" s="26">
        <v>21</v>
      </c>
      <c r="B25" s="27">
        <v>46195</v>
      </c>
      <c r="C25" s="17"/>
      <c r="D25" s="17"/>
      <c r="E25" s="86"/>
      <c r="F25" s="86"/>
      <c r="G25" s="17">
        <f t="shared" si="0"/>
        <v>0</v>
      </c>
      <c r="H25" s="86"/>
      <c r="I25" s="86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4"/>
    </row>
    <row r="26" spans="1:20">
      <c r="A26" s="26">
        <v>22</v>
      </c>
      <c r="B26" s="27">
        <v>46196</v>
      </c>
      <c r="C26" s="17"/>
      <c r="D26" s="17"/>
      <c r="E26" s="86"/>
      <c r="F26" s="86"/>
      <c r="G26" s="17">
        <f t="shared" si="0"/>
        <v>0</v>
      </c>
      <c r="H26" s="86"/>
      <c r="I26" s="86"/>
      <c r="J26" s="17">
        <f t="shared" si="1"/>
        <v>0</v>
      </c>
      <c r="K26" s="17">
        <f t="shared" si="4"/>
        <v>0</v>
      </c>
      <c r="L26" s="17">
        <f t="shared" si="2"/>
        <v>0</v>
      </c>
      <c r="M26" s="17">
        <f t="shared" si="3"/>
        <v>0</v>
      </c>
      <c r="N26" s="44"/>
    </row>
    <row r="27" spans="1:20">
      <c r="A27" s="26">
        <v>23</v>
      </c>
      <c r="B27" s="27">
        <v>46197</v>
      </c>
      <c r="C27" s="17"/>
      <c r="D27" s="17"/>
      <c r="E27" s="86">
        <v>44.67</v>
      </c>
      <c r="F27" s="86">
        <v>99.88</v>
      </c>
      <c r="G27" s="17">
        <f t="shared" si="0"/>
        <v>4461.6395999999995</v>
      </c>
      <c r="H27" s="86">
        <v>6</v>
      </c>
      <c r="I27" s="86">
        <v>111.79</v>
      </c>
      <c r="J27" s="17">
        <f t="shared" si="1"/>
        <v>670.74</v>
      </c>
      <c r="K27" s="17">
        <f t="shared" si="4"/>
        <v>5132.3795999999993</v>
      </c>
      <c r="L27" s="17">
        <f t="shared" si="2"/>
        <v>5132.3795999999993</v>
      </c>
      <c r="M27" s="17">
        <f t="shared" si="3"/>
        <v>0</v>
      </c>
      <c r="N27" s="44"/>
    </row>
    <row r="28" spans="1:20">
      <c r="A28" s="26">
        <v>24</v>
      </c>
      <c r="B28" s="27">
        <v>46198</v>
      </c>
      <c r="C28" s="17"/>
      <c r="D28" s="17"/>
      <c r="E28" s="86"/>
      <c r="F28" s="86"/>
      <c r="G28" s="17">
        <f t="shared" si="0"/>
        <v>0</v>
      </c>
      <c r="H28" s="86"/>
      <c r="I28" s="86"/>
      <c r="J28" s="17">
        <f t="shared" si="1"/>
        <v>0</v>
      </c>
      <c r="K28" s="17">
        <f t="shared" si="4"/>
        <v>0</v>
      </c>
      <c r="L28" s="17">
        <f t="shared" si="2"/>
        <v>0</v>
      </c>
      <c r="M28" s="17">
        <f t="shared" si="3"/>
        <v>0</v>
      </c>
      <c r="N28" s="44"/>
    </row>
    <row r="29" spans="1:20">
      <c r="A29" s="26">
        <v>25</v>
      </c>
      <c r="B29" s="27">
        <v>46199</v>
      </c>
      <c r="C29" s="17"/>
      <c r="D29" s="17"/>
      <c r="E29" s="86"/>
      <c r="F29" s="86"/>
      <c r="G29" s="17">
        <f t="shared" si="0"/>
        <v>0</v>
      </c>
      <c r="H29" s="86"/>
      <c r="I29" s="86"/>
      <c r="J29" s="17">
        <f t="shared" si="1"/>
        <v>0</v>
      </c>
      <c r="K29" s="17">
        <f>G29+J29</f>
        <v>0</v>
      </c>
      <c r="L29" s="17">
        <f t="shared" si="2"/>
        <v>0</v>
      </c>
      <c r="M29" s="17">
        <v>0</v>
      </c>
      <c r="N29" s="44"/>
    </row>
    <row r="30" spans="1:20">
      <c r="A30" s="26">
        <v>26</v>
      </c>
      <c r="B30" s="27">
        <v>46200</v>
      </c>
      <c r="C30" s="17"/>
      <c r="D30" s="17"/>
      <c r="E30" s="86">
        <v>46.29</v>
      </c>
      <c r="F30" s="86">
        <v>99.88</v>
      </c>
      <c r="G30" s="17">
        <f t="shared" si="0"/>
        <v>4623.4452000000001</v>
      </c>
      <c r="H30" s="86">
        <v>13.01</v>
      </c>
      <c r="I30" s="86">
        <v>111.79</v>
      </c>
      <c r="J30" s="17">
        <f t="shared" si="1"/>
        <v>1454.3878999999999</v>
      </c>
      <c r="K30" s="17">
        <f t="shared" si="4"/>
        <v>6077.8330999999998</v>
      </c>
      <c r="L30" s="17">
        <f t="shared" si="2"/>
        <v>6077.8330999999998</v>
      </c>
      <c r="M30" s="17">
        <v>0</v>
      </c>
      <c r="N30" s="44"/>
    </row>
    <row r="31" spans="1:20">
      <c r="A31" s="26">
        <v>27</v>
      </c>
      <c r="B31" s="27">
        <v>46201</v>
      </c>
      <c r="C31" s="17"/>
      <c r="D31" s="17"/>
      <c r="E31" s="86"/>
      <c r="F31" s="86"/>
      <c r="G31" s="17">
        <f t="shared" si="0"/>
        <v>0</v>
      </c>
      <c r="H31" s="86"/>
      <c r="I31" s="86"/>
      <c r="J31" s="17">
        <f t="shared" si="1"/>
        <v>0</v>
      </c>
      <c r="K31" s="17">
        <f t="shared" si="4"/>
        <v>0</v>
      </c>
      <c r="L31" s="17">
        <f t="shared" si="2"/>
        <v>0</v>
      </c>
      <c r="M31" s="17">
        <v>0</v>
      </c>
      <c r="N31" s="44"/>
    </row>
    <row r="32" spans="1:20">
      <c r="A32" s="26">
        <v>28</v>
      </c>
      <c r="B32" s="27">
        <v>46202</v>
      </c>
      <c r="C32" s="17"/>
      <c r="D32" s="17"/>
      <c r="E32" s="86"/>
      <c r="F32" s="86"/>
      <c r="G32" s="17">
        <f t="shared" si="0"/>
        <v>0</v>
      </c>
      <c r="H32" s="86">
        <v>6</v>
      </c>
      <c r="I32" s="86">
        <v>111.79</v>
      </c>
      <c r="J32" s="17">
        <f t="shared" si="1"/>
        <v>670.74</v>
      </c>
      <c r="K32" s="17">
        <f t="shared" si="4"/>
        <v>670.74</v>
      </c>
      <c r="L32" s="17">
        <f t="shared" si="2"/>
        <v>670.74</v>
      </c>
      <c r="M32" s="17">
        <v>0</v>
      </c>
      <c r="N32" s="44"/>
    </row>
    <row r="33" spans="1:14">
      <c r="A33" s="26">
        <v>29</v>
      </c>
      <c r="B33" s="27">
        <v>46203</v>
      </c>
      <c r="C33" s="17"/>
      <c r="D33" s="17"/>
      <c r="E33" s="86"/>
      <c r="F33" s="86"/>
      <c r="G33" s="17">
        <f t="shared" si="0"/>
        <v>0</v>
      </c>
      <c r="H33" s="86"/>
      <c r="I33" s="86"/>
      <c r="J33" s="17">
        <f t="shared" si="1"/>
        <v>0</v>
      </c>
      <c r="K33" s="17">
        <f t="shared" si="4"/>
        <v>0</v>
      </c>
      <c r="L33" s="17">
        <f t="shared" si="2"/>
        <v>0</v>
      </c>
      <c r="M33" s="17"/>
      <c r="N33" s="44"/>
    </row>
    <row r="34" spans="1:14">
      <c r="A34" s="26">
        <v>30</v>
      </c>
      <c r="B34" s="27"/>
      <c r="C34" s="17"/>
      <c r="D34" s="17"/>
      <c r="E34" s="86"/>
      <c r="F34" s="86"/>
      <c r="G34" s="17">
        <f t="shared" si="0"/>
        <v>0</v>
      </c>
      <c r="H34" s="86"/>
      <c r="I34" s="86"/>
      <c r="J34" s="17">
        <f t="shared" si="1"/>
        <v>0</v>
      </c>
      <c r="K34" s="17">
        <f t="shared" si="4"/>
        <v>0</v>
      </c>
      <c r="L34" s="17">
        <f t="shared" si="2"/>
        <v>0</v>
      </c>
      <c r="M34" s="17"/>
      <c r="N34" s="44"/>
    </row>
    <row r="35" spans="1:14">
      <c r="A35" s="26">
        <v>31</v>
      </c>
      <c r="B35" s="27"/>
      <c r="C35" s="17"/>
      <c r="D35" s="17"/>
      <c r="E35" s="86"/>
      <c r="F35" s="86"/>
      <c r="G35" s="17">
        <f t="shared" ref="G5:G35" si="5">E35*F35</f>
        <v>0</v>
      </c>
      <c r="H35" s="86"/>
      <c r="I35" s="86"/>
      <c r="J35" s="17">
        <f t="shared" ref="J5:J35" si="6">H35*I35</f>
        <v>0</v>
      </c>
      <c r="K35" s="17">
        <f t="shared" si="4"/>
        <v>0</v>
      </c>
      <c r="L35" s="17">
        <f t="shared" si="2"/>
        <v>0</v>
      </c>
      <c r="M35" s="17"/>
      <c r="N35" s="44"/>
    </row>
    <row r="36" spans="1:14">
      <c r="A36" s="42"/>
      <c r="B36" s="42"/>
      <c r="C36" s="42"/>
      <c r="D36" s="42"/>
      <c r="E36" s="42">
        <f>SUM(E4:E35)</f>
        <v>942.57</v>
      </c>
      <c r="F36" s="42"/>
      <c r="G36" s="42">
        <f>SUM(G4:G35)</f>
        <v>94143.891599999988</v>
      </c>
      <c r="H36" s="42">
        <f>SUM(H4:H35)</f>
        <v>81.010000000000005</v>
      </c>
      <c r="I36" s="42"/>
      <c r="J36" s="42">
        <f>SUM(J4:J35)</f>
        <v>9056.0478999999996</v>
      </c>
      <c r="K36" s="42">
        <f>SUM(K4:K35)</f>
        <v>103199.93950000001</v>
      </c>
      <c r="L36" s="42">
        <f>SUM(L4:L35)</f>
        <v>103199.93950000001</v>
      </c>
      <c r="M36" s="42"/>
      <c r="N36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topLeftCell="A15" workbookViewId="0">
      <selection activeCell="L30" sqref="L30"/>
    </sheetView>
  </sheetViews>
  <sheetFormatPr defaultRowHeight="15"/>
  <cols>
    <col min="2" max="2" width="10.140625" bestFit="1" customWidth="1"/>
  </cols>
  <sheetData>
    <row r="1" spans="1:14" ht="15.75">
      <c r="A1" s="568" t="s">
        <v>107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</row>
    <row r="2" spans="1:14" ht="27">
      <c r="A2" s="103" t="s">
        <v>0</v>
      </c>
      <c r="B2" s="106" t="s">
        <v>167</v>
      </c>
      <c r="C2" s="106" t="s">
        <v>168</v>
      </c>
      <c r="D2" s="106" t="s">
        <v>169</v>
      </c>
      <c r="E2" s="106" t="s">
        <v>170</v>
      </c>
      <c r="F2" s="106" t="s">
        <v>171</v>
      </c>
      <c r="G2" s="106" t="s">
        <v>172</v>
      </c>
      <c r="H2" s="106" t="s">
        <v>173</v>
      </c>
      <c r="I2" s="106" t="s">
        <v>171</v>
      </c>
      <c r="J2" s="106" t="s">
        <v>172</v>
      </c>
      <c r="K2" s="106" t="s">
        <v>174</v>
      </c>
      <c r="L2" s="106" t="s">
        <v>175</v>
      </c>
      <c r="M2" s="106" t="s">
        <v>192</v>
      </c>
      <c r="N2" s="106" t="s">
        <v>177</v>
      </c>
    </row>
    <row r="3" spans="1:14">
      <c r="A3" s="571" t="s">
        <v>178</v>
      </c>
      <c r="B3" s="571"/>
      <c r="C3" s="571"/>
      <c r="D3" s="571"/>
      <c r="E3" s="571"/>
      <c r="F3" s="571"/>
      <c r="G3" s="571"/>
      <c r="H3" s="571"/>
      <c r="I3" s="571"/>
      <c r="J3" s="571"/>
      <c r="K3" s="95">
        <v>0</v>
      </c>
      <c r="L3" s="95">
        <v>0</v>
      </c>
      <c r="M3" s="95">
        <f>+K3</f>
        <v>0</v>
      </c>
      <c r="N3" s="17"/>
    </row>
    <row r="4" spans="1:14">
      <c r="A4" s="26">
        <v>1</v>
      </c>
      <c r="B4" s="27">
        <v>46174</v>
      </c>
      <c r="C4" s="17"/>
      <c r="D4" s="17"/>
      <c r="E4" s="388">
        <v>100</v>
      </c>
      <c r="F4" s="388">
        <v>99.7</v>
      </c>
      <c r="G4" s="17">
        <f>E4*F4</f>
        <v>9970</v>
      </c>
      <c r="H4" s="86"/>
      <c r="I4" s="86"/>
      <c r="J4" s="17">
        <f>H4*I4</f>
        <v>0</v>
      </c>
      <c r="K4" s="17">
        <f>G4+J4</f>
        <v>9970</v>
      </c>
      <c r="L4" s="17">
        <f>K4</f>
        <v>9970</v>
      </c>
      <c r="M4" s="17">
        <f>M3+K4-L4</f>
        <v>0</v>
      </c>
      <c r="N4" s="44"/>
    </row>
    <row r="5" spans="1:14">
      <c r="A5" s="26">
        <v>2</v>
      </c>
      <c r="B5" s="27">
        <v>46175</v>
      </c>
      <c r="C5" s="17"/>
      <c r="D5" s="17"/>
      <c r="E5" s="388">
        <v>150</v>
      </c>
      <c r="F5" s="388">
        <v>99.7</v>
      </c>
      <c r="G5" s="17">
        <f t="shared" ref="G5:G34" si="0">E5*F5</f>
        <v>14955</v>
      </c>
      <c r="H5" s="86"/>
      <c r="I5" s="86"/>
      <c r="J5" s="17">
        <f t="shared" ref="J5:J33" si="1">H5*I5</f>
        <v>0</v>
      </c>
      <c r="K5" s="17">
        <f>G5+J5</f>
        <v>14955</v>
      </c>
      <c r="L5" s="17">
        <f t="shared" ref="L5:L34" si="2">K5</f>
        <v>14955</v>
      </c>
      <c r="M5" s="17">
        <f t="shared" ref="M5:M27" si="3">M4+K5-L5</f>
        <v>0</v>
      </c>
      <c r="N5" s="44"/>
    </row>
    <row r="6" spans="1:14">
      <c r="A6" s="26">
        <v>3</v>
      </c>
      <c r="B6" s="27">
        <v>46176</v>
      </c>
      <c r="C6" s="17"/>
      <c r="D6" s="17"/>
      <c r="E6" s="86"/>
      <c r="F6" s="86"/>
      <c r="G6" s="17">
        <f t="shared" ref="G6:G33" si="4">E6*F6</f>
        <v>0</v>
      </c>
      <c r="H6" s="86"/>
      <c r="I6" s="86"/>
      <c r="J6" s="17">
        <f t="shared" ref="J6:J33" si="5">H6*I6</f>
        <v>0</v>
      </c>
      <c r="K6" s="17">
        <f t="shared" ref="K6:K34" si="6">G6+J6</f>
        <v>0</v>
      </c>
      <c r="L6" s="17">
        <f t="shared" si="2"/>
        <v>0</v>
      </c>
      <c r="M6" s="17">
        <f t="shared" si="3"/>
        <v>0</v>
      </c>
      <c r="N6" s="44"/>
    </row>
    <row r="7" spans="1:14">
      <c r="A7" s="26">
        <v>4</v>
      </c>
      <c r="B7" s="27">
        <v>46177</v>
      </c>
      <c r="C7" s="17"/>
      <c r="D7" s="17"/>
      <c r="E7" s="86"/>
      <c r="F7" s="86"/>
      <c r="G7" s="17">
        <f t="shared" si="4"/>
        <v>0</v>
      </c>
      <c r="H7" s="86"/>
      <c r="I7" s="86"/>
      <c r="J7" s="17">
        <f t="shared" si="5"/>
        <v>0</v>
      </c>
      <c r="K7" s="17">
        <f t="shared" si="6"/>
        <v>0</v>
      </c>
      <c r="L7" s="17">
        <f t="shared" si="2"/>
        <v>0</v>
      </c>
      <c r="M7" s="17">
        <f t="shared" si="3"/>
        <v>0</v>
      </c>
      <c r="N7" s="44"/>
    </row>
    <row r="8" spans="1:14">
      <c r="A8" s="26">
        <v>5</v>
      </c>
      <c r="B8" s="27">
        <v>46178</v>
      </c>
      <c r="C8" s="17"/>
      <c r="D8" s="17"/>
      <c r="E8" s="388">
        <v>100</v>
      </c>
      <c r="F8" s="388">
        <v>99.7</v>
      </c>
      <c r="G8" s="17">
        <f t="shared" si="4"/>
        <v>9970</v>
      </c>
      <c r="H8" s="86"/>
      <c r="I8" s="86"/>
      <c r="J8" s="17">
        <f t="shared" si="5"/>
        <v>0</v>
      </c>
      <c r="K8" s="17">
        <f t="shared" si="6"/>
        <v>9970</v>
      </c>
      <c r="L8" s="17">
        <f t="shared" si="2"/>
        <v>9970</v>
      </c>
      <c r="M8" s="17">
        <f t="shared" si="3"/>
        <v>0</v>
      </c>
      <c r="N8" s="44"/>
    </row>
    <row r="9" spans="1:14">
      <c r="A9" s="26">
        <v>6</v>
      </c>
      <c r="B9" s="27">
        <v>46179</v>
      </c>
      <c r="C9" s="17"/>
      <c r="D9" s="17"/>
      <c r="E9" s="86">
        <v>150</v>
      </c>
      <c r="F9" s="86">
        <v>99.7</v>
      </c>
      <c r="G9" s="17">
        <f t="shared" si="4"/>
        <v>14955</v>
      </c>
      <c r="H9" s="86"/>
      <c r="I9" s="86"/>
      <c r="J9" s="17">
        <f t="shared" si="5"/>
        <v>0</v>
      </c>
      <c r="K9" s="17">
        <f t="shared" si="6"/>
        <v>14955</v>
      </c>
      <c r="L9" s="17">
        <f t="shared" si="2"/>
        <v>14955</v>
      </c>
      <c r="M9" s="17">
        <f t="shared" si="3"/>
        <v>0</v>
      </c>
      <c r="N9" s="44"/>
    </row>
    <row r="10" spans="1:14">
      <c r="A10" s="26">
        <v>7</v>
      </c>
      <c r="B10" s="27">
        <v>46180</v>
      </c>
      <c r="C10" s="17"/>
      <c r="D10" s="17"/>
      <c r="E10" s="86"/>
      <c r="F10" s="86"/>
      <c r="G10" s="17">
        <f t="shared" si="4"/>
        <v>0</v>
      </c>
      <c r="H10" s="86"/>
      <c r="I10" s="86"/>
      <c r="J10" s="17">
        <f t="shared" si="5"/>
        <v>0</v>
      </c>
      <c r="K10" s="17">
        <f t="shared" si="6"/>
        <v>0</v>
      </c>
      <c r="L10" s="17">
        <f t="shared" si="2"/>
        <v>0</v>
      </c>
      <c r="M10" s="17">
        <f t="shared" si="3"/>
        <v>0</v>
      </c>
      <c r="N10" s="44"/>
    </row>
    <row r="11" spans="1:14">
      <c r="A11" s="26">
        <v>8</v>
      </c>
      <c r="B11" s="27">
        <v>46181</v>
      </c>
      <c r="C11" s="17"/>
      <c r="D11" s="17"/>
      <c r="E11" s="86"/>
      <c r="F11" s="86"/>
      <c r="G11" s="17">
        <f t="shared" si="4"/>
        <v>0</v>
      </c>
      <c r="H11" s="86"/>
      <c r="I11" s="86"/>
      <c r="J11" s="17">
        <f t="shared" si="5"/>
        <v>0</v>
      </c>
      <c r="K11" s="17">
        <f t="shared" si="6"/>
        <v>0</v>
      </c>
      <c r="L11" s="17">
        <f t="shared" si="2"/>
        <v>0</v>
      </c>
      <c r="M11" s="17">
        <f t="shared" si="3"/>
        <v>0</v>
      </c>
      <c r="N11" s="44"/>
    </row>
    <row r="12" spans="1:14">
      <c r="A12" s="26">
        <v>9</v>
      </c>
      <c r="B12" s="27">
        <v>46182</v>
      </c>
      <c r="C12" s="17"/>
      <c r="D12" s="17"/>
      <c r="E12" s="86">
        <v>100</v>
      </c>
      <c r="F12" s="86">
        <v>99.7</v>
      </c>
      <c r="G12" s="17">
        <f t="shared" si="4"/>
        <v>9970</v>
      </c>
      <c r="H12" s="86"/>
      <c r="I12" s="86"/>
      <c r="J12" s="17">
        <f t="shared" si="5"/>
        <v>0</v>
      </c>
      <c r="K12" s="17">
        <f t="shared" si="6"/>
        <v>9970</v>
      </c>
      <c r="L12" s="17">
        <f t="shared" si="2"/>
        <v>9970</v>
      </c>
      <c r="M12" s="17">
        <f t="shared" si="3"/>
        <v>0</v>
      </c>
      <c r="N12" s="44" t="s">
        <v>181</v>
      </c>
    </row>
    <row r="13" spans="1:14">
      <c r="A13" s="26">
        <v>10</v>
      </c>
      <c r="B13" s="27">
        <v>46183</v>
      </c>
      <c r="C13" s="17"/>
      <c r="D13" s="17"/>
      <c r="E13" s="86">
        <v>150</v>
      </c>
      <c r="F13" s="86">
        <v>99.7</v>
      </c>
      <c r="G13" s="17">
        <f t="shared" si="4"/>
        <v>14955</v>
      </c>
      <c r="H13" s="86">
        <v>44</v>
      </c>
      <c r="I13" s="86">
        <v>111.78</v>
      </c>
      <c r="J13" s="17">
        <f t="shared" si="5"/>
        <v>4918.32</v>
      </c>
      <c r="K13" s="17">
        <f t="shared" si="6"/>
        <v>19873.32</v>
      </c>
      <c r="L13" s="17">
        <f t="shared" si="2"/>
        <v>19873.32</v>
      </c>
      <c r="M13" s="17">
        <f t="shared" si="3"/>
        <v>0</v>
      </c>
      <c r="N13" s="44" t="s">
        <v>181</v>
      </c>
    </row>
    <row r="14" spans="1:14">
      <c r="A14" s="26">
        <v>11</v>
      </c>
      <c r="B14" s="27">
        <v>46184</v>
      </c>
      <c r="C14" s="17"/>
      <c r="D14" s="17"/>
      <c r="E14" s="86"/>
      <c r="F14" s="86"/>
      <c r="G14" s="17">
        <f t="shared" si="4"/>
        <v>0</v>
      </c>
      <c r="H14" s="86"/>
      <c r="I14" s="86"/>
      <c r="J14" s="17">
        <f t="shared" si="5"/>
        <v>0</v>
      </c>
      <c r="K14" s="17">
        <f t="shared" si="6"/>
        <v>0</v>
      </c>
      <c r="L14" s="17">
        <f t="shared" si="2"/>
        <v>0</v>
      </c>
      <c r="M14" s="17">
        <f t="shared" si="3"/>
        <v>0</v>
      </c>
      <c r="N14" s="44"/>
    </row>
    <row r="15" spans="1:14">
      <c r="A15" s="26">
        <v>12</v>
      </c>
      <c r="B15" s="27">
        <v>46185</v>
      </c>
      <c r="C15" s="17"/>
      <c r="D15" s="17"/>
      <c r="E15" s="86"/>
      <c r="F15" s="86"/>
      <c r="G15" s="17">
        <f t="shared" si="4"/>
        <v>0</v>
      </c>
      <c r="H15" s="86"/>
      <c r="I15" s="86"/>
      <c r="J15" s="17">
        <f t="shared" si="5"/>
        <v>0</v>
      </c>
      <c r="K15" s="17">
        <f t="shared" si="6"/>
        <v>0</v>
      </c>
      <c r="L15" s="17">
        <f t="shared" si="2"/>
        <v>0</v>
      </c>
      <c r="M15" s="17">
        <f t="shared" si="3"/>
        <v>0</v>
      </c>
      <c r="N15" s="44"/>
    </row>
    <row r="16" spans="1:14">
      <c r="A16" s="26">
        <v>13</v>
      </c>
      <c r="B16" s="27">
        <v>46186</v>
      </c>
      <c r="C16" s="17"/>
      <c r="D16" s="17"/>
      <c r="E16" s="86"/>
      <c r="F16" s="86"/>
      <c r="G16" s="17">
        <f t="shared" si="4"/>
        <v>0</v>
      </c>
      <c r="H16" s="86"/>
      <c r="I16" s="86"/>
      <c r="J16" s="17">
        <f t="shared" si="5"/>
        <v>0</v>
      </c>
      <c r="K16" s="17">
        <f t="shared" si="6"/>
        <v>0</v>
      </c>
      <c r="L16" s="17">
        <f t="shared" si="2"/>
        <v>0</v>
      </c>
      <c r="M16" s="17">
        <f t="shared" si="3"/>
        <v>0</v>
      </c>
      <c r="N16" s="44"/>
    </row>
    <row r="17" spans="1:14">
      <c r="A17" s="26">
        <v>14</v>
      </c>
      <c r="B17" s="27">
        <v>46187</v>
      </c>
      <c r="C17" s="17"/>
      <c r="D17" s="17"/>
      <c r="E17" s="86"/>
      <c r="F17" s="86"/>
      <c r="G17" s="17">
        <f t="shared" si="4"/>
        <v>0</v>
      </c>
      <c r="H17" s="86"/>
      <c r="I17" s="86"/>
      <c r="J17" s="17">
        <f t="shared" si="5"/>
        <v>0</v>
      </c>
      <c r="K17" s="17">
        <f t="shared" si="6"/>
        <v>0</v>
      </c>
      <c r="L17" s="17">
        <f t="shared" si="2"/>
        <v>0</v>
      </c>
      <c r="M17" s="17">
        <f t="shared" si="3"/>
        <v>0</v>
      </c>
      <c r="N17" s="44"/>
    </row>
    <row r="18" spans="1:14">
      <c r="A18" s="26">
        <v>15</v>
      </c>
      <c r="B18" s="27">
        <v>46188</v>
      </c>
      <c r="C18" s="17"/>
      <c r="D18" s="17"/>
      <c r="E18" s="86"/>
      <c r="F18" s="86"/>
      <c r="G18" s="17">
        <f t="shared" si="4"/>
        <v>0</v>
      </c>
      <c r="H18" s="86"/>
      <c r="I18" s="86"/>
      <c r="J18" s="17">
        <f t="shared" si="5"/>
        <v>0</v>
      </c>
      <c r="K18" s="17">
        <f t="shared" si="6"/>
        <v>0</v>
      </c>
      <c r="L18" s="17">
        <f t="shared" si="2"/>
        <v>0</v>
      </c>
      <c r="M18" s="17">
        <f t="shared" si="3"/>
        <v>0</v>
      </c>
      <c r="N18" s="44"/>
    </row>
    <row r="19" spans="1:14">
      <c r="A19" s="26">
        <v>16</v>
      </c>
      <c r="B19" s="27">
        <v>46189</v>
      </c>
      <c r="C19" s="17"/>
      <c r="D19" s="17"/>
      <c r="E19" s="86">
        <v>195</v>
      </c>
      <c r="F19" s="86">
        <v>99.7</v>
      </c>
      <c r="G19" s="17">
        <f t="shared" si="4"/>
        <v>19441.5</v>
      </c>
      <c r="H19" s="86"/>
      <c r="I19" s="86"/>
      <c r="J19" s="17">
        <f t="shared" si="5"/>
        <v>0</v>
      </c>
      <c r="K19" s="17">
        <f t="shared" si="6"/>
        <v>19441.5</v>
      </c>
      <c r="L19" s="17">
        <f t="shared" si="2"/>
        <v>19441.5</v>
      </c>
      <c r="M19" s="17">
        <f t="shared" si="3"/>
        <v>0</v>
      </c>
      <c r="N19" s="44"/>
    </row>
    <row r="20" spans="1:14">
      <c r="A20" s="26">
        <v>17</v>
      </c>
      <c r="B20" s="27">
        <v>46190</v>
      </c>
      <c r="C20" s="17"/>
      <c r="D20" s="17"/>
      <c r="E20" s="86"/>
      <c r="F20" s="86"/>
      <c r="G20" s="17">
        <f t="shared" si="4"/>
        <v>0</v>
      </c>
      <c r="H20" s="86"/>
      <c r="I20" s="86"/>
      <c r="J20" s="17">
        <f t="shared" si="5"/>
        <v>0</v>
      </c>
      <c r="K20" s="17">
        <f t="shared" si="6"/>
        <v>0</v>
      </c>
      <c r="L20" s="17">
        <f t="shared" si="2"/>
        <v>0</v>
      </c>
      <c r="M20" s="17">
        <f t="shared" si="3"/>
        <v>0</v>
      </c>
      <c r="N20" s="44" t="s">
        <v>181</v>
      </c>
    </row>
    <row r="21" spans="1:14">
      <c r="A21" s="26">
        <v>18</v>
      </c>
      <c r="B21" s="27">
        <v>46191</v>
      </c>
      <c r="C21" s="17"/>
      <c r="D21" s="17"/>
      <c r="E21" s="86">
        <v>195</v>
      </c>
      <c r="F21" s="86">
        <v>99.7</v>
      </c>
      <c r="G21" s="17">
        <f t="shared" si="4"/>
        <v>19441.5</v>
      </c>
      <c r="H21" s="86"/>
      <c r="I21" s="86"/>
      <c r="J21" s="17">
        <f t="shared" si="5"/>
        <v>0</v>
      </c>
      <c r="K21" s="17">
        <f t="shared" si="6"/>
        <v>19441.5</v>
      </c>
      <c r="L21" s="17">
        <f t="shared" si="2"/>
        <v>19441.5</v>
      </c>
      <c r="M21" s="17">
        <f t="shared" si="3"/>
        <v>0</v>
      </c>
      <c r="N21" s="44" t="s">
        <v>181</v>
      </c>
    </row>
    <row r="22" spans="1:14">
      <c r="A22" s="26">
        <v>19</v>
      </c>
      <c r="B22" s="27">
        <v>46192</v>
      </c>
      <c r="C22" s="17"/>
      <c r="D22" s="17"/>
      <c r="E22" s="86"/>
      <c r="F22" s="86"/>
      <c r="G22" s="17">
        <f t="shared" si="4"/>
        <v>0</v>
      </c>
      <c r="H22" s="86"/>
      <c r="I22" s="86"/>
      <c r="J22" s="17">
        <f t="shared" si="5"/>
        <v>0</v>
      </c>
      <c r="K22" s="17">
        <f t="shared" si="6"/>
        <v>0</v>
      </c>
      <c r="L22" s="17">
        <f t="shared" si="2"/>
        <v>0</v>
      </c>
      <c r="M22" s="17">
        <f t="shared" si="3"/>
        <v>0</v>
      </c>
      <c r="N22" s="44"/>
    </row>
    <row r="23" spans="1:14">
      <c r="A23" s="26">
        <v>20</v>
      </c>
      <c r="B23" s="27">
        <v>46193</v>
      </c>
      <c r="C23" s="17"/>
      <c r="D23" s="17"/>
      <c r="E23" s="86">
        <v>195</v>
      </c>
      <c r="F23" s="86">
        <v>99.7</v>
      </c>
      <c r="G23" s="17">
        <f t="shared" si="4"/>
        <v>19441.5</v>
      </c>
      <c r="H23" s="86"/>
      <c r="I23" s="86"/>
      <c r="J23" s="17">
        <f t="shared" si="5"/>
        <v>0</v>
      </c>
      <c r="K23" s="17">
        <f t="shared" si="6"/>
        <v>19441.5</v>
      </c>
      <c r="L23" s="17">
        <f t="shared" si="2"/>
        <v>19441.5</v>
      </c>
      <c r="M23" s="17">
        <f t="shared" si="3"/>
        <v>0</v>
      </c>
      <c r="N23" s="44"/>
    </row>
    <row r="24" spans="1:14">
      <c r="A24" s="26">
        <v>21</v>
      </c>
      <c r="B24" s="27">
        <v>46194</v>
      </c>
      <c r="C24" s="17"/>
      <c r="D24" s="17"/>
      <c r="E24" s="86"/>
      <c r="F24" s="86"/>
      <c r="G24" s="17">
        <f t="shared" si="4"/>
        <v>0</v>
      </c>
      <c r="H24" s="86"/>
      <c r="I24" s="86"/>
      <c r="J24" s="17">
        <f t="shared" si="5"/>
        <v>0</v>
      </c>
      <c r="K24" s="17">
        <f t="shared" si="6"/>
        <v>0</v>
      </c>
      <c r="L24" s="17">
        <f t="shared" si="2"/>
        <v>0</v>
      </c>
      <c r="M24" s="17">
        <f t="shared" si="3"/>
        <v>0</v>
      </c>
      <c r="N24" s="44"/>
    </row>
    <row r="25" spans="1:14">
      <c r="A25" s="26">
        <v>22</v>
      </c>
      <c r="B25" s="27">
        <v>46195</v>
      </c>
      <c r="C25" s="17"/>
      <c r="D25" s="17"/>
      <c r="E25" s="86"/>
      <c r="F25" s="86"/>
      <c r="G25" s="17">
        <f t="shared" si="4"/>
        <v>0</v>
      </c>
      <c r="H25" s="86"/>
      <c r="I25" s="86"/>
      <c r="J25" s="17">
        <f t="shared" si="5"/>
        <v>0</v>
      </c>
      <c r="K25" s="17">
        <f t="shared" si="6"/>
        <v>0</v>
      </c>
      <c r="L25" s="17">
        <f t="shared" si="2"/>
        <v>0</v>
      </c>
      <c r="M25" s="17">
        <f t="shared" si="3"/>
        <v>0</v>
      </c>
      <c r="N25" s="44"/>
    </row>
    <row r="26" spans="1:14">
      <c r="A26" s="26">
        <v>23</v>
      </c>
      <c r="B26" s="27">
        <v>46196</v>
      </c>
      <c r="C26" s="17"/>
      <c r="D26" s="17"/>
      <c r="E26" s="86">
        <v>195</v>
      </c>
      <c r="F26" s="86">
        <v>99.7</v>
      </c>
      <c r="G26" s="17">
        <f t="shared" si="4"/>
        <v>19441.5</v>
      </c>
      <c r="H26" s="86"/>
      <c r="I26" s="86"/>
      <c r="J26" s="17">
        <f t="shared" si="5"/>
        <v>0</v>
      </c>
      <c r="K26" s="17">
        <f t="shared" si="6"/>
        <v>19441.5</v>
      </c>
      <c r="L26" s="17">
        <f t="shared" si="2"/>
        <v>19441.5</v>
      </c>
      <c r="M26" s="17">
        <f t="shared" si="3"/>
        <v>0</v>
      </c>
      <c r="N26" s="44"/>
    </row>
    <row r="27" spans="1:14">
      <c r="A27" s="26">
        <v>24</v>
      </c>
      <c r="B27" s="27">
        <v>46197</v>
      </c>
      <c r="C27" s="17"/>
      <c r="D27" s="17"/>
      <c r="E27" s="86"/>
      <c r="F27" s="86"/>
      <c r="G27" s="17">
        <f t="shared" si="4"/>
        <v>0</v>
      </c>
      <c r="H27" s="86"/>
      <c r="I27" s="86"/>
      <c r="J27" s="17">
        <f t="shared" si="5"/>
        <v>0</v>
      </c>
      <c r="K27" s="17">
        <f t="shared" si="6"/>
        <v>0</v>
      </c>
      <c r="L27" s="17">
        <f t="shared" si="2"/>
        <v>0</v>
      </c>
      <c r="M27" s="17">
        <f t="shared" si="3"/>
        <v>0</v>
      </c>
      <c r="N27" s="44"/>
    </row>
    <row r="28" spans="1:14">
      <c r="A28" s="26">
        <v>25</v>
      </c>
      <c r="B28" s="27">
        <v>46198</v>
      </c>
      <c r="C28" s="17"/>
      <c r="D28" s="17"/>
      <c r="E28" s="86">
        <v>195</v>
      </c>
      <c r="F28" s="86">
        <v>99.7</v>
      </c>
      <c r="G28" s="17">
        <f t="shared" si="4"/>
        <v>19441.5</v>
      </c>
      <c r="H28" s="86"/>
      <c r="I28" s="86"/>
      <c r="J28" s="17">
        <f t="shared" si="5"/>
        <v>0</v>
      </c>
      <c r="K28" s="17">
        <f>G28+J28</f>
        <v>19441.5</v>
      </c>
      <c r="L28" s="17">
        <f t="shared" si="2"/>
        <v>19441.5</v>
      </c>
      <c r="M28" s="17">
        <v>0</v>
      </c>
      <c r="N28" s="44"/>
    </row>
    <row r="29" spans="1:14">
      <c r="A29" s="26">
        <v>26</v>
      </c>
      <c r="B29" s="27">
        <v>46199</v>
      </c>
      <c r="C29" s="17"/>
      <c r="D29" s="17"/>
      <c r="E29" s="86"/>
      <c r="F29" s="86"/>
      <c r="G29" s="17">
        <f t="shared" si="4"/>
        <v>0</v>
      </c>
      <c r="H29" s="86"/>
      <c r="I29" s="86"/>
      <c r="J29" s="17">
        <f t="shared" si="5"/>
        <v>0</v>
      </c>
      <c r="K29" s="17">
        <f t="shared" si="6"/>
        <v>0</v>
      </c>
      <c r="L29" s="17">
        <f t="shared" si="2"/>
        <v>0</v>
      </c>
      <c r="M29" s="17">
        <v>0</v>
      </c>
      <c r="N29" s="44"/>
    </row>
    <row r="30" spans="1:14">
      <c r="A30" s="26">
        <v>27</v>
      </c>
      <c r="B30" s="27">
        <v>46200</v>
      </c>
      <c r="C30" s="17"/>
      <c r="D30" s="17"/>
      <c r="E30" s="86">
        <v>195</v>
      </c>
      <c r="F30" s="86">
        <v>99.7</v>
      </c>
      <c r="G30" s="17">
        <f t="shared" si="4"/>
        <v>19441.5</v>
      </c>
      <c r="H30" s="86"/>
      <c r="I30" s="86"/>
      <c r="J30" s="17">
        <f t="shared" si="5"/>
        <v>0</v>
      </c>
      <c r="K30" s="17">
        <f t="shared" si="6"/>
        <v>19441.5</v>
      </c>
      <c r="L30" s="17">
        <f t="shared" si="2"/>
        <v>19441.5</v>
      </c>
      <c r="M30" s="17">
        <v>0</v>
      </c>
      <c r="N30" s="44" t="s">
        <v>181</v>
      </c>
    </row>
    <row r="31" spans="1:14">
      <c r="A31" s="26">
        <v>28</v>
      </c>
      <c r="B31" s="27">
        <v>46201</v>
      </c>
      <c r="C31" s="17"/>
      <c r="D31" s="17"/>
      <c r="E31" s="86"/>
      <c r="F31" s="86"/>
      <c r="G31" s="17">
        <f t="shared" si="4"/>
        <v>0</v>
      </c>
      <c r="H31" s="86"/>
      <c r="I31" s="86"/>
      <c r="J31" s="17">
        <f t="shared" si="5"/>
        <v>0</v>
      </c>
      <c r="K31" s="17">
        <f t="shared" si="6"/>
        <v>0</v>
      </c>
      <c r="L31" s="17">
        <f t="shared" si="2"/>
        <v>0</v>
      </c>
      <c r="M31" s="17">
        <v>0</v>
      </c>
      <c r="N31" s="44"/>
    </row>
    <row r="32" spans="1:14">
      <c r="A32" s="26">
        <v>29</v>
      </c>
      <c r="B32" s="27">
        <v>46202</v>
      </c>
      <c r="C32" s="17"/>
      <c r="D32" s="17"/>
      <c r="E32" s="86"/>
      <c r="F32" s="86"/>
      <c r="G32" s="17">
        <f t="shared" si="4"/>
        <v>0</v>
      </c>
      <c r="H32" s="86"/>
      <c r="I32" s="86"/>
      <c r="J32" s="17">
        <f t="shared" si="5"/>
        <v>0</v>
      </c>
      <c r="K32" s="17">
        <f t="shared" si="6"/>
        <v>0</v>
      </c>
      <c r="L32" s="17">
        <f t="shared" si="2"/>
        <v>0</v>
      </c>
      <c r="M32" s="17"/>
      <c r="N32" s="44"/>
    </row>
    <row r="33" spans="1:14">
      <c r="A33" s="26">
        <v>30</v>
      </c>
      <c r="B33" s="27">
        <v>46203</v>
      </c>
      <c r="C33" s="17"/>
      <c r="D33" s="17"/>
      <c r="E33" s="86"/>
      <c r="F33" s="86"/>
      <c r="G33" s="17">
        <f t="shared" si="4"/>
        <v>0</v>
      </c>
      <c r="H33" s="86"/>
      <c r="I33" s="86"/>
      <c r="J33" s="17">
        <f t="shared" si="5"/>
        <v>0</v>
      </c>
      <c r="K33" s="17">
        <f t="shared" si="6"/>
        <v>0</v>
      </c>
      <c r="L33" s="17">
        <f t="shared" si="2"/>
        <v>0</v>
      </c>
      <c r="M33" s="17"/>
      <c r="N33" s="44"/>
    </row>
    <row r="34" spans="1:14">
      <c r="A34" s="26">
        <v>31</v>
      </c>
      <c r="B34" s="27">
        <v>46204</v>
      </c>
      <c r="C34" s="17"/>
      <c r="D34" s="17"/>
      <c r="E34" s="86"/>
      <c r="F34" s="86"/>
      <c r="G34" s="17">
        <f t="shared" si="0"/>
        <v>0</v>
      </c>
      <c r="H34" s="86"/>
      <c r="I34" s="86"/>
      <c r="J34" s="17"/>
      <c r="K34" s="17">
        <f t="shared" si="6"/>
        <v>0</v>
      </c>
      <c r="L34" s="17">
        <f t="shared" si="2"/>
        <v>0</v>
      </c>
      <c r="M34" s="17"/>
      <c r="N34" s="44"/>
    </row>
    <row r="35" spans="1:14">
      <c r="A35" s="42"/>
      <c r="B35" s="42"/>
      <c r="C35" s="42"/>
      <c r="D35" s="42"/>
      <c r="E35" s="42">
        <f>SUM(E4:E34)</f>
        <v>1920</v>
      </c>
      <c r="F35" s="42"/>
      <c r="G35" s="42">
        <f>SUM(G4:G34)</f>
        <v>191424</v>
      </c>
      <c r="H35" s="42">
        <f>SUM(H4:H34)</f>
        <v>44</v>
      </c>
      <c r="I35" s="42"/>
      <c r="J35" s="42">
        <f>SUM(J4:J34)</f>
        <v>4918.32</v>
      </c>
      <c r="K35" s="42">
        <f>SUM(K4:K34)</f>
        <v>196342.32</v>
      </c>
      <c r="L35" s="42">
        <f>SUM(L4:L34)</f>
        <v>196342.32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7"/>
  <sheetViews>
    <sheetView workbookViewId="0">
      <selection activeCell="A11" sqref="A11:XFD11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9.28515625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572" t="s">
        <v>109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</row>
    <row r="2" spans="1:20">
      <c r="A2" s="124" t="s">
        <v>0</v>
      </c>
      <c r="B2" s="124" t="s">
        <v>167</v>
      </c>
      <c r="C2" s="124" t="s">
        <v>168</v>
      </c>
      <c r="D2" s="124" t="s">
        <v>169</v>
      </c>
      <c r="E2" s="175" t="s">
        <v>170</v>
      </c>
      <c r="F2" s="175" t="s">
        <v>171</v>
      </c>
      <c r="G2" s="175" t="s">
        <v>172</v>
      </c>
      <c r="H2" s="175" t="s">
        <v>173</v>
      </c>
      <c r="I2" s="175" t="s">
        <v>171</v>
      </c>
      <c r="J2" s="175" t="s">
        <v>172</v>
      </c>
      <c r="K2" s="175" t="s">
        <v>174</v>
      </c>
      <c r="L2" s="124" t="s">
        <v>326</v>
      </c>
      <c r="M2" s="127" t="s">
        <v>175</v>
      </c>
      <c r="N2" s="124" t="s">
        <v>177</v>
      </c>
    </row>
    <row r="3" spans="1:20">
      <c r="A3" s="17"/>
      <c r="B3" s="17"/>
      <c r="C3" s="17"/>
      <c r="D3" s="17" t="s">
        <v>178</v>
      </c>
      <c r="E3" s="17"/>
      <c r="F3" s="17"/>
      <c r="G3" s="17"/>
      <c r="H3" s="17"/>
      <c r="I3" s="17"/>
      <c r="J3" s="17"/>
      <c r="K3" s="179">
        <v>59025.653999999973</v>
      </c>
      <c r="L3" s="17"/>
      <c r="M3" s="179">
        <v>59025.653999999973</v>
      </c>
      <c r="N3" s="17"/>
    </row>
    <row r="4" spans="1:20">
      <c r="A4" s="26">
        <v>1</v>
      </c>
      <c r="B4" s="27">
        <v>46174</v>
      </c>
      <c r="C4" s="137"/>
      <c r="D4" s="137"/>
      <c r="E4" s="93"/>
      <c r="F4" s="93"/>
      <c r="G4" s="179">
        <f>E4*F4</f>
        <v>0</v>
      </c>
      <c r="H4" s="93">
        <v>5</v>
      </c>
      <c r="I4" s="93">
        <v>110.74</v>
      </c>
      <c r="J4" s="179">
        <f>H4*I4</f>
        <v>553.69999999999993</v>
      </c>
      <c r="K4" s="179">
        <f>G4+J4</f>
        <v>553.69999999999993</v>
      </c>
      <c r="L4" s="179"/>
      <c r="M4" s="179">
        <f>M3+K4-L4</f>
        <v>59579.35399999997</v>
      </c>
      <c r="N4" s="137"/>
    </row>
    <row r="5" spans="1:20">
      <c r="A5" s="26">
        <v>2</v>
      </c>
      <c r="B5" s="27">
        <v>46175</v>
      </c>
      <c r="C5" s="17"/>
      <c r="D5" s="137"/>
      <c r="E5" s="93"/>
      <c r="F5" s="93"/>
      <c r="G5" s="179">
        <f t="shared" ref="G5:G28" si="0">E5*F5</f>
        <v>0</v>
      </c>
      <c r="H5" s="93">
        <v>5</v>
      </c>
      <c r="I5" s="93">
        <v>110.74</v>
      </c>
      <c r="J5" s="179">
        <f>H5*I5</f>
        <v>553.69999999999993</v>
      </c>
      <c r="K5" s="179">
        <f t="shared" ref="K5:K13" si="1">G5+J5</f>
        <v>553.69999999999993</v>
      </c>
      <c r="L5" s="179"/>
      <c r="M5" s="179">
        <f t="shared" ref="M5:M34" si="2">M4+K5-L5</f>
        <v>60133.053999999967</v>
      </c>
      <c r="N5" s="17"/>
      <c r="S5">
        <v>90.88</v>
      </c>
      <c r="T5">
        <v>102.77</v>
      </c>
    </row>
    <row r="6" spans="1:20">
      <c r="A6" s="26">
        <v>3</v>
      </c>
      <c r="B6" s="27">
        <v>46176</v>
      </c>
      <c r="C6" s="17"/>
      <c r="D6" s="137"/>
      <c r="E6" s="93">
        <v>76.010000000000005</v>
      </c>
      <c r="F6" s="93">
        <v>98.61</v>
      </c>
      <c r="G6" s="179">
        <f t="shared" si="0"/>
        <v>7495.3461000000007</v>
      </c>
      <c r="H6" s="93">
        <v>5</v>
      </c>
      <c r="I6" s="93">
        <v>110.74</v>
      </c>
      <c r="J6" s="179">
        <f t="shared" ref="J6:J8" si="3">H6*I6</f>
        <v>553.69999999999993</v>
      </c>
      <c r="K6" s="179">
        <f t="shared" si="1"/>
        <v>8049.0461000000005</v>
      </c>
      <c r="L6" s="179"/>
      <c r="M6" s="179">
        <f t="shared" si="2"/>
        <v>68182.100099999967</v>
      </c>
      <c r="N6" s="17"/>
    </row>
    <row r="7" spans="1:20">
      <c r="A7" s="26">
        <v>4</v>
      </c>
      <c r="B7" s="27">
        <v>46177</v>
      </c>
      <c r="C7" s="17"/>
      <c r="D7" s="137"/>
      <c r="E7" s="93">
        <v>41.84</v>
      </c>
      <c r="F7" s="93">
        <v>98.61</v>
      </c>
      <c r="G7" s="179">
        <f t="shared" si="0"/>
        <v>4125.8424000000005</v>
      </c>
      <c r="H7" s="93">
        <v>5</v>
      </c>
      <c r="I7" s="93">
        <v>110.74</v>
      </c>
      <c r="J7" s="179">
        <f t="shared" si="3"/>
        <v>553.69999999999993</v>
      </c>
      <c r="K7" s="179">
        <f t="shared" si="1"/>
        <v>4679.5424000000003</v>
      </c>
      <c r="L7" s="179"/>
      <c r="M7" s="179">
        <f t="shared" si="2"/>
        <v>72861.642499999973</v>
      </c>
      <c r="N7" s="17"/>
    </row>
    <row r="8" spans="1:20">
      <c r="A8" s="26">
        <v>5</v>
      </c>
      <c r="B8" s="27">
        <v>46178</v>
      </c>
      <c r="C8" s="17"/>
      <c r="D8" s="137"/>
      <c r="E8" s="93"/>
      <c r="F8" s="93"/>
      <c r="G8" s="179">
        <f t="shared" si="0"/>
        <v>0</v>
      </c>
      <c r="H8" s="93"/>
      <c r="I8" s="93"/>
      <c r="J8" s="179">
        <f t="shared" si="3"/>
        <v>0</v>
      </c>
      <c r="K8" s="179">
        <f t="shared" si="1"/>
        <v>0</v>
      </c>
      <c r="L8" s="179"/>
      <c r="M8" s="179">
        <f t="shared" si="2"/>
        <v>72861.642499999973</v>
      </c>
      <c r="N8" s="17"/>
    </row>
    <row r="9" spans="1:20">
      <c r="A9" s="26">
        <v>6</v>
      </c>
      <c r="B9" s="27">
        <v>46179</v>
      </c>
      <c r="C9" s="17"/>
      <c r="D9" s="137"/>
      <c r="E9" s="93">
        <v>30</v>
      </c>
      <c r="F9" s="93">
        <v>98.61</v>
      </c>
      <c r="G9" s="179">
        <f t="shared" si="0"/>
        <v>2958.3</v>
      </c>
      <c r="H9" s="93">
        <v>5</v>
      </c>
      <c r="I9" s="93">
        <v>110.74</v>
      </c>
      <c r="J9" s="179">
        <f>H9*I9</f>
        <v>553.69999999999993</v>
      </c>
      <c r="K9" s="179">
        <f t="shared" si="1"/>
        <v>3512</v>
      </c>
      <c r="L9" s="179"/>
      <c r="M9" s="179">
        <f t="shared" si="2"/>
        <v>76373.642499999973</v>
      </c>
      <c r="N9" s="17"/>
    </row>
    <row r="10" spans="1:20">
      <c r="A10" s="26">
        <v>7</v>
      </c>
      <c r="B10" s="27">
        <v>46180</v>
      </c>
      <c r="C10" s="17"/>
      <c r="D10" s="137"/>
      <c r="E10" s="93">
        <v>100</v>
      </c>
      <c r="F10" s="93">
        <v>98.61</v>
      </c>
      <c r="G10" s="179">
        <f t="shared" si="0"/>
        <v>9861</v>
      </c>
      <c r="H10" s="93"/>
      <c r="I10" s="93"/>
      <c r="J10" s="179">
        <f t="shared" ref="J10:J16" si="4">H10*I10</f>
        <v>0</v>
      </c>
      <c r="K10" s="179">
        <f t="shared" si="1"/>
        <v>9861</v>
      </c>
      <c r="L10" s="179"/>
      <c r="M10" s="179">
        <f t="shared" si="2"/>
        <v>86234.642499999973</v>
      </c>
      <c r="N10" s="17"/>
    </row>
    <row r="11" spans="1:20">
      <c r="A11" s="26">
        <v>8</v>
      </c>
      <c r="B11" s="27">
        <v>46181</v>
      </c>
      <c r="C11" s="17"/>
      <c r="D11" s="137"/>
      <c r="E11" s="93">
        <v>48.12</v>
      </c>
      <c r="F11" s="93">
        <v>98.69</v>
      </c>
      <c r="G11" s="179">
        <f t="shared" si="0"/>
        <v>4748.9627999999993</v>
      </c>
      <c r="H11" s="517">
        <v>5</v>
      </c>
      <c r="I11" s="517">
        <v>110.74</v>
      </c>
      <c r="J11" s="179">
        <f t="shared" si="4"/>
        <v>553.69999999999993</v>
      </c>
      <c r="K11" s="179">
        <f t="shared" si="1"/>
        <v>5302.6627999999992</v>
      </c>
      <c r="L11" s="179">
        <v>86235</v>
      </c>
      <c r="M11" s="179">
        <f t="shared" si="2"/>
        <v>5302.3052999999782</v>
      </c>
      <c r="N11" s="17"/>
    </row>
    <row r="12" spans="1:20">
      <c r="A12" s="26">
        <v>9</v>
      </c>
      <c r="B12" s="27">
        <v>46182</v>
      </c>
      <c r="C12" s="17"/>
      <c r="D12" s="137"/>
      <c r="E12" s="93">
        <v>84</v>
      </c>
      <c r="F12" s="93">
        <v>98.69</v>
      </c>
      <c r="G12" s="179">
        <f t="shared" si="0"/>
        <v>8289.9599999999991</v>
      </c>
      <c r="H12" s="93"/>
      <c r="I12" s="93"/>
      <c r="J12" s="179">
        <f t="shared" si="4"/>
        <v>0</v>
      </c>
      <c r="K12" s="179">
        <f t="shared" si="1"/>
        <v>8289.9599999999991</v>
      </c>
      <c r="L12" s="179"/>
      <c r="M12" s="179">
        <f t="shared" si="2"/>
        <v>13592.265299999977</v>
      </c>
      <c r="N12" s="17"/>
    </row>
    <row r="13" spans="1:20">
      <c r="A13" s="26">
        <v>10</v>
      </c>
      <c r="B13" s="27">
        <v>46183</v>
      </c>
      <c r="C13" s="17"/>
      <c r="D13" s="137"/>
      <c r="E13" s="93">
        <v>5</v>
      </c>
      <c r="F13" s="93">
        <v>98.69</v>
      </c>
      <c r="G13" s="179">
        <f t="shared" si="0"/>
        <v>493.45</v>
      </c>
      <c r="H13" s="93">
        <v>15</v>
      </c>
      <c r="I13" s="93">
        <v>110.74</v>
      </c>
      <c r="J13" s="179">
        <f t="shared" si="4"/>
        <v>1661.1</v>
      </c>
      <c r="K13" s="179">
        <f t="shared" si="1"/>
        <v>2154.5499999999997</v>
      </c>
      <c r="L13" s="179"/>
      <c r="M13" s="179">
        <f>M12+K13-L13</f>
        <v>15746.815299999977</v>
      </c>
      <c r="N13" s="17"/>
    </row>
    <row r="14" spans="1:20">
      <c r="A14" s="26">
        <v>11</v>
      </c>
      <c r="B14" s="27">
        <v>46184</v>
      </c>
      <c r="C14" s="17"/>
      <c r="D14" s="137"/>
      <c r="E14" s="93">
        <v>5</v>
      </c>
      <c r="F14" s="93">
        <v>98.69</v>
      </c>
      <c r="G14" s="179">
        <f t="shared" ref="G14:G20" si="5">E14*F14</f>
        <v>493.45</v>
      </c>
      <c r="H14" s="93"/>
      <c r="I14" s="93"/>
      <c r="J14" s="179">
        <f t="shared" ref="J14:J20" si="6">H14*I14</f>
        <v>0</v>
      </c>
      <c r="K14" s="179">
        <f t="shared" ref="K14:K20" si="7">G14+J14</f>
        <v>493.45</v>
      </c>
      <c r="L14" s="179"/>
      <c r="M14" s="179">
        <f t="shared" si="2"/>
        <v>16240.265299999977</v>
      </c>
      <c r="N14" s="17"/>
    </row>
    <row r="15" spans="1:20">
      <c r="A15" s="26">
        <v>12</v>
      </c>
      <c r="B15" s="27">
        <v>46185</v>
      </c>
      <c r="C15" s="17"/>
      <c r="D15" s="137"/>
      <c r="E15" s="93"/>
      <c r="F15" s="93"/>
      <c r="G15" s="179">
        <f t="shared" si="5"/>
        <v>0</v>
      </c>
      <c r="H15" s="93"/>
      <c r="I15" s="93"/>
      <c r="J15" s="179">
        <f t="shared" si="6"/>
        <v>0</v>
      </c>
      <c r="K15" s="179">
        <f t="shared" si="7"/>
        <v>0</v>
      </c>
      <c r="L15" s="179"/>
      <c r="M15" s="179">
        <f t="shared" si="2"/>
        <v>16240.265299999977</v>
      </c>
      <c r="N15" s="17"/>
    </row>
    <row r="16" spans="1:20">
      <c r="A16" s="26">
        <v>13</v>
      </c>
      <c r="B16" s="27">
        <v>46186</v>
      </c>
      <c r="C16" s="17"/>
      <c r="D16" s="137"/>
      <c r="E16" s="93">
        <v>125</v>
      </c>
      <c r="F16" s="93">
        <v>98.69</v>
      </c>
      <c r="G16" s="179">
        <f t="shared" si="5"/>
        <v>12336.25</v>
      </c>
      <c r="H16" s="93"/>
      <c r="I16" s="93"/>
      <c r="J16" s="179">
        <f t="shared" si="6"/>
        <v>0</v>
      </c>
      <c r="K16" s="179">
        <f t="shared" si="7"/>
        <v>12336.25</v>
      </c>
      <c r="L16" s="179"/>
      <c r="M16" s="179">
        <f t="shared" si="2"/>
        <v>28576.515299999977</v>
      </c>
      <c r="N16" s="17"/>
    </row>
    <row r="17" spans="1:15">
      <c r="A17" s="26">
        <v>14</v>
      </c>
      <c r="B17" s="27">
        <v>46187</v>
      </c>
      <c r="C17" s="17"/>
      <c r="D17" s="137"/>
      <c r="E17" s="93">
        <v>55</v>
      </c>
      <c r="F17" s="93">
        <v>98.69</v>
      </c>
      <c r="G17" s="179">
        <f t="shared" si="5"/>
        <v>5427.95</v>
      </c>
      <c r="H17" s="93"/>
      <c r="I17" s="93"/>
      <c r="J17" s="179">
        <f t="shared" si="6"/>
        <v>0</v>
      </c>
      <c r="K17" s="179">
        <f t="shared" si="7"/>
        <v>5427.95</v>
      </c>
      <c r="L17" s="179"/>
      <c r="M17" s="179">
        <f t="shared" si="2"/>
        <v>34004.465299999974</v>
      </c>
      <c r="N17" s="17"/>
    </row>
    <row r="18" spans="1:15">
      <c r="A18" s="26">
        <v>15</v>
      </c>
      <c r="B18" s="27">
        <v>46188</v>
      </c>
      <c r="C18" s="17"/>
      <c r="D18" s="137"/>
      <c r="E18" s="93">
        <v>102.63</v>
      </c>
      <c r="F18" s="93">
        <v>98.69</v>
      </c>
      <c r="G18" s="179">
        <f t="shared" si="5"/>
        <v>10128.554699999999</v>
      </c>
      <c r="H18" s="93">
        <v>5</v>
      </c>
      <c r="I18" s="93">
        <v>110.74</v>
      </c>
      <c r="J18" s="179">
        <f t="shared" si="6"/>
        <v>553.69999999999993</v>
      </c>
      <c r="K18" s="179">
        <f t="shared" si="7"/>
        <v>10682.2547</v>
      </c>
      <c r="L18" s="179"/>
      <c r="M18" s="179">
        <f>M17+K18-L18</f>
        <v>44686.719999999972</v>
      </c>
      <c r="N18" s="17"/>
    </row>
    <row r="19" spans="1:15">
      <c r="A19" s="26">
        <v>16</v>
      </c>
      <c r="B19" s="27">
        <v>46189</v>
      </c>
      <c r="C19" s="17"/>
      <c r="D19" s="137"/>
      <c r="E19" s="93">
        <v>50</v>
      </c>
      <c r="F19" s="93">
        <v>98.69</v>
      </c>
      <c r="G19" s="179">
        <f t="shared" si="5"/>
        <v>4934.5</v>
      </c>
      <c r="H19" s="93">
        <v>5</v>
      </c>
      <c r="I19" s="93">
        <v>110.74</v>
      </c>
      <c r="J19" s="179">
        <f t="shared" si="6"/>
        <v>553.69999999999993</v>
      </c>
      <c r="K19" s="179">
        <f t="shared" si="7"/>
        <v>5488.2</v>
      </c>
      <c r="L19" s="179"/>
      <c r="M19" s="179">
        <f t="shared" si="2"/>
        <v>50174.919999999969</v>
      </c>
      <c r="N19" s="17"/>
    </row>
    <row r="20" spans="1:15">
      <c r="A20" s="26">
        <v>17</v>
      </c>
      <c r="B20" s="27">
        <v>46190</v>
      </c>
      <c r="C20" s="17"/>
      <c r="D20" s="137"/>
      <c r="E20" s="93">
        <v>80</v>
      </c>
      <c r="F20" s="93">
        <v>98.69</v>
      </c>
      <c r="G20" s="179">
        <f t="shared" si="5"/>
        <v>7895.2</v>
      </c>
      <c r="H20" s="93">
        <v>5</v>
      </c>
      <c r="I20" s="93">
        <v>110.74</v>
      </c>
      <c r="J20" s="179">
        <f t="shared" si="6"/>
        <v>553.69999999999993</v>
      </c>
      <c r="K20" s="179">
        <f t="shared" si="7"/>
        <v>8448.9</v>
      </c>
      <c r="L20" s="179"/>
      <c r="M20" s="179">
        <f t="shared" si="2"/>
        <v>58623.819999999971</v>
      </c>
      <c r="N20" s="17"/>
      <c r="O20">
        <v>16.68</v>
      </c>
    </row>
    <row r="21" spans="1:15">
      <c r="A21" s="26">
        <v>18</v>
      </c>
      <c r="B21" s="27">
        <v>46191</v>
      </c>
      <c r="C21" s="17"/>
      <c r="D21" s="137"/>
      <c r="E21" s="93">
        <v>60</v>
      </c>
      <c r="F21" s="93">
        <v>98.69</v>
      </c>
      <c r="G21" s="179">
        <f t="shared" si="0"/>
        <v>5921.4</v>
      </c>
      <c r="H21" s="93">
        <v>10</v>
      </c>
      <c r="I21" s="93">
        <v>110.74</v>
      </c>
      <c r="J21" s="179">
        <f>H21*I21</f>
        <v>1107.3999999999999</v>
      </c>
      <c r="K21" s="179">
        <f t="shared" ref="K21:K34" si="8">G21+J21</f>
        <v>7028.7999999999993</v>
      </c>
      <c r="L21" s="179"/>
      <c r="M21" s="179">
        <f>M20+K21-L21</f>
        <v>65652.619999999966</v>
      </c>
      <c r="N21" s="17"/>
    </row>
    <row r="22" spans="1:15">
      <c r="A22" s="26">
        <v>19</v>
      </c>
      <c r="B22" s="27">
        <v>46192</v>
      </c>
      <c r="C22" s="17"/>
      <c r="D22" s="137"/>
      <c r="E22" s="93"/>
      <c r="F22" s="93"/>
      <c r="G22" s="179">
        <f t="shared" si="0"/>
        <v>0</v>
      </c>
      <c r="H22" s="93">
        <v>5</v>
      </c>
      <c r="I22" s="93">
        <v>110.74</v>
      </c>
      <c r="J22" s="179">
        <f>H22*I22</f>
        <v>553.69999999999993</v>
      </c>
      <c r="K22" s="179">
        <f t="shared" si="8"/>
        <v>553.69999999999993</v>
      </c>
      <c r="L22" s="179"/>
      <c r="M22" s="179">
        <f t="shared" si="2"/>
        <v>66206.319999999963</v>
      </c>
      <c r="N22" s="17"/>
    </row>
    <row r="23" spans="1:15">
      <c r="A23" s="26">
        <v>20</v>
      </c>
      <c r="B23" s="27">
        <v>46193</v>
      </c>
      <c r="C23" s="17"/>
      <c r="D23" s="137"/>
      <c r="E23" s="93">
        <v>99.4</v>
      </c>
      <c r="F23" s="93">
        <v>98.69</v>
      </c>
      <c r="G23" s="179">
        <f t="shared" si="0"/>
        <v>9809.7860000000001</v>
      </c>
      <c r="H23" s="93">
        <v>5</v>
      </c>
      <c r="I23" s="93">
        <v>110.74</v>
      </c>
      <c r="J23" s="179">
        <f t="shared" ref="J23:J34" si="9">H23*I23</f>
        <v>553.69999999999993</v>
      </c>
      <c r="K23" s="179">
        <f t="shared" si="8"/>
        <v>10363.486000000001</v>
      </c>
      <c r="L23" s="179"/>
      <c r="M23" s="179">
        <f t="shared" si="2"/>
        <v>76569.805999999968</v>
      </c>
      <c r="N23" s="17">
        <v>0</v>
      </c>
    </row>
    <row r="24" spans="1:15">
      <c r="A24" s="26">
        <v>21</v>
      </c>
      <c r="B24" s="27">
        <v>46194</v>
      </c>
      <c r="C24" s="17"/>
      <c r="D24" s="137"/>
      <c r="E24" s="93"/>
      <c r="F24" s="93"/>
      <c r="G24" s="179">
        <f t="shared" si="0"/>
        <v>0</v>
      </c>
      <c r="H24" s="93">
        <v>5</v>
      </c>
      <c r="I24" s="93">
        <v>110.74</v>
      </c>
      <c r="J24" s="179">
        <f t="shared" si="9"/>
        <v>553.69999999999993</v>
      </c>
      <c r="K24" s="179">
        <f t="shared" si="8"/>
        <v>553.69999999999993</v>
      </c>
      <c r="L24" s="179"/>
      <c r="M24" s="179">
        <f t="shared" si="2"/>
        <v>77123.505999999965</v>
      </c>
      <c r="N24" s="17"/>
    </row>
    <row r="25" spans="1:15">
      <c r="A25" s="26">
        <v>22</v>
      </c>
      <c r="B25" s="27">
        <v>46195</v>
      </c>
      <c r="C25" s="17"/>
      <c r="D25" s="137"/>
      <c r="E25" s="93">
        <v>30</v>
      </c>
      <c r="F25" s="93">
        <v>98.69</v>
      </c>
      <c r="G25" s="179">
        <f t="shared" si="0"/>
        <v>2960.7</v>
      </c>
      <c r="H25" s="93">
        <v>5</v>
      </c>
      <c r="I25" s="93">
        <v>110.74</v>
      </c>
      <c r="J25" s="179">
        <f t="shared" si="9"/>
        <v>553.69999999999993</v>
      </c>
      <c r="K25" s="179">
        <f t="shared" si="8"/>
        <v>3514.3999999999996</v>
      </c>
      <c r="L25" s="179"/>
      <c r="M25" s="179">
        <f t="shared" si="2"/>
        <v>80637.905999999959</v>
      </c>
      <c r="N25" s="17"/>
    </row>
    <row r="26" spans="1:15">
      <c r="A26" s="26">
        <v>23</v>
      </c>
      <c r="B26" s="27">
        <v>46196</v>
      </c>
      <c r="C26" s="17"/>
      <c r="D26" s="137"/>
      <c r="E26" s="93"/>
      <c r="F26" s="93"/>
      <c r="G26" s="179">
        <f t="shared" si="0"/>
        <v>0</v>
      </c>
      <c r="H26" s="93"/>
      <c r="I26" s="93"/>
      <c r="J26" s="179">
        <f t="shared" si="9"/>
        <v>0</v>
      </c>
      <c r="K26" s="179">
        <f t="shared" si="8"/>
        <v>0</v>
      </c>
      <c r="L26" s="179"/>
      <c r="M26" s="179">
        <f t="shared" si="2"/>
        <v>80637.905999999959</v>
      </c>
      <c r="N26" s="17"/>
    </row>
    <row r="27" spans="1:15">
      <c r="A27" s="26">
        <v>24</v>
      </c>
      <c r="B27" s="27">
        <v>46197</v>
      </c>
      <c r="C27" s="17"/>
      <c r="D27" s="137"/>
      <c r="E27" s="93"/>
      <c r="F27" s="93"/>
      <c r="G27" s="179">
        <f t="shared" si="0"/>
        <v>0</v>
      </c>
      <c r="H27" s="93"/>
      <c r="I27" s="93"/>
      <c r="J27" s="179">
        <f t="shared" si="9"/>
        <v>0</v>
      </c>
      <c r="K27" s="179">
        <f t="shared" si="8"/>
        <v>0</v>
      </c>
      <c r="L27" s="179"/>
      <c r="M27" s="179">
        <f t="shared" si="2"/>
        <v>80637.905999999959</v>
      </c>
      <c r="N27" s="17"/>
    </row>
    <row r="28" spans="1:15">
      <c r="A28" s="26">
        <v>25</v>
      </c>
      <c r="B28" s="27">
        <v>46198</v>
      </c>
      <c r="C28" s="17"/>
      <c r="D28" s="137"/>
      <c r="E28" s="93">
        <v>101</v>
      </c>
      <c r="F28" s="93">
        <v>98.69</v>
      </c>
      <c r="G28" s="179">
        <f t="shared" si="0"/>
        <v>9967.69</v>
      </c>
      <c r="H28" s="93">
        <v>10</v>
      </c>
      <c r="I28" s="93">
        <v>110.74</v>
      </c>
      <c r="J28" s="179">
        <f t="shared" si="9"/>
        <v>1107.3999999999999</v>
      </c>
      <c r="K28" s="179">
        <f t="shared" si="8"/>
        <v>11075.09</v>
      </c>
      <c r="L28" s="179"/>
      <c r="M28" s="179">
        <f t="shared" si="2"/>
        <v>91712.995999999956</v>
      </c>
      <c r="N28" s="17"/>
    </row>
    <row r="29" spans="1:15">
      <c r="A29" s="26">
        <v>26</v>
      </c>
      <c r="B29" s="27">
        <v>46199</v>
      </c>
      <c r="C29" s="17"/>
      <c r="D29" s="137"/>
      <c r="E29" s="93">
        <v>43.09</v>
      </c>
      <c r="F29" s="93">
        <v>98.69</v>
      </c>
      <c r="G29" s="179">
        <f t="shared" ref="G5:G34" si="10">F29*E29</f>
        <v>4252.5520999999999</v>
      </c>
      <c r="H29" s="93"/>
      <c r="I29" s="93"/>
      <c r="J29" s="179">
        <f t="shared" si="9"/>
        <v>0</v>
      </c>
      <c r="K29" s="179">
        <f t="shared" si="8"/>
        <v>4252.5520999999999</v>
      </c>
      <c r="L29" s="179"/>
      <c r="M29" s="179">
        <f t="shared" si="2"/>
        <v>95965.548099999956</v>
      </c>
      <c r="N29" s="17"/>
    </row>
    <row r="30" spans="1:15">
      <c r="A30" s="26">
        <v>27</v>
      </c>
      <c r="B30" s="27">
        <v>46200</v>
      </c>
      <c r="C30" s="17"/>
      <c r="D30" s="137"/>
      <c r="E30" s="265">
        <v>50</v>
      </c>
      <c r="F30" s="44">
        <v>99.78</v>
      </c>
      <c r="G30" s="66">
        <f t="shared" ref="G30:G31" si="11">E30*F30</f>
        <v>4989</v>
      </c>
      <c r="H30" s="44">
        <v>10</v>
      </c>
      <c r="I30" s="44">
        <v>111.98</v>
      </c>
      <c r="J30" s="179">
        <f t="shared" si="9"/>
        <v>1119.8</v>
      </c>
      <c r="K30" s="179">
        <f t="shared" si="8"/>
        <v>6108.8</v>
      </c>
      <c r="L30" s="179"/>
      <c r="M30" s="179">
        <f t="shared" si="2"/>
        <v>102074.34809999996</v>
      </c>
      <c r="N30" s="17"/>
    </row>
    <row r="31" spans="1:15">
      <c r="A31" s="26">
        <v>28</v>
      </c>
      <c r="B31" s="27">
        <v>46201</v>
      </c>
      <c r="C31" s="17"/>
      <c r="D31" s="137"/>
      <c r="E31" s="265">
        <v>30</v>
      </c>
      <c r="F31" s="44">
        <v>99.78</v>
      </c>
      <c r="G31" s="66">
        <f t="shared" si="11"/>
        <v>2993.4</v>
      </c>
      <c r="H31" s="44"/>
      <c r="I31" s="44"/>
      <c r="J31" s="179">
        <f t="shared" si="9"/>
        <v>0</v>
      </c>
      <c r="K31" s="179">
        <f t="shared" si="8"/>
        <v>2993.4</v>
      </c>
      <c r="L31" s="179"/>
      <c r="M31" s="179">
        <f t="shared" si="2"/>
        <v>105067.74809999995</v>
      </c>
      <c r="N31" s="17"/>
    </row>
    <row r="32" spans="1:15">
      <c r="A32" s="26">
        <v>29</v>
      </c>
      <c r="B32" s="27">
        <v>46202</v>
      </c>
      <c r="C32" s="17"/>
      <c r="D32" s="137"/>
      <c r="E32" s="93"/>
      <c r="F32" s="93"/>
      <c r="G32" s="179">
        <f t="shared" si="10"/>
        <v>0</v>
      </c>
      <c r="H32" s="93"/>
      <c r="I32" s="93"/>
      <c r="J32" s="179">
        <f t="shared" si="9"/>
        <v>0</v>
      </c>
      <c r="K32" s="179">
        <f t="shared" si="8"/>
        <v>0</v>
      </c>
      <c r="L32" s="179"/>
      <c r="M32" s="179">
        <f t="shared" si="2"/>
        <v>105067.74809999995</v>
      </c>
      <c r="N32" s="17"/>
    </row>
    <row r="33" spans="1:14">
      <c r="A33" s="26">
        <v>30</v>
      </c>
      <c r="B33" s="27">
        <v>46203</v>
      </c>
      <c r="C33" s="17"/>
      <c r="D33" s="137"/>
      <c r="E33" s="93"/>
      <c r="F33" s="93"/>
      <c r="G33" s="179">
        <f t="shared" si="10"/>
        <v>0</v>
      </c>
      <c r="H33" s="93"/>
      <c r="I33" s="93"/>
      <c r="J33" s="179">
        <f t="shared" si="9"/>
        <v>0</v>
      </c>
      <c r="K33" s="179">
        <f t="shared" si="8"/>
        <v>0</v>
      </c>
      <c r="L33" s="179"/>
      <c r="M33" s="179">
        <f t="shared" si="2"/>
        <v>105067.74809999995</v>
      </c>
      <c r="N33" s="17"/>
    </row>
    <row r="34" spans="1:14">
      <c r="A34" s="26">
        <v>31</v>
      </c>
      <c r="B34" s="27">
        <v>46204</v>
      </c>
      <c r="C34" s="17"/>
      <c r="D34" s="17"/>
      <c r="E34" s="93"/>
      <c r="F34" s="93"/>
      <c r="G34" s="179">
        <f t="shared" si="10"/>
        <v>0</v>
      </c>
      <c r="H34" s="93"/>
      <c r="I34" s="93"/>
      <c r="J34" s="179">
        <f t="shared" si="9"/>
        <v>0</v>
      </c>
      <c r="K34" s="179">
        <f t="shared" si="8"/>
        <v>0</v>
      </c>
      <c r="L34" s="137"/>
      <c r="M34" s="179">
        <f t="shared" si="2"/>
        <v>105067.74809999995</v>
      </c>
      <c r="N34" s="17"/>
    </row>
    <row r="35" spans="1:14">
      <c r="A35" s="42"/>
      <c r="B35" s="42"/>
      <c r="C35" s="42"/>
      <c r="D35" s="42"/>
      <c r="E35" s="42">
        <f>SUM(E4:E34)</f>
        <v>1216.0899999999999</v>
      </c>
      <c r="F35" s="42"/>
      <c r="G35" s="42">
        <f>SUM(G4:G34)</f>
        <v>120083.29409999998</v>
      </c>
      <c r="H35" s="42">
        <f>SUM(H4:H34)</f>
        <v>110</v>
      </c>
      <c r="I35" s="42"/>
      <c r="J35" s="42">
        <f>SUM(J4:J34)</f>
        <v>12193.8</v>
      </c>
      <c r="K35" s="42">
        <f>SUM(K4:K34)</f>
        <v>132277.09409999999</v>
      </c>
      <c r="L35" s="42">
        <f>SUM(L4:L34)</f>
        <v>86235</v>
      </c>
      <c r="M35" s="42">
        <f>SUM(M4:M34)</f>
        <v>2016904.2897999992</v>
      </c>
      <c r="N35" s="42"/>
    </row>
    <row r="37" spans="1:14">
      <c r="K37" s="22"/>
    </row>
  </sheetData>
  <mergeCells count="1">
    <mergeCell ref="A1:N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425B-F20E-4178-950E-FB51E0DEDA4F}">
  <dimension ref="A1:R40"/>
  <sheetViews>
    <sheetView workbookViewId="0">
      <selection activeCell="E9" sqref="E9"/>
    </sheetView>
  </sheetViews>
  <sheetFormatPr defaultRowHeight="15"/>
  <cols>
    <col min="2" max="2" width="14.42578125" customWidth="1"/>
    <col min="4" max="4" width="11" customWidth="1"/>
    <col min="5" max="5" width="10.7109375" bestFit="1" customWidth="1"/>
    <col min="7" max="7" width="10.42578125" bestFit="1" customWidth="1"/>
    <col min="11" max="12" width="13.5703125" bestFit="1" customWidth="1"/>
    <col min="13" max="13" width="11.28515625" bestFit="1" customWidth="1"/>
  </cols>
  <sheetData>
    <row r="1" spans="1:18" ht="15.75">
      <c r="A1" s="572" t="s">
        <v>327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92"/>
      <c r="P1" s="92"/>
      <c r="Q1" s="92"/>
    </row>
    <row r="2" spans="1:18">
      <c r="A2" s="64" t="s">
        <v>0</v>
      </c>
      <c r="B2" s="64" t="s">
        <v>167</v>
      </c>
      <c r="C2" s="64" t="s">
        <v>168</v>
      </c>
      <c r="D2" s="64" t="s">
        <v>169</v>
      </c>
      <c r="E2" s="91" t="s">
        <v>170</v>
      </c>
      <c r="F2" s="91" t="s">
        <v>171</v>
      </c>
      <c r="G2" s="91" t="s">
        <v>172</v>
      </c>
      <c r="H2" s="91" t="s">
        <v>173</v>
      </c>
      <c r="I2" s="91" t="s">
        <v>171</v>
      </c>
      <c r="J2" s="91" t="s">
        <v>172</v>
      </c>
      <c r="K2" s="91" t="s">
        <v>174</v>
      </c>
      <c r="L2" s="85" t="s">
        <v>175</v>
      </c>
      <c r="M2" s="85" t="s">
        <v>176</v>
      </c>
      <c r="N2" s="64" t="s">
        <v>177</v>
      </c>
    </row>
    <row r="3" spans="1:18">
      <c r="A3" s="17"/>
      <c r="B3" s="17"/>
      <c r="C3" s="17"/>
      <c r="D3" s="17" t="s">
        <v>178</v>
      </c>
      <c r="E3" s="17"/>
      <c r="F3" s="17"/>
      <c r="G3" s="17"/>
      <c r="H3" s="17"/>
      <c r="I3" s="17"/>
      <c r="J3" s="17"/>
      <c r="K3" s="40">
        <v>445001.62046000012</v>
      </c>
      <c r="L3" s="17"/>
      <c r="M3" s="40">
        <v>445001.62046000012</v>
      </c>
      <c r="N3" s="17"/>
      <c r="O3" s="40">
        <v>26506.399999999994</v>
      </c>
    </row>
    <row r="4" spans="1:18">
      <c r="A4" s="26">
        <v>1</v>
      </c>
      <c r="B4" s="27">
        <v>46174</v>
      </c>
      <c r="C4" s="17"/>
      <c r="D4" s="17"/>
      <c r="E4" s="372">
        <v>300</v>
      </c>
      <c r="F4" s="93">
        <v>99.35</v>
      </c>
      <c r="G4" s="40">
        <f t="shared" ref="G4" si="0">E4*F4</f>
        <v>29805</v>
      </c>
      <c r="H4" s="44"/>
      <c r="I4" s="44"/>
      <c r="J4" s="40">
        <f t="shared" ref="J4" si="1">H4*I4</f>
        <v>0</v>
      </c>
      <c r="K4" s="40">
        <f>G4+J4</f>
        <v>29805</v>
      </c>
      <c r="L4" s="40">
        <v>200000</v>
      </c>
      <c r="M4" s="40">
        <f>M3+K4-L4</f>
        <v>274806.62046000012</v>
      </c>
      <c r="N4" s="17"/>
    </row>
    <row r="5" spans="1:18">
      <c r="A5" s="26">
        <v>2</v>
      </c>
      <c r="B5" s="27">
        <v>46175</v>
      </c>
      <c r="C5" s="339"/>
      <c r="D5" s="17"/>
      <c r="E5" s="372">
        <v>300</v>
      </c>
      <c r="F5" s="93">
        <v>99.35</v>
      </c>
      <c r="G5" s="40">
        <f t="shared" ref="G5:G38" si="2">E5*F5</f>
        <v>29805</v>
      </c>
      <c r="H5" s="44"/>
      <c r="I5" s="44"/>
      <c r="J5" s="40">
        <f t="shared" ref="J5:J38" si="3">H5*I5</f>
        <v>0</v>
      </c>
      <c r="K5" s="40">
        <f t="shared" ref="K5:L39" si="4">G5+J5</f>
        <v>29805</v>
      </c>
      <c r="L5" s="40"/>
      <c r="M5" s="40">
        <f>M4+K5-L5</f>
        <v>304611.62046000012</v>
      </c>
      <c r="N5" s="17" t="s">
        <v>328</v>
      </c>
    </row>
    <row r="6" spans="1:18">
      <c r="A6" s="26">
        <v>3</v>
      </c>
      <c r="B6" s="27">
        <v>46176</v>
      </c>
      <c r="C6" s="17"/>
      <c r="D6" s="17"/>
      <c r="E6" s="372">
        <v>300</v>
      </c>
      <c r="F6" s="93">
        <v>99.35</v>
      </c>
      <c r="G6" s="40">
        <f t="shared" si="2"/>
        <v>29805</v>
      </c>
      <c r="H6" s="44"/>
      <c r="I6" s="44"/>
      <c r="J6" s="40">
        <f t="shared" si="3"/>
        <v>0</v>
      </c>
      <c r="K6" s="40">
        <f t="shared" si="4"/>
        <v>29805</v>
      </c>
      <c r="L6" s="40"/>
      <c r="M6" s="40">
        <f>M5+K6-L6</f>
        <v>334416.62046000012</v>
      </c>
      <c r="N6" s="17"/>
    </row>
    <row r="7" spans="1:18">
      <c r="A7" s="26">
        <v>4</v>
      </c>
      <c r="B7" s="27">
        <v>46177</v>
      </c>
      <c r="C7" s="17"/>
      <c r="D7" s="17"/>
      <c r="E7" s="372">
        <v>300</v>
      </c>
      <c r="F7" s="93">
        <v>99.35</v>
      </c>
      <c r="G7" s="40">
        <f t="shared" si="2"/>
        <v>29805</v>
      </c>
      <c r="H7" s="44"/>
      <c r="I7" s="44"/>
      <c r="J7" s="40">
        <f t="shared" si="3"/>
        <v>0</v>
      </c>
      <c r="K7" s="40">
        <f t="shared" si="4"/>
        <v>29805</v>
      </c>
      <c r="L7" s="40"/>
      <c r="M7" s="40">
        <f>M6+K7-L7</f>
        <v>364221.62046000012</v>
      </c>
      <c r="N7" s="17"/>
    </row>
    <row r="8" spans="1:18">
      <c r="A8" s="26">
        <v>5</v>
      </c>
      <c r="B8" s="27">
        <v>46178</v>
      </c>
      <c r="C8" s="17"/>
      <c r="D8" s="17"/>
      <c r="E8" s="372">
        <v>300</v>
      </c>
      <c r="F8" s="93">
        <v>99.35</v>
      </c>
      <c r="G8" s="40">
        <f t="shared" si="2"/>
        <v>29805</v>
      </c>
      <c r="H8" s="44"/>
      <c r="I8" s="44"/>
      <c r="J8" s="40">
        <f t="shared" si="3"/>
        <v>0</v>
      </c>
      <c r="K8" s="40">
        <f t="shared" si="4"/>
        <v>29805</v>
      </c>
      <c r="L8" s="40"/>
      <c r="M8" s="40">
        <f>M7+K8-L8</f>
        <v>394026.62046000012</v>
      </c>
      <c r="N8" s="17"/>
      <c r="R8" t="s">
        <v>329</v>
      </c>
    </row>
    <row r="9" spans="1:18">
      <c r="A9" s="26">
        <v>6</v>
      </c>
      <c r="B9" s="27">
        <v>46179</v>
      </c>
      <c r="C9" s="17"/>
      <c r="D9" s="17"/>
      <c r="E9" s="372"/>
      <c r="F9" s="93"/>
      <c r="G9" s="40">
        <f t="shared" si="2"/>
        <v>0</v>
      </c>
      <c r="H9" s="44"/>
      <c r="I9" s="44"/>
      <c r="J9" s="40">
        <f t="shared" si="3"/>
        <v>0</v>
      </c>
      <c r="K9" s="40">
        <f t="shared" si="4"/>
        <v>0</v>
      </c>
      <c r="L9" s="40"/>
      <c r="M9" s="40">
        <f t="shared" ref="M9:M39" si="5">M8+K9-L9</f>
        <v>394026.62046000012</v>
      </c>
      <c r="N9" s="17"/>
    </row>
    <row r="10" spans="1:18">
      <c r="A10" s="26">
        <v>7</v>
      </c>
      <c r="B10" s="27">
        <v>46180</v>
      </c>
      <c r="C10" s="17"/>
      <c r="D10" s="17"/>
      <c r="E10" s="372"/>
      <c r="F10" s="93"/>
      <c r="G10" s="40">
        <f t="shared" si="2"/>
        <v>0</v>
      </c>
      <c r="H10" s="44"/>
      <c r="I10" s="44"/>
      <c r="J10" s="40">
        <f t="shared" si="3"/>
        <v>0</v>
      </c>
      <c r="K10" s="40">
        <f t="shared" si="4"/>
        <v>0</v>
      </c>
      <c r="L10" s="40"/>
      <c r="M10" s="40">
        <f t="shared" si="5"/>
        <v>394026.62046000012</v>
      </c>
      <c r="N10" s="17"/>
      <c r="R10" t="str">
        <f>PROPER(R8)</f>
        <v xml:space="preserve">Sai Shiva Filling Station </v>
      </c>
    </row>
    <row r="11" spans="1:18">
      <c r="A11" s="26">
        <v>8</v>
      </c>
      <c r="B11" s="27">
        <v>46181</v>
      </c>
      <c r="C11" s="17"/>
      <c r="D11" s="17"/>
      <c r="E11" s="372"/>
      <c r="F11" s="93"/>
      <c r="G11" s="40">
        <f t="shared" si="2"/>
        <v>0</v>
      </c>
      <c r="H11" s="44"/>
      <c r="I11" s="44"/>
      <c r="J11" s="40">
        <f t="shared" si="3"/>
        <v>0</v>
      </c>
      <c r="K11" s="40">
        <f>G11+J11</f>
        <v>0</v>
      </c>
      <c r="L11" s="40">
        <v>394027</v>
      </c>
      <c r="M11" s="40">
        <f t="shared" si="5"/>
        <v>-0.379539999878034</v>
      </c>
      <c r="N11" s="17"/>
    </row>
    <row r="12" spans="1:18">
      <c r="A12" s="26">
        <v>9</v>
      </c>
      <c r="B12" s="27">
        <v>46182</v>
      </c>
      <c r="C12" s="17"/>
      <c r="D12" s="17"/>
      <c r="E12" s="412"/>
      <c r="F12" s="412"/>
      <c r="G12" s="40">
        <f t="shared" si="2"/>
        <v>0</v>
      </c>
      <c r="H12" s="44"/>
      <c r="I12" s="44"/>
      <c r="J12" s="40">
        <f t="shared" si="3"/>
        <v>0</v>
      </c>
      <c r="K12" s="40">
        <f t="shared" si="4"/>
        <v>0</v>
      </c>
      <c r="L12" s="40"/>
      <c r="M12" s="40">
        <f t="shared" si="5"/>
        <v>-0.379539999878034</v>
      </c>
      <c r="N12" s="17"/>
    </row>
    <row r="13" spans="1:18">
      <c r="A13" s="26">
        <v>10</v>
      </c>
      <c r="B13" s="27">
        <v>46183</v>
      </c>
      <c r="C13" s="17"/>
      <c r="D13" s="17"/>
      <c r="E13" s="412"/>
      <c r="F13" s="412"/>
      <c r="G13" s="40">
        <f t="shared" si="2"/>
        <v>0</v>
      </c>
      <c r="H13" s="44"/>
      <c r="I13" s="44"/>
      <c r="J13" s="40">
        <f t="shared" si="3"/>
        <v>0</v>
      </c>
      <c r="K13" s="40">
        <f t="shared" si="4"/>
        <v>0</v>
      </c>
      <c r="L13" s="40"/>
      <c r="M13" s="40">
        <f t="shared" si="5"/>
        <v>-0.379539999878034</v>
      </c>
      <c r="N13" s="17"/>
    </row>
    <row r="14" spans="1:18">
      <c r="A14" s="26">
        <v>11</v>
      </c>
      <c r="B14" s="27">
        <v>46184</v>
      </c>
      <c r="C14" s="17"/>
      <c r="D14" s="17"/>
      <c r="E14" s="372"/>
      <c r="F14" s="93"/>
      <c r="G14" s="40">
        <f t="shared" si="2"/>
        <v>0</v>
      </c>
      <c r="H14" s="44"/>
      <c r="I14" s="44"/>
      <c r="J14" s="40">
        <f t="shared" si="3"/>
        <v>0</v>
      </c>
      <c r="K14" s="40">
        <f t="shared" si="4"/>
        <v>0</v>
      </c>
      <c r="L14" s="40"/>
      <c r="M14" s="40">
        <f t="shared" si="5"/>
        <v>-0.379539999878034</v>
      </c>
      <c r="N14" s="17"/>
    </row>
    <row r="15" spans="1:18">
      <c r="A15" s="26">
        <v>12</v>
      </c>
      <c r="B15" s="27">
        <v>46185</v>
      </c>
      <c r="C15" s="17"/>
      <c r="D15" s="17"/>
      <c r="E15" s="372"/>
      <c r="F15" s="93"/>
      <c r="G15" s="40">
        <f t="shared" si="2"/>
        <v>0</v>
      </c>
      <c r="H15" s="44"/>
      <c r="I15" s="44"/>
      <c r="J15" s="40">
        <f t="shared" si="3"/>
        <v>0</v>
      </c>
      <c r="K15" s="40">
        <f t="shared" si="4"/>
        <v>0</v>
      </c>
      <c r="L15" s="40"/>
      <c r="M15" s="40">
        <f t="shared" si="5"/>
        <v>-0.379539999878034</v>
      </c>
      <c r="N15" s="17"/>
    </row>
    <row r="16" spans="1:18">
      <c r="A16" s="26">
        <v>13</v>
      </c>
      <c r="B16" s="27">
        <v>46186</v>
      </c>
      <c r="C16" s="17"/>
      <c r="D16" s="93"/>
      <c r="E16" s="372"/>
      <c r="F16" s="93"/>
      <c r="G16" s="40">
        <f t="shared" si="2"/>
        <v>0</v>
      </c>
      <c r="H16" s="44"/>
      <c r="I16" s="44"/>
      <c r="J16" s="40">
        <f t="shared" si="3"/>
        <v>0</v>
      </c>
      <c r="K16" s="40">
        <f t="shared" si="4"/>
        <v>0</v>
      </c>
      <c r="L16" s="40"/>
      <c r="M16" s="40">
        <f t="shared" si="5"/>
        <v>-0.379539999878034</v>
      </c>
      <c r="N16" s="17"/>
    </row>
    <row r="17" spans="1:17">
      <c r="A17" s="26">
        <v>14</v>
      </c>
      <c r="B17" s="27">
        <v>46187</v>
      </c>
      <c r="C17" s="17"/>
      <c r="D17" s="93"/>
      <c r="E17" s="372"/>
      <c r="F17" s="93"/>
      <c r="G17" s="40">
        <f t="shared" si="2"/>
        <v>0</v>
      </c>
      <c r="H17" s="44"/>
      <c r="I17" s="44"/>
      <c r="J17" s="40"/>
      <c r="K17" s="40">
        <f t="shared" si="4"/>
        <v>0</v>
      </c>
      <c r="L17" s="40"/>
      <c r="M17" s="40">
        <f t="shared" si="5"/>
        <v>-0.379539999878034</v>
      </c>
      <c r="N17" s="17"/>
    </row>
    <row r="18" spans="1:17">
      <c r="A18" s="26">
        <v>15</v>
      </c>
      <c r="B18" s="27">
        <v>46188</v>
      </c>
      <c r="C18" s="17"/>
      <c r="D18" s="17">
        <v>0</v>
      </c>
      <c r="E18" s="372"/>
      <c r="F18" s="93"/>
      <c r="G18" s="40">
        <f t="shared" si="2"/>
        <v>0</v>
      </c>
      <c r="H18" s="44"/>
      <c r="I18" s="44"/>
      <c r="J18" s="40">
        <f t="shared" si="3"/>
        <v>0</v>
      </c>
      <c r="K18" s="40">
        <f t="shared" si="4"/>
        <v>0</v>
      </c>
      <c r="L18" s="40"/>
      <c r="M18" s="40">
        <f t="shared" si="5"/>
        <v>-0.379539999878034</v>
      </c>
      <c r="N18" s="17"/>
      <c r="Q18" s="327"/>
    </row>
    <row r="19" spans="1:17">
      <c r="A19" s="26">
        <v>16</v>
      </c>
      <c r="B19" s="27">
        <v>46189</v>
      </c>
      <c r="C19" s="17"/>
      <c r="D19" s="17"/>
      <c r="E19" s="372"/>
      <c r="F19" s="93"/>
      <c r="G19" s="40">
        <f t="shared" si="2"/>
        <v>0</v>
      </c>
      <c r="H19" s="44"/>
      <c r="I19" s="44"/>
      <c r="J19" s="40">
        <f t="shared" si="3"/>
        <v>0</v>
      </c>
      <c r="K19" s="40">
        <f t="shared" si="4"/>
        <v>0</v>
      </c>
      <c r="L19" s="40"/>
      <c r="M19" s="40">
        <f t="shared" si="5"/>
        <v>-0.379539999878034</v>
      </c>
      <c r="N19" s="17"/>
    </row>
    <row r="20" spans="1:17">
      <c r="A20" s="26">
        <v>17</v>
      </c>
      <c r="B20" s="27">
        <v>46190</v>
      </c>
      <c r="C20" s="17"/>
      <c r="D20" s="17"/>
      <c r="E20" s="372"/>
      <c r="F20" s="93"/>
      <c r="G20" s="40">
        <f t="shared" si="2"/>
        <v>0</v>
      </c>
      <c r="H20" s="44"/>
      <c r="I20" s="44"/>
      <c r="J20" s="40">
        <f t="shared" si="3"/>
        <v>0</v>
      </c>
      <c r="K20" s="40">
        <f t="shared" si="4"/>
        <v>0</v>
      </c>
      <c r="L20" s="40"/>
      <c r="M20" s="40">
        <f t="shared" si="5"/>
        <v>-0.379539999878034</v>
      </c>
      <c r="N20" s="17"/>
    </row>
    <row r="21" spans="1:17">
      <c r="A21" s="26">
        <v>18</v>
      </c>
      <c r="B21" s="27">
        <v>46191</v>
      </c>
      <c r="C21" s="17"/>
      <c r="D21" s="17"/>
      <c r="E21" s="372"/>
      <c r="F21" s="93"/>
      <c r="G21" s="40">
        <f t="shared" si="2"/>
        <v>0</v>
      </c>
      <c r="H21" s="44"/>
      <c r="I21" s="44"/>
      <c r="J21" s="40">
        <f t="shared" si="3"/>
        <v>0</v>
      </c>
      <c r="K21" s="40">
        <f t="shared" si="4"/>
        <v>0</v>
      </c>
      <c r="L21" s="40"/>
      <c r="M21" s="40">
        <f t="shared" si="5"/>
        <v>-0.379539999878034</v>
      </c>
      <c r="N21" s="17"/>
    </row>
    <row r="22" spans="1:17">
      <c r="A22" s="26">
        <v>19</v>
      </c>
      <c r="B22" s="27">
        <v>46192</v>
      </c>
      <c r="C22" s="17"/>
      <c r="D22" s="17"/>
      <c r="E22" s="372"/>
      <c r="F22" s="93"/>
      <c r="G22" s="40">
        <f t="shared" si="2"/>
        <v>0</v>
      </c>
      <c r="H22" s="44"/>
      <c r="I22" s="44"/>
      <c r="J22" s="40">
        <f t="shared" si="3"/>
        <v>0</v>
      </c>
      <c r="K22" s="40">
        <f t="shared" si="4"/>
        <v>0</v>
      </c>
      <c r="L22" s="40"/>
      <c r="M22" s="40">
        <f t="shared" si="5"/>
        <v>-0.379539999878034</v>
      </c>
      <c r="N22" s="17"/>
    </row>
    <row r="23" spans="1:17">
      <c r="A23" s="26">
        <v>20</v>
      </c>
      <c r="B23" s="27">
        <v>46193</v>
      </c>
      <c r="C23" s="17"/>
      <c r="D23" s="17"/>
      <c r="E23" s="372"/>
      <c r="F23" s="93"/>
      <c r="G23" s="40">
        <v>0</v>
      </c>
      <c r="H23" s="44"/>
      <c r="I23" s="44"/>
      <c r="J23" s="40">
        <v>0</v>
      </c>
      <c r="K23" s="40">
        <v>0</v>
      </c>
      <c r="L23" s="40"/>
      <c r="M23" s="40">
        <f t="shared" si="5"/>
        <v>-0.379539999878034</v>
      </c>
      <c r="N23" s="17"/>
    </row>
    <row r="24" spans="1:17">
      <c r="A24" s="26">
        <v>21</v>
      </c>
      <c r="B24" s="27">
        <v>46194</v>
      </c>
      <c r="C24" s="17"/>
      <c r="D24" s="17"/>
      <c r="E24" s="372"/>
      <c r="F24" s="93"/>
      <c r="G24" s="40">
        <f t="shared" si="2"/>
        <v>0</v>
      </c>
      <c r="H24" s="44"/>
      <c r="I24" s="44"/>
      <c r="J24" s="40">
        <f t="shared" si="3"/>
        <v>0</v>
      </c>
      <c r="K24" s="40">
        <f t="shared" si="4"/>
        <v>0</v>
      </c>
      <c r="L24" s="40"/>
      <c r="M24" s="40">
        <f t="shared" si="5"/>
        <v>-0.379539999878034</v>
      </c>
      <c r="N24" s="17"/>
      <c r="P24" s="22"/>
    </row>
    <row r="25" spans="1:17">
      <c r="A25" s="26">
        <v>22</v>
      </c>
      <c r="B25" s="27">
        <v>46195</v>
      </c>
      <c r="C25" s="17"/>
      <c r="D25" s="17"/>
      <c r="E25" s="372"/>
      <c r="F25" s="93"/>
      <c r="G25" s="40">
        <f t="shared" si="2"/>
        <v>0</v>
      </c>
      <c r="H25" s="44"/>
      <c r="I25" s="44"/>
      <c r="J25" s="40">
        <f t="shared" si="3"/>
        <v>0</v>
      </c>
      <c r="K25" s="40">
        <f t="shared" si="4"/>
        <v>0</v>
      </c>
      <c r="L25" s="40"/>
      <c r="M25" s="40">
        <f t="shared" si="5"/>
        <v>-0.379539999878034</v>
      </c>
      <c r="N25" s="17"/>
    </row>
    <row r="26" spans="1:17">
      <c r="A26" s="26">
        <v>23</v>
      </c>
      <c r="B26" s="27">
        <v>46196</v>
      </c>
      <c r="C26" s="17"/>
      <c r="D26" s="17"/>
      <c r="E26" s="372"/>
      <c r="F26" s="93"/>
      <c r="G26" s="40">
        <f t="shared" si="2"/>
        <v>0</v>
      </c>
      <c r="H26" s="44"/>
      <c r="I26" s="44"/>
      <c r="J26" s="40">
        <f t="shared" si="3"/>
        <v>0</v>
      </c>
      <c r="K26" s="40">
        <f t="shared" si="4"/>
        <v>0</v>
      </c>
      <c r="L26" s="40"/>
      <c r="M26" s="40">
        <f t="shared" si="5"/>
        <v>-0.379539999878034</v>
      </c>
      <c r="N26" s="17"/>
    </row>
    <row r="27" spans="1:17">
      <c r="A27" s="26">
        <v>24</v>
      </c>
      <c r="B27" s="27">
        <v>46197</v>
      </c>
      <c r="C27" s="17"/>
      <c r="D27" s="17"/>
      <c r="E27" s="372"/>
      <c r="F27" s="93"/>
      <c r="G27" s="40">
        <f t="shared" si="2"/>
        <v>0</v>
      </c>
      <c r="H27" s="44"/>
      <c r="I27" s="44"/>
      <c r="J27" s="40">
        <f t="shared" si="3"/>
        <v>0</v>
      </c>
      <c r="K27" s="40">
        <f t="shared" si="4"/>
        <v>0</v>
      </c>
      <c r="L27" s="40"/>
      <c r="M27" s="40">
        <f t="shared" si="5"/>
        <v>-0.379539999878034</v>
      </c>
      <c r="N27" s="17"/>
    </row>
    <row r="28" spans="1:17">
      <c r="A28" s="26">
        <v>25</v>
      </c>
      <c r="B28" s="27">
        <v>46198</v>
      </c>
      <c r="C28" s="17"/>
      <c r="D28" s="17"/>
      <c r="E28" s="372"/>
      <c r="F28" s="93"/>
      <c r="G28" s="40">
        <f t="shared" si="2"/>
        <v>0</v>
      </c>
      <c r="H28" s="44"/>
      <c r="I28" s="44"/>
      <c r="J28" s="40">
        <f t="shared" si="3"/>
        <v>0</v>
      </c>
      <c r="K28" s="40">
        <f t="shared" si="4"/>
        <v>0</v>
      </c>
      <c r="L28" s="40"/>
      <c r="M28" s="40">
        <f t="shared" si="5"/>
        <v>-0.379539999878034</v>
      </c>
      <c r="N28" s="17"/>
    </row>
    <row r="29" spans="1:17">
      <c r="A29" s="26">
        <v>26</v>
      </c>
      <c r="B29" s="27">
        <v>46199</v>
      </c>
      <c r="C29" s="17"/>
      <c r="D29" s="17"/>
      <c r="E29" s="372"/>
      <c r="F29" s="93"/>
      <c r="G29" s="40">
        <f t="shared" si="2"/>
        <v>0</v>
      </c>
      <c r="H29" s="44"/>
      <c r="I29" s="44"/>
      <c r="J29" s="40">
        <f t="shared" si="3"/>
        <v>0</v>
      </c>
      <c r="K29" s="40">
        <f t="shared" si="4"/>
        <v>0</v>
      </c>
      <c r="L29" s="40"/>
      <c r="M29" s="40">
        <f t="shared" si="5"/>
        <v>-0.379539999878034</v>
      </c>
      <c r="N29" s="17"/>
    </row>
    <row r="30" spans="1:17">
      <c r="A30" s="26">
        <v>27</v>
      </c>
      <c r="B30" s="27">
        <v>46200</v>
      </c>
      <c r="C30" s="17"/>
      <c r="D30" s="17"/>
      <c r="E30" s="372"/>
      <c r="F30" s="93"/>
      <c r="G30" s="40">
        <f t="shared" si="2"/>
        <v>0</v>
      </c>
      <c r="H30" s="44"/>
      <c r="I30" s="44"/>
      <c r="J30" s="40">
        <f t="shared" si="3"/>
        <v>0</v>
      </c>
      <c r="K30" s="40">
        <f t="shared" si="4"/>
        <v>0</v>
      </c>
      <c r="L30" s="40"/>
      <c r="M30" s="40">
        <f t="shared" si="5"/>
        <v>-0.379539999878034</v>
      </c>
      <c r="N30" s="17"/>
      <c r="P30" s="22"/>
    </row>
    <row r="31" spans="1:17">
      <c r="A31" s="26">
        <v>28</v>
      </c>
      <c r="B31" s="27">
        <v>46201</v>
      </c>
      <c r="C31" s="17"/>
      <c r="D31" s="17"/>
      <c r="E31" s="372"/>
      <c r="F31" s="93"/>
      <c r="G31" s="40">
        <f t="shared" si="2"/>
        <v>0</v>
      </c>
      <c r="H31" s="44"/>
      <c r="I31" s="44"/>
      <c r="J31" s="40">
        <f t="shared" si="3"/>
        <v>0</v>
      </c>
      <c r="K31" s="40">
        <f t="shared" si="4"/>
        <v>0</v>
      </c>
      <c r="L31" s="40"/>
      <c r="M31" s="40">
        <f t="shared" si="5"/>
        <v>-0.379539999878034</v>
      </c>
      <c r="N31" s="17"/>
    </row>
    <row r="32" spans="1:17">
      <c r="A32" s="26">
        <v>29</v>
      </c>
      <c r="B32" s="27">
        <v>46202</v>
      </c>
      <c r="C32" s="17"/>
      <c r="D32" s="230"/>
      <c r="E32" s="372"/>
      <c r="F32" s="93"/>
      <c r="G32" s="40">
        <f t="shared" si="2"/>
        <v>0</v>
      </c>
      <c r="H32" s="44"/>
      <c r="I32" s="44"/>
      <c r="J32" s="40">
        <f t="shared" si="3"/>
        <v>0</v>
      </c>
      <c r="K32" s="40">
        <f t="shared" si="4"/>
        <v>0</v>
      </c>
      <c r="L32" s="40"/>
      <c r="M32" s="40">
        <f t="shared" si="5"/>
        <v>-0.379539999878034</v>
      </c>
      <c r="N32" s="17"/>
      <c r="Q32">
        <v>166834</v>
      </c>
    </row>
    <row r="33" spans="1:17">
      <c r="A33" s="26">
        <v>30</v>
      </c>
      <c r="B33" s="27">
        <v>46203</v>
      </c>
      <c r="C33" s="17"/>
      <c r="D33" s="17"/>
      <c r="E33" s="372"/>
      <c r="F33" s="93"/>
      <c r="G33" s="40">
        <f t="shared" si="2"/>
        <v>0</v>
      </c>
      <c r="H33" s="44"/>
      <c r="I33" s="44"/>
      <c r="J33" s="40">
        <f t="shared" si="3"/>
        <v>0</v>
      </c>
      <c r="K33" s="40">
        <f t="shared" si="4"/>
        <v>0</v>
      </c>
      <c r="L33" s="40"/>
      <c r="M33" s="40">
        <f t="shared" si="5"/>
        <v>-0.379539999878034</v>
      </c>
      <c r="N33" s="17"/>
    </row>
    <row r="34" spans="1:17">
      <c r="A34" s="26">
        <v>31</v>
      </c>
      <c r="B34" s="27"/>
      <c r="C34" s="17"/>
      <c r="D34" s="17"/>
      <c r="E34" s="372"/>
      <c r="F34" s="93"/>
      <c r="G34" s="40">
        <f t="shared" si="2"/>
        <v>0</v>
      </c>
      <c r="H34" s="44"/>
      <c r="I34" s="44"/>
      <c r="J34" s="40">
        <f t="shared" si="3"/>
        <v>0</v>
      </c>
      <c r="K34" s="40">
        <f t="shared" si="4"/>
        <v>0</v>
      </c>
      <c r="L34" s="40"/>
      <c r="M34" s="40">
        <f t="shared" si="5"/>
        <v>-0.379539999878034</v>
      </c>
      <c r="N34" s="17"/>
    </row>
    <row r="35" spans="1:17">
      <c r="A35" s="26">
        <v>32</v>
      </c>
      <c r="B35" s="27"/>
      <c r="C35" s="17"/>
      <c r="D35" s="17"/>
      <c r="E35" s="372"/>
      <c r="F35" s="93"/>
      <c r="G35" s="40">
        <f t="shared" si="2"/>
        <v>0</v>
      </c>
      <c r="H35" s="44"/>
      <c r="I35" s="44"/>
      <c r="J35" s="40">
        <f t="shared" si="3"/>
        <v>0</v>
      </c>
      <c r="K35" s="40">
        <f t="shared" si="4"/>
        <v>0</v>
      </c>
      <c r="L35" s="40"/>
      <c r="M35" s="40">
        <f t="shared" si="5"/>
        <v>-0.379539999878034</v>
      </c>
      <c r="N35" s="17"/>
    </row>
    <row r="36" spans="1:17">
      <c r="A36" s="26">
        <v>33</v>
      </c>
      <c r="B36" s="27"/>
      <c r="C36" s="17"/>
      <c r="D36" s="17"/>
      <c r="E36" s="372"/>
      <c r="F36" s="93"/>
      <c r="G36" s="40">
        <f t="shared" si="2"/>
        <v>0</v>
      </c>
      <c r="H36" s="44"/>
      <c r="I36" s="44"/>
      <c r="J36" s="40">
        <f t="shared" si="3"/>
        <v>0</v>
      </c>
      <c r="K36" s="40">
        <f t="shared" si="4"/>
        <v>0</v>
      </c>
      <c r="L36" s="40"/>
      <c r="M36" s="40">
        <f t="shared" si="5"/>
        <v>-0.379539999878034</v>
      </c>
      <c r="N36" s="17"/>
    </row>
    <row r="37" spans="1:17">
      <c r="A37" s="26">
        <v>34</v>
      </c>
      <c r="B37" s="27"/>
      <c r="C37" s="17"/>
      <c r="D37" s="17"/>
      <c r="E37" s="372"/>
      <c r="F37" s="93"/>
      <c r="G37" s="40">
        <f t="shared" si="2"/>
        <v>0</v>
      </c>
      <c r="H37" s="44"/>
      <c r="I37" s="44"/>
      <c r="J37" s="40">
        <f t="shared" si="3"/>
        <v>0</v>
      </c>
      <c r="K37" s="40">
        <f t="shared" si="4"/>
        <v>0</v>
      </c>
      <c r="L37" s="40"/>
      <c r="M37" s="40">
        <f t="shared" si="5"/>
        <v>-0.379539999878034</v>
      </c>
      <c r="N37" s="17"/>
      <c r="Q37" s="241"/>
    </row>
    <row r="38" spans="1:17">
      <c r="A38" s="26">
        <v>35</v>
      </c>
      <c r="B38" s="27"/>
      <c r="C38" s="17"/>
      <c r="D38" s="17"/>
      <c r="E38" s="372"/>
      <c r="F38" s="93"/>
      <c r="G38" s="40">
        <f t="shared" si="2"/>
        <v>0</v>
      </c>
      <c r="H38" s="44"/>
      <c r="I38" s="44"/>
      <c r="J38" s="40">
        <f t="shared" si="3"/>
        <v>0</v>
      </c>
      <c r="K38" s="40">
        <f t="shared" si="4"/>
        <v>0</v>
      </c>
      <c r="L38" s="40"/>
      <c r="M38" s="40">
        <f t="shared" si="5"/>
        <v>-0.379539999878034</v>
      </c>
      <c r="N38" s="17"/>
      <c r="Q38" s="241"/>
    </row>
    <row r="39" spans="1:17">
      <c r="A39" s="26">
        <v>36</v>
      </c>
      <c r="B39" s="27"/>
      <c r="C39" s="17"/>
      <c r="D39" s="17"/>
      <c r="E39" s="93"/>
      <c r="F39" s="93"/>
      <c r="G39" s="40">
        <f t="shared" ref="G5:G39" si="6">E39*F39</f>
        <v>0</v>
      </c>
      <c r="H39" s="44"/>
      <c r="I39" s="44"/>
      <c r="J39" s="40">
        <f t="shared" ref="J5:J39" si="7">H39*I39</f>
        <v>0</v>
      </c>
      <c r="K39" s="40">
        <f t="shared" si="4"/>
        <v>0</v>
      </c>
      <c r="L39" s="40"/>
      <c r="M39" s="40">
        <f t="shared" si="5"/>
        <v>-0.379539999878034</v>
      </c>
      <c r="N39" s="17"/>
      <c r="Q39" s="241"/>
    </row>
    <row r="40" spans="1:17">
      <c r="A40" s="42"/>
      <c r="B40" s="42"/>
      <c r="C40" s="42"/>
      <c r="D40" s="42"/>
      <c r="E40" s="42">
        <f>SUM(E4:E39)</f>
        <v>1500</v>
      </c>
      <c r="F40" s="42"/>
      <c r="G40" s="42">
        <f>SUM(G4:G39)</f>
        <v>149025</v>
      </c>
      <c r="H40" s="42">
        <f>SUM(H4:H39)</f>
        <v>0</v>
      </c>
      <c r="I40" s="42"/>
      <c r="J40" s="42">
        <f>SUM(J4:J39)</f>
        <v>0</v>
      </c>
      <c r="K40" s="42">
        <f>SUM(K4:K39)</f>
        <v>149025</v>
      </c>
      <c r="L40" s="42">
        <f>SUM(L4:L39)</f>
        <v>594027</v>
      </c>
      <c r="M40" s="42"/>
      <c r="N40" s="42"/>
    </row>
  </sheetData>
  <mergeCells count="1">
    <mergeCell ref="A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86DD-CD71-4150-9FE7-AC077EDC0FB9}">
  <dimension ref="A1:R39"/>
  <sheetViews>
    <sheetView workbookViewId="0">
      <selection activeCell="M38" sqref="M38"/>
    </sheetView>
  </sheetViews>
  <sheetFormatPr defaultRowHeight="15"/>
  <cols>
    <col min="1" max="1" width="5.140625" bestFit="1" customWidth="1"/>
    <col min="2" max="2" width="10.5703125" bestFit="1" customWidth="1"/>
    <col min="6" max="6" width="16.42578125" customWidth="1"/>
    <col min="11" max="11" width="13.5703125" bestFit="1" customWidth="1"/>
    <col min="12" max="12" width="10.42578125" bestFit="1" customWidth="1"/>
    <col min="13" max="13" width="11.28515625" bestFit="1" customWidth="1"/>
  </cols>
  <sheetData>
    <row r="1" spans="1:18" ht="15.75">
      <c r="A1" s="572" t="s">
        <v>330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92"/>
      <c r="P1" s="92"/>
      <c r="Q1" s="92"/>
    </row>
    <row r="2" spans="1:18">
      <c r="A2" s="64" t="s">
        <v>0</v>
      </c>
      <c r="B2" s="64" t="s">
        <v>167</v>
      </c>
      <c r="C2" s="64" t="s">
        <v>168</v>
      </c>
      <c r="D2" s="64" t="s">
        <v>169</v>
      </c>
      <c r="E2" s="91" t="s">
        <v>170</v>
      </c>
      <c r="F2" s="91" t="s">
        <v>171</v>
      </c>
      <c r="G2" s="91" t="s">
        <v>172</v>
      </c>
      <c r="H2" s="91" t="s">
        <v>173</v>
      </c>
      <c r="I2" s="91" t="s">
        <v>171</v>
      </c>
      <c r="J2" s="91" t="s">
        <v>172</v>
      </c>
      <c r="K2" s="91" t="s">
        <v>174</v>
      </c>
      <c r="L2" s="85" t="s">
        <v>175</v>
      </c>
      <c r="M2" s="85" t="s">
        <v>176</v>
      </c>
      <c r="N2" s="64" t="s">
        <v>177</v>
      </c>
    </row>
    <row r="3" spans="1:18">
      <c r="A3" s="17"/>
      <c r="B3" s="17"/>
      <c r="C3" s="17"/>
      <c r="D3" s="17" t="s">
        <v>178</v>
      </c>
      <c r="E3" s="17"/>
      <c r="F3" s="17"/>
      <c r="G3" s="17"/>
      <c r="H3" s="17"/>
      <c r="I3" s="17"/>
      <c r="J3" s="17"/>
      <c r="K3" s="40">
        <v>277716.1471</v>
      </c>
      <c r="L3" s="17"/>
      <c r="M3" s="40">
        <v>277716.1471</v>
      </c>
      <c r="N3" s="17"/>
      <c r="O3" s="40">
        <v>26506.399999999994</v>
      </c>
    </row>
    <row r="4" spans="1:18">
      <c r="A4" s="26">
        <v>1</v>
      </c>
      <c r="B4" s="27">
        <v>46174</v>
      </c>
      <c r="C4" s="17"/>
      <c r="D4" s="17"/>
      <c r="E4" s="372"/>
      <c r="F4" s="93"/>
      <c r="G4" s="40">
        <f t="shared" ref="G4:G38" si="0">E4*F4</f>
        <v>0</v>
      </c>
      <c r="H4" s="44"/>
      <c r="I4" s="44"/>
      <c r="J4" s="40">
        <f t="shared" ref="J4:J38" si="1">H4*I4</f>
        <v>0</v>
      </c>
      <c r="K4" s="40">
        <f>G4+J4</f>
        <v>0</v>
      </c>
      <c r="L4" s="40"/>
      <c r="M4" s="40">
        <f>M3+K4-L4</f>
        <v>277716.1471</v>
      </c>
      <c r="N4" s="17"/>
    </row>
    <row r="5" spans="1:18">
      <c r="A5" s="26">
        <v>2</v>
      </c>
      <c r="B5" s="27">
        <v>46175</v>
      </c>
      <c r="C5" s="339"/>
      <c r="D5" s="17"/>
      <c r="E5" s="372"/>
      <c r="F5" s="93"/>
      <c r="G5" s="40">
        <f t="shared" si="0"/>
        <v>0</v>
      </c>
      <c r="H5" s="44"/>
      <c r="I5" s="44"/>
      <c r="J5" s="40">
        <f t="shared" si="1"/>
        <v>0</v>
      </c>
      <c r="K5" s="40">
        <f t="shared" ref="K5:K38" si="2">G5+J5</f>
        <v>0</v>
      </c>
      <c r="L5" s="40"/>
      <c r="M5" s="40">
        <f>M4+K5-L5</f>
        <v>277716.1471</v>
      </c>
      <c r="N5" s="17" t="s">
        <v>328</v>
      </c>
    </row>
    <row r="6" spans="1:18">
      <c r="A6" s="26">
        <v>3</v>
      </c>
      <c r="B6" s="27">
        <v>46176</v>
      </c>
      <c r="C6" s="17"/>
      <c r="D6" s="17"/>
      <c r="E6" s="372">
        <v>800</v>
      </c>
      <c r="F6" s="93">
        <v>99.13</v>
      </c>
      <c r="G6" s="40">
        <f t="shared" si="0"/>
        <v>79304</v>
      </c>
      <c r="H6" s="44">
        <v>30</v>
      </c>
      <c r="I6" s="44">
        <v>111.21</v>
      </c>
      <c r="J6" s="40">
        <f t="shared" si="1"/>
        <v>3336.2999999999997</v>
      </c>
      <c r="K6" s="40">
        <f t="shared" si="2"/>
        <v>82640.3</v>
      </c>
      <c r="L6" s="40"/>
      <c r="M6" s="40">
        <f>M5+K6-L6</f>
        <v>360356.44709999999</v>
      </c>
      <c r="N6" s="17"/>
    </row>
    <row r="7" spans="1:18">
      <c r="A7" s="26">
        <v>4</v>
      </c>
      <c r="B7" s="27">
        <v>46177</v>
      </c>
      <c r="C7" s="17"/>
      <c r="D7" s="17"/>
      <c r="E7" s="372">
        <v>300</v>
      </c>
      <c r="F7" s="93">
        <v>99.13</v>
      </c>
      <c r="G7" s="40">
        <f t="shared" si="0"/>
        <v>29739</v>
      </c>
      <c r="H7" s="44"/>
      <c r="I7" s="44"/>
      <c r="J7" s="40">
        <f t="shared" si="1"/>
        <v>0</v>
      </c>
      <c r="K7" s="40">
        <f t="shared" si="2"/>
        <v>29739</v>
      </c>
      <c r="L7" s="40"/>
      <c r="M7" s="40">
        <f>M6+K7-L7</f>
        <v>390095.44709999999</v>
      </c>
      <c r="N7" s="17"/>
    </row>
    <row r="8" spans="1:18">
      <c r="A8" s="26">
        <v>5</v>
      </c>
      <c r="B8" s="27">
        <v>46178</v>
      </c>
      <c r="C8" s="17"/>
      <c r="D8" s="17"/>
      <c r="E8" s="372">
        <v>400</v>
      </c>
      <c r="F8" s="93">
        <v>99.13</v>
      </c>
      <c r="G8" s="40">
        <f t="shared" si="0"/>
        <v>39652</v>
      </c>
      <c r="H8" s="44">
        <v>20</v>
      </c>
      <c r="I8" s="44">
        <v>111.21</v>
      </c>
      <c r="J8" s="40">
        <f t="shared" si="1"/>
        <v>2224.1999999999998</v>
      </c>
      <c r="K8" s="40">
        <f t="shared" si="2"/>
        <v>41876.199999999997</v>
      </c>
      <c r="L8" s="40"/>
      <c r="M8" s="40">
        <f>M7+K8-L8</f>
        <v>431971.6471</v>
      </c>
      <c r="N8" s="17"/>
      <c r="R8" t="s">
        <v>329</v>
      </c>
    </row>
    <row r="9" spans="1:18">
      <c r="A9" s="26">
        <v>6</v>
      </c>
      <c r="B9" s="27">
        <v>46179</v>
      </c>
      <c r="C9" s="17"/>
      <c r="D9" s="17"/>
      <c r="E9" s="372">
        <v>500</v>
      </c>
      <c r="F9" s="93">
        <v>99.13</v>
      </c>
      <c r="G9" s="40">
        <v>49565</v>
      </c>
      <c r="H9" s="44"/>
      <c r="I9" s="44"/>
      <c r="J9" s="40">
        <f t="shared" si="1"/>
        <v>0</v>
      </c>
      <c r="K9" s="40">
        <f t="shared" si="2"/>
        <v>49565</v>
      </c>
      <c r="L9" s="40"/>
      <c r="M9" s="40">
        <f t="shared" ref="M9:M38" si="3">M8+K9-L9</f>
        <v>481536.6471</v>
      </c>
      <c r="N9" s="17"/>
    </row>
    <row r="10" spans="1:18">
      <c r="A10" s="26">
        <v>7</v>
      </c>
      <c r="B10" s="27">
        <v>46180</v>
      </c>
      <c r="C10" s="17"/>
      <c r="D10" s="17"/>
      <c r="E10" s="372">
        <v>600</v>
      </c>
      <c r="F10" s="93">
        <v>99.13</v>
      </c>
      <c r="G10" s="40">
        <v>59478</v>
      </c>
      <c r="H10" s="44"/>
      <c r="I10" s="44"/>
      <c r="J10" s="40">
        <f t="shared" si="1"/>
        <v>0</v>
      </c>
      <c r="K10" s="40">
        <f t="shared" si="2"/>
        <v>59478</v>
      </c>
      <c r="L10" s="40"/>
      <c r="M10" s="40">
        <f t="shared" si="3"/>
        <v>541014.64709999994</v>
      </c>
      <c r="N10" s="17"/>
      <c r="R10" t="str">
        <f>PROPER(R8)</f>
        <v xml:space="preserve">Sai Shiva Filling Station </v>
      </c>
    </row>
    <row r="11" spans="1:18">
      <c r="A11" s="26">
        <v>8</v>
      </c>
      <c r="B11" s="27">
        <v>46181</v>
      </c>
      <c r="C11" s="17"/>
      <c r="D11" s="17"/>
      <c r="E11" s="372">
        <v>300</v>
      </c>
      <c r="F11" s="93">
        <v>99.13</v>
      </c>
      <c r="G11" s="40">
        <f t="shared" si="0"/>
        <v>29739</v>
      </c>
      <c r="H11" s="44">
        <v>20</v>
      </c>
      <c r="I11" s="44">
        <v>111.21</v>
      </c>
      <c r="J11" s="40">
        <f t="shared" si="1"/>
        <v>2224.1999999999998</v>
      </c>
      <c r="K11" s="40">
        <f t="shared" si="2"/>
        <v>31963.200000000001</v>
      </c>
      <c r="L11" s="40">
        <v>540350</v>
      </c>
      <c r="M11" s="40">
        <f t="shared" si="3"/>
        <v>32627.847099999897</v>
      </c>
      <c r="N11" s="17"/>
    </row>
    <row r="12" spans="1:18">
      <c r="A12" s="26">
        <v>9</v>
      </c>
      <c r="B12" s="27">
        <v>46182</v>
      </c>
      <c r="C12" s="17"/>
      <c r="D12" s="17"/>
      <c r="E12" s="412">
        <v>121.29</v>
      </c>
      <c r="F12" s="93">
        <v>99.13</v>
      </c>
      <c r="G12" s="40">
        <f t="shared" si="0"/>
        <v>12023.477699999999</v>
      </c>
      <c r="H12" s="44"/>
      <c r="I12" s="44"/>
      <c r="J12" s="40">
        <f t="shared" si="1"/>
        <v>0</v>
      </c>
      <c r="K12" s="40">
        <f t="shared" si="2"/>
        <v>12023.477699999999</v>
      </c>
      <c r="L12" s="40"/>
      <c r="M12" s="40">
        <f t="shared" si="3"/>
        <v>44651.3247999999</v>
      </c>
      <c r="N12" s="17"/>
    </row>
    <row r="13" spans="1:18">
      <c r="A13" s="26">
        <v>10</v>
      </c>
      <c r="B13" s="27">
        <v>46183</v>
      </c>
      <c r="C13" s="17"/>
      <c r="D13" s="17"/>
      <c r="E13" s="412">
        <v>800</v>
      </c>
      <c r="F13" s="412">
        <v>99.13</v>
      </c>
      <c r="G13" s="40">
        <f t="shared" si="0"/>
        <v>79304</v>
      </c>
      <c r="H13" s="44">
        <v>30</v>
      </c>
      <c r="I13" s="44">
        <v>111.21</v>
      </c>
      <c r="J13" s="40">
        <f t="shared" si="1"/>
        <v>3336.2999999999997</v>
      </c>
      <c r="K13" s="40">
        <f t="shared" si="2"/>
        <v>82640.3</v>
      </c>
      <c r="L13" s="40"/>
      <c r="M13" s="40">
        <f t="shared" si="3"/>
        <v>127291.6247999999</v>
      </c>
      <c r="N13" s="17"/>
    </row>
    <row r="14" spans="1:18">
      <c r="A14" s="26">
        <v>11</v>
      </c>
      <c r="B14" s="27">
        <v>46184</v>
      </c>
      <c r="C14" s="17"/>
      <c r="D14" s="17"/>
      <c r="E14" s="372">
        <v>500</v>
      </c>
      <c r="F14" s="93">
        <v>99.13</v>
      </c>
      <c r="G14" s="40">
        <f t="shared" si="0"/>
        <v>49565</v>
      </c>
      <c r="H14" s="44"/>
      <c r="I14" s="44"/>
      <c r="J14" s="40">
        <f t="shared" si="1"/>
        <v>0</v>
      </c>
      <c r="K14" s="40">
        <f t="shared" si="2"/>
        <v>49565</v>
      </c>
      <c r="L14" s="40"/>
      <c r="M14" s="40">
        <f t="shared" si="3"/>
        <v>176856.6247999999</v>
      </c>
      <c r="N14" s="17"/>
    </row>
    <row r="15" spans="1:18">
      <c r="A15" s="26">
        <v>12</v>
      </c>
      <c r="B15" s="27">
        <v>46185</v>
      </c>
      <c r="C15" s="17"/>
      <c r="D15" s="17"/>
      <c r="E15" s="372">
        <v>500</v>
      </c>
      <c r="F15" s="93">
        <v>99.13</v>
      </c>
      <c r="G15" s="40">
        <f t="shared" si="0"/>
        <v>49565</v>
      </c>
      <c r="H15" s="44"/>
      <c r="I15" s="44"/>
      <c r="J15" s="40">
        <f t="shared" si="1"/>
        <v>0</v>
      </c>
      <c r="K15" s="40">
        <f t="shared" si="2"/>
        <v>49565</v>
      </c>
      <c r="L15" s="40"/>
      <c r="M15" s="40">
        <f t="shared" si="3"/>
        <v>226421.6247999999</v>
      </c>
      <c r="N15" s="17"/>
    </row>
    <row r="16" spans="1:18">
      <c r="A16" s="26">
        <v>13</v>
      </c>
      <c r="B16" s="27">
        <v>46186</v>
      </c>
      <c r="C16" s="17"/>
      <c r="D16" s="93"/>
      <c r="E16" s="372">
        <v>600</v>
      </c>
      <c r="F16" s="93">
        <v>99.13</v>
      </c>
      <c r="G16" s="40">
        <f t="shared" si="0"/>
        <v>59478</v>
      </c>
      <c r="H16" s="44">
        <v>20</v>
      </c>
      <c r="I16" s="44">
        <v>111.21</v>
      </c>
      <c r="J16" s="40">
        <f t="shared" si="1"/>
        <v>2224.1999999999998</v>
      </c>
      <c r="K16" s="40">
        <f t="shared" si="2"/>
        <v>61702.2</v>
      </c>
      <c r="L16" s="40"/>
      <c r="M16" s="40">
        <f t="shared" si="3"/>
        <v>288123.82479999989</v>
      </c>
      <c r="N16" s="17"/>
    </row>
    <row r="17" spans="1:17">
      <c r="A17" s="26">
        <v>14</v>
      </c>
      <c r="B17" s="27">
        <v>46187</v>
      </c>
      <c r="C17" s="17"/>
      <c r="D17" s="93"/>
      <c r="E17" s="372">
        <v>800</v>
      </c>
      <c r="F17" s="93">
        <v>99.13</v>
      </c>
      <c r="G17" s="40">
        <f t="shared" si="0"/>
        <v>79304</v>
      </c>
      <c r="H17" s="44"/>
      <c r="I17" s="44"/>
      <c r="J17" s="40">
        <f t="shared" si="1"/>
        <v>0</v>
      </c>
      <c r="K17" s="40">
        <f t="shared" si="2"/>
        <v>79304</v>
      </c>
      <c r="L17" s="40"/>
      <c r="M17" s="40">
        <f t="shared" si="3"/>
        <v>367427.82479999989</v>
      </c>
      <c r="N17" s="17"/>
    </row>
    <row r="18" spans="1:17">
      <c r="A18" s="26">
        <v>15</v>
      </c>
      <c r="B18" s="27">
        <v>46188</v>
      </c>
      <c r="C18" s="17"/>
      <c r="D18" s="17">
        <v>0</v>
      </c>
      <c r="E18" s="372">
        <v>600</v>
      </c>
      <c r="F18" s="93">
        <v>99.13</v>
      </c>
      <c r="G18" s="40">
        <f t="shared" si="0"/>
        <v>59478</v>
      </c>
      <c r="H18" s="44">
        <v>20</v>
      </c>
      <c r="I18" s="44">
        <v>111.21</v>
      </c>
      <c r="J18" s="40">
        <f t="shared" si="1"/>
        <v>2224.1999999999998</v>
      </c>
      <c r="K18" s="40">
        <f t="shared" si="2"/>
        <v>61702.2</v>
      </c>
      <c r="L18" s="40"/>
      <c r="M18" s="40">
        <f t="shared" si="3"/>
        <v>429130.0247999999</v>
      </c>
      <c r="N18" s="17"/>
      <c r="Q18" s="327"/>
    </row>
    <row r="19" spans="1:17">
      <c r="A19" s="26">
        <v>16</v>
      </c>
      <c r="B19" s="27">
        <v>46189</v>
      </c>
      <c r="C19" s="17"/>
      <c r="D19" s="17"/>
      <c r="E19" s="372">
        <v>400</v>
      </c>
      <c r="F19" s="93">
        <v>99.13</v>
      </c>
      <c r="G19" s="40">
        <f t="shared" si="0"/>
        <v>39652</v>
      </c>
      <c r="H19" s="44"/>
      <c r="I19" s="44"/>
      <c r="J19" s="40">
        <f t="shared" si="1"/>
        <v>0</v>
      </c>
      <c r="K19" s="40">
        <f t="shared" si="2"/>
        <v>39652</v>
      </c>
      <c r="L19" s="40">
        <v>380000</v>
      </c>
      <c r="M19" s="40">
        <f t="shared" si="3"/>
        <v>88782.024799999897</v>
      </c>
      <c r="N19" s="17"/>
    </row>
    <row r="20" spans="1:17">
      <c r="A20" s="26">
        <v>17</v>
      </c>
      <c r="B20" s="27">
        <v>46190</v>
      </c>
      <c r="C20" s="17"/>
      <c r="D20" s="17"/>
      <c r="E20" s="372">
        <v>500</v>
      </c>
      <c r="F20" s="93">
        <v>99.13</v>
      </c>
      <c r="G20" s="40">
        <f t="shared" si="0"/>
        <v>49565</v>
      </c>
      <c r="H20" s="44">
        <v>30</v>
      </c>
      <c r="I20" s="44">
        <v>111.21</v>
      </c>
      <c r="J20" s="40">
        <f t="shared" si="1"/>
        <v>3336.2999999999997</v>
      </c>
      <c r="K20" s="40">
        <f t="shared" si="2"/>
        <v>52901.3</v>
      </c>
      <c r="L20" s="40"/>
      <c r="M20" s="40">
        <f t="shared" si="3"/>
        <v>141683.32479999989</v>
      </c>
      <c r="N20" s="17"/>
    </row>
    <row r="21" spans="1:17">
      <c r="A21" s="26">
        <v>18</v>
      </c>
      <c r="B21" s="27">
        <v>46191</v>
      </c>
      <c r="C21" s="17"/>
      <c r="D21" s="17"/>
      <c r="E21" s="372">
        <v>500</v>
      </c>
      <c r="F21" s="93">
        <v>99.13</v>
      </c>
      <c r="G21" s="40">
        <f t="shared" si="0"/>
        <v>49565</v>
      </c>
      <c r="H21" s="44"/>
      <c r="I21" s="44"/>
      <c r="J21" s="40">
        <f t="shared" si="1"/>
        <v>0</v>
      </c>
      <c r="K21" s="40">
        <f t="shared" si="2"/>
        <v>49565</v>
      </c>
      <c r="L21" s="40"/>
      <c r="M21" s="40">
        <f t="shared" si="3"/>
        <v>191248.32479999989</v>
      </c>
      <c r="N21" s="17"/>
    </row>
    <row r="22" spans="1:17">
      <c r="A22" s="26">
        <v>19</v>
      </c>
      <c r="B22" s="27">
        <v>46192</v>
      </c>
      <c r="C22" s="17"/>
      <c r="D22" s="17"/>
      <c r="E22" s="372">
        <v>600</v>
      </c>
      <c r="F22" s="93">
        <v>99.13</v>
      </c>
      <c r="G22" s="40">
        <f t="shared" si="0"/>
        <v>59478</v>
      </c>
      <c r="H22" s="44"/>
      <c r="I22" s="44"/>
      <c r="J22" s="40">
        <f t="shared" si="1"/>
        <v>0</v>
      </c>
      <c r="K22" s="40">
        <f t="shared" si="2"/>
        <v>59478</v>
      </c>
      <c r="L22" s="40"/>
      <c r="M22" s="40">
        <f t="shared" si="3"/>
        <v>250726.32479999989</v>
      </c>
      <c r="N22" s="17"/>
    </row>
    <row r="23" spans="1:17">
      <c r="A23" s="26">
        <v>20</v>
      </c>
      <c r="B23" s="27">
        <v>46193</v>
      </c>
      <c r="C23" s="17"/>
      <c r="D23" s="17"/>
      <c r="E23" s="372">
        <v>400</v>
      </c>
      <c r="F23" s="93">
        <v>99.13</v>
      </c>
      <c r="G23" s="40">
        <f t="shared" si="0"/>
        <v>39652</v>
      </c>
      <c r="H23" s="44">
        <v>30</v>
      </c>
      <c r="I23" s="44">
        <v>111.21</v>
      </c>
      <c r="J23" s="40">
        <f t="shared" si="1"/>
        <v>3336.2999999999997</v>
      </c>
      <c r="K23" s="40">
        <f t="shared" si="2"/>
        <v>42988.3</v>
      </c>
      <c r="L23" s="40"/>
      <c r="M23" s="40">
        <f t="shared" si="3"/>
        <v>293714.62479999987</v>
      </c>
      <c r="N23" s="17"/>
    </row>
    <row r="24" spans="1:17">
      <c r="A24" s="26">
        <v>22</v>
      </c>
      <c r="B24" s="27">
        <v>46194</v>
      </c>
      <c r="C24" s="17"/>
      <c r="D24" s="17"/>
      <c r="E24" s="372">
        <v>200</v>
      </c>
      <c r="F24" s="93">
        <v>99.13</v>
      </c>
      <c r="G24" s="40">
        <f t="shared" si="0"/>
        <v>19826</v>
      </c>
      <c r="H24" s="44"/>
      <c r="I24" s="44"/>
      <c r="J24" s="40">
        <f t="shared" si="1"/>
        <v>0</v>
      </c>
      <c r="K24" s="40">
        <f t="shared" si="2"/>
        <v>19826</v>
      </c>
      <c r="L24" s="40"/>
      <c r="M24" s="40">
        <f t="shared" si="3"/>
        <v>313540.62479999987</v>
      </c>
      <c r="N24" s="17"/>
    </row>
    <row r="25" spans="1:17">
      <c r="A25" s="26">
        <v>23</v>
      </c>
      <c r="B25" s="27">
        <v>46195</v>
      </c>
      <c r="C25" s="17"/>
      <c r="D25" s="17"/>
      <c r="E25" s="372">
        <v>800</v>
      </c>
      <c r="F25" s="93">
        <v>99.13</v>
      </c>
      <c r="G25" s="40">
        <f t="shared" si="0"/>
        <v>79304</v>
      </c>
      <c r="H25" s="44"/>
      <c r="I25" s="44"/>
      <c r="J25" s="40">
        <f t="shared" si="1"/>
        <v>0</v>
      </c>
      <c r="K25" s="40">
        <f t="shared" si="2"/>
        <v>79304</v>
      </c>
      <c r="L25" s="40"/>
      <c r="M25" s="40">
        <f t="shared" si="3"/>
        <v>392844.62479999987</v>
      </c>
      <c r="N25" s="17"/>
    </row>
    <row r="26" spans="1:17">
      <c r="A26" s="26">
        <v>24</v>
      </c>
      <c r="B26" s="27">
        <v>46196</v>
      </c>
      <c r="C26" s="17"/>
      <c r="D26" s="17"/>
      <c r="E26" s="372">
        <v>700</v>
      </c>
      <c r="F26" s="93">
        <v>99.13</v>
      </c>
      <c r="G26" s="40">
        <f t="shared" si="0"/>
        <v>69391</v>
      </c>
      <c r="H26" s="44">
        <v>20</v>
      </c>
      <c r="I26" s="44">
        <v>111.21</v>
      </c>
      <c r="J26" s="40">
        <f t="shared" si="1"/>
        <v>2224.1999999999998</v>
      </c>
      <c r="K26" s="40">
        <f t="shared" si="2"/>
        <v>71615.199999999997</v>
      </c>
      <c r="L26" s="40"/>
      <c r="M26" s="40">
        <f t="shared" si="3"/>
        <v>464459.82479999989</v>
      </c>
      <c r="N26" s="17"/>
    </row>
    <row r="27" spans="1:17">
      <c r="A27" s="26">
        <v>25</v>
      </c>
      <c r="B27" s="27">
        <v>46197</v>
      </c>
      <c r="C27" s="17"/>
      <c r="D27" s="17"/>
      <c r="E27" s="372">
        <v>500</v>
      </c>
      <c r="F27" s="93">
        <v>99.13</v>
      </c>
      <c r="G27" s="40">
        <f t="shared" si="0"/>
        <v>49565</v>
      </c>
      <c r="H27" s="44"/>
      <c r="I27" s="44"/>
      <c r="J27" s="40">
        <f t="shared" si="1"/>
        <v>0</v>
      </c>
      <c r="K27" s="40">
        <f t="shared" si="2"/>
        <v>49565</v>
      </c>
      <c r="L27" s="40"/>
      <c r="M27" s="40">
        <f t="shared" si="3"/>
        <v>514024.82479999989</v>
      </c>
      <c r="N27" s="17"/>
    </row>
    <row r="28" spans="1:17">
      <c r="A28" s="26">
        <v>26</v>
      </c>
      <c r="B28" s="27">
        <v>46198</v>
      </c>
      <c r="C28" s="17"/>
      <c r="D28" s="17"/>
      <c r="E28" s="372">
        <v>300</v>
      </c>
      <c r="F28" s="93">
        <v>99.13</v>
      </c>
      <c r="G28" s="40">
        <f t="shared" si="0"/>
        <v>29739</v>
      </c>
      <c r="H28" s="44">
        <v>20</v>
      </c>
      <c r="I28" s="44">
        <v>111.21</v>
      </c>
      <c r="J28" s="40">
        <f t="shared" si="1"/>
        <v>2224.1999999999998</v>
      </c>
      <c r="K28" s="40">
        <f t="shared" si="2"/>
        <v>31963.200000000001</v>
      </c>
      <c r="L28" s="40">
        <v>300000</v>
      </c>
      <c r="M28" s="40">
        <f t="shared" si="3"/>
        <v>245988.0247999999</v>
      </c>
      <c r="N28" s="17"/>
    </row>
    <row r="29" spans="1:17">
      <c r="A29" s="26">
        <v>27</v>
      </c>
      <c r="B29" s="27">
        <v>46199</v>
      </c>
      <c r="C29" s="17"/>
      <c r="D29" s="17"/>
      <c r="E29" s="372">
        <v>700</v>
      </c>
      <c r="F29" s="93">
        <v>99.13</v>
      </c>
      <c r="G29" s="40">
        <f t="shared" si="0"/>
        <v>69391</v>
      </c>
      <c r="H29" s="44">
        <v>20</v>
      </c>
      <c r="I29" s="44">
        <v>111.21</v>
      </c>
      <c r="J29" s="40">
        <f t="shared" si="1"/>
        <v>2224.1999999999998</v>
      </c>
      <c r="K29" s="40">
        <f t="shared" si="2"/>
        <v>71615.199999999997</v>
      </c>
      <c r="L29" s="40"/>
      <c r="M29" s="40">
        <f t="shared" si="3"/>
        <v>317603.22479999991</v>
      </c>
      <c r="N29" s="17"/>
      <c r="P29" s="22"/>
    </row>
    <row r="30" spans="1:17">
      <c r="A30" s="26">
        <v>28</v>
      </c>
      <c r="B30" s="27">
        <v>46200</v>
      </c>
      <c r="C30" s="17"/>
      <c r="D30" s="17"/>
      <c r="E30" s="372"/>
      <c r="F30" s="93"/>
      <c r="G30" s="40">
        <f t="shared" si="0"/>
        <v>0</v>
      </c>
      <c r="H30" s="44"/>
      <c r="I30" s="44"/>
      <c r="J30" s="40">
        <f t="shared" si="1"/>
        <v>0</v>
      </c>
      <c r="K30" s="40">
        <f t="shared" si="2"/>
        <v>0</v>
      </c>
      <c r="L30" s="40"/>
      <c r="M30" s="40">
        <f t="shared" si="3"/>
        <v>317603.22479999991</v>
      </c>
      <c r="N30" s="17"/>
    </row>
    <row r="31" spans="1:17">
      <c r="A31" s="26">
        <v>29</v>
      </c>
      <c r="B31" s="27">
        <v>46201</v>
      </c>
      <c r="C31" s="17"/>
      <c r="D31" s="230"/>
      <c r="E31" s="372"/>
      <c r="F31" s="93"/>
      <c r="G31" s="40">
        <f t="shared" si="0"/>
        <v>0</v>
      </c>
      <c r="H31" s="44"/>
      <c r="I31" s="44"/>
      <c r="J31" s="40">
        <f t="shared" si="1"/>
        <v>0</v>
      </c>
      <c r="K31" s="40">
        <f t="shared" si="2"/>
        <v>0</v>
      </c>
      <c r="L31" s="40"/>
      <c r="M31" s="40">
        <f t="shared" si="3"/>
        <v>317603.22479999991</v>
      </c>
      <c r="N31" s="17"/>
      <c r="Q31">
        <v>166834</v>
      </c>
    </row>
    <row r="32" spans="1:17">
      <c r="A32" s="26">
        <v>30</v>
      </c>
      <c r="B32" s="27">
        <v>46202</v>
      </c>
      <c r="C32" s="17"/>
      <c r="D32" s="17"/>
      <c r="E32" s="372">
        <v>800</v>
      </c>
      <c r="F32" s="93">
        <v>99.13</v>
      </c>
      <c r="G32" s="40">
        <f t="shared" si="0"/>
        <v>79304</v>
      </c>
      <c r="H32" s="44">
        <v>20</v>
      </c>
      <c r="I32" s="44">
        <v>111.21</v>
      </c>
      <c r="J32" s="40">
        <f t="shared" si="1"/>
        <v>2224.1999999999998</v>
      </c>
      <c r="K32" s="40">
        <f t="shared" si="2"/>
        <v>81528.2</v>
      </c>
      <c r="L32" s="40"/>
      <c r="M32" s="40">
        <f t="shared" si="3"/>
        <v>399131.42479999992</v>
      </c>
      <c r="N32" s="17"/>
    </row>
    <row r="33" spans="1:17">
      <c r="A33" s="26">
        <v>31</v>
      </c>
      <c r="B33" s="27">
        <v>46203</v>
      </c>
      <c r="C33" s="17"/>
      <c r="D33" s="17"/>
      <c r="E33" s="372">
        <v>800</v>
      </c>
      <c r="F33" s="93">
        <v>99.13</v>
      </c>
      <c r="G33" s="40">
        <f t="shared" si="0"/>
        <v>79304</v>
      </c>
      <c r="H33" s="44"/>
      <c r="I33" s="44"/>
      <c r="J33" s="40">
        <f t="shared" si="1"/>
        <v>0</v>
      </c>
      <c r="K33" s="40">
        <f t="shared" si="2"/>
        <v>79304</v>
      </c>
      <c r="L33" s="40"/>
      <c r="M33" s="40">
        <f t="shared" si="3"/>
        <v>478435.42479999992</v>
      </c>
      <c r="N33" s="17"/>
    </row>
    <row r="34" spans="1:17">
      <c r="A34" s="26">
        <v>32</v>
      </c>
      <c r="B34" s="27"/>
      <c r="C34" s="17"/>
      <c r="D34" s="17"/>
      <c r="E34" s="372"/>
      <c r="F34" s="93"/>
      <c r="G34" s="40">
        <f t="shared" si="0"/>
        <v>0</v>
      </c>
      <c r="H34" s="44"/>
      <c r="I34" s="44"/>
      <c r="J34" s="40">
        <f t="shared" si="1"/>
        <v>0</v>
      </c>
      <c r="K34" s="40">
        <f t="shared" si="2"/>
        <v>0</v>
      </c>
      <c r="L34" s="40"/>
      <c r="M34" s="40">
        <f t="shared" si="3"/>
        <v>478435.42479999992</v>
      </c>
      <c r="N34" s="17"/>
    </row>
    <row r="35" spans="1:17">
      <c r="A35" s="26">
        <v>33</v>
      </c>
      <c r="B35" s="27"/>
      <c r="C35" s="17"/>
      <c r="D35" s="17"/>
      <c r="E35" s="372"/>
      <c r="F35" s="93"/>
      <c r="G35" s="40">
        <f t="shared" si="0"/>
        <v>0</v>
      </c>
      <c r="H35" s="44"/>
      <c r="I35" s="44"/>
      <c r="J35" s="40">
        <f t="shared" si="1"/>
        <v>0</v>
      </c>
      <c r="K35" s="40">
        <f t="shared" si="2"/>
        <v>0</v>
      </c>
      <c r="L35" s="40"/>
      <c r="M35" s="40">
        <f t="shared" si="3"/>
        <v>478435.42479999992</v>
      </c>
      <c r="N35" s="17"/>
    </row>
    <row r="36" spans="1:17">
      <c r="A36" s="26">
        <v>34</v>
      </c>
      <c r="B36" s="27"/>
      <c r="C36" s="17"/>
      <c r="D36" s="17"/>
      <c r="E36" s="372"/>
      <c r="F36" s="93"/>
      <c r="G36" s="40">
        <f t="shared" si="0"/>
        <v>0</v>
      </c>
      <c r="H36" s="44"/>
      <c r="I36" s="44"/>
      <c r="J36" s="40">
        <f t="shared" si="1"/>
        <v>0</v>
      </c>
      <c r="K36" s="40">
        <f t="shared" si="2"/>
        <v>0</v>
      </c>
      <c r="L36" s="40"/>
      <c r="M36" s="40">
        <f t="shared" si="3"/>
        <v>478435.42479999992</v>
      </c>
      <c r="N36" s="17"/>
      <c r="Q36" s="241"/>
    </row>
    <row r="37" spans="1:17">
      <c r="A37" s="26">
        <v>35</v>
      </c>
      <c r="B37" s="27"/>
      <c r="C37" s="17"/>
      <c r="D37" s="17"/>
      <c r="E37" s="372"/>
      <c r="F37" s="93"/>
      <c r="G37" s="40">
        <f t="shared" si="0"/>
        <v>0</v>
      </c>
      <c r="H37" s="44"/>
      <c r="I37" s="44"/>
      <c r="J37" s="40">
        <f t="shared" si="1"/>
        <v>0</v>
      </c>
      <c r="K37" s="40">
        <f t="shared" si="2"/>
        <v>0</v>
      </c>
      <c r="L37" s="40"/>
      <c r="M37" s="40">
        <f t="shared" si="3"/>
        <v>478435.42479999992</v>
      </c>
      <c r="N37" s="17"/>
      <c r="Q37" s="241"/>
    </row>
    <row r="38" spans="1:17">
      <c r="A38" s="26">
        <v>36</v>
      </c>
      <c r="B38" s="27"/>
      <c r="C38" s="17"/>
      <c r="D38" s="17"/>
      <c r="E38" s="93"/>
      <c r="F38" s="93"/>
      <c r="G38" s="40">
        <f t="shared" si="0"/>
        <v>0</v>
      </c>
      <c r="H38" s="44"/>
      <c r="I38" s="44"/>
      <c r="J38" s="40">
        <f t="shared" si="1"/>
        <v>0</v>
      </c>
      <c r="K38" s="40">
        <f t="shared" si="2"/>
        <v>0</v>
      </c>
      <c r="L38" s="40"/>
      <c r="M38" s="40">
        <f t="shared" si="3"/>
        <v>478435.42479999992</v>
      </c>
      <c r="N38" s="17"/>
      <c r="Q38" s="241"/>
    </row>
    <row r="39" spans="1:17">
      <c r="A39" s="42"/>
      <c r="B39" s="42"/>
      <c r="C39" s="42"/>
      <c r="D39" s="42"/>
      <c r="E39" s="42">
        <f>SUM(E4:E38)</f>
        <v>14021.29</v>
      </c>
      <c r="F39" s="42"/>
      <c r="G39" s="42">
        <f>SUM(G4:G38)</f>
        <v>1389930.4776999999</v>
      </c>
      <c r="H39" s="42">
        <f>SUM(H4:H38)</f>
        <v>280</v>
      </c>
      <c r="I39" s="42"/>
      <c r="J39" s="42">
        <f>SUM(J4:J38)</f>
        <v>31138.800000000003</v>
      </c>
      <c r="K39" s="42">
        <f>SUM(K4:K38)</f>
        <v>1421069.2777</v>
      </c>
      <c r="L39" s="42">
        <f>SUM(L4:L38)</f>
        <v>1220350</v>
      </c>
      <c r="M39" s="42"/>
      <c r="N39" s="42"/>
    </row>
  </sheetData>
  <mergeCells count="1"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3" activePane="bottomLeft" state="frozen"/>
      <selection pane="bottomLeft" activeCell="M12" sqref="M12"/>
    </sheetView>
  </sheetViews>
  <sheetFormatPr defaultRowHeight="15"/>
  <cols>
    <col min="1" max="1" width="5.140625" style="77" bestFit="1" customWidth="1"/>
    <col min="2" max="2" width="10.85546875" style="77" bestFit="1" customWidth="1"/>
    <col min="3" max="3" width="16" style="77" bestFit="1" customWidth="1"/>
    <col min="4" max="4" width="13.28515625" style="77" bestFit="1" customWidth="1"/>
    <col min="5" max="6" width="10.7109375" style="77" bestFit="1" customWidth="1"/>
    <col min="7" max="7" width="11.5703125" style="77" bestFit="1" customWidth="1"/>
    <col min="8" max="8" width="10.7109375" style="77" bestFit="1" customWidth="1"/>
    <col min="9" max="9" width="7.140625" style="77" bestFit="1" customWidth="1"/>
    <col min="10" max="10" width="9.7109375" style="77" bestFit="1" customWidth="1"/>
    <col min="11" max="11" width="13.5703125" style="77" bestFit="1" customWidth="1"/>
    <col min="12" max="12" width="13.5703125" style="252" bestFit="1" customWidth="1"/>
    <col min="13" max="13" width="19.42578125" style="77" customWidth="1"/>
    <col min="14" max="14" width="14.28515625" style="77" bestFit="1" customWidth="1"/>
    <col min="15" max="15" width="16.7109375" style="77" customWidth="1"/>
    <col min="16" max="16384" width="9.140625" style="77"/>
  </cols>
  <sheetData>
    <row r="1" spans="1:15" ht="15.75">
      <c r="A1" s="564" t="s">
        <v>114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3"/>
    </row>
    <row r="2" spans="1:15" ht="30">
      <c r="A2" s="98" t="s">
        <v>0</v>
      </c>
      <c r="B2" s="99" t="s">
        <v>167</v>
      </c>
      <c r="C2" s="99" t="s">
        <v>168</v>
      </c>
      <c r="D2" s="99" t="s">
        <v>191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227" t="s">
        <v>175</v>
      </c>
      <c r="M2" s="143" t="s">
        <v>192</v>
      </c>
      <c r="N2" s="101" t="s">
        <v>177</v>
      </c>
      <c r="O2" s="59"/>
    </row>
    <row r="3" spans="1:15">
      <c r="A3" s="574" t="s">
        <v>178</v>
      </c>
      <c r="B3" s="575"/>
      <c r="C3" s="575"/>
      <c r="D3" s="575"/>
      <c r="E3" s="575"/>
      <c r="F3" s="575"/>
      <c r="G3" s="575"/>
      <c r="H3" s="575"/>
      <c r="I3" s="575"/>
      <c r="J3" s="576"/>
      <c r="K3" s="209">
        <v>276126.39069999999</v>
      </c>
      <c r="L3" s="209"/>
      <c r="M3" s="209">
        <v>276126.39069999999</v>
      </c>
      <c r="N3" s="156"/>
      <c r="O3" s="8"/>
    </row>
    <row r="4" spans="1:15">
      <c r="A4" s="26">
        <v>1</v>
      </c>
      <c r="B4" s="27">
        <v>46174</v>
      </c>
      <c r="C4" s="25"/>
      <c r="D4" s="18"/>
      <c r="E4" s="47"/>
      <c r="F4" s="47"/>
      <c r="G4" s="8">
        <f>E4*F4</f>
        <v>0</v>
      </c>
      <c r="H4" s="47"/>
      <c r="I4" s="47"/>
      <c r="J4" s="8">
        <f>H4*I4</f>
        <v>0</v>
      </c>
      <c r="K4" s="8">
        <f>G4+J4</f>
        <v>0</v>
      </c>
      <c r="L4" s="250"/>
      <c r="M4" s="8">
        <f>M3+K4-L4</f>
        <v>276126.39069999999</v>
      </c>
      <c r="N4" s="8"/>
      <c r="O4" s="59"/>
    </row>
    <row r="5" spans="1:15">
      <c r="A5" s="26">
        <v>2</v>
      </c>
      <c r="B5" s="27">
        <v>46175</v>
      </c>
      <c r="C5" s="25"/>
      <c r="D5" s="18"/>
      <c r="E5" s="47"/>
      <c r="F5" s="47"/>
      <c r="G5" s="8">
        <f t="shared" ref="G5:G33" si="0">E5*F5</f>
        <v>0</v>
      </c>
      <c r="H5" s="47"/>
      <c r="I5" s="47"/>
      <c r="J5" s="8">
        <f t="shared" ref="J5:J33" si="1">H5*I5</f>
        <v>0</v>
      </c>
      <c r="K5" s="8">
        <f t="shared" ref="K5:K34" si="2">G5+J5</f>
        <v>0</v>
      </c>
      <c r="L5" s="250"/>
      <c r="M5" s="8">
        <f t="shared" ref="M5:M15" si="3">M4+K5-L5</f>
        <v>276126.39069999999</v>
      </c>
      <c r="N5" s="8"/>
      <c r="O5" s="59"/>
    </row>
    <row r="6" spans="1:15">
      <c r="A6" s="26">
        <v>3</v>
      </c>
      <c r="B6" s="27">
        <v>46176</v>
      </c>
      <c r="C6" s="25"/>
      <c r="D6" s="18"/>
      <c r="E6" s="47"/>
      <c r="F6" s="47"/>
      <c r="G6" s="8">
        <f t="shared" si="0"/>
        <v>0</v>
      </c>
      <c r="H6" s="47"/>
      <c r="I6" s="47"/>
      <c r="J6" s="8">
        <f t="shared" si="1"/>
        <v>0</v>
      </c>
      <c r="K6" s="8">
        <f t="shared" ref="K6:K33" si="4">G6+J6</f>
        <v>0</v>
      </c>
      <c r="L6" s="250"/>
      <c r="M6" s="8">
        <f t="shared" si="3"/>
        <v>276126.39069999999</v>
      </c>
      <c r="N6" s="8"/>
      <c r="O6" s="59"/>
    </row>
    <row r="7" spans="1:15">
      <c r="A7" s="26">
        <v>4</v>
      </c>
      <c r="B7" s="27">
        <v>46177</v>
      </c>
      <c r="C7" s="25"/>
      <c r="D7" s="18"/>
      <c r="E7" s="47"/>
      <c r="F7" s="47"/>
      <c r="G7" s="8">
        <f t="shared" si="0"/>
        <v>0</v>
      </c>
      <c r="H7" s="47"/>
      <c r="I7" s="47"/>
      <c r="J7" s="8">
        <f t="shared" si="1"/>
        <v>0</v>
      </c>
      <c r="K7" s="8">
        <f t="shared" si="4"/>
        <v>0</v>
      </c>
      <c r="L7" s="250"/>
      <c r="M7" s="8">
        <f t="shared" si="3"/>
        <v>276126.39069999999</v>
      </c>
      <c r="N7" s="8"/>
      <c r="O7" s="59"/>
    </row>
    <row r="8" spans="1:15">
      <c r="A8" s="26">
        <v>5</v>
      </c>
      <c r="B8" s="27">
        <v>46178</v>
      </c>
      <c r="C8" s="25"/>
      <c r="D8" s="18"/>
      <c r="E8" s="47"/>
      <c r="F8" s="47"/>
      <c r="G8" s="8">
        <f t="shared" si="0"/>
        <v>0</v>
      </c>
      <c r="H8" s="47"/>
      <c r="I8" s="47"/>
      <c r="J8" s="8">
        <f t="shared" si="1"/>
        <v>0</v>
      </c>
      <c r="K8" s="8">
        <f t="shared" si="4"/>
        <v>0</v>
      </c>
      <c r="L8" s="250"/>
      <c r="M8" s="8">
        <f t="shared" si="3"/>
        <v>276126.39069999999</v>
      </c>
      <c r="N8" s="8"/>
      <c r="O8" s="59"/>
    </row>
    <row r="9" spans="1:15">
      <c r="A9" s="26">
        <v>6</v>
      </c>
      <c r="B9" s="27">
        <v>46179</v>
      </c>
      <c r="C9" s="25"/>
      <c r="D9" s="18"/>
      <c r="E9" s="47"/>
      <c r="F9" s="47"/>
      <c r="G9" s="8">
        <f t="shared" si="0"/>
        <v>0</v>
      </c>
      <c r="H9" s="47"/>
      <c r="I9" s="47"/>
      <c r="J9" s="8">
        <f t="shared" si="1"/>
        <v>0</v>
      </c>
      <c r="K9" s="8">
        <f t="shared" si="4"/>
        <v>0</v>
      </c>
      <c r="L9" s="250"/>
      <c r="M9" s="8">
        <f t="shared" si="3"/>
        <v>276126.39069999999</v>
      </c>
      <c r="N9" s="8"/>
      <c r="O9" s="59"/>
    </row>
    <row r="10" spans="1:15">
      <c r="A10" s="26">
        <v>7</v>
      </c>
      <c r="B10" s="27">
        <v>46180</v>
      </c>
      <c r="C10" s="25"/>
      <c r="D10" s="18"/>
      <c r="E10" s="47"/>
      <c r="F10" s="47"/>
      <c r="G10" s="8">
        <f t="shared" si="0"/>
        <v>0</v>
      </c>
      <c r="H10" s="47"/>
      <c r="I10" s="47"/>
      <c r="J10" s="8">
        <f t="shared" si="1"/>
        <v>0</v>
      </c>
      <c r="K10" s="8">
        <f t="shared" si="4"/>
        <v>0</v>
      </c>
      <c r="L10" s="250"/>
      <c r="M10" s="8">
        <f t="shared" si="3"/>
        <v>276126.39069999999</v>
      </c>
      <c r="N10" s="8"/>
      <c r="O10" s="59"/>
    </row>
    <row r="11" spans="1:15">
      <c r="A11" s="26">
        <v>8</v>
      </c>
      <c r="B11" s="27">
        <v>46181</v>
      </c>
      <c r="C11" s="25"/>
      <c r="D11" s="18"/>
      <c r="E11" s="47"/>
      <c r="F11" s="47"/>
      <c r="G11" s="8">
        <f t="shared" si="0"/>
        <v>0</v>
      </c>
      <c r="H11" s="47"/>
      <c r="I11" s="47"/>
      <c r="J11" s="8">
        <f t="shared" si="1"/>
        <v>0</v>
      </c>
      <c r="K11" s="8">
        <f t="shared" si="4"/>
        <v>0</v>
      </c>
      <c r="L11" s="250"/>
      <c r="M11" s="8">
        <f t="shared" si="3"/>
        <v>276126.39069999999</v>
      </c>
      <c r="N11" s="8"/>
      <c r="O11" s="59"/>
    </row>
    <row r="12" spans="1:15">
      <c r="A12" s="26">
        <v>9</v>
      </c>
      <c r="B12" s="27">
        <v>46182</v>
      </c>
      <c r="C12" s="25"/>
      <c r="D12" s="18"/>
      <c r="E12" s="266"/>
      <c r="F12" s="295"/>
      <c r="G12" s="8">
        <f t="shared" si="0"/>
        <v>0</v>
      </c>
      <c r="H12" s="266"/>
      <c r="I12" s="295"/>
      <c r="J12" s="8">
        <f t="shared" si="1"/>
        <v>0</v>
      </c>
      <c r="K12" s="8">
        <f t="shared" si="4"/>
        <v>0</v>
      </c>
      <c r="L12" s="516">
        <v>275918</v>
      </c>
      <c r="M12" s="8">
        <f t="shared" si="3"/>
        <v>208.39069999998901</v>
      </c>
      <c r="N12" s="8"/>
      <c r="O12" s="59"/>
    </row>
    <row r="13" spans="1:15">
      <c r="A13" s="26">
        <v>10</v>
      </c>
      <c r="B13" s="27">
        <v>46183</v>
      </c>
      <c r="C13" s="25"/>
      <c r="D13" s="18"/>
      <c r="E13" s="266"/>
      <c r="F13" s="295"/>
      <c r="G13" s="8">
        <f t="shared" si="0"/>
        <v>0</v>
      </c>
      <c r="H13" s="266"/>
      <c r="I13" s="295"/>
      <c r="J13" s="8">
        <f t="shared" si="1"/>
        <v>0</v>
      </c>
      <c r="K13" s="8">
        <f t="shared" si="4"/>
        <v>0</v>
      </c>
      <c r="L13" s="250"/>
      <c r="M13" s="8">
        <f>M12+K13-L13</f>
        <v>208.39069999998901</v>
      </c>
      <c r="N13" s="19"/>
      <c r="O13" s="59"/>
    </row>
    <row r="14" spans="1:15">
      <c r="A14" s="26">
        <v>11</v>
      </c>
      <c r="B14" s="27">
        <v>46184</v>
      </c>
      <c r="C14" s="25"/>
      <c r="D14" s="18"/>
      <c r="E14" s="47"/>
      <c r="F14" s="47"/>
      <c r="G14" s="8">
        <f t="shared" si="0"/>
        <v>0</v>
      </c>
      <c r="H14" s="47"/>
      <c r="I14" s="295"/>
      <c r="J14" s="8">
        <f t="shared" si="1"/>
        <v>0</v>
      </c>
      <c r="K14" s="8">
        <f t="shared" si="4"/>
        <v>0</v>
      </c>
      <c r="L14" s="250"/>
      <c r="M14" s="8">
        <f>M13+K14-L14</f>
        <v>208.39069999998901</v>
      </c>
      <c r="N14" s="19"/>
      <c r="O14" s="59"/>
    </row>
    <row r="15" spans="1:15">
      <c r="A15" s="26">
        <v>12</v>
      </c>
      <c r="B15" s="27">
        <v>46185</v>
      </c>
      <c r="C15" s="25"/>
      <c r="D15" s="18"/>
      <c r="E15" s="47"/>
      <c r="F15" s="47"/>
      <c r="G15" s="8">
        <f t="shared" si="0"/>
        <v>0</v>
      </c>
      <c r="H15" s="47"/>
      <c r="I15" s="47"/>
      <c r="J15" s="8">
        <f t="shared" si="1"/>
        <v>0</v>
      </c>
      <c r="K15" s="8">
        <f t="shared" si="4"/>
        <v>0</v>
      </c>
      <c r="L15" s="250"/>
      <c r="M15" s="8">
        <f t="shared" si="3"/>
        <v>208.39069999998901</v>
      </c>
      <c r="N15" s="19"/>
      <c r="O15" s="59"/>
    </row>
    <row r="16" spans="1:15">
      <c r="A16" s="26">
        <v>13</v>
      </c>
      <c r="B16" s="27">
        <v>46186</v>
      </c>
      <c r="C16" s="25"/>
      <c r="D16" s="18"/>
      <c r="E16" s="47"/>
      <c r="F16" s="47"/>
      <c r="G16" s="8">
        <f t="shared" si="0"/>
        <v>0</v>
      </c>
      <c r="H16" s="47"/>
      <c r="I16" s="47"/>
      <c r="J16" s="8">
        <f t="shared" si="1"/>
        <v>0</v>
      </c>
      <c r="K16" s="8">
        <f t="shared" si="4"/>
        <v>0</v>
      </c>
      <c r="L16" s="250"/>
      <c r="M16" s="8">
        <f t="shared" ref="M16:M24" si="5">M15+K16-L16</f>
        <v>208.39069999998901</v>
      </c>
      <c r="N16" s="19"/>
      <c r="O16" s="59"/>
    </row>
    <row r="17" spans="1:18">
      <c r="A17" s="26">
        <v>14</v>
      </c>
      <c r="B17" s="27">
        <v>46187</v>
      </c>
      <c r="C17" s="25"/>
      <c r="D17" s="18"/>
      <c r="E17" s="47"/>
      <c r="F17" s="47"/>
      <c r="G17" s="8">
        <f t="shared" si="0"/>
        <v>0</v>
      </c>
      <c r="H17" s="47"/>
      <c r="I17" s="295"/>
      <c r="J17" s="8">
        <f t="shared" si="1"/>
        <v>0</v>
      </c>
      <c r="K17" s="8">
        <f t="shared" si="4"/>
        <v>0</v>
      </c>
      <c r="L17" s="250"/>
      <c r="M17" s="8">
        <f t="shared" si="5"/>
        <v>208.39069999998901</v>
      </c>
      <c r="N17" s="19"/>
      <c r="O17" s="59"/>
    </row>
    <row r="18" spans="1:18">
      <c r="A18" s="26">
        <v>15</v>
      </c>
      <c r="B18" s="27">
        <v>46188</v>
      </c>
      <c r="C18" s="25"/>
      <c r="D18" s="18"/>
      <c r="E18" s="47"/>
      <c r="F18" s="47"/>
      <c r="G18" s="8">
        <f t="shared" si="0"/>
        <v>0</v>
      </c>
      <c r="H18" s="47"/>
      <c r="I18" s="47"/>
      <c r="J18" s="8">
        <f t="shared" si="1"/>
        <v>0</v>
      </c>
      <c r="K18" s="8">
        <f t="shared" si="4"/>
        <v>0</v>
      </c>
      <c r="L18" s="250"/>
      <c r="M18" s="8">
        <f t="shared" si="5"/>
        <v>208.39069999998901</v>
      </c>
      <c r="N18" s="19"/>
      <c r="O18" s="59"/>
    </row>
    <row r="19" spans="1:18">
      <c r="A19" s="26">
        <v>16</v>
      </c>
      <c r="B19" s="27">
        <v>46189</v>
      </c>
      <c r="C19" s="25"/>
      <c r="D19" s="18"/>
      <c r="E19" s="47"/>
      <c r="F19" s="47"/>
      <c r="G19" s="8">
        <f t="shared" si="0"/>
        <v>0</v>
      </c>
      <c r="H19" s="47"/>
      <c r="I19" s="47"/>
      <c r="J19" s="8">
        <f t="shared" si="1"/>
        <v>0</v>
      </c>
      <c r="K19" s="8">
        <f t="shared" si="4"/>
        <v>0</v>
      </c>
      <c r="L19" s="250"/>
      <c r="M19" s="8">
        <f t="shared" si="5"/>
        <v>208.39069999998901</v>
      </c>
      <c r="N19" s="19"/>
      <c r="O19" s="59"/>
    </row>
    <row r="20" spans="1:18">
      <c r="A20" s="26">
        <v>17</v>
      </c>
      <c r="B20" s="27">
        <v>46190</v>
      </c>
      <c r="C20" s="25"/>
      <c r="D20" s="18"/>
      <c r="E20" s="47"/>
      <c r="F20" s="47"/>
      <c r="G20" s="8">
        <f t="shared" si="0"/>
        <v>0</v>
      </c>
      <c r="H20" s="47"/>
      <c r="I20" s="47"/>
      <c r="J20" s="8">
        <f t="shared" si="1"/>
        <v>0</v>
      </c>
      <c r="K20" s="8">
        <f t="shared" si="4"/>
        <v>0</v>
      </c>
      <c r="L20" s="250"/>
      <c r="M20" s="8">
        <f t="shared" si="5"/>
        <v>208.39069999998901</v>
      </c>
      <c r="N20" s="19"/>
      <c r="O20" s="59"/>
    </row>
    <row r="21" spans="1:18">
      <c r="A21" s="26">
        <v>18</v>
      </c>
      <c r="B21" s="27">
        <v>46191</v>
      </c>
      <c r="C21" s="25"/>
      <c r="D21" s="18"/>
      <c r="E21" s="47"/>
      <c r="F21" s="47"/>
      <c r="G21" s="8">
        <f t="shared" si="0"/>
        <v>0</v>
      </c>
      <c r="H21" s="47"/>
      <c r="I21" s="47"/>
      <c r="J21" s="8">
        <f t="shared" si="1"/>
        <v>0</v>
      </c>
      <c r="K21" s="8">
        <f t="shared" si="4"/>
        <v>0</v>
      </c>
      <c r="L21" s="250"/>
      <c r="M21" s="8">
        <f t="shared" si="5"/>
        <v>208.39069999998901</v>
      </c>
      <c r="N21" s="19"/>
      <c r="O21" s="59"/>
    </row>
    <row r="22" spans="1:18">
      <c r="A22" s="26">
        <v>19</v>
      </c>
      <c r="B22" s="27">
        <v>46192</v>
      </c>
      <c r="C22" s="25"/>
      <c r="D22" s="18"/>
      <c r="E22" s="47"/>
      <c r="F22" s="47"/>
      <c r="G22" s="8">
        <f t="shared" si="0"/>
        <v>0</v>
      </c>
      <c r="H22" s="47"/>
      <c r="I22" s="47"/>
      <c r="J22" s="8">
        <f t="shared" si="1"/>
        <v>0</v>
      </c>
      <c r="K22" s="8">
        <f t="shared" si="4"/>
        <v>0</v>
      </c>
      <c r="L22" s="250"/>
      <c r="M22" s="8">
        <f t="shared" si="5"/>
        <v>208.39069999998901</v>
      </c>
      <c r="N22" s="19"/>
      <c r="O22" s="59"/>
    </row>
    <row r="23" spans="1:18">
      <c r="A23" s="26">
        <v>20</v>
      </c>
      <c r="B23" s="27">
        <v>46193</v>
      </c>
      <c r="C23" s="25"/>
      <c r="D23" s="18"/>
      <c r="E23" s="47"/>
      <c r="F23" s="47"/>
      <c r="G23" s="8">
        <f t="shared" si="0"/>
        <v>0</v>
      </c>
      <c r="H23" s="47"/>
      <c r="I23" s="47"/>
      <c r="J23" s="8">
        <f t="shared" si="1"/>
        <v>0</v>
      </c>
      <c r="K23" s="8">
        <f t="shared" si="4"/>
        <v>0</v>
      </c>
      <c r="L23" s="250"/>
      <c r="M23" s="8">
        <f t="shared" si="5"/>
        <v>208.39069999998901</v>
      </c>
      <c r="N23" s="19"/>
      <c r="O23" s="59"/>
    </row>
    <row r="24" spans="1:18">
      <c r="A24" s="26">
        <v>21</v>
      </c>
      <c r="B24" s="27">
        <v>46194</v>
      </c>
      <c r="C24" s="25"/>
      <c r="D24" s="18"/>
      <c r="E24" s="47"/>
      <c r="F24" s="47"/>
      <c r="G24" s="8">
        <f t="shared" si="0"/>
        <v>0</v>
      </c>
      <c r="H24" s="47"/>
      <c r="I24" s="47"/>
      <c r="J24" s="8">
        <f t="shared" si="1"/>
        <v>0</v>
      </c>
      <c r="K24" s="8">
        <f t="shared" si="4"/>
        <v>0</v>
      </c>
      <c r="L24" s="250"/>
      <c r="M24" s="8">
        <f t="shared" si="5"/>
        <v>208.39069999998901</v>
      </c>
      <c r="N24" s="19"/>
      <c r="O24" s="59"/>
    </row>
    <row r="25" spans="1:18">
      <c r="A25" s="26">
        <v>22</v>
      </c>
      <c r="B25" s="27">
        <v>46195</v>
      </c>
      <c r="C25" s="25"/>
      <c r="D25" s="18"/>
      <c r="E25" s="47"/>
      <c r="F25" s="47"/>
      <c r="G25" s="8">
        <f t="shared" si="0"/>
        <v>0</v>
      </c>
      <c r="H25" s="47"/>
      <c r="I25" s="47"/>
      <c r="J25" s="8">
        <f t="shared" si="1"/>
        <v>0</v>
      </c>
      <c r="K25" s="8">
        <f t="shared" si="4"/>
        <v>0</v>
      </c>
      <c r="L25" s="250"/>
      <c r="M25" s="8">
        <f t="shared" ref="M25:M34" si="6">M24+K25-L25</f>
        <v>208.39069999998901</v>
      </c>
      <c r="N25" s="19"/>
      <c r="O25" s="59"/>
    </row>
    <row r="26" spans="1:18">
      <c r="A26" s="26">
        <v>23</v>
      </c>
      <c r="B26" s="27">
        <v>46196</v>
      </c>
      <c r="C26" s="25"/>
      <c r="D26" s="18"/>
      <c r="E26" s="47"/>
      <c r="F26" s="47"/>
      <c r="G26" s="8">
        <f t="shared" si="0"/>
        <v>0</v>
      </c>
      <c r="H26" s="47"/>
      <c r="I26" s="47"/>
      <c r="J26" s="8">
        <f t="shared" si="1"/>
        <v>0</v>
      </c>
      <c r="K26" s="8">
        <f t="shared" si="4"/>
        <v>0</v>
      </c>
      <c r="L26" s="250"/>
      <c r="M26" s="8">
        <f t="shared" si="6"/>
        <v>208.39069999998901</v>
      </c>
      <c r="N26" s="19"/>
      <c r="O26" s="59"/>
      <c r="Q26" s="77" t="s">
        <v>331</v>
      </c>
    </row>
    <row r="27" spans="1:18">
      <c r="A27" s="26">
        <v>24</v>
      </c>
      <c r="B27" s="27">
        <v>46197</v>
      </c>
      <c r="C27" s="25"/>
      <c r="D27" s="18"/>
      <c r="E27" s="47"/>
      <c r="F27" s="47"/>
      <c r="G27" s="8">
        <f t="shared" si="0"/>
        <v>0</v>
      </c>
      <c r="H27" s="47"/>
      <c r="I27" s="47"/>
      <c r="J27" s="8">
        <f t="shared" si="1"/>
        <v>0</v>
      </c>
      <c r="K27" s="8">
        <f t="shared" si="4"/>
        <v>0</v>
      </c>
      <c r="L27" s="250"/>
      <c r="M27" s="8">
        <f t="shared" si="6"/>
        <v>208.39069999998901</v>
      </c>
      <c r="N27" s="19"/>
      <c r="O27" s="59"/>
      <c r="Q27" s="77">
        <v>30</v>
      </c>
      <c r="R27" s="77">
        <v>50</v>
      </c>
    </row>
    <row r="28" spans="1:18">
      <c r="A28" s="26">
        <v>25</v>
      </c>
      <c r="B28" s="27">
        <v>46198</v>
      </c>
      <c r="C28" s="25"/>
      <c r="D28" s="18"/>
      <c r="E28" s="47"/>
      <c r="F28" s="47"/>
      <c r="G28" s="8">
        <f t="shared" si="0"/>
        <v>0</v>
      </c>
      <c r="H28" s="47"/>
      <c r="I28" s="47"/>
      <c r="J28" s="8">
        <f t="shared" si="1"/>
        <v>0</v>
      </c>
      <c r="K28" s="8">
        <f t="shared" si="4"/>
        <v>0</v>
      </c>
      <c r="L28" s="250"/>
      <c r="M28" s="8">
        <f t="shared" si="6"/>
        <v>208.39069999998901</v>
      </c>
      <c r="N28" s="19"/>
      <c r="O28" s="59"/>
      <c r="Q28" s="77">
        <v>50</v>
      </c>
      <c r="R28" s="77">
        <v>4.51</v>
      </c>
    </row>
    <row r="29" spans="1:18">
      <c r="A29" s="26">
        <v>26</v>
      </c>
      <c r="B29" s="27">
        <v>46199</v>
      </c>
      <c r="C29" s="25"/>
      <c r="D29" s="18"/>
      <c r="E29" s="47"/>
      <c r="F29" s="47"/>
      <c r="G29" s="8">
        <f t="shared" si="0"/>
        <v>0</v>
      </c>
      <c r="H29" s="47"/>
      <c r="I29" s="47"/>
      <c r="J29" s="8">
        <f t="shared" si="1"/>
        <v>0</v>
      </c>
      <c r="K29" s="8">
        <f t="shared" si="4"/>
        <v>0</v>
      </c>
      <c r="L29" s="250"/>
      <c r="M29" s="8">
        <f t="shared" si="6"/>
        <v>208.39069999998901</v>
      </c>
      <c r="N29" s="19"/>
      <c r="O29" s="59"/>
    </row>
    <row r="30" spans="1:18">
      <c r="A30" s="26">
        <v>27</v>
      </c>
      <c r="B30" s="27">
        <v>46200</v>
      </c>
      <c r="C30" s="25"/>
      <c r="D30" s="18"/>
      <c r="E30" s="47"/>
      <c r="F30" s="47"/>
      <c r="G30" s="8">
        <f t="shared" si="0"/>
        <v>0</v>
      </c>
      <c r="H30" s="47"/>
      <c r="I30" s="47"/>
      <c r="J30" s="8">
        <f t="shared" si="1"/>
        <v>0</v>
      </c>
      <c r="K30" s="8">
        <f t="shared" si="4"/>
        <v>0</v>
      </c>
      <c r="L30" s="250"/>
      <c r="M30" s="8">
        <f t="shared" si="6"/>
        <v>208.39069999998901</v>
      </c>
      <c r="N30" s="19"/>
      <c r="O30" s="59"/>
    </row>
    <row r="31" spans="1:18">
      <c r="A31" s="217">
        <v>28</v>
      </c>
      <c r="B31" s="27">
        <v>46201</v>
      </c>
      <c r="C31" s="25"/>
      <c r="D31" s="18"/>
      <c r="E31" s="47"/>
      <c r="F31" s="47"/>
      <c r="G31" s="8">
        <f t="shared" si="0"/>
        <v>0</v>
      </c>
      <c r="H31" s="47"/>
      <c r="I31" s="47"/>
      <c r="J31" s="8">
        <f t="shared" si="1"/>
        <v>0</v>
      </c>
      <c r="K31" s="8">
        <f t="shared" si="4"/>
        <v>0</v>
      </c>
      <c r="L31" s="250"/>
      <c r="M31" s="8">
        <f t="shared" si="6"/>
        <v>208.39069999998901</v>
      </c>
      <c r="N31" s="19"/>
      <c r="O31" s="59"/>
    </row>
    <row r="32" spans="1:18">
      <c r="A32" s="26">
        <v>29</v>
      </c>
      <c r="B32" s="27">
        <v>46202</v>
      </c>
      <c r="C32" s="25"/>
      <c r="D32" s="18"/>
      <c r="E32" s="47"/>
      <c r="F32" s="47"/>
      <c r="G32" s="8">
        <f t="shared" si="0"/>
        <v>0</v>
      </c>
      <c r="H32" s="47"/>
      <c r="I32" s="47"/>
      <c r="J32" s="8">
        <f t="shared" si="1"/>
        <v>0</v>
      </c>
      <c r="K32" s="8">
        <f t="shared" si="4"/>
        <v>0</v>
      </c>
      <c r="L32" s="250"/>
      <c r="M32" s="8">
        <f t="shared" si="6"/>
        <v>208.39069999998901</v>
      </c>
      <c r="N32" s="19"/>
      <c r="O32" s="59"/>
    </row>
    <row r="33" spans="1:15">
      <c r="A33" s="26">
        <v>30</v>
      </c>
      <c r="B33" s="27">
        <v>46203</v>
      </c>
      <c r="C33" s="25"/>
      <c r="D33" s="18"/>
      <c r="E33" s="47"/>
      <c r="F33" s="47"/>
      <c r="G33" s="8">
        <f t="shared" si="0"/>
        <v>0</v>
      </c>
      <c r="H33" s="47"/>
      <c r="I33" s="47"/>
      <c r="J33" s="8">
        <f t="shared" si="1"/>
        <v>0</v>
      </c>
      <c r="K33" s="8">
        <f t="shared" si="4"/>
        <v>0</v>
      </c>
      <c r="L33" s="250"/>
      <c r="M33" s="8">
        <f t="shared" si="6"/>
        <v>208.39069999998901</v>
      </c>
      <c r="N33" s="19"/>
      <c r="O33" s="59"/>
    </row>
    <row r="34" spans="1:15">
      <c r="A34" s="26">
        <v>31</v>
      </c>
      <c r="B34" s="27"/>
      <c r="C34" s="25"/>
      <c r="D34" s="18"/>
      <c r="E34" s="47"/>
      <c r="F34" s="47"/>
      <c r="G34" s="8">
        <f t="shared" ref="G5:G34" si="7">E34*F34</f>
        <v>0</v>
      </c>
      <c r="H34" s="47"/>
      <c r="I34" s="47"/>
      <c r="J34" s="8">
        <f t="shared" ref="J5:J34" si="8">H34*I34</f>
        <v>0</v>
      </c>
      <c r="K34" s="8">
        <f t="shared" si="2"/>
        <v>0</v>
      </c>
      <c r="L34" s="250"/>
      <c r="M34" s="8">
        <f>M33+K34-L34</f>
        <v>208.39069999998901</v>
      </c>
      <c r="N34" s="19"/>
      <c r="O34" s="59"/>
    </row>
    <row r="35" spans="1:15">
      <c r="A35" s="160"/>
      <c r="B35" s="160"/>
      <c r="C35" s="160"/>
      <c r="D35" s="160"/>
      <c r="E35" s="161">
        <f>SUM(E4:E34)</f>
        <v>0</v>
      </c>
      <c r="F35" s="161"/>
      <c r="G35" s="161">
        <f>SUM(G4:G34)</f>
        <v>0</v>
      </c>
      <c r="H35" s="161">
        <f>SUM(H4:H34)</f>
        <v>0</v>
      </c>
      <c r="I35" s="161"/>
      <c r="J35" s="161">
        <f>SUM(J4:J34)</f>
        <v>0</v>
      </c>
      <c r="K35" s="161">
        <f>SUM(K4:K34)</f>
        <v>0</v>
      </c>
      <c r="L35" s="161">
        <f>SUM(L4:L34)</f>
        <v>275918</v>
      </c>
      <c r="M35" s="161"/>
      <c r="N35" s="161"/>
      <c r="O35" s="59"/>
    </row>
    <row r="36" spans="1:15">
      <c r="A36" s="73"/>
      <c r="B36" s="73"/>
      <c r="C36" s="73"/>
      <c r="D36" s="73"/>
      <c r="E36" s="75"/>
      <c r="F36" s="75"/>
      <c r="G36" s="75"/>
      <c r="H36" s="75"/>
      <c r="I36" s="75"/>
      <c r="J36" s="75"/>
      <c r="K36" s="75"/>
      <c r="L36" s="251"/>
      <c r="M36" s="75"/>
      <c r="N36" s="75"/>
      <c r="O36" s="59"/>
    </row>
    <row r="37" spans="1:15">
      <c r="E37" s="255"/>
      <c r="F37" s="255"/>
      <c r="G37" s="255"/>
      <c r="H37" s="255"/>
      <c r="I37" s="255"/>
      <c r="J37" s="255"/>
      <c r="K37" s="255"/>
      <c r="L37" s="255"/>
      <c r="O37" s="59"/>
    </row>
    <row r="38" spans="1:15">
      <c r="O38" s="59"/>
    </row>
    <row r="39" spans="1:15">
      <c r="O39" s="59"/>
    </row>
    <row r="40" spans="1:15">
      <c r="O40" s="59"/>
    </row>
    <row r="41" spans="1:15">
      <c r="O41" s="59"/>
    </row>
    <row r="42" spans="1:15">
      <c r="A42" s="59"/>
      <c r="B42" s="59"/>
      <c r="C42" s="59"/>
      <c r="D42" s="59"/>
      <c r="E42" s="59"/>
      <c r="F42" s="59"/>
      <c r="G42" s="81"/>
      <c r="H42" s="59"/>
      <c r="I42" s="59"/>
      <c r="J42" s="59"/>
      <c r="K42" s="59"/>
      <c r="L42" s="73"/>
      <c r="M42" s="59"/>
      <c r="N42" s="59"/>
      <c r="O42" s="75"/>
    </row>
    <row r="43" spans="1:15">
      <c r="A43" s="59"/>
      <c r="B43" s="573"/>
      <c r="C43" s="573"/>
      <c r="D43" s="573"/>
      <c r="E43" s="573"/>
      <c r="F43" s="59"/>
      <c r="G43" s="59"/>
      <c r="H43" s="59"/>
      <c r="I43" s="573"/>
      <c r="J43" s="573"/>
      <c r="K43" s="573"/>
      <c r="L43" s="573"/>
      <c r="M43" s="573"/>
      <c r="N43" s="573"/>
      <c r="O43" s="75"/>
    </row>
    <row r="44" spans="1:1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73"/>
      <c r="M44" s="59"/>
      <c r="N44" s="59"/>
      <c r="O44" s="75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6"/>
  <sheetViews>
    <sheetView workbookViewId="0">
      <pane ySplit="2" topLeftCell="A3" activePane="bottomLeft" state="frozen"/>
      <selection pane="bottomLeft" activeCell="L19" sqref="L19"/>
    </sheetView>
  </sheetViews>
  <sheetFormatPr defaultRowHeight="15"/>
  <cols>
    <col min="1" max="1" width="5.140625" style="69" bestFit="1" customWidth="1"/>
    <col min="2" max="2" width="10.85546875" style="69" bestFit="1" customWidth="1"/>
    <col min="3" max="3" width="8" style="69" bestFit="1" customWidth="1"/>
    <col min="4" max="4" width="16" style="69" bestFit="1" customWidth="1"/>
    <col min="5" max="5" width="10.7109375" style="69" bestFit="1" customWidth="1"/>
    <col min="6" max="6" width="14.5703125" style="69" bestFit="1" customWidth="1"/>
    <col min="7" max="7" width="18.28515625" style="69" customWidth="1"/>
    <col min="8" max="8" width="10.7109375" style="69" bestFit="1" customWidth="1"/>
    <col min="9" max="9" width="15.5703125" style="69" customWidth="1"/>
    <col min="10" max="10" width="10.85546875" style="69" bestFit="1" customWidth="1"/>
    <col min="11" max="11" width="14.5703125" style="69" bestFit="1" customWidth="1"/>
    <col min="12" max="12" width="13.5703125" style="69" bestFit="1" customWidth="1"/>
    <col min="13" max="13" width="13.5703125" style="69" customWidth="1"/>
    <col min="14" max="14" width="14.140625" style="69" bestFit="1" customWidth="1"/>
    <col min="15" max="15" width="11.28515625" style="69" customWidth="1"/>
    <col min="16" max="16" width="11.5703125" style="69" bestFit="1" customWidth="1"/>
    <col min="17" max="16384" width="9.140625" style="69"/>
  </cols>
  <sheetData>
    <row r="1" spans="1:17" ht="15.75">
      <c r="A1" s="568" t="s">
        <v>116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82"/>
    </row>
    <row r="2" spans="1:17">
      <c r="A2" s="64" t="s">
        <v>0</v>
      </c>
      <c r="B2" s="83" t="s">
        <v>167</v>
      </c>
      <c r="C2" s="83" t="s">
        <v>168</v>
      </c>
      <c r="D2" s="83" t="s">
        <v>169</v>
      </c>
      <c r="E2" s="83" t="s">
        <v>170</v>
      </c>
      <c r="F2" s="83" t="s">
        <v>171</v>
      </c>
      <c r="G2" s="83" t="s">
        <v>172</v>
      </c>
      <c r="H2" s="83" t="s">
        <v>173</v>
      </c>
      <c r="I2" s="83" t="s">
        <v>171</v>
      </c>
      <c r="J2" s="84" t="s">
        <v>172</v>
      </c>
      <c r="K2" s="64" t="s">
        <v>174</v>
      </c>
      <c r="L2" s="85" t="s">
        <v>175</v>
      </c>
      <c r="M2" s="85" t="s">
        <v>192</v>
      </c>
      <c r="N2" s="83" t="s">
        <v>177</v>
      </c>
      <c r="O2" s="59"/>
    </row>
    <row r="3" spans="1:17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9"/>
      <c r="K3" s="163">
        <v>476633.24810000026</v>
      </c>
      <c r="L3" s="67">
        <v>0</v>
      </c>
      <c r="M3" s="163">
        <v>476633.24810000026</v>
      </c>
      <c r="N3" s="67"/>
      <c r="O3" s="59"/>
      <c r="P3" s="240"/>
    </row>
    <row r="4" spans="1:17">
      <c r="A4" s="26">
        <v>1</v>
      </c>
      <c r="B4" s="27">
        <v>46174</v>
      </c>
      <c r="C4" s="67"/>
      <c r="D4" s="159"/>
      <c r="E4" s="164">
        <v>385</v>
      </c>
      <c r="F4" s="164">
        <v>99.74</v>
      </c>
      <c r="G4" s="8">
        <f>E4*F4</f>
        <v>38399.9</v>
      </c>
      <c r="H4" s="164"/>
      <c r="I4" s="164"/>
      <c r="J4" s="8">
        <f>H4*I4</f>
        <v>0</v>
      </c>
      <c r="K4" s="8">
        <f>G4+J4</f>
        <v>38399.9</v>
      </c>
      <c r="L4" s="165">
        <v>0</v>
      </c>
      <c r="M4" s="165">
        <f t="shared" ref="M4:M35" si="0">M3+K4-L4</f>
        <v>515033.14810000028</v>
      </c>
      <c r="N4" s="41"/>
    </row>
    <row r="5" spans="1:17">
      <c r="A5" s="26">
        <v>2</v>
      </c>
      <c r="B5" s="27">
        <v>46175</v>
      </c>
      <c r="C5" s="67"/>
      <c r="D5" s="159"/>
      <c r="E5" s="164">
        <v>275</v>
      </c>
      <c r="F5" s="164">
        <v>99.74</v>
      </c>
      <c r="G5" s="8">
        <f t="shared" ref="G5:G36" si="1">E5*F5</f>
        <v>27428.5</v>
      </c>
      <c r="H5" s="164"/>
      <c r="I5" s="164"/>
      <c r="J5" s="8">
        <f t="shared" ref="J5:J36" si="2">H5*I5</f>
        <v>0</v>
      </c>
      <c r="K5" s="8">
        <f t="shared" ref="K5:K36" si="3">G5+J5</f>
        <v>27428.5</v>
      </c>
      <c r="L5" s="165">
        <v>0</v>
      </c>
      <c r="M5" s="165">
        <f t="shared" si="0"/>
        <v>542461.64810000034</v>
      </c>
      <c r="N5" s="41"/>
    </row>
    <row r="6" spans="1:17">
      <c r="A6" s="26">
        <v>3</v>
      </c>
      <c r="B6" s="27">
        <v>46176</v>
      </c>
      <c r="C6" s="67"/>
      <c r="D6" s="159"/>
      <c r="E6" s="164">
        <v>450</v>
      </c>
      <c r="F6" s="164">
        <v>99.74</v>
      </c>
      <c r="G6" s="8">
        <f t="shared" si="1"/>
        <v>44883</v>
      </c>
      <c r="H6" s="164"/>
      <c r="I6" s="164"/>
      <c r="J6" s="8">
        <f t="shared" si="2"/>
        <v>0</v>
      </c>
      <c r="K6" s="8">
        <f t="shared" si="3"/>
        <v>44883</v>
      </c>
      <c r="L6" s="165">
        <v>0</v>
      </c>
      <c r="M6" s="165">
        <f t="shared" si="0"/>
        <v>587344.64810000034</v>
      </c>
      <c r="N6" s="41"/>
    </row>
    <row r="7" spans="1:17">
      <c r="A7" s="26">
        <v>4</v>
      </c>
      <c r="B7" s="27">
        <v>46177</v>
      </c>
      <c r="C7" s="67"/>
      <c r="D7" s="159"/>
      <c r="E7" s="164">
        <v>400</v>
      </c>
      <c r="F7" s="164">
        <v>99.74</v>
      </c>
      <c r="G7" s="8">
        <f t="shared" si="1"/>
        <v>39896</v>
      </c>
      <c r="H7" s="164"/>
      <c r="I7" s="164"/>
      <c r="J7" s="8">
        <f t="shared" si="2"/>
        <v>0</v>
      </c>
      <c r="K7" s="8">
        <f t="shared" si="3"/>
        <v>39896</v>
      </c>
      <c r="L7" s="165">
        <v>0</v>
      </c>
      <c r="M7" s="165">
        <f t="shared" si="0"/>
        <v>627240.64810000034</v>
      </c>
      <c r="N7" s="41"/>
    </row>
    <row r="8" spans="1:17">
      <c r="A8" s="26">
        <v>5</v>
      </c>
      <c r="B8" s="27">
        <v>46178</v>
      </c>
      <c r="C8" s="67"/>
      <c r="D8" s="159"/>
      <c r="E8" s="164">
        <v>400</v>
      </c>
      <c r="F8" s="164">
        <v>99.74</v>
      </c>
      <c r="G8" s="8">
        <f t="shared" si="1"/>
        <v>39896</v>
      </c>
      <c r="H8" s="164"/>
      <c r="I8" s="164"/>
      <c r="J8" s="8">
        <f t="shared" si="2"/>
        <v>0</v>
      </c>
      <c r="K8" s="8">
        <f t="shared" si="3"/>
        <v>39896</v>
      </c>
      <c r="L8" s="165">
        <v>0</v>
      </c>
      <c r="M8" s="165">
        <f t="shared" si="0"/>
        <v>667136.64810000034</v>
      </c>
      <c r="N8" s="41"/>
      <c r="P8" s="240"/>
    </row>
    <row r="9" spans="1:17">
      <c r="A9" s="26">
        <v>6</v>
      </c>
      <c r="B9" s="27">
        <v>46179</v>
      </c>
      <c r="C9" s="67"/>
      <c r="D9" s="159"/>
      <c r="E9" s="164">
        <v>485</v>
      </c>
      <c r="F9" s="164">
        <v>99.74</v>
      </c>
      <c r="G9" s="8">
        <f t="shared" si="1"/>
        <v>48373.899999999994</v>
      </c>
      <c r="H9" s="164"/>
      <c r="I9" s="164"/>
      <c r="J9" s="8">
        <f t="shared" si="2"/>
        <v>0</v>
      </c>
      <c r="K9" s="8">
        <f t="shared" si="3"/>
        <v>48373.899999999994</v>
      </c>
      <c r="L9" s="165">
        <v>0</v>
      </c>
      <c r="M9" s="165">
        <f t="shared" si="0"/>
        <v>715510.54810000036</v>
      </c>
      <c r="N9" s="41"/>
    </row>
    <row r="10" spans="1:17">
      <c r="A10" s="26">
        <v>7</v>
      </c>
      <c r="B10" s="27">
        <v>46180</v>
      </c>
      <c r="C10" s="67"/>
      <c r="D10" s="159"/>
      <c r="E10" s="164">
        <v>199</v>
      </c>
      <c r="F10" s="164">
        <v>99.74</v>
      </c>
      <c r="G10" s="8">
        <f t="shared" si="1"/>
        <v>19848.259999999998</v>
      </c>
      <c r="H10" s="164"/>
      <c r="I10" s="164"/>
      <c r="J10" s="8">
        <f t="shared" si="2"/>
        <v>0</v>
      </c>
      <c r="K10" s="8">
        <f t="shared" si="3"/>
        <v>19848.259999999998</v>
      </c>
      <c r="L10" s="165">
        <v>0</v>
      </c>
      <c r="M10" s="165">
        <f t="shared" si="0"/>
        <v>735358.80810000037</v>
      </c>
      <c r="N10" s="41"/>
    </row>
    <row r="11" spans="1:17">
      <c r="A11" s="26">
        <v>8</v>
      </c>
      <c r="B11" s="27">
        <v>46181</v>
      </c>
      <c r="C11" s="67"/>
      <c r="D11" s="159"/>
      <c r="E11" s="164">
        <v>75</v>
      </c>
      <c r="F11" s="164">
        <v>99.74</v>
      </c>
      <c r="G11" s="8">
        <f t="shared" si="1"/>
        <v>7480.5</v>
      </c>
      <c r="H11" s="164"/>
      <c r="I11" s="164"/>
      <c r="J11" s="8">
        <f t="shared" si="2"/>
        <v>0</v>
      </c>
      <c r="K11" s="8">
        <f t="shared" si="3"/>
        <v>7480.5</v>
      </c>
      <c r="L11" s="165">
        <v>500000</v>
      </c>
      <c r="M11" s="165">
        <f t="shared" si="0"/>
        <v>242839.30810000037</v>
      </c>
      <c r="N11" s="41" t="s">
        <v>196</v>
      </c>
      <c r="P11" s="239"/>
      <c r="Q11" s="240"/>
    </row>
    <row r="12" spans="1:17">
      <c r="A12" s="26">
        <v>9</v>
      </c>
      <c r="B12" s="27">
        <v>46182</v>
      </c>
      <c r="C12" s="67"/>
      <c r="D12" s="159"/>
      <c r="E12" s="164">
        <v>475</v>
      </c>
      <c r="F12" s="164">
        <v>99.74</v>
      </c>
      <c r="G12" s="8">
        <f t="shared" si="1"/>
        <v>47376.5</v>
      </c>
      <c r="H12" s="164">
        <v>46</v>
      </c>
      <c r="I12" s="164">
        <v>111.86</v>
      </c>
      <c r="J12" s="8">
        <f t="shared" si="2"/>
        <v>5145.5600000000004</v>
      </c>
      <c r="K12" s="8">
        <f t="shared" si="3"/>
        <v>52522.06</v>
      </c>
      <c r="L12" s="165">
        <v>0</v>
      </c>
      <c r="M12" s="165">
        <f t="shared" si="0"/>
        <v>295361.36810000037</v>
      </c>
      <c r="N12" s="41"/>
    </row>
    <row r="13" spans="1:17">
      <c r="A13" s="26">
        <v>10</v>
      </c>
      <c r="B13" s="27">
        <v>46183</v>
      </c>
      <c r="C13" s="67"/>
      <c r="D13" s="159"/>
      <c r="E13" s="164">
        <v>400</v>
      </c>
      <c r="F13" s="164">
        <v>99.74</v>
      </c>
      <c r="G13" s="8">
        <f t="shared" si="1"/>
        <v>39896</v>
      </c>
      <c r="H13" s="164"/>
      <c r="I13" s="164"/>
      <c r="J13" s="8">
        <f t="shared" si="2"/>
        <v>0</v>
      </c>
      <c r="K13" s="8">
        <f t="shared" si="3"/>
        <v>39896</v>
      </c>
      <c r="L13" s="165">
        <v>0</v>
      </c>
      <c r="M13" s="165">
        <f t="shared" si="0"/>
        <v>335257.36810000037</v>
      </c>
      <c r="N13" s="41"/>
    </row>
    <row r="14" spans="1:17">
      <c r="A14" s="26">
        <v>11</v>
      </c>
      <c r="B14" s="27">
        <v>46184</v>
      </c>
      <c r="C14" s="67"/>
      <c r="D14" s="159"/>
      <c r="E14" s="164">
        <v>270.01</v>
      </c>
      <c r="F14" s="164">
        <v>99.74</v>
      </c>
      <c r="G14" s="8">
        <f t="shared" si="1"/>
        <v>26930.797399999999</v>
      </c>
      <c r="H14" s="164"/>
      <c r="I14" s="164"/>
      <c r="J14" s="8">
        <f t="shared" si="2"/>
        <v>0</v>
      </c>
      <c r="K14" s="8">
        <f t="shared" si="3"/>
        <v>26930.797399999999</v>
      </c>
      <c r="L14" s="165">
        <v>0</v>
      </c>
      <c r="M14" s="165">
        <f t="shared" si="0"/>
        <v>362188.16550000035</v>
      </c>
      <c r="N14" s="41"/>
    </row>
    <row r="15" spans="1:17">
      <c r="A15" s="26">
        <v>12</v>
      </c>
      <c r="B15" s="27">
        <v>46185</v>
      </c>
      <c r="C15" s="67"/>
      <c r="D15" s="159"/>
      <c r="E15" s="164">
        <v>400</v>
      </c>
      <c r="F15" s="164">
        <v>99.74</v>
      </c>
      <c r="G15" s="8">
        <f t="shared" si="1"/>
        <v>39896</v>
      </c>
      <c r="H15" s="164">
        <v>5</v>
      </c>
      <c r="I15" s="164">
        <v>111.86</v>
      </c>
      <c r="J15" s="8">
        <f t="shared" si="2"/>
        <v>559.29999999999995</v>
      </c>
      <c r="K15" s="8">
        <f t="shared" si="3"/>
        <v>40455.300000000003</v>
      </c>
      <c r="L15" s="165">
        <v>0</v>
      </c>
      <c r="M15" s="165">
        <f t="shared" si="0"/>
        <v>402643.46550000034</v>
      </c>
      <c r="N15" s="41"/>
    </row>
    <row r="16" spans="1:17">
      <c r="A16" s="26">
        <v>13</v>
      </c>
      <c r="B16" s="27">
        <v>46186</v>
      </c>
      <c r="C16" s="67"/>
      <c r="D16" s="159"/>
      <c r="E16" s="164">
        <v>90</v>
      </c>
      <c r="F16" s="164">
        <v>99.74</v>
      </c>
      <c r="G16" s="8">
        <f t="shared" si="1"/>
        <v>8976.6</v>
      </c>
      <c r="H16" s="164"/>
      <c r="I16" s="164"/>
      <c r="J16" s="8">
        <f t="shared" si="2"/>
        <v>0</v>
      </c>
      <c r="K16" s="8">
        <f t="shared" si="3"/>
        <v>8976.6</v>
      </c>
      <c r="L16" s="165">
        <v>0</v>
      </c>
      <c r="M16" s="165">
        <f t="shared" si="0"/>
        <v>411620.06550000032</v>
      </c>
      <c r="N16" s="41"/>
    </row>
    <row r="17" spans="1:17">
      <c r="A17" s="26">
        <v>14</v>
      </c>
      <c r="B17" s="27">
        <v>46187</v>
      </c>
      <c r="C17" s="67"/>
      <c r="D17" s="159"/>
      <c r="E17" s="164">
        <v>40</v>
      </c>
      <c r="F17" s="164">
        <v>99.74</v>
      </c>
      <c r="G17" s="8">
        <f t="shared" si="1"/>
        <v>3989.6</v>
      </c>
      <c r="H17" s="164"/>
      <c r="I17" s="164"/>
      <c r="J17" s="8">
        <f t="shared" si="2"/>
        <v>0</v>
      </c>
      <c r="K17" s="8">
        <f t="shared" si="3"/>
        <v>3989.6</v>
      </c>
      <c r="L17" s="165">
        <v>0</v>
      </c>
      <c r="M17" s="165">
        <f t="shared" si="0"/>
        <v>415609.66550000029</v>
      </c>
      <c r="N17" s="41"/>
    </row>
    <row r="18" spans="1:17">
      <c r="A18" s="26">
        <v>15</v>
      </c>
      <c r="B18" s="27">
        <v>46188</v>
      </c>
      <c r="C18" s="67"/>
      <c r="D18" s="159"/>
      <c r="E18" s="164">
        <v>400</v>
      </c>
      <c r="F18" s="164">
        <v>99.74</v>
      </c>
      <c r="G18" s="8">
        <f t="shared" si="1"/>
        <v>39896</v>
      </c>
      <c r="H18" s="164"/>
      <c r="I18" s="164"/>
      <c r="J18" s="8">
        <f t="shared" si="2"/>
        <v>0</v>
      </c>
      <c r="K18" s="8">
        <f t="shared" si="3"/>
        <v>39896</v>
      </c>
      <c r="L18" s="165">
        <v>0</v>
      </c>
      <c r="M18" s="165">
        <f t="shared" si="0"/>
        <v>455505.66550000029</v>
      </c>
      <c r="N18" s="41"/>
    </row>
    <row r="19" spans="1:17">
      <c r="A19" s="26">
        <v>16</v>
      </c>
      <c r="B19" s="27">
        <v>46189</v>
      </c>
      <c r="C19" s="67"/>
      <c r="D19" s="159"/>
      <c r="E19" s="164"/>
      <c r="F19" s="164"/>
      <c r="G19" s="8">
        <f t="shared" si="1"/>
        <v>0</v>
      </c>
      <c r="H19" s="164"/>
      <c r="I19" s="164"/>
      <c r="J19" s="8">
        <f t="shared" si="2"/>
        <v>0</v>
      </c>
      <c r="K19" s="8">
        <f t="shared" si="3"/>
        <v>0</v>
      </c>
      <c r="L19" s="165">
        <v>400000</v>
      </c>
      <c r="M19" s="165">
        <f t="shared" si="0"/>
        <v>55505.665500000294</v>
      </c>
      <c r="N19" s="41"/>
      <c r="Q19" s="240"/>
    </row>
    <row r="20" spans="1:17">
      <c r="A20" s="26">
        <v>17</v>
      </c>
      <c r="B20" s="27">
        <v>46190</v>
      </c>
      <c r="C20" s="67"/>
      <c r="D20" s="159"/>
      <c r="E20" s="164">
        <v>480</v>
      </c>
      <c r="F20" s="164">
        <v>99.74</v>
      </c>
      <c r="G20" s="8">
        <f t="shared" si="1"/>
        <v>47875.199999999997</v>
      </c>
      <c r="H20" s="164">
        <v>4</v>
      </c>
      <c r="I20" s="164">
        <v>111.86</v>
      </c>
      <c r="J20" s="8">
        <f t="shared" si="2"/>
        <v>447.44</v>
      </c>
      <c r="K20" s="8">
        <f t="shared" si="3"/>
        <v>48322.64</v>
      </c>
      <c r="L20" s="165">
        <v>0</v>
      </c>
      <c r="M20" s="165">
        <f t="shared" si="0"/>
        <v>103828.30550000029</v>
      </c>
      <c r="N20" s="41"/>
    </row>
    <row r="21" spans="1:17">
      <c r="A21" s="26"/>
      <c r="B21" s="27">
        <v>46191</v>
      </c>
      <c r="C21" s="67"/>
      <c r="D21" s="159"/>
      <c r="E21" s="164">
        <v>310</v>
      </c>
      <c r="F21" s="164">
        <v>99.74</v>
      </c>
      <c r="G21" s="8">
        <f t="shared" si="1"/>
        <v>30919.399999999998</v>
      </c>
      <c r="H21" s="164"/>
      <c r="I21" s="164"/>
      <c r="J21" s="8">
        <f t="shared" si="2"/>
        <v>0</v>
      </c>
      <c r="K21" s="8">
        <f t="shared" si="3"/>
        <v>30919.399999999998</v>
      </c>
      <c r="L21" s="165">
        <v>0</v>
      </c>
      <c r="M21" s="165">
        <f t="shared" si="0"/>
        <v>134747.7055000003</v>
      </c>
      <c r="N21" s="41"/>
    </row>
    <row r="22" spans="1:17">
      <c r="A22" s="26">
        <v>18</v>
      </c>
      <c r="B22" s="27">
        <v>46192</v>
      </c>
      <c r="C22" s="67"/>
      <c r="D22" s="159"/>
      <c r="E22" s="164">
        <v>516.44000000000005</v>
      </c>
      <c r="F22" s="164">
        <v>99.74</v>
      </c>
      <c r="G22" s="8">
        <f t="shared" si="1"/>
        <v>51509.725600000005</v>
      </c>
      <c r="H22" s="164">
        <v>25</v>
      </c>
      <c r="I22" s="164">
        <v>111.86</v>
      </c>
      <c r="J22" s="8">
        <f t="shared" si="2"/>
        <v>2796.5</v>
      </c>
      <c r="K22" s="8">
        <f t="shared" si="3"/>
        <v>54306.225600000005</v>
      </c>
      <c r="L22" s="165">
        <v>0</v>
      </c>
      <c r="M22" s="165">
        <f t="shared" si="0"/>
        <v>189053.93110000031</v>
      </c>
      <c r="N22" s="41" t="s">
        <v>183</v>
      </c>
    </row>
    <row r="23" spans="1:17">
      <c r="A23" s="26">
        <v>19</v>
      </c>
      <c r="B23" s="27">
        <v>46193</v>
      </c>
      <c r="C23" s="67"/>
      <c r="D23" s="159"/>
      <c r="E23" s="164">
        <v>30</v>
      </c>
      <c r="F23" s="164">
        <v>99.74</v>
      </c>
      <c r="G23" s="8">
        <f t="shared" si="1"/>
        <v>2992.2</v>
      </c>
      <c r="H23" s="164"/>
      <c r="I23" s="164"/>
      <c r="J23" s="8">
        <f t="shared" si="2"/>
        <v>0</v>
      </c>
      <c r="K23" s="8">
        <f t="shared" si="3"/>
        <v>2992.2</v>
      </c>
      <c r="L23" s="165">
        <v>0</v>
      </c>
      <c r="M23" s="165">
        <f t="shared" si="0"/>
        <v>192046.13110000032</v>
      </c>
      <c r="N23" s="41"/>
    </row>
    <row r="24" spans="1:17">
      <c r="A24" s="26">
        <v>20</v>
      </c>
      <c r="B24" s="27">
        <v>46194</v>
      </c>
      <c r="C24" s="67"/>
      <c r="D24" s="159"/>
      <c r="E24" s="164">
        <v>72.900000000000006</v>
      </c>
      <c r="F24" s="164">
        <v>99.74</v>
      </c>
      <c r="G24" s="8">
        <f t="shared" si="1"/>
        <v>7271.0460000000003</v>
      </c>
      <c r="H24" s="164">
        <v>10</v>
      </c>
      <c r="I24" s="164">
        <v>111.86</v>
      </c>
      <c r="J24" s="8">
        <f t="shared" si="2"/>
        <v>1118.5999999999999</v>
      </c>
      <c r="K24" s="8">
        <f t="shared" si="3"/>
        <v>8389.6460000000006</v>
      </c>
      <c r="L24" s="165">
        <v>0</v>
      </c>
      <c r="M24" s="165">
        <f t="shared" si="0"/>
        <v>200435.77710000033</v>
      </c>
      <c r="N24" s="41"/>
    </row>
    <row r="25" spans="1:17">
      <c r="A25" s="26">
        <v>21</v>
      </c>
      <c r="B25" s="27">
        <v>46195</v>
      </c>
      <c r="C25" s="67"/>
      <c r="D25" s="159"/>
      <c r="E25" s="164">
        <v>400</v>
      </c>
      <c r="F25" s="164">
        <v>99.74</v>
      </c>
      <c r="G25" s="8">
        <f t="shared" si="1"/>
        <v>39896</v>
      </c>
      <c r="H25" s="164">
        <v>4</v>
      </c>
      <c r="I25" s="164">
        <v>111.86</v>
      </c>
      <c r="J25" s="8">
        <f t="shared" si="2"/>
        <v>447.44</v>
      </c>
      <c r="K25" s="8">
        <f t="shared" si="3"/>
        <v>40343.440000000002</v>
      </c>
      <c r="L25" s="165">
        <v>0</v>
      </c>
      <c r="M25" s="165">
        <f t="shared" si="0"/>
        <v>240779.21710000033</v>
      </c>
      <c r="N25" s="41"/>
    </row>
    <row r="26" spans="1:17">
      <c r="A26" s="26">
        <v>22</v>
      </c>
      <c r="B26" s="27">
        <v>46196</v>
      </c>
      <c r="C26" s="67"/>
      <c r="D26" s="159"/>
      <c r="E26" s="164">
        <v>70</v>
      </c>
      <c r="F26" s="164">
        <v>99.74</v>
      </c>
      <c r="G26" s="8">
        <f t="shared" si="1"/>
        <v>6981.7999999999993</v>
      </c>
      <c r="H26" s="164"/>
      <c r="I26" s="164"/>
      <c r="J26" s="8">
        <f t="shared" si="2"/>
        <v>0</v>
      </c>
      <c r="K26" s="8">
        <f t="shared" si="3"/>
        <v>6981.7999999999993</v>
      </c>
      <c r="L26" s="165">
        <v>0</v>
      </c>
      <c r="M26" s="165">
        <f t="shared" si="0"/>
        <v>247761.01710000032</v>
      </c>
      <c r="N26" s="41"/>
    </row>
    <row r="27" spans="1:17">
      <c r="A27" s="26"/>
      <c r="B27" s="27">
        <v>46197</v>
      </c>
      <c r="C27" s="67"/>
      <c r="D27" s="159"/>
      <c r="E27" s="164">
        <v>205</v>
      </c>
      <c r="F27" s="164">
        <v>99.74</v>
      </c>
      <c r="G27" s="8">
        <f t="shared" si="1"/>
        <v>20446.7</v>
      </c>
      <c r="H27" s="164"/>
      <c r="I27" s="164"/>
      <c r="J27" s="8">
        <f t="shared" si="2"/>
        <v>0</v>
      </c>
      <c r="K27" s="8">
        <f t="shared" si="3"/>
        <v>20446.7</v>
      </c>
      <c r="L27" s="165">
        <v>0</v>
      </c>
      <c r="M27" s="165">
        <f t="shared" si="0"/>
        <v>268207.7171000003</v>
      </c>
      <c r="N27" s="41"/>
    </row>
    <row r="28" spans="1:17">
      <c r="A28" s="26">
        <v>23</v>
      </c>
      <c r="B28" s="27">
        <v>46198</v>
      </c>
      <c r="C28" s="67"/>
      <c r="D28" s="159"/>
      <c r="E28" s="164">
        <v>130</v>
      </c>
      <c r="F28" s="164">
        <v>99.74</v>
      </c>
      <c r="G28" s="8">
        <f t="shared" si="1"/>
        <v>12966.199999999999</v>
      </c>
      <c r="H28" s="164">
        <v>6</v>
      </c>
      <c r="I28" s="164">
        <v>111.86</v>
      </c>
      <c r="J28" s="8">
        <f t="shared" si="2"/>
        <v>671.16</v>
      </c>
      <c r="K28" s="8">
        <f t="shared" si="3"/>
        <v>13637.359999999999</v>
      </c>
      <c r="L28" s="165">
        <v>0</v>
      </c>
      <c r="M28" s="165">
        <f t="shared" si="0"/>
        <v>281845.07710000029</v>
      </c>
      <c r="N28" s="41"/>
    </row>
    <row r="29" spans="1:17">
      <c r="A29" s="26">
        <v>24</v>
      </c>
      <c r="B29" s="27">
        <v>46199</v>
      </c>
      <c r="C29" s="67"/>
      <c r="D29" s="159"/>
      <c r="E29" s="537">
        <v>904.97</v>
      </c>
      <c r="F29" s="478">
        <v>99.74</v>
      </c>
      <c r="G29" s="8">
        <f t="shared" si="1"/>
        <v>90261.707800000004</v>
      </c>
      <c r="H29" s="164"/>
      <c r="I29" s="164"/>
      <c r="J29" s="8">
        <f t="shared" si="2"/>
        <v>0</v>
      </c>
      <c r="K29" s="8">
        <f t="shared" si="3"/>
        <v>90261.707800000004</v>
      </c>
      <c r="L29" s="165">
        <v>0</v>
      </c>
      <c r="M29" s="165">
        <f t="shared" si="0"/>
        <v>372106.78490000032</v>
      </c>
      <c r="N29" s="41"/>
    </row>
    <row r="30" spans="1:17">
      <c r="A30" s="26">
        <v>25</v>
      </c>
      <c r="B30" s="27">
        <v>46200</v>
      </c>
      <c r="C30" s="67"/>
      <c r="D30" s="159"/>
      <c r="E30" s="164">
        <v>276.60000000000002</v>
      </c>
      <c r="F30" s="164">
        <v>99.74</v>
      </c>
      <c r="G30" s="8">
        <f t="shared" si="1"/>
        <v>27588.084000000003</v>
      </c>
      <c r="H30" s="164"/>
      <c r="I30" s="164"/>
      <c r="J30" s="8">
        <f t="shared" si="2"/>
        <v>0</v>
      </c>
      <c r="K30" s="8">
        <f t="shared" si="3"/>
        <v>27588.084000000003</v>
      </c>
      <c r="L30" s="165">
        <v>0</v>
      </c>
      <c r="M30" s="165">
        <f t="shared" si="0"/>
        <v>399694.86890000035</v>
      </c>
      <c r="N30" s="41"/>
    </row>
    <row r="31" spans="1:17">
      <c r="A31" s="26">
        <v>26</v>
      </c>
      <c r="B31" s="27">
        <v>46201</v>
      </c>
      <c r="C31" s="195"/>
      <c r="D31" s="159"/>
      <c r="E31" s="164">
        <v>465</v>
      </c>
      <c r="F31" s="164">
        <v>99.74</v>
      </c>
      <c r="G31" s="8">
        <f t="shared" si="1"/>
        <v>46379.1</v>
      </c>
      <c r="H31" s="164">
        <v>20</v>
      </c>
      <c r="I31" s="164">
        <v>111.86</v>
      </c>
      <c r="J31" s="8">
        <f t="shared" si="2"/>
        <v>2237.1999999999998</v>
      </c>
      <c r="K31" s="8">
        <f t="shared" si="3"/>
        <v>48616.299999999996</v>
      </c>
      <c r="L31" s="165">
        <v>0</v>
      </c>
      <c r="M31" s="165">
        <f t="shared" si="0"/>
        <v>448311.16890000034</v>
      </c>
      <c r="N31" s="41"/>
    </row>
    <row r="32" spans="1:17">
      <c r="A32" s="26">
        <v>27</v>
      </c>
      <c r="B32" s="27">
        <v>46202</v>
      </c>
      <c r="C32" s="67"/>
      <c r="D32" s="159"/>
      <c r="E32" s="164">
        <v>95</v>
      </c>
      <c r="F32" s="164">
        <v>99.74</v>
      </c>
      <c r="G32" s="8">
        <f t="shared" si="1"/>
        <v>9475.2999999999993</v>
      </c>
      <c r="H32" s="164"/>
      <c r="I32" s="164"/>
      <c r="J32" s="8">
        <f t="shared" si="2"/>
        <v>0</v>
      </c>
      <c r="K32" s="8">
        <f t="shared" si="3"/>
        <v>9475.2999999999993</v>
      </c>
      <c r="L32" s="165">
        <v>0</v>
      </c>
      <c r="M32" s="165">
        <f t="shared" si="0"/>
        <v>457786.46890000033</v>
      </c>
      <c r="N32" s="41"/>
      <c r="P32" s="69">
        <f>600*99.73</f>
        <v>59838</v>
      </c>
    </row>
    <row r="33" spans="1:15">
      <c r="A33" s="26">
        <v>28</v>
      </c>
      <c r="B33" s="27">
        <v>46203</v>
      </c>
      <c r="C33" s="67"/>
      <c r="D33" s="159"/>
      <c r="E33" s="164">
        <v>715</v>
      </c>
      <c r="F33" s="164">
        <v>99.74</v>
      </c>
      <c r="G33" s="8">
        <f t="shared" si="1"/>
        <v>71314.099999999991</v>
      </c>
      <c r="H33" s="164">
        <v>5</v>
      </c>
      <c r="I33" s="164">
        <v>111.86</v>
      </c>
      <c r="J33" s="8">
        <f t="shared" si="2"/>
        <v>559.29999999999995</v>
      </c>
      <c r="K33" s="8">
        <f t="shared" si="3"/>
        <v>71873.399999999994</v>
      </c>
      <c r="L33" s="165">
        <v>0</v>
      </c>
      <c r="M33" s="165">
        <f t="shared" si="0"/>
        <v>529659.86890000035</v>
      </c>
      <c r="N33" s="41"/>
    </row>
    <row r="34" spans="1:15">
      <c r="A34" s="26">
        <v>29</v>
      </c>
      <c r="B34" s="27"/>
      <c r="C34" s="67"/>
      <c r="D34" s="159"/>
      <c r="E34" s="164"/>
      <c r="F34" s="164"/>
      <c r="G34" s="8">
        <f t="shared" si="1"/>
        <v>0</v>
      </c>
      <c r="H34" s="164"/>
      <c r="I34" s="164"/>
      <c r="J34" s="8">
        <f t="shared" si="2"/>
        <v>0</v>
      </c>
      <c r="K34" s="8">
        <f t="shared" si="3"/>
        <v>0</v>
      </c>
      <c r="L34" s="165">
        <v>0</v>
      </c>
      <c r="M34" s="165">
        <f t="shared" si="0"/>
        <v>529659.86890000035</v>
      </c>
      <c r="N34" s="41"/>
    </row>
    <row r="35" spans="1:15">
      <c r="A35" s="26">
        <v>30</v>
      </c>
      <c r="B35" s="27"/>
      <c r="C35" s="67"/>
      <c r="D35" s="159"/>
      <c r="E35" s="164"/>
      <c r="F35" s="164"/>
      <c r="G35" s="8">
        <f t="shared" si="1"/>
        <v>0</v>
      </c>
      <c r="H35" s="164"/>
      <c r="I35" s="164"/>
      <c r="J35" s="8">
        <f t="shared" si="2"/>
        <v>0</v>
      </c>
      <c r="K35" s="8">
        <f t="shared" si="3"/>
        <v>0</v>
      </c>
      <c r="L35" s="165">
        <v>0</v>
      </c>
      <c r="M35" s="165">
        <f t="shared" si="0"/>
        <v>529659.86890000035</v>
      </c>
      <c r="N35" s="41"/>
    </row>
    <row r="36" spans="1:15">
      <c r="A36" s="26">
        <v>31</v>
      </c>
      <c r="B36" s="27"/>
      <c r="C36" s="67"/>
      <c r="D36" s="159"/>
      <c r="E36" s="164"/>
      <c r="F36" s="164"/>
      <c r="G36" s="8">
        <f t="shared" si="1"/>
        <v>0</v>
      </c>
      <c r="H36" s="164"/>
      <c r="I36" s="164"/>
      <c r="J36" s="8">
        <f t="shared" si="2"/>
        <v>0</v>
      </c>
      <c r="K36" s="8">
        <f t="shared" si="3"/>
        <v>0</v>
      </c>
      <c r="L36" s="165">
        <v>0</v>
      </c>
      <c r="M36" s="165">
        <f>M35+K36-L36</f>
        <v>529659.86890000035</v>
      </c>
      <c r="N36" s="41"/>
    </row>
    <row r="37" spans="1:15">
      <c r="A37" s="160"/>
      <c r="B37" s="160"/>
      <c r="C37" s="160"/>
      <c r="D37" s="160"/>
      <c r="E37" s="161">
        <f>SUM(E4:E36)</f>
        <v>9414.9200000000019</v>
      </c>
      <c r="F37" s="161"/>
      <c r="G37" s="161">
        <f>SUM(G4:G36)</f>
        <v>939044.1207999998</v>
      </c>
      <c r="H37" s="161">
        <f>SUM(H4:H36)</f>
        <v>125</v>
      </c>
      <c r="I37" s="63"/>
      <c r="J37" s="161">
        <f>SUM(J4:J36)</f>
        <v>13982.5</v>
      </c>
      <c r="K37" s="161">
        <f>SUM(K4:K36)</f>
        <v>953026.62079999992</v>
      </c>
      <c r="L37" s="161">
        <f>SUM(L4:L36)</f>
        <v>900000</v>
      </c>
      <c r="M37" s="161"/>
      <c r="N37" s="63"/>
      <c r="O37" s="59"/>
    </row>
    <row r="38" spans="1:15">
      <c r="A38" s="72"/>
      <c r="B38" s="73"/>
      <c r="C38" s="72"/>
      <c r="D38" s="72"/>
      <c r="E38" s="74"/>
      <c r="F38" s="74"/>
      <c r="G38" s="74"/>
      <c r="H38" s="74"/>
      <c r="I38" s="74"/>
      <c r="J38" s="75"/>
      <c r="K38" s="75"/>
      <c r="L38" s="75"/>
      <c r="M38" s="75"/>
      <c r="N38" s="74"/>
    </row>
    <row r="44" spans="1:15">
      <c r="B44" s="59"/>
      <c r="G44" s="76"/>
      <c r="J44" s="59"/>
      <c r="K44" s="59"/>
      <c r="L44" s="59"/>
      <c r="M44" s="59"/>
      <c r="O44" s="74"/>
    </row>
    <row r="45" spans="1:15">
      <c r="B45" s="561"/>
      <c r="C45" s="561"/>
      <c r="D45" s="561"/>
      <c r="E45" s="561"/>
      <c r="I45" s="561"/>
      <c r="J45" s="561"/>
      <c r="K45" s="561"/>
      <c r="L45" s="561"/>
      <c r="M45" s="561"/>
      <c r="N45" s="561"/>
      <c r="O45" s="74"/>
    </row>
    <row r="46" spans="1:15">
      <c r="B46" s="59"/>
      <c r="J46" s="59"/>
      <c r="K46" s="59"/>
      <c r="L46" s="59"/>
      <c r="M46" s="59"/>
      <c r="O46" s="74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4708-290B-4AF1-B44A-9672881C5B56}">
  <dimension ref="A1:R44"/>
  <sheetViews>
    <sheetView topLeftCell="A13" workbookViewId="0">
      <selection activeCell="I32" sqref="I32"/>
    </sheetView>
  </sheetViews>
  <sheetFormatPr defaultRowHeight="15"/>
  <cols>
    <col min="2" max="2" width="18.28515625" customWidth="1"/>
    <col min="7" max="7" width="14.7109375" customWidth="1"/>
    <col min="11" max="11" width="23.7109375" customWidth="1"/>
    <col min="12" max="12" width="19" customWidth="1"/>
    <col min="13" max="13" width="18.140625" customWidth="1"/>
  </cols>
  <sheetData>
    <row r="1" spans="1:18" ht="15.75">
      <c r="A1" s="564" t="s">
        <v>332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3"/>
      <c r="P1" s="77"/>
      <c r="Q1" s="77"/>
      <c r="R1" s="77"/>
    </row>
    <row r="2" spans="1:18" ht="30.75">
      <c r="A2" s="98" t="s">
        <v>0</v>
      </c>
      <c r="B2" s="99" t="s">
        <v>167</v>
      </c>
      <c r="C2" s="99" t="s">
        <v>168</v>
      </c>
      <c r="D2" s="99" t="s">
        <v>191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227" t="s">
        <v>175</v>
      </c>
      <c r="M2" s="143" t="s">
        <v>192</v>
      </c>
      <c r="N2" s="101" t="s">
        <v>177</v>
      </c>
      <c r="O2" s="59"/>
      <c r="P2" s="77"/>
      <c r="Q2" s="77"/>
      <c r="R2" s="77"/>
    </row>
    <row r="3" spans="1:18">
      <c r="A3" s="574" t="s">
        <v>178</v>
      </c>
      <c r="B3" s="575"/>
      <c r="C3" s="575"/>
      <c r="D3" s="575"/>
      <c r="E3" s="575"/>
      <c r="F3" s="575"/>
      <c r="G3" s="575"/>
      <c r="H3" s="575"/>
      <c r="I3" s="575"/>
      <c r="J3" s="576"/>
      <c r="K3" s="209">
        <v>167956.75</v>
      </c>
      <c r="L3" s="209"/>
      <c r="M3" s="209">
        <v>167956.75</v>
      </c>
      <c r="N3" s="156"/>
      <c r="O3" s="8"/>
      <c r="P3" s="77"/>
      <c r="Q3" s="77"/>
      <c r="R3" s="77"/>
    </row>
    <row r="4" spans="1:18">
      <c r="A4" s="26">
        <v>1</v>
      </c>
      <c r="B4" s="27">
        <v>46174</v>
      </c>
      <c r="C4" s="25"/>
      <c r="D4" s="18"/>
      <c r="E4" s="47">
        <v>600</v>
      </c>
      <c r="F4" s="47">
        <v>99.73</v>
      </c>
      <c r="G4" s="8">
        <f>E4*F4</f>
        <v>59838</v>
      </c>
      <c r="H4" s="47">
        <v>35</v>
      </c>
      <c r="I4" s="478">
        <v>111.85</v>
      </c>
      <c r="J4" s="8">
        <f>H4*I4</f>
        <v>3914.75</v>
      </c>
      <c r="K4" s="8">
        <f>G4+J4</f>
        <v>63752.75</v>
      </c>
      <c r="L4" s="250"/>
      <c r="M4" s="8">
        <f>M3+K4-L4</f>
        <v>231709.5</v>
      </c>
      <c r="N4" s="8"/>
      <c r="O4" s="59"/>
      <c r="P4" s="77"/>
      <c r="Q4" s="77"/>
      <c r="R4" s="77"/>
    </row>
    <row r="5" spans="1:18">
      <c r="A5" s="26">
        <v>2</v>
      </c>
      <c r="B5" s="27">
        <v>46175</v>
      </c>
      <c r="C5" s="25"/>
      <c r="D5" s="18"/>
      <c r="E5" s="47">
        <v>400</v>
      </c>
      <c r="F5" s="47">
        <v>99.73</v>
      </c>
      <c r="G5" s="8">
        <f t="shared" ref="G5:G34" si="0">E5*F5</f>
        <v>39892</v>
      </c>
      <c r="H5" s="47"/>
      <c r="I5" s="478">
        <v>111.85</v>
      </c>
      <c r="J5" s="8">
        <f>H5*I5</f>
        <v>0</v>
      </c>
      <c r="K5" s="8">
        <f t="shared" ref="K5:K34" si="1">G5+J5</f>
        <v>39892</v>
      </c>
      <c r="L5" s="250"/>
      <c r="M5" s="8">
        <f t="shared" ref="M5:M33" si="2">M4+K5-L5</f>
        <v>271601.5</v>
      </c>
      <c r="N5" s="8"/>
      <c r="O5" s="59"/>
      <c r="P5" s="77"/>
      <c r="Q5" s="77"/>
      <c r="R5" s="77"/>
    </row>
    <row r="6" spans="1:18">
      <c r="A6" s="26">
        <v>3</v>
      </c>
      <c r="B6" s="27">
        <v>46176</v>
      </c>
      <c r="C6" s="25"/>
      <c r="D6" s="18"/>
      <c r="E6" s="47">
        <v>200</v>
      </c>
      <c r="F6" s="47">
        <v>99.73</v>
      </c>
      <c r="G6" s="8">
        <f t="shared" si="0"/>
        <v>19946</v>
      </c>
      <c r="H6" s="47">
        <v>5</v>
      </c>
      <c r="I6" s="478">
        <v>111.85</v>
      </c>
      <c r="J6" s="8">
        <f t="shared" ref="J5:J34" si="3">H6*I6</f>
        <v>559.25</v>
      </c>
      <c r="K6" s="8">
        <f t="shared" si="1"/>
        <v>20505.25</v>
      </c>
      <c r="L6" s="250"/>
      <c r="M6" s="8">
        <f t="shared" si="2"/>
        <v>292106.75</v>
      </c>
      <c r="N6" s="8"/>
      <c r="O6" s="59"/>
      <c r="P6" s="77"/>
      <c r="Q6" s="77"/>
      <c r="R6" s="77"/>
    </row>
    <row r="7" spans="1:18">
      <c r="A7" s="26">
        <v>4</v>
      </c>
      <c r="B7" s="27">
        <v>46177</v>
      </c>
      <c r="C7" s="25"/>
      <c r="D7" s="18"/>
      <c r="E7" s="47">
        <v>440</v>
      </c>
      <c r="F7" s="47">
        <v>99.73</v>
      </c>
      <c r="G7" s="8">
        <f t="shared" si="0"/>
        <v>43881.200000000004</v>
      </c>
      <c r="H7" s="47">
        <v>17</v>
      </c>
      <c r="I7" s="478">
        <v>111.85</v>
      </c>
      <c r="J7" s="8">
        <f t="shared" si="3"/>
        <v>1901.4499999999998</v>
      </c>
      <c r="K7" s="8">
        <f t="shared" si="1"/>
        <v>45782.65</v>
      </c>
      <c r="L7" s="250"/>
      <c r="M7" s="8">
        <f t="shared" si="2"/>
        <v>337889.4</v>
      </c>
      <c r="N7" s="8"/>
      <c r="O7" s="59"/>
      <c r="P7" s="77"/>
      <c r="Q7" s="77"/>
      <c r="R7" s="77"/>
    </row>
    <row r="8" spans="1:18">
      <c r="A8" s="26">
        <v>5</v>
      </c>
      <c r="B8" s="27">
        <v>46178</v>
      </c>
      <c r="C8" s="25"/>
      <c r="D8" s="18"/>
      <c r="E8" s="47">
        <v>200</v>
      </c>
      <c r="F8" s="47">
        <v>99.73</v>
      </c>
      <c r="G8" s="8">
        <f t="shared" si="0"/>
        <v>19946</v>
      </c>
      <c r="H8" s="47">
        <v>30</v>
      </c>
      <c r="I8" s="47">
        <v>111.85</v>
      </c>
      <c r="J8" s="8">
        <f t="shared" si="3"/>
        <v>3355.5</v>
      </c>
      <c r="K8" s="8">
        <f t="shared" si="1"/>
        <v>23301.5</v>
      </c>
      <c r="L8" s="250"/>
      <c r="M8" s="8">
        <f t="shared" si="2"/>
        <v>361190.9</v>
      </c>
      <c r="N8" s="8"/>
      <c r="O8" s="59"/>
      <c r="P8" s="77"/>
      <c r="Q8" s="77"/>
      <c r="R8" s="77"/>
    </row>
    <row r="9" spans="1:18">
      <c r="A9" s="26">
        <v>6</v>
      </c>
      <c r="B9" s="27">
        <v>46179</v>
      </c>
      <c r="C9" s="25"/>
      <c r="D9" s="18"/>
      <c r="E9" s="47">
        <v>80</v>
      </c>
      <c r="F9" s="47">
        <v>99.73</v>
      </c>
      <c r="G9" s="8">
        <f t="shared" si="0"/>
        <v>7978.4000000000005</v>
      </c>
      <c r="H9" s="47"/>
      <c r="I9" s="47"/>
      <c r="J9" s="8">
        <f t="shared" si="3"/>
        <v>0</v>
      </c>
      <c r="K9" s="8">
        <f t="shared" si="1"/>
        <v>7978.4000000000005</v>
      </c>
      <c r="L9" s="250"/>
      <c r="M9" s="8">
        <f t="shared" si="2"/>
        <v>369169.30000000005</v>
      </c>
      <c r="N9" s="8"/>
      <c r="O9" s="59"/>
      <c r="P9" s="77"/>
      <c r="Q9" s="77"/>
      <c r="R9" s="77"/>
    </row>
    <row r="10" spans="1:18">
      <c r="A10" s="26">
        <v>7</v>
      </c>
      <c r="B10" s="27">
        <v>46180</v>
      </c>
      <c r="C10" s="25"/>
      <c r="D10" s="18"/>
      <c r="E10" s="47">
        <v>235</v>
      </c>
      <c r="F10" s="47">
        <v>99.73</v>
      </c>
      <c r="G10" s="8">
        <f t="shared" si="0"/>
        <v>23436.55</v>
      </c>
      <c r="H10" s="47">
        <v>50</v>
      </c>
      <c r="I10" s="47">
        <v>111.85</v>
      </c>
      <c r="J10" s="8">
        <f t="shared" si="3"/>
        <v>5592.5</v>
      </c>
      <c r="K10" s="8">
        <f t="shared" si="1"/>
        <v>29029.05</v>
      </c>
      <c r="L10" s="250"/>
      <c r="M10" s="8">
        <f t="shared" si="2"/>
        <v>398198.35000000003</v>
      </c>
      <c r="N10" s="8"/>
      <c r="O10" s="59"/>
      <c r="P10" s="77"/>
      <c r="Q10" s="77"/>
      <c r="R10" s="77"/>
    </row>
    <row r="11" spans="1:18">
      <c r="A11" s="26">
        <v>8</v>
      </c>
      <c r="B11" s="27">
        <v>46181</v>
      </c>
      <c r="C11" s="25"/>
      <c r="D11" s="18"/>
      <c r="E11" s="47">
        <v>400</v>
      </c>
      <c r="F11" s="47">
        <v>99.73</v>
      </c>
      <c r="G11" s="8">
        <f t="shared" si="0"/>
        <v>39892</v>
      </c>
      <c r="H11" s="47">
        <v>12</v>
      </c>
      <c r="I11" s="47">
        <v>111.85</v>
      </c>
      <c r="J11" s="8">
        <f t="shared" si="3"/>
        <v>1342.1999999999998</v>
      </c>
      <c r="K11" s="8">
        <f t="shared" si="1"/>
        <v>41234.199999999997</v>
      </c>
      <c r="L11" s="250">
        <v>398000</v>
      </c>
      <c r="M11" s="8">
        <f t="shared" si="2"/>
        <v>41432.550000000047</v>
      </c>
      <c r="N11" s="8"/>
      <c r="O11" s="59"/>
      <c r="P11" s="77"/>
      <c r="Q11" s="77"/>
      <c r="R11" s="77"/>
    </row>
    <row r="12" spans="1:18">
      <c r="A12" s="26">
        <v>9</v>
      </c>
      <c r="B12" s="27">
        <v>46182</v>
      </c>
      <c r="C12" s="25"/>
      <c r="D12" s="18"/>
      <c r="E12" s="266">
        <v>15</v>
      </c>
      <c r="F12" s="295">
        <v>99.73</v>
      </c>
      <c r="G12" s="8">
        <f t="shared" si="0"/>
        <v>1495.95</v>
      </c>
      <c r="H12" s="266"/>
      <c r="I12" s="295"/>
      <c r="J12" s="8">
        <f t="shared" si="3"/>
        <v>0</v>
      </c>
      <c r="K12" s="8">
        <f t="shared" si="1"/>
        <v>1495.95</v>
      </c>
      <c r="L12" s="250"/>
      <c r="M12" s="8">
        <f t="shared" si="2"/>
        <v>42928.500000000044</v>
      </c>
      <c r="N12" s="8"/>
      <c r="O12" s="59"/>
      <c r="P12" s="77"/>
      <c r="Q12" s="77"/>
      <c r="R12" s="77"/>
    </row>
    <row r="13" spans="1:18">
      <c r="A13" s="26">
        <v>10</v>
      </c>
      <c r="B13" s="27">
        <v>46183</v>
      </c>
      <c r="C13" s="25"/>
      <c r="D13" s="18"/>
      <c r="E13" s="266">
        <v>400</v>
      </c>
      <c r="F13" s="295">
        <v>99.73</v>
      </c>
      <c r="G13" s="8">
        <f t="shared" si="0"/>
        <v>39892</v>
      </c>
      <c r="H13" s="266"/>
      <c r="I13" s="295"/>
      <c r="J13" s="8">
        <f t="shared" si="3"/>
        <v>0</v>
      </c>
      <c r="K13" s="8">
        <f t="shared" si="1"/>
        <v>39892</v>
      </c>
      <c r="L13" s="250"/>
      <c r="M13" s="8">
        <f>M12+K13-L13</f>
        <v>82820.500000000044</v>
      </c>
      <c r="N13" s="19"/>
      <c r="O13" s="59"/>
      <c r="P13" s="77"/>
      <c r="Q13" s="77"/>
      <c r="R13" s="77"/>
    </row>
    <row r="14" spans="1:18">
      <c r="A14" s="26">
        <v>11</v>
      </c>
      <c r="B14" s="27">
        <v>46184</v>
      </c>
      <c r="C14" s="25"/>
      <c r="D14" s="18"/>
      <c r="E14" s="47">
        <v>230</v>
      </c>
      <c r="F14" s="47">
        <v>99.73</v>
      </c>
      <c r="G14" s="8">
        <f t="shared" si="0"/>
        <v>22937.9</v>
      </c>
      <c r="H14" s="47"/>
      <c r="I14" s="295"/>
      <c r="J14" s="8">
        <f t="shared" si="3"/>
        <v>0</v>
      </c>
      <c r="K14" s="8">
        <f t="shared" si="1"/>
        <v>22937.9</v>
      </c>
      <c r="L14" s="250"/>
      <c r="M14" s="8">
        <f>M13+K14-L14</f>
        <v>105758.40000000005</v>
      </c>
      <c r="N14" s="19"/>
      <c r="O14" s="59"/>
      <c r="P14" s="77"/>
      <c r="Q14" s="77"/>
      <c r="R14" s="77"/>
    </row>
    <row r="15" spans="1:18">
      <c r="A15" s="26">
        <v>12</v>
      </c>
      <c r="B15" s="27">
        <v>46185</v>
      </c>
      <c r="C15" s="25"/>
      <c r="D15" s="18"/>
      <c r="E15" s="47">
        <v>400</v>
      </c>
      <c r="F15" s="47">
        <v>99.73</v>
      </c>
      <c r="G15" s="8">
        <f t="shared" si="0"/>
        <v>39892</v>
      </c>
      <c r="H15" s="47">
        <v>36</v>
      </c>
      <c r="I15" s="47">
        <v>111.85</v>
      </c>
      <c r="J15" s="8">
        <f t="shared" si="3"/>
        <v>4026.6</v>
      </c>
      <c r="K15" s="8">
        <f t="shared" si="1"/>
        <v>43918.6</v>
      </c>
      <c r="L15" s="250"/>
      <c r="M15" s="8">
        <f t="shared" si="2"/>
        <v>149677.00000000006</v>
      </c>
      <c r="N15" s="19"/>
      <c r="O15" s="59"/>
      <c r="P15" s="77"/>
      <c r="Q15" s="77"/>
      <c r="R15" s="77"/>
    </row>
    <row r="16" spans="1:18">
      <c r="A16" s="26">
        <v>13</v>
      </c>
      <c r="B16" s="27">
        <v>46186</v>
      </c>
      <c r="C16" s="25"/>
      <c r="D16" s="18"/>
      <c r="E16" s="47">
        <v>440</v>
      </c>
      <c r="F16" s="47">
        <v>99.73</v>
      </c>
      <c r="G16" s="8">
        <f t="shared" si="0"/>
        <v>43881.200000000004</v>
      </c>
      <c r="H16" s="47"/>
      <c r="I16" s="47"/>
      <c r="J16" s="8">
        <f t="shared" si="3"/>
        <v>0</v>
      </c>
      <c r="K16" s="8">
        <f t="shared" si="1"/>
        <v>43881.200000000004</v>
      </c>
      <c r="L16" s="250"/>
      <c r="M16" s="8">
        <f t="shared" si="2"/>
        <v>193558.20000000007</v>
      </c>
      <c r="N16" s="19"/>
      <c r="O16" s="59"/>
      <c r="P16" s="77"/>
      <c r="Q16" s="77"/>
      <c r="R16" s="77"/>
    </row>
    <row r="17" spans="1:18">
      <c r="A17" s="26">
        <v>14</v>
      </c>
      <c r="B17" s="27">
        <v>46187</v>
      </c>
      <c r="C17" s="25"/>
      <c r="D17" s="18"/>
      <c r="E17" s="47">
        <v>0</v>
      </c>
      <c r="F17" s="47">
        <v>0</v>
      </c>
      <c r="G17" s="8">
        <f t="shared" si="0"/>
        <v>0</v>
      </c>
      <c r="H17" s="47"/>
      <c r="I17" s="295"/>
      <c r="J17" s="8">
        <f t="shared" si="3"/>
        <v>0</v>
      </c>
      <c r="K17" s="8">
        <f t="shared" si="1"/>
        <v>0</v>
      </c>
      <c r="L17" s="250"/>
      <c r="M17" s="8">
        <f t="shared" si="2"/>
        <v>193558.20000000007</v>
      </c>
      <c r="N17" s="19"/>
      <c r="O17" s="59"/>
      <c r="P17" s="77"/>
      <c r="Q17" s="77"/>
      <c r="R17" s="77"/>
    </row>
    <row r="18" spans="1:18">
      <c r="A18" s="26">
        <v>15</v>
      </c>
      <c r="B18" s="27">
        <v>46188</v>
      </c>
      <c r="C18" s="25"/>
      <c r="D18" s="18"/>
      <c r="E18" s="47">
        <v>300</v>
      </c>
      <c r="F18" s="47">
        <v>99.73</v>
      </c>
      <c r="G18" s="8">
        <f t="shared" si="0"/>
        <v>29919</v>
      </c>
      <c r="H18" s="47"/>
      <c r="I18" s="47"/>
      <c r="J18" s="8">
        <f t="shared" si="3"/>
        <v>0</v>
      </c>
      <c r="K18" s="8">
        <f t="shared" si="1"/>
        <v>29919</v>
      </c>
      <c r="L18" s="250"/>
      <c r="M18" s="8">
        <f t="shared" si="2"/>
        <v>223477.20000000007</v>
      </c>
      <c r="N18" s="19"/>
      <c r="O18" s="59"/>
      <c r="P18" s="77"/>
      <c r="Q18" s="77"/>
      <c r="R18" s="77"/>
    </row>
    <row r="19" spans="1:18">
      <c r="A19" s="26">
        <v>16</v>
      </c>
      <c r="B19" s="27">
        <v>46189</v>
      </c>
      <c r="C19" s="25"/>
      <c r="D19" s="18"/>
      <c r="E19" s="47">
        <v>30</v>
      </c>
      <c r="F19" s="47">
        <v>99.73</v>
      </c>
      <c r="G19" s="8">
        <f t="shared" si="0"/>
        <v>2991.9</v>
      </c>
      <c r="H19" s="47"/>
      <c r="I19" s="47"/>
      <c r="J19" s="8">
        <f t="shared" si="3"/>
        <v>0</v>
      </c>
      <c r="K19" s="8">
        <f t="shared" si="1"/>
        <v>2991.9</v>
      </c>
      <c r="L19" s="250"/>
      <c r="M19" s="8">
        <f t="shared" si="2"/>
        <v>226469.10000000006</v>
      </c>
      <c r="N19" s="19"/>
      <c r="O19" s="59"/>
      <c r="P19" s="77"/>
      <c r="Q19" s="77"/>
      <c r="R19" s="77"/>
    </row>
    <row r="20" spans="1:18">
      <c r="A20" s="26">
        <v>17</v>
      </c>
      <c r="B20" s="27">
        <v>46190</v>
      </c>
      <c r="C20" s="25"/>
      <c r="D20" s="18"/>
      <c r="E20" s="47">
        <v>435</v>
      </c>
      <c r="F20" s="47">
        <v>99.73</v>
      </c>
      <c r="G20" s="8">
        <f t="shared" si="0"/>
        <v>43382.55</v>
      </c>
      <c r="H20" s="47">
        <v>38</v>
      </c>
      <c r="I20" s="47">
        <v>111.85</v>
      </c>
      <c r="J20" s="8">
        <f t="shared" si="3"/>
        <v>4250.3</v>
      </c>
      <c r="K20" s="8">
        <f t="shared" si="1"/>
        <v>47632.850000000006</v>
      </c>
      <c r="L20" s="250"/>
      <c r="M20" s="8">
        <f t="shared" si="2"/>
        <v>274101.95000000007</v>
      </c>
      <c r="N20" s="19"/>
      <c r="O20" s="59"/>
      <c r="P20" s="77"/>
      <c r="Q20" s="77"/>
      <c r="R20" s="77"/>
    </row>
    <row r="21" spans="1:18">
      <c r="A21" s="26">
        <v>18</v>
      </c>
      <c r="B21" s="27">
        <v>46191</v>
      </c>
      <c r="C21" s="25"/>
      <c r="D21" s="18"/>
      <c r="E21" s="47">
        <v>350</v>
      </c>
      <c r="F21" s="47">
        <v>99.73</v>
      </c>
      <c r="G21" s="8">
        <f t="shared" si="0"/>
        <v>34905.5</v>
      </c>
      <c r="H21" s="47"/>
      <c r="I21" s="47"/>
      <c r="J21" s="8">
        <f t="shared" si="3"/>
        <v>0</v>
      </c>
      <c r="K21" s="8">
        <f t="shared" si="1"/>
        <v>34905.5</v>
      </c>
      <c r="L21" s="250"/>
      <c r="M21" s="8">
        <f t="shared" si="2"/>
        <v>309007.45000000007</v>
      </c>
      <c r="N21" s="19"/>
      <c r="O21" s="59"/>
      <c r="P21" s="77"/>
      <c r="Q21" s="77"/>
      <c r="R21" s="77"/>
    </row>
    <row r="22" spans="1:18">
      <c r="A22" s="26">
        <v>19</v>
      </c>
      <c r="B22" s="27">
        <v>46192</v>
      </c>
      <c r="C22" s="25"/>
      <c r="D22" s="18"/>
      <c r="E22" s="47">
        <v>335</v>
      </c>
      <c r="F22" s="47">
        <v>99.73</v>
      </c>
      <c r="G22" s="8">
        <f t="shared" si="0"/>
        <v>33409.550000000003</v>
      </c>
      <c r="H22" s="47"/>
      <c r="I22" s="47"/>
      <c r="J22" s="8">
        <f t="shared" si="3"/>
        <v>0</v>
      </c>
      <c r="K22" s="8">
        <f t="shared" si="1"/>
        <v>33409.550000000003</v>
      </c>
      <c r="L22" s="250"/>
      <c r="M22" s="8">
        <f t="shared" si="2"/>
        <v>342417.00000000006</v>
      </c>
      <c r="N22" s="19"/>
      <c r="O22" s="59"/>
      <c r="P22" s="77"/>
      <c r="Q22" s="77"/>
      <c r="R22" s="77"/>
    </row>
    <row r="23" spans="1:18">
      <c r="A23" s="26">
        <v>20</v>
      </c>
      <c r="B23" s="27">
        <v>46193</v>
      </c>
      <c r="C23" s="25"/>
      <c r="D23" s="18"/>
      <c r="E23" s="47">
        <v>400</v>
      </c>
      <c r="F23" s="47">
        <v>99.73</v>
      </c>
      <c r="G23" s="8">
        <f t="shared" si="0"/>
        <v>39892</v>
      </c>
      <c r="H23" s="47"/>
      <c r="I23" s="47"/>
      <c r="J23" s="8">
        <f t="shared" si="3"/>
        <v>0</v>
      </c>
      <c r="K23" s="8">
        <f t="shared" si="1"/>
        <v>39892</v>
      </c>
      <c r="L23" s="250"/>
      <c r="M23" s="8">
        <f t="shared" si="2"/>
        <v>382309.00000000006</v>
      </c>
      <c r="N23" s="19"/>
      <c r="O23" s="59"/>
      <c r="P23" s="77"/>
      <c r="Q23" s="77"/>
      <c r="R23" s="77"/>
    </row>
    <row r="24" spans="1:18">
      <c r="A24" s="26">
        <v>21</v>
      </c>
      <c r="B24" s="27">
        <v>46194</v>
      </c>
      <c r="C24" s="25"/>
      <c r="D24" s="18"/>
      <c r="E24" s="47"/>
      <c r="F24" s="47"/>
      <c r="G24" s="8">
        <f t="shared" si="0"/>
        <v>0</v>
      </c>
      <c r="H24" s="47"/>
      <c r="I24" s="47"/>
      <c r="J24" s="8">
        <f t="shared" si="3"/>
        <v>0</v>
      </c>
      <c r="K24" s="8">
        <f t="shared" si="1"/>
        <v>0</v>
      </c>
      <c r="L24" s="250"/>
      <c r="M24" s="8">
        <f t="shared" si="2"/>
        <v>382309.00000000006</v>
      </c>
      <c r="N24" s="19"/>
      <c r="O24" s="59"/>
      <c r="P24" s="77"/>
      <c r="Q24" s="77"/>
      <c r="R24" s="77"/>
    </row>
    <row r="25" spans="1:18">
      <c r="A25" s="26">
        <v>22</v>
      </c>
      <c r="B25" s="27">
        <v>46195</v>
      </c>
      <c r="C25" s="25"/>
      <c r="D25" s="18"/>
      <c r="E25" s="47">
        <v>455</v>
      </c>
      <c r="F25" s="47">
        <v>99.73</v>
      </c>
      <c r="G25" s="8">
        <f t="shared" si="0"/>
        <v>45377.15</v>
      </c>
      <c r="H25" s="47">
        <v>40</v>
      </c>
      <c r="I25" s="47">
        <v>111.85</v>
      </c>
      <c r="J25" s="8">
        <f t="shared" si="3"/>
        <v>4474</v>
      </c>
      <c r="K25" s="8">
        <f t="shared" si="1"/>
        <v>49851.15</v>
      </c>
      <c r="L25" s="250"/>
      <c r="M25" s="8">
        <f t="shared" si="2"/>
        <v>432160.15000000008</v>
      </c>
      <c r="N25" s="19"/>
      <c r="O25" s="59"/>
      <c r="P25" s="77"/>
      <c r="Q25" s="77"/>
      <c r="R25" s="77"/>
    </row>
    <row r="26" spans="1:18">
      <c r="A26" s="26">
        <v>23</v>
      </c>
      <c r="B26" s="27">
        <v>46196</v>
      </c>
      <c r="C26" s="25"/>
      <c r="D26" s="18"/>
      <c r="E26" s="47">
        <v>400</v>
      </c>
      <c r="F26" s="47">
        <v>99.73</v>
      </c>
      <c r="G26" s="8">
        <f t="shared" si="0"/>
        <v>39892</v>
      </c>
      <c r="H26" s="47"/>
      <c r="I26" s="47"/>
      <c r="J26" s="8">
        <f t="shared" si="3"/>
        <v>0</v>
      </c>
      <c r="K26" s="8">
        <f t="shared" si="1"/>
        <v>39892</v>
      </c>
      <c r="L26" s="250"/>
      <c r="M26" s="8">
        <f t="shared" si="2"/>
        <v>472052.15000000008</v>
      </c>
      <c r="N26" s="19"/>
      <c r="O26" s="59"/>
      <c r="P26" s="77"/>
      <c r="Q26" s="77" t="s">
        <v>331</v>
      </c>
      <c r="R26" s="77"/>
    </row>
    <row r="27" spans="1:18">
      <c r="A27" s="26">
        <v>24</v>
      </c>
      <c r="B27" s="27">
        <v>46197</v>
      </c>
      <c r="C27" s="25"/>
      <c r="D27" s="18"/>
      <c r="E27" s="47">
        <v>485</v>
      </c>
      <c r="F27" s="47">
        <v>99.73</v>
      </c>
      <c r="G27" s="8">
        <f t="shared" si="0"/>
        <v>48369.05</v>
      </c>
      <c r="H27" s="47">
        <v>20</v>
      </c>
      <c r="I27" s="47">
        <v>111.85</v>
      </c>
      <c r="J27" s="8">
        <f t="shared" si="3"/>
        <v>2237</v>
      </c>
      <c r="K27" s="8">
        <f t="shared" si="1"/>
        <v>50606.05</v>
      </c>
      <c r="L27" s="250"/>
      <c r="M27" s="8">
        <f t="shared" si="2"/>
        <v>522658.20000000007</v>
      </c>
      <c r="N27" s="19"/>
      <c r="O27" s="59"/>
      <c r="P27" s="77"/>
      <c r="Q27" s="77">
        <v>30</v>
      </c>
      <c r="R27" s="77">
        <v>50</v>
      </c>
    </row>
    <row r="28" spans="1:18">
      <c r="A28" s="26">
        <v>25</v>
      </c>
      <c r="B28" s="27">
        <v>46198</v>
      </c>
      <c r="C28" s="25"/>
      <c r="D28" s="18"/>
      <c r="E28" s="47">
        <v>460</v>
      </c>
      <c r="F28" s="47">
        <v>99.73</v>
      </c>
      <c r="G28" s="8">
        <f t="shared" si="0"/>
        <v>45875.8</v>
      </c>
      <c r="H28" s="47"/>
      <c r="I28" s="47"/>
      <c r="J28" s="8">
        <f t="shared" si="3"/>
        <v>0</v>
      </c>
      <c r="K28" s="8">
        <f t="shared" si="1"/>
        <v>45875.8</v>
      </c>
      <c r="L28" s="250">
        <v>400000</v>
      </c>
      <c r="M28" s="8">
        <f t="shared" si="2"/>
        <v>168534.00000000012</v>
      </c>
      <c r="N28" s="19"/>
      <c r="O28" s="59"/>
      <c r="P28" s="77"/>
      <c r="Q28" s="77">
        <v>50</v>
      </c>
      <c r="R28" s="77">
        <v>4.51</v>
      </c>
    </row>
    <row r="29" spans="1:18">
      <c r="A29" s="26">
        <v>26</v>
      </c>
      <c r="B29" s="27">
        <v>46199</v>
      </c>
      <c r="C29" s="25"/>
      <c r="D29" s="18"/>
      <c r="E29" s="47">
        <v>70</v>
      </c>
      <c r="F29" s="47">
        <v>99.73</v>
      </c>
      <c r="G29" s="8">
        <f t="shared" si="0"/>
        <v>6981.1</v>
      </c>
      <c r="H29" s="47">
        <v>44</v>
      </c>
      <c r="I29" s="47">
        <v>111.85</v>
      </c>
      <c r="J29" s="8">
        <f t="shared" si="3"/>
        <v>4921.3999999999996</v>
      </c>
      <c r="K29" s="8">
        <f t="shared" si="1"/>
        <v>11902.5</v>
      </c>
      <c r="L29" s="250"/>
      <c r="M29" s="8">
        <f t="shared" si="2"/>
        <v>180436.50000000012</v>
      </c>
      <c r="N29" s="19"/>
      <c r="O29" s="59"/>
      <c r="P29" s="77"/>
      <c r="Q29" s="77"/>
      <c r="R29" s="77"/>
    </row>
    <row r="30" spans="1:18">
      <c r="A30" s="26">
        <v>27</v>
      </c>
      <c r="B30" s="27">
        <v>46200</v>
      </c>
      <c r="C30" s="25"/>
      <c r="D30" s="18"/>
      <c r="E30" s="47">
        <v>330</v>
      </c>
      <c r="F30" s="47">
        <v>99.73</v>
      </c>
      <c r="G30" s="8">
        <f t="shared" si="0"/>
        <v>32910.9</v>
      </c>
      <c r="H30" s="47"/>
      <c r="I30" s="47"/>
      <c r="J30" s="8">
        <f t="shared" si="3"/>
        <v>0</v>
      </c>
      <c r="K30" s="8">
        <f t="shared" si="1"/>
        <v>32910.9</v>
      </c>
      <c r="L30" s="250"/>
      <c r="M30" s="8">
        <f t="shared" si="2"/>
        <v>213347.40000000011</v>
      </c>
      <c r="N30" s="19"/>
      <c r="O30" s="59"/>
      <c r="P30" s="77"/>
      <c r="Q30" s="77"/>
      <c r="R30" s="77"/>
    </row>
    <row r="31" spans="1:18">
      <c r="A31" s="217">
        <v>28</v>
      </c>
      <c r="B31" s="27">
        <v>46201</v>
      </c>
      <c r="C31" s="25"/>
      <c r="D31" s="18"/>
      <c r="E31" s="47">
        <v>230</v>
      </c>
      <c r="F31" s="47">
        <v>99.73</v>
      </c>
      <c r="G31" s="8">
        <f t="shared" si="0"/>
        <v>22937.9</v>
      </c>
      <c r="H31" s="47"/>
      <c r="I31" s="47"/>
      <c r="J31" s="8">
        <f t="shared" si="3"/>
        <v>0</v>
      </c>
      <c r="K31" s="8">
        <f t="shared" si="1"/>
        <v>22937.9</v>
      </c>
      <c r="L31" s="250"/>
      <c r="M31" s="8">
        <f t="shared" si="2"/>
        <v>236285.3000000001</v>
      </c>
      <c r="N31" s="19"/>
      <c r="O31" s="59"/>
      <c r="P31" s="77"/>
      <c r="Q31" s="77"/>
      <c r="R31" s="77"/>
    </row>
    <row r="32" spans="1:18">
      <c r="A32" s="26">
        <v>29</v>
      </c>
      <c r="B32" s="27">
        <v>46202</v>
      </c>
      <c r="C32" s="25"/>
      <c r="D32" s="18"/>
      <c r="E32" s="47">
        <v>310</v>
      </c>
      <c r="F32" s="47">
        <v>99.73</v>
      </c>
      <c r="G32" s="8">
        <f t="shared" si="0"/>
        <v>30916.300000000003</v>
      </c>
      <c r="H32" s="47">
        <v>17</v>
      </c>
      <c r="I32" s="47">
        <v>111.85</v>
      </c>
      <c r="J32" s="8">
        <f t="shared" si="3"/>
        <v>1901.4499999999998</v>
      </c>
      <c r="K32" s="8">
        <f t="shared" si="1"/>
        <v>32817.75</v>
      </c>
      <c r="L32" s="250"/>
      <c r="M32" s="8">
        <f t="shared" si="2"/>
        <v>269103.0500000001</v>
      </c>
      <c r="N32" s="19"/>
      <c r="O32" s="59"/>
      <c r="P32" s="77"/>
      <c r="Q32" s="77"/>
      <c r="R32" s="77"/>
    </row>
    <row r="33" spans="1:18">
      <c r="A33" s="26">
        <v>30</v>
      </c>
      <c r="B33" s="27">
        <v>46203</v>
      </c>
      <c r="C33" s="25"/>
      <c r="D33" s="18"/>
      <c r="E33" s="47">
        <v>240</v>
      </c>
      <c r="F33" s="47">
        <v>99.73</v>
      </c>
      <c r="G33" s="8">
        <f t="shared" si="0"/>
        <v>23935.200000000001</v>
      </c>
      <c r="H33" s="47">
        <v>35</v>
      </c>
      <c r="I33" s="47">
        <v>111.85</v>
      </c>
      <c r="J33" s="8">
        <f t="shared" si="3"/>
        <v>3914.75</v>
      </c>
      <c r="K33" s="8">
        <f t="shared" si="1"/>
        <v>27849.95</v>
      </c>
      <c r="L33" s="250"/>
      <c r="M33" s="8">
        <f t="shared" si="2"/>
        <v>296953.00000000012</v>
      </c>
      <c r="N33" s="19"/>
      <c r="O33" s="59"/>
      <c r="P33" s="77"/>
      <c r="Q33" s="77"/>
      <c r="R33" s="77"/>
    </row>
    <row r="34" spans="1:18">
      <c r="A34" s="26">
        <v>31</v>
      </c>
      <c r="B34" s="27"/>
      <c r="C34" s="25"/>
      <c r="D34" s="18"/>
      <c r="E34" s="47"/>
      <c r="F34" s="47"/>
      <c r="G34" s="8">
        <f t="shared" si="0"/>
        <v>0</v>
      </c>
      <c r="H34" s="47"/>
      <c r="I34" s="478"/>
      <c r="J34" s="8">
        <f t="shared" si="3"/>
        <v>0</v>
      </c>
      <c r="K34" s="8">
        <f t="shared" si="1"/>
        <v>0</v>
      </c>
      <c r="L34" s="250"/>
      <c r="M34" s="8">
        <f>M33+K34-L34</f>
        <v>296953.00000000012</v>
      </c>
      <c r="N34" s="19"/>
      <c r="O34" s="59"/>
      <c r="P34" s="77"/>
      <c r="Q34" s="77"/>
      <c r="R34" s="77"/>
    </row>
    <row r="35" spans="1:18">
      <c r="A35" s="160"/>
      <c r="B35" s="160"/>
      <c r="C35" s="160"/>
      <c r="D35" s="160"/>
      <c r="E35" s="161">
        <f>SUM(E4:E34)</f>
        <v>8870</v>
      </c>
      <c r="F35" s="161"/>
      <c r="G35" s="161">
        <f>SUM(G4:G34)</f>
        <v>884605.10000000021</v>
      </c>
      <c r="H35" s="161">
        <f>SUM(H4:H34)</f>
        <v>379</v>
      </c>
      <c r="I35" s="161"/>
      <c r="J35" s="161">
        <f>SUM(J4:J34)</f>
        <v>42391.149999999994</v>
      </c>
      <c r="K35" s="161">
        <f>SUM(K4:K34)</f>
        <v>926996.25000000023</v>
      </c>
      <c r="L35" s="161">
        <f>SUM(L4:L34)</f>
        <v>798000</v>
      </c>
      <c r="M35" s="161"/>
      <c r="N35" s="161"/>
      <c r="O35" s="59"/>
      <c r="P35" s="77"/>
      <c r="Q35" s="77"/>
      <c r="R35" s="77"/>
    </row>
    <row r="36" spans="1:18">
      <c r="A36" s="73"/>
      <c r="B36" s="73"/>
      <c r="C36" s="73"/>
      <c r="D36" s="73"/>
      <c r="E36" s="75"/>
      <c r="F36" s="75"/>
      <c r="G36" s="75"/>
      <c r="H36" s="75"/>
      <c r="I36" s="75"/>
      <c r="J36" s="75"/>
      <c r="K36" s="75"/>
      <c r="L36" s="251"/>
      <c r="M36" s="75"/>
      <c r="N36" s="75"/>
      <c r="O36" s="59"/>
      <c r="P36" s="77"/>
      <c r="Q36" s="77"/>
      <c r="R36" s="77"/>
    </row>
    <row r="37" spans="1:18">
      <c r="A37" s="77"/>
      <c r="B37" s="77"/>
      <c r="C37" s="77"/>
      <c r="D37" s="77"/>
      <c r="E37" s="255"/>
      <c r="F37" s="255"/>
      <c r="G37" s="255"/>
      <c r="H37" s="255"/>
      <c r="I37" s="255"/>
      <c r="J37" s="255"/>
      <c r="K37" s="255"/>
      <c r="L37" s="255"/>
      <c r="M37" s="77"/>
      <c r="N37" s="77"/>
      <c r="O37" s="59"/>
      <c r="P37" s="77"/>
      <c r="Q37" s="77"/>
      <c r="R37" s="77"/>
    </row>
    <row r="38" spans="1:1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252"/>
      <c r="M38" s="77"/>
      <c r="N38" s="77"/>
      <c r="O38" s="59"/>
      <c r="P38" s="77"/>
      <c r="Q38" s="77"/>
      <c r="R38" s="77"/>
    </row>
    <row r="39" spans="1:18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252"/>
      <c r="M39" s="77"/>
      <c r="N39" s="77"/>
      <c r="O39" s="59"/>
      <c r="P39" s="77"/>
      <c r="Q39" s="77"/>
      <c r="R39" s="77"/>
    </row>
    <row r="40" spans="1:18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252"/>
      <c r="M40" s="77"/>
      <c r="N40" s="77"/>
      <c r="O40" s="59"/>
      <c r="P40" s="77"/>
      <c r="Q40" s="77"/>
      <c r="R40" s="77"/>
    </row>
    <row r="41" spans="1:18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252"/>
      <c r="M41" s="77"/>
      <c r="N41" s="77"/>
      <c r="O41" s="59"/>
      <c r="P41" s="77"/>
      <c r="Q41" s="77"/>
      <c r="R41" s="77"/>
    </row>
    <row r="42" spans="1:18">
      <c r="A42" s="59"/>
      <c r="B42" s="59"/>
      <c r="C42" s="59"/>
      <c r="D42" s="59"/>
      <c r="E42" s="59"/>
      <c r="F42" s="59"/>
      <c r="G42" s="81"/>
      <c r="H42" s="59"/>
      <c r="I42" s="59"/>
      <c r="J42" s="59"/>
      <c r="K42" s="59"/>
      <c r="L42" s="73"/>
      <c r="M42" s="59"/>
      <c r="N42" s="59"/>
      <c r="O42" s="75"/>
      <c r="P42" s="77"/>
      <c r="Q42" s="77"/>
      <c r="R42" s="77"/>
    </row>
    <row r="43" spans="1:18">
      <c r="A43" s="59"/>
      <c r="B43" s="573"/>
      <c r="C43" s="573"/>
      <c r="D43" s="573"/>
      <c r="E43" s="573"/>
      <c r="F43" s="59"/>
      <c r="G43" s="59"/>
      <c r="H43" s="59"/>
      <c r="I43" s="573"/>
      <c r="J43" s="573"/>
      <c r="K43" s="573"/>
      <c r="L43" s="573"/>
      <c r="M43" s="573"/>
      <c r="N43" s="573"/>
      <c r="O43" s="75"/>
      <c r="P43" s="77"/>
      <c r="Q43" s="77"/>
      <c r="R43" s="77"/>
    </row>
    <row r="44" spans="1:18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73"/>
      <c r="M44" s="59"/>
      <c r="N44" s="59"/>
      <c r="O44" s="75"/>
      <c r="P44" s="77"/>
      <c r="Q44" s="77"/>
      <c r="R44" s="77"/>
    </row>
  </sheetData>
  <mergeCells count="4">
    <mergeCell ref="A1:N1"/>
    <mergeCell ref="A3:J3"/>
    <mergeCell ref="B43:E43"/>
    <mergeCell ref="I43:N4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workbookViewId="0">
      <selection activeCell="L8" sqref="L8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2" customWidth="1"/>
    <col min="8" max="8" width="12" style="22" customWidth="1"/>
    <col min="9" max="9" width="9.140625" style="22"/>
    <col min="10" max="10" width="11.140625" style="22" customWidth="1"/>
    <col min="11" max="11" width="12" style="22" customWidth="1"/>
    <col min="12" max="12" width="11.85546875" style="22" customWidth="1"/>
    <col min="13" max="13" width="13.85546875" customWidth="1"/>
  </cols>
  <sheetData>
    <row r="1" spans="1:14" ht="15.75">
      <c r="A1" s="564" t="s">
        <v>120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</row>
    <row r="2" spans="1:14">
      <c r="A2" s="98" t="s">
        <v>0</v>
      </c>
      <c r="B2" s="99" t="s">
        <v>167</v>
      </c>
      <c r="C2" s="99" t="s">
        <v>168</v>
      </c>
      <c r="D2" s="99" t="s">
        <v>191</v>
      </c>
      <c r="E2" s="99" t="s">
        <v>170</v>
      </c>
      <c r="F2" s="99" t="s">
        <v>171</v>
      </c>
      <c r="G2" s="226" t="s">
        <v>172</v>
      </c>
      <c r="H2" s="226" t="s">
        <v>173</v>
      </c>
      <c r="I2" s="226" t="s">
        <v>171</v>
      </c>
      <c r="J2" s="226" t="s">
        <v>172</v>
      </c>
      <c r="K2" s="227" t="s">
        <v>174</v>
      </c>
      <c r="L2" s="227" t="s">
        <v>175</v>
      </c>
      <c r="M2" s="143" t="s">
        <v>192</v>
      </c>
      <c r="N2" s="101" t="s">
        <v>177</v>
      </c>
    </row>
    <row r="3" spans="1:14">
      <c r="A3" s="577" t="s">
        <v>178</v>
      </c>
      <c r="B3" s="578"/>
      <c r="C3" s="578"/>
      <c r="D3" s="578"/>
      <c r="E3" s="578"/>
      <c r="F3" s="578"/>
      <c r="G3" s="578"/>
      <c r="H3" s="578"/>
      <c r="I3" s="578"/>
      <c r="J3" s="579"/>
      <c r="K3" s="214">
        <v>0</v>
      </c>
      <c r="L3" s="214"/>
      <c r="M3" s="173">
        <f>+K3</f>
        <v>0</v>
      </c>
      <c r="N3" s="215"/>
    </row>
    <row r="4" spans="1:14">
      <c r="A4" s="26">
        <v>1</v>
      </c>
      <c r="B4" s="27">
        <v>46174</v>
      </c>
      <c r="C4" s="17"/>
      <c r="D4" s="17"/>
      <c r="E4" s="194"/>
      <c r="F4" s="194"/>
      <c r="G4" s="209">
        <f>E4*F4</f>
        <v>0</v>
      </c>
      <c r="H4" s="266"/>
      <c r="I4" s="209"/>
      <c r="J4" s="209">
        <f>H4*I4</f>
        <v>0</v>
      </c>
      <c r="K4" s="209">
        <f>G4+J4</f>
        <v>0</v>
      </c>
      <c r="L4" s="209">
        <f>+K4</f>
        <v>0</v>
      </c>
      <c r="M4" s="194"/>
      <c r="N4" s="17"/>
    </row>
    <row r="5" spans="1:14">
      <c r="A5" s="26">
        <v>2</v>
      </c>
      <c r="B5" s="27">
        <v>46175</v>
      </c>
      <c r="C5" s="17"/>
      <c r="D5" s="17"/>
      <c r="E5" s="194"/>
      <c r="F5" s="194"/>
      <c r="G5" s="209">
        <f t="shared" ref="G5:G32" si="0">E5*F5</f>
        <v>0</v>
      </c>
      <c r="H5" s="266"/>
      <c r="I5" s="209"/>
      <c r="J5" s="209">
        <f>H5*I5</f>
        <v>0</v>
      </c>
      <c r="K5" s="209">
        <f t="shared" ref="K5:L34" si="1">G5+J5</f>
        <v>0</v>
      </c>
      <c r="L5" s="209">
        <f t="shared" ref="L5:L33" si="2">+K5</f>
        <v>0</v>
      </c>
      <c r="M5" s="194"/>
      <c r="N5" s="17"/>
    </row>
    <row r="6" spans="1:14">
      <c r="A6" s="26">
        <v>3</v>
      </c>
      <c r="B6" s="27">
        <v>46176</v>
      </c>
      <c r="C6" s="17"/>
      <c r="D6" s="17"/>
      <c r="E6" s="194"/>
      <c r="F6" s="194"/>
      <c r="G6" s="209">
        <f t="shared" si="0"/>
        <v>0</v>
      </c>
      <c r="H6" s="266"/>
      <c r="I6" s="209"/>
      <c r="J6" s="209">
        <f t="shared" ref="J6:J34" si="3">H6*I6</f>
        <v>0</v>
      </c>
      <c r="K6" s="209">
        <f t="shared" si="1"/>
        <v>0</v>
      </c>
      <c r="L6" s="209">
        <f t="shared" si="2"/>
        <v>0</v>
      </c>
      <c r="M6" s="194"/>
      <c r="N6" s="17"/>
    </row>
    <row r="7" spans="1:14">
      <c r="A7" s="26">
        <v>4</v>
      </c>
      <c r="B7" s="27">
        <v>46177</v>
      </c>
      <c r="C7" s="17"/>
      <c r="D7" s="17"/>
      <c r="E7" s="194"/>
      <c r="F7" s="194"/>
      <c r="G7" s="209">
        <f t="shared" si="0"/>
        <v>0</v>
      </c>
      <c r="H7" s="266"/>
      <c r="I7" s="209"/>
      <c r="J7" s="209">
        <f t="shared" si="3"/>
        <v>0</v>
      </c>
      <c r="K7" s="209">
        <f t="shared" si="1"/>
        <v>0</v>
      </c>
      <c r="L7" s="209">
        <f t="shared" si="2"/>
        <v>0</v>
      </c>
      <c r="M7" s="194"/>
      <c r="N7" s="17"/>
    </row>
    <row r="8" spans="1:14">
      <c r="A8" s="26">
        <v>5</v>
      </c>
      <c r="B8" s="27">
        <v>46178</v>
      </c>
      <c r="C8" s="17"/>
      <c r="D8" s="17"/>
      <c r="E8" s="194"/>
      <c r="F8" s="194"/>
      <c r="G8" s="209">
        <f t="shared" si="0"/>
        <v>0</v>
      </c>
      <c r="H8" s="266">
        <v>6.84</v>
      </c>
      <c r="I8" s="209">
        <v>111.51</v>
      </c>
      <c r="J8" s="209">
        <f t="shared" si="3"/>
        <v>762.72839999999997</v>
      </c>
      <c r="K8" s="209">
        <f t="shared" si="1"/>
        <v>762.72839999999997</v>
      </c>
      <c r="L8" s="209">
        <f t="shared" si="2"/>
        <v>762.72839999999997</v>
      </c>
      <c r="M8" s="194"/>
      <c r="N8" s="17"/>
    </row>
    <row r="9" spans="1:14">
      <c r="A9" s="26">
        <v>6</v>
      </c>
      <c r="B9" s="27">
        <v>46179</v>
      </c>
      <c r="C9" s="17"/>
      <c r="D9" s="17"/>
      <c r="E9" s="194"/>
      <c r="F9" s="194"/>
      <c r="G9" s="209">
        <f t="shared" si="0"/>
        <v>0</v>
      </c>
      <c r="H9" s="266"/>
      <c r="I9" s="209"/>
      <c r="J9" s="209">
        <f t="shared" si="3"/>
        <v>0</v>
      </c>
      <c r="K9" s="209">
        <f t="shared" si="1"/>
        <v>0</v>
      </c>
      <c r="L9" s="209">
        <f t="shared" si="2"/>
        <v>0</v>
      </c>
      <c r="M9" s="194"/>
      <c r="N9" s="17"/>
    </row>
    <row r="10" spans="1:14">
      <c r="A10" s="26">
        <v>7</v>
      </c>
      <c r="B10" s="27">
        <v>46180</v>
      </c>
      <c r="C10" s="17"/>
      <c r="D10" s="17"/>
      <c r="E10" s="194"/>
      <c r="F10" s="194"/>
      <c r="G10" s="209">
        <f t="shared" si="0"/>
        <v>0</v>
      </c>
      <c r="H10" s="266"/>
      <c r="I10" s="209"/>
      <c r="J10" s="209">
        <f t="shared" si="3"/>
        <v>0</v>
      </c>
      <c r="K10" s="209">
        <f t="shared" si="1"/>
        <v>0</v>
      </c>
      <c r="L10" s="209">
        <f t="shared" si="2"/>
        <v>0</v>
      </c>
      <c r="M10" s="194"/>
      <c r="N10" s="17"/>
    </row>
    <row r="11" spans="1:14">
      <c r="A11" s="26">
        <v>8</v>
      </c>
      <c r="B11" s="27">
        <v>46181</v>
      </c>
      <c r="C11" s="17"/>
      <c r="D11" s="17"/>
      <c r="E11" s="194"/>
      <c r="F11" s="194"/>
      <c r="G11" s="209">
        <f t="shared" si="0"/>
        <v>0</v>
      </c>
      <c r="H11" s="266"/>
      <c r="I11" s="209"/>
      <c r="J11" s="209">
        <f t="shared" si="3"/>
        <v>0</v>
      </c>
      <c r="K11" s="209">
        <f t="shared" si="1"/>
        <v>0</v>
      </c>
      <c r="L11" s="209">
        <f t="shared" si="2"/>
        <v>0</v>
      </c>
      <c r="M11" s="194"/>
      <c r="N11" s="17"/>
    </row>
    <row r="12" spans="1:14">
      <c r="A12" s="26">
        <v>9</v>
      </c>
      <c r="B12" s="27">
        <v>46182</v>
      </c>
      <c r="C12" s="17"/>
      <c r="D12" s="17"/>
      <c r="E12" s="194"/>
      <c r="F12" s="194"/>
      <c r="G12" s="209">
        <f t="shared" si="0"/>
        <v>0</v>
      </c>
      <c r="H12" s="266"/>
      <c r="I12" s="209"/>
      <c r="J12" s="209">
        <f t="shared" si="3"/>
        <v>0</v>
      </c>
      <c r="K12" s="209">
        <f t="shared" si="1"/>
        <v>0</v>
      </c>
      <c r="L12" s="209">
        <f t="shared" si="2"/>
        <v>0</v>
      </c>
      <c r="M12" s="194"/>
      <c r="N12" s="17"/>
    </row>
    <row r="13" spans="1:14">
      <c r="A13" s="26">
        <v>10</v>
      </c>
      <c r="B13" s="27">
        <v>46183</v>
      </c>
      <c r="C13" s="17"/>
      <c r="D13" s="17"/>
      <c r="E13" s="194"/>
      <c r="F13" s="194"/>
      <c r="G13" s="209">
        <f t="shared" si="0"/>
        <v>0</v>
      </c>
      <c r="H13" s="266"/>
      <c r="I13" s="209"/>
      <c r="J13" s="209">
        <f t="shared" si="3"/>
        <v>0</v>
      </c>
      <c r="K13" s="209">
        <f t="shared" si="1"/>
        <v>0</v>
      </c>
      <c r="L13" s="209">
        <f t="shared" si="2"/>
        <v>0</v>
      </c>
      <c r="M13" s="194"/>
      <c r="N13" s="17"/>
    </row>
    <row r="14" spans="1:14">
      <c r="A14" s="26">
        <v>11</v>
      </c>
      <c r="B14" s="27">
        <v>46184</v>
      </c>
      <c r="C14" s="17"/>
      <c r="D14" s="17"/>
      <c r="E14" s="194"/>
      <c r="F14" s="194"/>
      <c r="G14" s="209">
        <f t="shared" si="0"/>
        <v>0</v>
      </c>
      <c r="H14" s="266"/>
      <c r="I14" s="209"/>
      <c r="J14" s="209">
        <f t="shared" si="3"/>
        <v>0</v>
      </c>
      <c r="K14" s="209">
        <f t="shared" si="1"/>
        <v>0</v>
      </c>
      <c r="L14" s="209">
        <f t="shared" si="2"/>
        <v>0</v>
      </c>
      <c r="M14" s="194"/>
      <c r="N14" s="17"/>
    </row>
    <row r="15" spans="1:14">
      <c r="A15" s="26">
        <v>12</v>
      </c>
      <c r="B15" s="27">
        <v>46185</v>
      </c>
      <c r="C15" s="17"/>
      <c r="D15" s="17"/>
      <c r="E15" s="194"/>
      <c r="F15" s="194"/>
      <c r="G15" s="209">
        <f t="shared" si="0"/>
        <v>0</v>
      </c>
      <c r="H15" s="266"/>
      <c r="I15" s="209"/>
      <c r="J15" s="209">
        <f t="shared" si="3"/>
        <v>0</v>
      </c>
      <c r="K15" s="209">
        <f t="shared" si="1"/>
        <v>0</v>
      </c>
      <c r="L15" s="209">
        <f t="shared" si="2"/>
        <v>0</v>
      </c>
      <c r="M15" s="194"/>
      <c r="N15" s="17"/>
    </row>
    <row r="16" spans="1:14">
      <c r="A16" s="26">
        <v>13</v>
      </c>
      <c r="B16" s="27">
        <v>46186</v>
      </c>
      <c r="C16" s="17"/>
      <c r="D16" s="17"/>
      <c r="E16" s="194"/>
      <c r="F16" s="194"/>
      <c r="G16" s="209">
        <f t="shared" si="0"/>
        <v>0</v>
      </c>
      <c r="H16" s="266"/>
      <c r="I16" s="209"/>
      <c r="J16" s="209">
        <f t="shared" si="3"/>
        <v>0</v>
      </c>
      <c r="K16" s="209">
        <f t="shared" si="1"/>
        <v>0</v>
      </c>
      <c r="L16" s="209">
        <f t="shared" si="2"/>
        <v>0</v>
      </c>
      <c r="M16" s="194"/>
      <c r="N16" s="17"/>
    </row>
    <row r="17" spans="1:15">
      <c r="A17" s="26">
        <v>14</v>
      </c>
      <c r="B17" s="27">
        <v>46187</v>
      </c>
      <c r="C17" s="17"/>
      <c r="D17" s="17"/>
      <c r="E17" s="194"/>
      <c r="F17" s="194"/>
      <c r="G17" s="209">
        <f t="shared" si="0"/>
        <v>0</v>
      </c>
      <c r="H17" s="266"/>
      <c r="I17" s="209"/>
      <c r="J17" s="209">
        <f t="shared" si="3"/>
        <v>0</v>
      </c>
      <c r="K17" s="209">
        <f t="shared" si="1"/>
        <v>0</v>
      </c>
      <c r="L17" s="209">
        <f t="shared" si="2"/>
        <v>0</v>
      </c>
      <c r="M17" s="194"/>
      <c r="N17" s="17"/>
    </row>
    <row r="18" spans="1:15">
      <c r="A18" s="26">
        <v>15</v>
      </c>
      <c r="B18" s="27">
        <v>46188</v>
      </c>
      <c r="C18" s="17"/>
      <c r="D18" s="17"/>
      <c r="E18" s="194"/>
      <c r="F18" s="194"/>
      <c r="G18" s="209">
        <f t="shared" si="0"/>
        <v>0</v>
      </c>
      <c r="H18" s="266"/>
      <c r="I18" s="209"/>
      <c r="J18" s="209">
        <f t="shared" si="3"/>
        <v>0</v>
      </c>
      <c r="K18" s="209">
        <f t="shared" si="1"/>
        <v>0</v>
      </c>
      <c r="L18" s="209">
        <f t="shared" si="2"/>
        <v>0</v>
      </c>
      <c r="M18" s="194"/>
      <c r="N18" s="94"/>
    </row>
    <row r="19" spans="1:15">
      <c r="A19" s="26">
        <v>16</v>
      </c>
      <c r="B19" s="27">
        <v>46189</v>
      </c>
      <c r="C19" s="17"/>
      <c r="D19" s="17"/>
      <c r="E19" s="194"/>
      <c r="F19" s="194"/>
      <c r="G19" s="209">
        <f t="shared" si="0"/>
        <v>0</v>
      </c>
      <c r="H19" s="266"/>
      <c r="I19" s="209"/>
      <c r="J19" s="209">
        <f t="shared" si="3"/>
        <v>0</v>
      </c>
      <c r="K19" s="209">
        <f t="shared" si="1"/>
        <v>0</v>
      </c>
      <c r="L19" s="209">
        <f t="shared" si="2"/>
        <v>0</v>
      </c>
      <c r="M19" s="489"/>
      <c r="N19" s="17"/>
    </row>
    <row r="20" spans="1:15">
      <c r="A20" s="26">
        <v>17</v>
      </c>
      <c r="B20" s="27">
        <v>46190</v>
      </c>
      <c r="C20" s="17"/>
      <c r="D20" s="17"/>
      <c r="E20" s="194"/>
      <c r="F20" s="194"/>
      <c r="G20" s="209">
        <f t="shared" si="0"/>
        <v>0</v>
      </c>
      <c r="H20" s="266"/>
      <c r="I20" s="209"/>
      <c r="J20" s="209">
        <f t="shared" si="3"/>
        <v>0</v>
      </c>
      <c r="K20" s="209">
        <f t="shared" si="1"/>
        <v>0</v>
      </c>
      <c r="L20" s="209">
        <f t="shared" si="2"/>
        <v>0</v>
      </c>
      <c r="M20" s="489"/>
      <c r="N20" s="17"/>
    </row>
    <row r="21" spans="1:15">
      <c r="A21" s="26">
        <v>18</v>
      </c>
      <c r="B21" s="27">
        <v>46191</v>
      </c>
      <c r="C21" s="17"/>
      <c r="D21" s="17"/>
      <c r="E21" s="194"/>
      <c r="F21" s="194"/>
      <c r="G21" s="209">
        <f t="shared" si="0"/>
        <v>0</v>
      </c>
      <c r="H21" s="266"/>
      <c r="I21" s="209"/>
      <c r="J21" s="209">
        <f t="shared" si="3"/>
        <v>0</v>
      </c>
      <c r="K21" s="209">
        <f t="shared" si="1"/>
        <v>0</v>
      </c>
      <c r="L21" s="209">
        <f t="shared" si="2"/>
        <v>0</v>
      </c>
      <c r="M21" s="489"/>
      <c r="N21" s="17"/>
    </row>
    <row r="22" spans="1:15">
      <c r="A22" s="26">
        <v>19</v>
      </c>
      <c r="B22" s="27">
        <v>46192</v>
      </c>
      <c r="C22" s="17"/>
      <c r="D22" s="17"/>
      <c r="E22" s="194"/>
      <c r="F22" s="194"/>
      <c r="G22" s="209">
        <f t="shared" si="0"/>
        <v>0</v>
      </c>
      <c r="H22" s="266"/>
      <c r="I22" s="209"/>
      <c r="J22" s="209">
        <f t="shared" si="3"/>
        <v>0</v>
      </c>
      <c r="K22" s="209">
        <f t="shared" si="1"/>
        <v>0</v>
      </c>
      <c r="L22" s="209">
        <f t="shared" si="2"/>
        <v>0</v>
      </c>
      <c r="M22" s="489"/>
      <c r="N22" s="17"/>
    </row>
    <row r="23" spans="1:15">
      <c r="A23" s="26">
        <v>20</v>
      </c>
      <c r="B23" s="27">
        <v>46193</v>
      </c>
      <c r="C23" s="17"/>
      <c r="D23" s="17"/>
      <c r="E23" s="194">
        <v>45</v>
      </c>
      <c r="F23" s="194">
        <v>99.41</v>
      </c>
      <c r="G23" s="209">
        <f t="shared" si="0"/>
        <v>4473.45</v>
      </c>
      <c r="H23" s="266"/>
      <c r="I23" s="209"/>
      <c r="J23" s="209">
        <f t="shared" si="3"/>
        <v>0</v>
      </c>
      <c r="K23" s="209">
        <f t="shared" si="1"/>
        <v>4473.45</v>
      </c>
      <c r="L23" s="209">
        <f t="shared" si="2"/>
        <v>4473.45</v>
      </c>
      <c r="M23" s="489"/>
      <c r="N23" s="17"/>
    </row>
    <row r="24" spans="1:15">
      <c r="A24" s="26">
        <v>21</v>
      </c>
      <c r="B24" s="27">
        <v>46194</v>
      </c>
      <c r="C24" s="17"/>
      <c r="D24" s="17"/>
      <c r="E24" s="194"/>
      <c r="F24" s="194"/>
      <c r="G24" s="209">
        <f t="shared" si="0"/>
        <v>0</v>
      </c>
      <c r="H24" s="266"/>
      <c r="I24" s="209"/>
      <c r="J24" s="209">
        <f t="shared" si="3"/>
        <v>0</v>
      </c>
      <c r="K24" s="209">
        <f t="shared" si="1"/>
        <v>0</v>
      </c>
      <c r="L24" s="209">
        <f t="shared" si="2"/>
        <v>0</v>
      </c>
      <c r="M24" s="489"/>
      <c r="N24" s="17"/>
    </row>
    <row r="25" spans="1:15">
      <c r="A25" s="26">
        <v>22</v>
      </c>
      <c r="B25" s="27">
        <v>46195</v>
      </c>
      <c r="C25" s="17"/>
      <c r="D25" s="17"/>
      <c r="E25" s="194"/>
      <c r="F25" s="194"/>
      <c r="G25" s="209">
        <f t="shared" si="0"/>
        <v>0</v>
      </c>
      <c r="H25" s="266"/>
      <c r="I25" s="209"/>
      <c r="J25" s="209">
        <f t="shared" si="3"/>
        <v>0</v>
      </c>
      <c r="K25" s="209">
        <f t="shared" si="1"/>
        <v>0</v>
      </c>
      <c r="L25" s="209">
        <f t="shared" si="2"/>
        <v>0</v>
      </c>
      <c r="M25" s="489"/>
      <c r="N25" s="17"/>
    </row>
    <row r="26" spans="1:15">
      <c r="A26" s="26">
        <v>23</v>
      </c>
      <c r="B26" s="27">
        <v>46196</v>
      </c>
      <c r="C26" s="17"/>
      <c r="D26" s="17"/>
      <c r="E26" s="194"/>
      <c r="F26" s="194"/>
      <c r="G26" s="209">
        <f t="shared" si="0"/>
        <v>0</v>
      </c>
      <c r="H26" s="266"/>
      <c r="I26" s="209"/>
      <c r="J26" s="209">
        <f t="shared" si="3"/>
        <v>0</v>
      </c>
      <c r="K26" s="209">
        <f t="shared" si="1"/>
        <v>0</v>
      </c>
      <c r="L26" s="209">
        <f t="shared" si="2"/>
        <v>0</v>
      </c>
      <c r="M26" s="194"/>
      <c r="N26" s="137"/>
    </row>
    <row r="27" spans="1:15">
      <c r="A27" s="26">
        <v>24</v>
      </c>
      <c r="B27" s="27">
        <v>46197</v>
      </c>
      <c r="C27" s="17"/>
      <c r="D27" s="17"/>
      <c r="E27" s="194"/>
      <c r="F27" s="194"/>
      <c r="G27" s="209">
        <f t="shared" si="0"/>
        <v>0</v>
      </c>
      <c r="H27" s="266"/>
      <c r="I27" s="209"/>
      <c r="J27" s="209">
        <f t="shared" si="3"/>
        <v>0</v>
      </c>
      <c r="K27" s="209">
        <f t="shared" ref="K27:K33" si="4">G27+J27</f>
        <v>0</v>
      </c>
      <c r="L27" s="209">
        <f t="shared" si="2"/>
        <v>0</v>
      </c>
      <c r="M27" s="194"/>
      <c r="N27" s="17"/>
      <c r="O27">
        <v>0</v>
      </c>
    </row>
    <row r="28" spans="1:15">
      <c r="A28" s="26">
        <v>25</v>
      </c>
      <c r="B28" s="27">
        <v>46198</v>
      </c>
      <c r="C28" s="17"/>
      <c r="D28" s="17"/>
      <c r="E28" s="194">
        <v>60</v>
      </c>
      <c r="F28" s="194">
        <v>99.41</v>
      </c>
      <c r="G28" s="209">
        <f t="shared" si="0"/>
        <v>5964.5999999999995</v>
      </c>
      <c r="H28" s="266">
        <v>8.5</v>
      </c>
      <c r="I28" s="209">
        <v>111.51</v>
      </c>
      <c r="J28" s="209">
        <f t="shared" si="3"/>
        <v>947.83500000000004</v>
      </c>
      <c r="K28" s="209">
        <f t="shared" si="4"/>
        <v>6912.4349999999995</v>
      </c>
      <c r="L28" s="209">
        <f t="shared" si="2"/>
        <v>6912.4349999999995</v>
      </c>
      <c r="M28" s="194"/>
      <c r="N28" s="17"/>
    </row>
    <row r="29" spans="1:15">
      <c r="A29" s="26">
        <v>26</v>
      </c>
      <c r="B29" s="27">
        <v>46199</v>
      </c>
      <c r="C29" s="17"/>
      <c r="D29" s="17"/>
      <c r="E29" s="194"/>
      <c r="F29" s="194"/>
      <c r="G29" s="209">
        <f t="shared" si="0"/>
        <v>0</v>
      </c>
      <c r="H29" s="266"/>
      <c r="I29" s="209"/>
      <c r="J29" s="209">
        <f t="shared" si="3"/>
        <v>0</v>
      </c>
      <c r="K29" s="209">
        <f t="shared" si="4"/>
        <v>0</v>
      </c>
      <c r="L29" s="209">
        <f t="shared" si="2"/>
        <v>0</v>
      </c>
      <c r="M29" s="194"/>
      <c r="N29" s="17"/>
    </row>
    <row r="30" spans="1:15">
      <c r="A30" s="26">
        <v>27</v>
      </c>
      <c r="B30" s="27">
        <v>46200</v>
      </c>
      <c r="C30" s="17"/>
      <c r="D30" s="17"/>
      <c r="E30" s="194"/>
      <c r="F30" s="194"/>
      <c r="G30" s="209">
        <f t="shared" si="0"/>
        <v>0</v>
      </c>
      <c r="H30" s="266"/>
      <c r="I30" s="209"/>
      <c r="J30" s="209">
        <f t="shared" si="3"/>
        <v>0</v>
      </c>
      <c r="K30" s="209">
        <f t="shared" si="4"/>
        <v>0</v>
      </c>
      <c r="L30" s="209">
        <f t="shared" si="2"/>
        <v>0</v>
      </c>
      <c r="M30" s="194"/>
      <c r="N30" s="17"/>
    </row>
    <row r="31" spans="1:15">
      <c r="A31" s="217">
        <v>28</v>
      </c>
      <c r="B31" s="27">
        <v>46201</v>
      </c>
      <c r="C31" s="17"/>
      <c r="D31" s="17"/>
      <c r="E31" s="194"/>
      <c r="F31" s="194"/>
      <c r="G31" s="209">
        <f t="shared" si="0"/>
        <v>0</v>
      </c>
      <c r="H31" s="266"/>
      <c r="I31" s="209"/>
      <c r="J31" s="209">
        <f t="shared" si="3"/>
        <v>0</v>
      </c>
      <c r="K31" s="209">
        <f t="shared" si="4"/>
        <v>0</v>
      </c>
      <c r="L31" s="209">
        <f t="shared" si="2"/>
        <v>0</v>
      </c>
      <c r="M31" s="194"/>
      <c r="N31" s="94"/>
    </row>
    <row r="32" spans="1:15">
      <c r="A32" s="26">
        <v>29</v>
      </c>
      <c r="B32" s="27">
        <v>46202</v>
      </c>
      <c r="C32" s="17"/>
      <c r="D32" s="17"/>
      <c r="E32" s="194"/>
      <c r="F32" s="194"/>
      <c r="G32" s="209">
        <f t="shared" si="0"/>
        <v>0</v>
      </c>
      <c r="H32" s="266"/>
      <c r="I32" s="209"/>
      <c r="J32" s="209">
        <f t="shared" si="3"/>
        <v>0</v>
      </c>
      <c r="K32" s="209">
        <f t="shared" si="4"/>
        <v>0</v>
      </c>
      <c r="L32" s="209">
        <f t="shared" si="2"/>
        <v>0</v>
      </c>
      <c r="M32" s="194"/>
      <c r="N32" s="17"/>
    </row>
    <row r="33" spans="1:14">
      <c r="A33" s="26">
        <v>30</v>
      </c>
      <c r="B33" s="27">
        <v>46203</v>
      </c>
      <c r="C33" s="17"/>
      <c r="D33" s="17"/>
      <c r="E33" s="194"/>
      <c r="F33" s="194"/>
      <c r="G33" s="209">
        <f t="shared" ref="G33:G34" si="5">E33*F33</f>
        <v>0</v>
      </c>
      <c r="H33" s="266"/>
      <c r="I33" s="209"/>
      <c r="J33" s="209">
        <f t="shared" si="3"/>
        <v>0</v>
      </c>
      <c r="K33" s="209">
        <f t="shared" si="4"/>
        <v>0</v>
      </c>
      <c r="L33" s="209">
        <f t="shared" si="2"/>
        <v>0</v>
      </c>
      <c r="M33" s="194"/>
      <c r="N33" s="17"/>
    </row>
    <row r="34" spans="1:14">
      <c r="A34" s="26">
        <v>31</v>
      </c>
      <c r="B34" s="27">
        <v>46204</v>
      </c>
      <c r="C34" s="17"/>
      <c r="D34" s="17"/>
      <c r="E34" s="194"/>
      <c r="F34" s="194"/>
      <c r="G34" s="209">
        <f t="shared" si="5"/>
        <v>0</v>
      </c>
      <c r="H34" s="266"/>
      <c r="I34" s="209"/>
      <c r="J34" s="209">
        <f t="shared" si="3"/>
        <v>0</v>
      </c>
      <c r="K34" s="209">
        <f t="shared" si="1"/>
        <v>0</v>
      </c>
      <c r="L34" s="209">
        <f t="shared" si="1"/>
        <v>0</v>
      </c>
      <c r="M34" s="194"/>
      <c r="N34" s="17"/>
    </row>
    <row r="35" spans="1:14">
      <c r="A35" s="181"/>
      <c r="B35" s="181"/>
      <c r="C35" s="181"/>
      <c r="D35" s="181"/>
      <c r="E35" s="181">
        <f>SUM(E4:E34)</f>
        <v>105</v>
      </c>
      <c r="F35" s="181"/>
      <c r="G35" s="181">
        <f>SUM(G4:G34)</f>
        <v>10438.049999999999</v>
      </c>
      <c r="H35" s="181">
        <f>SUM(H4:H34)</f>
        <v>15.34</v>
      </c>
      <c r="I35" s="181"/>
      <c r="J35" s="181">
        <f>SUM(J4:J34)</f>
        <v>1710.5634</v>
      </c>
      <c r="K35" s="181">
        <f>SUM(K4:K34)</f>
        <v>12148.613399999998</v>
      </c>
      <c r="L35" s="181">
        <f>SUM(L4:L34)</f>
        <v>12148.613399999998</v>
      </c>
      <c r="M35" s="181"/>
      <c r="N3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U41"/>
  <sheetViews>
    <sheetView workbookViewId="0">
      <pane ySplit="2" topLeftCell="A21" activePane="bottomLeft" state="frozen"/>
      <selection pane="bottomLeft" activeCell="L30" sqref="L30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7" width="9.140625" style="5"/>
    <col min="18" max="18" width="9.7109375" style="5" customWidth="1"/>
    <col min="19" max="19" width="15.42578125" style="5" customWidth="1"/>
    <col min="20" max="20" width="14.28515625" style="5" bestFit="1" customWidth="1"/>
    <col min="21" max="21" width="12.42578125" style="5" bestFit="1" customWidth="1"/>
    <col min="22" max="16384" width="9.140625" style="5"/>
  </cols>
  <sheetData>
    <row r="1" spans="1:18" ht="15.75" customHeight="1">
      <c r="A1" s="580" t="s">
        <v>333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</row>
    <row r="2" spans="1:18">
      <c r="A2" s="64" t="s">
        <v>0</v>
      </c>
      <c r="B2" s="64" t="s">
        <v>167</v>
      </c>
      <c r="C2" s="64" t="s">
        <v>168</v>
      </c>
      <c r="D2" s="64" t="s">
        <v>169</v>
      </c>
      <c r="E2" s="91" t="s">
        <v>170</v>
      </c>
      <c r="F2" s="91" t="s">
        <v>171</v>
      </c>
      <c r="G2" s="91" t="s">
        <v>172</v>
      </c>
      <c r="H2" s="91" t="s">
        <v>173</v>
      </c>
      <c r="I2" s="91" t="s">
        <v>171</v>
      </c>
      <c r="J2" s="91" t="s">
        <v>172</v>
      </c>
      <c r="K2" s="91" t="s">
        <v>174</v>
      </c>
      <c r="L2" s="85" t="s">
        <v>175</v>
      </c>
      <c r="M2" s="85" t="s">
        <v>192</v>
      </c>
      <c r="N2" s="64" t="s">
        <v>177</v>
      </c>
    </row>
    <row r="3" spans="1:18">
      <c r="A3" s="581" t="s">
        <v>178</v>
      </c>
      <c r="B3" s="581"/>
      <c r="C3" s="581"/>
      <c r="D3" s="581"/>
      <c r="E3" s="581"/>
      <c r="F3" s="581"/>
      <c r="G3" s="581"/>
      <c r="H3" s="581"/>
      <c r="I3" s="581"/>
      <c r="J3" s="581"/>
      <c r="K3" s="178"/>
      <c r="L3" s="102"/>
      <c r="M3" s="102">
        <v>71321.750200000009</v>
      </c>
    </row>
    <row r="4" spans="1:18">
      <c r="A4" s="26">
        <v>1</v>
      </c>
      <c r="B4" s="27">
        <v>45809</v>
      </c>
      <c r="C4" s="6"/>
      <c r="D4" s="6"/>
      <c r="E4" s="500">
        <v>50</v>
      </c>
      <c r="F4" s="500">
        <v>99.78</v>
      </c>
      <c r="G4" s="66">
        <f>E4*F4</f>
        <v>4989</v>
      </c>
      <c r="H4" s="500">
        <v>2</v>
      </c>
      <c r="I4" s="501">
        <v>111.98</v>
      </c>
      <c r="J4" s="66">
        <f>H4*I4</f>
        <v>223.96</v>
      </c>
      <c r="K4" s="66">
        <f>G4+J4</f>
        <v>5212.96</v>
      </c>
      <c r="L4" s="66"/>
      <c r="M4" s="66">
        <f>M3+K4-L4</f>
        <v>76534.710200000016</v>
      </c>
      <c r="N4" s="6"/>
    </row>
    <row r="5" spans="1:18">
      <c r="A5" s="26"/>
      <c r="B5" s="27">
        <v>45809</v>
      </c>
      <c r="C5" s="6"/>
      <c r="D5" s="6"/>
      <c r="E5" s="500">
        <f>60+20+37.57</f>
        <v>117.57</v>
      </c>
      <c r="F5" s="500">
        <v>99.73</v>
      </c>
      <c r="G5" s="66">
        <f>E5*F5</f>
        <v>11725.256100000001</v>
      </c>
      <c r="H5" s="500">
        <v>0</v>
      </c>
      <c r="I5" s="501">
        <v>0</v>
      </c>
      <c r="J5" s="66">
        <f>H5*I5</f>
        <v>0</v>
      </c>
      <c r="K5" s="66">
        <f>G5+J5</f>
        <v>11725.256100000001</v>
      </c>
      <c r="L5" s="66">
        <v>11725.256100000001</v>
      </c>
      <c r="M5" s="66">
        <f t="shared" ref="M5:M40" si="0">M4+K5-L5</f>
        <v>76534.710200000016</v>
      </c>
      <c r="N5" s="6"/>
    </row>
    <row r="6" spans="1:18">
      <c r="A6" s="26">
        <v>2</v>
      </c>
      <c r="B6" s="27">
        <v>45810</v>
      </c>
      <c r="C6" s="6"/>
      <c r="D6" s="6"/>
      <c r="E6" s="500">
        <v>50</v>
      </c>
      <c r="F6" s="500">
        <v>99.78</v>
      </c>
      <c r="G6" s="66">
        <f t="shared" ref="G6:G40" si="1">E6*F6</f>
        <v>4989</v>
      </c>
      <c r="H6" s="500">
        <v>15</v>
      </c>
      <c r="I6" s="501">
        <v>111.98</v>
      </c>
      <c r="J6" s="66">
        <f t="shared" ref="J6:J39" si="2">H6*I6</f>
        <v>1679.7</v>
      </c>
      <c r="K6" s="66">
        <f t="shared" ref="K6:K39" si="3">G6+J6</f>
        <v>6668.7</v>
      </c>
      <c r="L6" s="66"/>
      <c r="M6" s="66">
        <f t="shared" si="0"/>
        <v>83203.410200000013</v>
      </c>
      <c r="N6" s="6"/>
    </row>
    <row r="7" spans="1:18">
      <c r="A7" s="26">
        <v>3</v>
      </c>
      <c r="B7" s="27">
        <v>45811</v>
      </c>
      <c r="C7" s="6"/>
      <c r="D7" s="6"/>
      <c r="E7" s="265"/>
      <c r="F7" s="44"/>
      <c r="G7" s="66">
        <f t="shared" si="1"/>
        <v>0</v>
      </c>
      <c r="H7" s="44">
        <v>5</v>
      </c>
      <c r="I7" s="44">
        <v>111.98</v>
      </c>
      <c r="J7" s="66">
        <f t="shared" ref="J7:J40" si="4">H7*I7</f>
        <v>559.9</v>
      </c>
      <c r="K7" s="66">
        <f t="shared" si="3"/>
        <v>559.9</v>
      </c>
      <c r="L7" s="66"/>
      <c r="M7" s="66">
        <f t="shared" si="0"/>
        <v>83763.310200000007</v>
      </c>
      <c r="N7" s="6"/>
    </row>
    <row r="8" spans="1:18">
      <c r="A8" s="26">
        <v>4</v>
      </c>
      <c r="B8" s="27">
        <v>45812</v>
      </c>
      <c r="C8" s="6"/>
      <c r="D8" s="6"/>
      <c r="E8" s="265">
        <v>50</v>
      </c>
      <c r="F8" s="44">
        <v>99.78</v>
      </c>
      <c r="G8" s="66">
        <f t="shared" si="1"/>
        <v>4989</v>
      </c>
      <c r="H8" s="44"/>
      <c r="I8" s="44"/>
      <c r="J8" s="66">
        <f t="shared" si="4"/>
        <v>0</v>
      </c>
      <c r="K8" s="66">
        <f t="shared" si="3"/>
        <v>4989</v>
      </c>
      <c r="L8" s="66"/>
      <c r="M8" s="66">
        <f t="shared" si="0"/>
        <v>88752.310200000007</v>
      </c>
      <c r="N8" s="6"/>
    </row>
    <row r="9" spans="1:18">
      <c r="A9" s="26">
        <v>5</v>
      </c>
      <c r="B9" s="27">
        <v>45813</v>
      </c>
      <c r="C9" s="6"/>
      <c r="D9" s="6"/>
      <c r="E9" s="265">
        <v>50</v>
      </c>
      <c r="F9" s="44">
        <v>99.78</v>
      </c>
      <c r="G9" s="66">
        <f t="shared" si="1"/>
        <v>4989</v>
      </c>
      <c r="H9" s="44"/>
      <c r="I9" s="44"/>
      <c r="J9" s="66">
        <f t="shared" si="4"/>
        <v>0</v>
      </c>
      <c r="K9" s="66">
        <f t="shared" si="3"/>
        <v>4989</v>
      </c>
      <c r="L9" s="66">
        <v>80000</v>
      </c>
      <c r="M9" s="66">
        <f t="shared" si="0"/>
        <v>13741.310200000007</v>
      </c>
      <c r="N9" s="6"/>
    </row>
    <row r="10" spans="1:18">
      <c r="A10" s="26"/>
      <c r="B10" s="27">
        <v>45813</v>
      </c>
      <c r="C10" s="6"/>
      <c r="D10" s="6"/>
      <c r="E10" s="265">
        <v>40</v>
      </c>
      <c r="F10" s="44">
        <v>99.73</v>
      </c>
      <c r="G10" s="66">
        <f t="shared" si="1"/>
        <v>3989.2000000000003</v>
      </c>
      <c r="H10" s="44"/>
      <c r="I10" s="44"/>
      <c r="J10" s="66">
        <f t="shared" si="4"/>
        <v>0</v>
      </c>
      <c r="K10" s="66">
        <f t="shared" si="3"/>
        <v>3989.2000000000003</v>
      </c>
      <c r="L10" s="66">
        <v>3989.2000000000003</v>
      </c>
      <c r="M10" s="66">
        <f t="shared" si="0"/>
        <v>13741.310200000007</v>
      </c>
      <c r="N10" s="6"/>
    </row>
    <row r="11" spans="1:18">
      <c r="A11" s="26">
        <v>6</v>
      </c>
      <c r="B11" s="27">
        <v>45814</v>
      </c>
      <c r="C11" s="6"/>
      <c r="D11" s="6"/>
      <c r="E11" s="265">
        <v>50</v>
      </c>
      <c r="F11" s="44">
        <v>99.78</v>
      </c>
      <c r="G11" s="66">
        <f t="shared" si="1"/>
        <v>4989</v>
      </c>
      <c r="H11" s="44"/>
      <c r="I11" s="44"/>
      <c r="J11" s="66">
        <f t="shared" si="4"/>
        <v>0</v>
      </c>
      <c r="K11" s="66">
        <f t="shared" si="3"/>
        <v>4989</v>
      </c>
      <c r="L11" s="66"/>
      <c r="M11" s="66">
        <f t="shared" si="0"/>
        <v>18730.310200000007</v>
      </c>
      <c r="N11" s="6"/>
      <c r="R11" s="44"/>
    </row>
    <row r="12" spans="1:18">
      <c r="A12" s="26">
        <v>7</v>
      </c>
      <c r="B12" s="27">
        <v>45815</v>
      </c>
      <c r="C12" s="6"/>
      <c r="D12" s="6"/>
      <c r="E12" s="265"/>
      <c r="F12" s="44"/>
      <c r="G12" s="66">
        <f t="shared" si="1"/>
        <v>0</v>
      </c>
      <c r="H12" s="44"/>
      <c r="I12" s="44"/>
      <c r="J12" s="66">
        <f t="shared" si="4"/>
        <v>0</v>
      </c>
      <c r="K12" s="66">
        <f t="shared" si="3"/>
        <v>0</v>
      </c>
      <c r="L12" s="66"/>
      <c r="M12" s="66">
        <f t="shared" si="0"/>
        <v>18730.310200000007</v>
      </c>
      <c r="N12" s="6"/>
    </row>
    <row r="13" spans="1:18">
      <c r="A13" s="26">
        <v>8</v>
      </c>
      <c r="B13" s="27">
        <v>45816</v>
      </c>
      <c r="C13" s="6"/>
      <c r="D13" s="6"/>
      <c r="E13" s="265">
        <v>50</v>
      </c>
      <c r="F13" s="44">
        <v>99.78</v>
      </c>
      <c r="G13" s="66">
        <f t="shared" si="1"/>
        <v>4989</v>
      </c>
      <c r="H13" s="44">
        <v>5</v>
      </c>
      <c r="I13" s="44">
        <v>111.98</v>
      </c>
      <c r="J13" s="66">
        <f t="shared" si="4"/>
        <v>559.9</v>
      </c>
      <c r="K13" s="66">
        <f t="shared" si="3"/>
        <v>5548.9</v>
      </c>
      <c r="L13" s="66">
        <v>18673</v>
      </c>
      <c r="M13" s="66">
        <f t="shared" si="0"/>
        <v>5606.2102000000086</v>
      </c>
      <c r="N13" s="6"/>
    </row>
    <row r="14" spans="1:18">
      <c r="A14" s="26">
        <v>9</v>
      </c>
      <c r="B14" s="27">
        <v>45817</v>
      </c>
      <c r="C14" s="6"/>
      <c r="D14" s="6"/>
      <c r="E14" s="265"/>
      <c r="F14" s="44"/>
      <c r="G14" s="66">
        <f t="shared" si="1"/>
        <v>0</v>
      </c>
      <c r="H14" s="44"/>
      <c r="I14" s="44"/>
      <c r="J14" s="66">
        <f t="shared" si="4"/>
        <v>0</v>
      </c>
      <c r="K14" s="66">
        <f t="shared" si="3"/>
        <v>0</v>
      </c>
      <c r="L14" s="66"/>
      <c r="M14" s="66">
        <f t="shared" si="0"/>
        <v>5606.2102000000086</v>
      </c>
      <c r="N14" s="6" t="s">
        <v>224</v>
      </c>
    </row>
    <row r="15" spans="1:18">
      <c r="A15" s="26"/>
      <c r="B15" s="27">
        <v>45818</v>
      </c>
      <c r="C15" s="6"/>
      <c r="D15" s="6"/>
      <c r="E15" s="265">
        <v>80</v>
      </c>
      <c r="F15" s="44">
        <v>99.78</v>
      </c>
      <c r="G15" s="66">
        <f t="shared" si="1"/>
        <v>7982.4</v>
      </c>
      <c r="H15" s="44"/>
      <c r="I15" s="44"/>
      <c r="J15" s="66">
        <f t="shared" si="4"/>
        <v>0</v>
      </c>
      <c r="K15" s="66">
        <f t="shared" si="3"/>
        <v>7982.4</v>
      </c>
      <c r="L15" s="66"/>
      <c r="M15" s="66">
        <f t="shared" si="0"/>
        <v>13588.610200000008</v>
      </c>
      <c r="N15" s="6"/>
    </row>
    <row r="16" spans="1:18">
      <c r="A16" s="26">
        <v>10</v>
      </c>
      <c r="B16" s="27">
        <v>45819</v>
      </c>
      <c r="C16" s="6"/>
      <c r="D16" s="6"/>
      <c r="E16" s="265">
        <v>50</v>
      </c>
      <c r="F16" s="44">
        <v>99.73</v>
      </c>
      <c r="G16" s="66">
        <f t="shared" si="1"/>
        <v>4986.5</v>
      </c>
      <c r="H16" s="44"/>
      <c r="I16" s="44"/>
      <c r="J16" s="66">
        <f t="shared" si="4"/>
        <v>0</v>
      </c>
      <c r="K16" s="66">
        <f t="shared" si="3"/>
        <v>4986.5</v>
      </c>
      <c r="L16" s="66">
        <v>4986.5</v>
      </c>
      <c r="M16" s="66">
        <f t="shared" si="0"/>
        <v>13588.61020000001</v>
      </c>
      <c r="N16" s="6" t="s">
        <v>334</v>
      </c>
    </row>
    <row r="17" spans="1:21">
      <c r="A17" s="26">
        <v>11</v>
      </c>
      <c r="B17" s="27">
        <v>45820</v>
      </c>
      <c r="C17" s="6"/>
      <c r="D17" s="6"/>
      <c r="E17" s="265">
        <v>50</v>
      </c>
      <c r="F17" s="265">
        <v>99.78</v>
      </c>
      <c r="G17" s="66">
        <f t="shared" si="1"/>
        <v>4989</v>
      </c>
      <c r="H17" s="44">
        <v>10</v>
      </c>
      <c r="I17" s="44">
        <v>111.98</v>
      </c>
      <c r="J17" s="66">
        <f t="shared" si="4"/>
        <v>1119.8</v>
      </c>
      <c r="K17" s="66">
        <f t="shared" si="3"/>
        <v>6108.8</v>
      </c>
      <c r="L17" s="66"/>
      <c r="M17" s="66">
        <f t="shared" si="0"/>
        <v>19697.410200000009</v>
      </c>
      <c r="N17" s="6"/>
    </row>
    <row r="18" spans="1:21">
      <c r="A18" s="26">
        <v>12</v>
      </c>
      <c r="B18" s="27">
        <v>45821</v>
      </c>
      <c r="C18" s="6"/>
      <c r="D18" s="6"/>
      <c r="E18" s="265">
        <v>90</v>
      </c>
      <c r="F18" s="265">
        <v>99.78</v>
      </c>
      <c r="G18" s="66">
        <f t="shared" si="1"/>
        <v>8980.2000000000007</v>
      </c>
      <c r="H18" s="44"/>
      <c r="I18" s="44"/>
      <c r="J18" s="66">
        <f t="shared" si="4"/>
        <v>0</v>
      </c>
      <c r="K18" s="66">
        <f t="shared" si="3"/>
        <v>8980.2000000000007</v>
      </c>
      <c r="L18" s="66"/>
      <c r="M18" s="66">
        <f t="shared" si="0"/>
        <v>28677.61020000001</v>
      </c>
      <c r="N18" s="6"/>
    </row>
    <row r="19" spans="1:21">
      <c r="A19" s="26">
        <v>13</v>
      </c>
      <c r="B19" s="27">
        <v>45822</v>
      </c>
      <c r="C19" s="6"/>
      <c r="D19" s="6"/>
      <c r="E19" s="265">
        <v>50</v>
      </c>
      <c r="F19" s="265">
        <v>99.78</v>
      </c>
      <c r="G19" s="66">
        <f t="shared" si="1"/>
        <v>4989</v>
      </c>
      <c r="H19" s="44"/>
      <c r="I19" s="44"/>
      <c r="J19" s="66">
        <f t="shared" si="4"/>
        <v>0</v>
      </c>
      <c r="K19" s="66">
        <f t="shared" si="3"/>
        <v>4989</v>
      </c>
      <c r="L19" s="66"/>
      <c r="M19" s="66">
        <f t="shared" si="0"/>
        <v>33666.61020000001</v>
      </c>
      <c r="N19" s="6"/>
    </row>
    <row r="20" spans="1:21">
      <c r="A20" s="26">
        <v>14</v>
      </c>
      <c r="B20" s="27">
        <v>45823</v>
      </c>
      <c r="C20" s="177"/>
      <c r="D20" s="6"/>
      <c r="E20" s="265">
        <v>50</v>
      </c>
      <c r="F20" s="265">
        <v>99.78</v>
      </c>
      <c r="G20" s="66">
        <f t="shared" si="1"/>
        <v>4989</v>
      </c>
      <c r="H20" s="44">
        <v>10</v>
      </c>
      <c r="I20" s="44">
        <v>111.98</v>
      </c>
      <c r="J20" s="66">
        <f t="shared" si="4"/>
        <v>1119.8</v>
      </c>
      <c r="K20" s="66">
        <f t="shared" si="3"/>
        <v>6108.8</v>
      </c>
      <c r="L20" s="66"/>
      <c r="M20" s="66">
        <f t="shared" si="0"/>
        <v>39775.410200000013</v>
      </c>
      <c r="N20" s="6"/>
    </row>
    <row r="21" spans="1:21">
      <c r="A21" s="26">
        <v>15</v>
      </c>
      <c r="B21" s="27">
        <v>45824</v>
      </c>
      <c r="C21" s="177"/>
      <c r="D21" s="6"/>
      <c r="E21" s="265">
        <v>50</v>
      </c>
      <c r="F21" s="265">
        <v>99.78</v>
      </c>
      <c r="G21" s="66">
        <f t="shared" si="1"/>
        <v>4989</v>
      </c>
      <c r="H21" s="44"/>
      <c r="I21" s="44"/>
      <c r="J21" s="66">
        <f t="shared" si="4"/>
        <v>0</v>
      </c>
      <c r="K21" s="66">
        <f t="shared" si="3"/>
        <v>4989</v>
      </c>
      <c r="L21" s="66">
        <v>39000</v>
      </c>
      <c r="M21" s="66">
        <f t="shared" si="0"/>
        <v>5764.410200000013</v>
      </c>
      <c r="N21" s="6" t="s">
        <v>224</v>
      </c>
    </row>
    <row r="22" spans="1:21">
      <c r="A22" s="26"/>
      <c r="B22" s="27">
        <v>45825</v>
      </c>
      <c r="C22" s="177"/>
      <c r="D22" s="6"/>
      <c r="E22" s="265">
        <v>50</v>
      </c>
      <c r="F22" s="44">
        <v>99.78</v>
      </c>
      <c r="G22" s="66">
        <f>E22*F22</f>
        <v>4989</v>
      </c>
      <c r="H22" s="44"/>
      <c r="I22" s="44"/>
      <c r="J22" s="66">
        <f>H22*I22</f>
        <v>0</v>
      </c>
      <c r="K22" s="66">
        <f>G22+J22</f>
        <v>4989</v>
      </c>
      <c r="L22" s="66"/>
      <c r="M22" s="66">
        <f t="shared" si="0"/>
        <v>10753.410200000013</v>
      </c>
      <c r="N22" s="6"/>
    </row>
    <row r="23" spans="1:21">
      <c r="A23" s="26">
        <v>16</v>
      </c>
      <c r="B23" s="27">
        <v>45826</v>
      </c>
      <c r="C23" s="177"/>
      <c r="D23" s="6"/>
      <c r="E23" s="265">
        <v>50</v>
      </c>
      <c r="F23" s="44">
        <v>99.78</v>
      </c>
      <c r="G23" s="66">
        <f t="shared" si="1"/>
        <v>4989</v>
      </c>
      <c r="H23" s="44">
        <v>5</v>
      </c>
      <c r="I23" s="44">
        <v>111.98</v>
      </c>
      <c r="J23" s="66">
        <f t="shared" si="4"/>
        <v>559.9</v>
      </c>
      <c r="K23" s="66">
        <f t="shared" si="3"/>
        <v>5548.9</v>
      </c>
      <c r="L23" s="66"/>
      <c r="M23" s="66">
        <f t="shared" si="0"/>
        <v>16302.310200000013</v>
      </c>
      <c r="N23" s="6"/>
    </row>
    <row r="24" spans="1:21">
      <c r="A24" s="26">
        <v>17</v>
      </c>
      <c r="B24" s="27">
        <v>45827</v>
      </c>
      <c r="C24" s="177"/>
      <c r="D24" s="6"/>
      <c r="E24" s="265">
        <v>50</v>
      </c>
      <c r="F24" s="44">
        <v>99.78</v>
      </c>
      <c r="G24" s="66">
        <f t="shared" si="1"/>
        <v>4989</v>
      </c>
      <c r="H24" s="44"/>
      <c r="I24" s="44"/>
      <c r="J24" s="66">
        <f t="shared" si="4"/>
        <v>0</v>
      </c>
      <c r="K24" s="66">
        <f t="shared" si="3"/>
        <v>4989</v>
      </c>
      <c r="L24" s="66"/>
      <c r="M24" s="66">
        <f t="shared" si="0"/>
        <v>21291.310200000014</v>
      </c>
      <c r="N24" s="6"/>
    </row>
    <row r="25" spans="1:21">
      <c r="A25" s="26">
        <v>18</v>
      </c>
      <c r="B25" s="27">
        <v>45828</v>
      </c>
      <c r="C25" s="177"/>
      <c r="D25" s="6"/>
      <c r="E25" s="265">
        <v>50</v>
      </c>
      <c r="F25" s="44">
        <v>99.78</v>
      </c>
      <c r="G25" s="66">
        <f t="shared" si="1"/>
        <v>4989</v>
      </c>
      <c r="H25" s="44">
        <v>9.3699999999999992</v>
      </c>
      <c r="I25" s="44">
        <v>111.98</v>
      </c>
      <c r="J25" s="66">
        <f t="shared" si="4"/>
        <v>1049.2526</v>
      </c>
      <c r="K25" s="66">
        <f t="shared" si="3"/>
        <v>6038.2525999999998</v>
      </c>
      <c r="L25" s="66"/>
      <c r="M25" s="66">
        <f t="shared" si="0"/>
        <v>27329.562800000014</v>
      </c>
      <c r="N25" s="6"/>
    </row>
    <row r="26" spans="1:21">
      <c r="A26" s="26">
        <v>19</v>
      </c>
      <c r="B26" s="27">
        <v>45829</v>
      </c>
      <c r="C26" s="177"/>
      <c r="D26" s="6"/>
      <c r="E26" s="265">
        <v>50</v>
      </c>
      <c r="F26" s="44">
        <v>99.78</v>
      </c>
      <c r="G26" s="66">
        <f t="shared" si="1"/>
        <v>4989</v>
      </c>
      <c r="H26" s="44">
        <v>10</v>
      </c>
      <c r="I26" s="44">
        <v>111.98</v>
      </c>
      <c r="J26" s="66">
        <f t="shared" si="4"/>
        <v>1119.8</v>
      </c>
      <c r="K26" s="66">
        <f t="shared" si="3"/>
        <v>6108.8</v>
      </c>
      <c r="L26" s="66"/>
      <c r="M26" s="66">
        <f t="shared" si="0"/>
        <v>33438.362800000017</v>
      </c>
      <c r="N26" s="6"/>
      <c r="R26" s="582" t="s">
        <v>335</v>
      </c>
      <c r="S26" s="582"/>
      <c r="T26" s="449" t="s">
        <v>336</v>
      </c>
      <c r="U26" s="449"/>
    </row>
    <row r="27" spans="1:21">
      <c r="A27" s="26">
        <v>20</v>
      </c>
      <c r="B27" s="27">
        <v>45830</v>
      </c>
      <c r="C27" s="177"/>
      <c r="D27" s="6"/>
      <c r="E27" s="265"/>
      <c r="F27" s="44"/>
      <c r="G27" s="66">
        <f t="shared" si="1"/>
        <v>0</v>
      </c>
      <c r="H27" s="44"/>
      <c r="I27" s="44"/>
      <c r="J27" s="66">
        <f t="shared" si="4"/>
        <v>0</v>
      </c>
      <c r="K27" s="66">
        <f t="shared" si="3"/>
        <v>0</v>
      </c>
      <c r="L27" s="66"/>
      <c r="M27" s="66">
        <f t="shared" si="0"/>
        <v>33438.362800000017</v>
      </c>
      <c r="N27" s="6"/>
      <c r="R27" s="6" t="s">
        <v>337</v>
      </c>
      <c r="S27" s="6" t="s">
        <v>338</v>
      </c>
      <c r="T27" s="6" t="s">
        <v>339</v>
      </c>
      <c r="U27" s="6" t="s">
        <v>64</v>
      </c>
    </row>
    <row r="28" spans="1:21">
      <c r="A28" s="26">
        <v>21</v>
      </c>
      <c r="B28" s="27">
        <v>45831</v>
      </c>
      <c r="C28" s="177"/>
      <c r="D28" s="6"/>
      <c r="E28" s="265">
        <v>29.8</v>
      </c>
      <c r="F28" s="44">
        <v>99.78</v>
      </c>
      <c r="G28" s="66">
        <f t="shared" si="1"/>
        <v>2973.444</v>
      </c>
      <c r="H28" s="44"/>
      <c r="I28" s="44"/>
      <c r="J28" s="66">
        <f t="shared" si="4"/>
        <v>0</v>
      </c>
      <c r="K28" s="66">
        <f t="shared" si="3"/>
        <v>2973.444</v>
      </c>
      <c r="L28" s="66"/>
      <c r="M28" s="66">
        <f t="shared" si="0"/>
        <v>36411.80680000002</v>
      </c>
      <c r="N28" s="6"/>
      <c r="R28" s="6" t="s">
        <v>340</v>
      </c>
      <c r="S28" s="6">
        <v>2040</v>
      </c>
      <c r="T28" s="6">
        <v>90</v>
      </c>
      <c r="U28" s="6">
        <v>169925</v>
      </c>
    </row>
    <row r="29" spans="1:21">
      <c r="A29" s="26">
        <v>22</v>
      </c>
      <c r="B29" s="27">
        <v>45832</v>
      </c>
      <c r="C29" s="177"/>
      <c r="D29" s="6"/>
      <c r="E29" s="265"/>
      <c r="F29" s="44"/>
      <c r="G29" s="66">
        <f t="shared" si="1"/>
        <v>0</v>
      </c>
      <c r="H29" s="44"/>
      <c r="I29" s="44"/>
      <c r="J29" s="66">
        <f t="shared" si="4"/>
        <v>0</v>
      </c>
      <c r="K29" s="66">
        <f t="shared" si="3"/>
        <v>0</v>
      </c>
      <c r="L29" s="66"/>
      <c r="M29" s="66">
        <f t="shared" si="0"/>
        <v>36411.80680000002</v>
      </c>
      <c r="N29" s="6"/>
      <c r="R29" s="6" t="s">
        <v>341</v>
      </c>
      <c r="S29" s="6">
        <v>2115</v>
      </c>
      <c r="T29" s="6">
        <v>185</v>
      </c>
      <c r="U29" s="6">
        <v>206053</v>
      </c>
    </row>
    <row r="30" spans="1:21">
      <c r="A30" s="26">
        <v>23</v>
      </c>
      <c r="B30" s="27">
        <v>45833</v>
      </c>
      <c r="C30" s="177"/>
      <c r="D30" s="6"/>
      <c r="E30" s="265">
        <v>20</v>
      </c>
      <c r="F30" s="44">
        <v>99.78</v>
      </c>
      <c r="G30" s="66">
        <f t="shared" si="1"/>
        <v>1995.6</v>
      </c>
      <c r="H30" s="44"/>
      <c r="I30" s="44"/>
      <c r="J30" s="66">
        <f t="shared" si="4"/>
        <v>0</v>
      </c>
      <c r="K30" s="66">
        <f t="shared" si="3"/>
        <v>1995.6</v>
      </c>
      <c r="L30" s="66">
        <v>38000</v>
      </c>
      <c r="M30" s="66">
        <f t="shared" si="0"/>
        <v>407.40680000001885</v>
      </c>
      <c r="N30" s="6"/>
      <c r="R30" s="6" t="s">
        <v>342</v>
      </c>
      <c r="S30" s="6">
        <v>2145</v>
      </c>
      <c r="T30" s="6">
        <v>177</v>
      </c>
      <c r="U30" s="6">
        <v>247835</v>
      </c>
    </row>
    <row r="31" spans="1:21">
      <c r="A31" s="26">
        <v>24</v>
      </c>
      <c r="B31" s="27">
        <v>45834</v>
      </c>
      <c r="C31" s="177"/>
      <c r="D31" s="6"/>
      <c r="E31" s="265">
        <v>50</v>
      </c>
      <c r="F31" s="44">
        <v>99.78</v>
      </c>
      <c r="G31" s="66">
        <f t="shared" si="1"/>
        <v>4989</v>
      </c>
      <c r="H31" s="44"/>
      <c r="I31" s="44"/>
      <c r="J31" s="66">
        <f t="shared" si="4"/>
        <v>0</v>
      </c>
      <c r="K31" s="66">
        <f t="shared" si="3"/>
        <v>4989</v>
      </c>
      <c r="L31" s="66"/>
      <c r="M31" s="66">
        <f t="shared" si="0"/>
        <v>5396.4068000000188</v>
      </c>
      <c r="N31" s="6"/>
      <c r="R31" s="6" t="s">
        <v>343</v>
      </c>
      <c r="S31" s="6">
        <v>545</v>
      </c>
      <c r="T31" s="6">
        <v>50</v>
      </c>
      <c r="U31" s="6">
        <v>44201</v>
      </c>
    </row>
    <row r="32" spans="1:21">
      <c r="A32" s="26">
        <v>25</v>
      </c>
      <c r="B32" s="27">
        <v>45835</v>
      </c>
      <c r="C32" s="177"/>
      <c r="D32" s="6"/>
      <c r="E32" s="265"/>
      <c r="F32" s="44">
        <v>99.78</v>
      </c>
      <c r="G32" s="66">
        <f t="shared" si="1"/>
        <v>0</v>
      </c>
      <c r="H32" s="44">
        <v>5</v>
      </c>
      <c r="I32" s="44">
        <v>111.98</v>
      </c>
      <c r="J32" s="66">
        <f t="shared" si="4"/>
        <v>559.9</v>
      </c>
      <c r="K32" s="66">
        <f t="shared" si="3"/>
        <v>559.9</v>
      </c>
      <c r="L32" s="66"/>
      <c r="M32" s="66">
        <f t="shared" si="0"/>
        <v>5956.3068000000185</v>
      </c>
      <c r="N32" s="6"/>
      <c r="R32" s="6"/>
      <c r="S32" s="449">
        <f>SUM(S28:S31)</f>
        <v>6845</v>
      </c>
      <c r="T32" s="449">
        <f>SUM(T28:T31)</f>
        <v>502</v>
      </c>
      <c r="U32" s="449">
        <f>SUM(U28:U31)</f>
        <v>668014</v>
      </c>
    </row>
    <row r="33" spans="1:14">
      <c r="A33" s="26">
        <v>26</v>
      </c>
      <c r="B33" s="27">
        <v>45836</v>
      </c>
      <c r="C33" s="177"/>
      <c r="D33" s="6"/>
      <c r="E33" s="265">
        <v>30</v>
      </c>
      <c r="F33" s="44">
        <v>99.78</v>
      </c>
      <c r="G33" s="66">
        <f t="shared" si="1"/>
        <v>2993.4</v>
      </c>
      <c r="H33" s="44"/>
      <c r="I33" s="44"/>
      <c r="J33" s="66">
        <f t="shared" si="4"/>
        <v>0</v>
      </c>
      <c r="K33" s="66">
        <f t="shared" si="3"/>
        <v>2993.4</v>
      </c>
      <c r="L33" s="66"/>
      <c r="M33" s="66">
        <f t="shared" si="0"/>
        <v>8949.7068000000181</v>
      </c>
      <c r="N33" s="6"/>
    </row>
    <row r="34" spans="1:14">
      <c r="A34" s="26">
        <v>27</v>
      </c>
      <c r="B34" s="27">
        <v>45837</v>
      </c>
      <c r="C34" s="177"/>
      <c r="D34" s="6"/>
      <c r="E34" s="265"/>
      <c r="F34" s="44"/>
      <c r="G34" s="66">
        <f t="shared" si="1"/>
        <v>0</v>
      </c>
      <c r="H34" s="44"/>
      <c r="I34" s="44"/>
      <c r="J34" s="66"/>
      <c r="K34" s="66">
        <f t="shared" si="3"/>
        <v>0</v>
      </c>
      <c r="L34" s="66"/>
      <c r="M34" s="66">
        <f t="shared" si="0"/>
        <v>8949.7068000000181</v>
      </c>
      <c r="N34" s="6"/>
    </row>
    <row r="35" spans="1:14">
      <c r="A35" s="26">
        <v>28</v>
      </c>
      <c r="B35" s="27">
        <v>45838</v>
      </c>
      <c r="C35" s="177"/>
      <c r="D35" s="6"/>
      <c r="E35" s="265">
        <v>50</v>
      </c>
      <c r="F35" s="44">
        <v>99.78</v>
      </c>
      <c r="G35" s="66">
        <f t="shared" si="1"/>
        <v>4989</v>
      </c>
      <c r="H35" s="44">
        <v>10</v>
      </c>
      <c r="I35" s="44">
        <v>111.98</v>
      </c>
      <c r="J35" s="66">
        <f t="shared" si="4"/>
        <v>1119.8</v>
      </c>
      <c r="K35" s="66">
        <f t="shared" si="3"/>
        <v>6108.8</v>
      </c>
      <c r="L35" s="66"/>
      <c r="M35" s="66">
        <f t="shared" si="0"/>
        <v>15058.506800000017</v>
      </c>
      <c r="N35" s="6"/>
    </row>
    <row r="36" spans="1:14">
      <c r="A36" s="26">
        <v>29</v>
      </c>
      <c r="B36" s="27"/>
      <c r="C36" s="177"/>
      <c r="D36" s="6"/>
      <c r="E36" s="265"/>
      <c r="F36" s="44"/>
      <c r="G36" s="66">
        <f t="shared" si="1"/>
        <v>0</v>
      </c>
      <c r="H36" s="44"/>
      <c r="I36" s="44"/>
      <c r="J36" s="66">
        <f t="shared" si="4"/>
        <v>0</v>
      </c>
      <c r="K36" s="66">
        <f t="shared" si="3"/>
        <v>0</v>
      </c>
      <c r="L36" s="66"/>
      <c r="M36" s="66">
        <f t="shared" si="0"/>
        <v>15058.506800000017</v>
      </c>
      <c r="N36" s="6"/>
    </row>
    <row r="37" spans="1:14">
      <c r="A37" s="26">
        <v>30</v>
      </c>
      <c r="B37" s="27"/>
      <c r="C37" s="177"/>
      <c r="D37" s="6"/>
      <c r="E37" s="265"/>
      <c r="F37" s="44"/>
      <c r="G37" s="66">
        <f t="shared" ref="G37" si="5">E37*F37</f>
        <v>0</v>
      </c>
      <c r="H37" s="44"/>
      <c r="I37" s="44"/>
      <c r="J37" s="66">
        <f t="shared" ref="J37" si="6">H37*I37</f>
        <v>0</v>
      </c>
      <c r="K37" s="66">
        <f t="shared" ref="K37:L37" si="7">G37+J37</f>
        <v>0</v>
      </c>
      <c r="L37" s="66"/>
      <c r="M37" s="66">
        <f t="shared" si="0"/>
        <v>15058.506800000017</v>
      </c>
      <c r="N37" s="6"/>
    </row>
    <row r="38" spans="1:14">
      <c r="A38" s="26">
        <v>31</v>
      </c>
      <c r="B38" s="27"/>
      <c r="C38" s="177"/>
      <c r="D38" s="6"/>
      <c r="E38" s="494"/>
      <c r="F38" s="494"/>
      <c r="G38" s="66">
        <f t="shared" si="1"/>
        <v>0</v>
      </c>
      <c r="H38" s="44"/>
      <c r="I38" s="44"/>
      <c r="J38" s="66">
        <f t="shared" si="4"/>
        <v>0</v>
      </c>
      <c r="K38" s="66">
        <f t="shared" si="3"/>
        <v>0</v>
      </c>
      <c r="L38" s="66"/>
      <c r="M38" s="66">
        <f t="shared" si="0"/>
        <v>15058.506800000017</v>
      </c>
      <c r="N38" s="6"/>
    </row>
    <row r="39" spans="1:14">
      <c r="A39" s="26">
        <v>32</v>
      </c>
      <c r="B39" s="27"/>
      <c r="C39" s="177"/>
      <c r="D39" s="6"/>
      <c r="E39" s="494"/>
      <c r="F39" s="494"/>
      <c r="G39" s="66">
        <f t="shared" si="1"/>
        <v>0</v>
      </c>
      <c r="H39" s="44"/>
      <c r="I39" s="44"/>
      <c r="J39" s="66">
        <f t="shared" si="4"/>
        <v>0</v>
      </c>
      <c r="K39" s="66">
        <f t="shared" si="3"/>
        <v>0</v>
      </c>
      <c r="L39" s="66"/>
      <c r="M39" s="66">
        <f t="shared" si="0"/>
        <v>15058.506800000017</v>
      </c>
      <c r="N39" s="6"/>
    </row>
    <row r="40" spans="1:14">
      <c r="A40" s="26">
        <v>33</v>
      </c>
      <c r="B40" s="27"/>
      <c r="C40" s="177"/>
      <c r="D40" s="6"/>
      <c r="E40" s="265"/>
      <c r="F40" s="44"/>
      <c r="G40" s="66">
        <f t="shared" si="1"/>
        <v>0</v>
      </c>
      <c r="H40" s="44"/>
      <c r="I40" s="44"/>
      <c r="J40" s="66">
        <f t="shared" si="4"/>
        <v>0</v>
      </c>
      <c r="K40" s="66">
        <f t="shared" ref="K40" si="8">G40+J40</f>
        <v>0</v>
      </c>
      <c r="L40" s="66"/>
      <c r="M40" s="66">
        <f t="shared" si="0"/>
        <v>15058.506800000017</v>
      </c>
      <c r="N40" s="6"/>
    </row>
    <row r="41" spans="1:14">
      <c r="A41" s="42"/>
      <c r="B41" s="42"/>
      <c r="C41" s="42"/>
      <c r="D41" s="42"/>
      <c r="E41" s="42">
        <f>SUM(E4:E40)</f>
        <v>1307.3699999999999</v>
      </c>
      <c r="F41" s="42"/>
      <c r="G41" s="42">
        <f>SUM(G4:G40)</f>
        <v>130439.0001</v>
      </c>
      <c r="H41" s="42">
        <f>SUM(H4:H40)</f>
        <v>86.37</v>
      </c>
      <c r="I41" s="42"/>
      <c r="J41" s="42">
        <f>SUM(J4:J40)</f>
        <v>9671.7125999999989</v>
      </c>
      <c r="K41" s="42">
        <f>SUM(K4:K40)</f>
        <v>140110.71269999997</v>
      </c>
      <c r="L41" s="42">
        <f>SUM(L4:L40)</f>
        <v>196373.95610000001</v>
      </c>
      <c r="M41" s="42"/>
      <c r="N41" s="42"/>
    </row>
  </sheetData>
  <mergeCells count="3">
    <mergeCell ref="A1:N1"/>
    <mergeCell ref="A3:J3"/>
    <mergeCell ref="R26:S2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Q55"/>
  <sheetViews>
    <sheetView workbookViewId="0">
      <pane ySplit="2" topLeftCell="A3" activePane="bottomLeft" state="frozen"/>
      <selection pane="bottomLeft" activeCell="L9" sqref="L9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2" bestFit="1" customWidth="1"/>
    <col min="6" max="6" width="9.5703125" style="22" bestFit="1" customWidth="1"/>
    <col min="7" max="7" width="11.42578125" style="22" bestFit="1" customWidth="1"/>
    <col min="8" max="8" width="10.7109375" style="22" bestFit="1" customWidth="1"/>
    <col min="9" max="9" width="7.140625" style="22" bestFit="1" customWidth="1"/>
    <col min="10" max="10" width="8.7109375" style="22" bestFit="1" customWidth="1"/>
    <col min="11" max="11" width="13.5703125" style="22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4" ht="15.75">
      <c r="A1" s="583" t="s">
        <v>124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</row>
    <row r="2" spans="1:14" ht="30">
      <c r="A2" s="64" t="s">
        <v>0</v>
      </c>
      <c r="B2" s="83" t="s">
        <v>167</v>
      </c>
      <c r="C2" s="83" t="s">
        <v>168</v>
      </c>
      <c r="D2" s="83" t="s">
        <v>169</v>
      </c>
      <c r="E2" s="90" t="s">
        <v>170</v>
      </c>
      <c r="F2" s="90" t="s">
        <v>171</v>
      </c>
      <c r="G2" s="90" t="s">
        <v>172</v>
      </c>
      <c r="H2" s="90" t="s">
        <v>173</v>
      </c>
      <c r="I2" s="90" t="s">
        <v>171</v>
      </c>
      <c r="J2" s="90" t="s">
        <v>172</v>
      </c>
      <c r="K2" s="91" t="s">
        <v>174</v>
      </c>
      <c r="L2" s="85" t="s">
        <v>175</v>
      </c>
      <c r="M2" s="85" t="s">
        <v>192</v>
      </c>
      <c r="N2" s="125" t="s">
        <v>177</v>
      </c>
    </row>
    <row r="3" spans="1:14">
      <c r="A3" s="560" t="s">
        <v>178</v>
      </c>
      <c r="B3" s="560"/>
      <c r="C3" s="560"/>
      <c r="D3" s="560"/>
      <c r="E3" s="560"/>
      <c r="F3" s="560"/>
      <c r="G3" s="560"/>
      <c r="H3" s="560"/>
      <c r="I3" s="560"/>
      <c r="J3" s="563"/>
      <c r="K3" s="202">
        <v>0</v>
      </c>
      <c r="L3">
        <v>0</v>
      </c>
      <c r="M3" s="135">
        <v>0</v>
      </c>
      <c r="N3" s="94"/>
    </row>
    <row r="4" spans="1:14">
      <c r="A4" s="26">
        <v>1</v>
      </c>
      <c r="B4" s="27">
        <v>46174</v>
      </c>
      <c r="C4" s="17"/>
      <c r="D4" s="17"/>
      <c r="E4" s="40"/>
      <c r="F4" s="4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/>
      <c r="M4" s="136">
        <f>M3+K4-L4</f>
        <v>0</v>
      </c>
      <c r="N4" s="17"/>
    </row>
    <row r="5" spans="1:14">
      <c r="A5" s="26">
        <v>2</v>
      </c>
      <c r="B5" s="27">
        <v>46175</v>
      </c>
      <c r="C5" s="17"/>
      <c r="D5" s="17"/>
      <c r="E5" s="40">
        <v>2000</v>
      </c>
      <c r="F5" s="40">
        <v>99.51</v>
      </c>
      <c r="G5" s="40">
        <f t="shared" ref="G5:G39" si="0">E5*F5</f>
        <v>199020</v>
      </c>
      <c r="H5" s="40"/>
      <c r="I5" s="40"/>
      <c r="J5" s="40">
        <f t="shared" ref="J5:J39" si="1">H5*I5</f>
        <v>0</v>
      </c>
      <c r="K5" s="40">
        <f t="shared" ref="K5:L39" si="2">G5+J5</f>
        <v>199020</v>
      </c>
      <c r="L5" s="40"/>
      <c r="M5" s="136">
        <f>M4+K5-L5</f>
        <v>199020</v>
      </c>
      <c r="N5" s="17"/>
    </row>
    <row r="6" spans="1:14">
      <c r="A6" s="26"/>
      <c r="B6" s="27">
        <v>46176</v>
      </c>
      <c r="C6" s="17"/>
      <c r="D6" s="17"/>
      <c r="E6" s="40"/>
      <c r="F6" s="40"/>
      <c r="G6" s="40">
        <f t="shared" si="0"/>
        <v>0</v>
      </c>
      <c r="H6" s="40"/>
      <c r="I6" s="40"/>
      <c r="J6" s="40">
        <f t="shared" si="1"/>
        <v>0</v>
      </c>
      <c r="K6" s="40">
        <f t="shared" si="2"/>
        <v>0</v>
      </c>
      <c r="L6" s="40"/>
      <c r="M6" s="136">
        <f>M5+K6-L6</f>
        <v>199020</v>
      </c>
      <c r="N6" s="17"/>
    </row>
    <row r="7" spans="1:14">
      <c r="A7" s="26">
        <v>3</v>
      </c>
      <c r="B7" s="27">
        <v>46177</v>
      </c>
      <c r="C7" s="17"/>
      <c r="D7" s="17"/>
      <c r="E7" s="40">
        <v>1000</v>
      </c>
      <c r="F7" s="40">
        <v>99.51</v>
      </c>
      <c r="G7" s="40">
        <f t="shared" si="0"/>
        <v>99510</v>
      </c>
      <c r="H7" s="40"/>
      <c r="I7" s="40"/>
      <c r="J7" s="40">
        <f t="shared" si="1"/>
        <v>0</v>
      </c>
      <c r="K7" s="40">
        <f t="shared" si="2"/>
        <v>99510</v>
      </c>
      <c r="L7" s="40"/>
      <c r="M7" s="136">
        <f t="shared" ref="M5:M16" si="3">M6+K7-L7</f>
        <v>298530</v>
      </c>
      <c r="N7" s="17"/>
    </row>
    <row r="8" spans="1:14">
      <c r="A8" s="26">
        <v>4</v>
      </c>
      <c r="B8" s="27">
        <v>46178</v>
      </c>
      <c r="C8" s="17"/>
      <c r="D8" s="17"/>
      <c r="E8" s="40"/>
      <c r="F8" s="40"/>
      <c r="G8" s="40">
        <f t="shared" si="0"/>
        <v>0</v>
      </c>
      <c r="H8" s="40"/>
      <c r="I8" s="40"/>
      <c r="J8" s="40">
        <f t="shared" si="1"/>
        <v>0</v>
      </c>
      <c r="K8" s="40">
        <f t="shared" si="2"/>
        <v>0</v>
      </c>
      <c r="L8" s="40"/>
      <c r="M8" s="136">
        <f t="shared" si="3"/>
        <v>298530</v>
      </c>
      <c r="N8" s="17"/>
    </row>
    <row r="9" spans="1:14">
      <c r="A9" s="26">
        <v>5</v>
      </c>
      <c r="B9" s="27">
        <v>46179</v>
      </c>
      <c r="C9" s="17"/>
      <c r="D9" s="17"/>
      <c r="E9" s="40"/>
      <c r="F9" s="40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>
        <v>298530</v>
      </c>
      <c r="M9" s="136">
        <f t="shared" si="3"/>
        <v>0</v>
      </c>
      <c r="N9" s="17"/>
    </row>
    <row r="10" spans="1:14">
      <c r="A10" s="26">
        <v>6</v>
      </c>
      <c r="B10" s="27">
        <v>46180</v>
      </c>
      <c r="C10" s="17"/>
      <c r="D10" s="17"/>
      <c r="E10" s="40"/>
      <c r="F10" s="4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136">
        <f t="shared" si="3"/>
        <v>0</v>
      </c>
      <c r="N10" s="17"/>
    </row>
    <row r="11" spans="1:14">
      <c r="A11" s="26">
        <v>7</v>
      </c>
      <c r="B11" s="27">
        <v>46181</v>
      </c>
      <c r="C11" s="17"/>
      <c r="D11" s="17"/>
      <c r="E11" s="40"/>
      <c r="F11" s="40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/>
      <c r="M11" s="136">
        <f t="shared" si="3"/>
        <v>0</v>
      </c>
      <c r="N11" s="17"/>
    </row>
    <row r="12" spans="1:14">
      <c r="A12" s="26">
        <v>8</v>
      </c>
      <c r="B12" s="27">
        <v>46182</v>
      </c>
      <c r="C12" s="17"/>
      <c r="D12" s="17"/>
      <c r="E12" s="40"/>
      <c r="F12" s="40"/>
      <c r="G12" s="40">
        <f t="shared" si="0"/>
        <v>0</v>
      </c>
      <c r="H12" s="40"/>
      <c r="I12" s="40"/>
      <c r="J12" s="40">
        <f t="shared" si="1"/>
        <v>0</v>
      </c>
      <c r="K12" s="40">
        <f t="shared" si="2"/>
        <v>0</v>
      </c>
      <c r="L12" s="40"/>
      <c r="M12" s="136">
        <f t="shared" si="3"/>
        <v>0</v>
      </c>
      <c r="N12" s="17"/>
    </row>
    <row r="13" spans="1:14">
      <c r="A13" s="26">
        <v>9</v>
      </c>
      <c r="B13" s="27">
        <v>46183</v>
      </c>
      <c r="C13" s="17"/>
      <c r="D13" s="17"/>
      <c r="E13" s="40"/>
      <c r="F13" s="40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/>
      <c r="M13" s="136">
        <f t="shared" si="3"/>
        <v>0</v>
      </c>
      <c r="N13" s="17"/>
    </row>
    <row r="14" spans="1:14">
      <c r="A14" s="26">
        <v>10</v>
      </c>
      <c r="B14" s="27">
        <v>46184</v>
      </c>
      <c r="C14" s="17"/>
      <c r="D14" s="17"/>
      <c r="E14" s="40"/>
      <c r="F14" s="40"/>
      <c r="G14" s="40">
        <f t="shared" si="0"/>
        <v>0</v>
      </c>
      <c r="H14" s="40"/>
      <c r="I14" s="40"/>
      <c r="J14" s="40">
        <f t="shared" si="1"/>
        <v>0</v>
      </c>
      <c r="K14" s="40">
        <f t="shared" si="2"/>
        <v>0</v>
      </c>
      <c r="L14" s="40"/>
      <c r="M14" s="136">
        <f t="shared" si="3"/>
        <v>0</v>
      </c>
      <c r="N14" s="44"/>
    </row>
    <row r="15" spans="1:14">
      <c r="A15" s="26">
        <v>11</v>
      </c>
      <c r="B15" s="27">
        <v>46185</v>
      </c>
      <c r="C15" s="17"/>
      <c r="D15" s="17"/>
      <c r="E15" s="40"/>
      <c r="F15" s="40"/>
      <c r="G15" s="40">
        <f t="shared" si="0"/>
        <v>0</v>
      </c>
      <c r="H15" s="40"/>
      <c r="I15" s="40"/>
      <c r="J15" s="40">
        <f t="shared" si="1"/>
        <v>0</v>
      </c>
      <c r="K15" s="40">
        <f t="shared" si="2"/>
        <v>0</v>
      </c>
      <c r="L15" s="40"/>
      <c r="M15" s="136">
        <f t="shared" si="3"/>
        <v>0</v>
      </c>
      <c r="N15" s="44"/>
    </row>
    <row r="16" spans="1:14">
      <c r="A16" s="26">
        <v>12</v>
      </c>
      <c r="B16" s="27">
        <v>46186</v>
      </c>
      <c r="C16" s="17"/>
      <c r="D16" s="17"/>
      <c r="E16" s="40"/>
      <c r="F16" s="40"/>
      <c r="G16" s="40">
        <f t="shared" si="0"/>
        <v>0</v>
      </c>
      <c r="H16" s="40"/>
      <c r="I16" s="40"/>
      <c r="J16" s="40">
        <f t="shared" si="1"/>
        <v>0</v>
      </c>
      <c r="K16" s="40">
        <f t="shared" si="2"/>
        <v>0</v>
      </c>
      <c r="L16" s="40"/>
      <c r="M16" s="136">
        <f t="shared" si="3"/>
        <v>0</v>
      </c>
      <c r="N16" s="44"/>
    </row>
    <row r="17" spans="1:16">
      <c r="A17" s="26">
        <v>13</v>
      </c>
      <c r="B17" s="27">
        <v>46187</v>
      </c>
      <c r="C17" s="17"/>
      <c r="D17" s="17"/>
      <c r="E17" s="40"/>
      <c r="F17" s="40"/>
      <c r="G17" s="40">
        <f t="shared" si="0"/>
        <v>0</v>
      </c>
      <c r="H17" s="40"/>
      <c r="I17" s="40"/>
      <c r="J17" s="40">
        <f t="shared" si="1"/>
        <v>0</v>
      </c>
      <c r="K17" s="40">
        <f t="shared" si="2"/>
        <v>0</v>
      </c>
      <c r="L17" s="40"/>
      <c r="M17" s="136">
        <f t="shared" ref="M5:M54" si="4">M16+K17-L17</f>
        <v>0</v>
      </c>
      <c r="N17" s="44"/>
    </row>
    <row r="18" spans="1:16">
      <c r="A18" s="26">
        <v>14</v>
      </c>
      <c r="B18" s="27">
        <v>46188</v>
      </c>
      <c r="C18" s="17"/>
      <c r="D18" s="17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/>
      <c r="M18" s="136">
        <f t="shared" si="4"/>
        <v>0</v>
      </c>
      <c r="N18" s="44"/>
    </row>
    <row r="19" spans="1:16">
      <c r="A19" s="26">
        <v>15</v>
      </c>
      <c r="B19" s="27">
        <v>46189</v>
      </c>
      <c r="C19" s="17"/>
      <c r="D19" s="17"/>
      <c r="E19" s="40"/>
      <c r="F19" s="40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/>
      <c r="M19" s="136">
        <f t="shared" si="4"/>
        <v>0</v>
      </c>
      <c r="N19" s="44" t="s">
        <v>183</v>
      </c>
    </row>
    <row r="20" spans="1:16">
      <c r="A20" s="26">
        <v>16</v>
      </c>
      <c r="B20" s="27">
        <v>46190</v>
      </c>
      <c r="C20" s="17"/>
      <c r="D20" s="17"/>
      <c r="E20" s="40"/>
      <c r="F20" s="40"/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/>
      <c r="M20" s="136">
        <f t="shared" si="4"/>
        <v>0</v>
      </c>
      <c r="N20" s="44"/>
      <c r="P20" s="22"/>
    </row>
    <row r="21" spans="1:16">
      <c r="A21" s="26">
        <v>17</v>
      </c>
      <c r="B21" s="27">
        <v>46191</v>
      </c>
      <c r="C21" s="17"/>
      <c r="D21" s="17"/>
      <c r="E21" s="40"/>
      <c r="F21" s="40"/>
      <c r="G21" s="40">
        <f t="shared" si="0"/>
        <v>0</v>
      </c>
      <c r="H21" s="40"/>
      <c r="I21" s="40"/>
      <c r="J21" s="40">
        <f t="shared" si="1"/>
        <v>0</v>
      </c>
      <c r="K21" s="40">
        <f t="shared" si="2"/>
        <v>0</v>
      </c>
      <c r="L21" s="40"/>
      <c r="M21" s="136">
        <f t="shared" si="4"/>
        <v>0</v>
      </c>
      <c r="N21" s="44"/>
      <c r="P21" s="22"/>
    </row>
    <row r="22" spans="1:16">
      <c r="A22" s="26">
        <v>18</v>
      </c>
      <c r="B22" s="27">
        <v>46192</v>
      </c>
      <c r="C22" s="17"/>
      <c r="D22" s="17"/>
      <c r="E22" s="40"/>
      <c r="F22" s="4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/>
      <c r="M22" s="136">
        <f t="shared" si="4"/>
        <v>0</v>
      </c>
      <c r="N22" s="44"/>
      <c r="P22" s="22"/>
    </row>
    <row r="23" spans="1:16">
      <c r="A23" s="26">
        <v>19</v>
      </c>
      <c r="B23" s="27">
        <v>46193</v>
      </c>
      <c r="C23" s="17"/>
      <c r="D23" s="17"/>
      <c r="E23" s="40"/>
      <c r="F23" s="4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/>
      <c r="M23" s="136">
        <f t="shared" si="4"/>
        <v>0</v>
      </c>
      <c r="N23" s="44"/>
      <c r="P23" s="22"/>
    </row>
    <row r="24" spans="1:16">
      <c r="A24" s="26">
        <v>20</v>
      </c>
      <c r="B24" s="27">
        <v>46194</v>
      </c>
      <c r="C24" s="17"/>
      <c r="D24" s="17"/>
      <c r="E24" s="40"/>
      <c r="F24" s="4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/>
      <c r="M24" s="136">
        <f t="shared" si="4"/>
        <v>0</v>
      </c>
      <c r="N24" s="44"/>
      <c r="P24" s="22"/>
    </row>
    <row r="25" spans="1:16">
      <c r="A25" s="26">
        <v>21</v>
      </c>
      <c r="B25" s="27">
        <v>46195</v>
      </c>
      <c r="C25" s="17"/>
      <c r="D25" s="17"/>
      <c r="E25" s="40"/>
      <c r="F25" s="4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/>
      <c r="M25" s="136">
        <f t="shared" si="4"/>
        <v>0</v>
      </c>
      <c r="N25" s="44"/>
      <c r="P25" s="22"/>
    </row>
    <row r="26" spans="1:16">
      <c r="A26" s="26">
        <v>22</v>
      </c>
      <c r="B26" s="27">
        <v>46196</v>
      </c>
      <c r="C26" s="17"/>
      <c r="D26" s="17"/>
      <c r="E26" s="40"/>
      <c r="F26" s="40"/>
      <c r="G26" s="40">
        <f t="shared" si="0"/>
        <v>0</v>
      </c>
      <c r="H26" s="40"/>
      <c r="I26" s="40"/>
      <c r="J26" s="40">
        <f t="shared" si="1"/>
        <v>0</v>
      </c>
      <c r="K26" s="40">
        <f t="shared" si="2"/>
        <v>0</v>
      </c>
      <c r="L26" s="40"/>
      <c r="M26" s="136">
        <f t="shared" si="4"/>
        <v>0</v>
      </c>
      <c r="N26" s="44"/>
      <c r="P26" s="22"/>
    </row>
    <row r="27" spans="1:16">
      <c r="A27" s="26">
        <v>23</v>
      </c>
      <c r="B27" s="27">
        <v>46197</v>
      </c>
      <c r="C27" s="17"/>
      <c r="D27" s="17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136">
        <f t="shared" si="4"/>
        <v>0</v>
      </c>
      <c r="N27" s="44"/>
      <c r="P27" s="22"/>
    </row>
    <row r="28" spans="1:16">
      <c r="A28" s="26">
        <v>24</v>
      </c>
      <c r="B28" s="27">
        <v>46198</v>
      </c>
      <c r="C28" s="17"/>
      <c r="D28" s="17"/>
      <c r="E28" s="40"/>
      <c r="F28" s="40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136">
        <f t="shared" si="4"/>
        <v>0</v>
      </c>
      <c r="N28" s="44"/>
      <c r="P28" s="22"/>
    </row>
    <row r="29" spans="1:16">
      <c r="A29" s="26">
        <v>25</v>
      </c>
      <c r="B29" s="27">
        <v>46199</v>
      </c>
      <c r="C29" s="17"/>
      <c r="D29" s="17"/>
      <c r="E29" s="40"/>
      <c r="F29" s="4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/>
      <c r="M29" s="136">
        <f t="shared" si="4"/>
        <v>0</v>
      </c>
      <c r="N29" s="44"/>
    </row>
    <row r="30" spans="1:16">
      <c r="A30" s="26">
        <v>26</v>
      </c>
      <c r="B30" s="27">
        <v>46200</v>
      </c>
      <c r="C30" s="17"/>
      <c r="D30" s="17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/>
      <c r="M30" s="136">
        <f t="shared" si="4"/>
        <v>0</v>
      </c>
      <c r="N30" s="44"/>
    </row>
    <row r="31" spans="1:16">
      <c r="A31" s="26">
        <v>27</v>
      </c>
      <c r="B31" s="27">
        <v>46201</v>
      </c>
      <c r="C31" s="17"/>
      <c r="D31" s="17"/>
      <c r="E31" s="40"/>
      <c r="F31" s="40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/>
      <c r="M31" s="136">
        <f t="shared" si="4"/>
        <v>0</v>
      </c>
      <c r="N31" s="44"/>
    </row>
    <row r="32" spans="1:16">
      <c r="A32" s="26">
        <v>28</v>
      </c>
      <c r="B32" s="27">
        <v>46202</v>
      </c>
      <c r="C32" s="17"/>
      <c r="D32" s="17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/>
      <c r="M32" s="136">
        <f t="shared" si="4"/>
        <v>0</v>
      </c>
      <c r="N32" s="44"/>
    </row>
    <row r="33" spans="1:17">
      <c r="A33" s="26">
        <v>29</v>
      </c>
      <c r="B33" s="27">
        <v>46203</v>
      </c>
      <c r="C33" s="17"/>
      <c r="D33" s="17"/>
      <c r="E33" s="40"/>
      <c r="F33" s="40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/>
      <c r="M33" s="136">
        <f t="shared" si="4"/>
        <v>0</v>
      </c>
      <c r="N33" s="44"/>
    </row>
    <row r="34" spans="1:17">
      <c r="A34" s="26">
        <v>30</v>
      </c>
      <c r="B34" s="27"/>
      <c r="C34" s="17"/>
      <c r="D34" s="17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/>
      <c r="M34" s="136">
        <f t="shared" si="4"/>
        <v>0</v>
      </c>
      <c r="N34" s="44"/>
    </row>
    <row r="35" spans="1:17">
      <c r="A35" s="26">
        <v>31</v>
      </c>
      <c r="B35" s="27"/>
      <c r="C35" s="17"/>
      <c r="D35" s="17"/>
      <c r="E35" s="40"/>
      <c r="F35" s="40"/>
      <c r="G35" s="40">
        <f t="shared" si="0"/>
        <v>0</v>
      </c>
      <c r="H35" s="40"/>
      <c r="I35" s="40"/>
      <c r="J35" s="40">
        <f t="shared" si="1"/>
        <v>0</v>
      </c>
      <c r="K35" s="40">
        <f t="shared" si="2"/>
        <v>0</v>
      </c>
      <c r="L35" s="40"/>
      <c r="M35" s="136">
        <f t="shared" si="4"/>
        <v>0</v>
      </c>
      <c r="N35" s="44"/>
    </row>
    <row r="36" spans="1:17">
      <c r="A36" s="26">
        <v>32</v>
      </c>
      <c r="B36" s="27"/>
      <c r="C36" s="17"/>
      <c r="D36" s="17"/>
      <c r="E36" s="40"/>
      <c r="F36" s="40"/>
      <c r="G36" s="40">
        <f t="shared" si="0"/>
        <v>0</v>
      </c>
      <c r="H36" s="40"/>
      <c r="I36" s="40"/>
      <c r="J36" s="40">
        <f t="shared" si="1"/>
        <v>0</v>
      </c>
      <c r="K36" s="40">
        <f t="shared" si="2"/>
        <v>0</v>
      </c>
      <c r="L36" s="40"/>
      <c r="M36" s="136">
        <f t="shared" si="4"/>
        <v>0</v>
      </c>
      <c r="N36" s="44"/>
    </row>
    <row r="37" spans="1:17">
      <c r="A37" s="26">
        <v>33</v>
      </c>
      <c r="B37" s="27"/>
      <c r="C37" s="17"/>
      <c r="D37" s="17"/>
      <c r="E37" s="40"/>
      <c r="F37" s="40"/>
      <c r="G37" s="40">
        <f t="shared" si="0"/>
        <v>0</v>
      </c>
      <c r="H37" s="40"/>
      <c r="I37" s="40"/>
      <c r="J37" s="40">
        <f t="shared" si="1"/>
        <v>0</v>
      </c>
      <c r="K37" s="40">
        <f t="shared" si="2"/>
        <v>0</v>
      </c>
      <c r="L37" s="40"/>
      <c r="M37" s="136">
        <f t="shared" si="4"/>
        <v>0</v>
      </c>
      <c r="N37" s="44"/>
    </row>
    <row r="38" spans="1:17">
      <c r="A38" s="26">
        <v>34</v>
      </c>
      <c r="B38" s="27"/>
      <c r="C38" s="17"/>
      <c r="D38" s="17"/>
      <c r="E38" s="40"/>
      <c r="F38" s="40"/>
      <c r="G38" s="40">
        <f t="shared" si="0"/>
        <v>0</v>
      </c>
      <c r="H38" s="40"/>
      <c r="I38" s="40"/>
      <c r="J38" s="40">
        <f t="shared" si="1"/>
        <v>0</v>
      </c>
      <c r="K38" s="40">
        <f t="shared" si="2"/>
        <v>0</v>
      </c>
      <c r="L38" s="40"/>
      <c r="M38" s="136">
        <f t="shared" si="4"/>
        <v>0</v>
      </c>
      <c r="N38" s="44"/>
      <c r="P38">
        <v>41</v>
      </c>
    </row>
    <row r="39" spans="1:17">
      <c r="A39" s="26">
        <v>35</v>
      </c>
      <c r="B39" s="27"/>
      <c r="C39" s="17"/>
      <c r="D39" s="17"/>
      <c r="E39" s="40"/>
      <c r="F39" s="40"/>
      <c r="G39" s="40">
        <f t="shared" si="0"/>
        <v>0</v>
      </c>
      <c r="H39" s="40"/>
      <c r="I39" s="40"/>
      <c r="J39" s="40">
        <f t="shared" si="1"/>
        <v>0</v>
      </c>
      <c r="K39" s="40">
        <f t="shared" si="2"/>
        <v>0</v>
      </c>
      <c r="L39" s="40"/>
      <c r="M39" s="136">
        <f t="shared" si="4"/>
        <v>0</v>
      </c>
      <c r="N39" s="44"/>
      <c r="P39">
        <v>40</v>
      </c>
      <c r="Q39">
        <v>5</v>
      </c>
    </row>
    <row r="40" spans="1:17">
      <c r="A40" s="26">
        <v>36</v>
      </c>
      <c r="B40" s="27"/>
      <c r="C40" s="17"/>
      <c r="D40" s="17"/>
      <c r="E40" s="40"/>
      <c r="F40" s="40"/>
      <c r="G40" s="40">
        <f t="shared" ref="G5:G53" si="5">E40*F40</f>
        <v>0</v>
      </c>
      <c r="H40" s="40"/>
      <c r="I40" s="40"/>
      <c r="J40" s="40">
        <f t="shared" ref="J5:J53" si="6">H40*I40</f>
        <v>0</v>
      </c>
      <c r="K40" s="40">
        <f t="shared" ref="K5:K53" si="7">G40+J40</f>
        <v>0</v>
      </c>
      <c r="L40" s="40"/>
      <c r="M40" s="136">
        <f t="shared" si="4"/>
        <v>0</v>
      </c>
      <c r="N40" s="44"/>
    </row>
    <row r="41" spans="1:17">
      <c r="A41" s="26">
        <v>37</v>
      </c>
      <c r="B41" s="27"/>
      <c r="C41" s="17"/>
      <c r="D41" s="17"/>
      <c r="E41" s="40"/>
      <c r="F41" s="40"/>
      <c r="G41" s="40">
        <f t="shared" si="5"/>
        <v>0</v>
      </c>
      <c r="H41" s="40"/>
      <c r="I41" s="40"/>
      <c r="J41" s="40">
        <f t="shared" si="6"/>
        <v>0</v>
      </c>
      <c r="K41" s="40">
        <f t="shared" si="7"/>
        <v>0</v>
      </c>
      <c r="L41" s="40"/>
      <c r="M41" s="136">
        <f t="shared" si="4"/>
        <v>0</v>
      </c>
      <c r="N41" s="44"/>
    </row>
    <row r="42" spans="1:17">
      <c r="A42" s="26">
        <v>38</v>
      </c>
      <c r="B42" s="27"/>
      <c r="C42" s="17"/>
      <c r="D42" s="17"/>
      <c r="E42" s="40"/>
      <c r="F42" s="40"/>
      <c r="G42" s="40">
        <f t="shared" si="5"/>
        <v>0</v>
      </c>
      <c r="H42" s="40"/>
      <c r="I42" s="40"/>
      <c r="J42" s="40">
        <f t="shared" si="6"/>
        <v>0</v>
      </c>
      <c r="K42" s="40">
        <f t="shared" si="7"/>
        <v>0</v>
      </c>
      <c r="L42" s="40"/>
      <c r="M42" s="136">
        <f t="shared" si="4"/>
        <v>0</v>
      </c>
      <c r="N42" s="44"/>
    </row>
    <row r="43" spans="1:17">
      <c r="A43" s="26">
        <v>39</v>
      </c>
      <c r="B43" s="27"/>
      <c r="C43" s="17"/>
      <c r="D43" s="17"/>
      <c r="E43" s="40"/>
      <c r="F43" s="40"/>
      <c r="G43" s="40">
        <f t="shared" si="5"/>
        <v>0</v>
      </c>
      <c r="H43" s="40"/>
      <c r="I43" s="40"/>
      <c r="J43" s="40">
        <f t="shared" si="6"/>
        <v>0</v>
      </c>
      <c r="K43" s="40">
        <f t="shared" si="7"/>
        <v>0</v>
      </c>
      <c r="L43" s="40"/>
      <c r="M43" s="136">
        <f t="shared" si="4"/>
        <v>0</v>
      </c>
      <c r="N43" s="44"/>
    </row>
    <row r="44" spans="1:17">
      <c r="A44" s="26">
        <v>40</v>
      </c>
      <c r="B44" s="27"/>
      <c r="C44" s="17"/>
      <c r="D44" s="17"/>
      <c r="E44" s="40"/>
      <c r="F44" s="40"/>
      <c r="G44" s="40">
        <f t="shared" si="5"/>
        <v>0</v>
      </c>
      <c r="H44" s="40"/>
      <c r="I44" s="40"/>
      <c r="J44" s="40">
        <f t="shared" si="6"/>
        <v>0</v>
      </c>
      <c r="K44" s="40">
        <f t="shared" si="7"/>
        <v>0</v>
      </c>
      <c r="L44" s="40"/>
      <c r="M44" s="136">
        <f t="shared" si="4"/>
        <v>0</v>
      </c>
      <c r="N44" s="44"/>
    </row>
    <row r="45" spans="1:17">
      <c r="A45" s="26">
        <v>41</v>
      </c>
      <c r="B45" s="27"/>
      <c r="C45" s="17"/>
      <c r="D45" s="17"/>
      <c r="E45" s="40"/>
      <c r="F45" s="40"/>
      <c r="G45" s="40">
        <f t="shared" si="5"/>
        <v>0</v>
      </c>
      <c r="H45" s="40"/>
      <c r="I45" s="40"/>
      <c r="J45" s="40">
        <f t="shared" si="6"/>
        <v>0</v>
      </c>
      <c r="K45" s="40">
        <f t="shared" si="7"/>
        <v>0</v>
      </c>
      <c r="L45" s="40"/>
      <c r="M45" s="136">
        <f t="shared" si="4"/>
        <v>0</v>
      </c>
      <c r="N45" s="44"/>
    </row>
    <row r="46" spans="1:17">
      <c r="A46" s="26">
        <v>42</v>
      </c>
      <c r="B46" s="27"/>
      <c r="C46" s="17"/>
      <c r="D46" s="17"/>
      <c r="E46" s="40"/>
      <c r="F46" s="40"/>
      <c r="G46" s="40">
        <f t="shared" si="5"/>
        <v>0</v>
      </c>
      <c r="H46" s="40"/>
      <c r="I46" s="40"/>
      <c r="J46" s="40">
        <f t="shared" si="6"/>
        <v>0</v>
      </c>
      <c r="K46" s="40">
        <f t="shared" si="7"/>
        <v>0</v>
      </c>
      <c r="L46" s="40"/>
      <c r="M46" s="136">
        <f t="shared" si="4"/>
        <v>0</v>
      </c>
      <c r="N46" s="44"/>
    </row>
    <row r="47" spans="1:17">
      <c r="A47" s="26">
        <v>43</v>
      </c>
      <c r="B47" s="27"/>
      <c r="C47" s="17"/>
      <c r="D47" s="17"/>
      <c r="E47" s="40"/>
      <c r="F47" s="40"/>
      <c r="G47" s="40">
        <f t="shared" si="5"/>
        <v>0</v>
      </c>
      <c r="H47" s="40"/>
      <c r="I47" s="40"/>
      <c r="J47" s="40">
        <f t="shared" si="6"/>
        <v>0</v>
      </c>
      <c r="K47" s="40">
        <f t="shared" si="7"/>
        <v>0</v>
      </c>
      <c r="L47" s="40"/>
      <c r="M47" s="136">
        <f t="shared" si="4"/>
        <v>0</v>
      </c>
      <c r="N47" s="44"/>
    </row>
    <row r="48" spans="1:17">
      <c r="A48" s="26">
        <v>44</v>
      </c>
      <c r="B48" s="27"/>
      <c r="C48" s="17"/>
      <c r="D48" s="17"/>
      <c r="E48" s="40"/>
      <c r="F48" s="40"/>
      <c r="G48" s="40">
        <f t="shared" si="5"/>
        <v>0</v>
      </c>
      <c r="H48" s="40"/>
      <c r="I48" s="40"/>
      <c r="J48" s="40">
        <f t="shared" si="6"/>
        <v>0</v>
      </c>
      <c r="K48" s="40">
        <f t="shared" si="7"/>
        <v>0</v>
      </c>
      <c r="L48" s="40"/>
      <c r="M48" s="136">
        <f t="shared" si="4"/>
        <v>0</v>
      </c>
      <c r="N48" s="44"/>
    </row>
    <row r="49" spans="1:16">
      <c r="A49" s="26">
        <v>45</v>
      </c>
      <c r="B49" s="27"/>
      <c r="C49" s="17"/>
      <c r="D49" s="17"/>
      <c r="E49" s="40"/>
      <c r="F49" s="40"/>
      <c r="G49" s="40">
        <f t="shared" si="5"/>
        <v>0</v>
      </c>
      <c r="H49" s="40"/>
      <c r="I49" s="40"/>
      <c r="J49" s="40">
        <f t="shared" si="6"/>
        <v>0</v>
      </c>
      <c r="K49" s="40">
        <f t="shared" si="7"/>
        <v>0</v>
      </c>
      <c r="L49" s="40"/>
      <c r="M49" s="136">
        <f t="shared" si="4"/>
        <v>0</v>
      </c>
      <c r="N49" s="44"/>
    </row>
    <row r="50" spans="1:16">
      <c r="A50" s="26">
        <v>46</v>
      </c>
      <c r="B50" s="27"/>
      <c r="C50" s="17"/>
      <c r="D50" s="17"/>
      <c r="E50" s="40"/>
      <c r="F50" s="40"/>
      <c r="G50" s="40">
        <f t="shared" si="5"/>
        <v>0</v>
      </c>
      <c r="H50" s="40"/>
      <c r="I50" s="40"/>
      <c r="J50" s="40">
        <f t="shared" si="6"/>
        <v>0</v>
      </c>
      <c r="K50" s="40">
        <f t="shared" si="7"/>
        <v>0</v>
      </c>
      <c r="L50" s="40"/>
      <c r="M50" s="136">
        <f t="shared" si="4"/>
        <v>0</v>
      </c>
      <c r="N50" s="44"/>
    </row>
    <row r="51" spans="1:16">
      <c r="A51" s="26">
        <v>47</v>
      </c>
      <c r="B51" s="27"/>
      <c r="C51" s="17"/>
      <c r="D51" s="17"/>
      <c r="E51" s="40"/>
      <c r="F51" s="40"/>
      <c r="G51" s="40">
        <f t="shared" si="5"/>
        <v>0</v>
      </c>
      <c r="H51" s="40"/>
      <c r="I51" s="40"/>
      <c r="J51" s="40">
        <f t="shared" si="6"/>
        <v>0</v>
      </c>
      <c r="K51" s="40">
        <f t="shared" si="7"/>
        <v>0</v>
      </c>
      <c r="L51" s="40">
        <v>0</v>
      </c>
      <c r="M51" s="136">
        <f t="shared" si="4"/>
        <v>0</v>
      </c>
      <c r="N51" s="44"/>
    </row>
    <row r="52" spans="1:16">
      <c r="A52" s="26">
        <v>48</v>
      </c>
      <c r="B52" s="27"/>
      <c r="C52" s="94"/>
      <c r="D52" s="94"/>
      <c r="E52" s="40"/>
      <c r="F52" s="40"/>
      <c r="G52" s="40">
        <f t="shared" si="5"/>
        <v>0</v>
      </c>
      <c r="H52" s="40"/>
      <c r="I52" s="40"/>
      <c r="J52" s="40">
        <f t="shared" si="6"/>
        <v>0</v>
      </c>
      <c r="K52" s="40">
        <f t="shared" si="7"/>
        <v>0</v>
      </c>
      <c r="L52" s="40">
        <v>0</v>
      </c>
      <c r="M52" s="136">
        <f t="shared" si="4"/>
        <v>0</v>
      </c>
      <c r="N52" s="224"/>
    </row>
    <row r="53" spans="1:16">
      <c r="A53" s="26">
        <v>49</v>
      </c>
      <c r="B53" s="27"/>
      <c r="C53" s="17"/>
      <c r="D53" s="17"/>
      <c r="E53" s="40"/>
      <c r="F53" s="40"/>
      <c r="G53" s="40">
        <f t="shared" si="5"/>
        <v>0</v>
      </c>
      <c r="H53" s="40"/>
      <c r="I53" s="40"/>
      <c r="J53" s="40">
        <f t="shared" si="6"/>
        <v>0</v>
      </c>
      <c r="K53" s="40">
        <f t="shared" si="7"/>
        <v>0</v>
      </c>
      <c r="L53" s="40">
        <v>0</v>
      </c>
      <c r="M53" s="136">
        <f t="shared" si="4"/>
        <v>0</v>
      </c>
      <c r="N53" s="44"/>
    </row>
    <row r="54" spans="1:16">
      <c r="A54" s="26">
        <v>50</v>
      </c>
      <c r="B54" s="27"/>
      <c r="C54" s="17"/>
      <c r="D54" s="17"/>
      <c r="E54" s="40"/>
      <c r="F54" s="40"/>
      <c r="G54" s="40">
        <f t="shared" ref="G54" si="8">E54*F54</f>
        <v>0</v>
      </c>
      <c r="H54" s="40"/>
      <c r="I54" s="40"/>
      <c r="J54" s="40">
        <f t="shared" ref="J54" si="9">H54*I54</f>
        <v>0</v>
      </c>
      <c r="K54" s="40">
        <f t="shared" ref="K54" si="10">G54+J54</f>
        <v>0</v>
      </c>
      <c r="L54" s="40">
        <v>0</v>
      </c>
      <c r="M54" s="136">
        <f t="shared" si="4"/>
        <v>0</v>
      </c>
      <c r="N54" s="44"/>
      <c r="O54">
        <v>1109792.2825999993</v>
      </c>
      <c r="P54" s="174">
        <f>M54-O54</f>
        <v>-1109792.2825999993</v>
      </c>
    </row>
    <row r="55" spans="1:16">
      <c r="A55" s="181"/>
      <c r="B55" s="181"/>
      <c r="C55" s="181"/>
      <c r="D55" s="181"/>
      <c r="E55" s="181">
        <f>SUM(E4:E54)</f>
        <v>3000</v>
      </c>
      <c r="F55" s="181"/>
      <c r="G55" s="181">
        <f>SUM(G4:G54)</f>
        <v>298530</v>
      </c>
      <c r="H55" s="181">
        <f>SUM(H4:H54)</f>
        <v>0</v>
      </c>
      <c r="I55" s="181"/>
      <c r="J55" s="181">
        <f>SUM(J4:J54)</f>
        <v>0</v>
      </c>
      <c r="K55" s="181">
        <f>SUM(K4:K54)</f>
        <v>298530</v>
      </c>
      <c r="L55" s="181">
        <f>SUM(L4:L54)</f>
        <v>298530</v>
      </c>
      <c r="M55" s="181"/>
      <c r="N5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753-EB45-413F-AA43-E56ACFC36C88}">
  <dimension ref="A1:Q56"/>
  <sheetViews>
    <sheetView topLeftCell="A22" workbookViewId="0">
      <selection activeCell="L28" sqref="L28"/>
    </sheetView>
  </sheetViews>
  <sheetFormatPr defaultRowHeight="15"/>
  <cols>
    <col min="2" max="2" width="10.42578125" bestFit="1" customWidth="1"/>
    <col min="4" max="4" width="11.5703125" customWidth="1"/>
    <col min="5" max="5" width="10.42578125" bestFit="1" customWidth="1"/>
    <col min="7" max="7" width="14.7109375" customWidth="1"/>
    <col min="11" max="11" width="13.5703125" bestFit="1" customWidth="1"/>
    <col min="12" max="12" width="11.42578125" bestFit="1" customWidth="1"/>
    <col min="13" max="13" width="13.5703125" bestFit="1" customWidth="1"/>
    <col min="14" max="14" width="27.5703125" customWidth="1"/>
  </cols>
  <sheetData>
    <row r="1" spans="1:16" ht="15.75">
      <c r="A1" s="583" t="s">
        <v>344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</row>
    <row r="2" spans="1:16" ht="30.75">
      <c r="A2" s="64" t="s">
        <v>0</v>
      </c>
      <c r="B2" s="83" t="s">
        <v>167</v>
      </c>
      <c r="C2" s="83" t="s">
        <v>168</v>
      </c>
      <c r="D2" s="83" t="s">
        <v>169</v>
      </c>
      <c r="E2" s="90" t="s">
        <v>170</v>
      </c>
      <c r="F2" s="90" t="s">
        <v>171</v>
      </c>
      <c r="G2" s="90" t="s">
        <v>172</v>
      </c>
      <c r="H2" s="90" t="s">
        <v>173</v>
      </c>
      <c r="I2" s="90" t="s">
        <v>171</v>
      </c>
      <c r="J2" s="90" t="s">
        <v>172</v>
      </c>
      <c r="K2" s="91" t="s">
        <v>174</v>
      </c>
      <c r="L2" s="85" t="s">
        <v>175</v>
      </c>
      <c r="M2" s="85" t="s">
        <v>192</v>
      </c>
      <c r="N2" s="125" t="s">
        <v>177</v>
      </c>
    </row>
    <row r="3" spans="1:16">
      <c r="A3" s="560" t="s">
        <v>178</v>
      </c>
      <c r="B3" s="560"/>
      <c r="C3" s="560"/>
      <c r="D3" s="560"/>
      <c r="E3" s="560"/>
      <c r="F3" s="560"/>
      <c r="G3" s="560"/>
      <c r="H3" s="560"/>
      <c r="I3" s="560"/>
      <c r="J3" s="563"/>
      <c r="K3" s="202">
        <v>2169469.7344000009</v>
      </c>
      <c r="M3" s="135">
        <v>2169469.7344000009</v>
      </c>
      <c r="N3" s="94"/>
      <c r="P3">
        <v>5472110</v>
      </c>
    </row>
    <row r="4" spans="1:16">
      <c r="A4" s="26">
        <v>1</v>
      </c>
      <c r="B4" s="27">
        <v>46174</v>
      </c>
      <c r="C4" s="17"/>
      <c r="D4" s="17"/>
      <c r="E4" s="40">
        <v>0</v>
      </c>
      <c r="F4" s="40">
        <v>102.51</v>
      </c>
      <c r="G4" s="40">
        <f>E4*F4</f>
        <v>0</v>
      </c>
      <c r="H4" s="40">
        <v>0</v>
      </c>
      <c r="I4" s="40">
        <v>118.18</v>
      </c>
      <c r="J4" s="40">
        <f>H4*I4</f>
        <v>0</v>
      </c>
      <c r="K4" s="40">
        <f>G4+J4</f>
        <v>0</v>
      </c>
      <c r="L4" s="40"/>
      <c r="M4" s="136">
        <f>M3+K4-L4</f>
        <v>2169469.7344000009</v>
      </c>
      <c r="N4" s="17"/>
    </row>
    <row r="5" spans="1:16">
      <c r="A5" s="26">
        <v>2</v>
      </c>
      <c r="B5" s="27">
        <v>46175</v>
      </c>
      <c r="C5" s="17"/>
      <c r="D5" s="17"/>
      <c r="E5" s="40">
        <v>1000</v>
      </c>
      <c r="F5" s="40">
        <v>102.51</v>
      </c>
      <c r="G5" s="40">
        <f>E5*F5</f>
        <v>102510</v>
      </c>
      <c r="H5" s="40">
        <v>30</v>
      </c>
      <c r="I5" s="40">
        <v>118.18</v>
      </c>
      <c r="J5" s="40">
        <f t="shared" ref="J5:J36" si="0">H5*I5</f>
        <v>3545.4</v>
      </c>
      <c r="K5" s="40">
        <f t="shared" ref="K5:K36" si="1">G5+J5</f>
        <v>106055.4</v>
      </c>
      <c r="L5" s="40"/>
      <c r="M5" s="136">
        <f t="shared" ref="M5:M55" si="2">M4+K5-L5</f>
        <v>2275525.1344000008</v>
      </c>
      <c r="N5" s="17"/>
    </row>
    <row r="6" spans="1:16">
      <c r="A6" s="26">
        <v>3</v>
      </c>
      <c r="B6" s="27">
        <v>46176</v>
      </c>
      <c r="C6" s="17"/>
      <c r="D6" s="17"/>
      <c r="E6" s="40"/>
      <c r="F6" s="40"/>
      <c r="G6" s="40">
        <f t="shared" ref="G5:G36" si="3">E6*F6</f>
        <v>0</v>
      </c>
      <c r="H6" s="40"/>
      <c r="I6" s="40"/>
      <c r="J6" s="40">
        <f t="shared" si="0"/>
        <v>0</v>
      </c>
      <c r="K6" s="40">
        <f t="shared" si="1"/>
        <v>0</v>
      </c>
      <c r="L6" s="40"/>
      <c r="M6" s="136">
        <f t="shared" si="2"/>
        <v>2275525.1344000008</v>
      </c>
      <c r="N6" s="17"/>
    </row>
    <row r="7" spans="1:16">
      <c r="A7" s="26">
        <v>4</v>
      </c>
      <c r="B7" s="27">
        <v>46177</v>
      </c>
      <c r="C7" s="17"/>
      <c r="D7" s="17"/>
      <c r="E7" s="40"/>
      <c r="F7" s="40"/>
      <c r="G7" s="40">
        <f t="shared" si="3"/>
        <v>0</v>
      </c>
      <c r="H7" s="40"/>
      <c r="I7" s="40"/>
      <c r="J7" s="40">
        <f t="shared" si="0"/>
        <v>0</v>
      </c>
      <c r="K7" s="40">
        <f t="shared" si="1"/>
        <v>0</v>
      </c>
      <c r="L7" s="40"/>
      <c r="M7" s="136">
        <f t="shared" si="2"/>
        <v>2275525.1344000008</v>
      </c>
      <c r="N7" s="17" t="s">
        <v>183</v>
      </c>
    </row>
    <row r="8" spans="1:16">
      <c r="A8" s="26">
        <v>5</v>
      </c>
      <c r="B8" s="27">
        <v>46178</v>
      </c>
      <c r="C8" s="17"/>
      <c r="D8" s="17"/>
      <c r="E8" s="40"/>
      <c r="F8" s="40"/>
      <c r="G8" s="40">
        <f t="shared" si="3"/>
        <v>0</v>
      </c>
      <c r="H8" s="40"/>
      <c r="I8" s="40"/>
      <c r="J8" s="40">
        <f t="shared" si="0"/>
        <v>0</v>
      </c>
      <c r="K8" s="40">
        <f t="shared" si="1"/>
        <v>0</v>
      </c>
      <c r="L8" s="40"/>
      <c r="M8" s="136">
        <f t="shared" si="2"/>
        <v>2275525.1344000008</v>
      </c>
      <c r="N8" s="17"/>
    </row>
    <row r="9" spans="1:16">
      <c r="A9" s="26">
        <v>6</v>
      </c>
      <c r="B9" s="27">
        <v>46179</v>
      </c>
      <c r="C9" s="17"/>
      <c r="D9" s="17"/>
      <c r="E9" s="40"/>
      <c r="F9" s="40"/>
      <c r="G9" s="40">
        <f t="shared" si="3"/>
        <v>0</v>
      </c>
      <c r="H9" s="40"/>
      <c r="I9" s="40"/>
      <c r="J9" s="40">
        <f t="shared" si="0"/>
        <v>0</v>
      </c>
      <c r="K9" s="40">
        <f t="shared" si="1"/>
        <v>0</v>
      </c>
      <c r="L9" s="40"/>
      <c r="M9" s="136">
        <f t="shared" si="2"/>
        <v>2275525.1344000008</v>
      </c>
      <c r="N9" s="17"/>
    </row>
    <row r="10" spans="1:16">
      <c r="A10" s="26">
        <v>7</v>
      </c>
      <c r="B10" s="27">
        <v>46180</v>
      </c>
      <c r="C10" s="17"/>
      <c r="D10" s="17"/>
      <c r="E10" s="40"/>
      <c r="F10" s="40"/>
      <c r="G10" s="40">
        <f t="shared" si="3"/>
        <v>0</v>
      </c>
      <c r="H10" s="40"/>
      <c r="I10" s="40"/>
      <c r="J10" s="40">
        <f t="shared" si="0"/>
        <v>0</v>
      </c>
      <c r="K10" s="40">
        <f t="shared" si="1"/>
        <v>0</v>
      </c>
      <c r="L10" s="40"/>
      <c r="M10" s="136">
        <f t="shared" si="2"/>
        <v>2275525.1344000008</v>
      </c>
      <c r="N10" s="17"/>
    </row>
    <row r="11" spans="1:16">
      <c r="A11" s="26">
        <v>8</v>
      </c>
      <c r="B11" s="27">
        <v>46181</v>
      </c>
      <c r="C11" s="17"/>
      <c r="D11" s="17"/>
      <c r="E11" s="40"/>
      <c r="F11" s="40"/>
      <c r="G11" s="40">
        <f t="shared" si="3"/>
        <v>0</v>
      </c>
      <c r="H11" s="40"/>
      <c r="I11" s="40"/>
      <c r="J11" s="40">
        <f t="shared" si="0"/>
        <v>0</v>
      </c>
      <c r="K11" s="40">
        <f t="shared" si="1"/>
        <v>0</v>
      </c>
      <c r="L11" s="40">
        <v>1000000</v>
      </c>
      <c r="M11" s="136">
        <f>M10+K11-L11</f>
        <v>1275525.1344000008</v>
      </c>
      <c r="N11" s="44" t="s">
        <v>183</v>
      </c>
    </row>
    <row r="12" spans="1:16">
      <c r="A12" s="26">
        <v>9</v>
      </c>
      <c r="B12" s="27">
        <v>46182</v>
      </c>
      <c r="C12" s="17"/>
      <c r="D12" s="17"/>
      <c r="E12" s="40">
        <v>3000</v>
      </c>
      <c r="F12" s="40">
        <v>102.51</v>
      </c>
      <c r="G12" s="40">
        <f t="shared" si="3"/>
        <v>307530</v>
      </c>
      <c r="H12" s="40"/>
      <c r="I12" s="40"/>
      <c r="J12" s="40">
        <f t="shared" si="0"/>
        <v>0</v>
      </c>
      <c r="K12" s="40">
        <f t="shared" si="1"/>
        <v>307530</v>
      </c>
      <c r="L12" s="40"/>
      <c r="M12" s="136">
        <f>M11+K12-L12</f>
        <v>1583055.1344000008</v>
      </c>
      <c r="N12" s="17"/>
    </row>
    <row r="13" spans="1:16">
      <c r="A13" s="26">
        <v>10</v>
      </c>
      <c r="B13" s="27">
        <v>46183</v>
      </c>
      <c r="C13" s="17"/>
      <c r="D13" s="17"/>
      <c r="E13" s="40">
        <v>2000</v>
      </c>
      <c r="F13" s="40">
        <v>102.51</v>
      </c>
      <c r="G13" s="40">
        <f t="shared" si="3"/>
        <v>205020</v>
      </c>
      <c r="H13" s="40">
        <v>30</v>
      </c>
      <c r="I13" s="40">
        <v>118.18</v>
      </c>
      <c r="J13" s="40">
        <f t="shared" si="0"/>
        <v>3545.4</v>
      </c>
      <c r="K13" s="40">
        <f t="shared" si="1"/>
        <v>208565.4</v>
      </c>
      <c r="L13" s="40"/>
      <c r="M13" s="136">
        <f t="shared" si="2"/>
        <v>1791620.5344000007</v>
      </c>
      <c r="N13" s="17"/>
    </row>
    <row r="14" spans="1:16">
      <c r="A14" s="26">
        <v>11</v>
      </c>
      <c r="B14" s="27">
        <v>46184</v>
      </c>
      <c r="C14" s="17"/>
      <c r="D14" s="17"/>
      <c r="E14" s="40">
        <v>2150</v>
      </c>
      <c r="F14" s="40">
        <v>102.51</v>
      </c>
      <c r="G14" s="40">
        <f t="shared" si="3"/>
        <v>220396.5</v>
      </c>
      <c r="H14" s="40"/>
      <c r="I14" s="40"/>
      <c r="J14" s="40">
        <f t="shared" si="0"/>
        <v>0</v>
      </c>
      <c r="K14" s="40">
        <f t="shared" si="1"/>
        <v>220396.5</v>
      </c>
      <c r="L14" s="40"/>
      <c r="M14" s="136">
        <f t="shared" si="2"/>
        <v>2012017.0344000007</v>
      </c>
      <c r="N14" s="17"/>
    </row>
    <row r="15" spans="1:16">
      <c r="A15" s="26">
        <v>12</v>
      </c>
      <c r="B15" s="27">
        <v>46185</v>
      </c>
      <c r="C15" s="17"/>
      <c r="D15" s="17"/>
      <c r="E15" s="40"/>
      <c r="F15" s="40"/>
      <c r="G15" s="40">
        <f t="shared" si="3"/>
        <v>0</v>
      </c>
      <c r="H15" s="40"/>
      <c r="I15" s="40"/>
      <c r="J15" s="40">
        <f t="shared" si="0"/>
        <v>0</v>
      </c>
      <c r="K15" s="40">
        <f t="shared" si="1"/>
        <v>0</v>
      </c>
      <c r="L15" s="40"/>
      <c r="M15" s="136">
        <f t="shared" si="2"/>
        <v>2012017.0344000007</v>
      </c>
      <c r="N15" s="17"/>
    </row>
    <row r="16" spans="1:16">
      <c r="A16" s="26">
        <v>13</v>
      </c>
      <c r="B16" s="27">
        <v>46186</v>
      </c>
      <c r="C16" s="17"/>
      <c r="D16" s="17"/>
      <c r="E16" s="40">
        <v>2500.63</v>
      </c>
      <c r="F16" s="40">
        <v>102.51</v>
      </c>
      <c r="G16" s="40">
        <f t="shared" si="3"/>
        <v>256339.58130000002</v>
      </c>
      <c r="H16" s="40"/>
      <c r="I16" s="40"/>
      <c r="J16" s="40">
        <f t="shared" si="0"/>
        <v>0</v>
      </c>
      <c r="K16" s="40">
        <f t="shared" si="1"/>
        <v>256339.58130000002</v>
      </c>
      <c r="L16" s="40"/>
      <c r="M16" s="136">
        <f t="shared" si="2"/>
        <v>2268356.6157000009</v>
      </c>
      <c r="N16" s="17"/>
    </row>
    <row r="17" spans="1:16">
      <c r="A17" s="26">
        <v>14</v>
      </c>
      <c r="B17" s="27">
        <v>46187</v>
      </c>
      <c r="C17" s="17"/>
      <c r="D17" s="17"/>
      <c r="E17" s="40">
        <v>2422.9899999999998</v>
      </c>
      <c r="F17" s="40">
        <v>102.51</v>
      </c>
      <c r="G17" s="40">
        <f t="shared" si="3"/>
        <v>248380.70489999998</v>
      </c>
      <c r="H17" s="40"/>
      <c r="I17" s="40"/>
      <c r="J17" s="40">
        <f t="shared" si="0"/>
        <v>0</v>
      </c>
      <c r="K17" s="40">
        <f t="shared" si="1"/>
        <v>248380.70489999998</v>
      </c>
      <c r="L17" s="40"/>
      <c r="M17" s="136">
        <f t="shared" si="2"/>
        <v>2516737.3206000007</v>
      </c>
      <c r="N17" s="17"/>
    </row>
    <row r="18" spans="1:16">
      <c r="A18" s="26">
        <v>15</v>
      </c>
      <c r="B18" s="27">
        <v>46188</v>
      </c>
      <c r="C18" s="17"/>
      <c r="D18" s="17"/>
      <c r="E18" s="40"/>
      <c r="F18" s="40"/>
      <c r="G18" s="40">
        <f t="shared" si="3"/>
        <v>0</v>
      </c>
      <c r="H18" s="40"/>
      <c r="I18" s="40"/>
      <c r="J18" s="40">
        <f t="shared" si="0"/>
        <v>0</v>
      </c>
      <c r="K18" s="40">
        <f t="shared" si="1"/>
        <v>0</v>
      </c>
      <c r="L18" s="40"/>
      <c r="M18" s="136">
        <f t="shared" si="2"/>
        <v>2516737.3206000007</v>
      </c>
      <c r="N18" s="44"/>
    </row>
    <row r="19" spans="1:16">
      <c r="A19" s="26">
        <v>16</v>
      </c>
      <c r="B19" s="27">
        <v>46189</v>
      </c>
      <c r="C19" s="17"/>
      <c r="D19" s="17"/>
      <c r="E19" s="40">
        <v>2500</v>
      </c>
      <c r="F19" s="40">
        <v>102.51</v>
      </c>
      <c r="G19" s="40">
        <f t="shared" si="3"/>
        <v>256275</v>
      </c>
      <c r="H19" s="40">
        <v>30</v>
      </c>
      <c r="I19" s="40">
        <v>118.18</v>
      </c>
      <c r="J19" s="40">
        <f t="shared" si="0"/>
        <v>3545.4</v>
      </c>
      <c r="K19" s="40">
        <f t="shared" si="1"/>
        <v>259820.4</v>
      </c>
      <c r="L19" s="40">
        <v>1000000</v>
      </c>
      <c r="M19" s="136">
        <f t="shared" si="2"/>
        <v>1776557.7206000006</v>
      </c>
      <c r="N19" s="44"/>
    </row>
    <row r="20" spans="1:16">
      <c r="A20" s="26">
        <v>17</v>
      </c>
      <c r="B20" s="27">
        <v>46190</v>
      </c>
      <c r="C20" s="17"/>
      <c r="D20" s="17"/>
      <c r="E20" s="40">
        <v>2213.9899999999998</v>
      </c>
      <c r="F20" s="40">
        <v>102.51</v>
      </c>
      <c r="G20" s="40">
        <f t="shared" si="3"/>
        <v>226956.11489999999</v>
      </c>
      <c r="H20" s="40"/>
      <c r="I20" s="40"/>
      <c r="J20" s="40">
        <f t="shared" si="0"/>
        <v>0</v>
      </c>
      <c r="K20" s="40">
        <f t="shared" si="1"/>
        <v>226956.11489999999</v>
      </c>
      <c r="L20" s="40"/>
      <c r="M20" s="136">
        <f t="shared" si="2"/>
        <v>2003513.8355000005</v>
      </c>
      <c r="N20" s="44"/>
      <c r="P20" s="22"/>
    </row>
    <row r="21" spans="1:16">
      <c r="A21" s="26">
        <v>18</v>
      </c>
      <c r="B21" s="27">
        <v>46191</v>
      </c>
      <c r="C21" s="17"/>
      <c r="D21" s="17"/>
      <c r="E21" s="40"/>
      <c r="F21" s="40"/>
      <c r="G21" s="40">
        <f t="shared" si="3"/>
        <v>0</v>
      </c>
      <c r="H21" s="40"/>
      <c r="I21" s="40"/>
      <c r="J21" s="40">
        <f t="shared" si="0"/>
        <v>0</v>
      </c>
      <c r="K21" s="40">
        <f t="shared" si="1"/>
        <v>0</v>
      </c>
      <c r="L21" s="40"/>
      <c r="M21" s="136">
        <f t="shared" si="2"/>
        <v>2003513.8355000005</v>
      </c>
      <c r="N21" s="44"/>
      <c r="P21" s="22"/>
    </row>
    <row r="22" spans="1:16">
      <c r="A22" s="26">
        <v>19</v>
      </c>
      <c r="B22" s="27">
        <v>46192</v>
      </c>
      <c r="C22" s="17"/>
      <c r="D22" s="17"/>
      <c r="E22" s="40">
        <v>2400</v>
      </c>
      <c r="F22" s="40">
        <v>102.51</v>
      </c>
      <c r="G22" s="40">
        <f t="shared" si="3"/>
        <v>246024</v>
      </c>
      <c r="H22" s="40">
        <v>30</v>
      </c>
      <c r="I22" s="40">
        <v>118.18</v>
      </c>
      <c r="J22" s="40">
        <f t="shared" si="0"/>
        <v>3545.4</v>
      </c>
      <c r="K22" s="40">
        <f t="shared" si="1"/>
        <v>249569.4</v>
      </c>
      <c r="L22" s="40"/>
      <c r="M22" s="136">
        <f t="shared" si="2"/>
        <v>2253083.2355000004</v>
      </c>
      <c r="N22" s="44"/>
      <c r="P22" s="22"/>
    </row>
    <row r="23" spans="1:16">
      <c r="A23" s="26">
        <v>20</v>
      </c>
      <c r="B23" s="27">
        <v>46193</v>
      </c>
      <c r="C23" s="17"/>
      <c r="D23" s="17"/>
      <c r="E23" s="40"/>
      <c r="F23" s="40"/>
      <c r="G23" s="40">
        <f t="shared" si="3"/>
        <v>0</v>
      </c>
      <c r="H23" s="40"/>
      <c r="I23" s="40"/>
      <c r="J23" s="40">
        <f t="shared" si="0"/>
        <v>0</v>
      </c>
      <c r="K23" s="40">
        <f t="shared" si="1"/>
        <v>0</v>
      </c>
      <c r="L23" s="40"/>
      <c r="M23" s="136">
        <f t="shared" si="2"/>
        <v>2253083.2355000004</v>
      </c>
      <c r="N23" s="44"/>
      <c r="P23" s="22"/>
    </row>
    <row r="24" spans="1:16">
      <c r="A24" s="26"/>
      <c r="B24" s="27">
        <v>46194</v>
      </c>
      <c r="C24" s="17"/>
      <c r="D24" s="17"/>
      <c r="E24" s="40"/>
      <c r="F24" s="40"/>
      <c r="G24" s="40">
        <f t="shared" si="3"/>
        <v>0</v>
      </c>
      <c r="H24" s="40"/>
      <c r="I24" s="40"/>
      <c r="J24" s="40">
        <f t="shared" si="0"/>
        <v>0</v>
      </c>
      <c r="K24" s="40">
        <f t="shared" si="1"/>
        <v>0</v>
      </c>
      <c r="L24" s="40"/>
      <c r="M24" s="136">
        <f t="shared" si="2"/>
        <v>2253083.2355000004</v>
      </c>
      <c r="N24" s="44"/>
      <c r="P24" s="22"/>
    </row>
    <row r="25" spans="1:16">
      <c r="A25" s="26">
        <v>21</v>
      </c>
      <c r="B25" s="27">
        <v>46195</v>
      </c>
      <c r="C25" s="17"/>
      <c r="D25" s="17"/>
      <c r="E25" s="40">
        <v>2725</v>
      </c>
      <c r="F25" s="40">
        <v>102.51</v>
      </c>
      <c r="G25" s="40">
        <f t="shared" si="3"/>
        <v>279339.75</v>
      </c>
      <c r="H25" s="40">
        <v>30</v>
      </c>
      <c r="I25" s="40">
        <v>118.18</v>
      </c>
      <c r="J25" s="40">
        <f t="shared" si="0"/>
        <v>3545.4</v>
      </c>
      <c r="K25" s="40">
        <f t="shared" si="1"/>
        <v>282885.15000000002</v>
      </c>
      <c r="L25" s="40"/>
      <c r="M25" s="136">
        <f t="shared" si="2"/>
        <v>2535968.3855000003</v>
      </c>
      <c r="N25" s="44"/>
      <c r="P25" s="22"/>
    </row>
    <row r="26" spans="1:16">
      <c r="A26" s="26">
        <v>22</v>
      </c>
      <c r="B26" s="27">
        <v>46196</v>
      </c>
      <c r="C26" s="17"/>
      <c r="D26" s="17"/>
      <c r="E26" s="40"/>
      <c r="F26" s="40"/>
      <c r="G26" s="40">
        <f t="shared" si="3"/>
        <v>0</v>
      </c>
      <c r="H26" s="40"/>
      <c r="I26" s="40"/>
      <c r="J26" s="40">
        <f t="shared" si="0"/>
        <v>0</v>
      </c>
      <c r="K26" s="40">
        <f t="shared" si="1"/>
        <v>0</v>
      </c>
      <c r="L26" s="40"/>
      <c r="M26" s="136">
        <f t="shared" si="2"/>
        <v>2535968.3855000003</v>
      </c>
      <c r="N26" s="44"/>
      <c r="P26" s="22"/>
    </row>
    <row r="27" spans="1:16">
      <c r="A27" s="26">
        <v>23</v>
      </c>
      <c r="B27" s="27">
        <v>46197</v>
      </c>
      <c r="C27" s="17"/>
      <c r="D27" s="17"/>
      <c r="E27" s="40"/>
      <c r="F27" s="40"/>
      <c r="G27" s="40">
        <f t="shared" si="3"/>
        <v>0</v>
      </c>
      <c r="H27" s="40"/>
      <c r="I27" s="40"/>
      <c r="J27" s="40">
        <f t="shared" si="0"/>
        <v>0</v>
      </c>
      <c r="K27" s="40">
        <f t="shared" si="1"/>
        <v>0</v>
      </c>
      <c r="L27" s="40"/>
      <c r="M27" s="136">
        <f t="shared" si="2"/>
        <v>2535968.3855000003</v>
      </c>
      <c r="N27" s="44"/>
      <c r="P27" s="22"/>
    </row>
    <row r="28" spans="1:16">
      <c r="A28" s="26">
        <v>24</v>
      </c>
      <c r="B28" s="27">
        <v>46198</v>
      </c>
      <c r="C28" s="17"/>
      <c r="D28" s="17"/>
      <c r="E28" s="40"/>
      <c r="F28" s="40"/>
      <c r="G28" s="40">
        <f t="shared" si="3"/>
        <v>0</v>
      </c>
      <c r="H28" s="40"/>
      <c r="I28" s="40"/>
      <c r="J28" s="40">
        <f t="shared" si="0"/>
        <v>0</v>
      </c>
      <c r="K28" s="40">
        <f t="shared" si="1"/>
        <v>0</v>
      </c>
      <c r="L28" s="40">
        <v>500000</v>
      </c>
      <c r="M28" s="136">
        <f t="shared" si="2"/>
        <v>2035968.3855000003</v>
      </c>
      <c r="N28" s="44"/>
      <c r="P28" s="22"/>
    </row>
    <row r="29" spans="1:16">
      <c r="A29" s="26">
        <v>25</v>
      </c>
      <c r="B29" s="27">
        <v>46199</v>
      </c>
      <c r="C29" s="17"/>
      <c r="D29" s="17"/>
      <c r="E29" s="40"/>
      <c r="F29" s="40"/>
      <c r="G29" s="40">
        <f t="shared" si="3"/>
        <v>0</v>
      </c>
      <c r="H29" s="40"/>
      <c r="I29" s="40"/>
      <c r="J29" s="40">
        <f t="shared" si="0"/>
        <v>0</v>
      </c>
      <c r="K29" s="40">
        <f t="shared" si="1"/>
        <v>0</v>
      </c>
      <c r="L29" s="40"/>
      <c r="M29" s="136">
        <f t="shared" si="2"/>
        <v>2035968.3855000003</v>
      </c>
      <c r="N29" s="44"/>
      <c r="P29" s="22"/>
    </row>
    <row r="30" spans="1:16">
      <c r="A30" s="26">
        <v>26</v>
      </c>
      <c r="B30" s="27">
        <v>46200</v>
      </c>
      <c r="C30" s="17"/>
      <c r="D30" s="17"/>
      <c r="E30" s="40">
        <v>2400.86</v>
      </c>
      <c r="F30" s="40">
        <v>102.51</v>
      </c>
      <c r="G30" s="40">
        <f t="shared" si="3"/>
        <v>246112.15860000002</v>
      </c>
      <c r="H30" s="40"/>
      <c r="I30" s="40"/>
      <c r="J30" s="40">
        <f t="shared" si="0"/>
        <v>0</v>
      </c>
      <c r="K30" s="40">
        <f t="shared" si="1"/>
        <v>246112.15860000002</v>
      </c>
      <c r="L30" s="40"/>
      <c r="M30" s="136">
        <f t="shared" si="2"/>
        <v>2282080.5441000005</v>
      </c>
      <c r="N30" s="44"/>
    </row>
    <row r="31" spans="1:16">
      <c r="A31" s="26">
        <v>27</v>
      </c>
      <c r="B31" s="27">
        <v>46201</v>
      </c>
      <c r="C31" s="17"/>
      <c r="D31" s="17"/>
      <c r="E31" s="40"/>
      <c r="F31" s="40"/>
      <c r="G31" s="40">
        <f t="shared" si="3"/>
        <v>0</v>
      </c>
      <c r="H31" s="40"/>
      <c r="I31" s="40"/>
      <c r="J31" s="40">
        <f t="shared" si="0"/>
        <v>0</v>
      </c>
      <c r="K31" s="40">
        <f t="shared" si="1"/>
        <v>0</v>
      </c>
      <c r="L31" s="40"/>
      <c r="M31" s="136">
        <f t="shared" si="2"/>
        <v>2282080.5441000005</v>
      </c>
      <c r="N31" s="44"/>
    </row>
    <row r="32" spans="1:16">
      <c r="A32" s="26">
        <v>28</v>
      </c>
      <c r="B32" s="27">
        <v>46202</v>
      </c>
      <c r="C32" s="17"/>
      <c r="D32" s="17"/>
      <c r="E32" s="40">
        <v>2550</v>
      </c>
      <c r="F32" s="40">
        <v>102.51</v>
      </c>
      <c r="G32" s="40">
        <f t="shared" si="3"/>
        <v>261400.5</v>
      </c>
      <c r="H32" s="40">
        <v>30</v>
      </c>
      <c r="I32" s="40">
        <v>118.18</v>
      </c>
      <c r="J32" s="40">
        <f t="shared" si="0"/>
        <v>3545.4</v>
      </c>
      <c r="K32" s="40">
        <f t="shared" si="1"/>
        <v>264945.90000000002</v>
      </c>
      <c r="L32" s="40"/>
      <c r="M32" s="136">
        <f t="shared" si="2"/>
        <v>2547026.4441000004</v>
      </c>
      <c r="N32" s="44"/>
    </row>
    <row r="33" spans="1:17">
      <c r="A33" s="26">
        <v>29</v>
      </c>
      <c r="B33" s="27">
        <v>46203</v>
      </c>
      <c r="C33" s="17"/>
      <c r="D33" s="17"/>
      <c r="E33" s="40"/>
      <c r="F33" s="40"/>
      <c r="G33" s="40">
        <f t="shared" si="3"/>
        <v>0</v>
      </c>
      <c r="H33" s="40"/>
      <c r="I33" s="40"/>
      <c r="J33" s="40">
        <f t="shared" si="0"/>
        <v>0</v>
      </c>
      <c r="K33" s="40">
        <f t="shared" si="1"/>
        <v>0</v>
      </c>
      <c r="L33" s="40"/>
      <c r="M33" s="136">
        <f t="shared" si="2"/>
        <v>2547026.4441000004</v>
      </c>
      <c r="N33" s="44"/>
    </row>
    <row r="34" spans="1:17">
      <c r="A34" s="26">
        <v>30</v>
      </c>
      <c r="B34" s="27"/>
      <c r="C34" s="17"/>
      <c r="D34" s="17"/>
      <c r="E34" s="40"/>
      <c r="F34" s="40"/>
      <c r="G34" s="40">
        <f t="shared" si="3"/>
        <v>0</v>
      </c>
      <c r="H34" s="40"/>
      <c r="I34" s="40"/>
      <c r="J34" s="40">
        <f t="shared" si="0"/>
        <v>0</v>
      </c>
      <c r="K34" s="40">
        <f t="shared" si="1"/>
        <v>0</v>
      </c>
      <c r="L34" s="40"/>
      <c r="M34" s="136">
        <f t="shared" si="2"/>
        <v>2547026.4441000004</v>
      </c>
      <c r="N34" s="44"/>
    </row>
    <row r="35" spans="1:17">
      <c r="A35" s="26">
        <v>31</v>
      </c>
      <c r="B35" s="27"/>
      <c r="C35" s="17"/>
      <c r="D35" s="17"/>
      <c r="E35" s="40"/>
      <c r="F35" s="40"/>
      <c r="G35" s="40">
        <f t="shared" si="3"/>
        <v>0</v>
      </c>
      <c r="H35" s="40"/>
      <c r="I35" s="40"/>
      <c r="J35" s="40">
        <f t="shared" si="0"/>
        <v>0</v>
      </c>
      <c r="K35" s="40">
        <f t="shared" si="1"/>
        <v>0</v>
      </c>
      <c r="L35" s="40"/>
      <c r="M35" s="136">
        <f t="shared" si="2"/>
        <v>2547026.4441000004</v>
      </c>
      <c r="N35" s="44"/>
    </row>
    <row r="36" spans="1:17">
      <c r="A36" s="26">
        <v>32</v>
      </c>
      <c r="B36" s="27"/>
      <c r="C36" s="17"/>
      <c r="D36" s="17"/>
      <c r="E36" s="40"/>
      <c r="F36" s="40"/>
      <c r="G36" s="40">
        <f t="shared" si="3"/>
        <v>0</v>
      </c>
      <c r="H36" s="40"/>
      <c r="I36" s="40"/>
      <c r="J36" s="40">
        <f t="shared" si="0"/>
        <v>0</v>
      </c>
      <c r="K36" s="40">
        <f t="shared" si="1"/>
        <v>0</v>
      </c>
      <c r="L36" s="40"/>
      <c r="M36" s="136">
        <f t="shared" si="2"/>
        <v>2547026.4441000004</v>
      </c>
      <c r="N36" s="44"/>
    </row>
    <row r="37" spans="1:17">
      <c r="A37" s="26">
        <v>33</v>
      </c>
      <c r="B37" s="27"/>
      <c r="C37" s="17"/>
      <c r="D37" s="17"/>
      <c r="E37" s="40"/>
      <c r="F37" s="40"/>
      <c r="G37" s="40">
        <f t="shared" ref="G5:G55" si="4">E37*F37</f>
        <v>0</v>
      </c>
      <c r="H37" s="40"/>
      <c r="I37" s="40"/>
      <c r="J37" s="40">
        <f t="shared" ref="J5:J55" si="5">H37*I37</f>
        <v>0</v>
      </c>
      <c r="K37" s="40">
        <f>G37+J37</f>
        <v>0</v>
      </c>
      <c r="L37" s="40"/>
      <c r="M37" s="136">
        <f t="shared" si="2"/>
        <v>2547026.4441000004</v>
      </c>
      <c r="N37" s="44"/>
    </row>
    <row r="38" spans="1:17">
      <c r="A38" s="26">
        <v>34</v>
      </c>
      <c r="B38" s="27"/>
      <c r="C38" s="17"/>
      <c r="D38" s="17"/>
      <c r="E38" s="40"/>
      <c r="F38" s="40"/>
      <c r="G38" s="40">
        <f t="shared" si="4"/>
        <v>0</v>
      </c>
      <c r="H38" s="40"/>
      <c r="I38" s="40"/>
      <c r="J38" s="40">
        <f t="shared" si="5"/>
        <v>0</v>
      </c>
      <c r="K38" s="40">
        <f>G38+J38</f>
        <v>0</v>
      </c>
      <c r="L38" s="40"/>
      <c r="M38" s="136">
        <f t="shared" si="2"/>
        <v>2547026.4441000004</v>
      </c>
      <c r="N38" s="44"/>
    </row>
    <row r="39" spans="1:17">
      <c r="A39" s="26">
        <v>35</v>
      </c>
      <c r="B39" s="27"/>
      <c r="C39" s="17"/>
      <c r="D39" s="17"/>
      <c r="E39" s="40"/>
      <c r="F39" s="40"/>
      <c r="G39" s="40">
        <f t="shared" si="4"/>
        <v>0</v>
      </c>
      <c r="H39" s="40"/>
      <c r="I39" s="40"/>
      <c r="J39" s="40">
        <f t="shared" si="5"/>
        <v>0</v>
      </c>
      <c r="K39" s="40">
        <f>G39+J39</f>
        <v>0</v>
      </c>
      <c r="L39" s="40"/>
      <c r="M39" s="136">
        <f t="shared" si="2"/>
        <v>2547026.4441000004</v>
      </c>
      <c r="N39" s="44"/>
      <c r="P39">
        <v>41</v>
      </c>
    </row>
    <row r="40" spans="1:17">
      <c r="A40" s="26">
        <v>36</v>
      </c>
      <c r="B40" s="27"/>
      <c r="C40" s="17"/>
      <c r="D40" s="17"/>
      <c r="E40" s="40"/>
      <c r="F40" s="40"/>
      <c r="G40" s="40">
        <f t="shared" si="4"/>
        <v>0</v>
      </c>
      <c r="H40" s="40"/>
      <c r="I40" s="40"/>
      <c r="J40" s="40">
        <f t="shared" si="5"/>
        <v>0</v>
      </c>
      <c r="K40" s="40">
        <f>G40+J40</f>
        <v>0</v>
      </c>
      <c r="L40" s="40"/>
      <c r="M40" s="136">
        <f t="shared" si="2"/>
        <v>2547026.4441000004</v>
      </c>
      <c r="N40" s="44"/>
      <c r="P40">
        <v>40</v>
      </c>
      <c r="Q40">
        <v>5</v>
      </c>
    </row>
    <row r="41" spans="1:17">
      <c r="A41" s="26">
        <v>37</v>
      </c>
      <c r="B41" s="27"/>
      <c r="C41" s="17"/>
      <c r="D41" s="17"/>
      <c r="E41" s="40"/>
      <c r="F41" s="40"/>
      <c r="G41" s="40">
        <f t="shared" si="4"/>
        <v>0</v>
      </c>
      <c r="H41" s="40"/>
      <c r="I41" s="40"/>
      <c r="J41" s="40">
        <f t="shared" si="5"/>
        <v>0</v>
      </c>
      <c r="K41" s="40">
        <f>G41+J41</f>
        <v>0</v>
      </c>
      <c r="L41" s="40"/>
      <c r="M41" s="136">
        <f t="shared" si="2"/>
        <v>2547026.4441000004</v>
      </c>
      <c r="N41" s="44"/>
    </row>
    <row r="42" spans="1:17">
      <c r="A42" s="26">
        <v>38</v>
      </c>
      <c r="B42" s="27"/>
      <c r="C42" s="17"/>
      <c r="D42" s="17"/>
      <c r="E42" s="40"/>
      <c r="F42" s="40"/>
      <c r="G42" s="40">
        <f t="shared" si="4"/>
        <v>0</v>
      </c>
      <c r="H42" s="40"/>
      <c r="I42" s="40"/>
      <c r="J42" s="40">
        <f t="shared" si="5"/>
        <v>0</v>
      </c>
      <c r="K42" s="40">
        <f>G42+J42</f>
        <v>0</v>
      </c>
      <c r="L42" s="40"/>
      <c r="M42" s="136">
        <f t="shared" si="2"/>
        <v>2547026.4441000004</v>
      </c>
      <c r="N42" s="44"/>
    </row>
    <row r="43" spans="1:17">
      <c r="A43" s="26">
        <v>39</v>
      </c>
      <c r="B43" s="27"/>
      <c r="C43" s="17"/>
      <c r="D43" s="17"/>
      <c r="E43" s="40"/>
      <c r="F43" s="40"/>
      <c r="G43" s="40">
        <f t="shared" si="4"/>
        <v>0</v>
      </c>
      <c r="H43" s="40"/>
      <c r="I43" s="40"/>
      <c r="J43" s="40">
        <f t="shared" si="5"/>
        <v>0</v>
      </c>
      <c r="K43" s="40">
        <f>G43+J43</f>
        <v>0</v>
      </c>
      <c r="L43" s="40"/>
      <c r="M43" s="136">
        <f t="shared" si="2"/>
        <v>2547026.4441000004</v>
      </c>
      <c r="N43" s="44"/>
    </row>
    <row r="44" spans="1:17">
      <c r="A44" s="26">
        <v>40</v>
      </c>
      <c r="B44" s="27"/>
      <c r="C44" s="17"/>
      <c r="D44" s="17"/>
      <c r="E44" s="40"/>
      <c r="F44" s="40"/>
      <c r="G44" s="40">
        <f t="shared" si="4"/>
        <v>0</v>
      </c>
      <c r="H44" s="40"/>
      <c r="I44" s="40"/>
      <c r="J44" s="40">
        <f t="shared" si="5"/>
        <v>0</v>
      </c>
      <c r="K44" s="40">
        <f>G44+J44</f>
        <v>0</v>
      </c>
      <c r="L44" s="40"/>
      <c r="M44" s="136">
        <f t="shared" si="2"/>
        <v>2547026.4441000004</v>
      </c>
      <c r="N44" s="44"/>
    </row>
    <row r="45" spans="1:17">
      <c r="A45" s="26">
        <v>41</v>
      </c>
      <c r="B45" s="27"/>
      <c r="C45" s="17"/>
      <c r="D45" s="17"/>
      <c r="E45" s="40"/>
      <c r="F45" s="40"/>
      <c r="G45" s="40">
        <f t="shared" si="4"/>
        <v>0</v>
      </c>
      <c r="H45" s="40"/>
      <c r="I45" s="40"/>
      <c r="J45" s="40">
        <f t="shared" si="5"/>
        <v>0</v>
      </c>
      <c r="K45" s="40">
        <f>G45+J45</f>
        <v>0</v>
      </c>
      <c r="L45" s="40"/>
      <c r="M45" s="136">
        <f t="shared" si="2"/>
        <v>2547026.4441000004</v>
      </c>
      <c r="N45" s="44"/>
    </row>
    <row r="46" spans="1:17">
      <c r="A46" s="26">
        <v>42</v>
      </c>
      <c r="B46" s="27"/>
      <c r="C46" s="17"/>
      <c r="D46" s="17"/>
      <c r="E46" s="40"/>
      <c r="F46" s="40"/>
      <c r="G46" s="40">
        <f t="shared" si="4"/>
        <v>0</v>
      </c>
      <c r="H46" s="40"/>
      <c r="I46" s="40"/>
      <c r="J46" s="40">
        <f t="shared" si="5"/>
        <v>0</v>
      </c>
      <c r="K46" s="40">
        <f>G46+J46</f>
        <v>0</v>
      </c>
      <c r="L46" s="40"/>
      <c r="M46" s="136">
        <f t="shared" si="2"/>
        <v>2547026.4441000004</v>
      </c>
      <c r="N46" s="44"/>
    </row>
    <row r="47" spans="1:17">
      <c r="A47" s="26">
        <v>43</v>
      </c>
      <c r="B47" s="27"/>
      <c r="C47" s="17"/>
      <c r="D47" s="17"/>
      <c r="E47" s="40"/>
      <c r="F47" s="40"/>
      <c r="G47" s="40">
        <f t="shared" si="4"/>
        <v>0</v>
      </c>
      <c r="H47" s="40"/>
      <c r="I47" s="40"/>
      <c r="J47" s="40">
        <f t="shared" si="5"/>
        <v>0</v>
      </c>
      <c r="K47" s="40">
        <f>G47+J47</f>
        <v>0</v>
      </c>
      <c r="L47" s="40"/>
      <c r="M47" s="136">
        <f t="shared" si="2"/>
        <v>2547026.4441000004</v>
      </c>
      <c r="N47" s="44"/>
    </row>
    <row r="48" spans="1:17">
      <c r="A48" s="26">
        <v>44</v>
      </c>
      <c r="B48" s="27"/>
      <c r="C48" s="17"/>
      <c r="D48" s="17"/>
      <c r="E48" s="40"/>
      <c r="F48" s="40"/>
      <c r="G48" s="40">
        <f t="shared" si="4"/>
        <v>0</v>
      </c>
      <c r="H48" s="40"/>
      <c r="I48" s="40"/>
      <c r="J48" s="40">
        <f t="shared" si="5"/>
        <v>0</v>
      </c>
      <c r="K48" s="40">
        <f>G48+J48</f>
        <v>0</v>
      </c>
      <c r="L48" s="40"/>
      <c r="M48" s="136">
        <f t="shared" si="2"/>
        <v>2547026.4441000004</v>
      </c>
      <c r="N48" s="44"/>
    </row>
    <row r="49" spans="1:16">
      <c r="A49" s="26">
        <v>45</v>
      </c>
      <c r="B49" s="27"/>
      <c r="C49" s="17"/>
      <c r="D49" s="17"/>
      <c r="E49" s="40"/>
      <c r="F49" s="40"/>
      <c r="G49" s="40">
        <f t="shared" si="4"/>
        <v>0</v>
      </c>
      <c r="H49" s="40"/>
      <c r="I49" s="40"/>
      <c r="J49" s="40">
        <f t="shared" si="5"/>
        <v>0</v>
      </c>
      <c r="K49" s="40">
        <f>G49+J49</f>
        <v>0</v>
      </c>
      <c r="L49" s="40"/>
      <c r="M49" s="136">
        <f t="shared" si="2"/>
        <v>2547026.4441000004</v>
      </c>
      <c r="N49" s="44"/>
    </row>
    <row r="50" spans="1:16">
      <c r="A50" s="26">
        <v>46</v>
      </c>
      <c r="B50" s="27"/>
      <c r="C50" s="17"/>
      <c r="D50" s="17"/>
      <c r="E50" s="40"/>
      <c r="F50" s="40"/>
      <c r="G50" s="40">
        <f t="shared" si="4"/>
        <v>0</v>
      </c>
      <c r="H50" s="40"/>
      <c r="I50" s="40"/>
      <c r="J50" s="40">
        <f t="shared" si="5"/>
        <v>0</v>
      </c>
      <c r="K50" s="40">
        <f>G50+J50</f>
        <v>0</v>
      </c>
      <c r="L50" s="40"/>
      <c r="M50" s="136">
        <f t="shared" si="2"/>
        <v>2547026.4441000004</v>
      </c>
      <c r="N50" s="44"/>
    </row>
    <row r="51" spans="1:16">
      <c r="A51" s="26">
        <v>47</v>
      </c>
      <c r="B51" s="27"/>
      <c r="C51" s="17"/>
      <c r="D51" s="17"/>
      <c r="E51" s="40"/>
      <c r="F51" s="40"/>
      <c r="G51" s="40">
        <f t="shared" si="4"/>
        <v>0</v>
      </c>
      <c r="H51" s="40"/>
      <c r="I51" s="40"/>
      <c r="J51" s="40">
        <f t="shared" si="5"/>
        <v>0</v>
      </c>
      <c r="K51" s="40">
        <f>G51+J51</f>
        <v>0</v>
      </c>
      <c r="L51" s="40"/>
      <c r="M51" s="136">
        <f t="shared" si="2"/>
        <v>2547026.4441000004</v>
      </c>
      <c r="N51" s="44"/>
    </row>
    <row r="52" spans="1:16">
      <c r="A52" s="26">
        <v>48</v>
      </c>
      <c r="B52" s="27"/>
      <c r="C52" s="17"/>
      <c r="D52" s="17"/>
      <c r="E52" s="40"/>
      <c r="F52" s="40"/>
      <c r="G52" s="40">
        <f t="shared" si="4"/>
        <v>0</v>
      </c>
      <c r="H52" s="40"/>
      <c r="I52" s="40"/>
      <c r="J52" s="40">
        <f t="shared" si="5"/>
        <v>0</v>
      </c>
      <c r="K52" s="40">
        <f>G52+J52</f>
        <v>0</v>
      </c>
      <c r="L52" s="40">
        <v>0</v>
      </c>
      <c r="M52" s="136">
        <f t="shared" si="2"/>
        <v>2547026.4441000004</v>
      </c>
      <c r="N52" s="44"/>
    </row>
    <row r="53" spans="1:16">
      <c r="A53" s="26">
        <v>49</v>
      </c>
      <c r="B53" s="27"/>
      <c r="C53" s="94"/>
      <c r="D53" s="94"/>
      <c r="E53" s="40"/>
      <c r="F53" s="40"/>
      <c r="G53" s="40">
        <f t="shared" si="4"/>
        <v>0</v>
      </c>
      <c r="H53" s="40"/>
      <c r="I53" s="40"/>
      <c r="J53" s="40">
        <f t="shared" si="5"/>
        <v>0</v>
      </c>
      <c r="K53" s="40">
        <f>G53+J53</f>
        <v>0</v>
      </c>
      <c r="L53" s="40">
        <v>0</v>
      </c>
      <c r="M53" s="136">
        <f t="shared" si="2"/>
        <v>2547026.4441000004</v>
      </c>
      <c r="N53" s="224"/>
    </row>
    <row r="54" spans="1:16">
      <c r="A54" s="26">
        <v>50</v>
      </c>
      <c r="B54" s="27"/>
      <c r="C54" s="17"/>
      <c r="D54" s="17"/>
      <c r="E54" s="40"/>
      <c r="F54" s="40"/>
      <c r="G54" s="40">
        <f t="shared" si="4"/>
        <v>0</v>
      </c>
      <c r="H54" s="40"/>
      <c r="I54" s="40"/>
      <c r="J54" s="40">
        <f t="shared" si="5"/>
        <v>0</v>
      </c>
      <c r="K54" s="40">
        <f>G54+J54</f>
        <v>0</v>
      </c>
      <c r="L54" s="40">
        <v>0</v>
      </c>
      <c r="M54" s="136">
        <f t="shared" si="2"/>
        <v>2547026.4441000004</v>
      </c>
      <c r="N54" s="44"/>
    </row>
    <row r="55" spans="1:16">
      <c r="A55" s="26">
        <v>51</v>
      </c>
      <c r="B55" s="27"/>
      <c r="C55" s="17"/>
      <c r="D55" s="17"/>
      <c r="E55" s="40"/>
      <c r="F55" s="40"/>
      <c r="G55" s="40">
        <f t="shared" si="4"/>
        <v>0</v>
      </c>
      <c r="H55" s="40"/>
      <c r="I55" s="40"/>
      <c r="J55" s="40">
        <f t="shared" si="5"/>
        <v>0</v>
      </c>
      <c r="K55" s="40">
        <f>G55+J55</f>
        <v>0</v>
      </c>
      <c r="L55" s="40">
        <v>0</v>
      </c>
      <c r="M55" s="136">
        <f t="shared" si="2"/>
        <v>2547026.4441000004</v>
      </c>
      <c r="N55" s="44"/>
      <c r="O55">
        <v>1109792.2825999993</v>
      </c>
      <c r="P55" s="174">
        <f>M55-O55</f>
        <v>1437234.1615000011</v>
      </c>
    </row>
    <row r="56" spans="1:16">
      <c r="A56" s="181"/>
      <c r="B56" s="181"/>
      <c r="C56" s="181"/>
      <c r="D56" s="181"/>
      <c r="E56" s="181">
        <f>SUM(E4:E55)</f>
        <v>27863.47</v>
      </c>
      <c r="F56" s="181"/>
      <c r="G56" s="181">
        <f>SUM(G4:G55)</f>
        <v>2856284.3097000001</v>
      </c>
      <c r="H56" s="181">
        <f>SUM(H4:H55)</f>
        <v>180</v>
      </c>
      <c r="I56" s="181"/>
      <c r="J56" s="181">
        <f>SUM(J4:J55)</f>
        <v>21272.400000000001</v>
      </c>
      <c r="K56" s="181">
        <f>SUM(K4:K55)</f>
        <v>2877556.7097</v>
      </c>
      <c r="L56" s="181">
        <f>SUM(L4:L55)</f>
        <v>2500000</v>
      </c>
      <c r="M56" s="181"/>
      <c r="N56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2B1B-B468-4D91-95DB-7A2ADAD7FA93}">
  <dimension ref="A1:R20"/>
  <sheetViews>
    <sheetView workbookViewId="0">
      <selection activeCell="M16" sqref="M16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3.5703125" bestFit="1" customWidth="1"/>
    <col min="6" max="6" width="6.140625" bestFit="1" customWidth="1"/>
    <col min="7" max="7" width="11.42578125" bestFit="1" customWidth="1"/>
    <col min="9" max="9" width="5.42578125" bestFit="1" customWidth="1"/>
    <col min="10" max="10" width="8.7109375" bestFit="1" customWidth="1"/>
    <col min="11" max="12" width="13.5703125" bestFit="1" customWidth="1"/>
    <col min="13" max="13" width="12.7109375" bestFit="1" customWidth="1"/>
    <col min="14" max="14" width="19.28515625" bestFit="1" customWidth="1"/>
    <col min="15" max="15" width="35.42578125" bestFit="1" customWidth="1"/>
    <col min="16" max="16" width="14.140625" bestFit="1" customWidth="1"/>
  </cols>
  <sheetData>
    <row r="1" spans="1:18" ht="15.75">
      <c r="A1" s="583" t="s">
        <v>345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17"/>
    </row>
    <row r="2" spans="1:18" ht="30.75">
      <c r="A2" s="413" t="s">
        <v>0</v>
      </c>
      <c r="B2" s="414" t="s">
        <v>167</v>
      </c>
      <c r="C2" s="414" t="s">
        <v>168</v>
      </c>
      <c r="D2" s="415" t="s">
        <v>169</v>
      </c>
      <c r="E2" s="416" t="s">
        <v>170</v>
      </c>
      <c r="F2" s="416" t="s">
        <v>171</v>
      </c>
      <c r="G2" s="416" t="s">
        <v>172</v>
      </c>
      <c r="H2" s="416" t="s">
        <v>173</v>
      </c>
      <c r="I2" s="416" t="s">
        <v>171</v>
      </c>
      <c r="J2" s="416" t="s">
        <v>172</v>
      </c>
      <c r="K2" s="417" t="s">
        <v>174</v>
      </c>
      <c r="L2" s="418" t="s">
        <v>175</v>
      </c>
      <c r="M2" s="418" t="s">
        <v>192</v>
      </c>
      <c r="N2" s="414" t="s">
        <v>177</v>
      </c>
      <c r="O2" s="414" t="s">
        <v>346</v>
      </c>
    </row>
    <row r="3" spans="1:18">
      <c r="A3" s="584" t="s">
        <v>178</v>
      </c>
      <c r="B3" s="584"/>
      <c r="C3" s="584"/>
      <c r="D3" s="584"/>
      <c r="E3" s="584"/>
      <c r="F3" s="584"/>
      <c r="G3" s="584"/>
      <c r="H3" s="584"/>
      <c r="I3" s="584"/>
      <c r="J3" s="584"/>
      <c r="K3" s="17"/>
      <c r="L3" s="17"/>
      <c r="M3" s="419">
        <v>494713</v>
      </c>
      <c r="N3" s="194"/>
      <c r="O3" s="17"/>
    </row>
    <row r="4" spans="1:18">
      <c r="A4" s="17">
        <v>1</v>
      </c>
      <c r="B4" s="420"/>
      <c r="C4" s="86"/>
      <c r="D4" s="86"/>
      <c r="E4" s="421"/>
      <c r="F4" s="436"/>
      <c r="G4" s="212">
        <f t="shared" ref="G4:G18" si="0">E4*F4</f>
        <v>0</v>
      </c>
      <c r="H4" s="40">
        <v>0</v>
      </c>
      <c r="I4" s="40">
        <v>0</v>
      </c>
      <c r="J4" s="212">
        <f t="shared" ref="J4:J18" si="1">H4*I4</f>
        <v>0</v>
      </c>
      <c r="K4" s="212">
        <f t="shared" ref="K4:K18" si="2">G4+J4</f>
        <v>0</v>
      </c>
      <c r="L4" s="40">
        <v>494713</v>
      </c>
      <c r="M4" s="136">
        <f t="shared" ref="M4:M18" si="3">M3+K4-L4</f>
        <v>0</v>
      </c>
      <c r="N4" s="411"/>
      <c r="O4" s="389"/>
      <c r="P4" s="422"/>
    </row>
    <row r="5" spans="1:18">
      <c r="A5" s="17">
        <v>2</v>
      </c>
      <c r="B5" s="420"/>
      <c r="C5" s="86"/>
      <c r="D5" s="86"/>
      <c r="E5" s="86"/>
      <c r="F5" s="436"/>
      <c r="G5" s="212">
        <f t="shared" si="0"/>
        <v>0</v>
      </c>
      <c r="H5" s="40">
        <v>0</v>
      </c>
      <c r="I5" s="40">
        <v>0</v>
      </c>
      <c r="J5" s="212">
        <f t="shared" si="1"/>
        <v>0</v>
      </c>
      <c r="K5" s="212">
        <f t="shared" si="2"/>
        <v>0</v>
      </c>
      <c r="L5" s="40"/>
      <c r="M5" s="136">
        <f t="shared" si="3"/>
        <v>0</v>
      </c>
      <c r="N5" s="411"/>
      <c r="O5" s="389"/>
      <c r="P5" s="422"/>
    </row>
    <row r="6" spans="1:18">
      <c r="A6" s="17">
        <v>3</v>
      </c>
      <c r="B6" s="420"/>
      <c r="C6" s="86"/>
      <c r="D6" s="86"/>
      <c r="E6" s="86"/>
      <c r="F6" s="436"/>
      <c r="G6" s="212">
        <f t="shared" si="0"/>
        <v>0</v>
      </c>
      <c r="H6" s="40">
        <v>0</v>
      </c>
      <c r="I6" s="40">
        <v>0</v>
      </c>
      <c r="J6" s="212">
        <f t="shared" si="1"/>
        <v>0</v>
      </c>
      <c r="K6" s="212">
        <f t="shared" si="2"/>
        <v>0</v>
      </c>
      <c r="L6" s="40"/>
      <c r="M6" s="136">
        <f t="shared" si="3"/>
        <v>0</v>
      </c>
      <c r="N6" s="411"/>
      <c r="O6" s="389"/>
      <c r="P6" s="422"/>
    </row>
    <row r="7" spans="1:18">
      <c r="A7" s="17">
        <v>4</v>
      </c>
      <c r="B7" s="420" t="s">
        <v>219</v>
      </c>
      <c r="C7" s="86"/>
      <c r="D7" s="86"/>
      <c r="E7" s="86">
        <v>2750</v>
      </c>
      <c r="F7" s="436">
        <v>99.47</v>
      </c>
      <c r="G7" s="212">
        <f t="shared" si="0"/>
        <v>273542.5</v>
      </c>
      <c r="H7" s="40">
        <v>0</v>
      </c>
      <c r="I7" s="40">
        <v>0</v>
      </c>
      <c r="J7" s="212">
        <f t="shared" si="1"/>
        <v>0</v>
      </c>
      <c r="K7" s="212">
        <f t="shared" si="2"/>
        <v>273542.5</v>
      </c>
      <c r="L7" s="40"/>
      <c r="M7" s="136">
        <f t="shared" si="3"/>
        <v>273542.5</v>
      </c>
      <c r="N7" s="411"/>
      <c r="O7" s="389"/>
      <c r="P7" s="422"/>
    </row>
    <row r="8" spans="1:18">
      <c r="A8" s="94"/>
      <c r="B8" s="420" t="s">
        <v>225</v>
      </c>
      <c r="C8" s="507"/>
      <c r="D8" s="507"/>
      <c r="E8" s="86"/>
      <c r="F8" s="436"/>
      <c r="G8" s="212"/>
      <c r="H8" s="40"/>
      <c r="I8" s="212"/>
      <c r="J8" s="212"/>
      <c r="K8" s="212">
        <f t="shared" si="2"/>
        <v>0</v>
      </c>
      <c r="L8" s="40">
        <v>273542.5</v>
      </c>
      <c r="M8" s="136">
        <f t="shared" si="3"/>
        <v>0</v>
      </c>
      <c r="N8" s="411" t="s">
        <v>183</v>
      </c>
      <c r="O8" s="422"/>
      <c r="P8" s="422"/>
    </row>
    <row r="9" spans="1:18">
      <c r="A9" s="94">
        <v>5</v>
      </c>
      <c r="B9" s="420" t="s">
        <v>230</v>
      </c>
      <c r="C9" s="437"/>
      <c r="D9" s="438"/>
      <c r="E9" s="436">
        <v>2500</v>
      </c>
      <c r="F9" s="436">
        <v>99.47</v>
      </c>
      <c r="G9" s="430">
        <f t="shared" si="0"/>
        <v>248675</v>
      </c>
      <c r="H9" s="40">
        <v>0</v>
      </c>
      <c r="I9" s="430">
        <v>0</v>
      </c>
      <c r="J9" s="430">
        <f t="shared" si="1"/>
        <v>0</v>
      </c>
      <c r="K9" s="430">
        <f t="shared" si="2"/>
        <v>248675</v>
      </c>
      <c r="L9" s="40"/>
      <c r="M9" s="136">
        <f t="shared" si="3"/>
        <v>248675</v>
      </c>
      <c r="N9" s="411"/>
      <c r="O9" s="94"/>
      <c r="R9">
        <v>273542</v>
      </c>
    </row>
    <row r="10" spans="1:18">
      <c r="A10" s="17">
        <v>6</v>
      </c>
      <c r="B10" s="420" t="s">
        <v>236</v>
      </c>
      <c r="C10" s="403"/>
      <c r="D10" s="427"/>
      <c r="E10" s="403">
        <v>1937.16</v>
      </c>
      <c r="F10" s="403">
        <v>99.47</v>
      </c>
      <c r="G10" s="429">
        <f t="shared" si="0"/>
        <v>192689.3052</v>
      </c>
      <c r="H10" s="40">
        <v>0</v>
      </c>
      <c r="I10" s="429">
        <v>0</v>
      </c>
      <c r="J10" s="429">
        <f t="shared" si="1"/>
        <v>0</v>
      </c>
      <c r="K10" s="429">
        <f t="shared" si="2"/>
        <v>192689.3052</v>
      </c>
      <c r="L10" s="40">
        <v>248675</v>
      </c>
      <c r="M10" s="136">
        <f t="shared" si="3"/>
        <v>192689.3052</v>
      </c>
      <c r="N10" s="411"/>
      <c r="O10" s="17"/>
      <c r="R10">
        <v>80000</v>
      </c>
    </row>
    <row r="11" spans="1:18">
      <c r="A11" s="17">
        <v>7</v>
      </c>
      <c r="B11" s="420" t="s">
        <v>236</v>
      </c>
      <c r="C11" s="403"/>
      <c r="D11" s="427"/>
      <c r="E11" s="403"/>
      <c r="F11" s="403"/>
      <c r="G11" s="429">
        <f t="shared" si="0"/>
        <v>0</v>
      </c>
      <c r="H11" s="40">
        <v>0</v>
      </c>
      <c r="I11" s="429">
        <v>0</v>
      </c>
      <c r="J11" s="429">
        <f t="shared" si="1"/>
        <v>0</v>
      </c>
      <c r="K11" s="429">
        <f t="shared" si="2"/>
        <v>0</v>
      </c>
      <c r="L11" s="40">
        <v>192689.3052</v>
      </c>
      <c r="M11" s="136">
        <f t="shared" si="3"/>
        <v>0</v>
      </c>
      <c r="N11" s="411"/>
      <c r="O11" s="17"/>
    </row>
    <row r="12" spans="1:18">
      <c r="A12" s="17"/>
      <c r="B12" s="426"/>
      <c r="C12" s="403"/>
      <c r="D12" s="403"/>
      <c r="E12" s="403"/>
      <c r="F12" s="403"/>
      <c r="G12" s="429">
        <f t="shared" si="0"/>
        <v>0</v>
      </c>
      <c r="H12" s="40">
        <v>0</v>
      </c>
      <c r="I12" s="429">
        <v>0</v>
      </c>
      <c r="J12" s="429">
        <f t="shared" si="1"/>
        <v>0</v>
      </c>
      <c r="K12" s="429">
        <f t="shared" si="2"/>
        <v>0</v>
      </c>
      <c r="L12" s="40"/>
      <c r="M12" s="136">
        <f t="shared" si="3"/>
        <v>0</v>
      </c>
      <c r="N12" s="411"/>
      <c r="O12" s="17"/>
    </row>
    <row r="13" spans="1:18">
      <c r="A13" s="17"/>
      <c r="B13" s="450"/>
      <c r="C13" s="403"/>
      <c r="D13" s="403"/>
      <c r="E13" s="403"/>
      <c r="F13" s="403"/>
      <c r="G13" s="429">
        <f t="shared" si="0"/>
        <v>0</v>
      </c>
      <c r="H13" s="40">
        <v>0</v>
      </c>
      <c r="I13" s="429">
        <v>0</v>
      </c>
      <c r="J13" s="429">
        <f t="shared" si="1"/>
        <v>0</v>
      </c>
      <c r="K13" s="429">
        <f t="shared" si="2"/>
        <v>0</v>
      </c>
      <c r="L13" s="40"/>
      <c r="M13" s="136">
        <f t="shared" si="3"/>
        <v>0</v>
      </c>
      <c r="N13" s="411"/>
      <c r="O13" s="17"/>
    </row>
    <row r="14" spans="1:18">
      <c r="A14" s="17"/>
      <c r="B14" s="450"/>
      <c r="C14" s="17"/>
      <c r="D14" s="17"/>
      <c r="E14" s="17"/>
      <c r="F14" s="17"/>
      <c r="G14" s="40">
        <f t="shared" si="0"/>
        <v>0</v>
      </c>
      <c r="H14" s="40">
        <v>0</v>
      </c>
      <c r="I14" s="40">
        <v>0</v>
      </c>
      <c r="J14" s="40">
        <f t="shared" si="1"/>
        <v>0</v>
      </c>
      <c r="K14" s="40">
        <f t="shared" si="2"/>
        <v>0</v>
      </c>
      <c r="L14" s="40"/>
      <c r="M14" s="136">
        <f t="shared" si="3"/>
        <v>0</v>
      </c>
      <c r="N14" s="411"/>
      <c r="O14" s="17"/>
    </row>
    <row r="15" spans="1:18">
      <c r="A15" s="17"/>
      <c r="B15" s="450"/>
      <c r="C15" s="17"/>
      <c r="D15" s="17"/>
      <c r="E15" s="17"/>
      <c r="F15" s="17"/>
      <c r="G15" s="40">
        <f t="shared" si="0"/>
        <v>0</v>
      </c>
      <c r="H15" s="40">
        <v>0</v>
      </c>
      <c r="I15" s="40">
        <v>0</v>
      </c>
      <c r="J15" s="40">
        <f t="shared" si="1"/>
        <v>0</v>
      </c>
      <c r="K15" s="40">
        <f t="shared" si="2"/>
        <v>0</v>
      </c>
      <c r="L15" s="40"/>
      <c r="M15" s="136">
        <f t="shared" si="3"/>
        <v>0</v>
      </c>
      <c r="N15" s="411"/>
      <c r="O15" s="17"/>
    </row>
    <row r="16" spans="1:18">
      <c r="A16" s="17"/>
      <c r="B16" s="450"/>
      <c r="C16" s="17"/>
      <c r="D16" s="17"/>
      <c r="E16" s="17"/>
      <c r="F16" s="17"/>
      <c r="G16" s="40">
        <f t="shared" si="0"/>
        <v>0</v>
      </c>
      <c r="H16" s="40">
        <v>0</v>
      </c>
      <c r="I16" s="40">
        <v>0</v>
      </c>
      <c r="J16" s="40">
        <f t="shared" si="1"/>
        <v>0</v>
      </c>
      <c r="K16" s="40">
        <f t="shared" si="2"/>
        <v>0</v>
      </c>
      <c r="L16" s="40"/>
      <c r="M16" s="136">
        <f t="shared" si="3"/>
        <v>0</v>
      </c>
      <c r="N16" s="411"/>
      <c r="O16" s="17"/>
    </row>
    <row r="17" spans="1:15">
      <c r="A17" s="17"/>
      <c r="B17" s="450"/>
      <c r="C17" s="17"/>
      <c r="D17" s="17"/>
      <c r="E17" s="17"/>
      <c r="F17" s="17"/>
      <c r="G17" s="40">
        <f t="shared" si="0"/>
        <v>0</v>
      </c>
      <c r="H17" s="40">
        <v>0</v>
      </c>
      <c r="I17" s="40">
        <v>0</v>
      </c>
      <c r="J17" s="40">
        <f t="shared" si="1"/>
        <v>0</v>
      </c>
      <c r="K17" s="40">
        <f t="shared" si="2"/>
        <v>0</v>
      </c>
      <c r="L17" s="40"/>
      <c r="M17" s="136">
        <f t="shared" si="3"/>
        <v>0</v>
      </c>
      <c r="N17" s="411"/>
      <c r="O17" s="17"/>
    </row>
    <row r="18" spans="1:15">
      <c r="A18" s="17"/>
      <c r="B18" s="17"/>
      <c r="C18" s="17"/>
      <c r="D18" s="17"/>
      <c r="E18" s="17"/>
      <c r="F18" s="17"/>
      <c r="G18" s="40">
        <f t="shared" si="0"/>
        <v>0</v>
      </c>
      <c r="H18" s="40">
        <v>0</v>
      </c>
      <c r="I18" s="40">
        <v>0</v>
      </c>
      <c r="J18" s="40">
        <f t="shared" si="1"/>
        <v>0</v>
      </c>
      <c r="K18" s="40">
        <f t="shared" si="2"/>
        <v>0</v>
      </c>
      <c r="L18" s="40"/>
      <c r="M18" s="136">
        <f t="shared" si="3"/>
        <v>0</v>
      </c>
      <c r="N18" s="17"/>
      <c r="O18" s="17"/>
    </row>
    <row r="19" spans="1:1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>
      <c r="A20" s="17"/>
      <c r="B20" s="17"/>
      <c r="C20" s="17"/>
      <c r="D20" s="17"/>
      <c r="E20" s="40">
        <f>SUM(E4:E19)</f>
        <v>7187.16</v>
      </c>
      <c r="F20" s="17"/>
      <c r="G20" s="40">
        <f>SUM(G4:G19)</f>
        <v>714906.80520000006</v>
      </c>
      <c r="H20" s="17"/>
      <c r="I20" s="17"/>
      <c r="J20" s="17"/>
      <c r="K20" s="40">
        <f>SUM(K4:K19)</f>
        <v>714906.80520000006</v>
      </c>
      <c r="L20" s="40">
        <f>SUM(L4:L19)</f>
        <v>1209619.8052000001</v>
      </c>
      <c r="M20" s="17"/>
      <c r="N20" s="17"/>
      <c r="O20" s="17"/>
    </row>
  </sheetData>
  <mergeCells count="2">
    <mergeCell ref="A1:N1"/>
    <mergeCell ref="A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83CA-88CD-469C-B114-CE7FD970A598}">
  <dimension ref="A1:R21"/>
  <sheetViews>
    <sheetView workbookViewId="0">
      <selection activeCell="Q6" sqref="Q6"/>
    </sheetView>
  </sheetViews>
  <sheetFormatPr defaultRowHeight="15"/>
  <cols>
    <col min="2" max="2" width="10.5703125" bestFit="1" customWidth="1"/>
    <col min="4" max="4" width="13.5703125" bestFit="1" customWidth="1"/>
    <col min="7" max="8" width="10.42578125" bestFit="1" customWidth="1"/>
    <col min="11" max="12" width="13.5703125" bestFit="1" customWidth="1"/>
    <col min="13" max="13" width="11.85546875" bestFit="1" customWidth="1"/>
    <col min="14" max="14" width="20.28515625" bestFit="1" customWidth="1"/>
    <col min="15" max="15" width="39.7109375" customWidth="1"/>
  </cols>
  <sheetData>
    <row r="1" spans="1:18" ht="15.75">
      <c r="A1" s="583" t="s">
        <v>347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403"/>
      <c r="P1" s="353"/>
      <c r="Q1" s="353"/>
      <c r="R1" s="353"/>
    </row>
    <row r="2" spans="1:18" ht="30.75">
      <c r="A2" s="64" t="s">
        <v>0</v>
      </c>
      <c r="B2" s="83" t="s">
        <v>167</v>
      </c>
      <c r="C2" s="83" t="s">
        <v>168</v>
      </c>
      <c r="D2" s="83" t="s">
        <v>169</v>
      </c>
      <c r="E2" s="90" t="s">
        <v>170</v>
      </c>
      <c r="F2" s="90" t="s">
        <v>171</v>
      </c>
      <c r="G2" s="90" t="s">
        <v>172</v>
      </c>
      <c r="H2" s="90" t="s">
        <v>173</v>
      </c>
      <c r="I2" s="90" t="s">
        <v>171</v>
      </c>
      <c r="J2" s="90" t="s">
        <v>172</v>
      </c>
      <c r="K2" s="91" t="s">
        <v>174</v>
      </c>
      <c r="L2" s="85" t="s">
        <v>175</v>
      </c>
      <c r="M2" s="127" t="s">
        <v>192</v>
      </c>
      <c r="N2" s="125" t="s">
        <v>177</v>
      </c>
      <c r="O2" s="423" t="s">
        <v>346</v>
      </c>
      <c r="P2" s="353"/>
      <c r="Q2" s="353"/>
      <c r="R2" s="353"/>
    </row>
    <row r="3" spans="1:18">
      <c r="A3" s="585" t="s">
        <v>178</v>
      </c>
      <c r="B3" s="586"/>
      <c r="C3" s="586"/>
      <c r="D3" s="586"/>
      <c r="E3" s="586"/>
      <c r="F3" s="586"/>
      <c r="G3" s="586"/>
      <c r="H3" s="586"/>
      <c r="I3" s="586"/>
      <c r="J3" s="587"/>
      <c r="K3" s="403"/>
      <c r="L3" s="403"/>
      <c r="M3" s="424">
        <v>0</v>
      </c>
      <c r="N3" s="425"/>
      <c r="O3" s="403"/>
      <c r="P3" s="353"/>
      <c r="Q3" s="353"/>
      <c r="R3" s="353"/>
    </row>
    <row r="4" spans="1:18">
      <c r="A4" s="403">
        <v>1</v>
      </c>
      <c r="B4" s="426"/>
      <c r="C4" s="427"/>
      <c r="D4" s="427"/>
      <c r="E4" s="428"/>
      <c r="F4" s="429"/>
      <c r="G4" s="430">
        <f t="shared" ref="G4:G18" si="0">E4*F4</f>
        <v>0</v>
      </c>
      <c r="H4" s="429">
        <v>0</v>
      </c>
      <c r="I4" s="429">
        <v>0</v>
      </c>
      <c r="J4" s="430">
        <f t="shared" ref="J4:J18" si="1">H4*I4</f>
        <v>0</v>
      </c>
      <c r="K4" s="430">
        <f t="shared" ref="K4:L18" si="2">G4+J4</f>
        <v>0</v>
      </c>
      <c r="L4" s="429"/>
      <c r="M4" s="431">
        <f t="shared" ref="K4:M18" si="3">M3+K4-L4</f>
        <v>0</v>
      </c>
      <c r="N4" s="432"/>
      <c r="O4" s="433"/>
      <c r="P4" s="434"/>
      <c r="Q4" s="434"/>
      <c r="R4" s="353"/>
    </row>
    <row r="5" spans="1:18">
      <c r="A5" s="403">
        <v>2</v>
      </c>
      <c r="B5" s="426"/>
      <c r="C5" s="427"/>
      <c r="D5" s="427"/>
      <c r="E5" s="427"/>
      <c r="F5" s="429"/>
      <c r="G5" s="430">
        <f t="shared" si="0"/>
        <v>0</v>
      </c>
      <c r="H5" s="429">
        <v>0</v>
      </c>
      <c r="I5" s="429">
        <v>0</v>
      </c>
      <c r="J5" s="430">
        <f t="shared" si="1"/>
        <v>0</v>
      </c>
      <c r="K5" s="430">
        <f t="shared" si="2"/>
        <v>0</v>
      </c>
      <c r="L5" s="429"/>
      <c r="M5" s="431">
        <f t="shared" si="3"/>
        <v>0</v>
      </c>
      <c r="N5" s="432"/>
      <c r="O5" s="433"/>
      <c r="P5" s="434"/>
      <c r="Q5" s="434"/>
      <c r="R5" s="353"/>
    </row>
    <row r="6" spans="1:18">
      <c r="A6" s="403">
        <v>3</v>
      </c>
      <c r="B6" s="426"/>
      <c r="C6" s="427"/>
      <c r="D6" s="427"/>
      <c r="E6" s="427"/>
      <c r="F6" s="429"/>
      <c r="G6" s="430">
        <f t="shared" si="0"/>
        <v>0</v>
      </c>
      <c r="H6" s="429">
        <v>0</v>
      </c>
      <c r="I6" s="429">
        <v>0</v>
      </c>
      <c r="J6" s="430">
        <f t="shared" si="1"/>
        <v>0</v>
      </c>
      <c r="K6" s="430">
        <f t="shared" si="2"/>
        <v>0</v>
      </c>
      <c r="L6" s="429"/>
      <c r="M6" s="431">
        <f t="shared" si="3"/>
        <v>0</v>
      </c>
      <c r="N6" s="432"/>
      <c r="O6" s="433"/>
      <c r="P6" s="434"/>
      <c r="Q6" s="434"/>
      <c r="R6" s="353"/>
    </row>
    <row r="7" spans="1:18">
      <c r="A7" s="403">
        <v>4</v>
      </c>
      <c r="B7" s="426"/>
      <c r="C7" s="427"/>
      <c r="D7" s="427"/>
      <c r="E7" s="427"/>
      <c r="F7" s="403"/>
      <c r="G7" s="430">
        <f t="shared" si="0"/>
        <v>0</v>
      </c>
      <c r="H7" s="429">
        <v>0</v>
      </c>
      <c r="I7" s="429">
        <v>0</v>
      </c>
      <c r="J7" s="430">
        <f t="shared" si="1"/>
        <v>0</v>
      </c>
      <c r="K7" s="430">
        <f t="shared" si="2"/>
        <v>0</v>
      </c>
      <c r="L7" s="429"/>
      <c r="M7" s="431">
        <f t="shared" si="3"/>
        <v>0</v>
      </c>
      <c r="N7" s="432"/>
      <c r="O7" s="403"/>
      <c r="P7" s="434"/>
      <c r="Q7" s="353"/>
      <c r="R7" s="353"/>
    </row>
    <row r="8" spans="1:18">
      <c r="A8" s="403">
        <v>5</v>
      </c>
      <c r="B8" s="426"/>
      <c r="C8" s="403"/>
      <c r="D8" s="427"/>
      <c r="E8" s="403"/>
      <c r="F8" s="403"/>
      <c r="G8" s="430">
        <f t="shared" si="0"/>
        <v>0</v>
      </c>
      <c r="H8" s="429">
        <v>0</v>
      </c>
      <c r="I8" s="429">
        <v>0</v>
      </c>
      <c r="J8" s="430">
        <f t="shared" si="1"/>
        <v>0</v>
      </c>
      <c r="K8" s="430">
        <f t="shared" si="2"/>
        <v>0</v>
      </c>
      <c r="L8" s="429"/>
      <c r="M8" s="431">
        <f t="shared" si="3"/>
        <v>0</v>
      </c>
      <c r="N8" s="432"/>
      <c r="O8" s="403"/>
      <c r="P8" s="353"/>
      <c r="Q8" s="353"/>
      <c r="R8" s="353"/>
    </row>
    <row r="9" spans="1:18">
      <c r="A9" s="403">
        <v>6</v>
      </c>
      <c r="B9" s="426"/>
      <c r="C9" s="403"/>
      <c r="D9" s="427"/>
      <c r="E9" s="403"/>
      <c r="F9" s="403"/>
      <c r="G9" s="430">
        <f t="shared" si="0"/>
        <v>0</v>
      </c>
      <c r="H9" s="429">
        <v>0</v>
      </c>
      <c r="I9" s="429">
        <v>0</v>
      </c>
      <c r="J9" s="430">
        <f t="shared" si="1"/>
        <v>0</v>
      </c>
      <c r="K9" s="430">
        <f t="shared" si="2"/>
        <v>0</v>
      </c>
      <c r="L9" s="429"/>
      <c r="M9" s="431">
        <f t="shared" si="3"/>
        <v>0</v>
      </c>
      <c r="N9" s="403"/>
      <c r="O9" s="403"/>
      <c r="P9" s="353"/>
      <c r="Q9" s="353"/>
      <c r="R9" s="353"/>
    </row>
    <row r="10" spans="1:18">
      <c r="A10" s="403">
        <v>7</v>
      </c>
      <c r="B10" s="426"/>
      <c r="C10" s="403"/>
      <c r="D10" s="427"/>
      <c r="E10" s="403"/>
      <c r="F10" s="403"/>
      <c r="G10" s="430">
        <f t="shared" si="0"/>
        <v>0</v>
      </c>
      <c r="H10" s="429">
        <v>0</v>
      </c>
      <c r="I10" s="429">
        <v>0</v>
      </c>
      <c r="J10" s="430">
        <f t="shared" si="1"/>
        <v>0</v>
      </c>
      <c r="K10" s="430">
        <f t="shared" si="2"/>
        <v>0</v>
      </c>
      <c r="L10" s="429"/>
      <c r="M10" s="431">
        <f t="shared" si="3"/>
        <v>0</v>
      </c>
      <c r="N10" s="403"/>
      <c r="O10" s="403"/>
      <c r="P10" s="353"/>
      <c r="Q10" s="353"/>
      <c r="R10" s="353"/>
    </row>
    <row r="11" spans="1:18">
      <c r="A11" s="403"/>
      <c r="B11" s="426"/>
      <c r="C11" s="403"/>
      <c r="D11" s="427"/>
      <c r="E11" s="403"/>
      <c r="F11" s="403"/>
      <c r="G11" s="430">
        <f t="shared" si="0"/>
        <v>0</v>
      </c>
      <c r="H11" s="429">
        <v>0</v>
      </c>
      <c r="I11" s="429">
        <v>0</v>
      </c>
      <c r="J11" s="430">
        <f t="shared" si="1"/>
        <v>0</v>
      </c>
      <c r="K11" s="430">
        <f t="shared" si="2"/>
        <v>0</v>
      </c>
      <c r="L11" s="429"/>
      <c r="M11" s="431">
        <f t="shared" si="3"/>
        <v>0</v>
      </c>
      <c r="N11" s="403"/>
      <c r="O11" s="403"/>
      <c r="P11" s="353"/>
      <c r="Q11" s="353"/>
      <c r="R11" s="353"/>
    </row>
    <row r="12" spans="1:18">
      <c r="A12" s="403"/>
      <c r="B12" s="426"/>
      <c r="C12" s="403"/>
      <c r="D12" s="427"/>
      <c r="E12" s="403"/>
      <c r="F12" s="403"/>
      <c r="G12" s="430">
        <f t="shared" si="0"/>
        <v>0</v>
      </c>
      <c r="H12" s="429">
        <v>0</v>
      </c>
      <c r="I12" s="429">
        <v>0</v>
      </c>
      <c r="J12" s="430">
        <f t="shared" si="1"/>
        <v>0</v>
      </c>
      <c r="K12" s="430">
        <f t="shared" si="2"/>
        <v>0</v>
      </c>
      <c r="L12" s="429"/>
      <c r="M12" s="431">
        <f t="shared" si="3"/>
        <v>0</v>
      </c>
      <c r="N12" s="403"/>
      <c r="O12" s="403"/>
      <c r="P12" s="353"/>
      <c r="Q12" s="353"/>
      <c r="R12" s="353"/>
    </row>
    <row r="13" spans="1:18">
      <c r="A13" s="403"/>
      <c r="B13" s="426"/>
      <c r="C13" s="403"/>
      <c r="D13" s="427"/>
      <c r="E13" s="403"/>
      <c r="F13" s="403"/>
      <c r="G13" s="430">
        <f t="shared" si="0"/>
        <v>0</v>
      </c>
      <c r="H13" s="429">
        <v>0</v>
      </c>
      <c r="I13" s="429">
        <v>0</v>
      </c>
      <c r="J13" s="430">
        <f t="shared" si="1"/>
        <v>0</v>
      </c>
      <c r="K13" s="430">
        <f t="shared" si="2"/>
        <v>0</v>
      </c>
      <c r="L13" s="430"/>
      <c r="M13" s="431">
        <f t="shared" si="3"/>
        <v>0</v>
      </c>
      <c r="N13" s="403"/>
      <c r="O13" s="403"/>
      <c r="P13" s="353"/>
      <c r="Q13" s="353"/>
      <c r="R13" s="353"/>
    </row>
    <row r="14" spans="1:18">
      <c r="A14" s="403"/>
      <c r="B14" s="403"/>
      <c r="C14" s="403"/>
      <c r="D14" s="427"/>
      <c r="E14" s="403"/>
      <c r="F14" s="403"/>
      <c r="G14" s="430">
        <f t="shared" si="0"/>
        <v>0</v>
      </c>
      <c r="H14" s="429">
        <v>0</v>
      </c>
      <c r="I14" s="429">
        <v>0</v>
      </c>
      <c r="J14" s="430">
        <f t="shared" si="1"/>
        <v>0</v>
      </c>
      <c r="K14" s="430">
        <f t="shared" si="2"/>
        <v>0</v>
      </c>
      <c r="L14" s="429"/>
      <c r="M14" s="431">
        <f t="shared" si="3"/>
        <v>0</v>
      </c>
      <c r="N14" s="403"/>
      <c r="O14" s="403"/>
      <c r="P14" s="353"/>
      <c r="Q14" s="353"/>
      <c r="R14" s="353"/>
    </row>
    <row r="15" spans="1:18">
      <c r="A15" s="403"/>
      <c r="B15" s="403"/>
      <c r="C15" s="403"/>
      <c r="D15" s="427"/>
      <c r="E15" s="403"/>
      <c r="F15" s="403"/>
      <c r="G15" s="430">
        <f t="shared" si="0"/>
        <v>0</v>
      </c>
      <c r="H15" s="429">
        <v>0</v>
      </c>
      <c r="I15" s="429">
        <v>0</v>
      </c>
      <c r="J15" s="430">
        <f t="shared" si="1"/>
        <v>0</v>
      </c>
      <c r="K15" s="430">
        <f t="shared" si="2"/>
        <v>0</v>
      </c>
      <c r="L15" s="429"/>
      <c r="M15" s="431">
        <f t="shared" si="3"/>
        <v>0</v>
      </c>
      <c r="N15" s="403"/>
      <c r="O15" s="403"/>
      <c r="P15" s="353"/>
      <c r="Q15" s="353"/>
      <c r="R15" s="353"/>
    </row>
    <row r="16" spans="1:18">
      <c r="A16" s="403"/>
      <c r="B16" s="403"/>
      <c r="C16" s="403"/>
      <c r="D16" s="427"/>
      <c r="E16" s="403"/>
      <c r="F16" s="403"/>
      <c r="G16" s="430">
        <f t="shared" si="0"/>
        <v>0</v>
      </c>
      <c r="H16" s="429">
        <v>0</v>
      </c>
      <c r="I16" s="429">
        <v>0</v>
      </c>
      <c r="J16" s="430">
        <f t="shared" si="1"/>
        <v>0</v>
      </c>
      <c r="K16" s="430">
        <f t="shared" si="2"/>
        <v>0</v>
      </c>
      <c r="L16" s="429"/>
      <c r="M16" s="431">
        <f t="shared" si="3"/>
        <v>0</v>
      </c>
      <c r="N16" s="403"/>
      <c r="O16" s="403"/>
      <c r="P16" s="353"/>
      <c r="Q16" s="353"/>
      <c r="R16" s="353"/>
    </row>
    <row r="17" spans="1:18">
      <c r="A17" s="403"/>
      <c r="B17" s="403"/>
      <c r="C17" s="403"/>
      <c r="D17" s="427"/>
      <c r="E17" s="403"/>
      <c r="F17" s="403"/>
      <c r="G17" s="430">
        <f t="shared" si="0"/>
        <v>0</v>
      </c>
      <c r="H17" s="429">
        <v>0</v>
      </c>
      <c r="I17" s="429">
        <v>0</v>
      </c>
      <c r="J17" s="430">
        <f t="shared" si="1"/>
        <v>0</v>
      </c>
      <c r="K17" s="430">
        <f t="shared" si="2"/>
        <v>0</v>
      </c>
      <c r="L17" s="429"/>
      <c r="M17" s="431">
        <f t="shared" si="3"/>
        <v>0</v>
      </c>
      <c r="N17" s="403"/>
      <c r="O17" s="403"/>
      <c r="P17" s="353"/>
      <c r="Q17" s="353"/>
      <c r="R17" s="353"/>
    </row>
    <row r="18" spans="1:18">
      <c r="A18" s="403"/>
      <c r="B18" s="403"/>
      <c r="C18" s="403"/>
      <c r="D18" s="427"/>
      <c r="E18" s="403"/>
      <c r="F18" s="403"/>
      <c r="G18" s="430">
        <f t="shared" si="0"/>
        <v>0</v>
      </c>
      <c r="H18" s="429">
        <v>0</v>
      </c>
      <c r="I18" s="429">
        <v>0</v>
      </c>
      <c r="J18" s="430">
        <f t="shared" si="1"/>
        <v>0</v>
      </c>
      <c r="K18" s="430">
        <f t="shared" si="2"/>
        <v>0</v>
      </c>
      <c r="L18" s="429"/>
      <c r="M18" s="431">
        <f t="shared" si="3"/>
        <v>0</v>
      </c>
      <c r="N18" s="403"/>
      <c r="O18" s="403"/>
      <c r="P18" s="353"/>
      <c r="Q18" s="353"/>
      <c r="R18" s="353"/>
    </row>
    <row r="19" spans="1:18">
      <c r="A19" s="403"/>
      <c r="B19" s="403"/>
      <c r="C19" s="403"/>
      <c r="D19" s="427"/>
      <c r="E19" s="429">
        <f>SUM(E4:E18)</f>
        <v>0</v>
      </c>
      <c r="F19" s="403"/>
      <c r="G19" s="429">
        <f>SUM(G4:G18)</f>
        <v>0</v>
      </c>
      <c r="H19" s="429">
        <f>SUM(H4:H18)</f>
        <v>0</v>
      </c>
      <c r="I19" s="403"/>
      <c r="J19" s="429">
        <f>SUM(J4:J18)</f>
        <v>0</v>
      </c>
      <c r="K19" s="429">
        <f>SUM(K4:K18)</f>
        <v>0</v>
      </c>
      <c r="L19" s="429">
        <f>SUM(L4:L18)</f>
        <v>0</v>
      </c>
      <c r="M19" s="403"/>
      <c r="N19" s="403"/>
      <c r="O19" s="403"/>
      <c r="P19" s="353"/>
      <c r="Q19" s="353"/>
      <c r="R19" s="353"/>
    </row>
    <row r="20" spans="1:18">
      <c r="A20" s="353"/>
      <c r="B20" s="353"/>
      <c r="C20" s="353"/>
      <c r="D20" s="434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</row>
    <row r="21" spans="1:18">
      <c r="A21" s="353"/>
      <c r="B21" s="353"/>
      <c r="C21" s="353"/>
      <c r="D21" s="435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</row>
  </sheetData>
  <mergeCells count="2">
    <mergeCell ref="A1:N1"/>
    <mergeCell ref="A3:J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3905-F01E-4B79-926C-1C75E94FE7A7}">
  <dimension ref="A1:W79"/>
  <sheetViews>
    <sheetView topLeftCell="P1" workbookViewId="0">
      <selection activeCell="M15" sqref="M15"/>
    </sheetView>
  </sheetViews>
  <sheetFormatPr defaultRowHeight="15"/>
  <cols>
    <col min="2" max="2" width="10.5703125" bestFit="1" customWidth="1"/>
    <col min="4" max="4" width="43.5703125" bestFit="1" customWidth="1"/>
    <col min="7" max="7" width="10.42578125" bestFit="1" customWidth="1"/>
    <col min="11" max="12" width="13.5703125" bestFit="1" customWidth="1"/>
    <col min="13" max="13" width="11.5703125" bestFit="1" customWidth="1"/>
    <col min="14" max="14" width="34" bestFit="1" customWidth="1"/>
    <col min="15" max="15" width="35.42578125" bestFit="1" customWidth="1"/>
    <col min="16" max="16" width="19" customWidth="1"/>
  </cols>
  <sheetData>
    <row r="1" spans="1:23" ht="15.75">
      <c r="A1" s="588" t="s">
        <v>348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86"/>
      <c r="P1" s="422"/>
      <c r="Q1" s="422"/>
      <c r="R1" s="422"/>
      <c r="S1" s="422"/>
      <c r="T1" s="422"/>
      <c r="U1" s="422"/>
      <c r="V1" s="422"/>
      <c r="W1" s="422"/>
    </row>
    <row r="2" spans="1:23" ht="30.75">
      <c r="A2" s="413" t="s">
        <v>0</v>
      </c>
      <c r="B2" s="414" t="s">
        <v>167</v>
      </c>
      <c r="C2" s="414" t="s">
        <v>168</v>
      </c>
      <c r="D2" s="414" t="s">
        <v>169</v>
      </c>
      <c r="E2" s="416" t="s">
        <v>170</v>
      </c>
      <c r="F2" s="416" t="s">
        <v>171</v>
      </c>
      <c r="G2" s="416" t="s">
        <v>172</v>
      </c>
      <c r="H2" s="416" t="s">
        <v>173</v>
      </c>
      <c r="I2" s="416" t="s">
        <v>171</v>
      </c>
      <c r="J2" s="416" t="s">
        <v>172</v>
      </c>
      <c r="K2" s="417" t="s">
        <v>174</v>
      </c>
      <c r="L2" s="418" t="s">
        <v>175</v>
      </c>
      <c r="M2" s="418" t="s">
        <v>192</v>
      </c>
      <c r="N2" s="414" t="s">
        <v>177</v>
      </c>
      <c r="O2" s="440"/>
      <c r="P2" s="422"/>
      <c r="Q2" s="422"/>
      <c r="R2" s="422"/>
      <c r="S2" s="422"/>
      <c r="T2" s="422"/>
      <c r="U2" s="422"/>
      <c r="V2" s="422"/>
      <c r="W2" s="422"/>
    </row>
    <row r="3" spans="1:23">
      <c r="A3" s="589" t="s">
        <v>178</v>
      </c>
      <c r="B3" s="589"/>
      <c r="C3" s="589"/>
      <c r="D3" s="589"/>
      <c r="E3" s="589"/>
      <c r="F3" s="589"/>
      <c r="G3" s="589"/>
      <c r="H3" s="589"/>
      <c r="I3" s="589"/>
      <c r="J3" s="589"/>
      <c r="K3" s="86">
        <v>0</v>
      </c>
      <c r="L3" s="86"/>
      <c r="M3" s="419">
        <f>+K3</f>
        <v>0</v>
      </c>
      <c r="N3" s="411"/>
      <c r="O3" s="389"/>
      <c r="P3" s="422"/>
      <c r="Q3" s="422"/>
      <c r="R3" s="422"/>
      <c r="S3" s="422"/>
      <c r="T3" s="422"/>
      <c r="U3" s="422"/>
      <c r="V3" s="422"/>
      <c r="W3" s="422"/>
    </row>
    <row r="4" spans="1:23">
      <c r="A4" s="86">
        <v>1</v>
      </c>
      <c r="B4" s="420"/>
      <c r="C4" s="86"/>
      <c r="D4" s="86"/>
      <c r="E4" s="421">
        <v>10.11</v>
      </c>
      <c r="F4" s="436">
        <v>98.95</v>
      </c>
      <c r="G4" s="421">
        <f t="shared" ref="G4:G34" si="0">E4*F4</f>
        <v>1000.3845</v>
      </c>
      <c r="H4" s="436">
        <v>0</v>
      </c>
      <c r="I4" s="436">
        <v>0</v>
      </c>
      <c r="J4" s="421">
        <f t="shared" ref="J4:J34" si="1">H4*I4</f>
        <v>0</v>
      </c>
      <c r="K4" s="421">
        <f t="shared" ref="K4:L34" si="2">G4+J4</f>
        <v>1000.3845</v>
      </c>
      <c r="L4" s="421">
        <f t="shared" si="2"/>
        <v>1000.3845</v>
      </c>
      <c r="M4" s="441">
        <f>M3+K4-L4</f>
        <v>0</v>
      </c>
      <c r="N4" s="411" t="s">
        <v>349</v>
      </c>
      <c r="O4" s="389"/>
      <c r="P4" s="422"/>
      <c r="Q4" s="422"/>
      <c r="R4" s="422"/>
      <c r="S4" s="422"/>
      <c r="T4" s="422"/>
      <c r="U4" s="422"/>
      <c r="V4" s="422"/>
      <c r="W4" s="422"/>
    </row>
    <row r="5" spans="1:23">
      <c r="A5" s="86">
        <v>2</v>
      </c>
      <c r="B5" s="420"/>
      <c r="C5" s="86"/>
      <c r="D5" s="442"/>
      <c r="E5" s="421"/>
      <c r="F5" s="436"/>
      <c r="G5" s="421">
        <f t="shared" si="0"/>
        <v>0</v>
      </c>
      <c r="H5" s="436">
        <v>0</v>
      </c>
      <c r="I5" s="436">
        <v>0</v>
      </c>
      <c r="J5" s="421">
        <f t="shared" si="1"/>
        <v>0</v>
      </c>
      <c r="K5" s="421">
        <f t="shared" si="2"/>
        <v>0</v>
      </c>
      <c r="L5" s="436"/>
      <c r="M5" s="441">
        <f t="shared" ref="M5:M34" si="3">M4+K5-L5</f>
        <v>0</v>
      </c>
      <c r="N5" s="411"/>
      <c r="O5" s="389"/>
      <c r="P5" s="422"/>
      <c r="Q5" s="422"/>
      <c r="R5" s="422"/>
      <c r="S5" s="422"/>
      <c r="T5" s="422"/>
      <c r="U5" s="422"/>
      <c r="V5" s="422"/>
      <c r="W5" s="422"/>
    </row>
    <row r="6" spans="1:23">
      <c r="A6" s="86">
        <v>3</v>
      </c>
      <c r="B6" s="420"/>
      <c r="C6" s="86"/>
      <c r="D6" s="86"/>
      <c r="E6" s="421"/>
      <c r="F6" s="436"/>
      <c r="G6" s="421">
        <f t="shared" si="0"/>
        <v>0</v>
      </c>
      <c r="H6" s="436">
        <v>0</v>
      </c>
      <c r="I6" s="436">
        <v>0</v>
      </c>
      <c r="J6" s="421">
        <f t="shared" si="1"/>
        <v>0</v>
      </c>
      <c r="K6" s="421">
        <f t="shared" si="2"/>
        <v>0</v>
      </c>
      <c r="L6" s="436"/>
      <c r="M6" s="441">
        <f t="shared" si="3"/>
        <v>0</v>
      </c>
      <c r="N6" s="411"/>
      <c r="O6" s="389"/>
      <c r="P6" s="422"/>
      <c r="Q6" s="422"/>
      <c r="R6" s="422"/>
      <c r="S6" s="422"/>
      <c r="T6" s="422"/>
      <c r="U6" s="422"/>
      <c r="V6" s="422"/>
      <c r="W6" s="422"/>
    </row>
    <row r="7" spans="1:23">
      <c r="A7" s="86">
        <v>4</v>
      </c>
      <c r="B7" s="420"/>
      <c r="C7" s="86"/>
      <c r="D7" s="86"/>
      <c r="E7" s="421"/>
      <c r="F7" s="436"/>
      <c r="G7" s="421">
        <f t="shared" si="0"/>
        <v>0</v>
      </c>
      <c r="H7" s="436">
        <v>0</v>
      </c>
      <c r="I7" s="436">
        <v>0</v>
      </c>
      <c r="J7" s="421">
        <f t="shared" si="1"/>
        <v>0</v>
      </c>
      <c r="K7" s="421">
        <f t="shared" si="2"/>
        <v>0</v>
      </c>
      <c r="L7" s="436"/>
      <c r="M7" s="441">
        <f t="shared" si="3"/>
        <v>0</v>
      </c>
      <c r="N7" s="411"/>
      <c r="O7" s="389"/>
      <c r="P7" s="422"/>
      <c r="Q7" s="422"/>
      <c r="R7" s="422"/>
      <c r="S7" s="422"/>
      <c r="T7" s="422"/>
      <c r="U7" s="422"/>
      <c r="V7" s="422"/>
      <c r="W7" s="422"/>
    </row>
    <row r="8" spans="1:23">
      <c r="A8" s="86">
        <v>5</v>
      </c>
      <c r="B8" s="420"/>
      <c r="C8" s="86"/>
      <c r="D8" s="86"/>
      <c r="E8" s="86"/>
      <c r="F8" s="436"/>
      <c r="G8" s="421">
        <f t="shared" si="0"/>
        <v>0</v>
      </c>
      <c r="H8" s="436">
        <v>0</v>
      </c>
      <c r="I8" s="436">
        <v>0</v>
      </c>
      <c r="J8" s="421">
        <f t="shared" si="1"/>
        <v>0</v>
      </c>
      <c r="K8" s="421">
        <f t="shared" si="2"/>
        <v>0</v>
      </c>
      <c r="L8" s="436"/>
      <c r="M8" s="441">
        <f t="shared" si="3"/>
        <v>0</v>
      </c>
      <c r="N8" s="411"/>
      <c r="O8" s="389"/>
      <c r="P8" s="422"/>
      <c r="Q8" s="422"/>
      <c r="R8" s="422"/>
      <c r="S8" s="422"/>
      <c r="T8" s="422"/>
      <c r="U8" s="422"/>
      <c r="V8" s="422"/>
      <c r="W8" s="422"/>
    </row>
    <row r="9" spans="1:23">
      <c r="A9" s="86">
        <v>6</v>
      </c>
      <c r="B9" s="420"/>
      <c r="C9" s="86"/>
      <c r="D9" s="442"/>
      <c r="E9" s="86"/>
      <c r="F9" s="436"/>
      <c r="G9" s="421">
        <f t="shared" si="0"/>
        <v>0</v>
      </c>
      <c r="H9" s="436">
        <v>0</v>
      </c>
      <c r="I9" s="436">
        <v>0</v>
      </c>
      <c r="J9" s="421">
        <f t="shared" si="1"/>
        <v>0</v>
      </c>
      <c r="K9" s="421">
        <f t="shared" si="2"/>
        <v>0</v>
      </c>
      <c r="L9" s="436"/>
      <c r="M9" s="441">
        <f t="shared" si="3"/>
        <v>0</v>
      </c>
      <c r="N9" s="411"/>
      <c r="O9" s="389"/>
      <c r="P9" s="422"/>
      <c r="Q9" s="422"/>
      <c r="R9" s="422"/>
      <c r="S9" s="422"/>
      <c r="T9" s="422"/>
      <c r="U9" s="422"/>
      <c r="V9" s="422"/>
      <c r="W9" s="422"/>
    </row>
    <row r="10" spans="1:23">
      <c r="A10" s="86">
        <v>7</v>
      </c>
      <c r="B10" s="420"/>
      <c r="C10" s="86"/>
      <c r="D10" s="86"/>
      <c r="E10" s="86"/>
      <c r="F10" s="436"/>
      <c r="G10" s="421">
        <f t="shared" si="0"/>
        <v>0</v>
      </c>
      <c r="H10" s="436">
        <v>0</v>
      </c>
      <c r="I10" s="436">
        <v>0</v>
      </c>
      <c r="J10" s="421">
        <f t="shared" si="1"/>
        <v>0</v>
      </c>
      <c r="K10" s="421">
        <f t="shared" si="2"/>
        <v>0</v>
      </c>
      <c r="L10" s="436"/>
      <c r="M10" s="441">
        <f t="shared" si="3"/>
        <v>0</v>
      </c>
      <c r="N10" s="411"/>
      <c r="O10" s="389"/>
      <c r="P10" s="422"/>
      <c r="Q10" s="422"/>
      <c r="R10" s="422"/>
      <c r="S10" s="422"/>
      <c r="T10" s="422"/>
      <c r="U10" s="422"/>
      <c r="V10" s="422"/>
      <c r="W10" s="422"/>
    </row>
    <row r="11" spans="1:23">
      <c r="A11" s="86">
        <v>8</v>
      </c>
      <c r="B11" s="420"/>
      <c r="C11" s="86"/>
      <c r="D11" s="86"/>
      <c r="E11" s="86"/>
      <c r="F11" s="436"/>
      <c r="G11" s="421">
        <f t="shared" si="0"/>
        <v>0</v>
      </c>
      <c r="H11" s="436">
        <v>0</v>
      </c>
      <c r="I11" s="436">
        <v>0</v>
      </c>
      <c r="J11" s="421">
        <f t="shared" si="1"/>
        <v>0</v>
      </c>
      <c r="K11" s="421">
        <f t="shared" si="2"/>
        <v>0</v>
      </c>
      <c r="L11" s="436"/>
      <c r="M11" s="441">
        <f t="shared" si="3"/>
        <v>0</v>
      </c>
      <c r="N11" s="411"/>
      <c r="O11" s="389"/>
      <c r="P11" s="422"/>
      <c r="Q11" s="422"/>
      <c r="R11" s="422"/>
      <c r="S11" s="422"/>
      <c r="T11" s="422"/>
      <c r="U11" s="422"/>
      <c r="V11" s="422"/>
      <c r="W11" s="422"/>
    </row>
    <row r="12" spans="1:23">
      <c r="A12" s="86">
        <v>9</v>
      </c>
      <c r="B12" s="420"/>
      <c r="C12" s="86"/>
      <c r="D12" s="86"/>
      <c r="E12" s="86"/>
      <c r="F12" s="436"/>
      <c r="G12" s="421">
        <f t="shared" si="0"/>
        <v>0</v>
      </c>
      <c r="H12" s="436">
        <v>0</v>
      </c>
      <c r="I12" s="436">
        <v>0</v>
      </c>
      <c r="J12" s="421">
        <f t="shared" si="1"/>
        <v>0</v>
      </c>
      <c r="K12" s="421">
        <f t="shared" si="2"/>
        <v>0</v>
      </c>
      <c r="L12" s="436"/>
      <c r="M12" s="441">
        <f t="shared" si="3"/>
        <v>0</v>
      </c>
      <c r="N12" s="411"/>
      <c r="O12" s="389"/>
      <c r="P12" s="422"/>
      <c r="Q12" s="422"/>
      <c r="R12" s="422"/>
      <c r="S12" s="422"/>
      <c r="T12" s="422"/>
      <c r="U12" s="422"/>
      <c r="V12" s="422"/>
      <c r="W12" s="422"/>
    </row>
    <row r="13" spans="1:23">
      <c r="A13" s="86">
        <v>10</v>
      </c>
      <c r="B13" s="420"/>
      <c r="C13" s="86"/>
      <c r="D13" s="86"/>
      <c r="E13" s="86"/>
      <c r="F13" s="436"/>
      <c r="G13" s="421">
        <f t="shared" si="0"/>
        <v>0</v>
      </c>
      <c r="H13" s="436">
        <v>0</v>
      </c>
      <c r="I13" s="436">
        <v>0</v>
      </c>
      <c r="J13" s="421">
        <f t="shared" si="1"/>
        <v>0</v>
      </c>
      <c r="K13" s="421">
        <f t="shared" si="2"/>
        <v>0</v>
      </c>
      <c r="L13" s="436"/>
      <c r="M13" s="441">
        <f t="shared" si="3"/>
        <v>0</v>
      </c>
      <c r="N13" s="411"/>
      <c r="O13" s="389"/>
      <c r="P13" s="422"/>
      <c r="Q13" s="422"/>
      <c r="R13" s="422"/>
      <c r="S13" s="422"/>
      <c r="T13" s="422"/>
      <c r="U13" s="422"/>
      <c r="V13" s="422"/>
      <c r="W13" s="422"/>
    </row>
    <row r="14" spans="1:23">
      <c r="A14" s="86">
        <v>11</v>
      </c>
      <c r="B14" s="420"/>
      <c r="C14" s="86"/>
      <c r="D14" s="86"/>
      <c r="E14" s="86"/>
      <c r="F14" s="436"/>
      <c r="G14" s="421">
        <f t="shared" si="0"/>
        <v>0</v>
      </c>
      <c r="H14" s="436">
        <v>0</v>
      </c>
      <c r="I14" s="436">
        <v>0</v>
      </c>
      <c r="J14" s="421">
        <f t="shared" si="1"/>
        <v>0</v>
      </c>
      <c r="K14" s="421">
        <f t="shared" si="2"/>
        <v>0</v>
      </c>
      <c r="L14" s="436"/>
      <c r="M14" s="441">
        <f t="shared" si="3"/>
        <v>0</v>
      </c>
      <c r="N14" s="411"/>
      <c r="O14" s="389"/>
      <c r="P14" s="422"/>
      <c r="Q14" s="422"/>
      <c r="R14" s="422"/>
      <c r="S14" s="422"/>
      <c r="T14" s="422"/>
      <c r="U14" s="422"/>
      <c r="V14" s="422"/>
      <c r="W14" s="422"/>
    </row>
    <row r="15" spans="1:23">
      <c r="A15" s="86">
        <v>12</v>
      </c>
      <c r="B15" s="420"/>
      <c r="C15" s="194"/>
      <c r="D15" s="194"/>
      <c r="E15" s="40"/>
      <c r="F15" s="40"/>
      <c r="G15" s="421">
        <f t="shared" si="0"/>
        <v>0</v>
      </c>
      <c r="H15" s="436">
        <v>0</v>
      </c>
      <c r="I15" s="436">
        <v>0</v>
      </c>
      <c r="J15" s="421">
        <f t="shared" si="1"/>
        <v>0</v>
      </c>
      <c r="K15" s="421">
        <f t="shared" si="2"/>
        <v>0</v>
      </c>
      <c r="L15" s="436"/>
      <c r="M15" s="441">
        <f t="shared" si="3"/>
        <v>0</v>
      </c>
      <c r="N15" s="411"/>
      <c r="O15" s="389"/>
      <c r="P15" s="422"/>
      <c r="Q15" s="422"/>
      <c r="R15" s="422"/>
      <c r="S15" s="422"/>
      <c r="T15" s="422"/>
      <c r="U15" s="422"/>
      <c r="V15" s="422"/>
      <c r="W15" s="422"/>
    </row>
    <row r="16" spans="1:23">
      <c r="A16" s="86">
        <v>13</v>
      </c>
      <c r="B16" s="426"/>
      <c r="C16" s="427"/>
      <c r="D16" s="427"/>
      <c r="E16" s="427"/>
      <c r="F16" s="446"/>
      <c r="G16" s="428">
        <f t="shared" si="0"/>
        <v>0</v>
      </c>
      <c r="H16" s="446">
        <v>0</v>
      </c>
      <c r="I16" s="446">
        <v>0</v>
      </c>
      <c r="J16" s="428">
        <f t="shared" si="1"/>
        <v>0</v>
      </c>
      <c r="K16" s="428">
        <f t="shared" si="2"/>
        <v>0</v>
      </c>
      <c r="L16" s="446"/>
      <c r="M16" s="447">
        <f t="shared" si="3"/>
        <v>0</v>
      </c>
      <c r="N16" s="411"/>
      <c r="O16" s="389"/>
      <c r="P16" s="422"/>
      <c r="Q16" s="422"/>
      <c r="R16" s="422"/>
      <c r="S16" s="422"/>
      <c r="T16" s="422"/>
      <c r="U16" s="422"/>
      <c r="V16" s="422"/>
      <c r="W16" s="422"/>
    </row>
    <row r="17" spans="1:23">
      <c r="A17" s="86">
        <v>14</v>
      </c>
      <c r="B17" s="420"/>
      <c r="C17" s="86"/>
      <c r="D17" s="442"/>
      <c r="E17" s="86"/>
      <c r="F17" s="436"/>
      <c r="G17" s="421">
        <f t="shared" si="0"/>
        <v>0</v>
      </c>
      <c r="H17" s="436">
        <v>0</v>
      </c>
      <c r="I17" s="436">
        <v>0</v>
      </c>
      <c r="J17" s="421">
        <f t="shared" si="1"/>
        <v>0</v>
      </c>
      <c r="K17" s="421">
        <f t="shared" si="2"/>
        <v>0</v>
      </c>
      <c r="L17" s="436"/>
      <c r="M17" s="441">
        <f t="shared" si="3"/>
        <v>0</v>
      </c>
      <c r="N17" s="411"/>
      <c r="O17" s="389"/>
      <c r="P17" s="422"/>
      <c r="Q17" s="422"/>
      <c r="R17" s="422"/>
      <c r="S17" s="422"/>
      <c r="T17" s="422"/>
      <c r="U17" s="422"/>
      <c r="V17" s="422"/>
      <c r="W17" s="422"/>
    </row>
    <row r="18" spans="1:23">
      <c r="A18" s="86">
        <v>15</v>
      </c>
      <c r="B18" s="420"/>
      <c r="C18" s="86"/>
      <c r="D18" s="86"/>
      <c r="E18" s="86"/>
      <c r="F18" s="436"/>
      <c r="G18" s="421">
        <f t="shared" si="0"/>
        <v>0</v>
      </c>
      <c r="H18" s="436">
        <v>0</v>
      </c>
      <c r="I18" s="436">
        <v>0</v>
      </c>
      <c r="J18" s="421">
        <f t="shared" si="1"/>
        <v>0</v>
      </c>
      <c r="K18" s="421">
        <f t="shared" si="2"/>
        <v>0</v>
      </c>
      <c r="L18" s="436"/>
      <c r="M18" s="441">
        <f t="shared" si="3"/>
        <v>0</v>
      </c>
      <c r="N18" s="411"/>
      <c r="O18" s="389"/>
      <c r="P18" s="422"/>
      <c r="Q18" s="422"/>
      <c r="R18" s="422"/>
      <c r="S18" s="422"/>
      <c r="T18" s="422"/>
      <c r="U18" s="422"/>
      <c r="V18" s="422"/>
      <c r="W18" s="422"/>
    </row>
    <row r="19" spans="1:23">
      <c r="A19" s="86">
        <v>16</v>
      </c>
      <c r="B19" s="420"/>
      <c r="C19" s="86"/>
      <c r="D19" s="86"/>
      <c r="E19" s="86"/>
      <c r="F19" s="436"/>
      <c r="G19" s="421">
        <f t="shared" si="0"/>
        <v>0</v>
      </c>
      <c r="H19" s="436">
        <v>0</v>
      </c>
      <c r="I19" s="436">
        <v>0</v>
      </c>
      <c r="J19" s="421">
        <f t="shared" si="1"/>
        <v>0</v>
      </c>
      <c r="K19" s="421">
        <f t="shared" si="2"/>
        <v>0</v>
      </c>
      <c r="L19" s="436"/>
      <c r="M19" s="441">
        <f t="shared" si="3"/>
        <v>0</v>
      </c>
      <c r="N19" s="411"/>
      <c r="O19" s="389"/>
      <c r="P19" s="422"/>
      <c r="Q19" s="422"/>
      <c r="R19" s="422"/>
      <c r="S19" s="422"/>
      <c r="T19" s="422"/>
      <c r="U19" s="422"/>
      <c r="V19" s="422"/>
      <c r="W19" s="422"/>
    </row>
    <row r="20" spans="1:23">
      <c r="A20" s="86">
        <v>17</v>
      </c>
      <c r="B20" s="420"/>
      <c r="C20" s="86"/>
      <c r="D20" s="86"/>
      <c r="E20" s="86"/>
      <c r="F20" s="436"/>
      <c r="G20" s="421">
        <f t="shared" si="0"/>
        <v>0</v>
      </c>
      <c r="H20" s="436">
        <v>0</v>
      </c>
      <c r="I20" s="436">
        <v>0</v>
      </c>
      <c r="J20" s="421">
        <f t="shared" si="1"/>
        <v>0</v>
      </c>
      <c r="K20" s="421">
        <f t="shared" si="2"/>
        <v>0</v>
      </c>
      <c r="L20" s="436"/>
      <c r="M20" s="441">
        <f t="shared" si="3"/>
        <v>0</v>
      </c>
      <c r="N20" s="411"/>
      <c r="O20" s="389"/>
      <c r="P20" s="422"/>
      <c r="Q20" s="422"/>
      <c r="R20" s="422"/>
      <c r="S20" s="422"/>
      <c r="T20" s="422"/>
      <c r="U20" s="422"/>
      <c r="V20" s="422"/>
      <c r="W20" s="422"/>
    </row>
    <row r="21" spans="1:23">
      <c r="A21" s="86">
        <v>18</v>
      </c>
      <c r="B21" s="420"/>
      <c r="C21" s="86"/>
      <c r="D21" s="86"/>
      <c r="E21" s="212"/>
      <c r="F21" s="436"/>
      <c r="G21" s="421">
        <f t="shared" si="0"/>
        <v>0</v>
      </c>
      <c r="H21" s="436">
        <v>0</v>
      </c>
      <c r="I21" s="436">
        <v>0</v>
      </c>
      <c r="J21" s="421">
        <f t="shared" si="1"/>
        <v>0</v>
      </c>
      <c r="K21" s="421">
        <f t="shared" si="2"/>
        <v>0</v>
      </c>
      <c r="L21" s="421"/>
      <c r="M21" s="441">
        <f t="shared" si="3"/>
        <v>0</v>
      </c>
      <c r="N21" s="439"/>
      <c r="O21" s="17"/>
      <c r="P21" s="443"/>
      <c r="Q21" s="422" t="str">
        <f>PROPER(N21)</f>
        <v/>
      </c>
      <c r="R21" s="422"/>
      <c r="S21" s="422"/>
      <c r="T21" s="422"/>
      <c r="U21" s="422"/>
      <c r="V21" s="422"/>
      <c r="W21" s="422"/>
    </row>
    <row r="22" spans="1:23">
      <c r="A22" s="86">
        <v>19</v>
      </c>
      <c r="B22" s="420"/>
      <c r="C22" s="194"/>
      <c r="D22" s="86"/>
      <c r="E22" s="17"/>
      <c r="F22" s="436"/>
      <c r="G22" s="421">
        <f t="shared" si="0"/>
        <v>0</v>
      </c>
      <c r="H22" s="436">
        <v>0</v>
      </c>
      <c r="I22" s="436">
        <v>0</v>
      </c>
      <c r="J22" s="421">
        <f t="shared" si="1"/>
        <v>0</v>
      </c>
      <c r="K22" s="421">
        <f t="shared" si="2"/>
        <v>0</v>
      </c>
      <c r="L22" s="421"/>
      <c r="M22" s="441">
        <f t="shared" si="3"/>
        <v>0</v>
      </c>
      <c r="N22" s="411"/>
      <c r="O22" s="17"/>
      <c r="P22" s="443"/>
      <c r="Q22" s="422"/>
      <c r="R22" s="422"/>
      <c r="S22" s="422"/>
      <c r="T22" s="422"/>
      <c r="U22" s="422"/>
      <c r="V22" s="422"/>
      <c r="W22" s="422"/>
    </row>
    <row r="23" spans="1:23">
      <c r="A23" s="86">
        <v>20</v>
      </c>
      <c r="B23" s="420"/>
      <c r="C23" s="194"/>
      <c r="D23" s="86"/>
      <c r="E23" s="17"/>
      <c r="F23" s="436"/>
      <c r="G23" s="421">
        <f t="shared" si="0"/>
        <v>0</v>
      </c>
      <c r="H23" s="436">
        <v>0</v>
      </c>
      <c r="I23" s="436">
        <v>0</v>
      </c>
      <c r="J23" s="421">
        <f t="shared" si="1"/>
        <v>0</v>
      </c>
      <c r="K23" s="421">
        <f t="shared" si="2"/>
        <v>0</v>
      </c>
      <c r="L23" s="421"/>
      <c r="M23" s="441">
        <f t="shared" si="3"/>
        <v>0</v>
      </c>
      <c r="N23" s="411"/>
      <c r="O23" s="17"/>
      <c r="P23" s="422"/>
      <c r="Q23" s="422"/>
      <c r="R23" s="422"/>
      <c r="S23" s="422"/>
      <c r="T23" s="422"/>
      <c r="U23" s="422"/>
      <c r="V23" s="422"/>
      <c r="W23" s="422"/>
    </row>
    <row r="24" spans="1:23">
      <c r="A24" s="86">
        <v>21</v>
      </c>
      <c r="B24" s="420"/>
      <c r="C24" s="86"/>
      <c r="D24" s="444"/>
      <c r="E24" s="451"/>
      <c r="F24" s="436"/>
      <c r="G24" s="421">
        <f t="shared" si="0"/>
        <v>0</v>
      </c>
      <c r="H24" s="436">
        <v>0</v>
      </c>
      <c r="I24" s="436">
        <v>0</v>
      </c>
      <c r="J24" s="421">
        <f t="shared" si="1"/>
        <v>0</v>
      </c>
      <c r="K24" s="421">
        <f t="shared" si="2"/>
        <v>0</v>
      </c>
      <c r="L24" s="421"/>
      <c r="M24" s="441">
        <f t="shared" si="3"/>
        <v>0</v>
      </c>
      <c r="N24" s="439"/>
      <c r="O24" s="389"/>
      <c r="P24" s="443"/>
      <c r="Q24" s="422"/>
      <c r="R24" s="422"/>
      <c r="S24" s="422"/>
      <c r="T24" s="422"/>
      <c r="U24" s="422"/>
      <c r="V24" s="422" t="str">
        <f>PROPER(N25)</f>
        <v/>
      </c>
      <c r="W24" s="422"/>
    </row>
    <row r="25" spans="1:23">
      <c r="A25" s="86">
        <v>22</v>
      </c>
      <c r="B25" s="420"/>
      <c r="C25" s="86"/>
      <c r="D25" s="86"/>
      <c r="E25" s="86"/>
      <c r="F25" s="436"/>
      <c r="G25" s="421">
        <f t="shared" si="0"/>
        <v>0</v>
      </c>
      <c r="H25" s="436">
        <v>0</v>
      </c>
      <c r="I25" s="436">
        <v>0</v>
      </c>
      <c r="J25" s="421">
        <f t="shared" si="1"/>
        <v>0</v>
      </c>
      <c r="K25" s="421">
        <f t="shared" si="2"/>
        <v>0</v>
      </c>
      <c r="L25" s="436"/>
      <c r="M25" s="441">
        <f t="shared" si="3"/>
        <v>0</v>
      </c>
      <c r="N25" s="411"/>
      <c r="O25" s="389"/>
      <c r="P25" s="422"/>
      <c r="Q25" s="422"/>
      <c r="R25" s="422"/>
      <c r="S25" s="422"/>
      <c r="T25" s="422"/>
      <c r="U25" s="422"/>
      <c r="V25" s="422" t="str">
        <f>PROPER(N26)</f>
        <v/>
      </c>
      <c r="W25" s="422"/>
    </row>
    <row r="26" spans="1:23">
      <c r="A26" s="86">
        <v>23</v>
      </c>
      <c r="B26" s="420"/>
      <c r="C26" s="86"/>
      <c r="D26" s="86"/>
      <c r="E26" s="86"/>
      <c r="F26" s="436"/>
      <c r="G26" s="421">
        <f t="shared" si="0"/>
        <v>0</v>
      </c>
      <c r="H26" s="436">
        <v>0</v>
      </c>
      <c r="I26" s="436">
        <v>0</v>
      </c>
      <c r="J26" s="421">
        <f t="shared" si="1"/>
        <v>0</v>
      </c>
      <c r="K26" s="421">
        <f t="shared" si="2"/>
        <v>0</v>
      </c>
      <c r="L26" s="421"/>
      <c r="M26" s="441">
        <f t="shared" si="3"/>
        <v>0</v>
      </c>
      <c r="N26" s="411"/>
      <c r="O26" s="389"/>
      <c r="P26" s="422"/>
      <c r="Q26" s="422"/>
      <c r="R26" s="422"/>
      <c r="S26" s="422"/>
      <c r="T26" s="422"/>
      <c r="U26" s="422"/>
      <c r="V26" s="422" t="str">
        <f>PROPER(N27)</f>
        <v/>
      </c>
      <c r="W26" s="422"/>
    </row>
    <row r="27" spans="1:23">
      <c r="A27" s="86">
        <v>24</v>
      </c>
      <c r="B27" s="420"/>
      <c r="C27" s="86"/>
      <c r="D27" s="86"/>
      <c r="E27" s="86"/>
      <c r="F27" s="436"/>
      <c r="G27" s="421">
        <f t="shared" si="0"/>
        <v>0</v>
      </c>
      <c r="H27" s="436">
        <v>0</v>
      </c>
      <c r="I27" s="436">
        <v>0</v>
      </c>
      <c r="J27" s="421">
        <f t="shared" si="1"/>
        <v>0</v>
      </c>
      <c r="K27" s="421">
        <f t="shared" si="2"/>
        <v>0</v>
      </c>
      <c r="L27" s="436"/>
      <c r="M27" s="441">
        <f t="shared" si="3"/>
        <v>0</v>
      </c>
      <c r="N27" s="411"/>
      <c r="O27" s="389"/>
      <c r="P27" s="422"/>
      <c r="Q27" s="422"/>
      <c r="R27" s="422"/>
      <c r="S27" s="422"/>
      <c r="T27" s="422"/>
      <c r="U27" s="422"/>
      <c r="V27" s="422"/>
      <c r="W27" s="422"/>
    </row>
    <row r="28" spans="1:23">
      <c r="A28" s="86">
        <v>25</v>
      </c>
      <c r="B28" s="420"/>
      <c r="C28" s="86"/>
      <c r="D28" s="86"/>
      <c r="E28" s="86"/>
      <c r="F28" s="436"/>
      <c r="G28" s="421">
        <f t="shared" si="0"/>
        <v>0</v>
      </c>
      <c r="H28" s="436">
        <v>0</v>
      </c>
      <c r="I28" s="436">
        <v>0</v>
      </c>
      <c r="J28" s="421">
        <f t="shared" si="1"/>
        <v>0</v>
      </c>
      <c r="K28" s="421">
        <f t="shared" si="2"/>
        <v>0</v>
      </c>
      <c r="L28" s="436"/>
      <c r="M28" s="441">
        <f t="shared" si="3"/>
        <v>0</v>
      </c>
      <c r="N28" s="411"/>
      <c r="O28" s="389"/>
      <c r="P28" s="422"/>
      <c r="Q28" s="422"/>
      <c r="R28" s="422"/>
      <c r="S28" s="422"/>
      <c r="T28" s="422"/>
      <c r="U28" s="422"/>
      <c r="V28" s="422"/>
      <c r="W28" s="422"/>
    </row>
    <row r="29" spans="1:23">
      <c r="A29" s="86">
        <v>26</v>
      </c>
      <c r="B29" s="420"/>
      <c r="C29" s="86"/>
      <c r="D29" s="86"/>
      <c r="E29" s="86"/>
      <c r="F29" s="436"/>
      <c r="G29" s="421">
        <f t="shared" si="0"/>
        <v>0</v>
      </c>
      <c r="H29" s="436">
        <v>0</v>
      </c>
      <c r="I29" s="436">
        <v>0</v>
      </c>
      <c r="J29" s="421">
        <f t="shared" si="1"/>
        <v>0</v>
      </c>
      <c r="K29" s="421">
        <f t="shared" si="2"/>
        <v>0</v>
      </c>
      <c r="L29" s="436"/>
      <c r="M29" s="441">
        <f t="shared" si="3"/>
        <v>0</v>
      </c>
      <c r="N29" s="411"/>
      <c r="O29" s="389"/>
      <c r="P29" s="422"/>
      <c r="Q29" s="422"/>
      <c r="R29" s="422"/>
      <c r="S29" s="422"/>
      <c r="T29" s="422"/>
      <c r="U29" s="422"/>
      <c r="V29" s="422"/>
      <c r="W29" s="422"/>
    </row>
    <row r="30" spans="1:23">
      <c r="A30" s="86">
        <v>27</v>
      </c>
      <c r="B30" s="420"/>
      <c r="C30" s="86"/>
      <c r="D30" s="86"/>
      <c r="E30" s="86"/>
      <c r="F30" s="436"/>
      <c r="G30" s="421">
        <f t="shared" si="0"/>
        <v>0</v>
      </c>
      <c r="H30" s="436">
        <v>0</v>
      </c>
      <c r="I30" s="436">
        <v>0</v>
      </c>
      <c r="J30" s="421">
        <f t="shared" si="1"/>
        <v>0</v>
      </c>
      <c r="K30" s="421">
        <f t="shared" si="2"/>
        <v>0</v>
      </c>
      <c r="L30" s="436"/>
      <c r="M30" s="441">
        <f t="shared" si="3"/>
        <v>0</v>
      </c>
      <c r="N30" s="411"/>
      <c r="O30" s="389"/>
      <c r="P30" s="422"/>
      <c r="Q30" s="422"/>
      <c r="R30" s="422"/>
      <c r="S30" s="422"/>
      <c r="T30" s="422"/>
      <c r="U30" s="422"/>
      <c r="V30" s="422"/>
      <c r="W30" s="422"/>
    </row>
    <row r="31" spans="1:23">
      <c r="A31" s="86"/>
      <c r="B31" s="420"/>
      <c r="C31" s="86"/>
      <c r="D31" s="86"/>
      <c r="E31" s="86"/>
      <c r="F31" s="436"/>
      <c r="G31" s="421">
        <f t="shared" si="0"/>
        <v>0</v>
      </c>
      <c r="H31" s="436">
        <v>0</v>
      </c>
      <c r="I31" s="436">
        <v>0</v>
      </c>
      <c r="J31" s="421">
        <f t="shared" si="1"/>
        <v>0</v>
      </c>
      <c r="K31" s="421">
        <f t="shared" si="2"/>
        <v>0</v>
      </c>
      <c r="L31" s="421"/>
      <c r="M31" s="441">
        <f t="shared" si="3"/>
        <v>0</v>
      </c>
      <c r="N31" s="411"/>
      <c r="O31" s="389"/>
      <c r="P31" s="422"/>
      <c r="Q31" s="422"/>
      <c r="R31" s="422"/>
      <c r="S31" s="422"/>
      <c r="T31" s="422"/>
      <c r="U31" s="422"/>
      <c r="V31" s="422"/>
      <c r="W31" s="422"/>
    </row>
    <row r="32" spans="1:23">
      <c r="A32" s="86"/>
      <c r="B32" s="420"/>
      <c r="C32" s="86"/>
      <c r="D32" s="86"/>
      <c r="E32" s="86"/>
      <c r="F32" s="436"/>
      <c r="G32" s="421">
        <f t="shared" si="0"/>
        <v>0</v>
      </c>
      <c r="H32" s="436">
        <v>0</v>
      </c>
      <c r="I32" s="436">
        <v>0</v>
      </c>
      <c r="J32" s="421">
        <f t="shared" si="1"/>
        <v>0</v>
      </c>
      <c r="K32" s="421">
        <f t="shared" si="2"/>
        <v>0</v>
      </c>
      <c r="L32" s="421"/>
      <c r="M32" s="441">
        <f t="shared" si="3"/>
        <v>0</v>
      </c>
      <c r="N32" s="411"/>
      <c r="O32" s="389"/>
      <c r="P32" s="422"/>
      <c r="Q32" s="422"/>
      <c r="R32" s="422"/>
      <c r="S32" s="422"/>
      <c r="T32" s="422"/>
      <c r="U32" s="422"/>
      <c r="V32" s="422"/>
      <c r="W32" s="422"/>
    </row>
    <row r="33" spans="1:23">
      <c r="A33" s="86"/>
      <c r="B33" s="420"/>
      <c r="C33" s="86"/>
      <c r="D33" s="86"/>
      <c r="E33" s="86"/>
      <c r="F33" s="436"/>
      <c r="G33" s="421">
        <f t="shared" si="0"/>
        <v>0</v>
      </c>
      <c r="H33" s="436">
        <v>0</v>
      </c>
      <c r="I33" s="436">
        <v>0</v>
      </c>
      <c r="J33" s="421">
        <f t="shared" si="1"/>
        <v>0</v>
      </c>
      <c r="K33" s="421">
        <f t="shared" si="2"/>
        <v>0</v>
      </c>
      <c r="L33" s="421"/>
      <c r="M33" s="441">
        <f t="shared" si="3"/>
        <v>0</v>
      </c>
      <c r="N33" s="411"/>
      <c r="O33" s="389"/>
      <c r="P33" s="422"/>
      <c r="Q33" s="422"/>
      <c r="R33" s="422"/>
      <c r="S33" s="422"/>
      <c r="T33" s="422"/>
      <c r="U33" s="422"/>
      <c r="V33" s="422"/>
      <c r="W33" s="422"/>
    </row>
    <row r="34" spans="1:23">
      <c r="A34" s="86"/>
      <c r="B34" s="420"/>
      <c r="C34" s="86"/>
      <c r="D34" s="86"/>
      <c r="E34" s="86"/>
      <c r="F34" s="436"/>
      <c r="G34" s="421">
        <f t="shared" si="0"/>
        <v>0</v>
      </c>
      <c r="H34" s="436">
        <v>0</v>
      </c>
      <c r="I34" s="436">
        <v>0</v>
      </c>
      <c r="J34" s="421">
        <f t="shared" si="1"/>
        <v>0</v>
      </c>
      <c r="K34" s="421">
        <f t="shared" si="2"/>
        <v>0</v>
      </c>
      <c r="L34" s="421"/>
      <c r="M34" s="441">
        <f t="shared" si="3"/>
        <v>0</v>
      </c>
      <c r="N34" s="411"/>
      <c r="O34" s="389"/>
      <c r="P34" s="422"/>
      <c r="Q34" s="422"/>
      <c r="R34" s="422"/>
      <c r="S34" s="422"/>
      <c r="T34" s="422"/>
      <c r="U34" s="422"/>
      <c r="V34" s="422"/>
      <c r="W34" s="422"/>
    </row>
    <row r="35" spans="1:23">
      <c r="A35" s="86"/>
      <c r="B35" s="420"/>
      <c r="C35" s="86"/>
      <c r="D35" s="86"/>
      <c r="E35" s="86"/>
      <c r="F35" s="436"/>
      <c r="G35" s="421"/>
      <c r="H35" s="436"/>
      <c r="I35" s="436"/>
      <c r="J35" s="421"/>
      <c r="K35" s="421"/>
      <c r="L35" s="421"/>
      <c r="M35" s="441"/>
      <c r="N35" s="411"/>
      <c r="O35" s="389"/>
      <c r="P35" s="422"/>
      <c r="Q35" s="422"/>
      <c r="R35" s="422"/>
      <c r="S35" s="422"/>
      <c r="T35" s="422"/>
      <c r="U35" s="422"/>
      <c r="V35" s="422"/>
      <c r="W35" s="422"/>
    </row>
    <row r="36" spans="1:23">
      <c r="A36" s="86"/>
      <c r="B36" s="420"/>
      <c r="C36" s="86"/>
      <c r="D36" s="86"/>
      <c r="E36" s="86"/>
      <c r="F36" s="436"/>
      <c r="G36" s="421"/>
      <c r="H36" s="436"/>
      <c r="I36" s="436"/>
      <c r="J36" s="421"/>
      <c r="K36" s="421"/>
      <c r="L36" s="421"/>
      <c r="M36" s="441"/>
      <c r="N36" s="411"/>
      <c r="O36" s="389"/>
      <c r="P36" s="422"/>
      <c r="Q36" s="422"/>
      <c r="R36" s="422"/>
      <c r="S36" s="422"/>
      <c r="T36" s="422"/>
      <c r="U36" s="422"/>
      <c r="V36" s="422"/>
      <c r="W36" s="422"/>
    </row>
    <row r="37" spans="1:23">
      <c r="A37" s="86"/>
      <c r="B37" s="420"/>
      <c r="C37" s="86"/>
      <c r="D37" s="86"/>
      <c r="E37" s="86"/>
      <c r="F37" s="436"/>
      <c r="G37" s="421"/>
      <c r="H37" s="436"/>
      <c r="I37" s="436"/>
      <c r="J37" s="421"/>
      <c r="K37" s="421"/>
      <c r="L37" s="421"/>
      <c r="M37" s="441"/>
      <c r="N37" s="411"/>
      <c r="O37" s="389"/>
      <c r="P37" s="422"/>
      <c r="Q37" s="422"/>
      <c r="R37" s="422"/>
      <c r="S37" s="422"/>
      <c r="T37" s="422"/>
      <c r="U37" s="422"/>
      <c r="V37" s="422"/>
      <c r="W37" s="422"/>
    </row>
    <row r="38" spans="1:23">
      <c r="A38" s="86"/>
      <c r="B38" s="420"/>
      <c r="C38" s="86"/>
      <c r="D38" s="86"/>
      <c r="E38" s="86"/>
      <c r="F38" s="436"/>
      <c r="G38" s="421"/>
      <c r="H38" s="436"/>
      <c r="I38" s="436"/>
      <c r="J38" s="421"/>
      <c r="K38" s="421"/>
      <c r="L38" s="421"/>
      <c r="M38" s="441"/>
      <c r="N38" s="411"/>
      <c r="O38" s="389"/>
      <c r="P38" s="422"/>
      <c r="Q38" s="422"/>
      <c r="R38" s="422"/>
      <c r="S38" s="422"/>
      <c r="T38" s="422"/>
      <c r="U38" s="422"/>
      <c r="V38" s="422"/>
      <c r="W38" s="422"/>
    </row>
    <row r="39" spans="1:23">
      <c r="A39" s="86"/>
      <c r="B39" s="86"/>
      <c r="C39" s="86"/>
      <c r="D39" s="86"/>
      <c r="E39" s="436">
        <f>SUM(E4:E34)</f>
        <v>10.11</v>
      </c>
      <c r="F39" s="86"/>
      <c r="G39" s="436">
        <f>SUM(G4:G34)</f>
        <v>1000.3845</v>
      </c>
      <c r="H39" s="436">
        <f>SUM(H4:H34)</f>
        <v>0</v>
      </c>
      <c r="I39" s="86"/>
      <c r="J39" s="436">
        <f>SUM(J4:J34)</f>
        <v>0</v>
      </c>
      <c r="K39" s="436">
        <f>SUM(K4:K34)</f>
        <v>1000.3845</v>
      </c>
      <c r="L39" s="436">
        <f>SUM(L4:L34)</f>
        <v>1000.3845</v>
      </c>
      <c r="M39" s="86"/>
      <c r="N39" s="411"/>
      <c r="O39" s="389"/>
      <c r="P39" s="422"/>
      <c r="Q39" s="422"/>
      <c r="R39" s="422"/>
      <c r="S39" s="422"/>
      <c r="T39" s="422"/>
      <c r="U39" s="422"/>
      <c r="V39" s="422"/>
      <c r="W39" s="422"/>
    </row>
    <row r="40" spans="1:23">
      <c r="A40" s="422"/>
      <c r="B40" s="422"/>
      <c r="C40" s="422"/>
      <c r="D40" s="422"/>
      <c r="E40" s="422"/>
      <c r="F40" s="422"/>
      <c r="G40" s="422"/>
      <c r="H40" s="422"/>
      <c r="I40" s="422"/>
      <c r="J40" s="422"/>
      <c r="K40" s="422"/>
      <c r="L40" s="422"/>
      <c r="M40" s="422"/>
      <c r="N40" s="422"/>
      <c r="O40" s="389"/>
      <c r="P40" s="422"/>
      <c r="Q40" s="422"/>
      <c r="R40" s="422"/>
      <c r="S40" s="422"/>
      <c r="T40" s="422"/>
      <c r="U40" s="422"/>
      <c r="V40" s="422"/>
      <c r="W40" s="422"/>
    </row>
    <row r="41" spans="1:23">
      <c r="A41" s="422"/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  <c r="N41" s="422"/>
      <c r="O41" s="422"/>
      <c r="P41" s="422"/>
      <c r="Q41" s="422"/>
      <c r="R41" s="422"/>
      <c r="S41" s="422"/>
      <c r="T41" s="422"/>
      <c r="U41" s="422"/>
      <c r="V41" s="422"/>
      <c r="W41" s="422"/>
    </row>
    <row r="42" spans="1:23">
      <c r="A42" s="422"/>
      <c r="B42" s="422"/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  <c r="N42" s="422"/>
      <c r="O42" s="422"/>
      <c r="P42" s="422"/>
      <c r="Q42" s="422"/>
      <c r="R42" s="422"/>
      <c r="S42" s="422"/>
      <c r="T42" s="422"/>
      <c r="U42" s="422"/>
      <c r="V42" s="422"/>
      <c r="W42" s="422"/>
    </row>
    <row r="43" spans="1:23">
      <c r="A43" s="422"/>
      <c r="B43" s="422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  <c r="N43" s="422"/>
      <c r="O43" s="422"/>
      <c r="P43" s="422"/>
      <c r="Q43" s="422"/>
      <c r="R43" s="422"/>
      <c r="S43" s="422"/>
      <c r="T43" s="422"/>
      <c r="U43" s="422"/>
      <c r="V43" s="422"/>
      <c r="W43" s="422"/>
    </row>
    <row r="44" spans="1:23">
      <c r="A44" s="422"/>
      <c r="B44" s="422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/>
      <c r="V44" s="422"/>
      <c r="W44" s="422"/>
    </row>
    <row r="45" spans="1:23">
      <c r="A45" s="422"/>
      <c r="B45" s="422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  <c r="N45" s="422"/>
      <c r="O45" s="422"/>
      <c r="P45" s="422"/>
      <c r="Q45" s="422"/>
      <c r="R45" s="422"/>
      <c r="S45" s="422"/>
      <c r="T45" s="422"/>
      <c r="U45" s="422"/>
      <c r="V45" s="422"/>
      <c r="W45" s="422"/>
    </row>
    <row r="46" spans="1:23">
      <c r="A46" s="422"/>
      <c r="B46" s="422"/>
      <c r="C46" s="422"/>
      <c r="D46" s="422"/>
      <c r="E46" s="422"/>
      <c r="F46" s="422"/>
      <c r="G46" s="422"/>
      <c r="H46" s="422"/>
      <c r="I46" s="422"/>
      <c r="J46" s="422"/>
      <c r="K46" s="422"/>
      <c r="L46" s="422"/>
      <c r="M46" s="422"/>
      <c r="N46" s="422"/>
      <c r="O46" s="422"/>
      <c r="P46" s="422"/>
      <c r="Q46" s="422"/>
      <c r="R46" s="422"/>
      <c r="S46" s="422"/>
      <c r="T46" s="422"/>
      <c r="U46" s="422"/>
      <c r="V46" s="422"/>
      <c r="W46" s="422"/>
    </row>
    <row r="47" spans="1:23">
      <c r="A47" s="422"/>
      <c r="B47" s="422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2"/>
      <c r="N47" s="422"/>
      <c r="O47" s="422"/>
      <c r="P47" s="422"/>
      <c r="Q47" s="422"/>
      <c r="R47" s="422"/>
      <c r="S47" s="422"/>
      <c r="T47" s="422"/>
      <c r="U47" s="422"/>
      <c r="V47" s="422"/>
      <c r="W47" s="422"/>
    </row>
    <row r="48" spans="1:23">
      <c r="A48" s="422"/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  <c r="N48" s="422"/>
      <c r="O48" s="422"/>
      <c r="P48" s="422"/>
      <c r="Q48" s="422"/>
      <c r="R48" s="422"/>
      <c r="S48" s="422"/>
      <c r="T48" s="422"/>
      <c r="U48" s="422"/>
      <c r="V48" s="422"/>
      <c r="W48" s="422"/>
    </row>
    <row r="49" spans="1:23">
      <c r="A49" s="422"/>
      <c r="B49" s="422"/>
      <c r="C49" s="422"/>
      <c r="D49" s="422"/>
      <c r="E49" s="422"/>
      <c r="F49" s="422"/>
      <c r="G49" s="422"/>
      <c r="H49" s="422"/>
      <c r="I49" s="422"/>
      <c r="J49" s="422"/>
      <c r="K49" s="422"/>
      <c r="L49" s="422"/>
      <c r="M49" s="422"/>
      <c r="N49" s="422"/>
      <c r="O49" s="422"/>
      <c r="P49" s="422"/>
      <c r="Q49" s="422"/>
      <c r="R49" s="422"/>
      <c r="S49" s="422"/>
      <c r="T49" s="422"/>
      <c r="U49" s="422"/>
      <c r="V49" s="422"/>
      <c r="W49" s="422"/>
    </row>
    <row r="50" spans="1:23">
      <c r="A50" s="422"/>
      <c r="B50" s="422"/>
      <c r="C50" s="422"/>
      <c r="D50" s="422"/>
      <c r="E50" s="422"/>
      <c r="F50" s="422"/>
      <c r="G50" s="422"/>
      <c r="H50" s="422"/>
      <c r="I50" s="422"/>
      <c r="J50" s="422"/>
      <c r="K50" s="422"/>
      <c r="L50" s="422"/>
      <c r="M50" s="422"/>
      <c r="N50" s="422"/>
      <c r="O50" s="422"/>
      <c r="P50" s="422"/>
      <c r="Q50" s="422"/>
      <c r="R50" s="422"/>
      <c r="S50" s="422"/>
      <c r="T50" s="422"/>
      <c r="U50" s="422"/>
      <c r="V50" s="422"/>
      <c r="W50" s="422"/>
    </row>
    <row r="51" spans="1:23">
      <c r="A51" s="422"/>
      <c r="B51" s="422"/>
      <c r="C51" s="422"/>
      <c r="D51" s="422"/>
      <c r="E51" s="422"/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2"/>
    </row>
    <row r="52" spans="1:23">
      <c r="A52" s="422"/>
      <c r="B52" s="422"/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2"/>
    </row>
    <row r="53" spans="1:23">
      <c r="A53" s="422"/>
      <c r="B53" s="422"/>
      <c r="C53" s="422"/>
      <c r="D53" s="422"/>
      <c r="E53" s="422"/>
      <c r="F53" s="422"/>
      <c r="G53" s="422"/>
      <c r="H53" s="422"/>
      <c r="I53" s="422"/>
      <c r="J53" s="422"/>
      <c r="K53" s="422"/>
      <c r="L53" s="422"/>
      <c r="M53" s="422"/>
      <c r="N53" s="422"/>
      <c r="O53" s="422"/>
      <c r="P53" s="422"/>
      <c r="Q53" s="422"/>
      <c r="R53" s="422"/>
      <c r="S53" s="422"/>
      <c r="T53" s="422"/>
      <c r="U53" s="422"/>
      <c r="V53" s="422"/>
      <c r="W53" s="422"/>
    </row>
    <row r="54" spans="1:23">
      <c r="A54" s="422"/>
      <c r="B54" s="422"/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  <c r="N54" s="422"/>
      <c r="O54" s="422"/>
      <c r="P54" s="422"/>
      <c r="Q54" s="422"/>
      <c r="R54" s="422"/>
      <c r="S54" s="422"/>
      <c r="T54" s="422"/>
      <c r="U54" s="422"/>
      <c r="V54" s="422"/>
      <c r="W54" s="422"/>
    </row>
    <row r="55" spans="1:23">
      <c r="A55" s="422"/>
      <c r="B55" s="422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2"/>
    </row>
    <row r="56" spans="1:23">
      <c r="A56" s="422"/>
      <c r="B56" s="422"/>
      <c r="C56" s="422"/>
      <c r="D56" s="422"/>
      <c r="E56" s="422"/>
      <c r="F56" s="422"/>
      <c r="G56" s="422"/>
      <c r="H56" s="422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2"/>
    </row>
    <row r="57" spans="1:23">
      <c r="A57" s="422"/>
      <c r="B57" s="422"/>
      <c r="C57" s="422"/>
      <c r="D57" s="422"/>
      <c r="E57" s="422"/>
      <c r="F57" s="422"/>
      <c r="G57" s="422"/>
      <c r="H57" s="422"/>
      <c r="I57" s="422"/>
      <c r="J57" s="422"/>
      <c r="K57" s="422"/>
      <c r="L57" s="422"/>
      <c r="M57" s="422"/>
      <c r="N57" s="422"/>
      <c r="O57" s="422"/>
      <c r="P57" s="422"/>
      <c r="Q57" s="422"/>
      <c r="R57" s="422"/>
      <c r="S57" s="422"/>
      <c r="T57" s="422"/>
      <c r="U57" s="422"/>
      <c r="V57" s="422"/>
      <c r="W57" s="422"/>
    </row>
    <row r="58" spans="1:23">
      <c r="A58" s="422"/>
      <c r="B58" s="422"/>
      <c r="C58" s="422"/>
      <c r="D58" s="422"/>
      <c r="E58" s="422"/>
      <c r="F58" s="422"/>
      <c r="G58" s="422"/>
      <c r="H58" s="422"/>
      <c r="I58" s="422"/>
      <c r="J58" s="422"/>
      <c r="K58" s="422"/>
      <c r="L58" s="422"/>
      <c r="M58" s="422"/>
      <c r="N58" s="422"/>
      <c r="O58" s="422"/>
      <c r="P58" s="422"/>
      <c r="Q58" s="422"/>
      <c r="R58" s="422"/>
      <c r="S58" s="422"/>
      <c r="T58" s="422"/>
      <c r="U58" s="422"/>
      <c r="V58" s="422"/>
      <c r="W58" s="422"/>
    </row>
    <row r="59" spans="1:23">
      <c r="A59" s="422"/>
      <c r="B59" s="422"/>
      <c r="C59" s="422"/>
      <c r="D59" s="422"/>
      <c r="E59" s="422"/>
      <c r="F59" s="422"/>
      <c r="G59" s="422"/>
      <c r="H59" s="422"/>
      <c r="I59" s="422"/>
      <c r="J59" s="422"/>
      <c r="K59" s="422"/>
      <c r="L59" s="422"/>
      <c r="M59" s="422"/>
      <c r="N59" s="422"/>
      <c r="O59" s="422"/>
      <c r="P59" s="422"/>
      <c r="Q59" s="422"/>
      <c r="R59" s="422"/>
      <c r="S59" s="422"/>
      <c r="T59" s="422"/>
      <c r="U59" s="422"/>
      <c r="V59" s="422"/>
      <c r="W59" s="422"/>
    </row>
    <row r="60" spans="1:23">
      <c r="A60" s="422"/>
      <c r="B60" s="422"/>
      <c r="C60" s="422"/>
      <c r="D60" s="422"/>
      <c r="E60" s="422"/>
      <c r="F60" s="422"/>
      <c r="G60" s="422"/>
      <c r="H60" s="422"/>
      <c r="I60" s="422"/>
      <c r="J60" s="422"/>
      <c r="K60" s="422"/>
      <c r="L60" s="422"/>
      <c r="M60" s="422"/>
      <c r="N60" s="422"/>
      <c r="O60" s="422"/>
      <c r="P60" s="422"/>
      <c r="Q60" s="422"/>
      <c r="R60" s="422"/>
      <c r="S60" s="422"/>
      <c r="T60" s="422"/>
      <c r="U60" s="422"/>
      <c r="V60" s="422"/>
      <c r="W60" s="422"/>
    </row>
    <row r="61" spans="1:23">
      <c r="A61" s="422"/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  <c r="N61" s="422"/>
      <c r="O61" s="422"/>
      <c r="P61" s="422"/>
      <c r="Q61" s="422"/>
      <c r="R61" s="422"/>
      <c r="S61" s="422"/>
      <c r="T61" s="422"/>
      <c r="U61" s="422"/>
      <c r="V61" s="422"/>
      <c r="W61" s="422"/>
    </row>
    <row r="62" spans="1:23">
      <c r="A62" s="422"/>
      <c r="B62" s="422"/>
      <c r="C62" s="422"/>
      <c r="D62" s="422"/>
      <c r="E62" s="422"/>
      <c r="F62" s="422"/>
      <c r="G62" s="422"/>
      <c r="H62" s="422"/>
      <c r="I62" s="422"/>
      <c r="J62" s="422"/>
      <c r="K62" s="422"/>
      <c r="L62" s="422"/>
      <c r="M62" s="422"/>
      <c r="N62" s="422"/>
      <c r="O62" s="422"/>
      <c r="P62" s="422"/>
      <c r="Q62" s="422"/>
      <c r="R62" s="422"/>
      <c r="S62" s="422"/>
      <c r="T62" s="422"/>
      <c r="U62" s="422"/>
      <c r="V62" s="422"/>
      <c r="W62" s="422"/>
    </row>
    <row r="63" spans="1:23">
      <c r="A63" s="422"/>
      <c r="B63" s="422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M63" s="422"/>
      <c r="N63" s="422"/>
      <c r="O63" s="422"/>
      <c r="P63" s="422"/>
      <c r="Q63" s="422"/>
      <c r="R63" s="422"/>
      <c r="S63" s="422"/>
      <c r="T63" s="422"/>
      <c r="U63" s="422"/>
      <c r="V63" s="422"/>
      <c r="W63" s="422"/>
    </row>
    <row r="64" spans="1:23">
      <c r="A64" s="422"/>
      <c r="B64" s="422"/>
      <c r="C64" s="422"/>
      <c r="D64" s="422"/>
      <c r="E64" s="422"/>
      <c r="F64" s="422"/>
      <c r="G64" s="422"/>
      <c r="H64" s="422"/>
      <c r="I64" s="422"/>
      <c r="J64" s="422"/>
      <c r="K64" s="422"/>
      <c r="L64" s="422"/>
      <c r="M64" s="422"/>
      <c r="N64" s="422"/>
      <c r="O64" s="422"/>
      <c r="P64" s="422"/>
      <c r="Q64" s="422"/>
      <c r="R64" s="422"/>
      <c r="S64" s="422"/>
      <c r="T64" s="422"/>
      <c r="U64" s="422"/>
      <c r="V64" s="422"/>
      <c r="W64" s="422"/>
    </row>
    <row r="65" spans="1:23">
      <c r="A65" s="422"/>
      <c r="B65" s="422"/>
      <c r="C65" s="422"/>
      <c r="D65" s="422"/>
      <c r="E65" s="422"/>
      <c r="F65" s="422"/>
      <c r="G65" s="422"/>
      <c r="H65" s="422"/>
      <c r="I65" s="422"/>
      <c r="J65" s="422"/>
      <c r="K65" s="422"/>
      <c r="L65" s="422"/>
      <c r="M65" s="422"/>
      <c r="N65" s="422"/>
      <c r="O65" s="422"/>
      <c r="P65" s="422"/>
      <c r="Q65" s="422"/>
      <c r="R65" s="422"/>
      <c r="S65" s="422"/>
      <c r="T65" s="422"/>
      <c r="U65" s="422"/>
      <c r="V65" s="422"/>
      <c r="W65" s="422"/>
    </row>
    <row r="66" spans="1:23">
      <c r="A66" s="422"/>
      <c r="B66" s="422"/>
      <c r="C66" s="422"/>
      <c r="D66" s="422"/>
      <c r="E66" s="422"/>
      <c r="F66" s="422"/>
      <c r="G66" s="422"/>
      <c r="H66" s="422"/>
      <c r="I66" s="422"/>
      <c r="J66" s="422"/>
      <c r="K66" s="422"/>
      <c r="L66" s="422"/>
      <c r="M66" s="422"/>
      <c r="N66" s="422"/>
      <c r="O66" s="422"/>
      <c r="P66" s="422"/>
      <c r="Q66" s="422"/>
      <c r="R66" s="422"/>
      <c r="S66" s="422"/>
      <c r="T66" s="422"/>
      <c r="U66" s="422"/>
      <c r="V66" s="422"/>
      <c r="W66" s="422"/>
    </row>
    <row r="67" spans="1:23">
      <c r="A67" s="422"/>
      <c r="B67" s="422"/>
      <c r="C67" s="422"/>
      <c r="D67" s="590" t="s">
        <v>350</v>
      </c>
      <c r="E67" s="591"/>
      <c r="F67" s="422"/>
      <c r="G67" s="422"/>
      <c r="H67" s="422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2"/>
    </row>
    <row r="68" spans="1:23">
      <c r="A68" s="422"/>
      <c r="B68" s="422"/>
      <c r="C68" s="422"/>
      <c r="D68" s="245" t="s">
        <v>351</v>
      </c>
      <c r="E68" s="410">
        <f>SUMIFS($E$4:$E$34,$N$4:$N$34,D68)</f>
        <v>0</v>
      </c>
      <c r="F68" s="422"/>
      <c r="G68" s="422"/>
      <c r="H68" s="422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2"/>
    </row>
    <row r="69" spans="1:23">
      <c r="A69" s="422"/>
      <c r="B69" s="422"/>
      <c r="C69" s="422"/>
      <c r="D69" s="86" t="s">
        <v>81</v>
      </c>
      <c r="E69" s="86">
        <f>SUMIFS($E$4:$E$34,$N$4:$N$34,D69)</f>
        <v>0</v>
      </c>
      <c r="F69" s="422"/>
      <c r="G69" s="422"/>
      <c r="H69" s="422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2"/>
    </row>
    <row r="70" spans="1:23">
      <c r="A70" s="422"/>
      <c r="B70" s="422"/>
      <c r="C70" s="422"/>
      <c r="D70" s="86" t="s">
        <v>352</v>
      </c>
      <c r="E70" s="86">
        <f>SUMIFS($E$4:$E$34,$N$4:$N$34,D70)</f>
        <v>0</v>
      </c>
      <c r="F70" s="422"/>
      <c r="G70" s="422"/>
      <c r="H70" s="422"/>
      <c r="I70" s="422"/>
      <c r="J70" s="422"/>
      <c r="K70" s="422"/>
      <c r="L70" s="422"/>
      <c r="M70" s="422"/>
      <c r="N70" s="422"/>
      <c r="O70" s="422"/>
      <c r="P70" s="422"/>
      <c r="Q70" s="422"/>
      <c r="R70" s="422"/>
      <c r="S70" s="422"/>
      <c r="T70" s="422"/>
      <c r="U70" s="422"/>
      <c r="V70" s="422"/>
      <c r="W70" s="422"/>
    </row>
    <row r="71" spans="1:23">
      <c r="A71" s="422"/>
      <c r="B71" s="422"/>
      <c r="C71" s="422"/>
      <c r="D71" s="86" t="s">
        <v>353</v>
      </c>
      <c r="E71" s="86">
        <f>SUMIFS($E$4:$E$34,$N$4:$N$34,D71)</f>
        <v>0</v>
      </c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2"/>
      <c r="Q71" s="422"/>
      <c r="R71" s="422"/>
      <c r="S71" s="422"/>
      <c r="T71" s="422"/>
      <c r="U71" s="422"/>
      <c r="V71" s="422"/>
      <c r="W71" s="422"/>
    </row>
    <row r="72" spans="1:23">
      <c r="A72" s="422"/>
      <c r="B72" s="422"/>
      <c r="C72" s="422"/>
      <c r="D72" s="86" t="s">
        <v>354</v>
      </c>
      <c r="E72" s="86">
        <f>SUMIFS($E$4:$E$34,$N$4:$N$34,D72)</f>
        <v>0</v>
      </c>
      <c r="F72" s="422"/>
      <c r="G72" s="422"/>
      <c r="H72" s="422"/>
      <c r="I72" s="422"/>
      <c r="J72" s="422"/>
      <c r="K72" s="422"/>
      <c r="L72" s="422"/>
      <c r="M72" s="422"/>
      <c r="N72" s="422"/>
      <c r="O72" s="422"/>
      <c r="P72" s="422"/>
      <c r="Q72" s="422"/>
      <c r="R72" s="422"/>
      <c r="S72" s="422"/>
      <c r="T72" s="422"/>
      <c r="U72" s="422"/>
      <c r="V72" s="422"/>
      <c r="W72" s="422"/>
    </row>
    <row r="73" spans="1:23">
      <c r="A73" s="422"/>
      <c r="B73" s="422"/>
      <c r="C73" s="422"/>
      <c r="D73" s="86" t="s">
        <v>355</v>
      </c>
      <c r="E73" s="86">
        <f>SUMIFS($E$4:$E$34,$N$4:$N$34,D73)</f>
        <v>0</v>
      </c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2"/>
      <c r="Q73" s="422"/>
      <c r="R73" s="422"/>
      <c r="S73" s="422"/>
      <c r="T73" s="422"/>
      <c r="U73" s="422"/>
      <c r="V73" s="422"/>
      <c r="W73" s="422"/>
    </row>
    <row r="74" spans="1:23">
      <c r="A74" s="422"/>
      <c r="B74" s="422"/>
      <c r="C74" s="422"/>
      <c r="D74" s="86" t="s">
        <v>356</v>
      </c>
      <c r="E74" s="86">
        <f>SUMIFS($E$4:$E$34,$N$4:$N$34,D74)</f>
        <v>0</v>
      </c>
      <c r="F74" s="422"/>
      <c r="G74" s="422"/>
      <c r="H74" s="422"/>
      <c r="I74" s="422"/>
      <c r="J74" s="422"/>
      <c r="K74" s="422"/>
      <c r="L74" s="422"/>
      <c r="M74" s="422"/>
      <c r="N74" s="422"/>
      <c r="O74" s="422"/>
      <c r="P74" s="422"/>
      <c r="Q74" s="422"/>
      <c r="R74" s="422"/>
      <c r="S74" s="422"/>
      <c r="T74" s="422"/>
      <c r="U74" s="422"/>
      <c r="V74" s="422"/>
      <c r="W74" s="422"/>
    </row>
    <row r="75" spans="1:23">
      <c r="A75" s="422"/>
      <c r="B75" s="422"/>
      <c r="C75" s="422"/>
      <c r="D75" s="411" t="s">
        <v>357</v>
      </c>
      <c r="E75" s="86">
        <f>SUMIFS($E$4:$E$34,$N$4:$N$34,D75)</f>
        <v>0</v>
      </c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2"/>
      <c r="Q75" s="422"/>
      <c r="R75" s="422"/>
      <c r="S75" s="422"/>
      <c r="T75" s="422"/>
      <c r="U75" s="422"/>
      <c r="V75" s="422"/>
      <c r="W75" s="422"/>
    </row>
    <row r="76" spans="1:23">
      <c r="A76" s="422"/>
      <c r="B76" s="422"/>
      <c r="C76" s="422"/>
      <c r="D76" s="86"/>
      <c r="E76" s="86">
        <f>SUMIFS($E$4:$E$34,$N$4:$N$34,D76)</f>
        <v>0</v>
      </c>
      <c r="F76" s="422"/>
      <c r="G76" s="422"/>
      <c r="H76" s="422"/>
      <c r="I76" s="422"/>
      <c r="J76" s="422"/>
      <c r="K76" s="422"/>
      <c r="L76" s="422"/>
      <c r="M76" s="422"/>
      <c r="N76" s="422"/>
      <c r="O76" s="422"/>
      <c r="P76" s="422"/>
      <c r="Q76" s="422"/>
      <c r="R76" s="422"/>
      <c r="S76" s="422"/>
      <c r="T76" s="422"/>
      <c r="U76" s="422"/>
      <c r="V76" s="422"/>
      <c r="W76" s="422"/>
    </row>
    <row r="77" spans="1:23">
      <c r="A77" s="422"/>
      <c r="B77" s="422"/>
      <c r="C77" s="422"/>
      <c r="D77" s="86"/>
      <c r="E77" s="86"/>
      <c r="F77" s="422"/>
      <c r="G77" s="422"/>
      <c r="H77" s="422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2"/>
    </row>
    <row r="78" spans="1:23">
      <c r="A78" s="422"/>
      <c r="B78" s="422"/>
      <c r="C78" s="422"/>
      <c r="D78" s="445" t="s">
        <v>358</v>
      </c>
      <c r="E78" s="445">
        <f>SUM(E68:E77)</f>
        <v>0</v>
      </c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</row>
    <row r="79" spans="1:23">
      <c r="A79" s="422"/>
      <c r="B79" s="422"/>
      <c r="C79" s="422"/>
      <c r="D79" s="422"/>
      <c r="E79" s="422"/>
      <c r="F79" s="422"/>
      <c r="G79" s="422"/>
      <c r="H79" s="422"/>
      <c r="I79" s="422"/>
      <c r="J79" s="422"/>
      <c r="K79" s="422"/>
      <c r="L79" s="422"/>
      <c r="M79" s="422"/>
      <c r="N79" s="422"/>
      <c r="O79" s="422"/>
      <c r="P79" s="422"/>
      <c r="Q79" s="422"/>
      <c r="R79" s="422"/>
      <c r="S79" s="422"/>
      <c r="T79" s="422"/>
      <c r="U79" s="422"/>
      <c r="V79" s="422"/>
      <c r="W79" s="422"/>
    </row>
  </sheetData>
  <mergeCells count="3">
    <mergeCell ref="A1:N1"/>
    <mergeCell ref="A3:J3"/>
    <mergeCell ref="D67:E6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5"/>
  <sheetViews>
    <sheetView workbookViewId="0">
      <pane ySplit="2" topLeftCell="A27" activePane="bottomLeft" state="frozen"/>
      <selection pane="bottomLeft" activeCell="M41" sqref="M41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26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9.7109375" bestFit="1" customWidth="1"/>
  </cols>
  <sheetData>
    <row r="1" spans="1:15" ht="15.75" customHeight="1">
      <c r="A1" s="564" t="s">
        <v>133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3"/>
    </row>
    <row r="2" spans="1:15" ht="30">
      <c r="A2" s="54" t="s">
        <v>0</v>
      </c>
      <c r="B2" s="55" t="s">
        <v>167</v>
      </c>
      <c r="C2" s="55" t="s">
        <v>168</v>
      </c>
      <c r="D2" s="55" t="s">
        <v>169</v>
      </c>
      <c r="E2" s="55" t="s">
        <v>170</v>
      </c>
      <c r="F2" s="55" t="s">
        <v>171</v>
      </c>
      <c r="G2" s="55" t="s">
        <v>172</v>
      </c>
      <c r="H2" s="55" t="s">
        <v>173</v>
      </c>
      <c r="I2" s="55" t="s">
        <v>171</v>
      </c>
      <c r="J2" s="56" t="s">
        <v>172</v>
      </c>
      <c r="K2" s="57" t="s">
        <v>174</v>
      </c>
      <c r="L2" s="58" t="s">
        <v>175</v>
      </c>
      <c r="M2" s="116" t="s">
        <v>192</v>
      </c>
      <c r="N2" s="101" t="s">
        <v>177</v>
      </c>
      <c r="O2" s="59"/>
    </row>
    <row r="3" spans="1:15">
      <c r="A3" s="132" t="s">
        <v>178</v>
      </c>
      <c r="B3" s="133"/>
      <c r="C3" s="133"/>
      <c r="D3" s="133"/>
      <c r="E3" s="133"/>
      <c r="F3" s="133"/>
      <c r="G3" s="133"/>
      <c r="H3" s="133"/>
      <c r="I3" s="133"/>
      <c r="J3" s="133"/>
      <c r="K3" s="261">
        <v>3890914.7251000004</v>
      </c>
      <c r="L3" s="134"/>
      <c r="M3" s="262">
        <f>+K3</f>
        <v>3890914.7251000004</v>
      </c>
      <c r="N3" s="17"/>
      <c r="O3" s="59">
        <v>1194596.9738</v>
      </c>
    </row>
    <row r="4" spans="1:15">
      <c r="A4" s="46">
        <v>1</v>
      </c>
      <c r="B4" s="201">
        <v>46174</v>
      </c>
      <c r="C4" s="10"/>
      <c r="D4" s="18"/>
      <c r="E4" s="8">
        <v>2000</v>
      </c>
      <c r="F4" s="8">
        <v>98.94</v>
      </c>
      <c r="G4" s="16">
        <f>E4*F4</f>
        <v>197880</v>
      </c>
      <c r="H4" s="7"/>
      <c r="I4" s="7"/>
      <c r="J4" s="21">
        <f>H4*I4</f>
        <v>0</v>
      </c>
      <c r="K4" s="8">
        <f>G4+J4</f>
        <v>197880</v>
      </c>
      <c r="L4" s="8"/>
      <c r="M4" s="8">
        <f t="shared" ref="M4:M23" si="0">M3+K4-L4</f>
        <v>4088794.7251000004</v>
      </c>
      <c r="N4" s="19"/>
      <c r="O4" s="1"/>
    </row>
    <row r="5" spans="1:15">
      <c r="A5" s="46">
        <v>2</v>
      </c>
      <c r="B5" s="201">
        <v>46175</v>
      </c>
      <c r="C5" s="10"/>
      <c r="D5" s="18"/>
      <c r="E5" s="8"/>
      <c r="F5" s="8"/>
      <c r="G5" s="16">
        <f t="shared" ref="G5:G9" si="1">E5*F5</f>
        <v>0</v>
      </c>
      <c r="H5" s="7"/>
      <c r="I5" s="7"/>
      <c r="J5" s="21">
        <f t="shared" ref="J5" si="2">H5*I5</f>
        <v>0</v>
      </c>
      <c r="K5" s="8">
        <f t="shared" ref="K5:K8" si="3">G5+J5</f>
        <v>0</v>
      </c>
      <c r="L5" s="8"/>
      <c r="M5" s="8">
        <f t="shared" si="0"/>
        <v>4088794.7251000004</v>
      </c>
      <c r="N5" s="8"/>
      <c r="O5" s="1"/>
    </row>
    <row r="6" spans="1:15" ht="15.75">
      <c r="A6" s="46">
        <v>3</v>
      </c>
      <c r="B6" s="201">
        <v>46176</v>
      </c>
      <c r="C6" s="10"/>
      <c r="D6" s="505" t="s">
        <v>359</v>
      </c>
      <c r="E6" s="8">
        <v>15</v>
      </c>
      <c r="F6" s="8">
        <v>360</v>
      </c>
      <c r="G6" s="16">
        <f t="shared" si="1"/>
        <v>5400</v>
      </c>
      <c r="H6" s="7"/>
      <c r="I6" s="7"/>
      <c r="J6" s="21">
        <f>H6*I6</f>
        <v>0</v>
      </c>
      <c r="K6" s="8">
        <f t="shared" si="3"/>
        <v>5400</v>
      </c>
      <c r="L6" s="8"/>
      <c r="M6" s="8">
        <f t="shared" si="0"/>
        <v>4094194.7251000004</v>
      </c>
      <c r="N6" s="8"/>
      <c r="O6" s="1"/>
    </row>
    <row r="7" spans="1:15" ht="15.75">
      <c r="A7" s="46">
        <v>3</v>
      </c>
      <c r="B7" s="201">
        <v>46177</v>
      </c>
      <c r="C7" s="10"/>
      <c r="D7" s="506" t="s">
        <v>360</v>
      </c>
      <c r="E7" s="8">
        <v>40</v>
      </c>
      <c r="F7" s="8">
        <v>75</v>
      </c>
      <c r="G7" s="16">
        <f t="shared" ref="G7" si="4">E7*F7</f>
        <v>3000</v>
      </c>
      <c r="H7" s="7"/>
      <c r="I7" s="7"/>
      <c r="J7" s="21">
        <f>H7*I7</f>
        <v>0</v>
      </c>
      <c r="K7" s="8">
        <f t="shared" ref="K7" si="5">G7+J7</f>
        <v>3000</v>
      </c>
      <c r="L7" s="8"/>
      <c r="M7" s="8">
        <f t="shared" si="0"/>
        <v>4097194.7251000004</v>
      </c>
      <c r="N7" s="8"/>
      <c r="O7" s="1"/>
    </row>
    <row r="8" spans="1:15">
      <c r="A8" s="46">
        <v>4</v>
      </c>
      <c r="B8" s="201">
        <v>46178</v>
      </c>
      <c r="C8" s="10"/>
      <c r="D8" s="18"/>
      <c r="E8" s="8">
        <v>2000</v>
      </c>
      <c r="F8" s="8">
        <v>98.94</v>
      </c>
      <c r="G8" s="16">
        <f t="shared" si="1"/>
        <v>197880</v>
      </c>
      <c r="H8" s="7">
        <v>20</v>
      </c>
      <c r="I8" s="7">
        <v>112.27</v>
      </c>
      <c r="J8" s="21">
        <f>H8*I8</f>
        <v>2245.4</v>
      </c>
      <c r="K8" s="8">
        <f t="shared" si="3"/>
        <v>200125.4</v>
      </c>
      <c r="L8" s="8"/>
      <c r="M8" s="8">
        <f t="shared" si="0"/>
        <v>4297320.1251000008</v>
      </c>
      <c r="N8" s="8"/>
      <c r="O8" s="1"/>
    </row>
    <row r="9" spans="1:15">
      <c r="A9" s="46">
        <v>5</v>
      </c>
      <c r="B9" s="201">
        <v>46179</v>
      </c>
      <c r="C9" s="10"/>
      <c r="D9" s="18"/>
      <c r="E9" s="8"/>
      <c r="F9" s="8"/>
      <c r="G9" s="16">
        <f t="shared" si="1"/>
        <v>0</v>
      </c>
      <c r="H9" s="7"/>
      <c r="I9" s="7"/>
      <c r="J9" s="21">
        <v>0</v>
      </c>
      <c r="K9" s="8">
        <f t="shared" ref="K9:K41" si="6">G9+J9</f>
        <v>0</v>
      </c>
      <c r="L9" s="8"/>
      <c r="M9" s="8">
        <f t="shared" si="0"/>
        <v>4297320.1251000008</v>
      </c>
      <c r="N9" s="8"/>
      <c r="O9" s="1"/>
    </row>
    <row r="10" spans="1:15">
      <c r="A10" s="46">
        <v>6</v>
      </c>
      <c r="B10" s="201">
        <v>46180</v>
      </c>
      <c r="C10" s="10"/>
      <c r="D10" s="18"/>
      <c r="E10" s="8"/>
      <c r="F10" s="8"/>
      <c r="G10" s="16">
        <f>E10*F10</f>
        <v>0</v>
      </c>
      <c r="H10" s="7">
        <v>20</v>
      </c>
      <c r="I10" s="7">
        <v>112.27</v>
      </c>
      <c r="J10" s="16">
        <f>H10*I10</f>
        <v>2245.4</v>
      </c>
      <c r="K10" s="8">
        <f t="shared" ref="K10:K40" si="7">G10+J10</f>
        <v>2245.4</v>
      </c>
      <c r="L10" s="8"/>
      <c r="M10" s="8">
        <f t="shared" si="0"/>
        <v>4299565.5251000011</v>
      </c>
      <c r="N10" s="8"/>
      <c r="O10" s="1"/>
    </row>
    <row r="11" spans="1:15">
      <c r="A11" s="46">
        <v>7</v>
      </c>
      <c r="B11" s="201">
        <v>46181</v>
      </c>
      <c r="C11" s="10"/>
      <c r="D11" s="18"/>
      <c r="E11" s="8"/>
      <c r="F11" s="8"/>
      <c r="G11" s="16">
        <f>E11*F11</f>
        <v>0</v>
      </c>
      <c r="H11" s="7"/>
      <c r="I11" s="7"/>
      <c r="J11" s="16">
        <f>H11*I11</f>
        <v>0</v>
      </c>
      <c r="K11" s="8">
        <f t="shared" si="7"/>
        <v>0</v>
      </c>
      <c r="L11" s="8">
        <v>4208999</v>
      </c>
      <c r="M11" s="8">
        <f t="shared" si="0"/>
        <v>90566.525100001134</v>
      </c>
      <c r="N11" s="8"/>
      <c r="O11" s="1"/>
    </row>
    <row r="12" spans="1:15">
      <c r="A12" s="46">
        <v>8</v>
      </c>
      <c r="B12" s="201">
        <v>46182</v>
      </c>
      <c r="C12" s="10"/>
      <c r="D12" s="18"/>
      <c r="E12" s="8"/>
      <c r="F12" s="8"/>
      <c r="G12" s="16">
        <f>E12*F12</f>
        <v>0</v>
      </c>
      <c r="H12" s="7"/>
      <c r="I12" s="7"/>
      <c r="J12" s="16">
        <f>H12*I12</f>
        <v>0</v>
      </c>
      <c r="K12" s="8">
        <f t="shared" si="7"/>
        <v>0</v>
      </c>
      <c r="L12" s="8"/>
      <c r="M12" s="8">
        <f t="shared" si="0"/>
        <v>90566.525100001134</v>
      </c>
      <c r="N12" s="8"/>
      <c r="O12" s="1"/>
    </row>
    <row r="13" spans="1:15">
      <c r="A13" s="46">
        <v>9</v>
      </c>
      <c r="B13" s="201">
        <v>46183</v>
      </c>
      <c r="C13" s="10"/>
      <c r="D13" s="18"/>
      <c r="E13" s="8"/>
      <c r="F13" s="8"/>
      <c r="G13" s="16">
        <v>0</v>
      </c>
      <c r="H13" s="7"/>
      <c r="I13" s="7"/>
      <c r="J13" s="21">
        <v>0</v>
      </c>
      <c r="K13" s="8">
        <f t="shared" si="7"/>
        <v>0</v>
      </c>
      <c r="L13" s="8"/>
      <c r="M13" s="8">
        <f t="shared" si="0"/>
        <v>90566.525100001134</v>
      </c>
      <c r="N13" s="8"/>
      <c r="O13" s="1"/>
    </row>
    <row r="14" spans="1:15">
      <c r="A14" s="46">
        <v>10</v>
      </c>
      <c r="B14" s="201">
        <v>46184</v>
      </c>
      <c r="C14" s="10"/>
      <c r="D14" s="18"/>
      <c r="E14" s="8">
        <v>1400</v>
      </c>
      <c r="F14" s="8">
        <v>98.94</v>
      </c>
      <c r="G14" s="16">
        <f>E14*F14</f>
        <v>138516</v>
      </c>
      <c r="H14" s="7"/>
      <c r="I14" s="7"/>
      <c r="J14" s="16">
        <f>H14*I14</f>
        <v>0</v>
      </c>
      <c r="K14" s="8">
        <f t="shared" ref="K14" si="8">G14+J14</f>
        <v>138516</v>
      </c>
      <c r="L14" s="8"/>
      <c r="M14" s="8">
        <f t="shared" si="0"/>
        <v>229082.52510000113</v>
      </c>
      <c r="N14" s="8"/>
      <c r="O14" s="1"/>
    </row>
    <row r="15" spans="1:15">
      <c r="A15" s="46">
        <v>11</v>
      </c>
      <c r="B15" s="201">
        <v>46185</v>
      </c>
      <c r="C15" s="10"/>
      <c r="D15" s="18"/>
      <c r="E15" s="8"/>
      <c r="F15" s="8"/>
      <c r="G15" s="16">
        <f>E15*F15</f>
        <v>0</v>
      </c>
      <c r="H15" s="7"/>
      <c r="I15" s="7"/>
      <c r="J15" s="16">
        <f>H15*I15</f>
        <v>0</v>
      </c>
      <c r="K15" s="8">
        <f>G15+J15</f>
        <v>0</v>
      </c>
      <c r="L15" s="8"/>
      <c r="M15" s="8">
        <f t="shared" si="0"/>
        <v>229082.52510000113</v>
      </c>
      <c r="N15" s="193" t="s">
        <v>183</v>
      </c>
      <c r="O15" s="1"/>
    </row>
    <row r="16" spans="1:15">
      <c r="A16" s="46">
        <v>12</v>
      </c>
      <c r="B16" s="201">
        <v>46186</v>
      </c>
      <c r="C16" s="10"/>
      <c r="D16" s="18"/>
      <c r="E16" s="8"/>
      <c r="F16" s="8"/>
      <c r="G16" s="16">
        <f t="shared" ref="G16:G17" si="9">E16*F16</f>
        <v>0</v>
      </c>
      <c r="H16" s="7"/>
      <c r="I16" s="7"/>
      <c r="J16" s="16"/>
      <c r="K16" s="8">
        <f t="shared" ref="K16:K18" si="10">G16+J16</f>
        <v>0</v>
      </c>
      <c r="L16" s="8"/>
      <c r="M16" s="8">
        <f t="shared" si="0"/>
        <v>229082.52510000113</v>
      </c>
      <c r="N16" s="193"/>
      <c r="O16" s="1"/>
    </row>
    <row r="17" spans="1:17">
      <c r="A17" s="46">
        <v>13</v>
      </c>
      <c r="B17" s="201">
        <v>46187</v>
      </c>
      <c r="C17" s="10"/>
      <c r="D17" s="18"/>
      <c r="E17" s="8"/>
      <c r="F17" s="8"/>
      <c r="G17" s="16">
        <f t="shared" si="9"/>
        <v>0</v>
      </c>
      <c r="H17" s="7"/>
      <c r="I17" s="7"/>
      <c r="J17" s="16"/>
      <c r="K17" s="8">
        <f t="shared" si="10"/>
        <v>0</v>
      </c>
      <c r="L17" s="8"/>
      <c r="M17" s="8">
        <f t="shared" si="0"/>
        <v>229082.52510000113</v>
      </c>
      <c r="N17" s="193"/>
      <c r="O17" s="1"/>
    </row>
    <row r="18" spans="1:17">
      <c r="A18" s="46">
        <v>14</v>
      </c>
      <c r="B18" s="201">
        <v>46188</v>
      </c>
      <c r="C18" s="10"/>
      <c r="D18" s="18"/>
      <c r="E18" s="8">
        <v>999.92</v>
      </c>
      <c r="F18" s="8">
        <v>98.94</v>
      </c>
      <c r="G18" s="16">
        <f t="shared" ref="G18:G23" si="11">E18*F18</f>
        <v>98932.084799999997</v>
      </c>
      <c r="H18" s="7"/>
      <c r="I18" s="7"/>
      <c r="J18" s="16">
        <f t="shared" ref="J18:J28" si="12">H18*I18</f>
        <v>0</v>
      </c>
      <c r="K18" s="8">
        <f t="shared" si="10"/>
        <v>98932.084799999997</v>
      </c>
      <c r="L18" s="8"/>
      <c r="M18" s="8">
        <f t="shared" si="0"/>
        <v>328014.60990000115</v>
      </c>
      <c r="N18" s="193"/>
      <c r="O18" s="1"/>
    </row>
    <row r="19" spans="1:17">
      <c r="A19" s="46">
        <v>15</v>
      </c>
      <c r="B19" s="201">
        <v>46189</v>
      </c>
      <c r="C19" s="10"/>
      <c r="D19" s="18"/>
      <c r="E19" s="8">
        <v>1000</v>
      </c>
      <c r="F19" s="8">
        <v>98.94</v>
      </c>
      <c r="G19" s="16">
        <f t="shared" si="11"/>
        <v>98940</v>
      </c>
      <c r="H19" s="7">
        <v>10</v>
      </c>
      <c r="I19" s="7">
        <v>112.27</v>
      </c>
      <c r="J19" s="16">
        <f t="shared" si="12"/>
        <v>1122.7</v>
      </c>
      <c r="K19" s="8">
        <f t="shared" si="7"/>
        <v>100062.7</v>
      </c>
      <c r="L19" s="8"/>
      <c r="M19" s="8">
        <f t="shared" si="0"/>
        <v>428077.30990000116</v>
      </c>
      <c r="N19" s="193"/>
      <c r="O19" s="1"/>
    </row>
    <row r="20" spans="1:17">
      <c r="A20" s="46">
        <v>16</v>
      </c>
      <c r="B20" s="201">
        <v>46190</v>
      </c>
      <c r="C20" s="10"/>
      <c r="D20" s="18"/>
      <c r="E20" s="8">
        <v>2000</v>
      </c>
      <c r="F20" s="8">
        <v>98.94</v>
      </c>
      <c r="G20" s="16">
        <f t="shared" si="11"/>
        <v>197880</v>
      </c>
      <c r="H20" s="7"/>
      <c r="I20" s="7"/>
      <c r="J20" s="16">
        <f t="shared" si="12"/>
        <v>0</v>
      </c>
      <c r="K20" s="8">
        <f t="shared" si="7"/>
        <v>197880</v>
      </c>
      <c r="L20" s="8"/>
      <c r="M20" s="8">
        <f t="shared" si="0"/>
        <v>625957.30990000116</v>
      </c>
      <c r="N20" s="193"/>
      <c r="O20" s="1"/>
    </row>
    <row r="21" spans="1:17">
      <c r="A21" s="46">
        <v>17</v>
      </c>
      <c r="B21" s="201">
        <v>46191</v>
      </c>
      <c r="C21" s="10"/>
      <c r="D21" s="18"/>
      <c r="E21" s="8"/>
      <c r="F21" s="8"/>
      <c r="G21" s="16">
        <f t="shared" si="11"/>
        <v>0</v>
      </c>
      <c r="H21" s="7"/>
      <c r="I21" s="7"/>
      <c r="J21" s="16">
        <f t="shared" si="12"/>
        <v>0</v>
      </c>
      <c r="K21" s="8">
        <f t="shared" si="7"/>
        <v>0</v>
      </c>
      <c r="L21" s="8"/>
      <c r="M21" s="8">
        <f t="shared" si="0"/>
        <v>625957.30990000116</v>
      </c>
      <c r="N21" s="193"/>
      <c r="O21" s="1"/>
    </row>
    <row r="22" spans="1:17">
      <c r="A22" s="46">
        <v>18</v>
      </c>
      <c r="B22" s="201">
        <v>46192</v>
      </c>
      <c r="C22" s="10"/>
      <c r="D22" s="18"/>
      <c r="E22" s="8"/>
      <c r="F22" s="8"/>
      <c r="G22" s="16">
        <f t="shared" si="11"/>
        <v>0</v>
      </c>
      <c r="H22" s="7"/>
      <c r="I22" s="7"/>
      <c r="J22" s="16">
        <f t="shared" si="12"/>
        <v>0</v>
      </c>
      <c r="K22" s="8">
        <f t="shared" si="7"/>
        <v>0</v>
      </c>
      <c r="L22" s="8"/>
      <c r="M22" s="8">
        <f t="shared" si="0"/>
        <v>625957.30990000116</v>
      </c>
      <c r="N22" s="193"/>
      <c r="O22" s="1"/>
    </row>
    <row r="23" spans="1:17">
      <c r="A23" s="46">
        <v>19</v>
      </c>
      <c r="B23" s="201">
        <v>46193</v>
      </c>
      <c r="C23" s="10"/>
      <c r="D23" s="18"/>
      <c r="E23" s="8"/>
      <c r="F23" s="8"/>
      <c r="G23" s="16">
        <f t="shared" si="11"/>
        <v>0</v>
      </c>
      <c r="H23" s="7">
        <v>20</v>
      </c>
      <c r="I23" s="7">
        <v>112.27</v>
      </c>
      <c r="J23" s="16">
        <f t="shared" si="12"/>
        <v>2245.4</v>
      </c>
      <c r="K23" s="8">
        <f t="shared" si="7"/>
        <v>2245.4</v>
      </c>
      <c r="L23" s="8"/>
      <c r="M23" s="8">
        <f t="shared" si="0"/>
        <v>628202.70990000118</v>
      </c>
      <c r="N23" s="193"/>
      <c r="O23" s="1"/>
    </row>
    <row r="24" spans="1:17">
      <c r="A24" s="46">
        <v>20</v>
      </c>
      <c r="B24" s="201">
        <v>46194</v>
      </c>
      <c r="C24" s="10"/>
      <c r="D24" s="18"/>
      <c r="E24" s="8"/>
      <c r="F24" s="8"/>
      <c r="G24" s="16"/>
      <c r="H24" s="7"/>
      <c r="I24" s="7"/>
      <c r="J24" s="16">
        <f t="shared" si="12"/>
        <v>0</v>
      </c>
      <c r="K24" s="8">
        <f t="shared" si="7"/>
        <v>0</v>
      </c>
      <c r="L24" s="8"/>
      <c r="M24" s="8">
        <f t="shared" ref="M20:M41" si="13">M23+K24-L24</f>
        <v>628202.70990000118</v>
      </c>
      <c r="N24" s="193"/>
      <c r="O24" s="1"/>
    </row>
    <row r="25" spans="1:17">
      <c r="A25" s="46">
        <v>21</v>
      </c>
      <c r="B25" s="201">
        <v>46195</v>
      </c>
      <c r="C25" s="10"/>
      <c r="D25" s="18"/>
      <c r="E25" s="8"/>
      <c r="F25" s="8"/>
      <c r="G25" s="16">
        <f>E25*F25</f>
        <v>0</v>
      </c>
      <c r="H25" s="7"/>
      <c r="I25" s="7"/>
      <c r="J25" s="16">
        <f t="shared" si="12"/>
        <v>0</v>
      </c>
      <c r="K25" s="8">
        <f t="shared" si="7"/>
        <v>0</v>
      </c>
      <c r="L25" s="8"/>
      <c r="M25" s="8">
        <f t="shared" si="13"/>
        <v>628202.70990000118</v>
      </c>
      <c r="N25" s="193"/>
      <c r="O25" s="1"/>
    </row>
    <row r="26" spans="1:17">
      <c r="A26" s="46">
        <v>22</v>
      </c>
      <c r="B26" s="201">
        <v>46196</v>
      </c>
      <c r="C26" s="10"/>
      <c r="D26" s="18"/>
      <c r="E26" s="8"/>
      <c r="F26" s="8"/>
      <c r="G26" s="16">
        <f t="shared" ref="G26:G28" si="14">E26*F26</f>
        <v>0</v>
      </c>
      <c r="H26" s="7"/>
      <c r="I26" s="7"/>
      <c r="J26" s="16">
        <f t="shared" si="12"/>
        <v>0</v>
      </c>
      <c r="K26" s="8">
        <f t="shared" si="7"/>
        <v>0</v>
      </c>
      <c r="L26" s="8"/>
      <c r="M26" s="8">
        <f t="shared" si="13"/>
        <v>628202.70990000118</v>
      </c>
      <c r="N26" s="193"/>
      <c r="O26" s="1"/>
      <c r="Q26" s="337">
        <f>3800/26</f>
        <v>146.15384615384616</v>
      </c>
    </row>
    <row r="27" spans="1:17">
      <c r="A27" s="46">
        <v>23</v>
      </c>
      <c r="B27" s="201">
        <v>46197</v>
      </c>
      <c r="C27" s="10"/>
      <c r="D27" s="18"/>
      <c r="E27" s="8"/>
      <c r="F27" s="8"/>
      <c r="G27" s="16">
        <f t="shared" si="14"/>
        <v>0</v>
      </c>
      <c r="H27" s="7"/>
      <c r="I27" s="7"/>
      <c r="J27" s="16">
        <f t="shared" si="12"/>
        <v>0</v>
      </c>
      <c r="K27" s="8">
        <f t="shared" si="7"/>
        <v>0</v>
      </c>
      <c r="L27" s="8"/>
      <c r="M27" s="8">
        <f t="shared" si="13"/>
        <v>628202.70990000118</v>
      </c>
      <c r="N27" s="193"/>
      <c r="O27" s="1" t="s">
        <v>361</v>
      </c>
    </row>
    <row r="28" spans="1:17">
      <c r="A28" s="46">
        <v>24</v>
      </c>
      <c r="B28" s="201">
        <v>46198</v>
      </c>
      <c r="C28" s="10"/>
      <c r="D28" s="18"/>
      <c r="E28" s="8"/>
      <c r="F28" s="8"/>
      <c r="G28" s="16">
        <f t="shared" si="14"/>
        <v>0</v>
      </c>
      <c r="H28" s="7"/>
      <c r="I28" s="7"/>
      <c r="J28" s="16">
        <f t="shared" si="12"/>
        <v>0</v>
      </c>
      <c r="K28" s="8">
        <f t="shared" si="7"/>
        <v>0</v>
      </c>
      <c r="L28" s="8"/>
      <c r="M28" s="8">
        <f t="shared" si="13"/>
        <v>628202.70990000118</v>
      </c>
      <c r="N28" s="193"/>
      <c r="O28" s="1"/>
    </row>
    <row r="29" spans="1:17">
      <c r="A29" s="46">
        <v>25</v>
      </c>
      <c r="B29" s="201">
        <v>46199</v>
      </c>
      <c r="C29" s="10"/>
      <c r="D29" s="18"/>
      <c r="E29" s="8"/>
      <c r="F29" s="8"/>
      <c r="G29" s="16">
        <f t="shared" ref="G29:G37" si="15">E29*F29</f>
        <v>0</v>
      </c>
      <c r="H29" s="7"/>
      <c r="I29" s="7"/>
      <c r="J29" s="16">
        <f t="shared" ref="J29:J36" si="16">H29*I29</f>
        <v>0</v>
      </c>
      <c r="K29" s="8">
        <f t="shared" ref="K29" si="17">G29+J29</f>
        <v>0</v>
      </c>
      <c r="L29" s="8"/>
      <c r="M29" s="8">
        <f t="shared" si="13"/>
        <v>628202.70990000118</v>
      </c>
      <c r="N29" s="193"/>
      <c r="O29" s="1"/>
    </row>
    <row r="30" spans="1:17">
      <c r="A30" s="46">
        <v>26</v>
      </c>
      <c r="B30" s="201">
        <v>46200</v>
      </c>
      <c r="C30" s="10"/>
      <c r="D30" s="18"/>
      <c r="E30" s="8"/>
      <c r="F30" s="8"/>
      <c r="G30" s="16">
        <f t="shared" si="15"/>
        <v>0</v>
      </c>
      <c r="H30" s="7"/>
      <c r="I30" s="7"/>
      <c r="J30" s="16">
        <f t="shared" si="16"/>
        <v>0</v>
      </c>
      <c r="K30" s="8">
        <f t="shared" si="7"/>
        <v>0</v>
      </c>
      <c r="L30" s="8"/>
      <c r="M30" s="8">
        <f t="shared" si="13"/>
        <v>628202.70990000118</v>
      </c>
      <c r="N30" s="193"/>
      <c r="O30" s="1"/>
    </row>
    <row r="31" spans="1:17">
      <c r="A31" s="46">
        <v>27</v>
      </c>
      <c r="B31" s="201">
        <v>46201</v>
      </c>
      <c r="C31" s="10"/>
      <c r="D31" s="18"/>
      <c r="E31" s="8"/>
      <c r="F31" s="8"/>
      <c r="G31" s="16">
        <f t="shared" si="15"/>
        <v>0</v>
      </c>
      <c r="H31" s="7"/>
      <c r="I31" s="7"/>
      <c r="J31" s="16">
        <f t="shared" si="16"/>
        <v>0</v>
      </c>
      <c r="K31" s="8">
        <f t="shared" si="7"/>
        <v>0</v>
      </c>
      <c r="L31" s="8"/>
      <c r="M31" s="8">
        <f t="shared" si="13"/>
        <v>628202.70990000118</v>
      </c>
      <c r="N31" s="193"/>
      <c r="O31" s="1"/>
    </row>
    <row r="32" spans="1:17">
      <c r="A32" s="46">
        <v>28</v>
      </c>
      <c r="B32" s="201">
        <v>46202</v>
      </c>
      <c r="C32" s="10"/>
      <c r="D32" s="18"/>
      <c r="E32" s="8"/>
      <c r="F32" s="8"/>
      <c r="G32" s="16">
        <f t="shared" si="15"/>
        <v>0</v>
      </c>
      <c r="H32" s="7">
        <v>30</v>
      </c>
      <c r="I32" s="7">
        <v>112.27</v>
      </c>
      <c r="J32" s="16">
        <f t="shared" si="16"/>
        <v>3368.1</v>
      </c>
      <c r="K32" s="8">
        <f t="shared" si="7"/>
        <v>3368.1</v>
      </c>
      <c r="L32" s="8"/>
      <c r="M32" s="8">
        <f t="shared" si="13"/>
        <v>631570.80990000116</v>
      </c>
      <c r="N32" s="193"/>
      <c r="O32" s="1"/>
    </row>
    <row r="33" spans="1:17">
      <c r="A33" s="46">
        <v>29</v>
      </c>
      <c r="B33" s="201">
        <v>46203</v>
      </c>
      <c r="C33" s="10"/>
      <c r="D33" s="18"/>
      <c r="E33" s="8"/>
      <c r="F33" s="8"/>
      <c r="G33" s="16">
        <f t="shared" si="15"/>
        <v>0</v>
      </c>
      <c r="H33" s="7"/>
      <c r="I33" s="7"/>
      <c r="J33" s="16">
        <f t="shared" si="16"/>
        <v>0</v>
      </c>
      <c r="K33" s="8">
        <f t="shared" si="7"/>
        <v>0</v>
      </c>
      <c r="L33" s="8"/>
      <c r="M33" s="8">
        <f t="shared" si="13"/>
        <v>631570.80990000116</v>
      </c>
      <c r="N33" s="193"/>
      <c r="O33" s="1"/>
    </row>
    <row r="34" spans="1:17">
      <c r="A34" s="46">
        <v>30</v>
      </c>
      <c r="B34" s="201"/>
      <c r="C34" s="10"/>
      <c r="D34" s="18"/>
      <c r="E34" s="8"/>
      <c r="F34" s="326"/>
      <c r="G34" s="16">
        <f t="shared" si="15"/>
        <v>0</v>
      </c>
      <c r="H34" s="7"/>
      <c r="I34" s="7"/>
      <c r="J34" s="16">
        <f t="shared" si="16"/>
        <v>0</v>
      </c>
      <c r="K34" s="8">
        <f t="shared" si="7"/>
        <v>0</v>
      </c>
      <c r="L34" s="8"/>
      <c r="M34" s="8">
        <f t="shared" si="13"/>
        <v>631570.80990000116</v>
      </c>
      <c r="N34" s="193"/>
      <c r="O34" s="1"/>
    </row>
    <row r="35" spans="1:17">
      <c r="A35" s="46">
        <v>31</v>
      </c>
      <c r="B35" s="201"/>
      <c r="C35" s="10"/>
      <c r="D35" s="18"/>
      <c r="E35" s="8"/>
      <c r="F35" s="8"/>
      <c r="G35" s="16">
        <f t="shared" si="15"/>
        <v>0</v>
      </c>
      <c r="H35" s="7"/>
      <c r="I35" s="7"/>
      <c r="J35" s="16">
        <f t="shared" si="16"/>
        <v>0</v>
      </c>
      <c r="K35" s="8">
        <f t="shared" si="7"/>
        <v>0</v>
      </c>
      <c r="L35" s="8"/>
      <c r="M35" s="8">
        <f t="shared" si="13"/>
        <v>631570.80990000116</v>
      </c>
      <c r="N35" s="193"/>
      <c r="O35" s="1"/>
    </row>
    <row r="36" spans="1:17">
      <c r="A36" s="46">
        <v>32</v>
      </c>
      <c r="B36" s="201"/>
      <c r="C36" s="10"/>
      <c r="D36" s="18"/>
      <c r="E36" s="8"/>
      <c r="F36" s="8"/>
      <c r="G36" s="16">
        <f t="shared" si="15"/>
        <v>0</v>
      </c>
      <c r="H36" s="7"/>
      <c r="I36" s="7"/>
      <c r="J36" s="16">
        <f t="shared" si="16"/>
        <v>0</v>
      </c>
      <c r="K36" s="8">
        <f t="shared" si="7"/>
        <v>0</v>
      </c>
      <c r="L36" s="8"/>
      <c r="M36" s="8">
        <f t="shared" si="13"/>
        <v>631570.80990000116</v>
      </c>
      <c r="N36" s="193"/>
      <c r="O36" s="1"/>
    </row>
    <row r="37" spans="1:17">
      <c r="A37" s="46">
        <v>33</v>
      </c>
      <c r="B37" s="201"/>
      <c r="C37" s="10"/>
      <c r="D37" s="18"/>
      <c r="E37" s="8"/>
      <c r="F37" s="326"/>
      <c r="G37" s="16">
        <f t="shared" si="15"/>
        <v>0</v>
      </c>
      <c r="H37" s="7"/>
      <c r="I37" s="7"/>
      <c r="J37" s="21">
        <v>0</v>
      </c>
      <c r="K37" s="8">
        <f t="shared" si="7"/>
        <v>0</v>
      </c>
      <c r="L37" s="8"/>
      <c r="M37" s="8">
        <f t="shared" si="13"/>
        <v>631570.80990000116</v>
      </c>
      <c r="N37" s="193"/>
      <c r="O37" s="1"/>
    </row>
    <row r="38" spans="1:17">
      <c r="A38" s="46">
        <v>34</v>
      </c>
      <c r="B38" s="201"/>
      <c r="C38" s="10"/>
      <c r="D38" s="18"/>
      <c r="E38" s="8"/>
      <c r="F38" s="8"/>
      <c r="G38" s="16">
        <v>0</v>
      </c>
      <c r="H38" s="7"/>
      <c r="I38" s="7"/>
      <c r="J38" s="21">
        <v>0</v>
      </c>
      <c r="K38" s="8">
        <f t="shared" si="7"/>
        <v>0</v>
      </c>
      <c r="L38" s="8"/>
      <c r="M38" s="8">
        <f t="shared" si="13"/>
        <v>631570.80990000116</v>
      </c>
      <c r="N38" s="193"/>
      <c r="O38" s="1"/>
    </row>
    <row r="39" spans="1:17">
      <c r="A39" s="46">
        <v>35</v>
      </c>
      <c r="B39" s="201"/>
      <c r="C39" s="10"/>
      <c r="D39" s="18"/>
      <c r="E39" s="8"/>
      <c r="F39" s="8"/>
      <c r="G39" s="16">
        <f t="shared" ref="G10:G40" si="18">E39*F39</f>
        <v>0</v>
      </c>
      <c r="H39" s="7"/>
      <c r="I39" s="7"/>
      <c r="J39" s="21">
        <f t="shared" ref="J10:J40" si="19">H39*I39</f>
        <v>0</v>
      </c>
      <c r="K39" s="8">
        <f t="shared" si="7"/>
        <v>0</v>
      </c>
      <c r="L39" s="8"/>
      <c r="M39" s="8">
        <f t="shared" si="13"/>
        <v>631570.80990000116</v>
      </c>
      <c r="N39" s="193"/>
      <c r="O39" s="1"/>
    </row>
    <row r="40" spans="1:17">
      <c r="A40" s="46">
        <v>36</v>
      </c>
      <c r="B40" s="201"/>
      <c r="C40" s="248"/>
      <c r="D40" s="249"/>
      <c r="E40" s="8"/>
      <c r="F40" s="8"/>
      <c r="G40" s="16">
        <f t="shared" si="18"/>
        <v>0</v>
      </c>
      <c r="H40" s="7"/>
      <c r="I40" s="7"/>
      <c r="J40" s="21">
        <f t="shared" si="19"/>
        <v>0</v>
      </c>
      <c r="K40" s="8">
        <f t="shared" si="7"/>
        <v>0</v>
      </c>
      <c r="L40" s="8"/>
      <c r="M40" s="8">
        <f t="shared" si="13"/>
        <v>631570.80990000116</v>
      </c>
      <c r="N40" s="193"/>
      <c r="O40" s="1"/>
    </row>
    <row r="41" spans="1:17">
      <c r="A41" s="46">
        <v>37</v>
      </c>
      <c r="B41" s="201"/>
      <c r="C41" s="25"/>
      <c r="D41" s="18"/>
      <c r="E41" s="8">
        <v>0</v>
      </c>
      <c r="F41" s="8">
        <v>0</v>
      </c>
      <c r="G41" s="16">
        <f t="shared" ref="G9:G41" si="20">E41*F41</f>
        <v>0</v>
      </c>
      <c r="H41" s="7"/>
      <c r="I41" s="7"/>
      <c r="J41" s="21">
        <f t="shared" ref="J9:J41" si="21">H41*I41</f>
        <v>0</v>
      </c>
      <c r="K41" s="8">
        <f t="shared" si="6"/>
        <v>0</v>
      </c>
      <c r="L41" s="8"/>
      <c r="M41" s="8">
        <f t="shared" si="13"/>
        <v>631570.80990000116</v>
      </c>
      <c r="N41" s="193"/>
      <c r="O41" s="1"/>
      <c r="P41">
        <v>1194597.71</v>
      </c>
      <c r="Q41" s="299">
        <f>P41-M41</f>
        <v>563026.90009999881</v>
      </c>
    </row>
    <row r="42" spans="1:17">
      <c r="A42" s="160"/>
      <c r="B42" s="160"/>
      <c r="C42" s="160"/>
      <c r="D42" s="160"/>
      <c r="E42" s="161">
        <f>SUM(E4:E41)</f>
        <v>9454.92</v>
      </c>
      <c r="F42" s="161"/>
      <c r="G42" s="161">
        <f>SUM(G4:G41)</f>
        <v>938428.08479999995</v>
      </c>
      <c r="H42" s="161">
        <f>SUM(H4:H41)</f>
        <v>100</v>
      </c>
      <c r="I42" s="161"/>
      <c r="J42" s="161">
        <f>SUM(J4:J41)</f>
        <v>11227</v>
      </c>
      <c r="K42" s="161">
        <f>SUM(K4:K41)</f>
        <v>949655.08479999995</v>
      </c>
      <c r="L42" s="161">
        <f>SUM(L4:L41)</f>
        <v>4208999</v>
      </c>
      <c r="M42" s="161"/>
      <c r="N42" s="63"/>
      <c r="O42" s="59"/>
    </row>
    <row r="43" spans="1:17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17">
      <c r="A44" s="1"/>
      <c r="B44" s="592"/>
      <c r="C44" s="592"/>
      <c r="D44" s="592"/>
      <c r="E44" s="592"/>
      <c r="F44" s="1"/>
      <c r="G44" s="1"/>
      <c r="H44" s="1"/>
      <c r="I44" s="592"/>
      <c r="J44" s="592"/>
      <c r="K44" s="592"/>
      <c r="L44" s="592"/>
      <c r="M44" s="592"/>
      <c r="N44" s="592"/>
      <c r="O44" s="4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"/>
    </row>
  </sheetData>
  <mergeCells count="3">
    <mergeCell ref="B44:E44"/>
    <mergeCell ref="I44:N44"/>
    <mergeCell ref="A1:N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O56"/>
  <sheetViews>
    <sheetView topLeftCell="A20" workbookViewId="0">
      <selection activeCell="M41" sqref="M41"/>
    </sheetView>
  </sheetViews>
  <sheetFormatPr defaultRowHeight="15"/>
  <cols>
    <col min="2" max="2" width="10" customWidth="1"/>
    <col min="7" max="7" width="18.7109375" customWidth="1"/>
    <col min="10" max="10" width="14" customWidth="1"/>
    <col min="11" max="12" width="13.5703125" bestFit="1" customWidth="1"/>
    <col min="13" max="13" width="11.85546875" bestFit="1" customWidth="1"/>
    <col min="14" max="14" width="17.140625" bestFit="1" customWidth="1"/>
  </cols>
  <sheetData>
    <row r="1" spans="1:15" ht="15.75">
      <c r="A1" s="557" t="s">
        <v>362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3"/>
    </row>
    <row r="2" spans="1:15" ht="30.75">
      <c r="A2" s="64" t="s">
        <v>0</v>
      </c>
      <c r="B2" s="83" t="s">
        <v>167</v>
      </c>
      <c r="C2" s="83" t="s">
        <v>168</v>
      </c>
      <c r="D2" s="83" t="s">
        <v>169</v>
      </c>
      <c r="E2" s="83" t="s">
        <v>170</v>
      </c>
      <c r="F2" s="83" t="s">
        <v>171</v>
      </c>
      <c r="G2" s="83" t="s">
        <v>172</v>
      </c>
      <c r="H2" s="83" t="s">
        <v>173</v>
      </c>
      <c r="I2" s="83" t="s">
        <v>171</v>
      </c>
      <c r="J2" s="84" t="s">
        <v>172</v>
      </c>
      <c r="K2" s="64" t="s">
        <v>174</v>
      </c>
      <c r="L2" s="85" t="s">
        <v>175</v>
      </c>
      <c r="M2" s="166" t="s">
        <v>192</v>
      </c>
      <c r="N2" s="83" t="s">
        <v>177</v>
      </c>
      <c r="O2" s="59"/>
    </row>
    <row r="3" spans="1:15">
      <c r="A3" s="145"/>
      <c r="B3" s="146"/>
      <c r="C3" s="146"/>
      <c r="D3" s="132" t="s">
        <v>178</v>
      </c>
      <c r="E3" s="146"/>
      <c r="F3" s="146"/>
      <c r="G3" s="146"/>
      <c r="H3" s="146"/>
      <c r="I3" s="146"/>
      <c r="J3" s="147"/>
      <c r="K3" s="263"/>
      <c r="L3" s="231">
        <v>206223.96669999996</v>
      </c>
      <c r="M3" s="231">
        <v>206223.96669999996</v>
      </c>
      <c r="N3" s="146"/>
      <c r="O3" s="59"/>
    </row>
    <row r="4" spans="1:15">
      <c r="A4" s="46">
        <v>1</v>
      </c>
      <c r="B4" s="201">
        <v>46174</v>
      </c>
      <c r="C4" s="25"/>
      <c r="D4" s="25"/>
      <c r="E4" s="8">
        <v>580.59</v>
      </c>
      <c r="F4" s="8">
        <v>99.3</v>
      </c>
      <c r="G4" s="8">
        <f>E4*F4</f>
        <v>57652.587</v>
      </c>
      <c r="H4" s="9"/>
      <c r="I4" s="9"/>
      <c r="J4" s="8">
        <f>H4*I4</f>
        <v>0</v>
      </c>
      <c r="K4" s="8">
        <f>G4+J4</f>
        <v>57652.587</v>
      </c>
      <c r="L4" s="148">
        <v>100000</v>
      </c>
      <c r="M4" s="8">
        <f>M3+K4-L4</f>
        <v>163876.55369999993</v>
      </c>
      <c r="N4" s="44"/>
      <c r="O4" s="1"/>
    </row>
    <row r="5" spans="1:15">
      <c r="A5" s="46">
        <v>2</v>
      </c>
      <c r="B5" s="201">
        <v>46175</v>
      </c>
      <c r="C5" s="25"/>
      <c r="D5" s="25"/>
      <c r="E5" s="8">
        <v>45.1</v>
      </c>
      <c r="F5" s="8">
        <v>99.3</v>
      </c>
      <c r="G5" s="8">
        <f t="shared" ref="G5:G34" si="0">E5*F5</f>
        <v>4478.43</v>
      </c>
      <c r="H5" s="9"/>
      <c r="I5" s="9"/>
      <c r="J5" s="8">
        <f t="shared" ref="J5:J34" si="1">H5*I5</f>
        <v>0</v>
      </c>
      <c r="K5" s="8">
        <f t="shared" ref="K5:L40" si="2">G5+J5</f>
        <v>4478.43</v>
      </c>
      <c r="L5" s="148">
        <v>0</v>
      </c>
      <c r="M5" s="8">
        <f t="shared" ref="M5:M41" si="3">M4+K5-L5</f>
        <v>168354.98369999992</v>
      </c>
      <c r="N5" s="44" t="s">
        <v>183</v>
      </c>
      <c r="O5" s="1"/>
    </row>
    <row r="6" spans="1:15">
      <c r="A6" s="46">
        <v>3</v>
      </c>
      <c r="B6" s="201">
        <v>46176</v>
      </c>
      <c r="C6" s="25"/>
      <c r="D6" s="25"/>
      <c r="E6" s="8"/>
      <c r="F6" s="8"/>
      <c r="G6" s="8">
        <f t="shared" si="0"/>
        <v>0</v>
      </c>
      <c r="H6" s="9"/>
      <c r="I6" s="9"/>
      <c r="J6" s="8">
        <f t="shared" si="1"/>
        <v>0</v>
      </c>
      <c r="K6" s="8">
        <f t="shared" si="2"/>
        <v>0</v>
      </c>
      <c r="L6" s="148">
        <v>0</v>
      </c>
      <c r="M6" s="8">
        <f t="shared" si="3"/>
        <v>168354.98369999992</v>
      </c>
      <c r="N6" s="44"/>
      <c r="O6" s="1"/>
    </row>
    <row r="7" spans="1:15">
      <c r="A7" s="46">
        <v>4</v>
      </c>
      <c r="B7" s="201">
        <v>46177</v>
      </c>
      <c r="C7" s="25"/>
      <c r="D7" s="25"/>
      <c r="E7" s="8">
        <v>827</v>
      </c>
      <c r="F7" s="8">
        <v>99.3</v>
      </c>
      <c r="G7" s="8">
        <f t="shared" si="0"/>
        <v>82121.099999999991</v>
      </c>
      <c r="H7" s="9"/>
      <c r="I7" s="9"/>
      <c r="J7" s="8">
        <f t="shared" si="1"/>
        <v>0</v>
      </c>
      <c r="K7" s="8">
        <f t="shared" si="2"/>
        <v>82121.099999999991</v>
      </c>
      <c r="L7" s="148">
        <v>0</v>
      </c>
      <c r="M7" s="8">
        <f t="shared" si="3"/>
        <v>250476.0836999999</v>
      </c>
      <c r="N7" s="44"/>
      <c r="O7" s="1"/>
    </row>
    <row r="8" spans="1:15">
      <c r="A8" s="46">
        <v>5</v>
      </c>
      <c r="B8" s="201">
        <v>46178</v>
      </c>
      <c r="C8" s="25"/>
      <c r="D8" s="25"/>
      <c r="E8" s="8"/>
      <c r="F8" s="8"/>
      <c r="G8" s="8">
        <f t="shared" si="0"/>
        <v>0</v>
      </c>
      <c r="H8" s="9"/>
      <c r="I8" s="9"/>
      <c r="J8" s="8">
        <f t="shared" si="1"/>
        <v>0</v>
      </c>
      <c r="K8" s="8">
        <f t="shared" si="2"/>
        <v>0</v>
      </c>
      <c r="L8" s="148">
        <v>0</v>
      </c>
      <c r="M8" s="8">
        <f t="shared" si="3"/>
        <v>250476.0836999999</v>
      </c>
      <c r="N8" s="44"/>
      <c r="O8" s="1"/>
    </row>
    <row r="9" spans="1:15">
      <c r="A9" s="46">
        <v>6</v>
      </c>
      <c r="B9" s="201">
        <v>46179</v>
      </c>
      <c r="C9" s="25"/>
      <c r="D9" s="25"/>
      <c r="E9" s="508">
        <v>45</v>
      </c>
      <c r="F9" s="509">
        <v>99.3</v>
      </c>
      <c r="G9" s="8">
        <f t="shared" si="0"/>
        <v>4468.5</v>
      </c>
      <c r="H9" s="508">
        <v>6</v>
      </c>
      <c r="I9" s="9">
        <v>111.4</v>
      </c>
      <c r="J9" s="8">
        <f t="shared" si="1"/>
        <v>668.40000000000009</v>
      </c>
      <c r="K9" s="8">
        <f t="shared" si="2"/>
        <v>5136.8999999999996</v>
      </c>
      <c r="L9" s="148">
        <v>200000</v>
      </c>
      <c r="M9" s="8">
        <f t="shared" si="3"/>
        <v>55612.983699999895</v>
      </c>
      <c r="N9" s="44"/>
      <c r="O9" s="1"/>
    </row>
    <row r="10" spans="1:15">
      <c r="A10" s="46">
        <v>7</v>
      </c>
      <c r="B10" s="201">
        <v>46180</v>
      </c>
      <c r="C10" s="25"/>
      <c r="D10" s="25"/>
      <c r="E10" s="508">
        <v>535</v>
      </c>
      <c r="F10" s="509">
        <v>99.3</v>
      </c>
      <c r="G10" s="8">
        <f t="shared" si="0"/>
        <v>53125.5</v>
      </c>
      <c r="H10" s="508">
        <v>7</v>
      </c>
      <c r="I10" s="9">
        <v>111.4</v>
      </c>
      <c r="J10" s="8">
        <f t="shared" si="1"/>
        <v>779.80000000000007</v>
      </c>
      <c r="K10" s="8">
        <f t="shared" si="2"/>
        <v>53905.3</v>
      </c>
      <c r="L10" s="148">
        <v>0</v>
      </c>
      <c r="M10" s="8">
        <f t="shared" si="3"/>
        <v>109518.2836999999</v>
      </c>
      <c r="N10" s="44"/>
      <c r="O10" s="1"/>
    </row>
    <row r="11" spans="1:15">
      <c r="A11" s="46">
        <v>8</v>
      </c>
      <c r="B11" s="201">
        <v>46181</v>
      </c>
      <c r="C11" s="25"/>
      <c r="D11" s="25"/>
      <c r="E11" s="8"/>
      <c r="F11" s="8"/>
      <c r="G11" s="8">
        <f t="shared" si="0"/>
        <v>0</v>
      </c>
      <c r="H11" s="9">
        <v>4.47</v>
      </c>
      <c r="I11" s="9">
        <v>111.88</v>
      </c>
      <c r="J11" s="8">
        <f t="shared" si="1"/>
        <v>500.10359999999997</v>
      </c>
      <c r="K11" s="8">
        <f t="shared" si="2"/>
        <v>500.10359999999997</v>
      </c>
      <c r="L11" s="8">
        <v>500</v>
      </c>
      <c r="M11" s="8">
        <f t="shared" si="3"/>
        <v>109518.3872999999</v>
      </c>
      <c r="N11" s="44"/>
      <c r="O11" s="1"/>
    </row>
    <row r="12" spans="1:15">
      <c r="A12" s="46">
        <v>9</v>
      </c>
      <c r="B12" s="201">
        <v>46182</v>
      </c>
      <c r="C12" s="25"/>
      <c r="D12" s="25"/>
      <c r="E12" s="8">
        <v>193.75</v>
      </c>
      <c r="F12" s="8">
        <v>99.3</v>
      </c>
      <c r="G12" s="8">
        <f t="shared" si="0"/>
        <v>19239.375</v>
      </c>
      <c r="H12" s="9"/>
      <c r="I12" s="9"/>
      <c r="J12" s="8">
        <f t="shared" si="1"/>
        <v>0</v>
      </c>
      <c r="K12" s="8">
        <f t="shared" si="2"/>
        <v>19239.375</v>
      </c>
      <c r="L12" s="148">
        <v>0</v>
      </c>
      <c r="M12" s="8">
        <f t="shared" si="3"/>
        <v>128757.7622999999</v>
      </c>
      <c r="N12" s="44"/>
      <c r="O12" s="1" t="s">
        <v>363</v>
      </c>
    </row>
    <row r="13" spans="1:15">
      <c r="A13" s="46">
        <v>10</v>
      </c>
      <c r="B13" s="201">
        <v>46183</v>
      </c>
      <c r="C13" s="25"/>
      <c r="D13" s="25"/>
      <c r="E13" s="8">
        <v>296.07</v>
      </c>
      <c r="F13" s="8">
        <v>99.3</v>
      </c>
      <c r="G13" s="8">
        <f t="shared" si="0"/>
        <v>29399.751</v>
      </c>
      <c r="H13" s="9">
        <v>4</v>
      </c>
      <c r="I13" s="9">
        <v>120.81</v>
      </c>
      <c r="J13" s="8">
        <f t="shared" si="1"/>
        <v>483.24</v>
      </c>
      <c r="K13" s="8">
        <f t="shared" si="2"/>
        <v>29882.991000000002</v>
      </c>
      <c r="L13" s="148">
        <v>0</v>
      </c>
      <c r="M13" s="8">
        <f t="shared" si="3"/>
        <v>158640.75329999989</v>
      </c>
      <c r="N13" s="44"/>
      <c r="O13" s="1"/>
    </row>
    <row r="14" spans="1:15">
      <c r="A14" s="46">
        <v>11</v>
      </c>
      <c r="B14" s="201">
        <v>46184</v>
      </c>
      <c r="C14" s="25"/>
      <c r="D14" s="25"/>
      <c r="E14" s="8">
        <v>45</v>
      </c>
      <c r="F14" s="8">
        <v>99.3</v>
      </c>
      <c r="G14" s="8">
        <f t="shared" si="0"/>
        <v>4468.5</v>
      </c>
      <c r="H14" s="9">
        <v>5</v>
      </c>
      <c r="I14" s="9">
        <v>120.81</v>
      </c>
      <c r="J14" s="8">
        <f t="shared" si="1"/>
        <v>604.04999999999995</v>
      </c>
      <c r="K14" s="8">
        <f t="shared" si="2"/>
        <v>5072.55</v>
      </c>
      <c r="L14" s="148">
        <v>0</v>
      </c>
      <c r="M14" s="8">
        <f t="shared" si="3"/>
        <v>163713.30329999988</v>
      </c>
      <c r="N14" s="44"/>
      <c r="O14" s="1"/>
    </row>
    <row r="15" spans="1:15">
      <c r="A15" s="46">
        <v>12</v>
      </c>
      <c r="B15" s="201">
        <v>46185</v>
      </c>
      <c r="C15" s="25"/>
      <c r="D15" s="25"/>
      <c r="E15" s="8">
        <v>667.03</v>
      </c>
      <c r="F15" s="8">
        <v>99.3</v>
      </c>
      <c r="G15" s="8">
        <f t="shared" si="0"/>
        <v>66236.078999999998</v>
      </c>
      <c r="H15" s="9">
        <v>8.34</v>
      </c>
      <c r="I15" s="9">
        <v>111.88</v>
      </c>
      <c r="J15" s="8">
        <f t="shared" si="1"/>
        <v>933.0791999999999</v>
      </c>
      <c r="K15" s="8">
        <f t="shared" si="2"/>
        <v>67169.158199999991</v>
      </c>
      <c r="L15" s="148">
        <v>0</v>
      </c>
      <c r="M15" s="8">
        <f t="shared" si="3"/>
        <v>230882.46149999986</v>
      </c>
      <c r="N15" s="44"/>
      <c r="O15" s="1"/>
    </row>
    <row r="16" spans="1:15">
      <c r="A16" s="46">
        <v>13</v>
      </c>
      <c r="B16" s="201">
        <v>46186</v>
      </c>
      <c r="C16" s="25"/>
      <c r="D16" s="25"/>
      <c r="E16" s="8">
        <v>257.25</v>
      </c>
      <c r="F16" s="8">
        <v>99.3</v>
      </c>
      <c r="G16" s="8">
        <f t="shared" si="0"/>
        <v>25544.924999999999</v>
      </c>
      <c r="H16" s="9">
        <v>7</v>
      </c>
      <c r="I16" s="9">
        <v>111.88</v>
      </c>
      <c r="J16" s="8">
        <f t="shared" si="1"/>
        <v>783.16</v>
      </c>
      <c r="K16" s="8">
        <f t="shared" si="2"/>
        <v>26328.084999999999</v>
      </c>
      <c r="L16" s="148">
        <v>0</v>
      </c>
      <c r="M16" s="8">
        <f t="shared" si="3"/>
        <v>257210.54649999985</v>
      </c>
      <c r="N16" s="44"/>
      <c r="O16" s="1"/>
    </row>
    <row r="17" spans="1:15">
      <c r="A17" s="46">
        <v>14</v>
      </c>
      <c r="B17" s="201">
        <v>46187</v>
      </c>
      <c r="C17" s="25"/>
      <c r="D17" s="25"/>
      <c r="E17" s="8">
        <v>200</v>
      </c>
      <c r="F17" s="8">
        <v>99.3</v>
      </c>
      <c r="G17" s="8">
        <f t="shared" si="0"/>
        <v>19860</v>
      </c>
      <c r="H17" s="9"/>
      <c r="I17" s="9"/>
      <c r="J17" s="8">
        <f t="shared" si="1"/>
        <v>0</v>
      </c>
      <c r="K17" s="8">
        <f t="shared" si="2"/>
        <v>19860</v>
      </c>
      <c r="L17" s="148">
        <v>0</v>
      </c>
      <c r="M17" s="8">
        <f t="shared" si="3"/>
        <v>277070.54649999982</v>
      </c>
      <c r="N17" s="44"/>
      <c r="O17" s="1"/>
    </row>
    <row r="18" spans="1:15">
      <c r="A18" s="46">
        <v>15</v>
      </c>
      <c r="B18" s="201">
        <v>46188</v>
      </c>
      <c r="C18" s="25"/>
      <c r="D18" s="25"/>
      <c r="E18" s="8">
        <v>180</v>
      </c>
      <c r="F18" s="8">
        <v>99.3</v>
      </c>
      <c r="G18" s="8">
        <f t="shared" si="0"/>
        <v>17874</v>
      </c>
      <c r="H18" s="9">
        <v>5</v>
      </c>
      <c r="I18" s="9">
        <v>111.4</v>
      </c>
      <c r="J18" s="8">
        <f t="shared" si="1"/>
        <v>557</v>
      </c>
      <c r="K18" s="8">
        <f t="shared" si="2"/>
        <v>18431</v>
      </c>
      <c r="L18" s="148">
        <v>0</v>
      </c>
      <c r="M18" s="8">
        <f t="shared" si="3"/>
        <v>295501.54649999982</v>
      </c>
      <c r="N18" s="44"/>
      <c r="O18" s="1"/>
    </row>
    <row r="19" spans="1:15">
      <c r="A19" s="46">
        <v>16</v>
      </c>
      <c r="B19" s="201">
        <v>46189</v>
      </c>
      <c r="C19" s="25"/>
      <c r="D19" s="25"/>
      <c r="E19" s="8">
        <v>370</v>
      </c>
      <c r="F19" s="8">
        <v>99.3</v>
      </c>
      <c r="G19" s="8">
        <f t="shared" si="0"/>
        <v>36741</v>
      </c>
      <c r="H19" s="9"/>
      <c r="I19" s="395"/>
      <c r="J19" s="8">
        <f t="shared" si="1"/>
        <v>0</v>
      </c>
      <c r="K19" s="8">
        <f t="shared" si="2"/>
        <v>36741</v>
      </c>
      <c r="L19" s="148">
        <v>150000</v>
      </c>
      <c r="M19" s="8">
        <f t="shared" si="3"/>
        <v>182242.54649999982</v>
      </c>
      <c r="N19" s="44"/>
      <c r="O19" s="1"/>
    </row>
    <row r="20" spans="1:15">
      <c r="A20" s="46">
        <v>17</v>
      </c>
      <c r="B20" s="201">
        <v>46190</v>
      </c>
      <c r="C20" s="25"/>
      <c r="D20" s="25"/>
      <c r="E20" s="8"/>
      <c r="F20" s="8"/>
      <c r="G20" s="8">
        <f t="shared" si="0"/>
        <v>0</v>
      </c>
      <c r="H20" s="9">
        <v>7.45</v>
      </c>
      <c r="I20" s="9">
        <v>111.4</v>
      </c>
      <c r="J20" s="8">
        <f t="shared" si="1"/>
        <v>829.93000000000006</v>
      </c>
      <c r="K20" s="8">
        <f t="shared" si="2"/>
        <v>829.93000000000006</v>
      </c>
      <c r="L20" s="148">
        <v>0</v>
      </c>
      <c r="M20" s="8">
        <f t="shared" si="3"/>
        <v>183072.47649999982</v>
      </c>
      <c r="N20" s="44"/>
      <c r="O20" s="1"/>
    </row>
    <row r="21" spans="1:15">
      <c r="A21" s="46">
        <v>18</v>
      </c>
      <c r="B21" s="201">
        <v>46191</v>
      </c>
      <c r="C21" s="25"/>
      <c r="D21" s="25"/>
      <c r="E21" s="8">
        <v>546.77</v>
      </c>
      <c r="F21" s="8">
        <v>99.3</v>
      </c>
      <c r="G21" s="8">
        <f t="shared" si="0"/>
        <v>54294.260999999999</v>
      </c>
      <c r="H21" s="9">
        <v>6</v>
      </c>
      <c r="I21" s="9">
        <v>111.4</v>
      </c>
      <c r="J21" s="8">
        <f t="shared" si="1"/>
        <v>668.40000000000009</v>
      </c>
      <c r="K21" s="8">
        <f t="shared" si="2"/>
        <v>54962.661</v>
      </c>
      <c r="L21" s="148"/>
      <c r="M21" s="8">
        <f t="shared" si="3"/>
        <v>238035.13749999981</v>
      </c>
      <c r="N21" s="44"/>
      <c r="O21" s="1"/>
    </row>
    <row r="22" spans="1:15">
      <c r="A22" s="46">
        <v>19</v>
      </c>
      <c r="B22" s="201">
        <v>46192</v>
      </c>
      <c r="C22" s="25"/>
      <c r="D22" s="25"/>
      <c r="E22" s="8"/>
      <c r="F22" s="8"/>
      <c r="G22" s="8">
        <f t="shared" si="0"/>
        <v>0</v>
      </c>
      <c r="H22" s="9">
        <v>13.56</v>
      </c>
      <c r="I22" s="9">
        <v>111.4</v>
      </c>
      <c r="J22" s="8">
        <f t="shared" si="1"/>
        <v>1510.5840000000001</v>
      </c>
      <c r="K22" s="8">
        <f t="shared" si="2"/>
        <v>1510.5840000000001</v>
      </c>
      <c r="L22" s="148"/>
      <c r="M22" s="8">
        <f t="shared" si="3"/>
        <v>239545.72149999981</v>
      </c>
      <c r="N22" s="44"/>
      <c r="O22" s="1"/>
    </row>
    <row r="23" spans="1:15">
      <c r="A23" s="46"/>
      <c r="B23" s="201">
        <v>46192</v>
      </c>
      <c r="C23" s="25"/>
      <c r="D23" s="25"/>
      <c r="E23" s="8"/>
      <c r="F23" s="8"/>
      <c r="G23" s="8"/>
      <c r="H23" s="9">
        <v>4.47</v>
      </c>
      <c r="I23" s="9">
        <v>111.88</v>
      </c>
      <c r="J23" s="8">
        <f t="shared" si="1"/>
        <v>500.10359999999997</v>
      </c>
      <c r="K23" s="8">
        <f t="shared" si="2"/>
        <v>500.10359999999997</v>
      </c>
      <c r="L23" s="8">
        <v>500.10359999999997</v>
      </c>
      <c r="M23" s="8">
        <f t="shared" si="3"/>
        <v>239545.72149999981</v>
      </c>
      <c r="N23" s="44"/>
      <c r="O23" s="1"/>
    </row>
    <row r="24" spans="1:15">
      <c r="A24" s="46">
        <v>20</v>
      </c>
      <c r="B24" s="201">
        <v>46193</v>
      </c>
      <c r="C24" s="25"/>
      <c r="D24" s="25"/>
      <c r="E24" s="8">
        <v>70</v>
      </c>
      <c r="F24" s="8">
        <v>99.3</v>
      </c>
      <c r="G24" s="8">
        <f t="shared" si="0"/>
        <v>6951</v>
      </c>
      <c r="H24" s="9"/>
      <c r="I24" s="9"/>
      <c r="J24" s="8">
        <f t="shared" si="1"/>
        <v>0</v>
      </c>
      <c r="K24" s="8">
        <f t="shared" si="2"/>
        <v>6951</v>
      </c>
      <c r="L24" s="148"/>
      <c r="M24" s="8">
        <f t="shared" si="3"/>
        <v>246496.72149999981</v>
      </c>
      <c r="N24" s="44"/>
      <c r="O24" s="1"/>
    </row>
    <row r="25" spans="1:15">
      <c r="A25" s="46">
        <v>21</v>
      </c>
      <c r="B25" s="201">
        <v>46194</v>
      </c>
      <c r="C25" s="25"/>
      <c r="D25" s="25"/>
      <c r="E25" s="8"/>
      <c r="F25" s="8"/>
      <c r="G25" s="8">
        <f t="shared" si="0"/>
        <v>0</v>
      </c>
      <c r="H25" s="9"/>
      <c r="I25" s="9"/>
      <c r="J25" s="8"/>
      <c r="K25" s="8">
        <f t="shared" si="2"/>
        <v>0</v>
      </c>
      <c r="L25" s="148"/>
      <c r="M25" s="8">
        <f t="shared" si="3"/>
        <v>246496.72149999981</v>
      </c>
      <c r="N25" s="44"/>
      <c r="O25" s="1"/>
    </row>
    <row r="26" spans="1:15">
      <c r="A26" s="46">
        <v>22</v>
      </c>
      <c r="B26" s="201">
        <v>46195</v>
      </c>
      <c r="C26" s="25"/>
      <c r="D26" s="25"/>
      <c r="E26" s="8">
        <v>296.10000000000002</v>
      </c>
      <c r="F26" s="8">
        <v>99.3</v>
      </c>
      <c r="G26" s="8">
        <f t="shared" si="0"/>
        <v>29402.730000000003</v>
      </c>
      <c r="H26" s="9"/>
      <c r="I26" s="9"/>
      <c r="J26" s="8"/>
      <c r="K26" s="8">
        <f t="shared" si="2"/>
        <v>29402.730000000003</v>
      </c>
      <c r="L26" s="148"/>
      <c r="M26" s="8">
        <f t="shared" si="3"/>
        <v>275899.45149999979</v>
      </c>
      <c r="N26" s="44"/>
      <c r="O26" s="1"/>
    </row>
    <row r="27" spans="1:15">
      <c r="A27" s="46">
        <v>23</v>
      </c>
      <c r="B27" s="201">
        <v>46196</v>
      </c>
      <c r="C27" s="25"/>
      <c r="D27" s="25"/>
      <c r="E27" s="8">
        <v>286.88</v>
      </c>
      <c r="F27" s="8">
        <v>99.3</v>
      </c>
      <c r="G27" s="8">
        <f t="shared" si="0"/>
        <v>28487.183999999997</v>
      </c>
      <c r="H27" s="9"/>
      <c r="I27" s="9"/>
      <c r="J27" s="8">
        <f t="shared" si="1"/>
        <v>0</v>
      </c>
      <c r="K27" s="8">
        <f t="shared" si="2"/>
        <v>28487.183999999997</v>
      </c>
      <c r="L27" s="148"/>
      <c r="M27" s="8">
        <f t="shared" si="3"/>
        <v>304386.6354999998</v>
      </c>
      <c r="N27" s="44"/>
      <c r="O27" s="1"/>
    </row>
    <row r="28" spans="1:15">
      <c r="A28" s="46">
        <v>24</v>
      </c>
      <c r="B28" s="201">
        <v>46197</v>
      </c>
      <c r="C28" s="25"/>
      <c r="D28" s="25"/>
      <c r="E28" s="8">
        <v>256.7</v>
      </c>
      <c r="F28" s="8">
        <v>99.3</v>
      </c>
      <c r="G28" s="8">
        <f t="shared" si="0"/>
        <v>25490.309999999998</v>
      </c>
      <c r="H28" s="9">
        <v>6</v>
      </c>
      <c r="I28" s="9">
        <v>111.4</v>
      </c>
      <c r="J28" s="8">
        <f t="shared" si="1"/>
        <v>668.40000000000009</v>
      </c>
      <c r="K28" s="8">
        <f t="shared" si="2"/>
        <v>26158.71</v>
      </c>
      <c r="L28" s="148">
        <v>275000</v>
      </c>
      <c r="M28" s="8">
        <f t="shared" si="3"/>
        <v>55545.345499999821</v>
      </c>
      <c r="N28" s="44"/>
      <c r="O28" s="1"/>
    </row>
    <row r="29" spans="1:15">
      <c r="A29" s="46">
        <v>25</v>
      </c>
      <c r="B29" s="201">
        <v>46198</v>
      </c>
      <c r="C29" s="25"/>
      <c r="D29" s="25"/>
      <c r="E29" s="8">
        <v>216.01</v>
      </c>
      <c r="F29" s="8">
        <v>99.3</v>
      </c>
      <c r="G29" s="8">
        <f t="shared" si="0"/>
        <v>21449.792999999998</v>
      </c>
      <c r="H29" s="9"/>
      <c r="I29" s="9"/>
      <c r="J29" s="8">
        <f t="shared" si="1"/>
        <v>0</v>
      </c>
      <c r="K29" s="8">
        <f t="shared" si="2"/>
        <v>21449.792999999998</v>
      </c>
      <c r="L29" s="148"/>
      <c r="M29" s="8">
        <f t="shared" si="3"/>
        <v>76995.138499999826</v>
      </c>
      <c r="N29" s="44"/>
      <c r="O29" s="1"/>
    </row>
    <row r="30" spans="1:15">
      <c r="A30" s="46">
        <v>26</v>
      </c>
      <c r="B30" s="201">
        <v>46199</v>
      </c>
      <c r="C30" s="25"/>
      <c r="D30" s="25"/>
      <c r="E30" s="8">
        <v>309</v>
      </c>
      <c r="F30" s="8">
        <v>99.3</v>
      </c>
      <c r="G30" s="8">
        <f t="shared" si="0"/>
        <v>30683.7</v>
      </c>
      <c r="H30" s="9">
        <v>13.73</v>
      </c>
      <c r="I30" s="9">
        <v>111.4</v>
      </c>
      <c r="J30" s="8">
        <f t="shared" si="1"/>
        <v>1529.5220000000002</v>
      </c>
      <c r="K30" s="8">
        <f t="shared" si="2"/>
        <v>32213.222000000002</v>
      </c>
      <c r="L30" s="148"/>
      <c r="M30" s="8">
        <f t="shared" si="3"/>
        <v>109208.36049999984</v>
      </c>
      <c r="N30" s="44"/>
      <c r="O30" s="1"/>
    </row>
    <row r="31" spans="1:15">
      <c r="A31" s="46">
        <v>27</v>
      </c>
      <c r="B31" s="201">
        <v>46200</v>
      </c>
      <c r="C31" s="25"/>
      <c r="D31" s="25"/>
      <c r="E31" s="8"/>
      <c r="F31" s="8"/>
      <c r="G31" s="8">
        <f t="shared" si="0"/>
        <v>0</v>
      </c>
      <c r="H31" s="9"/>
      <c r="I31" s="9"/>
      <c r="J31" s="8"/>
      <c r="K31" s="8">
        <f t="shared" si="2"/>
        <v>0</v>
      </c>
      <c r="L31" s="148"/>
      <c r="M31" s="8">
        <f t="shared" si="3"/>
        <v>109208.36049999984</v>
      </c>
      <c r="N31" s="44"/>
      <c r="O31" s="1"/>
    </row>
    <row r="32" spans="1:15">
      <c r="A32" s="46">
        <v>28</v>
      </c>
      <c r="B32" s="201">
        <v>46201</v>
      </c>
      <c r="C32" s="25"/>
      <c r="D32" s="25"/>
      <c r="E32" s="8">
        <v>44</v>
      </c>
      <c r="F32" s="8">
        <v>99.3</v>
      </c>
      <c r="G32" s="8">
        <f t="shared" si="0"/>
        <v>4369.2</v>
      </c>
      <c r="H32" s="9"/>
      <c r="I32" s="9"/>
      <c r="J32" s="8">
        <f t="shared" si="1"/>
        <v>0</v>
      </c>
      <c r="K32" s="8">
        <f t="shared" si="2"/>
        <v>4369.2</v>
      </c>
      <c r="L32" s="148"/>
      <c r="M32" s="8">
        <f t="shared" si="3"/>
        <v>113577.56049999983</v>
      </c>
      <c r="N32" s="44"/>
      <c r="O32" s="1"/>
    </row>
    <row r="33" spans="1:15">
      <c r="A33" s="46">
        <v>29</v>
      </c>
      <c r="B33" s="201">
        <v>46202</v>
      </c>
      <c r="C33" s="25"/>
      <c r="D33" s="25"/>
      <c r="E33" s="8"/>
      <c r="F33" s="8"/>
      <c r="G33" s="8">
        <f t="shared" si="0"/>
        <v>0</v>
      </c>
      <c r="H33" s="9">
        <v>11</v>
      </c>
      <c r="I33" s="9">
        <v>111.4</v>
      </c>
      <c r="J33" s="8">
        <f t="shared" si="1"/>
        <v>1225.4000000000001</v>
      </c>
      <c r="K33" s="8">
        <f t="shared" si="2"/>
        <v>1225.4000000000001</v>
      </c>
      <c r="L33" s="148"/>
      <c r="M33" s="8">
        <f t="shared" si="3"/>
        <v>114802.96049999983</v>
      </c>
      <c r="N33" s="44"/>
      <c r="O33" s="1"/>
    </row>
    <row r="34" spans="1:15">
      <c r="A34" s="46">
        <v>30</v>
      </c>
      <c r="B34" s="201">
        <v>46203</v>
      </c>
      <c r="C34" s="25"/>
      <c r="D34" s="25"/>
      <c r="E34" s="8">
        <v>161.02000000000001</v>
      </c>
      <c r="F34" s="8">
        <v>99.3</v>
      </c>
      <c r="G34" s="8">
        <f t="shared" si="0"/>
        <v>15989.286</v>
      </c>
      <c r="H34" s="9">
        <v>18</v>
      </c>
      <c r="I34" s="9">
        <v>111.4</v>
      </c>
      <c r="J34" s="8">
        <f t="shared" si="1"/>
        <v>2005.2</v>
      </c>
      <c r="K34" s="8">
        <f t="shared" si="2"/>
        <v>17994.486000000001</v>
      </c>
      <c r="L34" s="148"/>
      <c r="M34" s="8">
        <f t="shared" si="3"/>
        <v>132797.44649999982</v>
      </c>
      <c r="N34" s="44"/>
      <c r="O34" s="1"/>
    </row>
    <row r="35" spans="1:15">
      <c r="A35" s="46">
        <v>31</v>
      </c>
      <c r="B35" s="201">
        <v>46204</v>
      </c>
      <c r="C35" s="25"/>
      <c r="D35" s="25"/>
      <c r="E35" s="8"/>
      <c r="F35" s="8"/>
      <c r="G35" s="8">
        <f t="shared" ref="G5:G40" si="4">E35*F35</f>
        <v>0</v>
      </c>
      <c r="H35" s="9"/>
      <c r="I35" s="9"/>
      <c r="J35" s="8">
        <f t="shared" ref="J5:J40" si="5">H35*I35</f>
        <v>0</v>
      </c>
      <c r="K35" s="8">
        <f t="shared" si="2"/>
        <v>0</v>
      </c>
      <c r="L35" s="148"/>
      <c r="M35" s="8">
        <f t="shared" si="3"/>
        <v>132797.44649999982</v>
      </c>
      <c r="N35" s="44"/>
      <c r="O35" s="1"/>
    </row>
    <row r="36" spans="1:15">
      <c r="A36" s="46">
        <v>32</v>
      </c>
      <c r="B36" s="201">
        <v>46205</v>
      </c>
      <c r="C36" s="25"/>
      <c r="D36" s="25"/>
      <c r="E36" s="8"/>
      <c r="F36" s="8"/>
      <c r="G36" s="8">
        <f t="shared" si="4"/>
        <v>0</v>
      </c>
      <c r="H36" s="9"/>
      <c r="I36" s="9"/>
      <c r="J36" s="8">
        <f t="shared" si="5"/>
        <v>0</v>
      </c>
      <c r="K36" s="8">
        <f t="shared" si="2"/>
        <v>0</v>
      </c>
      <c r="L36" s="148"/>
      <c r="M36" s="8">
        <f t="shared" si="3"/>
        <v>132797.44649999982</v>
      </c>
      <c r="N36" s="44"/>
      <c r="O36" s="1"/>
    </row>
    <row r="37" spans="1:15">
      <c r="A37" s="46">
        <v>33</v>
      </c>
      <c r="B37" s="201">
        <v>46206</v>
      </c>
      <c r="C37" s="25"/>
      <c r="D37" s="25"/>
      <c r="E37" s="8"/>
      <c r="F37" s="8"/>
      <c r="G37" s="8">
        <f t="shared" si="4"/>
        <v>0</v>
      </c>
      <c r="H37" s="9"/>
      <c r="I37" s="9"/>
      <c r="J37" s="8">
        <f t="shared" si="5"/>
        <v>0</v>
      </c>
      <c r="K37" s="8">
        <f t="shared" si="2"/>
        <v>0</v>
      </c>
      <c r="L37" s="148"/>
      <c r="M37" s="8">
        <f t="shared" si="3"/>
        <v>132797.44649999982</v>
      </c>
      <c r="N37" s="44"/>
      <c r="O37" s="1"/>
    </row>
    <row r="38" spans="1:15">
      <c r="A38" s="46">
        <v>34</v>
      </c>
      <c r="B38" s="201">
        <v>46207</v>
      </c>
      <c r="C38" s="25"/>
      <c r="D38" s="25"/>
      <c r="E38" s="8"/>
      <c r="F38" s="8"/>
      <c r="G38" s="8">
        <f t="shared" si="4"/>
        <v>0</v>
      </c>
      <c r="H38" s="9"/>
      <c r="I38" s="9"/>
      <c r="J38" s="8">
        <f t="shared" si="5"/>
        <v>0</v>
      </c>
      <c r="K38" s="8">
        <f t="shared" si="2"/>
        <v>0</v>
      </c>
      <c r="L38" s="148"/>
      <c r="M38" s="8">
        <f t="shared" si="3"/>
        <v>132797.44649999982</v>
      </c>
      <c r="N38" s="44"/>
      <c r="O38" s="1"/>
    </row>
    <row r="39" spans="1:15">
      <c r="A39" s="46">
        <v>35</v>
      </c>
      <c r="B39" s="201"/>
      <c r="C39" s="25"/>
      <c r="D39" s="25"/>
      <c r="E39" s="8"/>
      <c r="F39" s="8"/>
      <c r="G39" s="8">
        <f t="shared" si="4"/>
        <v>0</v>
      </c>
      <c r="H39" s="9"/>
      <c r="I39" s="9"/>
      <c r="J39" s="8">
        <f t="shared" si="5"/>
        <v>0</v>
      </c>
      <c r="K39" s="8">
        <f t="shared" si="2"/>
        <v>0</v>
      </c>
      <c r="L39" s="148"/>
      <c r="M39" s="8">
        <f t="shared" si="3"/>
        <v>132797.44649999982</v>
      </c>
      <c r="N39" s="44"/>
      <c r="O39" s="1"/>
    </row>
    <row r="40" spans="1:15">
      <c r="A40" s="46">
        <v>36</v>
      </c>
      <c r="B40" s="201"/>
      <c r="C40" s="25"/>
      <c r="D40" s="25"/>
      <c r="E40" s="8"/>
      <c r="F40" s="8"/>
      <c r="G40" s="8">
        <f t="shared" si="4"/>
        <v>0</v>
      </c>
      <c r="H40" s="9"/>
      <c r="I40" s="9"/>
      <c r="J40" s="8">
        <f t="shared" si="5"/>
        <v>0</v>
      </c>
      <c r="K40" s="8">
        <f t="shared" si="2"/>
        <v>0</v>
      </c>
      <c r="L40" s="148">
        <v>0</v>
      </c>
      <c r="M40" s="8">
        <f t="shared" si="3"/>
        <v>132797.44649999982</v>
      </c>
      <c r="N40" s="44"/>
      <c r="O40" s="1"/>
    </row>
    <row r="41" spans="1:15">
      <c r="A41" s="46">
        <v>37</v>
      </c>
      <c r="B41" s="201"/>
      <c r="C41" s="25"/>
      <c r="D41" s="25"/>
      <c r="E41" s="8"/>
      <c r="F41" s="8"/>
      <c r="G41" s="8"/>
      <c r="H41" s="9">
        <v>0</v>
      </c>
      <c r="I41" s="9">
        <v>0</v>
      </c>
      <c r="J41" s="8"/>
      <c r="K41" s="8"/>
      <c r="L41" s="148"/>
      <c r="M41" s="8">
        <f t="shared" si="3"/>
        <v>132797.44649999982</v>
      </c>
      <c r="N41" s="44"/>
      <c r="O41" s="1"/>
    </row>
    <row r="42" spans="1:15">
      <c r="A42" s="62"/>
      <c r="B42" s="62"/>
      <c r="C42" s="62"/>
      <c r="D42" s="62"/>
      <c r="E42" s="63">
        <f>SUM(E4:E40)</f>
        <v>6428.27</v>
      </c>
      <c r="F42" s="63"/>
      <c r="G42" s="63">
        <f>SUM(G4:G40)</f>
        <v>638327.21099999966</v>
      </c>
      <c r="H42" s="63">
        <f>SUM(H4:H40)</f>
        <v>127.02000000000001</v>
      </c>
      <c r="I42" s="63"/>
      <c r="J42" s="63">
        <f>SUM(J4:J40)</f>
        <v>14246.372400000002</v>
      </c>
      <c r="K42" s="63">
        <f>SUM(K4:K40)</f>
        <v>652573.58339999977</v>
      </c>
      <c r="L42" s="63">
        <f>SUM(L4:L40)</f>
        <v>726000.10360000003</v>
      </c>
      <c r="M42" s="63"/>
      <c r="N42" s="63"/>
      <c r="O42" s="59"/>
    </row>
    <row r="43" spans="1:15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15">
      <c r="A44" s="1"/>
      <c r="B44" s="1"/>
      <c r="C44" s="1"/>
      <c r="D44" s="1"/>
      <c r="E44" s="1"/>
      <c r="F44" s="1"/>
      <c r="G44" s="3"/>
      <c r="H44" s="1"/>
      <c r="I44" s="1"/>
      <c r="J44" s="1"/>
      <c r="K44" s="1"/>
      <c r="L44" s="8"/>
      <c r="M44" s="1"/>
      <c r="N44" s="1"/>
      <c r="O44" s="4"/>
    </row>
    <row r="45" spans="1:15">
      <c r="A45" s="1"/>
      <c r="B45" s="592"/>
      <c r="C45" s="592"/>
      <c r="D45" s="592"/>
      <c r="E45" s="592"/>
      <c r="F45" s="1"/>
      <c r="G45" s="1"/>
      <c r="H45" s="1"/>
      <c r="I45" s="593">
        <f>K29+L29</f>
        <v>21449.792999999998</v>
      </c>
      <c r="J45" s="592"/>
      <c r="K45" s="592"/>
      <c r="L45" s="592"/>
      <c r="M45" s="592"/>
      <c r="N45" s="592"/>
      <c r="O45" s="4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</sheetData>
  <mergeCells count="3">
    <mergeCell ref="A1:N1"/>
    <mergeCell ref="B45:E45"/>
    <mergeCell ref="I45:N4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35C-CCFB-4420-8E82-7D2A8627C32F}">
  <sheetPr>
    <tabColor rgb="FF7030A0"/>
  </sheetPr>
  <dimension ref="A1:S49"/>
  <sheetViews>
    <sheetView topLeftCell="A20" workbookViewId="0">
      <selection activeCell="F40" sqref="F40"/>
    </sheetView>
  </sheetViews>
  <sheetFormatPr defaultRowHeight="15"/>
  <cols>
    <col min="2" max="2" width="14.5703125" customWidth="1"/>
    <col min="4" max="4" width="11.140625" customWidth="1"/>
    <col min="7" max="7" width="11.85546875" bestFit="1" customWidth="1"/>
    <col min="10" max="10" width="17.42578125" customWidth="1"/>
    <col min="11" max="11" width="13.5703125" bestFit="1" customWidth="1"/>
    <col min="12" max="13" width="11.85546875" bestFit="1" customWidth="1"/>
    <col min="15" max="15" width="13.7109375" customWidth="1"/>
    <col min="16" max="16" width="14" customWidth="1"/>
  </cols>
  <sheetData>
    <row r="1" spans="1:15" ht="15.75">
      <c r="A1" s="557" t="s">
        <v>137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3"/>
    </row>
    <row r="2" spans="1:15" ht="30.75">
      <c r="A2" s="64" t="s">
        <v>0</v>
      </c>
      <c r="B2" s="83" t="s">
        <v>167</v>
      </c>
      <c r="C2" s="83" t="s">
        <v>168</v>
      </c>
      <c r="D2" s="83" t="s">
        <v>169</v>
      </c>
      <c r="E2" s="83" t="s">
        <v>170</v>
      </c>
      <c r="F2" s="83" t="s">
        <v>171</v>
      </c>
      <c r="G2" s="83" t="s">
        <v>172</v>
      </c>
      <c r="H2" s="83" t="s">
        <v>173</v>
      </c>
      <c r="I2" s="83" t="s">
        <v>171</v>
      </c>
      <c r="J2" s="84" t="s">
        <v>172</v>
      </c>
      <c r="K2" s="64" t="s">
        <v>174</v>
      </c>
      <c r="L2" s="85" t="s">
        <v>175</v>
      </c>
      <c r="M2" s="166" t="s">
        <v>192</v>
      </c>
      <c r="N2" s="83" t="s">
        <v>177</v>
      </c>
      <c r="O2" s="59"/>
    </row>
    <row r="3" spans="1:15">
      <c r="A3" s="145"/>
      <c r="B3" s="146"/>
      <c r="C3" s="146"/>
      <c r="D3" s="132" t="s">
        <v>178</v>
      </c>
      <c r="E3" s="146"/>
      <c r="F3" s="146"/>
      <c r="G3" s="146"/>
      <c r="H3" s="146"/>
      <c r="I3" s="146"/>
      <c r="J3" s="147"/>
      <c r="K3" s="263">
        <v>105890.82380000016</v>
      </c>
      <c r="L3" s="148">
        <v>0</v>
      </c>
      <c r="M3" s="148">
        <v>105890.82380000016</v>
      </c>
      <c r="N3" s="146"/>
      <c r="O3" s="59"/>
    </row>
    <row r="4" spans="1:15">
      <c r="A4" s="46">
        <v>1</v>
      </c>
      <c r="B4" s="201">
        <v>45778</v>
      </c>
      <c r="C4" s="25"/>
      <c r="D4" s="25"/>
      <c r="E4" s="266"/>
      <c r="F4" s="266"/>
      <c r="G4" s="8">
        <f>E4*F4</f>
        <v>0</v>
      </c>
      <c r="H4" s="9">
        <v>5</v>
      </c>
      <c r="I4" s="409">
        <v>111.71</v>
      </c>
      <c r="J4" s="8">
        <f>H4*I4</f>
        <v>558.54999999999995</v>
      </c>
      <c r="K4" s="8">
        <f>G4+J4</f>
        <v>558.54999999999995</v>
      </c>
      <c r="L4" s="148">
        <v>100000</v>
      </c>
      <c r="M4" s="8">
        <f>M3+K4-L4</f>
        <v>6449.3738000001613</v>
      </c>
      <c r="N4" s="44"/>
      <c r="O4" s="1"/>
    </row>
    <row r="5" spans="1:15">
      <c r="A5" s="46">
        <v>2</v>
      </c>
      <c r="B5" s="201">
        <v>45779</v>
      </c>
      <c r="C5" s="25"/>
      <c r="D5" s="25"/>
      <c r="E5" s="266">
        <v>150</v>
      </c>
      <c r="F5" s="8">
        <v>99.6</v>
      </c>
      <c r="G5" s="8">
        <f t="shared" ref="G5:G6" si="0">E5*F5</f>
        <v>14940</v>
      </c>
      <c r="H5" s="9">
        <v>10</v>
      </c>
      <c r="I5" s="409">
        <v>111.71</v>
      </c>
      <c r="J5" s="8">
        <f>H5*I5</f>
        <v>1117.0999999999999</v>
      </c>
      <c r="K5" s="8">
        <f t="shared" ref="K5:K34" si="1">G5+J5</f>
        <v>16057.1</v>
      </c>
      <c r="L5" s="148"/>
      <c r="M5" s="8">
        <f t="shared" ref="M5:M34" si="2">M4+K5-L5</f>
        <v>22506.47380000016</v>
      </c>
      <c r="N5" s="44"/>
      <c r="O5" s="1"/>
    </row>
    <row r="6" spans="1:15">
      <c r="A6" s="46">
        <v>3</v>
      </c>
      <c r="B6" s="201">
        <v>45780</v>
      </c>
      <c r="C6" s="25"/>
      <c r="D6" s="25"/>
      <c r="E6" s="266">
        <v>150</v>
      </c>
      <c r="F6" s="8">
        <v>99.6</v>
      </c>
      <c r="G6" s="8">
        <f t="shared" si="0"/>
        <v>14940</v>
      </c>
      <c r="H6" s="9">
        <v>10</v>
      </c>
      <c r="I6" s="409">
        <v>111.71</v>
      </c>
      <c r="J6" s="8">
        <f t="shared" ref="J6:J34" si="3">H6*I6</f>
        <v>1117.0999999999999</v>
      </c>
      <c r="K6" s="8">
        <f t="shared" si="1"/>
        <v>16057.1</v>
      </c>
      <c r="L6" s="148"/>
      <c r="M6" s="8">
        <f t="shared" si="2"/>
        <v>38563.573800000158</v>
      </c>
      <c r="N6" s="44"/>
      <c r="O6" s="1"/>
    </row>
    <row r="7" spans="1:15">
      <c r="A7" s="46">
        <v>4</v>
      </c>
      <c r="B7" s="201">
        <v>45781</v>
      </c>
      <c r="C7" s="25"/>
      <c r="D7" s="25"/>
      <c r="E7" s="266">
        <v>150</v>
      </c>
      <c r="F7" s="8">
        <v>99.6</v>
      </c>
      <c r="G7" s="8">
        <f t="shared" ref="G5:G34" si="4">E7*F7</f>
        <v>14940</v>
      </c>
      <c r="H7" s="9"/>
      <c r="I7" s="9"/>
      <c r="J7" s="8">
        <f t="shared" si="3"/>
        <v>0</v>
      </c>
      <c r="K7" s="8">
        <f t="shared" si="1"/>
        <v>14940</v>
      </c>
      <c r="L7" s="148"/>
      <c r="M7" s="8">
        <f t="shared" si="2"/>
        <v>53503.573800000158</v>
      </c>
      <c r="N7" s="44"/>
      <c r="O7" s="1"/>
    </row>
    <row r="8" spans="1:15">
      <c r="A8" s="46">
        <v>5</v>
      </c>
      <c r="B8" s="201">
        <v>45782</v>
      </c>
      <c r="C8" s="25"/>
      <c r="D8" s="25"/>
      <c r="E8" s="266">
        <v>150</v>
      </c>
      <c r="F8" s="8">
        <v>99.6</v>
      </c>
      <c r="G8" s="8">
        <f t="shared" si="4"/>
        <v>14940</v>
      </c>
      <c r="H8" s="9"/>
      <c r="I8" s="9"/>
      <c r="J8" s="8">
        <f t="shared" si="3"/>
        <v>0</v>
      </c>
      <c r="K8" s="8">
        <f t="shared" si="1"/>
        <v>14940</v>
      </c>
      <c r="L8" s="148"/>
      <c r="M8" s="8">
        <f t="shared" si="2"/>
        <v>68443.573800000158</v>
      </c>
      <c r="N8" s="44"/>
      <c r="O8" s="1"/>
    </row>
    <row r="9" spans="1:15">
      <c r="A9" s="46">
        <v>6</v>
      </c>
      <c r="B9" s="201">
        <v>45783</v>
      </c>
      <c r="C9" s="25"/>
      <c r="D9" s="25"/>
      <c r="E9" s="266"/>
      <c r="F9" s="8"/>
      <c r="G9" s="8">
        <f t="shared" si="4"/>
        <v>0</v>
      </c>
      <c r="H9" s="9">
        <v>10</v>
      </c>
      <c r="I9" s="9">
        <v>111.71</v>
      </c>
      <c r="J9" s="8">
        <f t="shared" si="3"/>
        <v>1117.0999999999999</v>
      </c>
      <c r="K9" s="8">
        <f t="shared" si="1"/>
        <v>1117.0999999999999</v>
      </c>
      <c r="L9" s="148"/>
      <c r="M9" s="8">
        <f t="shared" si="2"/>
        <v>69560.673800000164</v>
      </c>
      <c r="N9" s="44"/>
      <c r="O9" s="1"/>
    </row>
    <row r="10" spans="1:15">
      <c r="A10" s="46">
        <v>7</v>
      </c>
      <c r="B10" s="201">
        <v>45784</v>
      </c>
      <c r="C10" s="25"/>
      <c r="D10" s="25"/>
      <c r="E10" s="266"/>
      <c r="F10" s="8"/>
      <c r="G10" s="8">
        <f t="shared" si="4"/>
        <v>0</v>
      </c>
      <c r="H10" s="9">
        <v>6</v>
      </c>
      <c r="I10" s="9">
        <v>111.71</v>
      </c>
      <c r="J10" s="8">
        <f t="shared" si="3"/>
        <v>670.26</v>
      </c>
      <c r="K10" s="8">
        <f t="shared" si="1"/>
        <v>670.26</v>
      </c>
      <c r="L10" s="148"/>
      <c r="M10" s="8">
        <f t="shared" si="2"/>
        <v>70230.933800000159</v>
      </c>
      <c r="N10" s="44"/>
      <c r="O10" s="1"/>
    </row>
    <row r="11" spans="1:15">
      <c r="A11" s="46">
        <v>8</v>
      </c>
      <c r="B11" s="201">
        <v>45785</v>
      </c>
      <c r="C11" s="25"/>
      <c r="D11" s="25"/>
      <c r="E11" s="266"/>
      <c r="F11" s="8"/>
      <c r="G11" s="8">
        <f t="shared" si="4"/>
        <v>0</v>
      </c>
      <c r="H11" s="9">
        <v>15</v>
      </c>
      <c r="I11" s="9">
        <v>111.71</v>
      </c>
      <c r="J11" s="8">
        <f t="shared" si="3"/>
        <v>1675.6499999999999</v>
      </c>
      <c r="K11" s="8">
        <f t="shared" si="1"/>
        <v>1675.6499999999999</v>
      </c>
      <c r="L11" s="148"/>
      <c r="M11" s="8">
        <f t="shared" si="2"/>
        <v>71906.583800000153</v>
      </c>
      <c r="N11" s="44"/>
      <c r="O11" s="1"/>
    </row>
    <row r="12" spans="1:15">
      <c r="A12" s="46">
        <v>9</v>
      </c>
      <c r="B12" s="201">
        <v>45786</v>
      </c>
      <c r="C12" s="25"/>
      <c r="D12" s="25"/>
      <c r="E12" s="266">
        <v>150</v>
      </c>
      <c r="F12" s="8">
        <v>99.6</v>
      </c>
      <c r="G12" s="8">
        <f t="shared" si="4"/>
        <v>14940</v>
      </c>
      <c r="H12" s="9">
        <v>5</v>
      </c>
      <c r="I12" s="9">
        <v>111.71</v>
      </c>
      <c r="J12" s="8">
        <f t="shared" si="3"/>
        <v>558.54999999999995</v>
      </c>
      <c r="K12" s="8">
        <f t="shared" si="1"/>
        <v>15498.55</v>
      </c>
      <c r="L12" s="148">
        <v>70000</v>
      </c>
      <c r="M12" s="8">
        <f>M11+K12-L12</f>
        <v>17405.133800000156</v>
      </c>
      <c r="N12" s="44"/>
      <c r="O12" s="1" t="s">
        <v>363</v>
      </c>
    </row>
    <row r="13" spans="1:15">
      <c r="A13" s="46">
        <v>10</v>
      </c>
      <c r="B13" s="201">
        <v>45787</v>
      </c>
      <c r="C13" s="25"/>
      <c r="D13" s="25"/>
      <c r="E13" s="266">
        <v>150</v>
      </c>
      <c r="F13" s="8">
        <v>99.6</v>
      </c>
      <c r="G13" s="8">
        <f t="shared" si="4"/>
        <v>14940</v>
      </c>
      <c r="H13" s="9">
        <v>10</v>
      </c>
      <c r="I13" s="9">
        <v>111.71</v>
      </c>
      <c r="J13" s="8">
        <f t="shared" si="3"/>
        <v>1117.0999999999999</v>
      </c>
      <c r="K13" s="8">
        <f t="shared" si="1"/>
        <v>16057.1</v>
      </c>
      <c r="L13" s="148"/>
      <c r="M13" s="8">
        <f t="shared" si="2"/>
        <v>33462.233800000155</v>
      </c>
      <c r="N13" s="44"/>
      <c r="O13" s="1"/>
    </row>
    <row r="14" spans="1:15">
      <c r="A14" s="46">
        <v>11</v>
      </c>
      <c r="B14" s="201">
        <v>45788</v>
      </c>
      <c r="C14" s="25"/>
      <c r="D14" s="25"/>
      <c r="E14" s="266">
        <v>150</v>
      </c>
      <c r="F14" s="8">
        <v>99.6</v>
      </c>
      <c r="G14" s="8">
        <f t="shared" si="4"/>
        <v>14940</v>
      </c>
      <c r="H14" s="9"/>
      <c r="I14" s="9"/>
      <c r="J14" s="8">
        <f t="shared" si="3"/>
        <v>0</v>
      </c>
      <c r="K14" s="8">
        <f t="shared" si="1"/>
        <v>14940</v>
      </c>
      <c r="L14" s="148"/>
      <c r="M14" s="8">
        <f t="shared" si="2"/>
        <v>48402.233800000155</v>
      </c>
      <c r="N14" s="44"/>
      <c r="O14" s="1"/>
    </row>
    <row r="15" spans="1:15">
      <c r="A15" s="46">
        <v>12</v>
      </c>
      <c r="B15" s="201">
        <v>45789</v>
      </c>
      <c r="C15" s="25"/>
      <c r="D15" s="25"/>
      <c r="E15" s="266">
        <v>150</v>
      </c>
      <c r="F15" s="8">
        <v>99.6</v>
      </c>
      <c r="G15" s="8">
        <f t="shared" si="4"/>
        <v>14940</v>
      </c>
      <c r="H15" s="9">
        <v>10</v>
      </c>
      <c r="I15" s="9">
        <v>111.71</v>
      </c>
      <c r="J15" s="8">
        <f t="shared" si="3"/>
        <v>1117.0999999999999</v>
      </c>
      <c r="K15" s="8">
        <f t="shared" si="1"/>
        <v>16057.1</v>
      </c>
      <c r="L15" s="148"/>
      <c r="M15" s="8">
        <f t="shared" si="2"/>
        <v>64459.333800000153</v>
      </c>
      <c r="N15" s="44"/>
      <c r="O15" s="1"/>
    </row>
    <row r="16" spans="1:15">
      <c r="A16" s="46">
        <v>13</v>
      </c>
      <c r="B16" s="201">
        <v>45790</v>
      </c>
      <c r="C16" s="25"/>
      <c r="D16" s="25"/>
      <c r="E16" s="266">
        <v>150</v>
      </c>
      <c r="F16" s="8">
        <v>99.6</v>
      </c>
      <c r="G16" s="8">
        <f t="shared" si="4"/>
        <v>14940</v>
      </c>
      <c r="H16" s="519">
        <v>5</v>
      </c>
      <c r="I16" s="9">
        <v>111.71</v>
      </c>
      <c r="J16" s="8">
        <f t="shared" si="3"/>
        <v>558.54999999999995</v>
      </c>
      <c r="K16" s="8">
        <f t="shared" si="1"/>
        <v>15498.55</v>
      </c>
      <c r="L16" s="148"/>
      <c r="M16" s="8">
        <f t="shared" si="2"/>
        <v>79957.883800000156</v>
      </c>
      <c r="N16" s="44"/>
      <c r="O16" s="1"/>
    </row>
    <row r="17" spans="1:19">
      <c r="A17" s="46">
        <v>14</v>
      </c>
      <c r="B17" s="201">
        <v>45791</v>
      </c>
      <c r="C17" s="25"/>
      <c r="D17" s="25"/>
      <c r="E17" s="266"/>
      <c r="F17" s="8"/>
      <c r="G17" s="8">
        <f t="shared" si="4"/>
        <v>0</v>
      </c>
      <c r="H17" s="519">
        <v>0</v>
      </c>
      <c r="I17" s="9"/>
      <c r="J17" s="8">
        <f t="shared" si="3"/>
        <v>0</v>
      </c>
      <c r="K17" s="8">
        <f t="shared" si="1"/>
        <v>0</v>
      </c>
      <c r="L17" s="148"/>
      <c r="M17" s="8">
        <f t="shared" si="2"/>
        <v>79957.883800000156</v>
      </c>
      <c r="N17" s="44"/>
      <c r="O17" s="1"/>
    </row>
    <row r="18" spans="1:19">
      <c r="A18" s="46">
        <v>15</v>
      </c>
      <c r="B18" s="201">
        <v>45792</v>
      </c>
      <c r="C18" s="25"/>
      <c r="D18" s="25"/>
      <c r="E18" s="266"/>
      <c r="F18" s="8"/>
      <c r="G18" s="8">
        <f t="shared" si="4"/>
        <v>0</v>
      </c>
      <c r="H18" s="519">
        <v>11</v>
      </c>
      <c r="I18" s="9">
        <v>111.71</v>
      </c>
      <c r="J18" s="8">
        <f t="shared" si="3"/>
        <v>1228.81</v>
      </c>
      <c r="K18" s="8">
        <f t="shared" si="1"/>
        <v>1228.81</v>
      </c>
      <c r="L18" s="148"/>
      <c r="M18" s="8">
        <f t="shared" si="2"/>
        <v>81186.693800000154</v>
      </c>
      <c r="N18" s="44"/>
      <c r="O18" s="1"/>
    </row>
    <row r="19" spans="1:19">
      <c r="A19" s="46">
        <v>16</v>
      </c>
      <c r="B19" s="201">
        <v>45793</v>
      </c>
      <c r="C19" s="25"/>
      <c r="D19" s="25"/>
      <c r="E19" s="266"/>
      <c r="F19" s="8"/>
      <c r="G19" s="8">
        <f t="shared" si="4"/>
        <v>0</v>
      </c>
      <c r="H19" s="9">
        <v>10</v>
      </c>
      <c r="I19" s="9">
        <v>111.71</v>
      </c>
      <c r="J19" s="8">
        <f t="shared" si="3"/>
        <v>1117.0999999999999</v>
      </c>
      <c r="K19" s="8">
        <f t="shared" si="1"/>
        <v>1117.0999999999999</v>
      </c>
      <c r="L19" s="148"/>
      <c r="M19" s="8">
        <f t="shared" si="2"/>
        <v>82303.79380000016</v>
      </c>
      <c r="N19" s="44"/>
      <c r="O19" s="1"/>
    </row>
    <row r="20" spans="1:19">
      <c r="A20" s="46">
        <v>17</v>
      </c>
      <c r="B20" s="201">
        <v>45794</v>
      </c>
      <c r="C20" s="25"/>
      <c r="D20" s="25"/>
      <c r="E20" s="266">
        <v>150</v>
      </c>
      <c r="F20" s="8">
        <v>99.6</v>
      </c>
      <c r="G20" s="8">
        <f t="shared" si="4"/>
        <v>14940</v>
      </c>
      <c r="H20" s="9">
        <v>15</v>
      </c>
      <c r="I20" s="9">
        <v>111.71</v>
      </c>
      <c r="J20" s="8">
        <f t="shared" si="3"/>
        <v>1675.6499999999999</v>
      </c>
      <c r="K20" s="8">
        <f t="shared" si="1"/>
        <v>16615.650000000001</v>
      </c>
      <c r="L20" s="148"/>
      <c r="M20" s="8">
        <f t="shared" si="2"/>
        <v>98919.443800000154</v>
      </c>
      <c r="N20" s="44"/>
      <c r="O20" s="1"/>
    </row>
    <row r="21" spans="1:19">
      <c r="A21" s="46">
        <v>18</v>
      </c>
      <c r="B21" s="201">
        <v>45795</v>
      </c>
      <c r="C21" s="25"/>
      <c r="D21" s="25"/>
      <c r="E21" s="266">
        <v>500</v>
      </c>
      <c r="F21" s="8">
        <v>99.6</v>
      </c>
      <c r="G21" s="8">
        <f t="shared" si="4"/>
        <v>49800</v>
      </c>
      <c r="H21" s="9"/>
      <c r="I21" s="9"/>
      <c r="J21" s="8">
        <f t="shared" si="3"/>
        <v>0</v>
      </c>
      <c r="K21" s="8">
        <f t="shared" si="1"/>
        <v>49800</v>
      </c>
      <c r="L21" s="148"/>
      <c r="M21" s="8">
        <f t="shared" si="2"/>
        <v>148719.44380000015</v>
      </c>
      <c r="N21" s="44"/>
      <c r="O21" s="1"/>
    </row>
    <row r="22" spans="1:19">
      <c r="A22" s="46">
        <v>19</v>
      </c>
      <c r="B22" s="201">
        <v>45796</v>
      </c>
      <c r="C22" s="25"/>
      <c r="D22" s="25"/>
      <c r="E22" s="266">
        <v>350</v>
      </c>
      <c r="F22" s="8">
        <v>99.6</v>
      </c>
      <c r="G22" s="8">
        <f t="shared" si="4"/>
        <v>34860</v>
      </c>
      <c r="H22" s="9">
        <v>5</v>
      </c>
      <c r="I22" s="9">
        <v>111.71</v>
      </c>
      <c r="J22" s="8">
        <f t="shared" si="3"/>
        <v>558.54999999999995</v>
      </c>
      <c r="K22" s="8">
        <f t="shared" si="1"/>
        <v>35418.550000000003</v>
      </c>
      <c r="L22" s="148"/>
      <c r="M22" s="8">
        <f t="shared" si="2"/>
        <v>184137.99380000017</v>
      </c>
      <c r="N22" s="44"/>
      <c r="O22" s="1"/>
    </row>
    <row r="23" spans="1:19">
      <c r="A23" s="46">
        <v>20</v>
      </c>
      <c r="B23" s="201">
        <v>45797</v>
      </c>
      <c r="C23" s="25"/>
      <c r="D23" s="25"/>
      <c r="E23" s="266">
        <v>200</v>
      </c>
      <c r="F23" s="8">
        <v>99.6</v>
      </c>
      <c r="G23" s="8">
        <f t="shared" si="4"/>
        <v>19920</v>
      </c>
      <c r="H23" s="9">
        <v>5</v>
      </c>
      <c r="I23" s="9">
        <v>111.71</v>
      </c>
      <c r="J23" s="8">
        <f t="shared" si="3"/>
        <v>558.54999999999995</v>
      </c>
      <c r="K23" s="8">
        <f t="shared" si="1"/>
        <v>20478.55</v>
      </c>
      <c r="L23" s="148">
        <v>120000</v>
      </c>
      <c r="M23" s="8">
        <f t="shared" si="2"/>
        <v>84616.54380000016</v>
      </c>
      <c r="N23" s="44"/>
      <c r="O23" s="1"/>
    </row>
    <row r="24" spans="1:19">
      <c r="A24" s="46">
        <v>21</v>
      </c>
      <c r="B24" s="201">
        <v>45798</v>
      </c>
      <c r="C24" s="25"/>
      <c r="D24" s="25"/>
      <c r="E24" s="266">
        <v>255</v>
      </c>
      <c r="F24" s="8">
        <v>99.6</v>
      </c>
      <c r="G24" s="8">
        <f t="shared" si="4"/>
        <v>25398</v>
      </c>
      <c r="H24" s="9"/>
      <c r="I24" s="9"/>
      <c r="J24" s="8">
        <f t="shared" si="3"/>
        <v>0</v>
      </c>
      <c r="K24" s="8">
        <f t="shared" si="1"/>
        <v>25398</v>
      </c>
      <c r="L24" s="148"/>
      <c r="M24" s="8">
        <f t="shared" si="2"/>
        <v>110014.54380000016</v>
      </c>
      <c r="N24" s="44"/>
      <c r="O24" s="1"/>
    </row>
    <row r="25" spans="1:19">
      <c r="A25" s="46">
        <v>22</v>
      </c>
      <c r="B25" s="201">
        <v>45799</v>
      </c>
      <c r="C25" s="25"/>
      <c r="D25" s="25"/>
      <c r="E25" s="266">
        <v>475</v>
      </c>
      <c r="F25" s="8">
        <v>99.6</v>
      </c>
      <c r="G25" s="8">
        <f t="shared" si="4"/>
        <v>47310</v>
      </c>
      <c r="H25" s="9">
        <v>10</v>
      </c>
      <c r="I25" s="9">
        <v>111.71</v>
      </c>
      <c r="J25" s="8">
        <f t="shared" si="3"/>
        <v>1117.0999999999999</v>
      </c>
      <c r="K25" s="8">
        <f t="shared" si="1"/>
        <v>48427.1</v>
      </c>
      <c r="L25" s="148"/>
      <c r="M25" s="8">
        <f t="shared" si="2"/>
        <v>158441.64380000017</v>
      </c>
      <c r="N25" s="44"/>
      <c r="O25" s="1"/>
      <c r="S25">
        <f>45+75.01+129.01+35+90+200</f>
        <v>574.02</v>
      </c>
    </row>
    <row r="26" spans="1:19">
      <c r="A26" s="46">
        <v>23</v>
      </c>
      <c r="B26" s="201">
        <v>45800</v>
      </c>
      <c r="C26" s="25"/>
      <c r="D26" s="25"/>
      <c r="E26" s="266"/>
      <c r="F26" s="8"/>
      <c r="G26" s="8">
        <f t="shared" si="4"/>
        <v>0</v>
      </c>
      <c r="H26" s="9"/>
      <c r="I26" s="9"/>
      <c r="J26" s="8">
        <f t="shared" si="3"/>
        <v>0</v>
      </c>
      <c r="K26" s="8">
        <f t="shared" si="1"/>
        <v>0</v>
      </c>
      <c r="L26" s="148"/>
      <c r="M26" s="8">
        <f t="shared" si="2"/>
        <v>158441.64380000017</v>
      </c>
      <c r="N26" s="44"/>
      <c r="O26" s="1"/>
    </row>
    <row r="27" spans="1:19">
      <c r="A27" s="46">
        <v>24</v>
      </c>
      <c r="B27" s="201">
        <v>45801</v>
      </c>
      <c r="C27" s="25"/>
      <c r="D27" s="25"/>
      <c r="E27" s="266"/>
      <c r="F27" s="8"/>
      <c r="G27" s="8">
        <f t="shared" si="4"/>
        <v>0</v>
      </c>
      <c r="H27" s="9">
        <v>15</v>
      </c>
      <c r="I27" s="9">
        <v>111.71</v>
      </c>
      <c r="J27" s="8">
        <f t="shared" si="3"/>
        <v>1675.6499999999999</v>
      </c>
      <c r="K27" s="8">
        <f>G27+J27</f>
        <v>1675.6499999999999</v>
      </c>
      <c r="L27" s="148">
        <v>150000</v>
      </c>
      <c r="M27" s="8">
        <f>M26+K27-L27</f>
        <v>10117.29380000016</v>
      </c>
      <c r="N27" s="44"/>
      <c r="O27" s="1"/>
    </row>
    <row r="28" spans="1:19">
      <c r="A28" s="46">
        <v>25</v>
      </c>
      <c r="B28" s="201">
        <v>45802</v>
      </c>
      <c r="C28" s="25"/>
      <c r="D28" s="25"/>
      <c r="E28" s="266">
        <v>180</v>
      </c>
      <c r="F28" s="8">
        <v>99.6</v>
      </c>
      <c r="G28" s="8">
        <f t="shared" si="4"/>
        <v>17928</v>
      </c>
      <c r="H28" s="9"/>
      <c r="I28" s="9"/>
      <c r="J28" s="8">
        <f t="shared" si="3"/>
        <v>0</v>
      </c>
      <c r="K28" s="8">
        <f t="shared" si="1"/>
        <v>17928</v>
      </c>
      <c r="L28" s="148"/>
      <c r="M28" s="8">
        <f t="shared" si="2"/>
        <v>28045.29380000016</v>
      </c>
      <c r="N28" s="44"/>
      <c r="O28" s="1"/>
      <c r="R28" t="s">
        <v>364</v>
      </c>
    </row>
    <row r="29" spans="1:19">
      <c r="A29" s="46">
        <v>26</v>
      </c>
      <c r="B29" s="201">
        <v>45803</v>
      </c>
      <c r="C29" s="25"/>
      <c r="D29" s="25"/>
      <c r="E29" s="266">
        <v>180</v>
      </c>
      <c r="F29" s="8">
        <v>99.6</v>
      </c>
      <c r="G29" s="8">
        <f t="shared" si="4"/>
        <v>17928</v>
      </c>
      <c r="H29" s="9">
        <v>5</v>
      </c>
      <c r="I29" s="9">
        <v>111.71</v>
      </c>
      <c r="J29" s="8">
        <f t="shared" si="3"/>
        <v>558.54999999999995</v>
      </c>
      <c r="K29" s="8">
        <f t="shared" si="1"/>
        <v>18486.55</v>
      </c>
      <c r="L29" s="148"/>
      <c r="M29" s="8">
        <f t="shared" si="2"/>
        <v>46531.843800000162</v>
      </c>
      <c r="N29" s="44"/>
      <c r="O29" s="1"/>
      <c r="Q29">
        <v>30</v>
      </c>
    </row>
    <row r="30" spans="1:19">
      <c r="A30" s="46">
        <v>27</v>
      </c>
      <c r="B30" s="201">
        <v>45804</v>
      </c>
      <c r="C30" s="25"/>
      <c r="D30" s="25"/>
      <c r="E30" s="266">
        <v>100</v>
      </c>
      <c r="F30" s="8">
        <v>99.6</v>
      </c>
      <c r="G30" s="8">
        <f t="shared" si="4"/>
        <v>9960</v>
      </c>
      <c r="H30" s="9">
        <v>5</v>
      </c>
      <c r="I30" s="9">
        <v>111.71</v>
      </c>
      <c r="J30" s="8">
        <f t="shared" si="3"/>
        <v>558.54999999999995</v>
      </c>
      <c r="K30" s="8">
        <f t="shared" si="1"/>
        <v>10518.55</v>
      </c>
      <c r="L30" s="148"/>
      <c r="M30" s="8">
        <f t="shared" si="2"/>
        <v>57050.393800000165</v>
      </c>
      <c r="N30" s="44"/>
      <c r="O30" s="1"/>
      <c r="Q30">
        <v>20.02</v>
      </c>
    </row>
    <row r="31" spans="1:19">
      <c r="A31" s="46">
        <v>28</v>
      </c>
      <c r="B31" s="201">
        <v>45805</v>
      </c>
      <c r="C31" s="25"/>
      <c r="D31" s="25"/>
      <c r="E31" s="266">
        <v>160</v>
      </c>
      <c r="F31" s="8">
        <v>99.6</v>
      </c>
      <c r="G31" s="8">
        <f t="shared" si="4"/>
        <v>15936</v>
      </c>
      <c r="H31" s="9"/>
      <c r="I31" s="9"/>
      <c r="J31" s="8">
        <f t="shared" si="3"/>
        <v>0</v>
      </c>
      <c r="K31" s="8">
        <f t="shared" si="1"/>
        <v>15936</v>
      </c>
      <c r="L31" s="148"/>
      <c r="M31" s="8">
        <f t="shared" si="2"/>
        <v>72986.393800000165</v>
      </c>
      <c r="N31" s="44"/>
      <c r="O31" s="1"/>
    </row>
    <row r="32" spans="1:19">
      <c r="A32" s="196">
        <v>29</v>
      </c>
      <c r="B32" s="201">
        <v>45806</v>
      </c>
      <c r="C32" s="25"/>
      <c r="D32" s="25"/>
      <c r="E32" s="266">
        <v>30</v>
      </c>
      <c r="F32" s="266">
        <v>99.6</v>
      </c>
      <c r="G32" s="8">
        <f t="shared" si="4"/>
        <v>2988</v>
      </c>
      <c r="H32" s="9">
        <v>10</v>
      </c>
      <c r="I32" s="9">
        <v>111.71</v>
      </c>
      <c r="J32" s="8">
        <f t="shared" si="3"/>
        <v>1117.0999999999999</v>
      </c>
      <c r="K32" s="8">
        <f t="shared" si="1"/>
        <v>4105.1000000000004</v>
      </c>
      <c r="L32" s="148"/>
      <c r="M32" s="8">
        <f t="shared" si="2"/>
        <v>77091.493800000171</v>
      </c>
      <c r="N32" s="44"/>
      <c r="O32" s="1"/>
    </row>
    <row r="33" spans="1:15">
      <c r="A33" s="196">
        <v>30</v>
      </c>
      <c r="B33" s="201">
        <v>45807</v>
      </c>
      <c r="C33" s="25"/>
      <c r="D33" s="25"/>
      <c r="E33" s="266">
        <v>150</v>
      </c>
      <c r="F33" s="266">
        <v>99.6</v>
      </c>
      <c r="G33" s="8">
        <f t="shared" si="4"/>
        <v>14940</v>
      </c>
      <c r="H33" s="9"/>
      <c r="I33" s="9"/>
      <c r="J33" s="8">
        <f t="shared" si="3"/>
        <v>0</v>
      </c>
      <c r="K33" s="8">
        <f t="shared" si="1"/>
        <v>14940</v>
      </c>
      <c r="L33" s="148"/>
      <c r="M33" s="8">
        <f t="shared" si="2"/>
        <v>92031.493800000171</v>
      </c>
      <c r="N33" s="44"/>
      <c r="O33" s="1"/>
    </row>
    <row r="34" spans="1:15">
      <c r="A34" s="196">
        <v>31</v>
      </c>
      <c r="B34" s="201">
        <v>45808</v>
      </c>
      <c r="C34" s="25"/>
      <c r="D34" s="25"/>
      <c r="E34" s="266"/>
      <c r="F34" s="266"/>
      <c r="G34" s="8">
        <f t="shared" si="4"/>
        <v>0</v>
      </c>
      <c r="H34" s="9"/>
      <c r="I34" s="9"/>
      <c r="J34" s="8">
        <f t="shared" si="3"/>
        <v>0</v>
      </c>
      <c r="K34" s="8">
        <f t="shared" si="1"/>
        <v>0</v>
      </c>
      <c r="L34" s="148"/>
      <c r="M34" s="8">
        <f t="shared" si="2"/>
        <v>92031.493800000171</v>
      </c>
      <c r="N34" s="44"/>
      <c r="O34" s="1"/>
    </row>
    <row r="35" spans="1:15">
      <c r="A35" s="62"/>
      <c r="B35" s="62"/>
      <c r="C35" s="62"/>
      <c r="D35" s="62"/>
      <c r="E35" s="63">
        <f>SUM(E4:E34)</f>
        <v>4080</v>
      </c>
      <c r="F35" s="63"/>
      <c r="G35" s="63">
        <f>SUM(G4:G34)</f>
        <v>406368</v>
      </c>
      <c r="H35" s="63">
        <f>SUM(H4:H34)</f>
        <v>177</v>
      </c>
      <c r="I35" s="63"/>
      <c r="J35" s="63">
        <f>SUM(J4:J34)</f>
        <v>19772.669999999995</v>
      </c>
      <c r="K35" s="63">
        <f>SUM(K4:K34)</f>
        <v>426140.66999999993</v>
      </c>
      <c r="L35" s="63">
        <f>SUM(L4:L34)</f>
        <v>440000</v>
      </c>
      <c r="M35" s="63"/>
      <c r="N35" s="63"/>
      <c r="O35" s="59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592"/>
      <c r="C38" s="592"/>
      <c r="D38" s="592"/>
      <c r="E38" s="592"/>
      <c r="F38" s="1"/>
      <c r="G38" s="1"/>
      <c r="H38" s="1"/>
      <c r="I38" s="593">
        <f>K24+L24</f>
        <v>25398</v>
      </c>
      <c r="J38" s="592"/>
      <c r="K38" s="592"/>
      <c r="L38" s="592"/>
      <c r="M38" s="592"/>
      <c r="N38" s="592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sheetPr>
    <tabColor rgb="FF7030A0"/>
  </sheetPr>
  <dimension ref="A1:U51"/>
  <sheetViews>
    <sheetView topLeftCell="A18" workbookViewId="0">
      <selection activeCell="M35" sqref="M35"/>
    </sheetView>
  </sheetViews>
  <sheetFormatPr defaultRowHeight="15"/>
  <cols>
    <col min="2" max="2" width="10" bestFit="1" customWidth="1"/>
    <col min="7" max="7" width="11.85546875" bestFit="1" customWidth="1"/>
    <col min="10" max="10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557" t="s">
        <v>139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3"/>
    </row>
    <row r="2" spans="1:15" ht="30.75">
      <c r="A2" s="64" t="s">
        <v>0</v>
      </c>
      <c r="B2" s="83" t="s">
        <v>167</v>
      </c>
      <c r="C2" s="83" t="s">
        <v>168</v>
      </c>
      <c r="D2" s="83" t="s">
        <v>169</v>
      </c>
      <c r="E2" s="83" t="s">
        <v>170</v>
      </c>
      <c r="F2" s="83" t="s">
        <v>171</v>
      </c>
      <c r="G2" s="83" t="s">
        <v>172</v>
      </c>
      <c r="H2" s="83" t="s">
        <v>173</v>
      </c>
      <c r="I2" s="83" t="s">
        <v>171</v>
      </c>
      <c r="J2" s="84" t="s">
        <v>172</v>
      </c>
      <c r="K2" s="64" t="s">
        <v>174</v>
      </c>
      <c r="L2" s="85" t="s">
        <v>175</v>
      </c>
      <c r="M2" s="166" t="s">
        <v>192</v>
      </c>
      <c r="N2" s="83" t="s">
        <v>177</v>
      </c>
      <c r="O2" s="59"/>
    </row>
    <row r="3" spans="1:15">
      <c r="A3" s="145"/>
      <c r="B3" s="146"/>
      <c r="C3" s="146"/>
      <c r="D3" s="132" t="s">
        <v>178</v>
      </c>
      <c r="E3" s="146"/>
      <c r="F3" s="146"/>
      <c r="G3" s="146"/>
      <c r="H3" s="146"/>
      <c r="I3" s="146"/>
      <c r="J3" s="147"/>
      <c r="K3" s="263"/>
      <c r="L3" s="231">
        <v>356005.72090000013</v>
      </c>
      <c r="M3" s="231">
        <v>356005.72090000013</v>
      </c>
      <c r="N3" s="146"/>
      <c r="O3" s="59"/>
    </row>
    <row r="4" spans="1:15">
      <c r="A4" s="46">
        <v>1</v>
      </c>
      <c r="B4" s="201">
        <v>46174</v>
      </c>
      <c r="C4" s="25"/>
      <c r="D4" s="25"/>
      <c r="E4" s="8">
        <v>165</v>
      </c>
      <c r="F4" s="8">
        <v>99.7</v>
      </c>
      <c r="G4" s="8">
        <f>E4*F4</f>
        <v>16450.5</v>
      </c>
      <c r="H4" s="9"/>
      <c r="I4" s="9"/>
      <c r="J4" s="8">
        <f>H4*I4</f>
        <v>0</v>
      </c>
      <c r="K4" s="8">
        <f>G4+J4</f>
        <v>16450.5</v>
      </c>
      <c r="L4" s="148"/>
      <c r="M4" s="8">
        <f>M3+K4-L4</f>
        <v>372456.22090000013</v>
      </c>
      <c r="N4" s="44"/>
      <c r="O4" s="1"/>
    </row>
    <row r="5" spans="1:15">
      <c r="A5" s="46">
        <v>2</v>
      </c>
      <c r="B5" s="201">
        <v>46175</v>
      </c>
      <c r="C5" s="25"/>
      <c r="D5" s="25"/>
      <c r="E5" s="8">
        <v>456</v>
      </c>
      <c r="F5" s="8">
        <v>99.7</v>
      </c>
      <c r="G5" s="8">
        <f t="shared" ref="G5:G35" si="0">E5*F5</f>
        <v>45463.200000000004</v>
      </c>
      <c r="H5" s="9">
        <v>5</v>
      </c>
      <c r="I5" s="9">
        <v>111.82</v>
      </c>
      <c r="J5" s="8">
        <f t="shared" ref="J5:J35" si="1">H5*I5</f>
        <v>559.09999999999991</v>
      </c>
      <c r="K5" s="8">
        <f t="shared" ref="K5:K35" si="2">G5+J5</f>
        <v>46022.3</v>
      </c>
      <c r="L5" s="148"/>
      <c r="M5" s="8">
        <f t="shared" ref="M5:M15" si="3">M4+K5-L5</f>
        <v>418478.52090000012</v>
      </c>
      <c r="N5" s="44"/>
      <c r="O5" s="1"/>
    </row>
    <row r="6" spans="1:15">
      <c r="A6" s="46">
        <v>3</v>
      </c>
      <c r="B6" s="201">
        <v>46176</v>
      </c>
      <c r="C6" s="25"/>
      <c r="D6" s="25"/>
      <c r="E6" s="8">
        <v>148.28</v>
      </c>
      <c r="F6" s="8">
        <v>99.7</v>
      </c>
      <c r="G6" s="8">
        <f t="shared" si="0"/>
        <v>14783.516000000001</v>
      </c>
      <c r="H6" s="9"/>
      <c r="I6" s="9"/>
      <c r="J6" s="8">
        <f t="shared" si="1"/>
        <v>0</v>
      </c>
      <c r="K6" s="8">
        <f t="shared" si="2"/>
        <v>14783.516000000001</v>
      </c>
      <c r="L6" s="148"/>
      <c r="M6" s="8">
        <f t="shared" si="3"/>
        <v>433262.03690000012</v>
      </c>
      <c r="N6" s="44"/>
      <c r="O6" s="1"/>
    </row>
    <row r="7" spans="1:15">
      <c r="A7" s="46">
        <v>4</v>
      </c>
      <c r="B7" s="201">
        <v>46177</v>
      </c>
      <c r="C7" s="25"/>
      <c r="D7" s="25"/>
      <c r="E7" s="266">
        <v>440</v>
      </c>
      <c r="F7" s="266">
        <v>99.7</v>
      </c>
      <c r="G7" s="8">
        <f t="shared" si="0"/>
        <v>43868</v>
      </c>
      <c r="H7" s="9"/>
      <c r="I7" s="9"/>
      <c r="J7" s="8">
        <f t="shared" si="1"/>
        <v>0</v>
      </c>
      <c r="K7" s="8">
        <f t="shared" si="2"/>
        <v>43868</v>
      </c>
      <c r="L7" s="148"/>
      <c r="M7" s="8">
        <f t="shared" si="3"/>
        <v>477130.03690000012</v>
      </c>
      <c r="N7" s="44"/>
      <c r="O7" s="1"/>
    </row>
    <row r="8" spans="1:15">
      <c r="A8" s="46">
        <v>5</v>
      </c>
      <c r="B8" s="201">
        <v>46178</v>
      </c>
      <c r="C8" s="25"/>
      <c r="D8" s="25"/>
      <c r="E8" s="266">
        <v>100</v>
      </c>
      <c r="F8" s="266">
        <v>99.7</v>
      </c>
      <c r="G8" s="8">
        <f t="shared" si="0"/>
        <v>9970</v>
      </c>
      <c r="H8" s="9"/>
      <c r="I8" s="9"/>
      <c r="J8" s="8">
        <f t="shared" si="1"/>
        <v>0</v>
      </c>
      <c r="K8" s="8">
        <f t="shared" si="2"/>
        <v>9970</v>
      </c>
      <c r="L8" s="148"/>
      <c r="M8" s="8">
        <f t="shared" si="3"/>
        <v>487100.03690000012</v>
      </c>
      <c r="N8" s="44"/>
      <c r="O8" s="1"/>
    </row>
    <row r="9" spans="1:15">
      <c r="A9" s="46">
        <v>6</v>
      </c>
      <c r="B9" s="201">
        <v>46179</v>
      </c>
      <c r="C9" s="25"/>
      <c r="D9" s="25"/>
      <c r="E9" s="266">
        <v>285</v>
      </c>
      <c r="F9" s="266">
        <v>99.7</v>
      </c>
      <c r="G9" s="8">
        <f t="shared" si="0"/>
        <v>28414.5</v>
      </c>
      <c r="H9" s="9"/>
      <c r="I9" s="9"/>
      <c r="J9" s="8">
        <f t="shared" si="1"/>
        <v>0</v>
      </c>
      <c r="K9" s="8">
        <f t="shared" si="2"/>
        <v>28414.5</v>
      </c>
      <c r="L9" s="148"/>
      <c r="M9" s="8">
        <f t="shared" si="3"/>
        <v>515514.53690000012</v>
      </c>
      <c r="N9" s="44"/>
      <c r="O9" s="1"/>
    </row>
    <row r="10" spans="1:15">
      <c r="A10" s="46">
        <v>7</v>
      </c>
      <c r="B10" s="201">
        <v>46180</v>
      </c>
      <c r="C10" s="25"/>
      <c r="D10" s="25"/>
      <c r="E10" s="266">
        <v>165</v>
      </c>
      <c r="F10" s="266">
        <v>99.7</v>
      </c>
      <c r="G10" s="8">
        <f t="shared" si="0"/>
        <v>16450.5</v>
      </c>
      <c r="H10" s="9"/>
      <c r="I10" s="9"/>
      <c r="J10" s="8">
        <f t="shared" si="1"/>
        <v>0</v>
      </c>
      <c r="K10" s="8">
        <f t="shared" si="2"/>
        <v>16450.5</v>
      </c>
      <c r="L10" s="148"/>
      <c r="M10" s="8">
        <f t="shared" si="3"/>
        <v>531965.03690000018</v>
      </c>
      <c r="N10" s="44"/>
      <c r="O10" s="1"/>
    </row>
    <row r="11" spans="1:15">
      <c r="A11" s="46">
        <v>8</v>
      </c>
      <c r="B11" s="201">
        <v>46181</v>
      </c>
      <c r="C11" s="25"/>
      <c r="D11" s="25"/>
      <c r="E11" s="8">
        <v>130</v>
      </c>
      <c r="F11" s="8">
        <v>99.7</v>
      </c>
      <c r="G11" s="8">
        <f t="shared" si="0"/>
        <v>12961</v>
      </c>
      <c r="H11" s="9">
        <v>5</v>
      </c>
      <c r="I11" s="9">
        <v>111.82</v>
      </c>
      <c r="J11" s="8">
        <f t="shared" si="1"/>
        <v>559.09999999999991</v>
      </c>
      <c r="K11" s="8">
        <f t="shared" si="2"/>
        <v>13520.1</v>
      </c>
      <c r="L11" s="148"/>
      <c r="M11" s="8">
        <f t="shared" si="3"/>
        <v>545485.13690000016</v>
      </c>
      <c r="N11" s="44"/>
      <c r="O11" s="1"/>
    </row>
    <row r="12" spans="1:15">
      <c r="A12" s="46">
        <v>9</v>
      </c>
      <c r="B12" s="201">
        <v>46182</v>
      </c>
      <c r="C12" s="25"/>
      <c r="D12" s="25"/>
      <c r="E12" s="8">
        <v>319.83</v>
      </c>
      <c r="F12" s="8">
        <v>99.7</v>
      </c>
      <c r="G12" s="8">
        <f t="shared" si="0"/>
        <v>31887.050999999999</v>
      </c>
      <c r="H12" s="9">
        <v>6</v>
      </c>
      <c r="I12" s="9">
        <v>111.82</v>
      </c>
      <c r="J12" s="8">
        <f t="shared" si="1"/>
        <v>670.92</v>
      </c>
      <c r="K12" s="8">
        <f t="shared" si="2"/>
        <v>32557.970999999998</v>
      </c>
      <c r="L12" s="148">
        <v>300000</v>
      </c>
      <c r="M12" s="8">
        <f t="shared" si="3"/>
        <v>278043.10790000018</v>
      </c>
      <c r="N12" s="44"/>
      <c r="O12" s="1" t="s">
        <v>363</v>
      </c>
    </row>
    <row r="13" spans="1:15">
      <c r="A13" s="46">
        <v>10</v>
      </c>
      <c r="B13" s="201">
        <v>46183</v>
      </c>
      <c r="C13" s="25"/>
      <c r="D13" s="25"/>
      <c r="E13" s="8">
        <v>493.35</v>
      </c>
      <c r="F13" s="8">
        <v>99.7</v>
      </c>
      <c r="G13" s="8">
        <f t="shared" si="0"/>
        <v>49186.995000000003</v>
      </c>
      <c r="H13" s="9"/>
      <c r="I13" s="9"/>
      <c r="J13" s="8">
        <f t="shared" si="1"/>
        <v>0</v>
      </c>
      <c r="K13" s="8">
        <f t="shared" si="2"/>
        <v>49186.995000000003</v>
      </c>
      <c r="L13" s="148"/>
      <c r="M13" s="8">
        <f t="shared" si="3"/>
        <v>327230.10290000017</v>
      </c>
      <c r="N13" s="44"/>
      <c r="O13" s="1"/>
    </row>
    <row r="14" spans="1:15">
      <c r="A14" s="46">
        <v>11</v>
      </c>
      <c r="B14" s="201">
        <v>46184</v>
      </c>
      <c r="C14" s="25"/>
      <c r="D14" s="25"/>
      <c r="E14" s="8">
        <v>125</v>
      </c>
      <c r="F14" s="8">
        <v>99.7</v>
      </c>
      <c r="G14" s="8">
        <f t="shared" si="0"/>
        <v>12462.5</v>
      </c>
      <c r="H14" s="9"/>
      <c r="I14" s="9"/>
      <c r="J14" s="8">
        <f t="shared" si="1"/>
        <v>0</v>
      </c>
      <c r="K14" s="8">
        <f t="shared" si="2"/>
        <v>12462.5</v>
      </c>
      <c r="L14" s="148"/>
      <c r="M14" s="8">
        <f t="shared" si="3"/>
        <v>339692.60290000017</v>
      </c>
      <c r="N14" s="44"/>
      <c r="O14" s="1"/>
    </row>
    <row r="15" spans="1:15">
      <c r="A15" s="46">
        <v>12</v>
      </c>
      <c r="B15" s="201">
        <v>46185</v>
      </c>
      <c r="C15" s="25"/>
      <c r="D15" s="25"/>
      <c r="E15" s="8">
        <v>340</v>
      </c>
      <c r="F15" s="8">
        <v>99.7</v>
      </c>
      <c r="G15" s="8">
        <f t="shared" si="0"/>
        <v>33898</v>
      </c>
      <c r="H15" s="9">
        <v>5</v>
      </c>
      <c r="I15" s="9">
        <v>111.82</v>
      </c>
      <c r="J15" s="8">
        <f t="shared" si="1"/>
        <v>559.09999999999991</v>
      </c>
      <c r="K15" s="8">
        <f t="shared" si="2"/>
        <v>34457.1</v>
      </c>
      <c r="L15" s="148"/>
      <c r="M15" s="8">
        <f t="shared" si="3"/>
        <v>374149.70290000015</v>
      </c>
      <c r="N15" s="44"/>
      <c r="O15" s="1"/>
    </row>
    <row r="16" spans="1:15">
      <c r="A16" s="46">
        <v>13</v>
      </c>
      <c r="B16" s="201">
        <v>46186</v>
      </c>
      <c r="C16" s="25"/>
      <c r="D16" s="25"/>
      <c r="E16" s="8">
        <v>373.51</v>
      </c>
      <c r="F16" s="8">
        <v>99.7</v>
      </c>
      <c r="G16" s="8">
        <f t="shared" si="0"/>
        <v>37238.947</v>
      </c>
      <c r="H16" s="9"/>
      <c r="I16" s="9"/>
      <c r="J16" s="8">
        <f t="shared" si="1"/>
        <v>0</v>
      </c>
      <c r="K16" s="8">
        <f t="shared" si="2"/>
        <v>37238.947</v>
      </c>
      <c r="L16" s="148"/>
      <c r="M16" s="8">
        <f>M15+K16-L16</f>
        <v>411388.64990000013</v>
      </c>
      <c r="N16" s="44"/>
      <c r="O16" s="1"/>
    </row>
    <row r="17" spans="1:21">
      <c r="A17" s="46">
        <v>14</v>
      </c>
      <c r="B17" s="201">
        <v>46187</v>
      </c>
      <c r="C17" s="25"/>
      <c r="D17" s="25"/>
      <c r="E17" s="8">
        <v>235</v>
      </c>
      <c r="F17" s="8">
        <v>99.7</v>
      </c>
      <c r="G17" s="8">
        <f t="shared" si="0"/>
        <v>23429.5</v>
      </c>
      <c r="H17" s="9">
        <v>5</v>
      </c>
      <c r="I17" s="9">
        <v>111.82</v>
      </c>
      <c r="J17" s="8">
        <f t="shared" si="1"/>
        <v>559.09999999999991</v>
      </c>
      <c r="K17" s="8">
        <f t="shared" si="2"/>
        <v>23988.6</v>
      </c>
      <c r="L17" s="148"/>
      <c r="M17" s="8">
        <f>M16+K17-L17</f>
        <v>435377.24990000011</v>
      </c>
      <c r="N17" s="44"/>
      <c r="O17" s="1"/>
    </row>
    <row r="18" spans="1:21">
      <c r="A18" s="46">
        <v>15</v>
      </c>
      <c r="B18" s="201">
        <v>46188</v>
      </c>
      <c r="C18" s="25"/>
      <c r="D18" s="25"/>
      <c r="E18" s="8">
        <v>100</v>
      </c>
      <c r="F18" s="8">
        <v>99.7</v>
      </c>
      <c r="G18" s="8">
        <f t="shared" si="0"/>
        <v>9970</v>
      </c>
      <c r="H18" s="9">
        <v>6</v>
      </c>
      <c r="I18" s="9">
        <v>111.82</v>
      </c>
      <c r="J18" s="8">
        <f t="shared" si="1"/>
        <v>670.92</v>
      </c>
      <c r="K18" s="8">
        <f t="shared" si="2"/>
        <v>10640.92</v>
      </c>
      <c r="L18" s="148"/>
      <c r="M18" s="8">
        <f t="shared" ref="M18:M36" si="4">M17+K18-L18</f>
        <v>446018.1699000001</v>
      </c>
      <c r="N18" s="44"/>
      <c r="O18" s="1"/>
    </row>
    <row r="19" spans="1:21">
      <c r="A19" s="46">
        <v>16</v>
      </c>
      <c r="B19" s="201">
        <v>46189</v>
      </c>
      <c r="C19" s="25"/>
      <c r="D19" s="25"/>
      <c r="E19" s="8">
        <v>95</v>
      </c>
      <c r="F19" s="8">
        <v>99.7</v>
      </c>
      <c r="G19" s="8">
        <f t="shared" si="0"/>
        <v>9471.5</v>
      </c>
      <c r="H19" s="9"/>
      <c r="I19" s="9"/>
      <c r="J19" s="8">
        <f t="shared" si="1"/>
        <v>0</v>
      </c>
      <c r="K19" s="8">
        <f t="shared" si="2"/>
        <v>9471.5</v>
      </c>
      <c r="L19" s="148"/>
      <c r="M19" s="8">
        <f t="shared" si="4"/>
        <v>455489.6699000001</v>
      </c>
      <c r="N19" s="44"/>
      <c r="O19" s="1"/>
    </row>
    <row r="20" spans="1:21">
      <c r="A20" s="46">
        <v>17</v>
      </c>
      <c r="B20" s="201">
        <v>46190</v>
      </c>
      <c r="C20" s="25"/>
      <c r="D20" s="25"/>
      <c r="E20" s="8">
        <v>265</v>
      </c>
      <c r="F20" s="8">
        <v>99.7</v>
      </c>
      <c r="G20" s="8">
        <f t="shared" si="0"/>
        <v>26420.5</v>
      </c>
      <c r="H20" s="9"/>
      <c r="I20" s="9"/>
      <c r="J20" s="8">
        <f t="shared" si="1"/>
        <v>0</v>
      </c>
      <c r="K20" s="8">
        <f t="shared" si="2"/>
        <v>26420.5</v>
      </c>
      <c r="L20" s="148"/>
      <c r="M20" s="8">
        <f t="shared" si="4"/>
        <v>481910.1699000001</v>
      </c>
      <c r="N20" s="44"/>
      <c r="O20" s="1"/>
    </row>
    <row r="21" spans="1:21">
      <c r="A21" s="46">
        <v>18</v>
      </c>
      <c r="B21" s="201">
        <v>46191</v>
      </c>
      <c r="C21" s="25"/>
      <c r="D21" s="25"/>
      <c r="E21" s="8">
        <v>295</v>
      </c>
      <c r="F21" s="8">
        <v>99.7</v>
      </c>
      <c r="G21" s="8">
        <f t="shared" si="0"/>
        <v>29411.5</v>
      </c>
      <c r="H21" s="9"/>
      <c r="I21" s="9"/>
      <c r="J21" s="8">
        <f t="shared" si="1"/>
        <v>0</v>
      </c>
      <c r="K21" s="8">
        <f t="shared" si="2"/>
        <v>29411.5</v>
      </c>
      <c r="L21" s="148"/>
      <c r="M21" s="8">
        <f t="shared" si="4"/>
        <v>511321.6699000001</v>
      </c>
      <c r="N21" s="44"/>
      <c r="O21" s="1"/>
    </row>
    <row r="22" spans="1:21">
      <c r="A22" s="46">
        <v>19</v>
      </c>
      <c r="B22" s="201">
        <v>46192</v>
      </c>
      <c r="C22" s="25"/>
      <c r="D22" s="25"/>
      <c r="E22" s="8">
        <v>175</v>
      </c>
      <c r="F22" s="8">
        <v>99.7</v>
      </c>
      <c r="G22" s="8">
        <f t="shared" si="0"/>
        <v>17447.5</v>
      </c>
      <c r="H22" s="9">
        <v>10</v>
      </c>
      <c r="I22" s="9">
        <v>111.82</v>
      </c>
      <c r="J22" s="8">
        <f t="shared" si="1"/>
        <v>1118.1999999999998</v>
      </c>
      <c r="K22" s="8">
        <f>G22+J22</f>
        <v>18565.7</v>
      </c>
      <c r="L22" s="148"/>
      <c r="M22" s="8">
        <f t="shared" si="4"/>
        <v>529887.36990000005</v>
      </c>
      <c r="N22" s="44"/>
      <c r="O22" s="1"/>
      <c r="U22">
        <f>70+20+E2690</f>
        <v>90</v>
      </c>
    </row>
    <row r="23" spans="1:21">
      <c r="A23" s="46">
        <v>20</v>
      </c>
      <c r="B23" s="201">
        <v>46193</v>
      </c>
      <c r="C23" s="25"/>
      <c r="D23" s="25"/>
      <c r="E23" s="8">
        <v>350</v>
      </c>
      <c r="F23" s="8">
        <v>99.7</v>
      </c>
      <c r="G23" s="8">
        <f t="shared" si="0"/>
        <v>34895</v>
      </c>
      <c r="H23" s="9">
        <v>5</v>
      </c>
      <c r="I23" s="9">
        <v>111.82</v>
      </c>
      <c r="J23" s="8">
        <f t="shared" si="1"/>
        <v>559.09999999999991</v>
      </c>
      <c r="K23" s="8">
        <f t="shared" si="2"/>
        <v>35454.1</v>
      </c>
      <c r="L23" s="148"/>
      <c r="M23" s="8">
        <f t="shared" si="4"/>
        <v>565341.46990000003</v>
      </c>
      <c r="N23" s="44"/>
      <c r="O23" s="1"/>
    </row>
    <row r="24" spans="1:21">
      <c r="A24" s="46">
        <v>21</v>
      </c>
      <c r="B24" s="201">
        <v>46194</v>
      </c>
      <c r="C24" s="25"/>
      <c r="D24" s="25"/>
      <c r="E24" s="8">
        <v>320</v>
      </c>
      <c r="F24" s="8">
        <v>99.7</v>
      </c>
      <c r="G24" s="8">
        <f t="shared" si="0"/>
        <v>31904</v>
      </c>
      <c r="H24" s="9"/>
      <c r="I24" s="9"/>
      <c r="J24" s="8">
        <f t="shared" si="1"/>
        <v>0</v>
      </c>
      <c r="K24" s="8">
        <f t="shared" si="2"/>
        <v>31904</v>
      </c>
      <c r="L24" s="148"/>
      <c r="M24" s="8">
        <f t="shared" si="4"/>
        <v>597245.46990000003</v>
      </c>
      <c r="N24" s="44"/>
      <c r="O24" s="1"/>
    </row>
    <row r="25" spans="1:21">
      <c r="A25" s="46">
        <v>22</v>
      </c>
      <c r="B25" s="201">
        <v>46195</v>
      </c>
      <c r="C25" s="25"/>
      <c r="D25" s="25"/>
      <c r="E25" s="8">
        <v>195</v>
      </c>
      <c r="F25" s="8">
        <v>99.7</v>
      </c>
      <c r="G25" s="8">
        <f t="shared" si="0"/>
        <v>19441.5</v>
      </c>
      <c r="H25" s="9"/>
      <c r="I25" s="9"/>
      <c r="J25" s="8">
        <f>H25*I25</f>
        <v>0</v>
      </c>
      <c r="K25" s="8">
        <f>G25+J25</f>
        <v>19441.5</v>
      </c>
      <c r="L25" s="148"/>
      <c r="M25" s="8">
        <f t="shared" si="4"/>
        <v>616686.96990000003</v>
      </c>
      <c r="N25" s="44"/>
      <c r="O25" s="1"/>
    </row>
    <row r="26" spans="1:21">
      <c r="A26" s="46">
        <v>23</v>
      </c>
      <c r="B26" s="201">
        <v>46196</v>
      </c>
      <c r="C26" s="25"/>
      <c r="D26" s="25"/>
      <c r="E26" s="8">
        <v>419.31</v>
      </c>
      <c r="F26" s="8">
        <v>99.7</v>
      </c>
      <c r="G26" s="8">
        <f t="shared" si="0"/>
        <v>41805.207000000002</v>
      </c>
      <c r="H26" s="9"/>
      <c r="I26" s="9"/>
      <c r="J26" s="8">
        <f t="shared" si="1"/>
        <v>0</v>
      </c>
      <c r="K26" s="8">
        <f>G26+J26</f>
        <v>41805.207000000002</v>
      </c>
      <c r="L26" s="148"/>
      <c r="M26" s="8">
        <f t="shared" si="4"/>
        <v>658492.17690000008</v>
      </c>
      <c r="N26" s="44"/>
      <c r="O26" s="1"/>
    </row>
    <row r="27" spans="1:21">
      <c r="A27" s="46">
        <v>24</v>
      </c>
      <c r="B27" s="201">
        <v>46197</v>
      </c>
      <c r="C27" s="25"/>
      <c r="D27" s="25"/>
      <c r="E27" s="8">
        <v>442.31</v>
      </c>
      <c r="F27" s="8">
        <v>99.7</v>
      </c>
      <c r="G27" s="8">
        <f t="shared" si="0"/>
        <v>44098.307000000001</v>
      </c>
      <c r="H27" s="9">
        <v>5</v>
      </c>
      <c r="I27" s="9">
        <v>111.82</v>
      </c>
      <c r="J27" s="8">
        <f t="shared" si="1"/>
        <v>559.09999999999991</v>
      </c>
      <c r="K27" s="8">
        <f>G27+J27</f>
        <v>44657.406999999999</v>
      </c>
      <c r="L27" s="148"/>
      <c r="M27" s="8">
        <f t="shared" si="4"/>
        <v>703149.58390000009</v>
      </c>
      <c r="N27" s="44"/>
      <c r="O27" s="1"/>
    </row>
    <row r="28" spans="1:21">
      <c r="A28" s="46">
        <v>25</v>
      </c>
      <c r="B28" s="201">
        <v>46198</v>
      </c>
      <c r="C28" s="25"/>
      <c r="D28" s="25"/>
      <c r="E28" s="8">
        <v>70</v>
      </c>
      <c r="F28" s="8">
        <v>99.7</v>
      </c>
      <c r="G28" s="8">
        <f t="shared" si="0"/>
        <v>6979</v>
      </c>
      <c r="H28" s="9">
        <v>11</v>
      </c>
      <c r="I28" s="9">
        <v>111.82</v>
      </c>
      <c r="J28" s="8">
        <f t="shared" si="1"/>
        <v>1230.02</v>
      </c>
      <c r="K28" s="8">
        <f t="shared" si="2"/>
        <v>8209.02</v>
      </c>
      <c r="L28" s="148">
        <v>500000</v>
      </c>
      <c r="M28" s="8">
        <f t="shared" si="4"/>
        <v>211358.6039000001</v>
      </c>
      <c r="N28" s="44"/>
      <c r="O28" s="1"/>
    </row>
    <row r="29" spans="1:21">
      <c r="A29" s="46">
        <v>26</v>
      </c>
      <c r="B29" s="201">
        <v>46199</v>
      </c>
      <c r="C29" s="25"/>
      <c r="D29" s="25"/>
      <c r="E29" s="8">
        <v>405.01</v>
      </c>
      <c r="F29" s="8">
        <v>99.7</v>
      </c>
      <c r="G29" s="8">
        <f t="shared" si="0"/>
        <v>40379.497000000003</v>
      </c>
      <c r="H29" s="9"/>
      <c r="I29" s="9"/>
      <c r="J29" s="8">
        <f t="shared" si="1"/>
        <v>0</v>
      </c>
      <c r="K29" s="8">
        <f t="shared" si="2"/>
        <v>40379.497000000003</v>
      </c>
      <c r="L29" s="148"/>
      <c r="M29" s="8">
        <f t="shared" si="4"/>
        <v>251738.10090000011</v>
      </c>
      <c r="N29" s="44"/>
      <c r="O29" s="1"/>
    </row>
    <row r="30" spans="1:21">
      <c r="A30" s="46">
        <v>27</v>
      </c>
      <c r="B30" s="201">
        <v>46200</v>
      </c>
      <c r="C30" s="25"/>
      <c r="D30" s="25"/>
      <c r="E30" s="8">
        <v>430</v>
      </c>
      <c r="F30" s="8">
        <v>99.7</v>
      </c>
      <c r="G30" s="8">
        <f t="shared" si="0"/>
        <v>42871</v>
      </c>
      <c r="H30" s="9">
        <v>10</v>
      </c>
      <c r="I30" s="9">
        <v>111.82</v>
      </c>
      <c r="J30" s="8">
        <f t="shared" si="1"/>
        <v>1118.1999999999998</v>
      </c>
      <c r="K30" s="8">
        <f t="shared" si="2"/>
        <v>43989.2</v>
      </c>
      <c r="L30" s="148"/>
      <c r="M30" s="8">
        <f t="shared" si="4"/>
        <v>295727.30090000009</v>
      </c>
      <c r="N30" s="44"/>
      <c r="O30" s="1"/>
    </row>
    <row r="31" spans="1:21">
      <c r="A31" s="46">
        <v>28</v>
      </c>
      <c r="B31" s="201">
        <v>46201</v>
      </c>
      <c r="C31" s="25"/>
      <c r="D31" s="25"/>
      <c r="E31" s="8">
        <v>342.01</v>
      </c>
      <c r="F31" s="8">
        <v>99.7</v>
      </c>
      <c r="G31" s="8">
        <f t="shared" si="0"/>
        <v>34098.396999999997</v>
      </c>
      <c r="H31" s="9"/>
      <c r="I31" s="9"/>
      <c r="J31" s="8">
        <f>H31*I31</f>
        <v>0</v>
      </c>
      <c r="K31" s="8">
        <f t="shared" si="2"/>
        <v>34098.396999999997</v>
      </c>
      <c r="L31" s="148"/>
      <c r="M31" s="8">
        <f t="shared" si="4"/>
        <v>329825.69790000009</v>
      </c>
      <c r="N31" s="44"/>
      <c r="O31" s="1"/>
    </row>
    <row r="32" spans="1:21">
      <c r="A32" s="46">
        <v>29</v>
      </c>
      <c r="B32" s="201">
        <v>46202</v>
      </c>
      <c r="C32" s="25"/>
      <c r="D32" s="25"/>
      <c r="E32" s="8">
        <v>450</v>
      </c>
      <c r="F32" s="8">
        <v>99.7</v>
      </c>
      <c r="G32" s="8">
        <f t="shared" si="0"/>
        <v>44865</v>
      </c>
      <c r="H32" s="9">
        <v>6.34</v>
      </c>
      <c r="I32" s="9">
        <v>111.82</v>
      </c>
      <c r="J32" s="8">
        <f t="shared" si="1"/>
        <v>708.9387999999999</v>
      </c>
      <c r="K32" s="8">
        <f t="shared" si="2"/>
        <v>45573.938800000004</v>
      </c>
      <c r="L32" s="148"/>
      <c r="M32" s="8">
        <f t="shared" si="4"/>
        <v>375399.63670000009</v>
      </c>
      <c r="N32" s="44"/>
      <c r="O32" s="1"/>
    </row>
    <row r="33" spans="1:15">
      <c r="A33" s="46">
        <v>30</v>
      </c>
      <c r="B33" s="201">
        <v>46203</v>
      </c>
      <c r="C33" s="25"/>
      <c r="D33" s="25"/>
      <c r="E33" s="8">
        <v>165</v>
      </c>
      <c r="F33" s="8">
        <v>99.7</v>
      </c>
      <c r="G33" s="8">
        <f t="shared" si="0"/>
        <v>16450.5</v>
      </c>
      <c r="H33" s="9">
        <v>11</v>
      </c>
      <c r="I33" s="9">
        <v>111.82</v>
      </c>
      <c r="J33" s="8">
        <f t="shared" si="1"/>
        <v>1230.02</v>
      </c>
      <c r="K33" s="8">
        <f t="shared" si="2"/>
        <v>17680.52</v>
      </c>
      <c r="L33" s="148"/>
      <c r="M33" s="8">
        <f t="shared" si="4"/>
        <v>393080.15670000011</v>
      </c>
      <c r="N33" s="44"/>
      <c r="O33" s="1"/>
    </row>
    <row r="34" spans="1:15">
      <c r="A34" s="46">
        <v>31</v>
      </c>
      <c r="B34" s="201"/>
      <c r="C34" s="25"/>
      <c r="D34" s="25"/>
      <c r="E34" s="8"/>
      <c r="F34" s="8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48">
        <v>0</v>
      </c>
      <c r="M34" s="8">
        <f t="shared" si="4"/>
        <v>393080.15670000011</v>
      </c>
      <c r="N34" s="44"/>
      <c r="O34" s="1"/>
    </row>
    <row r="35" spans="1:15">
      <c r="A35" s="46">
        <v>32</v>
      </c>
      <c r="B35" s="201"/>
      <c r="C35" s="25"/>
      <c r="D35" s="25"/>
      <c r="E35" s="8"/>
      <c r="F35" s="8"/>
      <c r="G35" s="8">
        <f t="shared" si="0"/>
        <v>0</v>
      </c>
      <c r="H35" s="9"/>
      <c r="I35" s="9"/>
      <c r="J35" s="8">
        <f t="shared" si="1"/>
        <v>0</v>
      </c>
      <c r="K35" s="8">
        <f t="shared" si="2"/>
        <v>0</v>
      </c>
      <c r="L35" s="148">
        <v>0</v>
      </c>
      <c r="M35" s="8">
        <f t="shared" si="4"/>
        <v>393080.15670000011</v>
      </c>
      <c r="N35" s="44"/>
      <c r="O35" s="1"/>
    </row>
    <row r="36" spans="1:15">
      <c r="A36" s="196"/>
      <c r="B36" s="201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48"/>
      <c r="M36" s="8">
        <f t="shared" si="4"/>
        <v>393080.15670000011</v>
      </c>
      <c r="N36" s="44"/>
      <c r="O36" s="1"/>
    </row>
    <row r="37" spans="1:15">
      <c r="A37" s="62"/>
      <c r="B37" s="62"/>
      <c r="C37" s="62"/>
      <c r="D37" s="62"/>
      <c r="E37" s="63">
        <f>SUM(E4:E35)</f>
        <v>8294.61</v>
      </c>
      <c r="F37" s="63"/>
      <c r="G37" s="63">
        <f>SUM(G4:G35)</f>
        <v>826972.61700000009</v>
      </c>
      <c r="H37" s="63">
        <f>SUM(H4:H35)</f>
        <v>90.34</v>
      </c>
      <c r="I37" s="63"/>
      <c r="J37" s="63">
        <f>SUM(J4:J35)</f>
        <v>10101.818800000001</v>
      </c>
      <c r="K37" s="63">
        <f>SUM(K4:K35)</f>
        <v>837074.43579999986</v>
      </c>
      <c r="L37" s="63">
        <f>SUM(L4:L35)</f>
        <v>800000</v>
      </c>
      <c r="M37" s="63"/>
      <c r="N37" s="63"/>
      <c r="O37" s="59"/>
    </row>
    <row r="38" spans="1:15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5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5">
      <c r="A40" s="1"/>
      <c r="B40" s="592"/>
      <c r="C40" s="592"/>
      <c r="D40" s="592"/>
      <c r="E40" s="592"/>
      <c r="F40" s="1"/>
      <c r="G40" s="1"/>
      <c r="H40" s="1"/>
      <c r="I40" s="593">
        <f>K25+L25</f>
        <v>19441.5</v>
      </c>
      <c r="J40" s="592"/>
      <c r="K40" s="592"/>
      <c r="L40" s="592"/>
      <c r="M40" s="592"/>
      <c r="N40" s="592"/>
      <c r="O40" s="4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5"/>
  <sheetViews>
    <sheetView workbookViewId="0">
      <pane ySplit="2" topLeftCell="A18" activePane="bottomLeft" state="frozen"/>
      <selection pane="bottomLeft" activeCell="M33" sqref="M33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546" t="s">
        <v>141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82"/>
    </row>
    <row r="2" spans="1:16">
      <c r="A2" s="98" t="s">
        <v>0</v>
      </c>
      <c r="B2" s="99" t="s">
        <v>167</v>
      </c>
      <c r="C2" s="99" t="s">
        <v>168</v>
      </c>
      <c r="D2" s="99" t="s">
        <v>191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139" t="s">
        <v>175</v>
      </c>
      <c r="M2" s="143" t="s">
        <v>192</v>
      </c>
      <c r="N2" s="101" t="s">
        <v>177</v>
      </c>
      <c r="O2" s="59"/>
    </row>
    <row r="3" spans="1:16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9"/>
      <c r="K3" s="163">
        <v>43458.637999999977</v>
      </c>
      <c r="L3" s="17"/>
      <c r="M3" s="105">
        <v>43458.637999999977</v>
      </c>
      <c r="N3" s="17"/>
      <c r="O3" s="59"/>
    </row>
    <row r="4" spans="1:16">
      <c r="A4" s="46">
        <v>1</v>
      </c>
      <c r="B4" s="201">
        <v>46174</v>
      </c>
      <c r="C4" s="151"/>
      <c r="D4" s="152"/>
      <c r="E4" s="153">
        <v>30</v>
      </c>
      <c r="F4" s="153">
        <v>99.64</v>
      </c>
      <c r="G4" s="140">
        <f>E4*F4</f>
        <v>2989.2</v>
      </c>
      <c r="H4" s="153"/>
      <c r="I4" s="154"/>
      <c r="J4" s="20">
        <f>H4*I4</f>
        <v>0</v>
      </c>
      <c r="K4" s="20">
        <f>G4+J4</f>
        <v>2989.2</v>
      </c>
      <c r="L4" s="141"/>
      <c r="M4" s="141">
        <f t="shared" ref="M4:M21" si="0">M3+K4-L4</f>
        <v>46447.837999999974</v>
      </c>
      <c r="N4" s="142"/>
    </row>
    <row r="5" spans="1:16">
      <c r="A5" s="46">
        <v>2</v>
      </c>
      <c r="B5" s="201">
        <v>46175</v>
      </c>
      <c r="C5" s="11"/>
      <c r="D5" s="11"/>
      <c r="E5" s="153">
        <v>20</v>
      </c>
      <c r="F5" s="153">
        <v>99.64</v>
      </c>
      <c r="G5" s="140">
        <f t="shared" ref="G5:G35" si="1">E5*F5</f>
        <v>1992.8</v>
      </c>
      <c r="H5" s="153">
        <v>6</v>
      </c>
      <c r="I5" s="154">
        <v>111.77</v>
      </c>
      <c r="J5" s="20">
        <f t="shared" ref="J5:J35" si="2">H5*I5</f>
        <v>670.62</v>
      </c>
      <c r="K5" s="20">
        <f t="shared" ref="K5:K35" si="3">G5+J5</f>
        <v>2663.42</v>
      </c>
      <c r="L5" s="141"/>
      <c r="M5" s="14">
        <f t="shared" si="0"/>
        <v>49111.257999999973</v>
      </c>
      <c r="N5" s="12"/>
    </row>
    <row r="6" spans="1:16">
      <c r="A6" s="46">
        <v>3</v>
      </c>
      <c r="B6" s="201">
        <v>46176</v>
      </c>
      <c r="C6" s="11"/>
      <c r="D6" s="11"/>
      <c r="E6" s="153"/>
      <c r="F6" s="153"/>
      <c r="G6" s="140">
        <f t="shared" si="1"/>
        <v>0</v>
      </c>
      <c r="H6" s="153"/>
      <c r="I6" s="154"/>
      <c r="J6" s="20">
        <f t="shared" si="2"/>
        <v>0</v>
      </c>
      <c r="K6" s="20">
        <f t="shared" si="3"/>
        <v>0</v>
      </c>
      <c r="L6" s="141"/>
      <c r="M6" s="14">
        <f t="shared" si="0"/>
        <v>49111.257999999973</v>
      </c>
      <c r="N6" s="13"/>
    </row>
    <row r="7" spans="1:16">
      <c r="A7" s="46">
        <v>4</v>
      </c>
      <c r="B7" s="201">
        <v>46177</v>
      </c>
      <c r="C7" s="70"/>
      <c r="D7" s="71"/>
      <c r="E7" s="153">
        <v>30</v>
      </c>
      <c r="F7" s="153">
        <v>99.64</v>
      </c>
      <c r="G7" s="140">
        <f t="shared" si="1"/>
        <v>2989.2</v>
      </c>
      <c r="H7" s="153">
        <v>6</v>
      </c>
      <c r="I7" s="154">
        <v>111.77</v>
      </c>
      <c r="J7" s="20">
        <f t="shared" si="2"/>
        <v>670.62</v>
      </c>
      <c r="K7" s="20">
        <f t="shared" si="3"/>
        <v>3659.8199999999997</v>
      </c>
      <c r="L7" s="141"/>
      <c r="M7" s="14">
        <f t="shared" si="0"/>
        <v>52771.077999999972</v>
      </c>
      <c r="N7" s="41"/>
    </row>
    <row r="8" spans="1:16">
      <c r="A8" s="46">
        <v>5</v>
      </c>
      <c r="B8" s="201">
        <v>46178</v>
      </c>
      <c r="C8" s="70"/>
      <c r="D8" s="71"/>
      <c r="E8" s="153">
        <v>80</v>
      </c>
      <c r="F8" s="153">
        <v>99.64</v>
      </c>
      <c r="G8" s="140">
        <f t="shared" si="1"/>
        <v>7971.2</v>
      </c>
      <c r="H8" s="153"/>
      <c r="I8" s="154"/>
      <c r="J8" s="20">
        <f t="shared" si="2"/>
        <v>0</v>
      </c>
      <c r="K8" s="20">
        <f t="shared" si="3"/>
        <v>7971.2</v>
      </c>
      <c r="L8" s="141"/>
      <c r="M8" s="14">
        <f t="shared" si="0"/>
        <v>60742.277999999969</v>
      </c>
      <c r="N8" s="41"/>
      <c r="O8" s="243">
        <v>8497892194</v>
      </c>
      <c r="P8" s="244" t="s">
        <v>365</v>
      </c>
    </row>
    <row r="9" spans="1:16">
      <c r="A9" s="46">
        <v>6</v>
      </c>
      <c r="B9" s="201">
        <v>46179</v>
      </c>
      <c r="C9" s="70"/>
      <c r="D9" s="71"/>
      <c r="E9" s="153"/>
      <c r="F9" s="153"/>
      <c r="G9" s="140">
        <f t="shared" si="1"/>
        <v>0</v>
      </c>
      <c r="H9" s="153"/>
      <c r="I9" s="154"/>
      <c r="J9" s="20">
        <f t="shared" si="2"/>
        <v>0</v>
      </c>
      <c r="K9" s="20">
        <f t="shared" si="3"/>
        <v>0</v>
      </c>
      <c r="L9" s="141"/>
      <c r="M9" s="14">
        <f t="shared" si="0"/>
        <v>60742.277999999969</v>
      </c>
      <c r="N9" s="41"/>
      <c r="O9" s="69"/>
    </row>
    <row r="10" spans="1:16">
      <c r="A10" s="46">
        <v>7</v>
      </c>
      <c r="B10" s="201">
        <v>46180</v>
      </c>
      <c r="C10" s="70"/>
      <c r="D10" s="71"/>
      <c r="E10" s="153">
        <v>10</v>
      </c>
      <c r="F10" s="153">
        <v>99.64</v>
      </c>
      <c r="G10" s="140">
        <f t="shared" si="1"/>
        <v>996.4</v>
      </c>
      <c r="H10" s="153">
        <v>6</v>
      </c>
      <c r="I10" s="154">
        <v>111.77</v>
      </c>
      <c r="J10" s="20">
        <f t="shared" si="2"/>
        <v>670.62</v>
      </c>
      <c r="K10" s="20">
        <f t="shared" si="3"/>
        <v>1667.02</v>
      </c>
      <c r="L10" s="141"/>
      <c r="M10" s="14">
        <f t="shared" si="0"/>
        <v>62409.297999999966</v>
      </c>
      <c r="N10" s="41"/>
      <c r="O10" s="69"/>
    </row>
    <row r="11" spans="1:16">
      <c r="A11" s="46">
        <v>8</v>
      </c>
      <c r="B11" s="201">
        <v>46181</v>
      </c>
      <c r="C11" s="70"/>
      <c r="D11" s="71"/>
      <c r="E11" s="153">
        <v>30</v>
      </c>
      <c r="F11" s="153">
        <v>99.64</v>
      </c>
      <c r="G11" s="140">
        <f t="shared" si="1"/>
        <v>2989.2</v>
      </c>
      <c r="H11" s="153"/>
      <c r="I11" s="154"/>
      <c r="J11" s="20">
        <f t="shared" si="2"/>
        <v>0</v>
      </c>
      <c r="K11" s="20">
        <f t="shared" si="3"/>
        <v>2989.2</v>
      </c>
      <c r="L11" s="141">
        <v>62000</v>
      </c>
      <c r="M11" s="14">
        <f t="shared" si="0"/>
        <v>3398.4979999999632</v>
      </c>
      <c r="N11" s="41"/>
      <c r="O11" s="69"/>
    </row>
    <row r="12" spans="1:16">
      <c r="A12" s="46">
        <v>9</v>
      </c>
      <c r="B12" s="201">
        <v>46182</v>
      </c>
      <c r="C12" s="70"/>
      <c r="D12" s="71"/>
      <c r="E12" s="153">
        <v>20</v>
      </c>
      <c r="F12" s="153">
        <v>99.64</v>
      </c>
      <c r="G12" s="140">
        <f t="shared" si="1"/>
        <v>1992.8</v>
      </c>
      <c r="H12" s="153">
        <v>6</v>
      </c>
      <c r="I12" s="154">
        <v>111.77</v>
      </c>
      <c r="J12" s="20">
        <f t="shared" si="2"/>
        <v>670.62</v>
      </c>
      <c r="K12" s="20">
        <f t="shared" si="3"/>
        <v>2663.42</v>
      </c>
      <c r="L12" s="141"/>
      <c r="M12" s="14">
        <f t="shared" si="0"/>
        <v>6061.9179999999633</v>
      </c>
      <c r="N12" s="41"/>
      <c r="O12" s="69"/>
    </row>
    <row r="13" spans="1:16">
      <c r="A13" s="46">
        <v>10</v>
      </c>
      <c r="B13" s="201">
        <v>46183</v>
      </c>
      <c r="C13" s="70"/>
      <c r="D13" s="71"/>
      <c r="E13" s="153">
        <v>40</v>
      </c>
      <c r="F13" s="153">
        <v>99.64</v>
      </c>
      <c r="G13" s="140">
        <f t="shared" si="1"/>
        <v>3985.6</v>
      </c>
      <c r="H13" s="153"/>
      <c r="I13" s="154"/>
      <c r="J13" s="20">
        <f t="shared" si="2"/>
        <v>0</v>
      </c>
      <c r="K13" s="20">
        <f t="shared" si="3"/>
        <v>3985.6</v>
      </c>
      <c r="L13" s="141"/>
      <c r="M13" s="14">
        <f t="shared" si="0"/>
        <v>10047.517999999964</v>
      </c>
      <c r="N13" s="41"/>
      <c r="O13" s="69"/>
    </row>
    <row r="14" spans="1:16">
      <c r="A14" s="46">
        <v>11</v>
      </c>
      <c r="B14" s="201">
        <v>46184</v>
      </c>
      <c r="C14" s="70"/>
      <c r="D14" s="71"/>
      <c r="E14" s="153">
        <v>40</v>
      </c>
      <c r="F14" s="153">
        <v>99.64</v>
      </c>
      <c r="G14" s="140">
        <f t="shared" si="1"/>
        <v>3985.6</v>
      </c>
      <c r="H14" s="153">
        <v>6</v>
      </c>
      <c r="I14" s="154">
        <v>111.77</v>
      </c>
      <c r="J14" s="20">
        <f t="shared" si="2"/>
        <v>670.62</v>
      </c>
      <c r="K14" s="20">
        <f t="shared" si="3"/>
        <v>4656.22</v>
      </c>
      <c r="L14" s="141"/>
      <c r="M14" s="14">
        <f t="shared" si="0"/>
        <v>14703.737999999965</v>
      </c>
      <c r="N14" s="41"/>
      <c r="O14" s="69"/>
      <c r="P14">
        <f>535.3/5.36</f>
        <v>99.869402985074615</v>
      </c>
    </row>
    <row r="15" spans="1:16">
      <c r="A15" s="46">
        <v>12</v>
      </c>
      <c r="B15" s="201">
        <v>46185</v>
      </c>
      <c r="C15" s="70"/>
      <c r="D15" s="71"/>
      <c r="E15" s="153">
        <v>30</v>
      </c>
      <c r="F15" s="153">
        <v>99.64</v>
      </c>
      <c r="G15" s="140">
        <f t="shared" si="1"/>
        <v>2989.2</v>
      </c>
      <c r="H15" s="153"/>
      <c r="I15" s="154"/>
      <c r="J15" s="20">
        <f t="shared" si="2"/>
        <v>0</v>
      </c>
      <c r="K15" s="20">
        <f t="shared" si="3"/>
        <v>2989.2</v>
      </c>
      <c r="L15" s="141"/>
      <c r="M15" s="14">
        <f t="shared" si="0"/>
        <v>17692.937999999966</v>
      </c>
      <c r="N15" s="41"/>
      <c r="O15" s="69"/>
    </row>
    <row r="16" spans="1:16">
      <c r="A16" s="46">
        <v>13</v>
      </c>
      <c r="B16" s="201">
        <v>46186</v>
      </c>
      <c r="C16" s="70"/>
      <c r="D16" s="71"/>
      <c r="E16" s="153">
        <v>20</v>
      </c>
      <c r="F16" s="153">
        <v>99.64</v>
      </c>
      <c r="G16" s="140">
        <f t="shared" si="1"/>
        <v>1992.8</v>
      </c>
      <c r="H16" s="153">
        <v>5</v>
      </c>
      <c r="I16" s="154">
        <v>111.77</v>
      </c>
      <c r="J16" s="20">
        <f t="shared" si="2"/>
        <v>558.85</v>
      </c>
      <c r="K16" s="20">
        <f t="shared" si="3"/>
        <v>2551.65</v>
      </c>
      <c r="L16" s="141"/>
      <c r="M16" s="242">
        <f t="shared" si="0"/>
        <v>20244.587999999967</v>
      </c>
      <c r="N16" s="41"/>
      <c r="O16" s="69"/>
    </row>
    <row r="17" spans="1:18">
      <c r="A17" s="46">
        <v>14</v>
      </c>
      <c r="B17" s="201">
        <v>46187</v>
      </c>
      <c r="C17" s="70"/>
      <c r="D17" s="71"/>
      <c r="E17" s="153"/>
      <c r="F17" s="153"/>
      <c r="G17" s="140">
        <f t="shared" si="1"/>
        <v>0</v>
      </c>
      <c r="H17" s="153"/>
      <c r="I17" s="154"/>
      <c r="J17" s="20">
        <f t="shared" si="2"/>
        <v>0</v>
      </c>
      <c r="K17" s="20">
        <f t="shared" si="3"/>
        <v>0</v>
      </c>
      <c r="L17" s="141"/>
      <c r="M17" s="14">
        <f t="shared" si="0"/>
        <v>20244.587999999967</v>
      </c>
      <c r="N17" s="41"/>
      <c r="O17" s="69"/>
    </row>
    <row r="18" spans="1:18">
      <c r="A18" s="46">
        <v>15</v>
      </c>
      <c r="B18" s="201">
        <v>46188</v>
      </c>
      <c r="C18" s="70"/>
      <c r="D18" s="71"/>
      <c r="E18" s="153">
        <v>30</v>
      </c>
      <c r="F18" s="153">
        <v>99.64</v>
      </c>
      <c r="G18" s="140">
        <f t="shared" si="1"/>
        <v>2989.2</v>
      </c>
      <c r="H18" s="153"/>
      <c r="I18" s="154"/>
      <c r="J18" s="20">
        <f t="shared" si="2"/>
        <v>0</v>
      </c>
      <c r="K18" s="20">
        <f t="shared" si="3"/>
        <v>2989.2</v>
      </c>
      <c r="L18" s="141"/>
      <c r="M18" s="14">
        <f t="shared" si="0"/>
        <v>23233.787999999968</v>
      </c>
      <c r="N18" s="41"/>
      <c r="O18" s="69"/>
    </row>
    <row r="19" spans="1:18">
      <c r="A19" s="46">
        <v>16</v>
      </c>
      <c r="B19" s="201">
        <v>46189</v>
      </c>
      <c r="C19" s="190"/>
      <c r="D19" s="191"/>
      <c r="E19" s="153">
        <v>20</v>
      </c>
      <c r="F19" s="153">
        <v>99.64</v>
      </c>
      <c r="G19" s="140">
        <f t="shared" si="1"/>
        <v>1992.8</v>
      </c>
      <c r="H19" s="153">
        <v>6</v>
      </c>
      <c r="I19" s="154">
        <v>111.77</v>
      </c>
      <c r="J19" s="20">
        <f t="shared" si="2"/>
        <v>670.62</v>
      </c>
      <c r="K19" s="20">
        <f t="shared" si="3"/>
        <v>2663.42</v>
      </c>
      <c r="L19" s="141"/>
      <c r="M19" s="15">
        <f t="shared" si="0"/>
        <v>25897.20799999997</v>
      </c>
      <c r="N19" s="192"/>
      <c r="O19" s="69"/>
    </row>
    <row r="20" spans="1:18">
      <c r="A20" s="46">
        <v>17</v>
      </c>
      <c r="B20" s="201">
        <v>46190</v>
      </c>
      <c r="C20" s="67"/>
      <c r="D20" s="71"/>
      <c r="E20" s="153">
        <v>70</v>
      </c>
      <c r="F20" s="153">
        <v>99.64</v>
      </c>
      <c r="G20" s="140">
        <f t="shared" si="1"/>
        <v>6974.8</v>
      </c>
      <c r="H20" s="153">
        <v>2</v>
      </c>
      <c r="I20" s="154">
        <v>111.77</v>
      </c>
      <c r="J20" s="20">
        <f t="shared" si="2"/>
        <v>223.54</v>
      </c>
      <c r="K20" s="20">
        <f t="shared" si="3"/>
        <v>7198.34</v>
      </c>
      <c r="L20" s="141"/>
      <c r="M20" s="15">
        <f t="shared" si="0"/>
        <v>33095.547999999966</v>
      </c>
      <c r="N20" s="41"/>
      <c r="O20" s="69"/>
    </row>
    <row r="21" spans="1:18">
      <c r="A21" s="46">
        <v>18</v>
      </c>
      <c r="B21" s="201">
        <v>46191</v>
      </c>
      <c r="C21" s="67"/>
      <c r="D21" s="71"/>
      <c r="E21" s="153">
        <v>20</v>
      </c>
      <c r="F21" s="153">
        <v>99.64</v>
      </c>
      <c r="G21" s="140">
        <f t="shared" si="1"/>
        <v>1992.8</v>
      </c>
      <c r="H21" s="153"/>
      <c r="I21" s="154"/>
      <c r="J21" s="20">
        <f t="shared" si="2"/>
        <v>0</v>
      </c>
      <c r="K21" s="20">
        <f t="shared" si="3"/>
        <v>1992.8</v>
      </c>
      <c r="L21" s="141"/>
      <c r="M21" s="15">
        <f t="shared" si="0"/>
        <v>35088.347999999969</v>
      </c>
      <c r="N21" s="41"/>
      <c r="O21" s="69"/>
    </row>
    <row r="22" spans="1:18">
      <c r="A22" s="46">
        <v>19</v>
      </c>
      <c r="B22" s="201">
        <v>46192</v>
      </c>
      <c r="C22" s="67"/>
      <c r="D22" s="71"/>
      <c r="E22" s="153">
        <v>70</v>
      </c>
      <c r="F22" s="153">
        <v>99.64</v>
      </c>
      <c r="G22" s="140">
        <f t="shared" si="1"/>
        <v>6974.8</v>
      </c>
      <c r="H22" s="153">
        <v>2</v>
      </c>
      <c r="I22" s="154">
        <v>111.77</v>
      </c>
      <c r="J22" s="20">
        <f t="shared" si="2"/>
        <v>223.54</v>
      </c>
      <c r="K22" s="20">
        <f t="shared" si="3"/>
        <v>7198.34</v>
      </c>
      <c r="L22" s="141"/>
      <c r="M22" s="15">
        <f t="shared" ref="M22:M31" si="4">M21+K22-L22</f>
        <v>42286.687999999966</v>
      </c>
      <c r="N22" s="41"/>
      <c r="O22" s="69"/>
    </row>
    <row r="23" spans="1:18">
      <c r="A23" s="46"/>
      <c r="B23" s="201">
        <v>46193</v>
      </c>
      <c r="C23" s="67"/>
      <c r="D23" s="71"/>
      <c r="E23" s="153">
        <v>20</v>
      </c>
      <c r="F23" s="153">
        <v>99.64</v>
      </c>
      <c r="G23" s="140">
        <f t="shared" si="1"/>
        <v>1992.8</v>
      </c>
      <c r="H23" s="153">
        <v>10</v>
      </c>
      <c r="I23" s="154">
        <v>111.77</v>
      </c>
      <c r="J23" s="20">
        <f t="shared" si="2"/>
        <v>1117.7</v>
      </c>
      <c r="K23" s="20">
        <f t="shared" si="3"/>
        <v>3110.5</v>
      </c>
      <c r="L23" s="141"/>
      <c r="M23" s="15">
        <f t="shared" si="4"/>
        <v>45397.187999999966</v>
      </c>
      <c r="N23" s="41"/>
      <c r="O23" s="69"/>
    </row>
    <row r="24" spans="1:18">
      <c r="A24" s="46">
        <v>20</v>
      </c>
      <c r="B24" s="201">
        <v>46194</v>
      </c>
      <c r="C24" s="67"/>
      <c r="D24" s="71"/>
      <c r="E24" s="153">
        <v>20</v>
      </c>
      <c r="F24" s="153">
        <v>99.64</v>
      </c>
      <c r="G24" s="140">
        <f t="shared" si="1"/>
        <v>1992.8</v>
      </c>
      <c r="H24" s="153"/>
      <c r="I24" s="154"/>
      <c r="J24" s="20">
        <f t="shared" si="2"/>
        <v>0</v>
      </c>
      <c r="K24" s="20">
        <f t="shared" si="3"/>
        <v>1992.8</v>
      </c>
      <c r="L24" s="141"/>
      <c r="M24" s="15">
        <f t="shared" si="4"/>
        <v>47389.987999999968</v>
      </c>
      <c r="N24" s="41"/>
      <c r="O24" s="69"/>
    </row>
    <row r="25" spans="1:18">
      <c r="A25" s="46">
        <v>21</v>
      </c>
      <c r="B25" s="201">
        <v>46195</v>
      </c>
      <c r="C25" s="67"/>
      <c r="D25" s="71"/>
      <c r="E25" s="153">
        <v>50</v>
      </c>
      <c r="F25" s="153">
        <v>99.64</v>
      </c>
      <c r="G25" s="140">
        <f t="shared" si="1"/>
        <v>4982</v>
      </c>
      <c r="H25" s="153"/>
      <c r="I25" s="154"/>
      <c r="J25" s="20">
        <f t="shared" si="2"/>
        <v>0</v>
      </c>
      <c r="K25" s="20">
        <f t="shared" si="3"/>
        <v>4982</v>
      </c>
      <c r="L25" s="141"/>
      <c r="M25" s="15">
        <f t="shared" si="4"/>
        <v>52371.987999999968</v>
      </c>
      <c r="N25" s="41"/>
      <c r="O25" s="69"/>
    </row>
    <row r="26" spans="1:18">
      <c r="A26" s="46">
        <v>22</v>
      </c>
      <c r="B26" s="201">
        <v>46196</v>
      </c>
      <c r="C26" s="67"/>
      <c r="D26" s="71"/>
      <c r="E26" s="153">
        <v>40</v>
      </c>
      <c r="F26" s="153">
        <v>99.64</v>
      </c>
      <c r="G26" s="140">
        <f t="shared" si="1"/>
        <v>3985.6</v>
      </c>
      <c r="H26" s="153"/>
      <c r="I26" s="154"/>
      <c r="J26" s="20">
        <f t="shared" si="2"/>
        <v>0</v>
      </c>
      <c r="K26" s="20">
        <f t="shared" si="3"/>
        <v>3985.6</v>
      </c>
      <c r="L26" s="141"/>
      <c r="M26" s="15">
        <f t="shared" si="4"/>
        <v>56357.587999999967</v>
      </c>
      <c r="N26" s="41"/>
      <c r="O26" s="69"/>
    </row>
    <row r="27" spans="1:18">
      <c r="A27" s="46">
        <v>23</v>
      </c>
      <c r="B27" s="201">
        <v>46197</v>
      </c>
      <c r="C27" s="67"/>
      <c r="D27" s="71"/>
      <c r="E27" s="153">
        <v>70</v>
      </c>
      <c r="F27" s="153">
        <v>99.64</v>
      </c>
      <c r="G27" s="140">
        <f t="shared" si="1"/>
        <v>6974.8</v>
      </c>
      <c r="H27" s="153"/>
      <c r="I27" s="154"/>
      <c r="J27" s="20">
        <f t="shared" si="2"/>
        <v>0</v>
      </c>
      <c r="K27" s="20">
        <f t="shared" si="3"/>
        <v>6974.8</v>
      </c>
      <c r="L27" s="141"/>
      <c r="M27" s="15">
        <f t="shared" si="4"/>
        <v>63332.38799999997</v>
      </c>
      <c r="N27" s="41"/>
      <c r="O27" s="69"/>
    </row>
    <row r="28" spans="1:18">
      <c r="A28" s="46">
        <v>24</v>
      </c>
      <c r="B28" s="201">
        <v>46198</v>
      </c>
      <c r="C28" s="67"/>
      <c r="D28" s="71"/>
      <c r="E28" s="153">
        <v>20</v>
      </c>
      <c r="F28" s="153">
        <v>99.64</v>
      </c>
      <c r="G28" s="140">
        <f t="shared" si="1"/>
        <v>1992.8</v>
      </c>
      <c r="H28" s="153"/>
      <c r="I28" s="154"/>
      <c r="J28" s="20">
        <f t="shared" si="2"/>
        <v>0</v>
      </c>
      <c r="K28" s="20">
        <f t="shared" si="3"/>
        <v>1992.8</v>
      </c>
      <c r="L28" s="141"/>
      <c r="M28" s="15">
        <f t="shared" si="4"/>
        <v>65325.187999999973</v>
      </c>
      <c r="N28" s="41"/>
      <c r="O28" s="69"/>
      <c r="R28">
        <v>66742</v>
      </c>
    </row>
    <row r="29" spans="1:18">
      <c r="A29" s="218">
        <v>25</v>
      </c>
      <c r="B29" s="201">
        <v>46199</v>
      </c>
      <c r="C29" s="195"/>
      <c r="D29" s="191"/>
      <c r="E29" s="153"/>
      <c r="F29" s="488"/>
      <c r="G29" s="140">
        <f t="shared" si="1"/>
        <v>0</v>
      </c>
      <c r="H29" s="153"/>
      <c r="I29" s="154"/>
      <c r="J29" s="20">
        <f t="shared" si="2"/>
        <v>0</v>
      </c>
      <c r="K29" s="20">
        <f t="shared" si="3"/>
        <v>0</v>
      </c>
      <c r="L29" s="141"/>
      <c r="M29" s="15">
        <f t="shared" si="4"/>
        <v>65325.187999999973</v>
      </c>
      <c r="N29" s="192"/>
      <c r="O29" s="69"/>
    </row>
    <row r="30" spans="1:18">
      <c r="A30" s="46">
        <v>26</v>
      </c>
      <c r="B30" s="201">
        <v>46200</v>
      </c>
      <c r="C30" s="67"/>
      <c r="D30" s="71"/>
      <c r="E30" s="153">
        <v>20</v>
      </c>
      <c r="F30" s="153">
        <v>99.64</v>
      </c>
      <c r="G30" s="140">
        <f t="shared" si="1"/>
        <v>1992.8</v>
      </c>
      <c r="H30" s="153"/>
      <c r="I30" s="154"/>
      <c r="J30" s="20">
        <f t="shared" si="2"/>
        <v>0</v>
      </c>
      <c r="K30" s="20">
        <f t="shared" si="3"/>
        <v>1992.8</v>
      </c>
      <c r="L30" s="141"/>
      <c r="M30" s="15">
        <f t="shared" si="4"/>
        <v>67317.987999999968</v>
      </c>
      <c r="N30" s="41"/>
      <c r="O30" s="69"/>
    </row>
    <row r="31" spans="1:18">
      <c r="A31" s="46">
        <v>27</v>
      </c>
      <c r="B31" s="201">
        <v>46201</v>
      </c>
      <c r="C31" s="67"/>
      <c r="D31" s="71"/>
      <c r="E31" s="153">
        <v>70</v>
      </c>
      <c r="F31" s="153">
        <v>99.64</v>
      </c>
      <c r="G31" s="140">
        <f t="shared" si="1"/>
        <v>6974.8</v>
      </c>
      <c r="H31" s="153">
        <v>6</v>
      </c>
      <c r="I31" s="154">
        <v>111.77</v>
      </c>
      <c r="J31" s="20">
        <f t="shared" si="2"/>
        <v>670.62</v>
      </c>
      <c r="K31" s="20">
        <f t="shared" si="3"/>
        <v>7645.42</v>
      </c>
      <c r="L31" s="141"/>
      <c r="M31" s="15">
        <f t="shared" si="4"/>
        <v>74963.407999999967</v>
      </c>
      <c r="N31" s="41"/>
      <c r="O31" s="69"/>
    </row>
    <row r="32" spans="1:18">
      <c r="A32" s="46">
        <v>28</v>
      </c>
      <c r="B32" s="201">
        <v>46202</v>
      </c>
      <c r="C32" s="67"/>
      <c r="D32" s="71"/>
      <c r="E32" s="153">
        <v>20</v>
      </c>
      <c r="F32" s="153">
        <v>99.64</v>
      </c>
      <c r="G32" s="140">
        <f t="shared" si="1"/>
        <v>1992.8</v>
      </c>
      <c r="H32" s="153"/>
      <c r="I32" s="154"/>
      <c r="J32" s="20">
        <f t="shared" si="2"/>
        <v>0</v>
      </c>
      <c r="K32" s="20">
        <f t="shared" si="3"/>
        <v>1992.8</v>
      </c>
      <c r="L32" s="141"/>
      <c r="M32" s="15">
        <f>M31+K32-L32</f>
        <v>76956.20799999997</v>
      </c>
      <c r="N32" s="41"/>
      <c r="O32" s="69"/>
    </row>
    <row r="33" spans="1:15">
      <c r="A33" s="46">
        <v>29</v>
      </c>
      <c r="B33" s="201">
        <v>46203</v>
      </c>
      <c r="C33" s="67"/>
      <c r="D33" s="71"/>
      <c r="E33" s="153">
        <v>30</v>
      </c>
      <c r="F33" s="153">
        <v>99.64</v>
      </c>
      <c r="G33" s="140">
        <f t="shared" si="1"/>
        <v>2989.2</v>
      </c>
      <c r="H33" s="153"/>
      <c r="I33" s="154"/>
      <c r="J33" s="20">
        <f t="shared" si="2"/>
        <v>0</v>
      </c>
      <c r="K33" s="20">
        <f t="shared" si="3"/>
        <v>2989.2</v>
      </c>
      <c r="L33" s="141"/>
      <c r="M33" s="15">
        <f>M32+K33-L33</f>
        <v>79945.407999999967</v>
      </c>
      <c r="N33" s="41"/>
      <c r="O33" s="69"/>
    </row>
    <row r="34" spans="1:15">
      <c r="A34" s="46">
        <v>30</v>
      </c>
      <c r="B34" s="201">
        <v>46204</v>
      </c>
      <c r="C34" s="67"/>
      <c r="D34" s="71"/>
      <c r="E34" s="153"/>
      <c r="F34" s="153"/>
      <c r="G34" s="140">
        <f t="shared" si="1"/>
        <v>0</v>
      </c>
      <c r="H34" s="153"/>
      <c r="I34" s="154"/>
      <c r="J34" s="20">
        <f t="shared" si="2"/>
        <v>0</v>
      </c>
      <c r="K34" s="20">
        <f t="shared" si="3"/>
        <v>0</v>
      </c>
      <c r="L34" s="141"/>
      <c r="M34" s="15">
        <f>M33+K34-L34</f>
        <v>79945.407999999967</v>
      </c>
      <c r="N34" s="41"/>
      <c r="O34" s="69"/>
    </row>
    <row r="35" spans="1:15">
      <c r="A35" s="46">
        <v>31</v>
      </c>
      <c r="B35" s="201">
        <v>46205</v>
      </c>
      <c r="C35" s="67"/>
      <c r="D35" s="71"/>
      <c r="E35" s="153"/>
      <c r="F35" s="153"/>
      <c r="G35" s="140">
        <f t="shared" si="1"/>
        <v>0</v>
      </c>
      <c r="H35" s="153"/>
      <c r="I35" s="154"/>
      <c r="J35" s="20">
        <f t="shared" si="2"/>
        <v>0</v>
      </c>
      <c r="K35" s="20">
        <f t="shared" si="3"/>
        <v>0</v>
      </c>
      <c r="L35" s="141"/>
      <c r="M35" s="15">
        <f>M34+K35-L35</f>
        <v>79945.407999999967</v>
      </c>
      <c r="N35" s="41"/>
      <c r="O35" s="69"/>
    </row>
    <row r="36" spans="1:15">
      <c r="A36" s="160"/>
      <c r="B36" s="160"/>
      <c r="C36" s="160"/>
      <c r="D36" s="160"/>
      <c r="E36" s="161">
        <f>SUM(E4:E35)</f>
        <v>920</v>
      </c>
      <c r="F36" s="161"/>
      <c r="G36" s="161">
        <f>SUM(G4:G35)</f>
        <v>91668.800000000032</v>
      </c>
      <c r="H36" s="161">
        <f>SUM(H4:H35)</f>
        <v>61</v>
      </c>
      <c r="I36" s="161"/>
      <c r="J36" s="161">
        <f>SUM(J4:J35)</f>
        <v>6817.9699999999993</v>
      </c>
      <c r="K36" s="161">
        <f>SUM(K4:K35)</f>
        <v>98486.77</v>
      </c>
      <c r="L36" s="161">
        <f>SUM(L4:L35)</f>
        <v>62000</v>
      </c>
      <c r="M36" s="161"/>
      <c r="N36" s="161"/>
      <c r="O36" s="59"/>
    </row>
    <row r="37" spans="1:15">
      <c r="A37" s="72"/>
      <c r="B37" s="73"/>
      <c r="C37" s="72"/>
      <c r="D37" s="72"/>
      <c r="E37" s="74"/>
      <c r="F37" s="74"/>
      <c r="G37" s="74"/>
      <c r="H37" s="74"/>
      <c r="I37" s="74"/>
      <c r="J37" s="75"/>
      <c r="K37" s="75"/>
      <c r="L37" s="75"/>
      <c r="M37" s="75"/>
      <c r="N37" s="74"/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O42" s="69"/>
    </row>
    <row r="43" spans="1:15">
      <c r="A43" s="69"/>
      <c r="B43" s="59"/>
      <c r="C43" s="69"/>
      <c r="D43" s="69"/>
      <c r="E43" s="69"/>
      <c r="F43" s="69"/>
      <c r="G43" s="76"/>
      <c r="H43" s="69"/>
      <c r="I43" s="69"/>
      <c r="J43" s="59"/>
      <c r="K43" s="59"/>
      <c r="L43" s="59"/>
      <c r="M43" s="59"/>
      <c r="N43" s="69"/>
      <c r="O43" s="74"/>
    </row>
    <row r="44" spans="1:15">
      <c r="A44" s="69"/>
      <c r="B44" s="561"/>
      <c r="C44" s="561"/>
      <c r="D44" s="561"/>
      <c r="E44" s="561"/>
      <c r="F44" s="69"/>
      <c r="G44" s="69"/>
      <c r="H44" s="69"/>
      <c r="I44" s="561"/>
      <c r="J44" s="561"/>
      <c r="K44" s="561"/>
      <c r="L44" s="561"/>
      <c r="M44" s="561"/>
      <c r="N44" s="561"/>
      <c r="O44" s="74"/>
    </row>
    <row r="45" spans="1:15">
      <c r="A45" s="69"/>
      <c r="B45" s="59"/>
      <c r="C45" s="69"/>
      <c r="D45" s="69"/>
      <c r="E45" s="69"/>
      <c r="F45" s="69"/>
      <c r="G45" s="69"/>
      <c r="H45" s="69"/>
      <c r="I45" s="69"/>
      <c r="J45" s="59"/>
      <c r="K45" s="59"/>
      <c r="L45" s="59"/>
      <c r="M45" s="59"/>
      <c r="N45" s="69"/>
      <c r="O45" s="74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3"/>
  <sheetViews>
    <sheetView topLeftCell="A19" workbookViewId="0">
      <selection activeCell="E30" sqref="E30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2" bestFit="1" customWidth="1"/>
  </cols>
  <sheetData>
    <row r="1" spans="1:16" ht="15.75">
      <c r="A1" s="564" t="s">
        <v>143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</row>
    <row r="2" spans="1:16" ht="30">
      <c r="A2" s="98" t="s">
        <v>0</v>
      </c>
      <c r="B2" s="99" t="s">
        <v>167</v>
      </c>
      <c r="C2" s="99" t="s">
        <v>168</v>
      </c>
      <c r="D2" s="99" t="s">
        <v>169</v>
      </c>
      <c r="E2" s="99" t="s">
        <v>170</v>
      </c>
      <c r="F2" s="99" t="s">
        <v>171</v>
      </c>
      <c r="G2" s="183" t="s">
        <v>172</v>
      </c>
      <c r="H2" s="99" t="s">
        <v>173</v>
      </c>
      <c r="I2" s="99" t="s">
        <v>171</v>
      </c>
      <c r="J2" s="186" t="s">
        <v>172</v>
      </c>
      <c r="K2" s="100" t="s">
        <v>174</v>
      </c>
      <c r="L2" s="139" t="s">
        <v>175</v>
      </c>
      <c r="M2" s="300" t="s">
        <v>192</v>
      </c>
      <c r="N2" s="101" t="s">
        <v>177</v>
      </c>
    </row>
    <row r="3" spans="1:16">
      <c r="A3" s="155"/>
      <c r="B3" s="17"/>
      <c r="C3" s="17"/>
      <c r="D3" s="220" t="s">
        <v>178</v>
      </c>
      <c r="E3" s="17"/>
      <c r="F3" s="17"/>
      <c r="G3" s="184"/>
      <c r="H3" s="17"/>
      <c r="I3" s="17"/>
      <c r="J3" s="184"/>
      <c r="K3" s="310">
        <v>236297.7207000014</v>
      </c>
      <c r="L3" s="17"/>
      <c r="M3" s="310">
        <v>236297.7207000014</v>
      </c>
      <c r="N3" s="17">
        <v>0</v>
      </c>
      <c r="P3" s="22"/>
    </row>
    <row r="4" spans="1:16">
      <c r="A4" s="196">
        <v>1</v>
      </c>
      <c r="B4" s="219">
        <v>46174</v>
      </c>
      <c r="C4" s="137"/>
      <c r="D4" s="137"/>
      <c r="E4" s="502">
        <v>100</v>
      </c>
      <c r="F4" s="503">
        <v>99.29</v>
      </c>
      <c r="G4" s="253">
        <f t="shared" ref="G4:G38" si="0">E4*F4</f>
        <v>9929</v>
      </c>
      <c r="H4" s="245"/>
      <c r="I4" s="253"/>
      <c r="J4" s="245">
        <f>H4*I4</f>
        <v>0</v>
      </c>
      <c r="K4" s="253">
        <f>G4+J4</f>
        <v>9929</v>
      </c>
      <c r="L4" s="137"/>
      <c r="M4" s="301">
        <f>M3+K4-L4</f>
        <v>246226.7207000014</v>
      </c>
      <c r="N4" s="137"/>
      <c r="O4" s="22"/>
    </row>
    <row r="5" spans="1:16">
      <c r="A5" s="46">
        <v>2</v>
      </c>
      <c r="B5" s="219">
        <v>46175</v>
      </c>
      <c r="C5" s="17"/>
      <c r="D5" s="17"/>
      <c r="E5" s="502">
        <v>100</v>
      </c>
      <c r="F5" s="503">
        <v>99.29</v>
      </c>
      <c r="G5" s="253">
        <f t="shared" ref="G5:G39" si="1">E5*F5</f>
        <v>9929</v>
      </c>
      <c r="H5" s="245"/>
      <c r="I5" s="253"/>
      <c r="J5" s="245">
        <f t="shared" ref="J5:J39" si="2">H5*I5</f>
        <v>0</v>
      </c>
      <c r="K5" s="253">
        <f t="shared" ref="K5:K41" si="3">G5+J5</f>
        <v>9929</v>
      </c>
      <c r="L5" s="137"/>
      <c r="M5" s="301">
        <f t="shared" ref="M5:M41" si="4">M4+K5-L5</f>
        <v>256155.7207000014</v>
      </c>
      <c r="N5" s="17"/>
    </row>
    <row r="6" spans="1:16">
      <c r="A6" s="46">
        <v>3</v>
      </c>
      <c r="B6" s="219">
        <v>46176</v>
      </c>
      <c r="C6" s="17"/>
      <c r="D6" s="17"/>
      <c r="E6" s="245"/>
      <c r="F6" s="295"/>
      <c r="G6" s="253">
        <f t="shared" si="1"/>
        <v>0</v>
      </c>
      <c r="H6" s="245"/>
      <c r="I6" s="253"/>
      <c r="J6" s="245">
        <f t="shared" si="2"/>
        <v>0</v>
      </c>
      <c r="K6" s="253">
        <f t="shared" si="3"/>
        <v>0</v>
      </c>
      <c r="L6" s="137"/>
      <c r="M6" s="301">
        <f t="shared" si="4"/>
        <v>256155.7207000014</v>
      </c>
      <c r="N6" s="17"/>
    </row>
    <row r="7" spans="1:16">
      <c r="A7" s="196">
        <v>4</v>
      </c>
      <c r="B7" s="219">
        <v>46177</v>
      </c>
      <c r="C7" s="17"/>
      <c r="D7" s="17"/>
      <c r="E7" s="245"/>
      <c r="F7" s="295"/>
      <c r="G7" s="253">
        <f t="shared" si="1"/>
        <v>0</v>
      </c>
      <c r="H7" s="245"/>
      <c r="I7" s="253"/>
      <c r="J7" s="245">
        <f t="shared" si="2"/>
        <v>0</v>
      </c>
      <c r="K7" s="253">
        <f t="shared" si="3"/>
        <v>0</v>
      </c>
      <c r="L7" s="137"/>
      <c r="M7" s="301">
        <f t="shared" si="4"/>
        <v>256155.7207000014</v>
      </c>
      <c r="N7" s="17"/>
    </row>
    <row r="8" spans="1:16">
      <c r="A8" s="196">
        <v>5</v>
      </c>
      <c r="B8" s="219">
        <v>46178</v>
      </c>
      <c r="C8" s="17"/>
      <c r="D8" s="17"/>
      <c r="E8" s="245"/>
      <c r="F8" s="295"/>
      <c r="G8" s="253">
        <f t="shared" si="1"/>
        <v>0</v>
      </c>
      <c r="H8" s="245"/>
      <c r="I8" s="253"/>
      <c r="J8" s="245">
        <f t="shared" si="2"/>
        <v>0</v>
      </c>
      <c r="K8" s="253">
        <f t="shared" si="3"/>
        <v>0</v>
      </c>
      <c r="L8" s="137"/>
      <c r="M8" s="301">
        <f t="shared" si="4"/>
        <v>256155.7207000014</v>
      </c>
      <c r="N8" s="17"/>
    </row>
    <row r="9" spans="1:16">
      <c r="A9" s="46">
        <v>6</v>
      </c>
      <c r="B9" s="219">
        <v>46179</v>
      </c>
      <c r="C9" s="17"/>
      <c r="D9" s="17"/>
      <c r="E9" s="245"/>
      <c r="F9" s="295"/>
      <c r="G9" s="253">
        <f t="shared" si="1"/>
        <v>0</v>
      </c>
      <c r="H9" s="245"/>
      <c r="I9" s="253"/>
      <c r="J9" s="245">
        <f t="shared" si="2"/>
        <v>0</v>
      </c>
      <c r="K9" s="253">
        <f t="shared" si="3"/>
        <v>0</v>
      </c>
      <c r="L9" s="137">
        <v>250000</v>
      </c>
      <c r="M9" s="301">
        <f t="shared" si="4"/>
        <v>6155.7207000014023</v>
      </c>
      <c r="N9" s="17"/>
    </row>
    <row r="10" spans="1:16">
      <c r="A10" s="46">
        <v>7</v>
      </c>
      <c r="B10" s="219">
        <v>46180</v>
      </c>
      <c r="C10" s="17"/>
      <c r="D10" s="17"/>
      <c r="E10" s="245">
        <v>50</v>
      </c>
      <c r="F10" s="295">
        <v>99.29</v>
      </c>
      <c r="G10" s="253">
        <f t="shared" si="1"/>
        <v>4964.5</v>
      </c>
      <c r="H10" s="245"/>
      <c r="I10" s="253"/>
      <c r="J10" s="245">
        <f t="shared" si="2"/>
        <v>0</v>
      </c>
      <c r="K10" s="253">
        <f t="shared" si="3"/>
        <v>4964.5</v>
      </c>
      <c r="L10" s="137"/>
      <c r="M10" s="301">
        <f t="shared" si="4"/>
        <v>11120.220700001402</v>
      </c>
      <c r="N10" s="17"/>
    </row>
    <row r="11" spans="1:16">
      <c r="A11" s="196">
        <v>8</v>
      </c>
      <c r="B11" s="219">
        <v>46181</v>
      </c>
      <c r="C11" s="17"/>
      <c r="D11" s="17"/>
      <c r="E11" s="245">
        <v>200</v>
      </c>
      <c r="F11" s="295">
        <v>99.29</v>
      </c>
      <c r="G11" s="253">
        <f t="shared" si="1"/>
        <v>19858</v>
      </c>
      <c r="H11" s="245"/>
      <c r="I11" s="253"/>
      <c r="J11" s="245">
        <f t="shared" si="2"/>
        <v>0</v>
      </c>
      <c r="K11" s="253">
        <f t="shared" si="3"/>
        <v>19858</v>
      </c>
      <c r="L11" s="137"/>
      <c r="M11" s="301">
        <f t="shared" si="4"/>
        <v>30978.220700001402</v>
      </c>
      <c r="N11" s="17"/>
    </row>
    <row r="12" spans="1:16">
      <c r="A12" s="196">
        <v>9</v>
      </c>
      <c r="B12" s="219">
        <v>46182</v>
      </c>
      <c r="C12" s="17"/>
      <c r="D12" s="17"/>
      <c r="E12" s="245">
        <v>100</v>
      </c>
      <c r="F12" s="295">
        <v>99.29</v>
      </c>
      <c r="G12" s="253">
        <f t="shared" si="1"/>
        <v>9929</v>
      </c>
      <c r="H12" s="245"/>
      <c r="I12" s="253"/>
      <c r="J12" s="245">
        <f t="shared" si="2"/>
        <v>0</v>
      </c>
      <c r="K12" s="253">
        <f t="shared" si="3"/>
        <v>9929</v>
      </c>
      <c r="L12" s="137"/>
      <c r="M12" s="301">
        <f t="shared" si="4"/>
        <v>40907.220700001402</v>
      </c>
      <c r="N12" s="17"/>
      <c r="P12" s="22"/>
    </row>
    <row r="13" spans="1:16">
      <c r="A13" s="46">
        <v>10</v>
      </c>
      <c r="B13" s="219">
        <v>46183</v>
      </c>
      <c r="C13" s="17"/>
      <c r="D13" s="17"/>
      <c r="E13" s="245">
        <v>272.52</v>
      </c>
      <c r="F13" s="295">
        <v>99.29</v>
      </c>
      <c r="G13" s="253">
        <f t="shared" si="1"/>
        <v>27058.5108</v>
      </c>
      <c r="H13" s="245">
        <v>5</v>
      </c>
      <c r="I13" s="253">
        <v>111.38</v>
      </c>
      <c r="J13" s="245">
        <f t="shared" si="2"/>
        <v>556.9</v>
      </c>
      <c r="K13" s="253">
        <f t="shared" si="3"/>
        <v>27615.410800000001</v>
      </c>
      <c r="L13" s="137"/>
      <c r="M13" s="301">
        <f t="shared" si="4"/>
        <v>68522.6315000014</v>
      </c>
      <c r="N13" s="17"/>
    </row>
    <row r="14" spans="1:16">
      <c r="A14" s="46">
        <v>11</v>
      </c>
      <c r="B14" s="219">
        <v>46184</v>
      </c>
      <c r="C14" s="17"/>
      <c r="D14" s="17"/>
      <c r="E14" s="245">
        <v>550</v>
      </c>
      <c r="F14" s="295">
        <v>99.29</v>
      </c>
      <c r="G14" s="253">
        <f t="shared" si="1"/>
        <v>54609.5</v>
      </c>
      <c r="H14" s="245"/>
      <c r="I14" s="253"/>
      <c r="J14" s="245">
        <f t="shared" si="2"/>
        <v>0</v>
      </c>
      <c r="K14" s="253">
        <f t="shared" si="3"/>
        <v>54609.5</v>
      </c>
      <c r="L14" s="137"/>
      <c r="M14" s="301">
        <f t="shared" si="4"/>
        <v>123132.1315000014</v>
      </c>
      <c r="N14" s="17"/>
    </row>
    <row r="15" spans="1:16">
      <c r="A15" s="196">
        <v>12</v>
      </c>
      <c r="B15" s="219">
        <v>46185</v>
      </c>
      <c r="C15" s="17"/>
      <c r="D15" s="17"/>
      <c r="E15" s="245">
        <v>186.34</v>
      </c>
      <c r="F15" s="295">
        <v>99.29</v>
      </c>
      <c r="G15" s="253">
        <f t="shared" si="1"/>
        <v>18501.6986</v>
      </c>
      <c r="H15" s="245"/>
      <c r="I15" s="253"/>
      <c r="J15" s="245">
        <f t="shared" si="2"/>
        <v>0</v>
      </c>
      <c r="K15" s="253">
        <f t="shared" si="3"/>
        <v>18501.6986</v>
      </c>
      <c r="L15" s="137"/>
      <c r="M15" s="301">
        <f t="shared" si="4"/>
        <v>141633.83010000139</v>
      </c>
      <c r="N15" s="17"/>
    </row>
    <row r="16" spans="1:16">
      <c r="A16" s="196">
        <v>13</v>
      </c>
      <c r="B16" s="219">
        <v>46186</v>
      </c>
      <c r="C16" s="17"/>
      <c r="D16" s="17"/>
      <c r="E16" s="245">
        <v>300</v>
      </c>
      <c r="F16" s="295">
        <v>99.29</v>
      </c>
      <c r="G16" s="253">
        <f t="shared" si="1"/>
        <v>29787.000000000004</v>
      </c>
      <c r="H16" s="245"/>
      <c r="I16" s="253"/>
      <c r="J16" s="245">
        <f t="shared" si="2"/>
        <v>0</v>
      </c>
      <c r="K16" s="253">
        <f t="shared" si="3"/>
        <v>29787.000000000004</v>
      </c>
      <c r="L16" s="137"/>
      <c r="M16" s="301">
        <f t="shared" si="4"/>
        <v>171420.83010000139</v>
      </c>
      <c r="N16" s="17"/>
    </row>
    <row r="17" spans="1:16">
      <c r="A17" s="46">
        <v>14</v>
      </c>
      <c r="B17" s="219">
        <v>46187</v>
      </c>
      <c r="C17" s="17"/>
      <c r="D17" s="17"/>
      <c r="E17" s="245">
        <v>39</v>
      </c>
      <c r="F17" s="295">
        <v>99.29</v>
      </c>
      <c r="G17" s="253">
        <f t="shared" si="1"/>
        <v>3872.3100000000004</v>
      </c>
      <c r="H17" s="245"/>
      <c r="I17" s="253"/>
      <c r="J17" s="245">
        <f t="shared" si="2"/>
        <v>0</v>
      </c>
      <c r="K17" s="253">
        <f t="shared" si="3"/>
        <v>3872.3100000000004</v>
      </c>
      <c r="L17" s="137"/>
      <c r="M17" s="301">
        <f t="shared" si="4"/>
        <v>175293.14010000139</v>
      </c>
      <c r="N17" s="17"/>
    </row>
    <row r="18" spans="1:16">
      <c r="A18" s="46">
        <v>15</v>
      </c>
      <c r="B18" s="219">
        <v>46188</v>
      </c>
      <c r="C18" s="17"/>
      <c r="D18" s="17"/>
      <c r="E18" s="245">
        <v>293.83</v>
      </c>
      <c r="F18" s="295">
        <v>99.29</v>
      </c>
      <c r="G18" s="253">
        <f t="shared" si="1"/>
        <v>29174.380700000002</v>
      </c>
      <c r="H18" s="245"/>
      <c r="I18" s="253"/>
      <c r="J18" s="245">
        <f t="shared" si="2"/>
        <v>0</v>
      </c>
      <c r="K18" s="253">
        <f t="shared" si="3"/>
        <v>29174.380700000002</v>
      </c>
      <c r="L18" s="137"/>
      <c r="M18" s="301">
        <f t="shared" si="4"/>
        <v>204467.5208000014</v>
      </c>
      <c r="N18" s="17"/>
    </row>
    <row r="19" spans="1:16">
      <c r="A19" s="196">
        <v>16</v>
      </c>
      <c r="B19" s="219">
        <v>46189</v>
      </c>
      <c r="C19" s="17"/>
      <c r="D19" s="17"/>
      <c r="E19" s="245">
        <v>126.01</v>
      </c>
      <c r="F19" s="295">
        <v>99.29</v>
      </c>
      <c r="G19" s="253">
        <f t="shared" si="1"/>
        <v>12511.532900000002</v>
      </c>
      <c r="H19" s="245"/>
      <c r="I19" s="253"/>
      <c r="J19" s="245">
        <f t="shared" si="2"/>
        <v>0</v>
      </c>
      <c r="K19" s="253">
        <f t="shared" si="3"/>
        <v>12511.532900000002</v>
      </c>
      <c r="L19" s="137">
        <v>170000</v>
      </c>
      <c r="M19" s="301">
        <f t="shared" si="4"/>
        <v>46979.053700001386</v>
      </c>
      <c r="N19" s="17"/>
      <c r="P19" s="264"/>
    </row>
    <row r="20" spans="1:16">
      <c r="A20" s="196">
        <v>17</v>
      </c>
      <c r="B20" s="219">
        <v>46190</v>
      </c>
      <c r="C20" s="17"/>
      <c r="D20" s="17"/>
      <c r="E20" s="245">
        <v>450</v>
      </c>
      <c r="F20" s="295">
        <v>99.29</v>
      </c>
      <c r="G20" s="253">
        <f t="shared" si="1"/>
        <v>44680.5</v>
      </c>
      <c r="H20" s="245"/>
      <c r="I20" s="253"/>
      <c r="J20" s="245">
        <f t="shared" si="2"/>
        <v>0</v>
      </c>
      <c r="K20" s="253">
        <f t="shared" si="3"/>
        <v>44680.5</v>
      </c>
      <c r="L20" s="137"/>
      <c r="M20" s="301">
        <f t="shared" si="4"/>
        <v>91659.553700001386</v>
      </c>
      <c r="N20" s="17"/>
    </row>
    <row r="21" spans="1:16">
      <c r="A21" s="46">
        <v>18</v>
      </c>
      <c r="B21" s="219">
        <v>46191</v>
      </c>
      <c r="C21" s="17"/>
      <c r="D21" s="17"/>
      <c r="E21" s="245">
        <v>646.15</v>
      </c>
      <c r="F21" s="295">
        <v>99.29</v>
      </c>
      <c r="G21" s="253">
        <f t="shared" si="1"/>
        <v>64156.233500000002</v>
      </c>
      <c r="H21" s="245"/>
      <c r="I21" s="253"/>
      <c r="J21" s="245">
        <f t="shared" si="2"/>
        <v>0</v>
      </c>
      <c r="K21" s="253">
        <f t="shared" si="3"/>
        <v>64156.233500000002</v>
      </c>
      <c r="L21" s="137"/>
      <c r="M21" s="301">
        <f>M20+K21-L21</f>
        <v>155815.78720000139</v>
      </c>
      <c r="N21" s="17"/>
      <c r="P21" s="22"/>
    </row>
    <row r="22" spans="1:16">
      <c r="A22" s="46">
        <v>19</v>
      </c>
      <c r="B22" s="219">
        <v>46192</v>
      </c>
      <c r="C22" s="17"/>
      <c r="D22" s="17"/>
      <c r="E22" s="245">
        <v>50</v>
      </c>
      <c r="F22" s="295">
        <v>99.29</v>
      </c>
      <c r="G22" s="253">
        <f t="shared" si="1"/>
        <v>4964.5</v>
      </c>
      <c r="H22" s="245"/>
      <c r="I22" s="253"/>
      <c r="J22" s="245">
        <f t="shared" si="2"/>
        <v>0</v>
      </c>
      <c r="K22" s="253">
        <f t="shared" si="3"/>
        <v>4964.5</v>
      </c>
      <c r="L22" s="137"/>
      <c r="M22" s="301">
        <f t="shared" si="4"/>
        <v>160780.28720000139</v>
      </c>
      <c r="N22" s="17"/>
    </row>
    <row r="23" spans="1:16">
      <c r="A23" s="196">
        <v>20</v>
      </c>
      <c r="B23" s="219">
        <v>46193</v>
      </c>
      <c r="C23" s="17"/>
      <c r="D23" s="17"/>
      <c r="E23" s="245">
        <v>100</v>
      </c>
      <c r="F23" s="295">
        <v>99.29</v>
      </c>
      <c r="G23" s="253">
        <f t="shared" si="1"/>
        <v>9929</v>
      </c>
      <c r="H23" s="245"/>
      <c r="I23" s="253"/>
      <c r="J23" s="245">
        <f t="shared" si="2"/>
        <v>0</v>
      </c>
      <c r="K23" s="253">
        <f t="shared" si="3"/>
        <v>9929</v>
      </c>
      <c r="L23" s="137"/>
      <c r="M23" s="301">
        <f t="shared" si="4"/>
        <v>170709.28720000139</v>
      </c>
      <c r="N23" s="17"/>
    </row>
    <row r="24" spans="1:16">
      <c r="A24" s="196">
        <v>21</v>
      </c>
      <c r="B24" s="219">
        <v>46194</v>
      </c>
      <c r="C24" s="17"/>
      <c r="D24" s="17"/>
      <c r="E24" s="245"/>
      <c r="F24" s="295"/>
      <c r="G24" s="253">
        <f t="shared" si="1"/>
        <v>0</v>
      </c>
      <c r="H24" s="245"/>
      <c r="I24" s="253"/>
      <c r="J24" s="245">
        <f t="shared" si="2"/>
        <v>0</v>
      </c>
      <c r="K24" s="253">
        <f t="shared" si="3"/>
        <v>0</v>
      </c>
      <c r="L24" s="137"/>
      <c r="M24" s="301">
        <f t="shared" si="4"/>
        <v>170709.28720000139</v>
      </c>
      <c r="N24" s="17"/>
    </row>
    <row r="25" spans="1:16">
      <c r="A25" s="46">
        <v>22</v>
      </c>
      <c r="B25" s="219">
        <v>46195</v>
      </c>
      <c r="C25" s="17"/>
      <c r="D25" s="17"/>
      <c r="E25" s="245"/>
      <c r="F25" s="295"/>
      <c r="G25" s="253">
        <f t="shared" si="1"/>
        <v>0</v>
      </c>
      <c r="H25" s="245"/>
      <c r="I25" s="253"/>
      <c r="J25" s="245">
        <f>H25*I25</f>
        <v>0</v>
      </c>
      <c r="K25" s="253">
        <f t="shared" si="3"/>
        <v>0</v>
      </c>
      <c r="L25" s="137"/>
      <c r="M25" s="301">
        <f t="shared" si="4"/>
        <v>170709.28720000139</v>
      </c>
      <c r="N25" s="17"/>
      <c r="P25" s="22"/>
    </row>
    <row r="26" spans="1:16">
      <c r="A26" s="46">
        <v>23</v>
      </c>
      <c r="B26" s="219">
        <v>46196</v>
      </c>
      <c r="C26" s="17"/>
      <c r="D26" s="17"/>
      <c r="E26" s="245">
        <v>600</v>
      </c>
      <c r="F26" s="295">
        <v>99.29</v>
      </c>
      <c r="G26" s="253">
        <f t="shared" si="1"/>
        <v>59574.000000000007</v>
      </c>
      <c r="H26" s="245">
        <v>10</v>
      </c>
      <c r="I26" s="253">
        <v>111.38</v>
      </c>
      <c r="J26" s="245">
        <f t="shared" si="2"/>
        <v>1113.8</v>
      </c>
      <c r="K26" s="253">
        <f t="shared" si="3"/>
        <v>60687.80000000001</v>
      </c>
      <c r="L26" s="137"/>
      <c r="M26" s="301">
        <f t="shared" si="4"/>
        <v>231397.08720000141</v>
      </c>
      <c r="N26" s="17"/>
    </row>
    <row r="27" spans="1:16">
      <c r="A27" s="196">
        <v>24</v>
      </c>
      <c r="B27" s="219">
        <v>46197</v>
      </c>
      <c r="C27" s="17"/>
      <c r="D27" s="17"/>
      <c r="E27" s="245">
        <v>50</v>
      </c>
      <c r="F27" s="295">
        <v>99.29</v>
      </c>
      <c r="G27" s="253">
        <f t="shared" si="1"/>
        <v>4964.5</v>
      </c>
      <c r="H27" s="245">
        <v>5</v>
      </c>
      <c r="I27" s="253">
        <v>111.38</v>
      </c>
      <c r="J27" s="245">
        <f t="shared" si="2"/>
        <v>556.9</v>
      </c>
      <c r="K27" s="253">
        <f t="shared" si="3"/>
        <v>5521.4</v>
      </c>
      <c r="L27" s="137"/>
      <c r="M27" s="301">
        <f t="shared" si="4"/>
        <v>236918.4872000014</v>
      </c>
      <c r="N27" s="17"/>
    </row>
    <row r="28" spans="1:16">
      <c r="A28" s="196">
        <v>25</v>
      </c>
      <c r="B28" s="219">
        <v>46198</v>
      </c>
      <c r="C28" s="17"/>
      <c r="D28" s="17"/>
      <c r="E28" s="245">
        <v>434.93</v>
      </c>
      <c r="F28" s="295">
        <v>99.29</v>
      </c>
      <c r="G28" s="253">
        <f t="shared" si="1"/>
        <v>43184.199700000005</v>
      </c>
      <c r="H28" s="245"/>
      <c r="I28" s="253"/>
      <c r="J28" s="245">
        <f t="shared" si="2"/>
        <v>0</v>
      </c>
      <c r="K28" s="253">
        <f t="shared" si="3"/>
        <v>43184.199700000005</v>
      </c>
      <c r="L28" s="137">
        <v>200000</v>
      </c>
      <c r="M28" s="301">
        <f t="shared" si="4"/>
        <v>80102.686900001427</v>
      </c>
      <c r="N28" s="17"/>
    </row>
    <row r="29" spans="1:16">
      <c r="A29" s="46">
        <v>26</v>
      </c>
      <c r="B29" s="219">
        <v>46199</v>
      </c>
      <c r="C29" s="17"/>
      <c r="D29" s="17"/>
      <c r="E29" s="245">
        <v>146.66</v>
      </c>
      <c r="F29" s="295">
        <v>99.29</v>
      </c>
      <c r="G29" s="253">
        <f t="shared" si="1"/>
        <v>14561.8714</v>
      </c>
      <c r="H29" s="245">
        <v>5</v>
      </c>
      <c r="I29" s="253">
        <v>111.38</v>
      </c>
      <c r="J29" s="245">
        <f t="shared" si="2"/>
        <v>556.9</v>
      </c>
      <c r="K29" s="253">
        <f t="shared" si="3"/>
        <v>15118.7714</v>
      </c>
      <c r="L29" s="137"/>
      <c r="M29" s="301">
        <f t="shared" si="4"/>
        <v>95221.458300001425</v>
      </c>
      <c r="N29" s="17"/>
    </row>
    <row r="30" spans="1:16">
      <c r="A30" s="46">
        <v>27</v>
      </c>
      <c r="B30" s="219">
        <v>46200</v>
      </c>
      <c r="C30" s="17"/>
      <c r="D30" s="17"/>
      <c r="E30" s="245">
        <v>500</v>
      </c>
      <c r="F30" s="295">
        <v>99.29</v>
      </c>
      <c r="G30" s="253">
        <f t="shared" si="1"/>
        <v>49645</v>
      </c>
      <c r="H30" s="245"/>
      <c r="I30" s="253"/>
      <c r="J30" s="245">
        <f t="shared" si="2"/>
        <v>0</v>
      </c>
      <c r="K30" s="253">
        <f t="shared" si="3"/>
        <v>49645</v>
      </c>
      <c r="L30" s="137"/>
      <c r="M30" s="301">
        <f t="shared" si="4"/>
        <v>144866.45830000142</v>
      </c>
      <c r="N30" s="17"/>
      <c r="P30" s="22"/>
    </row>
    <row r="31" spans="1:16">
      <c r="A31" s="196">
        <v>28</v>
      </c>
      <c r="B31" s="219">
        <v>46201</v>
      </c>
      <c r="C31" s="17"/>
      <c r="D31" s="17"/>
      <c r="E31" s="245"/>
      <c r="F31" s="295"/>
      <c r="G31" s="253">
        <f t="shared" si="1"/>
        <v>0</v>
      </c>
      <c r="H31" s="245"/>
      <c r="I31" s="253"/>
      <c r="J31" s="245">
        <f t="shared" si="2"/>
        <v>0</v>
      </c>
      <c r="K31" s="253">
        <f t="shared" si="3"/>
        <v>0</v>
      </c>
      <c r="L31" s="137"/>
      <c r="M31" s="301">
        <f t="shared" si="4"/>
        <v>144866.45830000142</v>
      </c>
      <c r="N31" s="17"/>
    </row>
    <row r="32" spans="1:16">
      <c r="A32" s="196">
        <v>29</v>
      </c>
      <c r="B32" s="219">
        <v>46202</v>
      </c>
      <c r="C32" s="17"/>
      <c r="D32" s="17"/>
      <c r="E32" s="245"/>
      <c r="F32" s="295"/>
      <c r="G32" s="253">
        <f t="shared" si="1"/>
        <v>0</v>
      </c>
      <c r="H32" s="245"/>
      <c r="I32" s="253"/>
      <c r="J32" s="245">
        <f t="shared" si="2"/>
        <v>0</v>
      </c>
      <c r="K32" s="253">
        <f t="shared" si="3"/>
        <v>0</v>
      </c>
      <c r="L32" s="137"/>
      <c r="M32" s="301">
        <f t="shared" si="4"/>
        <v>144866.45830000142</v>
      </c>
      <c r="N32" s="17"/>
    </row>
    <row r="33" spans="1:16">
      <c r="A33" s="46">
        <v>30</v>
      </c>
      <c r="B33" s="219">
        <v>46203</v>
      </c>
      <c r="C33" s="94"/>
      <c r="D33" s="94"/>
      <c r="E33" s="245"/>
      <c r="F33" s="295"/>
      <c r="G33" s="253">
        <f t="shared" si="1"/>
        <v>0</v>
      </c>
      <c r="H33" s="245"/>
      <c r="I33" s="253"/>
      <c r="J33" s="245">
        <f t="shared" si="2"/>
        <v>0</v>
      </c>
      <c r="K33" s="253">
        <f t="shared" si="3"/>
        <v>0</v>
      </c>
      <c r="L33" s="137"/>
      <c r="M33" s="301">
        <f t="shared" si="4"/>
        <v>144866.45830000142</v>
      </c>
      <c r="N33" s="94"/>
    </row>
    <row r="34" spans="1:16">
      <c r="A34" s="46">
        <v>31</v>
      </c>
      <c r="B34" s="219">
        <v>46204</v>
      </c>
      <c r="C34" s="17"/>
      <c r="D34" s="17"/>
      <c r="E34" s="245"/>
      <c r="F34" s="295"/>
      <c r="G34" s="253">
        <f t="shared" si="1"/>
        <v>0</v>
      </c>
      <c r="H34" s="245"/>
      <c r="I34" s="253"/>
      <c r="J34" s="245">
        <f t="shared" si="2"/>
        <v>0</v>
      </c>
      <c r="K34" s="253">
        <f t="shared" si="3"/>
        <v>0</v>
      </c>
      <c r="L34" s="137"/>
      <c r="M34" s="301">
        <f t="shared" si="4"/>
        <v>144866.45830000142</v>
      </c>
      <c r="N34" s="17"/>
    </row>
    <row r="35" spans="1:16">
      <c r="A35" s="196">
        <v>32</v>
      </c>
      <c r="B35" s="219">
        <v>46205</v>
      </c>
      <c r="C35" s="17"/>
      <c r="D35" s="17"/>
      <c r="E35" s="245"/>
      <c r="F35" s="295"/>
      <c r="G35" s="253">
        <f t="shared" si="1"/>
        <v>0</v>
      </c>
      <c r="H35" s="245"/>
      <c r="I35" s="253"/>
      <c r="J35" s="245">
        <f t="shared" si="2"/>
        <v>0</v>
      </c>
      <c r="K35" s="253">
        <f t="shared" si="3"/>
        <v>0</v>
      </c>
      <c r="L35" s="137"/>
      <c r="M35" s="301">
        <f t="shared" si="4"/>
        <v>144866.45830000142</v>
      </c>
      <c r="N35" s="17"/>
    </row>
    <row r="36" spans="1:16">
      <c r="A36" s="196">
        <v>33</v>
      </c>
      <c r="B36" s="219"/>
      <c r="C36" s="17"/>
      <c r="D36" s="17"/>
      <c r="E36" s="245"/>
      <c r="F36" s="295"/>
      <c r="G36" s="253">
        <f t="shared" si="1"/>
        <v>0</v>
      </c>
      <c r="H36" s="245"/>
      <c r="I36" s="253"/>
      <c r="J36" s="245">
        <f t="shared" si="2"/>
        <v>0</v>
      </c>
      <c r="K36" s="253">
        <f t="shared" si="3"/>
        <v>0</v>
      </c>
      <c r="L36" s="137"/>
      <c r="M36" s="301">
        <f t="shared" si="4"/>
        <v>144866.45830000142</v>
      </c>
      <c r="N36" s="17"/>
    </row>
    <row r="37" spans="1:16">
      <c r="A37" s="46">
        <v>34</v>
      </c>
      <c r="B37" s="219"/>
      <c r="C37" s="17"/>
      <c r="D37" s="17"/>
      <c r="E37" s="245"/>
      <c r="F37" s="295"/>
      <c r="G37" s="253">
        <f t="shared" si="1"/>
        <v>0</v>
      </c>
      <c r="H37" s="245"/>
      <c r="I37" s="253"/>
      <c r="J37" s="245">
        <f t="shared" si="2"/>
        <v>0</v>
      </c>
      <c r="K37" s="253">
        <f t="shared" si="3"/>
        <v>0</v>
      </c>
      <c r="L37" s="137"/>
      <c r="M37" s="301">
        <f t="shared" si="4"/>
        <v>144866.45830000142</v>
      </c>
      <c r="N37" s="17"/>
    </row>
    <row r="38" spans="1:16">
      <c r="A38" s="46">
        <v>35</v>
      </c>
      <c r="B38" s="219"/>
      <c r="C38" s="17"/>
      <c r="D38" s="17"/>
      <c r="E38" s="245"/>
      <c r="F38" s="295"/>
      <c r="G38" s="253">
        <f t="shared" si="1"/>
        <v>0</v>
      </c>
      <c r="H38" s="245"/>
      <c r="I38" s="253"/>
      <c r="J38" s="245">
        <f t="shared" si="2"/>
        <v>0</v>
      </c>
      <c r="K38" s="253">
        <f t="shared" si="3"/>
        <v>0</v>
      </c>
      <c r="L38" s="137"/>
      <c r="M38" s="301">
        <f t="shared" si="4"/>
        <v>144866.45830000142</v>
      </c>
      <c r="N38" s="17"/>
    </row>
    <row r="39" spans="1:16">
      <c r="A39" s="196">
        <v>36</v>
      </c>
      <c r="B39" s="219"/>
      <c r="C39" s="17"/>
      <c r="D39" s="17"/>
      <c r="E39" s="245"/>
      <c r="F39" s="295"/>
      <c r="G39" s="253">
        <f t="shared" si="1"/>
        <v>0</v>
      </c>
      <c r="H39" s="245"/>
      <c r="I39" s="253"/>
      <c r="J39" s="245">
        <f t="shared" si="2"/>
        <v>0</v>
      </c>
      <c r="K39" s="253">
        <f t="shared" si="3"/>
        <v>0</v>
      </c>
      <c r="L39" s="137"/>
      <c r="M39" s="301">
        <f t="shared" si="4"/>
        <v>144866.45830000142</v>
      </c>
      <c r="N39" s="94"/>
    </row>
    <row r="40" spans="1:16">
      <c r="A40" s="196">
        <v>37</v>
      </c>
      <c r="B40" s="219"/>
      <c r="C40" s="17"/>
      <c r="D40" s="17"/>
      <c r="E40" s="245"/>
      <c r="F40" s="245"/>
      <c r="G40" s="253">
        <f t="shared" ref="G5:G41" si="5">E40*F40</f>
        <v>0</v>
      </c>
      <c r="H40" s="245"/>
      <c r="I40" s="245"/>
      <c r="J40" s="245">
        <f t="shared" ref="J5:J41" si="6">H40*I40</f>
        <v>0</v>
      </c>
      <c r="K40" s="253">
        <f t="shared" si="3"/>
        <v>0</v>
      </c>
      <c r="L40" s="137"/>
      <c r="M40" s="301">
        <f t="shared" si="4"/>
        <v>144866.45830000142</v>
      </c>
      <c r="N40" s="17"/>
      <c r="P40" s="22"/>
    </row>
    <row r="41" spans="1:16">
      <c r="A41" s="45"/>
      <c r="B41" s="219"/>
      <c r="C41" s="17"/>
      <c r="D41" s="17"/>
      <c r="E41" s="245">
        <v>0</v>
      </c>
      <c r="F41" s="245">
        <v>0</v>
      </c>
      <c r="G41" s="253">
        <f t="shared" si="5"/>
        <v>0</v>
      </c>
      <c r="H41" s="245"/>
      <c r="I41" s="245"/>
      <c r="J41" s="245">
        <f t="shared" si="6"/>
        <v>0</v>
      </c>
      <c r="K41" s="253">
        <f t="shared" si="3"/>
        <v>0</v>
      </c>
      <c r="L41" s="137"/>
      <c r="M41" s="301">
        <f t="shared" si="4"/>
        <v>144866.45830000142</v>
      </c>
      <c r="N41" s="17"/>
      <c r="O41" s="22"/>
      <c r="P41" s="22"/>
    </row>
    <row r="42" spans="1:16">
      <c r="A42" s="181"/>
      <c r="B42" s="181"/>
      <c r="C42" s="181"/>
      <c r="D42" s="181"/>
      <c r="E42" s="181">
        <f>SUM(E4:E39)</f>
        <v>5295.4400000000005</v>
      </c>
      <c r="F42" s="181"/>
      <c r="G42" s="181">
        <f>SUM(G4:G39)</f>
        <v>525784.23759999988</v>
      </c>
      <c r="H42" s="181">
        <f>SUM(H4:H39)</f>
        <v>25</v>
      </c>
      <c r="I42" s="181"/>
      <c r="J42" s="181">
        <f>SUM(J4:J39)</f>
        <v>2784.5</v>
      </c>
      <c r="K42" s="181">
        <f>SUM(K4:K39)</f>
        <v>528568.73759999999</v>
      </c>
      <c r="L42" s="181">
        <f>SUM(L4:L39)</f>
        <v>620000</v>
      </c>
      <c r="M42" s="181"/>
      <c r="N42" s="181"/>
    </row>
    <row r="43" spans="1:16">
      <c r="P43" s="22"/>
    </row>
  </sheetData>
  <mergeCells count="1">
    <mergeCell ref="A1:N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workbookViewId="0">
      <selection activeCell="E33" sqref="E33"/>
    </sheetView>
  </sheetViews>
  <sheetFormatPr defaultRowHeight="15"/>
  <cols>
    <col min="2" max="2" width="10.5703125" bestFit="1" customWidth="1"/>
    <col min="5" max="5" width="9.710937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6" ht="15.75">
      <c r="A1" s="594" t="s">
        <v>366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6"/>
    </row>
    <row r="2" spans="1:16" ht="45" customHeight="1">
      <c r="A2" s="124" t="s">
        <v>0</v>
      </c>
      <c r="B2" s="213" t="s">
        <v>167</v>
      </c>
      <c r="C2" s="213" t="s">
        <v>168</v>
      </c>
      <c r="D2" s="213" t="s">
        <v>191</v>
      </c>
      <c r="E2" s="213" t="s">
        <v>170</v>
      </c>
      <c r="F2" s="213" t="s">
        <v>171</v>
      </c>
      <c r="G2" s="213" t="s">
        <v>172</v>
      </c>
      <c r="H2" s="213" t="s">
        <v>173</v>
      </c>
      <c r="I2" s="213" t="s">
        <v>171</v>
      </c>
      <c r="J2" s="213" t="s">
        <v>172</v>
      </c>
      <c r="K2" s="175" t="s">
        <v>174</v>
      </c>
      <c r="L2" s="175" t="s">
        <v>175</v>
      </c>
      <c r="M2" s="175" t="s">
        <v>192</v>
      </c>
      <c r="N2" s="213" t="s">
        <v>177</v>
      </c>
    </row>
    <row r="3" spans="1:16">
      <c r="A3" s="597" t="s">
        <v>178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9"/>
      <c r="M3" s="597">
        <v>227226.53389999995</v>
      </c>
      <c r="N3" s="599"/>
    </row>
    <row r="4" spans="1:16">
      <c r="A4" s="196">
        <v>1</v>
      </c>
      <c r="B4" s="219">
        <v>46174</v>
      </c>
      <c r="C4" s="40"/>
      <c r="D4" s="40"/>
      <c r="E4" s="266"/>
      <c r="F4" s="295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/>
      <c r="M4" s="40">
        <f>M3+K4-L4</f>
        <v>227226.53389999995</v>
      </c>
      <c r="N4" s="40"/>
    </row>
    <row r="5" spans="1:16">
      <c r="A5" s="46">
        <v>2</v>
      </c>
      <c r="B5" s="219">
        <v>46175</v>
      </c>
      <c r="C5" s="40"/>
      <c r="D5" s="40"/>
      <c r="E5" s="266"/>
      <c r="F5" s="295"/>
      <c r="G5" s="40">
        <f t="shared" ref="G5:G34" si="0">E5*F5</f>
        <v>0</v>
      </c>
      <c r="H5" s="40"/>
      <c r="I5" s="40"/>
      <c r="J5" s="40">
        <f t="shared" ref="J5:J34" si="1">H5*I5</f>
        <v>0</v>
      </c>
      <c r="K5" s="40">
        <f t="shared" ref="K5:K34" si="2">G5+J5</f>
        <v>0</v>
      </c>
      <c r="L5" s="40"/>
      <c r="M5" s="40">
        <f t="shared" ref="M5:M34" si="3">M4+K5-L5</f>
        <v>227226.53389999995</v>
      </c>
      <c r="N5" s="40"/>
    </row>
    <row r="6" spans="1:16">
      <c r="A6" s="46">
        <v>3</v>
      </c>
      <c r="B6" s="219">
        <v>46176</v>
      </c>
      <c r="C6" s="40"/>
      <c r="D6" s="40"/>
      <c r="E6" s="266"/>
      <c r="F6" s="295"/>
      <c r="G6" s="40">
        <f t="shared" si="0"/>
        <v>0</v>
      </c>
      <c r="H6" s="40"/>
      <c r="I6" s="40"/>
      <c r="J6" s="40">
        <f t="shared" si="1"/>
        <v>0</v>
      </c>
      <c r="K6" s="40">
        <f t="shared" si="2"/>
        <v>0</v>
      </c>
      <c r="L6" s="40"/>
      <c r="M6" s="40">
        <f t="shared" si="3"/>
        <v>227226.53389999995</v>
      </c>
      <c r="N6" s="40"/>
    </row>
    <row r="7" spans="1:16">
      <c r="A7" s="46">
        <v>4</v>
      </c>
      <c r="B7" s="219">
        <v>46177</v>
      </c>
      <c r="C7" s="40"/>
      <c r="D7" s="40"/>
      <c r="E7" s="266"/>
      <c r="F7" s="295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/>
      <c r="M7" s="40">
        <f t="shared" si="3"/>
        <v>227226.53389999995</v>
      </c>
      <c r="N7" s="40" t="s">
        <v>183</v>
      </c>
    </row>
    <row r="8" spans="1:16">
      <c r="A8" s="46">
        <v>5</v>
      </c>
      <c r="B8" s="219">
        <v>46178</v>
      </c>
      <c r="C8" s="40"/>
      <c r="D8" s="40"/>
      <c r="E8" s="266"/>
      <c r="F8" s="295"/>
      <c r="G8" s="40">
        <f t="shared" si="0"/>
        <v>0</v>
      </c>
      <c r="H8" s="40"/>
      <c r="I8" s="40"/>
      <c r="J8" s="40">
        <f t="shared" si="1"/>
        <v>0</v>
      </c>
      <c r="K8" s="40">
        <f t="shared" si="2"/>
        <v>0</v>
      </c>
      <c r="L8" s="40"/>
      <c r="M8" s="40">
        <f t="shared" si="3"/>
        <v>227226.53389999995</v>
      </c>
      <c r="N8" s="40"/>
    </row>
    <row r="9" spans="1:16">
      <c r="A9" s="46">
        <v>6</v>
      </c>
      <c r="B9" s="219">
        <v>46179</v>
      </c>
      <c r="C9" s="40"/>
      <c r="D9" s="40"/>
      <c r="E9" s="266"/>
      <c r="F9" s="295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>
        <v>227000</v>
      </c>
      <c r="M9" s="40">
        <f t="shared" si="3"/>
        <v>226.53389999995125</v>
      </c>
      <c r="N9" s="40"/>
    </row>
    <row r="10" spans="1:16">
      <c r="A10" s="46">
        <v>7</v>
      </c>
      <c r="B10" s="219">
        <v>46180</v>
      </c>
      <c r="C10" s="40"/>
      <c r="D10" s="40"/>
      <c r="E10" s="266"/>
      <c r="F10" s="295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40">
        <f t="shared" si="3"/>
        <v>226.53389999995125</v>
      </c>
      <c r="N10" s="40"/>
    </row>
    <row r="11" spans="1:16">
      <c r="A11" s="46">
        <v>8</v>
      </c>
      <c r="B11" s="219">
        <v>46181</v>
      </c>
      <c r="C11" s="40"/>
      <c r="D11" s="40"/>
      <c r="E11" s="266"/>
      <c r="F11" s="295"/>
      <c r="G11" s="40">
        <f t="shared" si="0"/>
        <v>0</v>
      </c>
      <c r="H11" s="40">
        <v>10</v>
      </c>
      <c r="I11" s="40">
        <v>111.21</v>
      </c>
      <c r="J11" s="40">
        <f t="shared" si="1"/>
        <v>1112.0999999999999</v>
      </c>
      <c r="K11" s="40">
        <f t="shared" si="2"/>
        <v>1112.0999999999999</v>
      </c>
      <c r="L11" s="40"/>
      <c r="M11" s="40">
        <f t="shared" si="3"/>
        <v>1338.6338999999512</v>
      </c>
      <c r="N11" s="40"/>
      <c r="P11" s="22"/>
    </row>
    <row r="12" spans="1:16">
      <c r="A12" s="46">
        <v>9</v>
      </c>
      <c r="B12" s="219">
        <v>46182</v>
      </c>
      <c r="C12" s="40"/>
      <c r="D12" s="40"/>
      <c r="E12" s="266"/>
      <c r="F12" s="295"/>
      <c r="G12" s="40">
        <f t="shared" si="0"/>
        <v>0</v>
      </c>
      <c r="H12" s="40">
        <v>5</v>
      </c>
      <c r="I12" s="40">
        <v>111.21</v>
      </c>
      <c r="J12" s="40">
        <f t="shared" si="1"/>
        <v>556.04999999999995</v>
      </c>
      <c r="K12" s="40">
        <f t="shared" si="2"/>
        <v>556.04999999999995</v>
      </c>
      <c r="L12" s="40"/>
      <c r="M12" s="40">
        <f t="shared" si="3"/>
        <v>1894.6838999999511</v>
      </c>
      <c r="N12" s="40"/>
    </row>
    <row r="13" spans="1:16">
      <c r="A13" s="46">
        <v>10</v>
      </c>
      <c r="B13" s="219">
        <v>46183</v>
      </c>
      <c r="C13" s="40"/>
      <c r="D13" s="40"/>
      <c r="E13" s="266">
        <v>42.12</v>
      </c>
      <c r="F13" s="295">
        <v>99.13</v>
      </c>
      <c r="G13" s="40">
        <f t="shared" si="0"/>
        <v>4175.3555999999999</v>
      </c>
      <c r="H13" s="40"/>
      <c r="I13" s="40"/>
      <c r="J13" s="40">
        <f t="shared" si="1"/>
        <v>0</v>
      </c>
      <c r="K13" s="40">
        <f t="shared" si="2"/>
        <v>4175.3555999999999</v>
      </c>
      <c r="L13" s="40"/>
      <c r="M13" s="40">
        <f t="shared" si="3"/>
        <v>6070.0394999999507</v>
      </c>
      <c r="N13" s="40"/>
    </row>
    <row r="14" spans="1:16">
      <c r="A14" s="46">
        <v>11</v>
      </c>
      <c r="B14" s="219">
        <v>46184</v>
      </c>
      <c r="C14" s="40"/>
      <c r="D14" s="40"/>
      <c r="E14" s="266"/>
      <c r="F14" s="295"/>
      <c r="G14" s="40">
        <f t="shared" si="0"/>
        <v>0</v>
      </c>
      <c r="H14" s="40">
        <v>5</v>
      </c>
      <c r="I14" s="40">
        <v>111.21</v>
      </c>
      <c r="J14" s="40">
        <f t="shared" si="1"/>
        <v>556.04999999999995</v>
      </c>
      <c r="K14" s="40">
        <f t="shared" si="2"/>
        <v>556.04999999999995</v>
      </c>
      <c r="L14" s="40"/>
      <c r="M14" s="40">
        <f t="shared" si="3"/>
        <v>6626.0894999999509</v>
      </c>
      <c r="N14" s="40"/>
    </row>
    <row r="15" spans="1:16">
      <c r="A15" s="46">
        <v>12</v>
      </c>
      <c r="B15" s="219">
        <v>46185</v>
      </c>
      <c r="C15" s="40"/>
      <c r="D15" s="40"/>
      <c r="E15" s="266"/>
      <c r="F15" s="295"/>
      <c r="G15" s="40">
        <f t="shared" si="0"/>
        <v>0</v>
      </c>
      <c r="H15" s="40">
        <v>5</v>
      </c>
      <c r="I15" s="40">
        <v>111.21</v>
      </c>
      <c r="J15" s="40">
        <f t="shared" si="1"/>
        <v>556.04999999999995</v>
      </c>
      <c r="K15" s="40">
        <f t="shared" ref="K15:K25" si="4">G15+J15</f>
        <v>556.04999999999995</v>
      </c>
      <c r="L15" s="40"/>
      <c r="M15" s="40">
        <f t="shared" si="3"/>
        <v>7182.1394999999511</v>
      </c>
      <c r="N15" s="40"/>
    </row>
    <row r="16" spans="1:16">
      <c r="A16" s="46">
        <v>13</v>
      </c>
      <c r="B16" s="219">
        <v>46186</v>
      </c>
      <c r="C16" s="40"/>
      <c r="D16" s="40"/>
      <c r="E16" s="266"/>
      <c r="F16" s="295"/>
      <c r="G16" s="40">
        <f t="shared" si="0"/>
        <v>0</v>
      </c>
      <c r="H16" s="393"/>
      <c r="I16" s="40"/>
      <c r="J16" s="40">
        <f t="shared" si="1"/>
        <v>0</v>
      </c>
      <c r="K16" s="40">
        <f t="shared" si="4"/>
        <v>0</v>
      </c>
      <c r="L16" s="40"/>
      <c r="M16" s="40">
        <f>M15+K16-L16</f>
        <v>7182.1394999999511</v>
      </c>
      <c r="N16" s="40"/>
    </row>
    <row r="17" spans="1:14">
      <c r="A17" s="46">
        <v>14</v>
      </c>
      <c r="B17" s="219">
        <v>46187</v>
      </c>
      <c r="C17" s="40"/>
      <c r="D17" s="40"/>
      <c r="E17" s="266"/>
      <c r="F17" s="295"/>
      <c r="G17" s="40">
        <f t="shared" si="0"/>
        <v>0</v>
      </c>
      <c r="H17" s="40"/>
      <c r="I17" s="40"/>
      <c r="J17" s="40">
        <f t="shared" si="1"/>
        <v>0</v>
      </c>
      <c r="K17" s="40">
        <f t="shared" si="4"/>
        <v>0</v>
      </c>
      <c r="L17" s="40"/>
      <c r="M17" s="40">
        <f t="shared" si="3"/>
        <v>7182.1394999999511</v>
      </c>
      <c r="N17" s="40"/>
    </row>
    <row r="18" spans="1:14">
      <c r="A18" s="46">
        <v>15</v>
      </c>
      <c r="B18" s="219">
        <v>46188</v>
      </c>
      <c r="C18" s="40"/>
      <c r="D18" s="40"/>
      <c r="E18" s="266"/>
      <c r="F18" s="295"/>
      <c r="G18" s="40">
        <f t="shared" si="0"/>
        <v>0</v>
      </c>
      <c r="H18" s="40">
        <v>5</v>
      </c>
      <c r="I18" s="40">
        <v>111.21</v>
      </c>
      <c r="J18" s="40">
        <f t="shared" si="1"/>
        <v>556.04999999999995</v>
      </c>
      <c r="K18" s="40">
        <f t="shared" si="4"/>
        <v>556.04999999999995</v>
      </c>
      <c r="L18" s="40"/>
      <c r="M18" s="40">
        <f t="shared" si="3"/>
        <v>7738.1894999999513</v>
      </c>
      <c r="N18" s="40"/>
    </row>
    <row r="19" spans="1:14">
      <c r="A19" s="46">
        <v>16</v>
      </c>
      <c r="B19" s="219">
        <v>46189</v>
      </c>
      <c r="C19" s="40"/>
      <c r="D19" s="40"/>
      <c r="E19" s="266">
        <v>800</v>
      </c>
      <c r="F19" s="295">
        <v>99.13</v>
      </c>
      <c r="G19" s="40">
        <f t="shared" si="0"/>
        <v>79304</v>
      </c>
      <c r="H19" s="40"/>
      <c r="I19" s="40"/>
      <c r="J19" s="40">
        <f t="shared" si="1"/>
        <v>0</v>
      </c>
      <c r="K19" s="40">
        <f t="shared" si="4"/>
        <v>79304</v>
      </c>
      <c r="L19" s="40"/>
      <c r="M19" s="40">
        <f t="shared" si="3"/>
        <v>87042.189499999949</v>
      </c>
      <c r="N19" s="40"/>
    </row>
    <row r="20" spans="1:14">
      <c r="A20" s="46">
        <v>17</v>
      </c>
      <c r="B20" s="219">
        <v>46190</v>
      </c>
      <c r="C20" s="40"/>
      <c r="D20" s="40"/>
      <c r="E20" s="266">
        <v>20</v>
      </c>
      <c r="F20" s="295">
        <v>99.13</v>
      </c>
      <c r="G20" s="40">
        <f t="shared" si="0"/>
        <v>1982.6</v>
      </c>
      <c r="H20" s="40"/>
      <c r="I20" s="40"/>
      <c r="J20" s="40">
        <f t="shared" si="1"/>
        <v>0</v>
      </c>
      <c r="K20" s="40">
        <f t="shared" si="4"/>
        <v>1982.6</v>
      </c>
      <c r="L20" s="40"/>
      <c r="M20" s="40">
        <f t="shared" si="3"/>
        <v>89024.789499999955</v>
      </c>
      <c r="N20" s="40"/>
    </row>
    <row r="21" spans="1:14">
      <c r="A21" s="46">
        <v>18</v>
      </c>
      <c r="B21" s="219">
        <v>46191</v>
      </c>
      <c r="C21" s="40"/>
      <c r="D21" s="40"/>
      <c r="E21" s="266"/>
      <c r="F21" s="295"/>
      <c r="G21" s="40">
        <f t="shared" si="0"/>
        <v>0</v>
      </c>
      <c r="H21" s="40"/>
      <c r="I21" s="40"/>
      <c r="J21" s="40">
        <f t="shared" si="1"/>
        <v>0</v>
      </c>
      <c r="K21" s="40">
        <f t="shared" si="4"/>
        <v>0</v>
      </c>
      <c r="L21" s="40"/>
      <c r="M21" s="40">
        <f>M20+K21-L21</f>
        <v>89024.789499999955</v>
      </c>
      <c r="N21" s="40" t="s">
        <v>183</v>
      </c>
    </row>
    <row r="22" spans="1:14">
      <c r="A22" s="46">
        <v>19</v>
      </c>
      <c r="B22" s="219">
        <v>46192</v>
      </c>
      <c r="C22" s="40"/>
      <c r="D22" s="40"/>
      <c r="E22" s="266"/>
      <c r="F22" s="295"/>
      <c r="G22" s="40">
        <f t="shared" si="0"/>
        <v>0</v>
      </c>
      <c r="H22" s="40"/>
      <c r="I22" s="40"/>
      <c r="J22" s="40">
        <f t="shared" si="1"/>
        <v>0</v>
      </c>
      <c r="K22" s="40">
        <f t="shared" si="4"/>
        <v>0</v>
      </c>
      <c r="L22" s="40"/>
      <c r="M22" s="40">
        <f t="shared" si="3"/>
        <v>89024.789499999955</v>
      </c>
      <c r="N22" s="40"/>
    </row>
    <row r="23" spans="1:14">
      <c r="A23" s="46">
        <v>20</v>
      </c>
      <c r="B23" s="219">
        <v>46193</v>
      </c>
      <c r="C23" s="40"/>
      <c r="D23" s="40"/>
      <c r="E23" s="266">
        <v>220</v>
      </c>
      <c r="F23" s="295">
        <v>99.13</v>
      </c>
      <c r="G23" s="40">
        <f t="shared" si="0"/>
        <v>21808.6</v>
      </c>
      <c r="H23" s="40">
        <v>20</v>
      </c>
      <c r="I23" s="40">
        <v>111.21</v>
      </c>
      <c r="J23" s="40">
        <f t="shared" si="1"/>
        <v>2224.1999999999998</v>
      </c>
      <c r="K23" s="40">
        <f t="shared" si="4"/>
        <v>24032.799999999999</v>
      </c>
      <c r="L23" s="40"/>
      <c r="M23" s="40">
        <f t="shared" si="3"/>
        <v>113057.58949999996</v>
      </c>
      <c r="N23" s="40"/>
    </row>
    <row r="24" spans="1:14">
      <c r="A24" s="46">
        <v>21</v>
      </c>
      <c r="B24" s="219">
        <v>46194</v>
      </c>
      <c r="C24" s="40"/>
      <c r="D24" s="40"/>
      <c r="E24" s="266"/>
      <c r="F24" s="295"/>
      <c r="G24" s="40">
        <f t="shared" si="0"/>
        <v>0</v>
      </c>
      <c r="H24" s="40"/>
      <c r="I24" s="40"/>
      <c r="J24" s="40">
        <f t="shared" si="1"/>
        <v>0</v>
      </c>
      <c r="K24" s="40">
        <f t="shared" si="4"/>
        <v>0</v>
      </c>
      <c r="L24" s="40"/>
      <c r="M24" s="40">
        <f t="shared" si="3"/>
        <v>113057.58949999996</v>
      </c>
      <c r="N24" s="40"/>
    </row>
    <row r="25" spans="1:14">
      <c r="A25" s="46">
        <v>22</v>
      </c>
      <c r="B25" s="219">
        <v>46195</v>
      </c>
      <c r="C25" s="40"/>
      <c r="D25" s="40"/>
      <c r="E25" s="266"/>
      <c r="F25" s="295"/>
      <c r="G25" s="40">
        <f t="shared" si="0"/>
        <v>0</v>
      </c>
      <c r="H25" s="40">
        <v>10</v>
      </c>
      <c r="I25" s="40">
        <v>111.21</v>
      </c>
      <c r="J25" s="40">
        <f t="shared" si="1"/>
        <v>1112.0999999999999</v>
      </c>
      <c r="K25" s="40">
        <f t="shared" si="4"/>
        <v>1112.0999999999999</v>
      </c>
      <c r="L25" s="40"/>
      <c r="M25" s="40">
        <f t="shared" si="3"/>
        <v>114169.68949999996</v>
      </c>
      <c r="N25" s="40"/>
    </row>
    <row r="26" spans="1:14">
      <c r="A26" s="46">
        <v>23</v>
      </c>
      <c r="B26" s="219">
        <v>46196</v>
      </c>
      <c r="C26" s="40"/>
      <c r="D26" s="40"/>
      <c r="E26" s="266">
        <v>524</v>
      </c>
      <c r="F26" s="295">
        <v>99.13</v>
      </c>
      <c r="G26" s="40">
        <f t="shared" si="0"/>
        <v>51944.119999999995</v>
      </c>
      <c r="H26" s="40"/>
      <c r="I26" s="40"/>
      <c r="J26" s="40">
        <f t="shared" si="1"/>
        <v>0</v>
      </c>
      <c r="K26" s="40">
        <f t="shared" si="2"/>
        <v>51944.119999999995</v>
      </c>
      <c r="L26" s="40"/>
      <c r="M26" s="40">
        <f t="shared" si="3"/>
        <v>166113.80949999997</v>
      </c>
      <c r="N26" s="40"/>
    </row>
    <row r="27" spans="1:14">
      <c r="A27" s="46">
        <v>24</v>
      </c>
      <c r="B27" s="219">
        <v>46197</v>
      </c>
      <c r="C27" s="40"/>
      <c r="D27" s="40"/>
      <c r="E27" s="266">
        <v>20</v>
      </c>
      <c r="F27" s="295">
        <v>99.13</v>
      </c>
      <c r="G27" s="40">
        <f t="shared" si="0"/>
        <v>1982.6</v>
      </c>
      <c r="H27" s="40">
        <v>5</v>
      </c>
      <c r="I27" s="40">
        <v>111.21</v>
      </c>
      <c r="J27" s="40">
        <f t="shared" si="1"/>
        <v>556.04999999999995</v>
      </c>
      <c r="K27" s="40">
        <f t="shared" si="2"/>
        <v>2538.6499999999996</v>
      </c>
      <c r="L27" s="40"/>
      <c r="M27" s="40">
        <f t="shared" si="3"/>
        <v>168652.45949999997</v>
      </c>
      <c r="N27" s="40"/>
    </row>
    <row r="28" spans="1:14">
      <c r="A28" s="221">
        <v>25</v>
      </c>
      <c r="B28" s="219">
        <v>46198</v>
      </c>
      <c r="C28" s="40"/>
      <c r="D28" s="40"/>
      <c r="E28" s="266"/>
      <c r="F28" s="295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40">
        <f t="shared" si="3"/>
        <v>168652.45949999997</v>
      </c>
      <c r="N28" s="40"/>
    </row>
    <row r="29" spans="1:14">
      <c r="A29" s="221">
        <v>26</v>
      </c>
      <c r="B29" s="219">
        <v>46199</v>
      </c>
      <c r="C29" s="40"/>
      <c r="D29" s="40"/>
      <c r="E29" s="266"/>
      <c r="F29" s="295"/>
      <c r="G29" s="40">
        <f t="shared" si="0"/>
        <v>0</v>
      </c>
      <c r="H29" s="40">
        <v>5</v>
      </c>
      <c r="I29" s="40">
        <v>111.21</v>
      </c>
      <c r="J29" s="40">
        <f t="shared" si="1"/>
        <v>556.04999999999995</v>
      </c>
      <c r="K29" s="40">
        <f t="shared" si="2"/>
        <v>556.04999999999995</v>
      </c>
      <c r="L29" s="40"/>
      <c r="M29" s="40">
        <f t="shared" si="3"/>
        <v>169208.50949999996</v>
      </c>
      <c r="N29" s="40"/>
    </row>
    <row r="30" spans="1:14">
      <c r="A30" s="221">
        <v>27</v>
      </c>
      <c r="B30" s="219">
        <v>46200</v>
      </c>
      <c r="C30" s="40"/>
      <c r="D30" s="40"/>
      <c r="E30" s="266"/>
      <c r="F30" s="295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/>
      <c r="M30" s="40">
        <f t="shared" si="3"/>
        <v>169208.50949999996</v>
      </c>
      <c r="N30" s="40"/>
    </row>
    <row r="31" spans="1:14">
      <c r="A31" s="221">
        <v>28</v>
      </c>
      <c r="B31" s="219">
        <v>46201</v>
      </c>
      <c r="C31" s="40"/>
      <c r="D31" s="40"/>
      <c r="E31" s="266"/>
      <c r="F31" s="295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/>
      <c r="M31" s="40">
        <f t="shared" si="3"/>
        <v>169208.50949999996</v>
      </c>
      <c r="N31" s="40"/>
    </row>
    <row r="32" spans="1:14">
      <c r="A32" s="222">
        <v>29</v>
      </c>
      <c r="B32" s="219">
        <v>46202</v>
      </c>
      <c r="C32" s="40"/>
      <c r="D32" s="40"/>
      <c r="E32" s="266">
        <v>20</v>
      </c>
      <c r="F32" s="295">
        <v>99.13</v>
      </c>
      <c r="G32" s="40">
        <f t="shared" si="0"/>
        <v>1982.6</v>
      </c>
      <c r="H32" s="40">
        <v>10</v>
      </c>
      <c r="I32" s="40">
        <v>111.21</v>
      </c>
      <c r="J32" s="40">
        <f t="shared" si="1"/>
        <v>1112.0999999999999</v>
      </c>
      <c r="K32" s="40">
        <f t="shared" si="2"/>
        <v>3094.7</v>
      </c>
      <c r="L32" s="40"/>
      <c r="M32" s="40">
        <f t="shared" si="3"/>
        <v>172303.20949999997</v>
      </c>
      <c r="N32" s="40"/>
    </row>
    <row r="33" spans="1:14">
      <c r="A33" s="222">
        <v>30</v>
      </c>
      <c r="B33" s="219">
        <v>46203</v>
      </c>
      <c r="C33" s="40"/>
      <c r="D33" s="40"/>
      <c r="E33" s="266">
        <v>636.58000000000004</v>
      </c>
      <c r="F33" s="295">
        <v>99.13</v>
      </c>
      <c r="G33" s="40">
        <f t="shared" si="0"/>
        <v>63104.1754</v>
      </c>
      <c r="H33" s="40"/>
      <c r="I33" s="40"/>
      <c r="J33" s="40">
        <f t="shared" si="1"/>
        <v>0</v>
      </c>
      <c r="K33" s="40">
        <f t="shared" si="2"/>
        <v>63104.1754</v>
      </c>
      <c r="L33" s="40"/>
      <c r="M33" s="40">
        <f t="shared" si="3"/>
        <v>235407.38489999998</v>
      </c>
      <c r="N33" s="40"/>
    </row>
    <row r="34" spans="1:14">
      <c r="A34" s="222">
        <v>31</v>
      </c>
      <c r="B34" s="219">
        <v>46204</v>
      </c>
      <c r="C34" s="40"/>
      <c r="D34" s="40"/>
      <c r="E34" s="266"/>
      <c r="F34" s="295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/>
      <c r="M34" s="40">
        <f t="shared" si="3"/>
        <v>235407.38489999998</v>
      </c>
      <c r="N34" s="40"/>
    </row>
    <row r="35" spans="1:14">
      <c r="A35" s="181"/>
      <c r="B35" s="181"/>
      <c r="C35" s="181"/>
      <c r="D35" s="181"/>
      <c r="E35" s="181">
        <f>SUM(E4:E34)</f>
        <v>2282.6999999999998</v>
      </c>
      <c r="F35" s="181"/>
      <c r="G35" s="181">
        <f>SUM(G4:G34)</f>
        <v>226284.05100000001</v>
      </c>
      <c r="H35" s="181">
        <f>SUM(H4:H34)</f>
        <v>80</v>
      </c>
      <c r="I35" s="181"/>
      <c r="J35" s="181">
        <f>SUM(J4:J34)</f>
        <v>8896.8000000000011</v>
      </c>
      <c r="K35" s="181">
        <f>SUM(K4:K34)</f>
        <v>235180.851</v>
      </c>
      <c r="L35" s="181">
        <f>SUM(L4:L34)</f>
        <v>227000</v>
      </c>
      <c r="M35" s="181"/>
      <c r="N35" s="18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77C-45ED-46D2-B6DD-48C42A14EFA2}">
  <sheetPr>
    <tabColor rgb="FF002060"/>
  </sheetPr>
  <dimension ref="A1:P34"/>
  <sheetViews>
    <sheetView topLeftCell="A13" workbookViewId="0">
      <selection activeCell="M31" sqref="M31"/>
    </sheetView>
  </sheetViews>
  <sheetFormatPr defaultRowHeight="15"/>
  <cols>
    <col min="2" max="2" width="12.5703125" customWidth="1"/>
    <col min="5" max="5" width="9.7109375" bestFit="1" customWidth="1"/>
    <col min="7" max="7" width="10.4257812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6" ht="15.75">
      <c r="A1" s="594" t="s">
        <v>367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6"/>
    </row>
    <row r="2" spans="1:16" ht="30.75">
      <c r="A2" s="124" t="s">
        <v>0</v>
      </c>
      <c r="B2" s="213" t="s">
        <v>167</v>
      </c>
      <c r="C2" s="213" t="s">
        <v>168</v>
      </c>
      <c r="D2" s="213" t="s">
        <v>191</v>
      </c>
      <c r="E2" s="213" t="s">
        <v>170</v>
      </c>
      <c r="F2" s="213" t="s">
        <v>171</v>
      </c>
      <c r="G2" s="213" t="s">
        <v>172</v>
      </c>
      <c r="H2" s="213" t="s">
        <v>173</v>
      </c>
      <c r="I2" s="213" t="s">
        <v>171</v>
      </c>
      <c r="J2" s="213" t="s">
        <v>172</v>
      </c>
      <c r="K2" s="175" t="s">
        <v>174</v>
      </c>
      <c r="L2" s="175" t="s">
        <v>175</v>
      </c>
      <c r="M2" s="175" t="s">
        <v>192</v>
      </c>
      <c r="N2" s="213" t="s">
        <v>177</v>
      </c>
    </row>
    <row r="3" spans="1:16">
      <c r="A3" s="597" t="s">
        <v>178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9"/>
      <c r="M3" s="597">
        <v>790926.4</v>
      </c>
      <c r="N3" s="599"/>
    </row>
    <row r="4" spans="1:16">
      <c r="A4" s="196">
        <v>1</v>
      </c>
      <c r="B4" s="219">
        <v>46174</v>
      </c>
      <c r="C4" s="40"/>
      <c r="D4" s="40"/>
      <c r="E4" s="266"/>
      <c r="F4" s="295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>
        <v>0</v>
      </c>
      <c r="M4" s="40">
        <f>M3+K4-L4</f>
        <v>790926.4</v>
      </c>
      <c r="N4" s="40"/>
    </row>
    <row r="5" spans="1:16">
      <c r="A5" s="46">
        <v>2</v>
      </c>
      <c r="B5" s="219">
        <v>46175</v>
      </c>
      <c r="C5" s="40"/>
      <c r="D5" s="40"/>
      <c r="E5" s="266"/>
      <c r="F5" s="295"/>
      <c r="G5" s="40">
        <f t="shared" ref="G5:G33" si="0">E5*F5</f>
        <v>0</v>
      </c>
      <c r="H5" s="40"/>
      <c r="I5" s="40"/>
      <c r="J5" s="40">
        <f t="shared" ref="J5:J33" si="1">H5*I5</f>
        <v>0</v>
      </c>
      <c r="K5" s="40">
        <f t="shared" ref="K5:K33" si="2">G5+J5</f>
        <v>0</v>
      </c>
      <c r="L5" s="40">
        <v>0</v>
      </c>
      <c r="M5" s="40">
        <f t="shared" ref="M5:M33" si="3">M4+K5-L5</f>
        <v>790926.4</v>
      </c>
      <c r="N5" s="40"/>
    </row>
    <row r="6" spans="1:16">
      <c r="A6" s="46">
        <v>3</v>
      </c>
      <c r="B6" s="219">
        <v>46176</v>
      </c>
      <c r="C6" s="40"/>
      <c r="D6" s="40"/>
      <c r="E6" s="266"/>
      <c r="F6" s="295"/>
      <c r="G6" s="40">
        <f t="shared" si="0"/>
        <v>0</v>
      </c>
      <c r="H6" s="40"/>
      <c r="I6" s="40"/>
      <c r="J6" s="40">
        <f t="shared" si="1"/>
        <v>0</v>
      </c>
      <c r="K6" s="40">
        <f>G6+J6</f>
        <v>0</v>
      </c>
      <c r="L6" s="40">
        <v>0</v>
      </c>
      <c r="M6" s="40">
        <f t="shared" si="3"/>
        <v>790926.4</v>
      </c>
      <c r="N6" s="40"/>
    </row>
    <row r="7" spans="1:16">
      <c r="A7" s="46">
        <v>4</v>
      </c>
      <c r="B7" s="219">
        <v>46177</v>
      </c>
      <c r="C7" s="40"/>
      <c r="D7" s="40"/>
      <c r="E7" s="295">
        <v>845.91</v>
      </c>
      <c r="F7" s="40">
        <v>99.13</v>
      </c>
      <c r="G7" s="40">
        <f t="shared" si="0"/>
        <v>83855.05829999999</v>
      </c>
      <c r="H7" s="40"/>
      <c r="I7" s="40"/>
      <c r="J7" s="40">
        <f t="shared" si="1"/>
        <v>0</v>
      </c>
      <c r="K7" s="40">
        <f t="shared" si="2"/>
        <v>83855.05829999999</v>
      </c>
      <c r="L7" s="40">
        <v>500000</v>
      </c>
      <c r="M7" s="40">
        <f t="shared" si="3"/>
        <v>374781.45830000006</v>
      </c>
      <c r="N7" s="40"/>
    </row>
    <row r="8" spans="1:16">
      <c r="A8" s="46">
        <v>5</v>
      </c>
      <c r="B8" s="219">
        <v>46178</v>
      </c>
      <c r="C8" s="40"/>
      <c r="D8" s="40"/>
      <c r="E8" s="266">
        <v>600</v>
      </c>
      <c r="F8" s="295">
        <v>99.13</v>
      </c>
      <c r="G8" s="40">
        <f t="shared" si="0"/>
        <v>59478</v>
      </c>
      <c r="H8" s="40"/>
      <c r="I8" s="40"/>
      <c r="J8" s="40">
        <f t="shared" si="1"/>
        <v>0</v>
      </c>
      <c r="K8" s="40">
        <f t="shared" si="2"/>
        <v>59478</v>
      </c>
      <c r="L8" s="40">
        <v>0</v>
      </c>
      <c r="M8" s="40">
        <f t="shared" si="3"/>
        <v>434259.45830000006</v>
      </c>
      <c r="N8" s="40"/>
    </row>
    <row r="9" spans="1:16">
      <c r="A9" s="46">
        <v>6</v>
      </c>
      <c r="B9" s="219">
        <v>46179</v>
      </c>
      <c r="C9" s="40"/>
      <c r="D9" s="40"/>
      <c r="E9" s="266">
        <v>100</v>
      </c>
      <c r="F9" s="295">
        <v>99.13</v>
      </c>
      <c r="G9" s="40">
        <f t="shared" si="0"/>
        <v>9913</v>
      </c>
      <c r="H9" s="40"/>
      <c r="I9" s="40"/>
      <c r="J9" s="40">
        <f t="shared" si="1"/>
        <v>0</v>
      </c>
      <c r="K9" s="40">
        <f t="shared" si="2"/>
        <v>9913</v>
      </c>
      <c r="L9" s="40">
        <v>0</v>
      </c>
      <c r="M9" s="40">
        <f t="shared" si="3"/>
        <v>444172.45830000006</v>
      </c>
      <c r="N9" s="40"/>
    </row>
    <row r="10" spans="1:16">
      <c r="A10" s="46">
        <v>7</v>
      </c>
      <c r="B10" s="219">
        <v>46180</v>
      </c>
      <c r="C10" s="40"/>
      <c r="D10" s="40"/>
      <c r="E10" s="266">
        <v>58.03</v>
      </c>
      <c r="F10" s="295">
        <v>99.13</v>
      </c>
      <c r="G10" s="40">
        <f t="shared" si="0"/>
        <v>5752.5138999999999</v>
      </c>
      <c r="H10" s="40"/>
      <c r="I10" s="40"/>
      <c r="J10" s="40">
        <f t="shared" si="1"/>
        <v>0</v>
      </c>
      <c r="K10" s="40">
        <f t="shared" si="2"/>
        <v>5752.5138999999999</v>
      </c>
      <c r="L10" s="40">
        <v>0</v>
      </c>
      <c r="M10" s="40">
        <f t="shared" si="3"/>
        <v>449924.97220000008</v>
      </c>
      <c r="N10" s="40"/>
    </row>
    <row r="11" spans="1:16">
      <c r="A11" s="46">
        <v>8</v>
      </c>
      <c r="B11" s="219">
        <v>46181</v>
      </c>
      <c r="C11" s="40"/>
      <c r="D11" s="40"/>
      <c r="E11" s="266">
        <v>349.45</v>
      </c>
      <c r="F11" s="295">
        <v>99.13</v>
      </c>
      <c r="G11" s="40">
        <f t="shared" si="0"/>
        <v>34640.978499999997</v>
      </c>
      <c r="H11" s="40">
        <v>10</v>
      </c>
      <c r="I11" s="40">
        <v>111.21</v>
      </c>
      <c r="J11" s="40">
        <f t="shared" si="1"/>
        <v>1112.0999999999999</v>
      </c>
      <c r="K11" s="40">
        <f t="shared" si="2"/>
        <v>35753.078499999996</v>
      </c>
      <c r="L11" s="40">
        <v>0</v>
      </c>
      <c r="M11" s="40">
        <f t="shared" si="3"/>
        <v>485678.05070000008</v>
      </c>
      <c r="N11" s="40"/>
      <c r="P11" s="22"/>
    </row>
    <row r="12" spans="1:16">
      <c r="A12" s="46">
        <v>9</v>
      </c>
      <c r="B12" s="219">
        <v>46182</v>
      </c>
      <c r="C12" s="40"/>
      <c r="D12" s="40"/>
      <c r="E12" s="266">
        <v>0</v>
      </c>
      <c r="F12" s="295">
        <v>99.13</v>
      </c>
      <c r="G12" s="40">
        <f t="shared" si="0"/>
        <v>0</v>
      </c>
      <c r="H12" s="40"/>
      <c r="I12" s="40"/>
      <c r="J12" s="40">
        <f t="shared" si="1"/>
        <v>0</v>
      </c>
      <c r="K12" s="40">
        <f t="shared" si="2"/>
        <v>0</v>
      </c>
      <c r="L12" s="40">
        <v>200000</v>
      </c>
      <c r="M12" s="40">
        <f t="shared" si="3"/>
        <v>285678.05070000008</v>
      </c>
      <c r="N12" s="40"/>
    </row>
    <row r="13" spans="1:16">
      <c r="A13" s="46">
        <v>11</v>
      </c>
      <c r="B13" s="219">
        <v>46183</v>
      </c>
      <c r="C13" s="40"/>
      <c r="D13" s="40"/>
      <c r="E13" s="266"/>
      <c r="F13" s="295">
        <v>99.13</v>
      </c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>
        <v>0</v>
      </c>
      <c r="M13" s="40">
        <f t="shared" si="3"/>
        <v>285678.05070000008</v>
      </c>
      <c r="N13" s="40"/>
    </row>
    <row r="14" spans="1:16">
      <c r="A14" s="46">
        <v>12</v>
      </c>
      <c r="B14" s="219">
        <v>46184</v>
      </c>
      <c r="C14" s="40"/>
      <c r="D14" s="40"/>
      <c r="E14" s="266">
        <v>75.86</v>
      </c>
      <c r="F14" s="295">
        <v>99.13</v>
      </c>
      <c r="G14" s="40">
        <f t="shared" si="0"/>
        <v>7520.0018</v>
      </c>
      <c r="H14" s="40"/>
      <c r="I14" s="40"/>
      <c r="J14" s="40">
        <f t="shared" si="1"/>
        <v>0</v>
      </c>
      <c r="K14" s="40">
        <f t="shared" si="2"/>
        <v>7520.0018</v>
      </c>
      <c r="L14" s="40">
        <v>0</v>
      </c>
      <c r="M14" s="40">
        <f t="shared" si="3"/>
        <v>293198.05250000011</v>
      </c>
      <c r="N14" s="40"/>
    </row>
    <row r="15" spans="1:16">
      <c r="A15" s="46">
        <v>13</v>
      </c>
      <c r="B15" s="219">
        <v>46185</v>
      </c>
      <c r="C15" s="40"/>
      <c r="D15" s="40"/>
      <c r="E15" s="266">
        <v>800</v>
      </c>
      <c r="F15" s="295">
        <v>99.13</v>
      </c>
      <c r="G15" s="40">
        <f t="shared" si="0"/>
        <v>79304</v>
      </c>
      <c r="H15" s="40"/>
      <c r="I15" s="40"/>
      <c r="J15" s="40">
        <f t="shared" si="1"/>
        <v>0</v>
      </c>
      <c r="K15" s="40">
        <f t="shared" si="2"/>
        <v>79304</v>
      </c>
      <c r="L15" s="40">
        <v>0</v>
      </c>
      <c r="M15" s="40">
        <f t="shared" si="3"/>
        <v>372502.05250000011</v>
      </c>
      <c r="N15" s="40"/>
    </row>
    <row r="16" spans="1:16">
      <c r="A16" s="46">
        <v>14</v>
      </c>
      <c r="B16" s="219">
        <v>46186</v>
      </c>
      <c r="C16" s="40"/>
      <c r="D16" s="40"/>
      <c r="E16" s="266"/>
      <c r="F16" s="295"/>
      <c r="G16" s="40">
        <f t="shared" si="0"/>
        <v>0</v>
      </c>
      <c r="H16" s="40"/>
      <c r="I16" s="40"/>
      <c r="J16" s="40">
        <f t="shared" si="1"/>
        <v>0</v>
      </c>
      <c r="K16" s="40">
        <f t="shared" si="2"/>
        <v>0</v>
      </c>
      <c r="L16" s="40">
        <v>0</v>
      </c>
      <c r="M16" s="40">
        <f t="shared" si="3"/>
        <v>372502.05250000011</v>
      </c>
      <c r="N16" s="40"/>
    </row>
    <row r="17" spans="1:14">
      <c r="A17" s="46">
        <v>15</v>
      </c>
      <c r="B17" s="219">
        <v>46187</v>
      </c>
      <c r="C17" s="40"/>
      <c r="D17" s="40"/>
      <c r="E17" s="266">
        <v>400</v>
      </c>
      <c r="F17" s="295">
        <v>99.13</v>
      </c>
      <c r="G17" s="40">
        <f t="shared" si="0"/>
        <v>39652</v>
      </c>
      <c r="H17" s="40"/>
      <c r="I17" s="40"/>
      <c r="J17" s="40">
        <f t="shared" si="1"/>
        <v>0</v>
      </c>
      <c r="K17" s="40">
        <f t="shared" si="2"/>
        <v>39652</v>
      </c>
      <c r="L17" s="40">
        <v>0</v>
      </c>
      <c r="M17" s="40">
        <f t="shared" si="3"/>
        <v>412154.05250000011</v>
      </c>
      <c r="N17" s="40"/>
    </row>
    <row r="18" spans="1:14">
      <c r="A18" s="46">
        <v>16</v>
      </c>
      <c r="B18" s="219">
        <v>46188</v>
      </c>
      <c r="C18" s="40"/>
      <c r="D18" s="40"/>
      <c r="E18" s="266"/>
      <c r="F18" s="295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>
        <v>0</v>
      </c>
      <c r="M18" s="40">
        <f t="shared" si="3"/>
        <v>412154.05250000011</v>
      </c>
      <c r="N18" s="40"/>
    </row>
    <row r="19" spans="1:14">
      <c r="A19" s="46">
        <v>17</v>
      </c>
      <c r="B19" s="219">
        <v>46189</v>
      </c>
      <c r="C19" s="40"/>
      <c r="D19" s="40"/>
      <c r="E19" s="266"/>
      <c r="F19" s="295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>
        <v>250000</v>
      </c>
      <c r="M19" s="40">
        <f>M18+K19-L19</f>
        <v>162154.05250000011</v>
      </c>
      <c r="N19" s="40"/>
    </row>
    <row r="20" spans="1:14">
      <c r="A20" s="46">
        <v>18</v>
      </c>
      <c r="B20" s="219">
        <v>46190</v>
      </c>
      <c r="C20" s="40"/>
      <c r="D20" s="40"/>
      <c r="E20" s="266"/>
      <c r="F20" s="295"/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>
        <v>0</v>
      </c>
      <c r="M20" s="40">
        <f t="shared" si="3"/>
        <v>162154.05250000011</v>
      </c>
      <c r="N20" s="40"/>
    </row>
    <row r="21" spans="1:14">
      <c r="A21" s="46">
        <v>19</v>
      </c>
      <c r="B21" s="219">
        <v>46191</v>
      </c>
      <c r="C21" s="40"/>
      <c r="D21" s="40"/>
      <c r="E21" s="266"/>
      <c r="F21" s="295"/>
      <c r="G21" s="40">
        <f t="shared" si="0"/>
        <v>0</v>
      </c>
      <c r="H21" s="40"/>
      <c r="I21" s="40"/>
      <c r="J21" s="40">
        <f t="shared" si="1"/>
        <v>0</v>
      </c>
      <c r="K21" s="40">
        <f t="shared" si="2"/>
        <v>0</v>
      </c>
      <c r="L21" s="40">
        <v>0</v>
      </c>
      <c r="M21" s="40">
        <f t="shared" si="3"/>
        <v>162154.05250000011</v>
      </c>
      <c r="N21" s="40"/>
    </row>
    <row r="22" spans="1:14">
      <c r="A22" s="46">
        <v>20</v>
      </c>
      <c r="B22" s="219">
        <v>46192</v>
      </c>
      <c r="C22" s="40"/>
      <c r="D22" s="40"/>
      <c r="E22" s="266">
        <v>1040.08</v>
      </c>
      <c r="F22" s="295">
        <v>99.13</v>
      </c>
      <c r="G22" s="40">
        <f t="shared" si="0"/>
        <v>103103.13039999999</v>
      </c>
      <c r="H22" s="40"/>
      <c r="I22" s="40"/>
      <c r="J22" s="40">
        <f t="shared" si="1"/>
        <v>0</v>
      </c>
      <c r="K22" s="40">
        <f t="shared" si="2"/>
        <v>103103.13039999999</v>
      </c>
      <c r="L22" s="40">
        <v>0</v>
      </c>
      <c r="M22" s="40">
        <f t="shared" si="3"/>
        <v>265257.18290000013</v>
      </c>
      <c r="N22" s="40"/>
    </row>
    <row r="23" spans="1:14">
      <c r="A23" s="46">
        <v>21</v>
      </c>
      <c r="B23" s="219">
        <v>46193</v>
      </c>
      <c r="C23" s="40"/>
      <c r="D23" s="40"/>
      <c r="E23" s="266"/>
      <c r="F23" s="295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>
        <v>0</v>
      </c>
      <c r="M23" s="40">
        <f t="shared" si="3"/>
        <v>265257.18290000013</v>
      </c>
      <c r="N23" s="40"/>
    </row>
    <row r="24" spans="1:14">
      <c r="A24" s="46">
        <v>22</v>
      </c>
      <c r="B24" s="219">
        <v>46194</v>
      </c>
      <c r="C24" s="40"/>
      <c r="D24" s="40"/>
      <c r="E24" s="266"/>
      <c r="F24" s="295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>
        <v>0</v>
      </c>
      <c r="M24" s="40">
        <f t="shared" si="3"/>
        <v>265257.18290000013</v>
      </c>
      <c r="N24" s="40"/>
    </row>
    <row r="25" spans="1:14">
      <c r="A25" s="46">
        <v>23</v>
      </c>
      <c r="B25" s="219">
        <v>46195</v>
      </c>
      <c r="C25" s="40"/>
      <c r="D25" s="40"/>
      <c r="E25" s="266">
        <v>1049.54</v>
      </c>
      <c r="F25" s="295">
        <v>99.13</v>
      </c>
      <c r="G25" s="40">
        <f t="shared" si="0"/>
        <v>104040.90019999999</v>
      </c>
      <c r="H25" s="40">
        <v>5</v>
      </c>
      <c r="I25" s="40">
        <v>111.21</v>
      </c>
      <c r="J25" s="40">
        <f t="shared" si="1"/>
        <v>556.04999999999995</v>
      </c>
      <c r="K25" s="40">
        <f t="shared" si="2"/>
        <v>104596.95019999999</v>
      </c>
      <c r="L25" s="40">
        <v>0</v>
      </c>
      <c r="M25" s="40">
        <f t="shared" si="3"/>
        <v>369854.13310000009</v>
      </c>
      <c r="N25" s="40"/>
    </row>
    <row r="26" spans="1:14">
      <c r="A26" s="46">
        <v>24</v>
      </c>
      <c r="B26" s="219">
        <v>46196</v>
      </c>
      <c r="C26" s="40"/>
      <c r="D26" s="40"/>
      <c r="E26" s="266">
        <v>1034.8499999999999</v>
      </c>
      <c r="F26" s="295">
        <v>99.13</v>
      </c>
      <c r="G26" s="40">
        <f t="shared" si="0"/>
        <v>102584.68049999999</v>
      </c>
      <c r="H26" s="40"/>
      <c r="I26" s="40"/>
      <c r="J26" s="40">
        <f t="shared" si="1"/>
        <v>0</v>
      </c>
      <c r="K26" s="40">
        <f t="shared" si="2"/>
        <v>102584.68049999999</v>
      </c>
      <c r="L26" s="40">
        <v>0</v>
      </c>
      <c r="M26" s="40">
        <f t="shared" si="3"/>
        <v>472438.81360000011</v>
      </c>
      <c r="N26" s="40"/>
    </row>
    <row r="27" spans="1:14">
      <c r="A27" s="221">
        <v>25</v>
      </c>
      <c r="B27" s="219">
        <v>46197</v>
      </c>
      <c r="C27" s="40"/>
      <c r="D27" s="40"/>
      <c r="E27" s="266"/>
      <c r="F27" s="295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>
        <v>0</v>
      </c>
      <c r="M27" s="40">
        <f t="shared" si="3"/>
        <v>472438.81360000011</v>
      </c>
      <c r="N27" s="40"/>
    </row>
    <row r="28" spans="1:14">
      <c r="A28" s="221">
        <v>26</v>
      </c>
      <c r="B28" s="219">
        <v>46198</v>
      </c>
      <c r="C28" s="40"/>
      <c r="D28" s="40"/>
      <c r="E28" s="266"/>
      <c r="F28" s="295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>
        <v>0</v>
      </c>
      <c r="M28" s="40">
        <f t="shared" si="3"/>
        <v>472438.81360000011</v>
      </c>
      <c r="N28" s="40"/>
    </row>
    <row r="29" spans="1:14">
      <c r="A29" s="221">
        <v>27</v>
      </c>
      <c r="B29" s="219">
        <v>46199</v>
      </c>
      <c r="C29" s="40"/>
      <c r="D29" s="40"/>
      <c r="E29" s="266"/>
      <c r="F29" s="295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>
        <v>300000</v>
      </c>
      <c r="M29" s="40">
        <f t="shared" si="3"/>
        <v>172438.81360000011</v>
      </c>
      <c r="N29" s="40"/>
    </row>
    <row r="30" spans="1:14">
      <c r="A30" s="221">
        <v>28</v>
      </c>
      <c r="B30" s="219">
        <v>46200</v>
      </c>
      <c r="C30" s="40"/>
      <c r="D30" s="40"/>
      <c r="E30" s="266">
        <v>1000</v>
      </c>
      <c r="F30" s="295">
        <v>99.13</v>
      </c>
      <c r="G30" s="40">
        <f t="shared" si="0"/>
        <v>99130</v>
      </c>
      <c r="H30" s="40"/>
      <c r="I30" s="40"/>
      <c r="J30" s="40">
        <f t="shared" si="1"/>
        <v>0</v>
      </c>
      <c r="K30" s="40">
        <f t="shared" si="2"/>
        <v>99130</v>
      </c>
      <c r="L30" s="40">
        <v>0</v>
      </c>
      <c r="M30" s="40">
        <f t="shared" si="3"/>
        <v>271568.81360000011</v>
      </c>
      <c r="N30" s="40"/>
    </row>
    <row r="31" spans="1:14">
      <c r="A31" s="222">
        <v>29</v>
      </c>
      <c r="B31" s="219">
        <v>46201</v>
      </c>
      <c r="C31" s="40"/>
      <c r="D31" s="40"/>
      <c r="E31" s="266">
        <v>288.42</v>
      </c>
      <c r="F31" s="295">
        <v>99.13</v>
      </c>
      <c r="G31" s="40">
        <f t="shared" si="0"/>
        <v>28591.0746</v>
      </c>
      <c r="H31" s="40"/>
      <c r="I31" s="40"/>
      <c r="J31" s="40">
        <f t="shared" si="1"/>
        <v>0</v>
      </c>
      <c r="K31" s="40">
        <f t="shared" si="2"/>
        <v>28591.0746</v>
      </c>
      <c r="L31" s="40">
        <v>0</v>
      </c>
      <c r="M31" s="40">
        <f t="shared" si="3"/>
        <v>300159.8882000001</v>
      </c>
      <c r="N31" s="40"/>
    </row>
    <row r="32" spans="1:14">
      <c r="A32" s="222">
        <v>30</v>
      </c>
      <c r="B32" s="219">
        <v>46202</v>
      </c>
      <c r="C32" s="40"/>
      <c r="D32" s="40"/>
      <c r="E32" s="266"/>
      <c r="F32" s="295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>
        <v>0</v>
      </c>
      <c r="M32" s="40">
        <f t="shared" si="3"/>
        <v>300159.8882000001</v>
      </c>
      <c r="N32" s="40"/>
    </row>
    <row r="33" spans="1:14">
      <c r="A33" s="222">
        <v>31</v>
      </c>
      <c r="B33" s="219"/>
      <c r="C33" s="40"/>
      <c r="D33" s="40"/>
      <c r="E33" s="266"/>
      <c r="F33" s="295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>
        <v>0</v>
      </c>
      <c r="M33" s="40">
        <f t="shared" si="3"/>
        <v>300159.8882000001</v>
      </c>
      <c r="N33" s="40"/>
    </row>
    <row r="34" spans="1:14">
      <c r="A34" s="181"/>
      <c r="B34" s="181"/>
      <c r="C34" s="181"/>
      <c r="D34" s="181"/>
      <c r="E34" s="181">
        <f>SUM(E4:E33)</f>
        <v>7642.1399999999994</v>
      </c>
      <c r="F34" s="181"/>
      <c r="G34" s="181">
        <f>SUM(G4:G33)</f>
        <v>757565.33820000011</v>
      </c>
      <c r="H34" s="181">
        <f>SUM(H4:H33)</f>
        <v>15</v>
      </c>
      <c r="I34" s="181"/>
      <c r="J34" s="181">
        <f>SUM(J4:J33)</f>
        <v>1668.1499999999999</v>
      </c>
      <c r="K34" s="181">
        <f>SUM(K4:K33)</f>
        <v>759233.48820000002</v>
      </c>
      <c r="L34" s="181">
        <f>SUM(L4:L33)</f>
        <v>1250000</v>
      </c>
      <c r="M34" s="181"/>
      <c r="N34" s="18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4F00-955C-484E-8374-CC217A19A54B}">
  <sheetPr>
    <tabColor rgb="FF002060"/>
  </sheetPr>
  <dimension ref="A1:P35"/>
  <sheetViews>
    <sheetView topLeftCell="A13" workbookViewId="0">
      <selection activeCell="H33" sqref="H33"/>
    </sheetView>
  </sheetViews>
  <sheetFormatPr defaultRowHeight="15"/>
  <cols>
    <col min="2" max="2" width="9.85546875" customWidth="1"/>
    <col min="7" max="7" width="10" customWidth="1"/>
    <col min="11" max="11" width="13.5703125" bestFit="1" customWidth="1"/>
    <col min="12" max="12" width="10.42578125" bestFit="1" customWidth="1"/>
    <col min="13" max="13" width="10.5703125" bestFit="1" customWidth="1"/>
  </cols>
  <sheetData>
    <row r="1" spans="1:16" ht="15.75">
      <c r="A1" s="594" t="s">
        <v>149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6"/>
    </row>
    <row r="2" spans="1:16" ht="30.75">
      <c r="A2" s="124" t="s">
        <v>0</v>
      </c>
      <c r="B2" s="213" t="s">
        <v>167</v>
      </c>
      <c r="C2" s="213" t="s">
        <v>168</v>
      </c>
      <c r="D2" s="213" t="s">
        <v>191</v>
      </c>
      <c r="E2" s="213" t="s">
        <v>170</v>
      </c>
      <c r="F2" s="213" t="s">
        <v>171</v>
      </c>
      <c r="G2" s="213" t="s">
        <v>172</v>
      </c>
      <c r="H2" s="213" t="s">
        <v>173</v>
      </c>
      <c r="I2" s="213" t="s">
        <v>171</v>
      </c>
      <c r="J2" s="213" t="s">
        <v>172</v>
      </c>
      <c r="K2" s="175" t="s">
        <v>174</v>
      </c>
      <c r="L2" s="175" t="s">
        <v>175</v>
      </c>
      <c r="M2" s="175" t="s">
        <v>192</v>
      </c>
      <c r="N2" s="213" t="s">
        <v>177</v>
      </c>
    </row>
    <row r="3" spans="1:16">
      <c r="A3" s="597" t="s">
        <v>178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9"/>
      <c r="M3" s="597">
        <v>384179.45210000005</v>
      </c>
      <c r="N3" s="599"/>
    </row>
    <row r="4" spans="1:16">
      <c r="A4" s="196">
        <v>1</v>
      </c>
      <c r="B4" s="219">
        <v>46174</v>
      </c>
      <c r="C4" s="40"/>
      <c r="D4" s="40"/>
      <c r="E4" s="266">
        <v>31.51</v>
      </c>
      <c r="F4" s="295">
        <v>99.37</v>
      </c>
      <c r="G4" s="40">
        <f>E4*F4</f>
        <v>3131.1487000000002</v>
      </c>
      <c r="H4" s="40">
        <v>5</v>
      </c>
      <c r="I4" s="40">
        <v>111.46</v>
      </c>
      <c r="J4" s="40">
        <f>H4*I4</f>
        <v>557.29999999999995</v>
      </c>
      <c r="K4" s="40">
        <f>G4+J4</f>
        <v>3688.4486999999999</v>
      </c>
      <c r="L4" s="40">
        <v>0</v>
      </c>
      <c r="M4" s="40">
        <f>M3+K4-L4</f>
        <v>387867.90080000006</v>
      </c>
      <c r="N4" s="40"/>
    </row>
    <row r="5" spans="1:16">
      <c r="A5" s="46">
        <v>2</v>
      </c>
      <c r="B5" s="219">
        <v>46175</v>
      </c>
      <c r="C5" s="40"/>
      <c r="D5" s="40"/>
      <c r="E5" s="266"/>
      <c r="F5" s="295"/>
      <c r="G5" s="40">
        <f t="shared" ref="G5:G33" si="0">E5*F5</f>
        <v>0</v>
      </c>
      <c r="H5" s="40">
        <v>15</v>
      </c>
      <c r="I5" s="40">
        <v>111.46</v>
      </c>
      <c r="J5" s="40">
        <f t="shared" ref="J5:J33" si="1">H5*I5</f>
        <v>1671.8999999999999</v>
      </c>
      <c r="K5" s="40">
        <f t="shared" ref="K5:K33" si="2">G5+J5</f>
        <v>1671.8999999999999</v>
      </c>
      <c r="L5" s="40">
        <v>0</v>
      </c>
      <c r="M5" s="40">
        <f t="shared" ref="M5:M34" si="3">M4+K5-L5</f>
        <v>389539.80080000008</v>
      </c>
      <c r="N5" s="40"/>
    </row>
    <row r="6" spans="1:16">
      <c r="A6" s="46">
        <v>3</v>
      </c>
      <c r="B6" s="219">
        <v>46176</v>
      </c>
      <c r="C6" s="40"/>
      <c r="D6" s="40"/>
      <c r="E6" s="266"/>
      <c r="F6" s="295"/>
      <c r="G6" s="40">
        <f t="shared" si="0"/>
        <v>0</v>
      </c>
      <c r="H6" s="40"/>
      <c r="I6" s="40"/>
      <c r="J6" s="40">
        <f t="shared" si="1"/>
        <v>0</v>
      </c>
      <c r="K6" s="40">
        <f>G6+J6</f>
        <v>0</v>
      </c>
      <c r="L6" s="40">
        <v>0</v>
      </c>
      <c r="M6" s="40">
        <f t="shared" si="3"/>
        <v>389539.80080000008</v>
      </c>
      <c r="N6" s="40"/>
    </row>
    <row r="7" spans="1:16">
      <c r="A7" s="46">
        <v>4</v>
      </c>
      <c r="B7" s="219">
        <v>46177</v>
      </c>
      <c r="C7" s="40"/>
      <c r="D7" s="40"/>
      <c r="E7" s="266">
        <v>243.16</v>
      </c>
      <c r="F7" s="295">
        <v>99.37</v>
      </c>
      <c r="G7" s="40">
        <f t="shared" si="0"/>
        <v>24162.8092</v>
      </c>
      <c r="H7" s="40"/>
      <c r="I7" s="40"/>
      <c r="J7" s="40">
        <f t="shared" si="1"/>
        <v>0</v>
      </c>
      <c r="K7" s="40">
        <f t="shared" si="2"/>
        <v>24162.8092</v>
      </c>
      <c r="L7" s="40">
        <v>380000</v>
      </c>
      <c r="M7" s="40">
        <f t="shared" si="3"/>
        <v>33702.610000000102</v>
      </c>
      <c r="N7" s="40"/>
    </row>
    <row r="8" spans="1:16">
      <c r="A8" s="46">
        <v>5</v>
      </c>
      <c r="B8" s="219">
        <v>46178</v>
      </c>
      <c r="C8" s="40"/>
      <c r="D8" s="40"/>
      <c r="E8" s="266">
        <v>1542.18</v>
      </c>
      <c r="F8" s="295">
        <v>99.37</v>
      </c>
      <c r="G8" s="40">
        <f t="shared" si="0"/>
        <v>153246.42660000001</v>
      </c>
      <c r="H8" s="40">
        <v>20</v>
      </c>
      <c r="I8" s="40">
        <v>111.46</v>
      </c>
      <c r="J8" s="40">
        <f t="shared" si="1"/>
        <v>2229.1999999999998</v>
      </c>
      <c r="K8" s="40">
        <f t="shared" si="2"/>
        <v>155475.62660000002</v>
      </c>
      <c r="L8" s="40">
        <v>0</v>
      </c>
      <c r="M8" s="40">
        <f t="shared" si="3"/>
        <v>189178.23660000012</v>
      </c>
      <c r="N8" s="40"/>
    </row>
    <row r="9" spans="1:16">
      <c r="A9" s="46">
        <v>6</v>
      </c>
      <c r="B9" s="219">
        <v>46179</v>
      </c>
      <c r="C9" s="40"/>
      <c r="D9" s="40"/>
      <c r="E9" s="266">
        <v>134.47999999999999</v>
      </c>
      <c r="F9" s="295">
        <v>99.37</v>
      </c>
      <c r="G9" s="40">
        <f t="shared" si="0"/>
        <v>13363.277599999999</v>
      </c>
      <c r="H9" s="40">
        <v>25</v>
      </c>
      <c r="I9" s="40">
        <v>111.46</v>
      </c>
      <c r="J9" s="40">
        <f t="shared" si="1"/>
        <v>2786.5</v>
      </c>
      <c r="K9" s="40">
        <f t="shared" si="2"/>
        <v>16149.777599999999</v>
      </c>
      <c r="L9" s="40">
        <v>0</v>
      </c>
      <c r="M9" s="40">
        <f t="shared" si="3"/>
        <v>205328.01420000012</v>
      </c>
      <c r="N9" s="40"/>
    </row>
    <row r="10" spans="1:16">
      <c r="A10" s="46">
        <v>7</v>
      </c>
      <c r="B10" s="219">
        <v>46180</v>
      </c>
      <c r="C10" s="40"/>
      <c r="D10" s="40"/>
      <c r="E10" s="266">
        <v>100</v>
      </c>
      <c r="F10" s="295">
        <v>99.37</v>
      </c>
      <c r="G10" s="40">
        <f t="shared" si="0"/>
        <v>9937</v>
      </c>
      <c r="H10" s="40"/>
      <c r="I10" s="40"/>
      <c r="J10" s="40">
        <f t="shared" si="1"/>
        <v>0</v>
      </c>
      <c r="K10" s="40">
        <f t="shared" si="2"/>
        <v>9937</v>
      </c>
      <c r="L10" s="40">
        <v>0</v>
      </c>
      <c r="M10" s="40">
        <f t="shared" si="3"/>
        <v>215265.01420000012</v>
      </c>
      <c r="N10" s="40"/>
    </row>
    <row r="11" spans="1:16">
      <c r="A11" s="46">
        <v>8</v>
      </c>
      <c r="B11" s="219">
        <v>46181</v>
      </c>
      <c r="C11" s="40"/>
      <c r="D11" s="40"/>
      <c r="E11" s="266"/>
      <c r="F11" s="295"/>
      <c r="G11" s="40">
        <f t="shared" si="0"/>
        <v>0</v>
      </c>
      <c r="H11" s="40">
        <v>20</v>
      </c>
      <c r="I11" s="40">
        <v>111.46</v>
      </c>
      <c r="J11" s="40">
        <f t="shared" si="1"/>
        <v>2229.1999999999998</v>
      </c>
      <c r="K11" s="40">
        <f t="shared" si="2"/>
        <v>2229.1999999999998</v>
      </c>
      <c r="L11" s="40">
        <v>0</v>
      </c>
      <c r="M11" s="40">
        <f t="shared" si="3"/>
        <v>217494.21420000013</v>
      </c>
      <c r="N11" s="40"/>
      <c r="P11" s="22"/>
    </row>
    <row r="12" spans="1:16">
      <c r="A12" s="46">
        <v>9</v>
      </c>
      <c r="B12" s="219">
        <v>46182</v>
      </c>
      <c r="C12" s="40"/>
      <c r="D12" s="40"/>
      <c r="E12" s="266">
        <v>1347.21</v>
      </c>
      <c r="F12" s="295">
        <v>99.37</v>
      </c>
      <c r="G12" s="40">
        <f t="shared" si="0"/>
        <v>133872.25770000002</v>
      </c>
      <c r="H12" s="40">
        <v>35</v>
      </c>
      <c r="I12" s="40">
        <v>111.46</v>
      </c>
      <c r="J12" s="40">
        <f t="shared" si="1"/>
        <v>3901.1</v>
      </c>
      <c r="K12" s="40">
        <f t="shared" si="2"/>
        <v>137773.35770000002</v>
      </c>
      <c r="L12" s="40">
        <v>0</v>
      </c>
      <c r="M12" s="40">
        <f t="shared" si="3"/>
        <v>355267.57190000016</v>
      </c>
      <c r="N12" s="40"/>
    </row>
    <row r="13" spans="1:16">
      <c r="A13" s="46">
        <v>11</v>
      </c>
      <c r="B13" s="219">
        <v>46183</v>
      </c>
      <c r="C13" s="40"/>
      <c r="D13" s="40"/>
      <c r="E13" s="266"/>
      <c r="F13" s="295"/>
      <c r="G13" s="40">
        <f t="shared" si="0"/>
        <v>0</v>
      </c>
      <c r="H13" s="40">
        <v>5</v>
      </c>
      <c r="I13" s="40">
        <v>111.46</v>
      </c>
      <c r="J13" s="40">
        <f t="shared" si="1"/>
        <v>557.29999999999995</v>
      </c>
      <c r="K13" s="40">
        <f t="shared" si="2"/>
        <v>557.29999999999995</v>
      </c>
      <c r="L13" s="40">
        <v>0</v>
      </c>
      <c r="M13" s="40">
        <f t="shared" si="3"/>
        <v>355824.87190000014</v>
      </c>
      <c r="N13" s="40"/>
    </row>
    <row r="14" spans="1:16">
      <c r="A14" s="46">
        <v>12</v>
      </c>
      <c r="B14" s="219">
        <v>46184</v>
      </c>
      <c r="C14" s="40"/>
      <c r="D14" s="40"/>
      <c r="E14" s="266"/>
      <c r="F14" s="295"/>
      <c r="G14" s="40">
        <f t="shared" si="0"/>
        <v>0</v>
      </c>
      <c r="H14" s="40">
        <v>20</v>
      </c>
      <c r="I14" s="40">
        <v>111.46</v>
      </c>
      <c r="J14" s="40">
        <f t="shared" si="1"/>
        <v>2229.1999999999998</v>
      </c>
      <c r="K14" s="40">
        <f t="shared" si="2"/>
        <v>2229.1999999999998</v>
      </c>
      <c r="L14" s="40">
        <v>0</v>
      </c>
      <c r="M14" s="40">
        <f t="shared" si="3"/>
        <v>358054.07190000016</v>
      </c>
      <c r="N14" s="40"/>
    </row>
    <row r="15" spans="1:16">
      <c r="A15" s="46">
        <v>13</v>
      </c>
      <c r="B15" s="219">
        <v>46185</v>
      </c>
      <c r="C15" s="40"/>
      <c r="D15" s="40"/>
      <c r="E15" s="266">
        <v>44.03</v>
      </c>
      <c r="F15" s="295">
        <v>99.37</v>
      </c>
      <c r="G15" s="40">
        <f t="shared" si="0"/>
        <v>4375.2611000000006</v>
      </c>
      <c r="H15" s="40">
        <v>5</v>
      </c>
      <c r="I15" s="40">
        <v>111.46</v>
      </c>
      <c r="J15" s="40">
        <f t="shared" si="1"/>
        <v>557.29999999999995</v>
      </c>
      <c r="K15" s="40">
        <f t="shared" si="2"/>
        <v>4932.5611000000008</v>
      </c>
      <c r="L15" s="40">
        <v>0</v>
      </c>
      <c r="M15" s="40">
        <f t="shared" si="3"/>
        <v>362986.63300000015</v>
      </c>
      <c r="N15" s="40"/>
    </row>
    <row r="16" spans="1:16">
      <c r="A16" s="46">
        <v>14</v>
      </c>
      <c r="B16" s="219">
        <v>46186</v>
      </c>
      <c r="C16" s="40"/>
      <c r="D16" s="40"/>
      <c r="E16" s="266">
        <v>450.71</v>
      </c>
      <c r="F16" s="295">
        <v>99.37</v>
      </c>
      <c r="G16" s="40">
        <f t="shared" si="0"/>
        <v>44787.0527</v>
      </c>
      <c r="H16" s="40">
        <v>9</v>
      </c>
      <c r="I16" s="40">
        <v>111.46</v>
      </c>
      <c r="J16" s="40">
        <f t="shared" si="1"/>
        <v>1003.14</v>
      </c>
      <c r="K16" s="40">
        <f t="shared" si="2"/>
        <v>45790.1927</v>
      </c>
      <c r="L16" s="40">
        <v>0</v>
      </c>
      <c r="M16" s="40">
        <f t="shared" si="3"/>
        <v>408776.82570000016</v>
      </c>
      <c r="N16" s="40"/>
    </row>
    <row r="17" spans="1:14">
      <c r="A17" s="46">
        <v>15</v>
      </c>
      <c r="B17" s="219">
        <v>46187</v>
      </c>
      <c r="C17" s="40"/>
      <c r="D17" s="40"/>
      <c r="E17" s="266"/>
      <c r="F17" s="295"/>
      <c r="G17" s="40">
        <f t="shared" si="0"/>
        <v>0</v>
      </c>
      <c r="H17" s="40">
        <v>15</v>
      </c>
      <c r="I17" s="40">
        <v>111.46</v>
      </c>
      <c r="J17" s="40">
        <f t="shared" si="1"/>
        <v>1671.8999999999999</v>
      </c>
      <c r="K17" s="40">
        <f t="shared" si="2"/>
        <v>1671.8999999999999</v>
      </c>
      <c r="L17" s="40">
        <v>0</v>
      </c>
      <c r="M17" s="40">
        <f t="shared" si="3"/>
        <v>410448.72570000018</v>
      </c>
      <c r="N17" s="40"/>
    </row>
    <row r="18" spans="1:14">
      <c r="A18" s="46">
        <v>16</v>
      </c>
      <c r="B18" s="219">
        <v>46188</v>
      </c>
      <c r="C18" s="40"/>
      <c r="D18" s="40"/>
      <c r="E18" s="266">
        <v>130.86000000000001</v>
      </c>
      <c r="F18" s="295">
        <v>99.37</v>
      </c>
      <c r="G18" s="40">
        <f t="shared" si="0"/>
        <v>13003.558200000001</v>
      </c>
      <c r="H18" s="40">
        <v>20</v>
      </c>
      <c r="I18" s="40">
        <v>111.46</v>
      </c>
      <c r="J18" s="40">
        <f t="shared" si="1"/>
        <v>2229.1999999999998</v>
      </c>
      <c r="K18" s="40">
        <f t="shared" si="2"/>
        <v>15232.7582</v>
      </c>
      <c r="L18" s="40">
        <v>0</v>
      </c>
      <c r="M18" s="40">
        <f t="shared" si="3"/>
        <v>425681.48390000017</v>
      </c>
      <c r="N18" s="40"/>
    </row>
    <row r="19" spans="1:14">
      <c r="A19" s="46">
        <v>17</v>
      </c>
      <c r="B19" s="219">
        <v>46189</v>
      </c>
      <c r="C19" s="40"/>
      <c r="D19" s="40"/>
      <c r="E19" s="266"/>
      <c r="F19" s="295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>
        <v>250000</v>
      </c>
      <c r="M19" s="40">
        <f t="shared" si="3"/>
        <v>175681.48390000017</v>
      </c>
      <c r="N19" s="40"/>
    </row>
    <row r="20" spans="1:14">
      <c r="A20" s="46">
        <v>18</v>
      </c>
      <c r="B20" s="219">
        <v>46190</v>
      </c>
      <c r="C20" s="40"/>
      <c r="D20" s="40"/>
      <c r="E20" s="266">
        <v>319.85000000000002</v>
      </c>
      <c r="F20" s="295">
        <v>99.37</v>
      </c>
      <c r="G20" s="40">
        <f t="shared" si="0"/>
        <v>31783.494500000004</v>
      </c>
      <c r="H20" s="40">
        <v>10</v>
      </c>
      <c r="I20" s="40">
        <v>111.46</v>
      </c>
      <c r="J20" s="40">
        <f t="shared" si="1"/>
        <v>1114.5999999999999</v>
      </c>
      <c r="K20" s="40">
        <f t="shared" si="2"/>
        <v>32898.094500000007</v>
      </c>
      <c r="L20" s="40">
        <v>0</v>
      </c>
      <c r="M20" s="40">
        <f t="shared" si="3"/>
        <v>208579.57840000017</v>
      </c>
      <c r="N20" s="40"/>
    </row>
    <row r="21" spans="1:14">
      <c r="A21" s="46">
        <v>19</v>
      </c>
      <c r="B21" s="219">
        <v>46191</v>
      </c>
      <c r="C21" s="40"/>
      <c r="D21" s="40"/>
      <c r="E21" s="266">
        <v>498.28</v>
      </c>
      <c r="F21" s="295">
        <v>99.37</v>
      </c>
      <c r="G21" s="40">
        <f t="shared" si="0"/>
        <v>49514.083599999998</v>
      </c>
      <c r="H21" s="40">
        <v>25</v>
      </c>
      <c r="I21" s="40">
        <v>111.46</v>
      </c>
      <c r="J21" s="40">
        <f t="shared" si="1"/>
        <v>2786.5</v>
      </c>
      <c r="K21" s="40">
        <f t="shared" si="2"/>
        <v>52300.583599999998</v>
      </c>
      <c r="L21" s="40">
        <v>0</v>
      </c>
      <c r="M21" s="40">
        <f t="shared" si="3"/>
        <v>260880.16200000019</v>
      </c>
      <c r="N21" s="40"/>
    </row>
    <row r="22" spans="1:14">
      <c r="A22" s="46">
        <v>20</v>
      </c>
      <c r="B22" s="219">
        <v>46192</v>
      </c>
      <c r="C22" s="40"/>
      <c r="D22" s="40"/>
      <c r="E22" s="266">
        <v>74.97</v>
      </c>
      <c r="F22" s="295">
        <v>99.37</v>
      </c>
      <c r="G22" s="40">
        <f t="shared" si="0"/>
        <v>7449.7689</v>
      </c>
      <c r="H22" s="40">
        <v>10</v>
      </c>
      <c r="I22" s="40">
        <v>111.46</v>
      </c>
      <c r="J22" s="40">
        <f t="shared" si="1"/>
        <v>1114.5999999999999</v>
      </c>
      <c r="K22" s="40">
        <f t="shared" si="2"/>
        <v>8564.3688999999995</v>
      </c>
      <c r="L22" s="40">
        <v>0</v>
      </c>
      <c r="M22" s="40">
        <f t="shared" si="3"/>
        <v>269444.53090000019</v>
      </c>
      <c r="N22" s="40"/>
    </row>
    <row r="23" spans="1:14">
      <c r="A23" s="46">
        <v>21</v>
      </c>
      <c r="B23" s="219">
        <v>46193</v>
      </c>
      <c r="C23" s="40"/>
      <c r="D23" s="40"/>
      <c r="E23" s="266">
        <v>453.47</v>
      </c>
      <c r="F23" s="295">
        <v>99.37</v>
      </c>
      <c r="G23" s="40">
        <f t="shared" si="0"/>
        <v>45061.313900000008</v>
      </c>
      <c r="H23" s="40">
        <v>10</v>
      </c>
      <c r="I23" s="40">
        <v>111.46</v>
      </c>
      <c r="J23" s="40">
        <f t="shared" si="1"/>
        <v>1114.5999999999999</v>
      </c>
      <c r="K23" s="40">
        <f t="shared" si="2"/>
        <v>46175.913900000007</v>
      </c>
      <c r="L23" s="40">
        <v>0</v>
      </c>
      <c r="M23" s="40">
        <f t="shared" si="3"/>
        <v>315620.44480000017</v>
      </c>
      <c r="N23" s="40"/>
    </row>
    <row r="24" spans="1:14">
      <c r="A24" s="46">
        <v>22</v>
      </c>
      <c r="B24" s="219">
        <v>46194</v>
      </c>
      <c r="C24" s="40"/>
      <c r="D24" s="40"/>
      <c r="E24" s="266">
        <v>551.39</v>
      </c>
      <c r="F24" s="295">
        <v>99.37</v>
      </c>
      <c r="G24" s="40">
        <f t="shared" si="0"/>
        <v>54791.624300000003</v>
      </c>
      <c r="H24" s="40">
        <v>10</v>
      </c>
      <c r="I24" s="40">
        <v>111.46</v>
      </c>
      <c r="J24" s="40">
        <f t="shared" si="1"/>
        <v>1114.5999999999999</v>
      </c>
      <c r="K24" s="40">
        <f t="shared" si="2"/>
        <v>55906.224300000002</v>
      </c>
      <c r="L24" s="40">
        <v>0</v>
      </c>
      <c r="M24" s="40">
        <f t="shared" si="3"/>
        <v>371526.66910000017</v>
      </c>
      <c r="N24" s="40"/>
    </row>
    <row r="25" spans="1:14">
      <c r="A25" s="46">
        <v>23</v>
      </c>
      <c r="B25" s="219">
        <v>46195</v>
      </c>
      <c r="C25" s="40"/>
      <c r="D25" s="40"/>
      <c r="E25" s="266"/>
      <c r="F25" s="295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>
        <v>0</v>
      </c>
      <c r="M25" s="40">
        <f t="shared" si="3"/>
        <v>371526.66910000017</v>
      </c>
      <c r="N25" s="40"/>
    </row>
    <row r="26" spans="1:14">
      <c r="A26" s="46">
        <v>24</v>
      </c>
      <c r="B26" s="219">
        <v>46196</v>
      </c>
      <c r="C26" s="40"/>
      <c r="D26" s="40"/>
      <c r="E26" s="266">
        <v>25.73</v>
      </c>
      <c r="F26" s="295">
        <v>99.37</v>
      </c>
      <c r="G26" s="40">
        <f t="shared" si="0"/>
        <v>2556.7901000000002</v>
      </c>
      <c r="H26" s="40"/>
      <c r="I26" s="40"/>
      <c r="J26" s="40">
        <f t="shared" si="1"/>
        <v>0</v>
      </c>
      <c r="K26" s="40">
        <f t="shared" si="2"/>
        <v>2556.7901000000002</v>
      </c>
      <c r="L26" s="40">
        <v>0</v>
      </c>
      <c r="M26" s="40">
        <f t="shared" si="3"/>
        <v>374083.45920000016</v>
      </c>
      <c r="N26" s="40"/>
    </row>
    <row r="27" spans="1:14">
      <c r="A27" s="221">
        <v>25</v>
      </c>
      <c r="B27" s="219">
        <v>46197</v>
      </c>
      <c r="C27" s="40"/>
      <c r="D27" s="40"/>
      <c r="E27" s="266">
        <v>400</v>
      </c>
      <c r="F27" s="295">
        <v>99.37</v>
      </c>
      <c r="G27" s="40">
        <f t="shared" si="0"/>
        <v>39748</v>
      </c>
      <c r="H27" s="40"/>
      <c r="I27" s="40"/>
      <c r="J27" s="40">
        <f t="shared" si="1"/>
        <v>0</v>
      </c>
      <c r="K27" s="40">
        <f t="shared" si="2"/>
        <v>39748</v>
      </c>
      <c r="L27" s="40">
        <v>0</v>
      </c>
      <c r="M27" s="40">
        <f t="shared" si="3"/>
        <v>413831.45920000016</v>
      </c>
      <c r="N27" s="40"/>
    </row>
    <row r="28" spans="1:14">
      <c r="A28" s="221">
        <v>26</v>
      </c>
      <c r="B28" s="219">
        <v>46198</v>
      </c>
      <c r="C28" s="40"/>
      <c r="D28" s="40"/>
      <c r="E28" s="266">
        <v>92.58</v>
      </c>
      <c r="F28" s="295">
        <v>99.37</v>
      </c>
      <c r="G28" s="40">
        <f t="shared" si="0"/>
        <v>9199.6746000000003</v>
      </c>
      <c r="H28" s="40">
        <v>41</v>
      </c>
      <c r="I28" s="40">
        <v>111.46</v>
      </c>
      <c r="J28" s="40">
        <f t="shared" si="1"/>
        <v>4569.8599999999997</v>
      </c>
      <c r="K28" s="40">
        <f t="shared" si="2"/>
        <v>13769.534599999999</v>
      </c>
      <c r="L28" s="40">
        <v>300000</v>
      </c>
      <c r="M28" s="40">
        <f t="shared" si="3"/>
        <v>127600.99380000017</v>
      </c>
      <c r="N28" s="40"/>
    </row>
    <row r="29" spans="1:14">
      <c r="A29" s="221">
        <v>27</v>
      </c>
      <c r="B29" s="219">
        <v>46199</v>
      </c>
      <c r="C29" s="40"/>
      <c r="D29" s="40"/>
      <c r="E29" s="266">
        <v>201.02</v>
      </c>
      <c r="F29" s="295">
        <v>99.37</v>
      </c>
      <c r="G29" s="40">
        <f t="shared" si="0"/>
        <v>19975.357400000001</v>
      </c>
      <c r="H29" s="40">
        <v>20</v>
      </c>
      <c r="I29" s="40">
        <v>111.46</v>
      </c>
      <c r="J29" s="40">
        <f t="shared" si="1"/>
        <v>2229.1999999999998</v>
      </c>
      <c r="K29" s="40">
        <f t="shared" si="2"/>
        <v>22204.557400000002</v>
      </c>
      <c r="L29" s="40">
        <v>0</v>
      </c>
      <c r="M29" s="40">
        <f t="shared" si="3"/>
        <v>149805.55120000016</v>
      </c>
      <c r="N29" s="40"/>
    </row>
    <row r="30" spans="1:14">
      <c r="A30" s="221">
        <v>28</v>
      </c>
      <c r="B30" s="219">
        <v>46200</v>
      </c>
      <c r="C30" s="40"/>
      <c r="D30" s="40"/>
      <c r="E30" s="266">
        <v>278.73</v>
      </c>
      <c r="F30" s="295">
        <v>99.37</v>
      </c>
      <c r="G30" s="40">
        <f t="shared" si="0"/>
        <v>27697.400100000003</v>
      </c>
      <c r="H30" s="40">
        <v>5</v>
      </c>
      <c r="I30" s="40">
        <v>111.46</v>
      </c>
      <c r="J30" s="40">
        <f t="shared" si="1"/>
        <v>557.29999999999995</v>
      </c>
      <c r="K30" s="40">
        <f t="shared" si="2"/>
        <v>28254.700100000002</v>
      </c>
      <c r="L30" s="40">
        <v>0</v>
      </c>
      <c r="M30" s="40">
        <f t="shared" si="3"/>
        <v>178060.25130000018</v>
      </c>
      <c r="N30" s="40"/>
    </row>
    <row r="31" spans="1:14">
      <c r="A31" s="222">
        <v>29</v>
      </c>
      <c r="B31" s="219">
        <v>46201</v>
      </c>
      <c r="C31" s="40"/>
      <c r="D31" s="40"/>
      <c r="E31" s="266">
        <v>31.95</v>
      </c>
      <c r="F31" s="295">
        <v>99.37</v>
      </c>
      <c r="G31" s="40">
        <f t="shared" si="0"/>
        <v>3174.8715000000002</v>
      </c>
      <c r="H31" s="40"/>
      <c r="I31" s="40"/>
      <c r="J31" s="40">
        <f t="shared" si="1"/>
        <v>0</v>
      </c>
      <c r="K31" s="40">
        <f t="shared" si="2"/>
        <v>3174.8715000000002</v>
      </c>
      <c r="L31" s="40">
        <v>0</v>
      </c>
      <c r="M31" s="40">
        <f t="shared" si="3"/>
        <v>181235.12280000019</v>
      </c>
      <c r="N31" s="40"/>
    </row>
    <row r="32" spans="1:14">
      <c r="A32" s="222">
        <v>30</v>
      </c>
      <c r="B32" s="219">
        <v>46202</v>
      </c>
      <c r="C32" s="40"/>
      <c r="D32" s="40"/>
      <c r="E32" s="491">
        <v>319.58</v>
      </c>
      <c r="F32" s="295">
        <v>99.37</v>
      </c>
      <c r="G32" s="40">
        <f t="shared" si="0"/>
        <v>31756.6646</v>
      </c>
      <c r="H32" s="212">
        <v>20</v>
      </c>
      <c r="I32" s="212">
        <v>111.46</v>
      </c>
      <c r="J32" s="212">
        <f t="shared" si="1"/>
        <v>2229.1999999999998</v>
      </c>
      <c r="K32" s="212">
        <f t="shared" si="2"/>
        <v>33985.864600000001</v>
      </c>
      <c r="L32" s="212">
        <v>0</v>
      </c>
      <c r="M32" s="40">
        <f t="shared" si="3"/>
        <v>215220.98740000019</v>
      </c>
      <c r="N32" s="212"/>
    </row>
    <row r="33" spans="1:14">
      <c r="A33" s="222">
        <v>31</v>
      </c>
      <c r="B33" s="219">
        <v>46203</v>
      </c>
      <c r="C33" s="40"/>
      <c r="D33" s="492"/>
      <c r="E33" s="266">
        <v>779.62</v>
      </c>
      <c r="F33" s="295">
        <v>99.37</v>
      </c>
      <c r="G33" s="40">
        <f t="shared" si="0"/>
        <v>77470.839399999997</v>
      </c>
      <c r="H33" s="40">
        <v>10</v>
      </c>
      <c r="I33" s="212">
        <v>111.46</v>
      </c>
      <c r="J33" s="40">
        <f t="shared" si="1"/>
        <v>1114.5999999999999</v>
      </c>
      <c r="K33" s="40">
        <f t="shared" si="2"/>
        <v>78585.439400000003</v>
      </c>
      <c r="L33" s="40">
        <v>0</v>
      </c>
      <c r="M33" s="40">
        <f t="shared" si="3"/>
        <v>293806.42680000019</v>
      </c>
      <c r="N33" s="40"/>
    </row>
    <row r="34" spans="1:14">
      <c r="A34" s="45"/>
      <c r="B34" s="219"/>
      <c r="C34" s="22"/>
      <c r="D34" s="22"/>
      <c r="E34" s="266"/>
      <c r="F34" s="295"/>
      <c r="G34" s="40"/>
      <c r="H34" s="40"/>
      <c r="I34" s="40"/>
      <c r="J34" s="40">
        <f t="shared" ref="J34" si="4">H34*I34</f>
        <v>0</v>
      </c>
      <c r="K34" s="40">
        <f t="shared" ref="K34" si="5">G34+J34</f>
        <v>0</v>
      </c>
      <c r="L34" s="40"/>
      <c r="M34" s="40">
        <f t="shared" si="3"/>
        <v>293806.42680000019</v>
      </c>
      <c r="N34" s="40"/>
    </row>
    <row r="35" spans="1:14">
      <c r="A35" s="181"/>
      <c r="B35" s="181"/>
      <c r="C35" s="181"/>
      <c r="D35" s="493"/>
      <c r="E35" s="42">
        <f>SUM(E4:E34)</f>
        <v>8051.3100000000013</v>
      </c>
      <c r="F35" s="42"/>
      <c r="G35" s="42">
        <f>SUM(G4:G34)</f>
        <v>800058.67470000009</v>
      </c>
      <c r="H35" s="42">
        <f>SUM(H4:H34)</f>
        <v>355</v>
      </c>
      <c r="I35" s="42"/>
      <c r="J35" s="42">
        <f>SUM(J4:J34)</f>
        <v>39568.299999999988</v>
      </c>
      <c r="K35" s="42">
        <f>SUM(K4:K34)</f>
        <v>839626.97470000014</v>
      </c>
      <c r="L35" s="42">
        <f>SUM(L4:L33)</f>
        <v>930000</v>
      </c>
      <c r="M35" s="42"/>
      <c r="N35" s="42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7"/>
  <sheetViews>
    <sheetView topLeftCell="A12" workbookViewId="0">
      <selection activeCell="L33" sqref="L33"/>
    </sheetView>
  </sheetViews>
  <sheetFormatPr defaultRowHeight="15"/>
  <cols>
    <col min="2" max="2" width="10.5703125" bestFit="1" customWidth="1"/>
    <col min="11" max="11" width="13.5703125" bestFit="1" customWidth="1"/>
    <col min="12" max="12" width="12.42578125" bestFit="1" customWidth="1"/>
  </cols>
  <sheetData>
    <row r="1" spans="1:14" ht="15.75">
      <c r="A1" s="600" t="s">
        <v>368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</row>
    <row r="2" spans="1:14" ht="45">
      <c r="A2" s="124" t="s">
        <v>0</v>
      </c>
      <c r="B2" s="213" t="s">
        <v>167</v>
      </c>
      <c r="C2" s="213" t="s">
        <v>168</v>
      </c>
      <c r="D2" s="213" t="s">
        <v>191</v>
      </c>
      <c r="E2" s="213" t="s">
        <v>170</v>
      </c>
      <c r="F2" s="213" t="s">
        <v>171</v>
      </c>
      <c r="G2" s="213" t="s">
        <v>172</v>
      </c>
      <c r="H2" s="213" t="s">
        <v>173</v>
      </c>
      <c r="I2" s="213" t="s">
        <v>171</v>
      </c>
      <c r="J2" s="213" t="s">
        <v>172</v>
      </c>
      <c r="K2" s="175" t="s">
        <v>174</v>
      </c>
      <c r="L2" s="175" t="s">
        <v>175</v>
      </c>
      <c r="M2" s="175" t="s">
        <v>192</v>
      </c>
      <c r="N2" s="213" t="s">
        <v>177</v>
      </c>
    </row>
    <row r="3" spans="1:14">
      <c r="A3" s="601" t="s">
        <v>178</v>
      </c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1">
        <v>0</v>
      </c>
      <c r="N3" s="601"/>
    </row>
    <row r="4" spans="1:14">
      <c r="A4" s="196">
        <v>1</v>
      </c>
      <c r="B4" s="219">
        <v>46174</v>
      </c>
      <c r="C4" s="40"/>
      <c r="D4" s="40"/>
      <c r="E4" s="40">
        <v>20</v>
      </c>
      <c r="F4" s="40">
        <v>99.12</v>
      </c>
      <c r="G4" s="40">
        <f>E4*F4</f>
        <v>1982.4</v>
      </c>
      <c r="H4" s="40"/>
      <c r="I4" s="40"/>
      <c r="J4" s="40">
        <f>H4*I4</f>
        <v>0</v>
      </c>
      <c r="K4" s="40">
        <f>G4+J4</f>
        <v>1982.4</v>
      </c>
      <c r="L4" s="40">
        <f>+K4</f>
        <v>1982.4</v>
      </c>
      <c r="M4" s="40">
        <f>M3+K4-L4</f>
        <v>0</v>
      </c>
      <c r="N4" s="40"/>
    </row>
    <row r="5" spans="1:14">
      <c r="A5" s="46">
        <v>2</v>
      </c>
      <c r="B5" s="219">
        <v>46175</v>
      </c>
      <c r="C5" s="40"/>
      <c r="D5" s="40"/>
      <c r="E5" s="40"/>
      <c r="F5" s="40"/>
      <c r="G5" s="40">
        <f t="shared" ref="G5:G34" si="0">E5*F5</f>
        <v>0</v>
      </c>
      <c r="H5" s="40"/>
      <c r="I5" s="40"/>
      <c r="J5" s="40">
        <f t="shared" ref="J5:J34" si="1">H5*I5</f>
        <v>0</v>
      </c>
      <c r="K5" s="40">
        <f t="shared" ref="K5:K34" si="2">G5+J5</f>
        <v>0</v>
      </c>
      <c r="L5" s="40">
        <f t="shared" ref="L5:L32" si="3">+K5</f>
        <v>0</v>
      </c>
      <c r="M5" s="40">
        <f t="shared" ref="M5:M34" si="4">M4+K5-L5</f>
        <v>0</v>
      </c>
      <c r="N5" s="40"/>
    </row>
    <row r="6" spans="1:14">
      <c r="A6" s="46">
        <v>3</v>
      </c>
      <c r="B6" s="219">
        <v>46176</v>
      </c>
      <c r="C6" s="40"/>
      <c r="D6" s="40"/>
      <c r="E6" s="40"/>
      <c r="F6" s="40"/>
      <c r="G6" s="40">
        <f t="shared" si="0"/>
        <v>0</v>
      </c>
      <c r="H6" s="40"/>
      <c r="I6" s="40"/>
      <c r="J6" s="40">
        <f t="shared" si="1"/>
        <v>0</v>
      </c>
      <c r="K6" s="40">
        <f t="shared" si="2"/>
        <v>0</v>
      </c>
      <c r="L6" s="40">
        <f t="shared" si="3"/>
        <v>0</v>
      </c>
      <c r="M6" s="40">
        <f t="shared" si="4"/>
        <v>0</v>
      </c>
      <c r="N6" s="40"/>
    </row>
    <row r="7" spans="1:14">
      <c r="A7" s="46">
        <v>4</v>
      </c>
      <c r="B7" s="219">
        <v>46177</v>
      </c>
      <c r="C7" s="40"/>
      <c r="D7" s="40"/>
      <c r="E7" s="40"/>
      <c r="F7" s="4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>
        <f t="shared" si="3"/>
        <v>0</v>
      </c>
      <c r="M7" s="40">
        <f t="shared" si="4"/>
        <v>0</v>
      </c>
      <c r="N7" s="40"/>
    </row>
    <row r="8" spans="1:14">
      <c r="A8" s="46">
        <v>5</v>
      </c>
      <c r="B8" s="219">
        <v>46178</v>
      </c>
      <c r="C8" s="40"/>
      <c r="D8" s="40"/>
      <c r="E8" s="40"/>
      <c r="F8" s="40"/>
      <c r="G8" s="40">
        <f t="shared" si="0"/>
        <v>0</v>
      </c>
      <c r="H8" s="40">
        <v>5</v>
      </c>
      <c r="I8" s="40">
        <v>111.2</v>
      </c>
      <c r="J8" s="40">
        <f t="shared" si="1"/>
        <v>556</v>
      </c>
      <c r="K8" s="40">
        <f t="shared" si="2"/>
        <v>556</v>
      </c>
      <c r="L8" s="40">
        <f t="shared" si="3"/>
        <v>556</v>
      </c>
      <c r="M8" s="40">
        <f t="shared" si="4"/>
        <v>0</v>
      </c>
      <c r="N8" s="40"/>
    </row>
    <row r="9" spans="1:14">
      <c r="A9" s="46">
        <v>6</v>
      </c>
      <c r="B9" s="219">
        <v>46179</v>
      </c>
      <c r="C9" s="40"/>
      <c r="D9" s="40"/>
      <c r="E9" s="40">
        <v>40</v>
      </c>
      <c r="F9" s="40">
        <v>99.12</v>
      </c>
      <c r="G9" s="40">
        <f t="shared" si="0"/>
        <v>3964.8</v>
      </c>
      <c r="H9" s="40"/>
      <c r="I9" s="40"/>
      <c r="J9" s="40">
        <f t="shared" si="1"/>
        <v>0</v>
      </c>
      <c r="K9" s="40">
        <f t="shared" si="2"/>
        <v>3964.8</v>
      </c>
      <c r="L9" s="40">
        <f t="shared" si="3"/>
        <v>3964.8</v>
      </c>
      <c r="M9" s="40">
        <f t="shared" si="4"/>
        <v>0</v>
      </c>
      <c r="N9" s="40"/>
    </row>
    <row r="10" spans="1:14">
      <c r="A10" s="46">
        <v>7</v>
      </c>
      <c r="B10" s="219">
        <v>46180</v>
      </c>
      <c r="C10" s="40"/>
      <c r="D10" s="40"/>
      <c r="E10" s="40">
        <v>30</v>
      </c>
      <c r="F10" s="40">
        <v>99.12</v>
      </c>
      <c r="G10" s="40">
        <f t="shared" si="0"/>
        <v>2973.6000000000004</v>
      </c>
      <c r="H10" s="40"/>
      <c r="I10" s="40"/>
      <c r="J10" s="40">
        <f t="shared" si="1"/>
        <v>0</v>
      </c>
      <c r="K10" s="40">
        <f t="shared" si="2"/>
        <v>2973.6000000000004</v>
      </c>
      <c r="L10" s="40">
        <f t="shared" si="3"/>
        <v>2973.6000000000004</v>
      </c>
      <c r="M10" s="40">
        <f t="shared" si="4"/>
        <v>0</v>
      </c>
      <c r="N10" s="40"/>
    </row>
    <row r="11" spans="1:14">
      <c r="A11" s="46">
        <v>8</v>
      </c>
      <c r="B11" s="219">
        <v>46181</v>
      </c>
      <c r="C11" s="40"/>
      <c r="D11" s="40"/>
      <c r="E11" s="40">
        <v>20</v>
      </c>
      <c r="F11" s="40">
        <v>99.12</v>
      </c>
      <c r="G11" s="40">
        <f t="shared" si="0"/>
        <v>1982.4</v>
      </c>
      <c r="H11" s="40"/>
      <c r="I11" s="40"/>
      <c r="J11" s="40">
        <f t="shared" si="1"/>
        <v>0</v>
      </c>
      <c r="K11" s="40">
        <f t="shared" si="2"/>
        <v>1982.4</v>
      </c>
      <c r="L11" s="40">
        <f t="shared" si="3"/>
        <v>1982.4</v>
      </c>
      <c r="M11" s="40">
        <f t="shared" si="4"/>
        <v>0</v>
      </c>
      <c r="N11" s="40"/>
    </row>
    <row r="12" spans="1:14">
      <c r="A12" s="46">
        <v>9</v>
      </c>
      <c r="B12" s="219">
        <v>46182</v>
      </c>
      <c r="C12" s="40"/>
      <c r="D12" s="40"/>
      <c r="E12" s="40"/>
      <c r="F12" s="40"/>
      <c r="G12" s="40">
        <f t="shared" si="0"/>
        <v>0</v>
      </c>
      <c r="H12" s="40">
        <v>5</v>
      </c>
      <c r="I12" s="40">
        <v>111.2</v>
      </c>
      <c r="J12" s="40">
        <f t="shared" si="1"/>
        <v>556</v>
      </c>
      <c r="K12" s="40">
        <f t="shared" si="2"/>
        <v>556</v>
      </c>
      <c r="L12" s="40">
        <f t="shared" si="3"/>
        <v>556</v>
      </c>
      <c r="M12" s="40">
        <f t="shared" si="4"/>
        <v>0</v>
      </c>
      <c r="N12" s="40"/>
    </row>
    <row r="13" spans="1:14">
      <c r="A13" s="46">
        <v>10</v>
      </c>
      <c r="B13" s="219">
        <v>46183</v>
      </c>
      <c r="C13" s="40"/>
      <c r="D13" s="40"/>
      <c r="E13" s="40"/>
      <c r="F13" s="40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>
        <f t="shared" si="3"/>
        <v>0</v>
      </c>
      <c r="M13" s="40">
        <f t="shared" si="4"/>
        <v>0</v>
      </c>
      <c r="N13" s="40"/>
    </row>
    <row r="14" spans="1:14">
      <c r="A14" s="46">
        <v>11</v>
      </c>
      <c r="B14" s="219">
        <v>46184</v>
      </c>
      <c r="C14" s="40"/>
      <c r="D14" s="40"/>
      <c r="E14" s="40">
        <v>80</v>
      </c>
      <c r="F14" s="40">
        <v>99.12</v>
      </c>
      <c r="G14" s="40">
        <f t="shared" si="0"/>
        <v>7929.6</v>
      </c>
      <c r="H14" s="40"/>
      <c r="I14" s="40"/>
      <c r="J14" s="40">
        <f t="shared" si="1"/>
        <v>0</v>
      </c>
      <c r="K14" s="40">
        <f t="shared" si="2"/>
        <v>7929.6</v>
      </c>
      <c r="L14" s="40">
        <f t="shared" si="3"/>
        <v>7929.6</v>
      </c>
      <c r="M14" s="40">
        <f t="shared" si="4"/>
        <v>0</v>
      </c>
      <c r="N14" s="40"/>
    </row>
    <row r="15" spans="1:14">
      <c r="A15" s="46">
        <v>12</v>
      </c>
      <c r="B15" s="219">
        <v>46185</v>
      </c>
      <c r="C15" s="40"/>
      <c r="D15" s="40"/>
      <c r="E15" s="40"/>
      <c r="F15" s="40"/>
      <c r="G15" s="40">
        <f t="shared" si="0"/>
        <v>0</v>
      </c>
      <c r="H15" s="40"/>
      <c r="I15" s="40"/>
      <c r="J15" s="40">
        <f t="shared" si="1"/>
        <v>0</v>
      </c>
      <c r="K15" s="40">
        <f t="shared" si="2"/>
        <v>0</v>
      </c>
      <c r="L15" s="40">
        <f t="shared" si="3"/>
        <v>0</v>
      </c>
      <c r="M15" s="40">
        <f t="shared" si="4"/>
        <v>0</v>
      </c>
      <c r="N15" s="40"/>
    </row>
    <row r="16" spans="1:14">
      <c r="A16" s="46">
        <v>13</v>
      </c>
      <c r="B16" s="219">
        <v>46186</v>
      </c>
      <c r="C16" s="40"/>
      <c r="D16" s="40"/>
      <c r="E16" s="40">
        <v>20</v>
      </c>
      <c r="F16" s="40">
        <v>99.12</v>
      </c>
      <c r="G16" s="40">
        <f t="shared" si="0"/>
        <v>1982.4</v>
      </c>
      <c r="H16" s="40"/>
      <c r="I16" s="40"/>
      <c r="J16" s="40">
        <f t="shared" si="1"/>
        <v>0</v>
      </c>
      <c r="K16" s="40">
        <f t="shared" si="2"/>
        <v>1982.4</v>
      </c>
      <c r="L16" s="40">
        <f t="shared" si="3"/>
        <v>1982.4</v>
      </c>
      <c r="M16" s="40">
        <f t="shared" si="4"/>
        <v>0</v>
      </c>
      <c r="N16" s="40"/>
    </row>
    <row r="17" spans="1:14">
      <c r="A17" s="46">
        <v>14</v>
      </c>
      <c r="B17" s="219">
        <v>46187</v>
      </c>
      <c r="C17" s="40"/>
      <c r="D17" s="40"/>
      <c r="E17" s="40"/>
      <c r="F17" s="40"/>
      <c r="G17" s="40">
        <f t="shared" si="0"/>
        <v>0</v>
      </c>
      <c r="H17" s="40"/>
      <c r="I17" s="40"/>
      <c r="J17" s="40">
        <f t="shared" si="1"/>
        <v>0</v>
      </c>
      <c r="K17" s="40">
        <f t="shared" si="2"/>
        <v>0</v>
      </c>
      <c r="L17" s="40">
        <f t="shared" si="3"/>
        <v>0</v>
      </c>
      <c r="M17" s="40">
        <f t="shared" si="4"/>
        <v>0</v>
      </c>
      <c r="N17" s="40"/>
    </row>
    <row r="18" spans="1:14">
      <c r="A18" s="46">
        <v>15</v>
      </c>
      <c r="B18" s="219">
        <v>46188</v>
      </c>
      <c r="C18" s="40"/>
      <c r="D18" s="40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>
        <f t="shared" si="3"/>
        <v>0</v>
      </c>
      <c r="M18" s="40">
        <f t="shared" si="4"/>
        <v>0</v>
      </c>
      <c r="N18" s="40"/>
    </row>
    <row r="19" spans="1:14">
      <c r="A19" s="46">
        <v>16</v>
      </c>
      <c r="B19" s="219">
        <v>46189</v>
      </c>
      <c r="C19" s="40"/>
      <c r="D19" s="40"/>
      <c r="E19" s="40">
        <v>30</v>
      </c>
      <c r="F19" s="40">
        <v>99.12</v>
      </c>
      <c r="G19" s="40">
        <f t="shared" si="0"/>
        <v>2973.6000000000004</v>
      </c>
      <c r="H19" s="40">
        <v>5</v>
      </c>
      <c r="I19" s="40">
        <v>111.2</v>
      </c>
      <c r="J19" s="40">
        <f t="shared" si="1"/>
        <v>556</v>
      </c>
      <c r="K19" s="40">
        <f t="shared" si="2"/>
        <v>3529.6000000000004</v>
      </c>
      <c r="L19" s="40">
        <f t="shared" si="3"/>
        <v>3529.6000000000004</v>
      </c>
      <c r="M19" s="40">
        <f t="shared" si="4"/>
        <v>0</v>
      </c>
      <c r="N19" s="40"/>
    </row>
    <row r="20" spans="1:14">
      <c r="A20" s="46">
        <v>17</v>
      </c>
      <c r="B20" s="219">
        <v>46190</v>
      </c>
      <c r="C20" s="40"/>
      <c r="D20" s="40"/>
      <c r="E20" s="40">
        <v>45</v>
      </c>
      <c r="F20" s="40">
        <v>99.12</v>
      </c>
      <c r="G20" s="40">
        <f t="shared" si="0"/>
        <v>4460.4000000000005</v>
      </c>
      <c r="H20" s="40"/>
      <c r="I20" s="40"/>
      <c r="J20" s="40">
        <f t="shared" si="1"/>
        <v>0</v>
      </c>
      <c r="K20" s="40">
        <f t="shared" si="2"/>
        <v>4460.4000000000005</v>
      </c>
      <c r="L20" s="40">
        <f t="shared" si="3"/>
        <v>4460.4000000000005</v>
      </c>
      <c r="M20" s="40">
        <f t="shared" si="4"/>
        <v>0</v>
      </c>
      <c r="N20" s="40"/>
    </row>
    <row r="21" spans="1:14">
      <c r="A21" s="46">
        <v>18</v>
      </c>
      <c r="B21" s="219">
        <v>46191</v>
      </c>
      <c r="C21" s="40"/>
      <c r="D21" s="40"/>
      <c r="E21" s="40"/>
      <c r="F21" s="40"/>
      <c r="G21" s="40">
        <f t="shared" si="0"/>
        <v>0</v>
      </c>
      <c r="H21" s="40"/>
      <c r="I21" s="40"/>
      <c r="J21" s="40">
        <f t="shared" si="1"/>
        <v>0</v>
      </c>
      <c r="K21" s="40">
        <f t="shared" si="2"/>
        <v>0</v>
      </c>
      <c r="L21" s="40">
        <f t="shared" si="3"/>
        <v>0</v>
      </c>
      <c r="M21" s="40">
        <f t="shared" si="4"/>
        <v>0</v>
      </c>
      <c r="N21" s="40"/>
    </row>
    <row r="22" spans="1:14">
      <c r="A22" s="46">
        <v>19</v>
      </c>
      <c r="B22" s="219">
        <v>46192</v>
      </c>
      <c r="C22" s="40"/>
      <c r="D22" s="40"/>
      <c r="E22" s="40"/>
      <c r="F22" s="4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>
        <f t="shared" si="3"/>
        <v>0</v>
      </c>
      <c r="M22" s="40">
        <f t="shared" si="4"/>
        <v>0</v>
      </c>
      <c r="N22" s="40"/>
    </row>
    <row r="23" spans="1:14">
      <c r="A23" s="46">
        <v>20</v>
      </c>
      <c r="B23" s="219">
        <v>46193</v>
      </c>
      <c r="C23" s="40"/>
      <c r="D23" s="40"/>
      <c r="E23" s="40"/>
      <c r="F23" s="4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>
        <f t="shared" si="3"/>
        <v>0</v>
      </c>
      <c r="M23" s="40">
        <f t="shared" si="4"/>
        <v>0</v>
      </c>
      <c r="N23" s="40"/>
    </row>
    <row r="24" spans="1:14">
      <c r="A24" s="46">
        <v>21</v>
      </c>
      <c r="B24" s="219">
        <v>46194</v>
      </c>
      <c r="C24" s="40"/>
      <c r="D24" s="40"/>
      <c r="E24" s="40">
        <v>20</v>
      </c>
      <c r="F24" s="40">
        <v>99.12</v>
      </c>
      <c r="G24" s="40">
        <f t="shared" si="0"/>
        <v>1982.4</v>
      </c>
      <c r="H24" s="40"/>
      <c r="I24" s="40"/>
      <c r="J24" s="40">
        <f t="shared" si="1"/>
        <v>0</v>
      </c>
      <c r="K24" s="40">
        <f t="shared" si="2"/>
        <v>1982.4</v>
      </c>
      <c r="L24" s="40">
        <f t="shared" si="3"/>
        <v>1982.4</v>
      </c>
      <c r="M24" s="40">
        <f t="shared" si="4"/>
        <v>0</v>
      </c>
      <c r="N24" s="40"/>
    </row>
    <row r="25" spans="1:14">
      <c r="A25" s="46">
        <v>22</v>
      </c>
      <c r="B25" s="219">
        <v>46195</v>
      </c>
      <c r="C25" s="40"/>
      <c r="D25" s="40"/>
      <c r="E25" s="40"/>
      <c r="F25" s="4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>
        <f t="shared" si="3"/>
        <v>0</v>
      </c>
      <c r="M25" s="40">
        <f t="shared" si="4"/>
        <v>0</v>
      </c>
      <c r="N25" s="40"/>
    </row>
    <row r="26" spans="1:14">
      <c r="A26" s="46">
        <v>23</v>
      </c>
      <c r="B26" s="219">
        <v>46196</v>
      </c>
      <c r="C26" s="40"/>
      <c r="D26" s="40"/>
      <c r="E26" s="40"/>
      <c r="F26" s="40"/>
      <c r="G26" s="40">
        <f t="shared" si="0"/>
        <v>0</v>
      </c>
      <c r="H26" s="40"/>
      <c r="I26" s="40"/>
      <c r="J26" s="40">
        <f t="shared" si="1"/>
        <v>0</v>
      </c>
      <c r="K26" s="40">
        <f t="shared" si="2"/>
        <v>0</v>
      </c>
      <c r="L26" s="40">
        <f t="shared" si="3"/>
        <v>0</v>
      </c>
      <c r="M26" s="40">
        <f t="shared" si="4"/>
        <v>0</v>
      </c>
      <c r="N26" s="40"/>
    </row>
    <row r="27" spans="1:14">
      <c r="A27" s="46">
        <v>24</v>
      </c>
      <c r="B27" s="219">
        <v>46197</v>
      </c>
      <c r="C27" s="40"/>
      <c r="D27" s="40"/>
      <c r="E27" s="40"/>
      <c r="F27" s="40"/>
      <c r="G27" s="40">
        <f t="shared" si="0"/>
        <v>0</v>
      </c>
      <c r="H27" s="40">
        <v>5</v>
      </c>
      <c r="I27" s="40">
        <v>111.2</v>
      </c>
      <c r="J27" s="40">
        <f t="shared" si="1"/>
        <v>556</v>
      </c>
      <c r="K27" s="40">
        <f t="shared" si="2"/>
        <v>556</v>
      </c>
      <c r="L27" s="40">
        <f t="shared" si="3"/>
        <v>556</v>
      </c>
      <c r="M27" s="40">
        <f t="shared" si="4"/>
        <v>0</v>
      </c>
      <c r="N27" s="40"/>
    </row>
    <row r="28" spans="1:14">
      <c r="A28" s="221">
        <v>25</v>
      </c>
      <c r="B28" s="219">
        <v>46198</v>
      </c>
      <c r="C28" s="40"/>
      <c r="D28" s="40"/>
      <c r="E28" s="40">
        <v>20</v>
      </c>
      <c r="F28" s="40">
        <v>99.12</v>
      </c>
      <c r="G28" s="40">
        <f t="shared" si="0"/>
        <v>1982.4</v>
      </c>
      <c r="H28" s="40"/>
      <c r="I28" s="40"/>
      <c r="J28" s="40">
        <f t="shared" si="1"/>
        <v>0</v>
      </c>
      <c r="K28" s="40">
        <f t="shared" si="2"/>
        <v>1982.4</v>
      </c>
      <c r="L28" s="40">
        <f t="shared" si="3"/>
        <v>1982.4</v>
      </c>
      <c r="M28" s="40">
        <f t="shared" si="4"/>
        <v>0</v>
      </c>
      <c r="N28" s="40"/>
    </row>
    <row r="29" spans="1:14">
      <c r="A29" s="221">
        <v>26</v>
      </c>
      <c r="B29" s="219">
        <v>46199</v>
      </c>
      <c r="C29" s="40"/>
      <c r="D29" s="40"/>
      <c r="E29" s="40"/>
      <c r="F29" s="4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>
        <f t="shared" si="3"/>
        <v>0</v>
      </c>
      <c r="M29" s="40">
        <f t="shared" si="4"/>
        <v>0</v>
      </c>
      <c r="N29" s="40"/>
    </row>
    <row r="30" spans="1:14">
      <c r="A30" s="221">
        <v>27</v>
      </c>
      <c r="B30" s="219">
        <v>46200</v>
      </c>
      <c r="C30" s="40"/>
      <c r="D30" s="40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>
        <f t="shared" si="3"/>
        <v>0</v>
      </c>
      <c r="M30" s="40">
        <f t="shared" si="4"/>
        <v>0</v>
      </c>
      <c r="N30" s="40"/>
    </row>
    <row r="31" spans="1:14">
      <c r="A31" s="221">
        <v>28</v>
      </c>
      <c r="B31" s="219">
        <v>46201</v>
      </c>
      <c r="C31" s="40"/>
      <c r="D31" s="40"/>
      <c r="E31" s="40"/>
      <c r="F31" s="40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>
        <f t="shared" si="3"/>
        <v>0</v>
      </c>
      <c r="M31" s="40">
        <f t="shared" si="4"/>
        <v>0</v>
      </c>
      <c r="N31" s="40"/>
    </row>
    <row r="32" spans="1:14">
      <c r="A32" s="222">
        <v>29</v>
      </c>
      <c r="B32" s="219">
        <v>46202</v>
      </c>
      <c r="C32" s="40"/>
      <c r="D32" s="40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>
        <f t="shared" si="3"/>
        <v>0</v>
      </c>
      <c r="M32" s="40">
        <f t="shared" si="4"/>
        <v>0</v>
      </c>
      <c r="N32" s="40"/>
    </row>
    <row r="33" spans="1:14">
      <c r="A33" s="222">
        <v>30</v>
      </c>
      <c r="B33" s="219">
        <v>46203</v>
      </c>
      <c r="C33" s="40"/>
      <c r="D33" s="40"/>
      <c r="E33" s="40">
        <v>20</v>
      </c>
      <c r="F33" s="40">
        <v>99.12</v>
      </c>
      <c r="G33" s="40">
        <f t="shared" si="0"/>
        <v>1982.4</v>
      </c>
      <c r="H33" s="40"/>
      <c r="I33" s="40"/>
      <c r="J33" s="40">
        <f t="shared" si="1"/>
        <v>0</v>
      </c>
      <c r="K33" s="40">
        <f t="shared" si="2"/>
        <v>1982.4</v>
      </c>
      <c r="L33" s="40">
        <f t="shared" ref="L33:L34" si="5">+K33</f>
        <v>1982.4</v>
      </c>
      <c r="M33" s="40">
        <f t="shared" si="4"/>
        <v>0</v>
      </c>
      <c r="N33" s="40"/>
    </row>
    <row r="34" spans="1:14">
      <c r="A34" s="222">
        <v>31</v>
      </c>
      <c r="B34" s="219"/>
      <c r="C34" s="40"/>
      <c r="D34" s="40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>
        <f t="shared" si="5"/>
        <v>0</v>
      </c>
      <c r="M34" s="40">
        <f t="shared" si="4"/>
        <v>0</v>
      </c>
      <c r="N34" s="40"/>
    </row>
    <row r="35" spans="1:14">
      <c r="A35" s="181"/>
      <c r="B35" s="181"/>
      <c r="C35" s="181"/>
      <c r="D35" s="181"/>
      <c r="E35" s="181">
        <f>SUM(E4:E34)</f>
        <v>345</v>
      </c>
      <c r="F35" s="181"/>
      <c r="G35" s="181">
        <f>SUM(G4:G34)</f>
        <v>34196.400000000009</v>
      </c>
      <c r="H35" s="181">
        <f>SUM(H4:H34)</f>
        <v>20</v>
      </c>
      <c r="I35" s="181"/>
      <c r="J35" s="181">
        <f>SUM(J4:J34)</f>
        <v>2224</v>
      </c>
      <c r="K35" s="181">
        <f>SUM(K4:K34)</f>
        <v>36420.400000000009</v>
      </c>
      <c r="L35" s="181">
        <f>SUM(L4:L34)</f>
        <v>36420.400000000009</v>
      </c>
      <c r="M35" s="181"/>
      <c r="N35" s="181"/>
    </row>
    <row r="37" spans="1:14">
      <c r="E37">
        <v>295</v>
      </c>
      <c r="H37">
        <v>41.17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P46"/>
  <sheetViews>
    <sheetView workbookViewId="0">
      <pane ySplit="2" topLeftCell="A17" activePane="bottomLeft" state="frozen"/>
      <selection pane="bottomLeft" activeCell="L33" sqref="L33:M33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02" bestFit="1" customWidth="1"/>
    <col min="8" max="8" width="11.140625" style="5" customWidth="1"/>
    <col min="9" max="9" width="9.140625" style="5"/>
    <col min="10" max="10" width="10.85546875" style="102" bestFit="1" customWidth="1"/>
    <col min="11" max="11" width="12.85546875" style="5" customWidth="1"/>
    <col min="12" max="12" width="13.5703125" style="102" bestFit="1" customWidth="1"/>
    <col min="13" max="13" width="13.5703125" style="102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6" ht="15.75">
      <c r="A1" s="568" t="s">
        <v>369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</row>
    <row r="2" spans="1:16" ht="18" customHeight="1">
      <c r="A2" s="64" t="s">
        <v>0</v>
      </c>
      <c r="B2" s="83" t="s">
        <v>167</v>
      </c>
      <c r="C2" s="83" t="s">
        <v>168</v>
      </c>
      <c r="D2" s="83" t="s">
        <v>191</v>
      </c>
      <c r="E2" s="83" t="s">
        <v>170</v>
      </c>
      <c r="F2" s="83" t="s">
        <v>171</v>
      </c>
      <c r="G2" s="90" t="s">
        <v>172</v>
      </c>
      <c r="H2" s="83" t="s">
        <v>173</v>
      </c>
      <c r="I2" s="83" t="s">
        <v>171</v>
      </c>
      <c r="J2" s="90" t="s">
        <v>172</v>
      </c>
      <c r="K2" s="64" t="s">
        <v>174</v>
      </c>
      <c r="L2" s="91" t="s">
        <v>175</v>
      </c>
      <c r="M2" s="127" t="s">
        <v>192</v>
      </c>
      <c r="N2" s="83" t="s">
        <v>177</v>
      </c>
    </row>
    <row r="3" spans="1:16" ht="18" customHeight="1">
      <c r="A3" s="602" t="s">
        <v>178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292"/>
      <c r="N3" s="291">
        <v>14774.411199999984</v>
      </c>
      <c r="P3" s="102"/>
    </row>
    <row r="4" spans="1:16">
      <c r="A4" s="6">
        <v>1</v>
      </c>
      <c r="B4" s="219">
        <v>46174</v>
      </c>
      <c r="C4" s="6"/>
      <c r="D4" s="6"/>
      <c r="E4" s="65"/>
      <c r="F4" s="6"/>
      <c r="G4" s="66">
        <f>E4*F4</f>
        <v>0</v>
      </c>
      <c r="H4" s="309">
        <v>2</v>
      </c>
      <c r="I4" s="318">
        <v>111.42</v>
      </c>
      <c r="J4" s="66">
        <f>H4*I4</f>
        <v>222.84</v>
      </c>
      <c r="K4" s="66">
        <f>G4+J4</f>
        <v>222.84</v>
      </c>
      <c r="L4" s="66"/>
      <c r="M4" s="293">
        <f>N3+K4-L4</f>
        <v>14997.251199999984</v>
      </c>
      <c r="N4" s="46" t="s">
        <v>334</v>
      </c>
    </row>
    <row r="5" spans="1:16">
      <c r="A5" s="6">
        <v>2</v>
      </c>
      <c r="B5" s="219">
        <v>46175</v>
      </c>
      <c r="C5" s="6"/>
      <c r="D5" s="6"/>
      <c r="E5" s="65"/>
      <c r="F5" s="6"/>
      <c r="G5" s="66">
        <f t="shared" ref="G5:G30" si="0">E5*F5</f>
        <v>0</v>
      </c>
      <c r="H5" s="309">
        <v>4.49</v>
      </c>
      <c r="I5" s="318">
        <v>111.42</v>
      </c>
      <c r="J5" s="66">
        <f t="shared" ref="J5:J44" si="1">H5*I5</f>
        <v>500.2758</v>
      </c>
      <c r="K5" s="66">
        <f t="shared" ref="K5:L44" si="2">G5+J5</f>
        <v>500.2758</v>
      </c>
      <c r="L5" s="66"/>
      <c r="M5" s="149">
        <f>M4+K5-L5</f>
        <v>15497.526999999984</v>
      </c>
      <c r="N5" s="46" t="s">
        <v>334</v>
      </c>
    </row>
    <row r="6" spans="1:16">
      <c r="A6" s="6">
        <v>3</v>
      </c>
      <c r="B6" s="219">
        <v>46176</v>
      </c>
      <c r="C6" s="6"/>
      <c r="D6" s="6"/>
      <c r="E6" s="65">
        <v>45.5</v>
      </c>
      <c r="F6" s="6">
        <v>99.32</v>
      </c>
      <c r="G6" s="66">
        <f t="shared" si="0"/>
        <v>4519.0599999999995</v>
      </c>
      <c r="H6" s="514">
        <v>7.63</v>
      </c>
      <c r="I6" s="515">
        <v>111.42</v>
      </c>
      <c r="J6" s="66">
        <f t="shared" si="1"/>
        <v>850.13459999999998</v>
      </c>
      <c r="K6" s="66">
        <f t="shared" si="2"/>
        <v>5369.1945999999998</v>
      </c>
      <c r="L6" s="66"/>
      <c r="M6" s="149">
        <f t="shared" ref="M5:M45" si="3">M5+K6-L6</f>
        <v>20866.721599999983</v>
      </c>
      <c r="N6" s="46" t="s">
        <v>334</v>
      </c>
    </row>
    <row r="7" spans="1:16">
      <c r="A7" s="6">
        <v>4</v>
      </c>
      <c r="B7" s="219">
        <v>46177</v>
      </c>
      <c r="C7" s="6"/>
      <c r="D7" s="6"/>
      <c r="E7" s="65"/>
      <c r="F7" s="6"/>
      <c r="G7" s="66">
        <f t="shared" si="0"/>
        <v>0</v>
      </c>
      <c r="H7" s="65"/>
      <c r="I7" s="318"/>
      <c r="J7" s="66">
        <f t="shared" si="1"/>
        <v>0</v>
      </c>
      <c r="K7" s="66">
        <f t="shared" si="2"/>
        <v>0</v>
      </c>
      <c r="L7" s="66"/>
      <c r="M7" s="149">
        <f t="shared" si="3"/>
        <v>20866.721599999983</v>
      </c>
      <c r="N7" s="46" t="s">
        <v>334</v>
      </c>
    </row>
    <row r="8" spans="1:16">
      <c r="A8" s="6">
        <v>5</v>
      </c>
      <c r="B8" s="219">
        <v>46178</v>
      </c>
      <c r="C8" s="6"/>
      <c r="D8" s="6"/>
      <c r="E8" s="65">
        <v>0</v>
      </c>
      <c r="F8" s="6">
        <v>0</v>
      </c>
      <c r="G8" s="66">
        <f t="shared" si="0"/>
        <v>0</v>
      </c>
      <c r="H8" s="65">
        <v>0</v>
      </c>
      <c r="I8" s="318">
        <v>0</v>
      </c>
      <c r="J8" s="66">
        <f t="shared" si="1"/>
        <v>0</v>
      </c>
      <c r="K8" s="66">
        <f t="shared" si="2"/>
        <v>0</v>
      </c>
      <c r="L8" s="66"/>
      <c r="M8" s="149">
        <f>M7+K8-L8</f>
        <v>20866.721599999983</v>
      </c>
      <c r="N8" s="46" t="s">
        <v>334</v>
      </c>
    </row>
    <row r="9" spans="1:16">
      <c r="A9" s="6">
        <v>6</v>
      </c>
      <c r="B9" s="219">
        <v>46179</v>
      </c>
      <c r="C9" s="6"/>
      <c r="D9" s="6"/>
      <c r="E9" s="65">
        <v>29.35</v>
      </c>
      <c r="F9" s="6">
        <v>99.32</v>
      </c>
      <c r="G9" s="66">
        <f t="shared" si="0"/>
        <v>2915.0419999999999</v>
      </c>
      <c r="H9" s="65"/>
      <c r="I9" s="318"/>
      <c r="J9" s="66">
        <f t="shared" si="1"/>
        <v>0</v>
      </c>
      <c r="K9" s="66">
        <f t="shared" si="2"/>
        <v>2915.0419999999999</v>
      </c>
      <c r="L9" s="66"/>
      <c r="M9" s="149">
        <f t="shared" ref="M9:M45" si="4">M8+K9-L9</f>
        <v>23781.763599999984</v>
      </c>
      <c r="N9" s="46" t="s">
        <v>334</v>
      </c>
    </row>
    <row r="10" spans="1:16">
      <c r="A10" s="6">
        <v>7</v>
      </c>
      <c r="B10" s="219">
        <v>46180</v>
      </c>
      <c r="C10" s="6"/>
      <c r="D10" s="6"/>
      <c r="E10" s="65"/>
      <c r="F10" s="6"/>
      <c r="G10" s="66">
        <f t="shared" si="0"/>
        <v>0</v>
      </c>
      <c r="H10" s="65"/>
      <c r="I10" s="318"/>
      <c r="J10" s="66">
        <f t="shared" si="1"/>
        <v>0</v>
      </c>
      <c r="K10" s="66">
        <f t="shared" si="2"/>
        <v>0</v>
      </c>
      <c r="L10" s="66"/>
      <c r="M10" s="149">
        <f t="shared" si="4"/>
        <v>23781.763599999984</v>
      </c>
      <c r="N10" s="46" t="s">
        <v>334</v>
      </c>
    </row>
    <row r="11" spans="1:16">
      <c r="A11" s="6">
        <v>8</v>
      </c>
      <c r="B11" s="219">
        <v>46181</v>
      </c>
      <c r="C11" s="6"/>
      <c r="D11" s="6"/>
      <c r="E11" s="65"/>
      <c r="F11" s="6"/>
      <c r="G11" s="66">
        <f t="shared" si="0"/>
        <v>0</v>
      </c>
      <c r="H11" s="65">
        <v>4.49</v>
      </c>
      <c r="I11" s="318">
        <v>111.42</v>
      </c>
      <c r="J11" s="66">
        <f t="shared" si="1"/>
        <v>500.2758</v>
      </c>
      <c r="K11" s="66">
        <f t="shared" si="2"/>
        <v>500.2758</v>
      </c>
      <c r="L11" s="66"/>
      <c r="M11" s="149">
        <f t="shared" si="4"/>
        <v>24282.039399999983</v>
      </c>
      <c r="N11" s="46" t="s">
        <v>334</v>
      </c>
    </row>
    <row r="12" spans="1:16">
      <c r="A12" s="6">
        <v>9</v>
      </c>
      <c r="B12" s="219">
        <v>46182</v>
      </c>
      <c r="C12" s="6"/>
      <c r="D12" s="6"/>
      <c r="E12" s="65">
        <v>31</v>
      </c>
      <c r="F12" s="6">
        <v>99.32</v>
      </c>
      <c r="G12" s="66">
        <f t="shared" si="0"/>
        <v>3078.9199999999996</v>
      </c>
      <c r="H12" s="65">
        <v>5</v>
      </c>
      <c r="I12" s="318">
        <v>111.42</v>
      </c>
      <c r="J12" s="66">
        <f t="shared" si="1"/>
        <v>557.1</v>
      </c>
      <c r="K12" s="66">
        <f t="shared" si="2"/>
        <v>3636.0199999999995</v>
      </c>
      <c r="L12" s="66">
        <v>23000</v>
      </c>
      <c r="M12" s="149">
        <f t="shared" si="4"/>
        <v>4918.0593999999837</v>
      </c>
      <c r="N12" s="46" t="s">
        <v>334</v>
      </c>
    </row>
    <row r="13" spans="1:16">
      <c r="A13" s="6">
        <v>10</v>
      </c>
      <c r="B13" s="219">
        <v>46183</v>
      </c>
      <c r="C13" s="6"/>
      <c r="D13" s="6"/>
      <c r="E13" s="65">
        <v>30.37</v>
      </c>
      <c r="F13" s="6">
        <v>99.32</v>
      </c>
      <c r="G13" s="66">
        <f t="shared" si="0"/>
        <v>3016.3483999999999</v>
      </c>
      <c r="H13" s="65"/>
      <c r="I13" s="318"/>
      <c r="J13" s="66">
        <f t="shared" si="1"/>
        <v>0</v>
      </c>
      <c r="K13" s="66">
        <f t="shared" si="2"/>
        <v>3016.3483999999999</v>
      </c>
      <c r="L13" s="66"/>
      <c r="M13" s="149">
        <f t="shared" si="4"/>
        <v>7934.4077999999836</v>
      </c>
      <c r="N13" s="46" t="s">
        <v>334</v>
      </c>
    </row>
    <row r="14" spans="1:16">
      <c r="A14" s="6">
        <v>11</v>
      </c>
      <c r="B14" s="219">
        <v>46184</v>
      </c>
      <c r="C14" s="6"/>
      <c r="D14" s="6"/>
      <c r="E14" s="65">
        <v>50.05</v>
      </c>
      <c r="F14" s="6">
        <v>99.91</v>
      </c>
      <c r="G14" s="66">
        <f t="shared" si="0"/>
        <v>5000.4955</v>
      </c>
      <c r="H14" s="65"/>
      <c r="I14" s="318"/>
      <c r="J14" s="66">
        <f t="shared" si="1"/>
        <v>0</v>
      </c>
      <c r="K14" s="66">
        <f t="shared" si="2"/>
        <v>5000.4955</v>
      </c>
      <c r="L14" s="66">
        <f t="shared" si="2"/>
        <v>5000.4955</v>
      </c>
      <c r="M14" s="149">
        <f t="shared" si="4"/>
        <v>7934.4077999999836</v>
      </c>
      <c r="N14" s="46" t="s">
        <v>334</v>
      </c>
    </row>
    <row r="15" spans="1:16">
      <c r="A15" s="6">
        <v>12</v>
      </c>
      <c r="B15" s="219">
        <v>46185</v>
      </c>
      <c r="C15" s="6"/>
      <c r="D15" s="6"/>
      <c r="E15" s="65"/>
      <c r="F15" s="6"/>
      <c r="G15" s="66">
        <f t="shared" si="0"/>
        <v>0</v>
      </c>
      <c r="H15" s="65">
        <v>7.18</v>
      </c>
      <c r="I15" s="318">
        <v>111.42</v>
      </c>
      <c r="J15" s="66">
        <f t="shared" si="1"/>
        <v>799.99559999999997</v>
      </c>
      <c r="K15" s="66">
        <f t="shared" si="2"/>
        <v>799.99559999999997</v>
      </c>
      <c r="L15" s="66"/>
      <c r="M15" s="149">
        <f t="shared" si="4"/>
        <v>8734.4033999999829</v>
      </c>
      <c r="N15" s="46" t="s">
        <v>334</v>
      </c>
    </row>
    <row r="16" spans="1:16">
      <c r="A16" s="6">
        <v>13</v>
      </c>
      <c r="B16" s="219">
        <v>46186</v>
      </c>
      <c r="C16" s="6"/>
      <c r="D16" s="6"/>
      <c r="E16" s="65"/>
      <c r="F16" s="6"/>
      <c r="G16" s="66">
        <f t="shared" si="0"/>
        <v>0</v>
      </c>
      <c r="H16" s="65"/>
      <c r="I16" s="318"/>
      <c r="J16" s="66">
        <f t="shared" si="1"/>
        <v>0</v>
      </c>
      <c r="K16" s="66">
        <f t="shared" si="2"/>
        <v>0</v>
      </c>
      <c r="L16" s="66"/>
      <c r="M16" s="149">
        <f t="shared" si="4"/>
        <v>8734.4033999999829</v>
      </c>
      <c r="N16" s="46" t="s">
        <v>334</v>
      </c>
    </row>
    <row r="17" spans="1:14">
      <c r="A17" s="6">
        <v>14</v>
      </c>
      <c r="B17" s="219">
        <v>46187</v>
      </c>
      <c r="C17" s="6"/>
      <c r="D17" s="6"/>
      <c r="E17" s="65">
        <v>30.6</v>
      </c>
      <c r="F17" s="6">
        <v>99.91</v>
      </c>
      <c r="G17" s="66">
        <f t="shared" si="0"/>
        <v>3057.2460000000001</v>
      </c>
      <c r="H17" s="65">
        <v>6.29</v>
      </c>
      <c r="I17" s="318">
        <v>111.42</v>
      </c>
      <c r="J17" s="66">
        <f t="shared" si="1"/>
        <v>700.83180000000004</v>
      </c>
      <c r="K17" s="66">
        <f t="shared" si="2"/>
        <v>3758.0778</v>
      </c>
      <c r="L17" s="66"/>
      <c r="M17" s="149">
        <f t="shared" si="4"/>
        <v>12492.481199999984</v>
      </c>
      <c r="N17" s="46" t="s">
        <v>334</v>
      </c>
    </row>
    <row r="18" spans="1:14">
      <c r="A18" s="6">
        <v>15</v>
      </c>
      <c r="B18" s="219">
        <v>46188</v>
      </c>
      <c r="C18" s="6"/>
      <c r="D18" s="6"/>
      <c r="E18" s="65">
        <v>35</v>
      </c>
      <c r="F18" s="6">
        <v>99.32</v>
      </c>
      <c r="G18" s="66">
        <f t="shared" si="0"/>
        <v>3476.2</v>
      </c>
      <c r="H18" s="65"/>
      <c r="I18" s="318"/>
      <c r="J18" s="66">
        <f t="shared" si="1"/>
        <v>0</v>
      </c>
      <c r="K18" s="66">
        <f t="shared" si="2"/>
        <v>3476.2</v>
      </c>
      <c r="L18" s="66"/>
      <c r="M18" s="149">
        <f t="shared" si="4"/>
        <v>15968.681199999985</v>
      </c>
      <c r="N18" s="46" t="s">
        <v>334</v>
      </c>
    </row>
    <row r="19" spans="1:14">
      <c r="A19" s="6">
        <v>16</v>
      </c>
      <c r="B19" s="219">
        <v>46189</v>
      </c>
      <c r="C19" s="6"/>
      <c r="D19" s="6"/>
      <c r="E19" s="65">
        <v>5</v>
      </c>
      <c r="F19" s="6">
        <v>99.32</v>
      </c>
      <c r="G19" s="66">
        <f t="shared" si="0"/>
        <v>496.59999999999997</v>
      </c>
      <c r="H19" s="65">
        <v>5</v>
      </c>
      <c r="I19" s="318">
        <v>111.42</v>
      </c>
      <c r="J19" s="66">
        <f t="shared" si="1"/>
        <v>557.1</v>
      </c>
      <c r="K19" s="66">
        <f t="shared" si="2"/>
        <v>1053.7</v>
      </c>
      <c r="L19" s="66"/>
      <c r="M19" s="149">
        <f t="shared" si="4"/>
        <v>17022.381199999985</v>
      </c>
      <c r="N19" s="46" t="s">
        <v>334</v>
      </c>
    </row>
    <row r="20" spans="1:14">
      <c r="A20" s="6">
        <v>17</v>
      </c>
      <c r="B20" s="219">
        <v>46190</v>
      </c>
      <c r="C20" s="6"/>
      <c r="D20" s="6"/>
      <c r="E20" s="65">
        <v>31.95</v>
      </c>
      <c r="F20" s="6">
        <v>99.32</v>
      </c>
      <c r="G20" s="66">
        <f t="shared" si="0"/>
        <v>3173.2739999999999</v>
      </c>
      <c r="H20" s="65"/>
      <c r="I20" s="318"/>
      <c r="J20" s="66">
        <f t="shared" si="1"/>
        <v>0</v>
      </c>
      <c r="K20" s="66">
        <f t="shared" si="2"/>
        <v>3173.2739999999999</v>
      </c>
      <c r="L20" s="66"/>
      <c r="M20" s="149">
        <f t="shared" si="4"/>
        <v>20195.655199999987</v>
      </c>
      <c r="N20" s="46" t="s">
        <v>334</v>
      </c>
    </row>
    <row r="21" spans="1:14">
      <c r="A21" s="6">
        <v>18</v>
      </c>
      <c r="B21" s="219">
        <v>46191</v>
      </c>
      <c r="C21" s="6"/>
      <c r="D21" s="6"/>
      <c r="E21" s="65"/>
      <c r="F21" s="6"/>
      <c r="G21" s="66">
        <f t="shared" si="0"/>
        <v>0</v>
      </c>
      <c r="H21" s="65"/>
      <c r="I21" s="318"/>
      <c r="J21" s="66">
        <f t="shared" si="1"/>
        <v>0</v>
      </c>
      <c r="K21" s="66">
        <f t="shared" si="2"/>
        <v>0</v>
      </c>
      <c r="L21" s="66"/>
      <c r="M21" s="149">
        <f t="shared" si="4"/>
        <v>20195.655199999987</v>
      </c>
      <c r="N21" s="46" t="s">
        <v>334</v>
      </c>
    </row>
    <row r="22" spans="1:14">
      <c r="A22" s="6">
        <v>19</v>
      </c>
      <c r="B22" s="219">
        <v>46192</v>
      </c>
      <c r="C22" s="6"/>
      <c r="D22" s="6"/>
      <c r="E22" s="65">
        <v>10</v>
      </c>
      <c r="F22" s="6">
        <v>99.32</v>
      </c>
      <c r="G22" s="66">
        <f t="shared" si="0"/>
        <v>993.19999999999993</v>
      </c>
      <c r="H22" s="65"/>
      <c r="I22" s="318"/>
      <c r="J22" s="66">
        <f t="shared" si="1"/>
        <v>0</v>
      </c>
      <c r="K22" s="66">
        <f t="shared" si="2"/>
        <v>993.19999999999993</v>
      </c>
      <c r="L22" s="66"/>
      <c r="M22" s="149">
        <f t="shared" si="4"/>
        <v>21188.855199999987</v>
      </c>
      <c r="N22" s="46" t="s">
        <v>334</v>
      </c>
    </row>
    <row r="23" spans="1:14">
      <c r="A23" s="6">
        <v>20</v>
      </c>
      <c r="B23" s="219">
        <v>46193</v>
      </c>
      <c r="C23" s="6"/>
      <c r="D23" s="6"/>
      <c r="E23" s="65"/>
      <c r="F23" s="6"/>
      <c r="G23" s="66">
        <f t="shared" si="0"/>
        <v>0</v>
      </c>
      <c r="H23" s="65">
        <v>5</v>
      </c>
      <c r="I23" s="318">
        <v>111.42</v>
      </c>
      <c r="J23" s="66">
        <f t="shared" si="1"/>
        <v>557.1</v>
      </c>
      <c r="K23" s="66">
        <f t="shared" si="2"/>
        <v>557.1</v>
      </c>
      <c r="L23" s="66"/>
      <c r="M23" s="149">
        <f t="shared" si="4"/>
        <v>21745.955199999986</v>
      </c>
      <c r="N23" s="46" t="s">
        <v>334</v>
      </c>
    </row>
    <row r="24" spans="1:14">
      <c r="A24" s="6">
        <v>21</v>
      </c>
      <c r="B24" s="219">
        <v>46194</v>
      </c>
      <c r="C24" s="6"/>
      <c r="D24" s="6"/>
      <c r="E24" s="65">
        <v>39.270000000000003</v>
      </c>
      <c r="F24" s="6">
        <v>99.32</v>
      </c>
      <c r="G24" s="66">
        <f t="shared" si="0"/>
        <v>3900.2964000000002</v>
      </c>
      <c r="H24" s="65"/>
      <c r="I24" s="318"/>
      <c r="J24" s="66">
        <f t="shared" si="1"/>
        <v>0</v>
      </c>
      <c r="K24" s="66">
        <f t="shared" si="2"/>
        <v>3900.2964000000002</v>
      </c>
      <c r="L24" s="66"/>
      <c r="M24" s="149">
        <f t="shared" si="4"/>
        <v>25646.251599999985</v>
      </c>
      <c r="N24" s="46" t="s">
        <v>334</v>
      </c>
    </row>
    <row r="25" spans="1:14">
      <c r="A25" s="6">
        <v>22</v>
      </c>
      <c r="B25" s="219">
        <v>46195</v>
      </c>
      <c r="C25" s="6"/>
      <c r="D25" s="6"/>
      <c r="E25" s="65"/>
      <c r="F25" s="6"/>
      <c r="G25" s="66">
        <f t="shared" si="0"/>
        <v>0</v>
      </c>
      <c r="H25" s="65"/>
      <c r="I25" s="318"/>
      <c r="J25" s="66">
        <f t="shared" si="1"/>
        <v>0</v>
      </c>
      <c r="K25" s="66">
        <f t="shared" si="2"/>
        <v>0</v>
      </c>
      <c r="L25" s="66"/>
      <c r="M25" s="149">
        <f t="shared" si="4"/>
        <v>25646.251599999985</v>
      </c>
      <c r="N25" s="46" t="s">
        <v>334</v>
      </c>
    </row>
    <row r="26" spans="1:14">
      <c r="A26" s="6">
        <v>23</v>
      </c>
      <c r="B26" s="219">
        <v>46196</v>
      </c>
      <c r="C26" s="6"/>
      <c r="D26" s="6"/>
      <c r="E26" s="65"/>
      <c r="F26" s="6"/>
      <c r="G26" s="66">
        <f t="shared" si="0"/>
        <v>0</v>
      </c>
      <c r="H26" s="65"/>
      <c r="I26" s="318"/>
      <c r="J26" s="66">
        <f t="shared" si="1"/>
        <v>0</v>
      </c>
      <c r="K26" s="66">
        <f t="shared" si="2"/>
        <v>0</v>
      </c>
      <c r="L26" s="66"/>
      <c r="M26" s="149">
        <f t="shared" si="4"/>
        <v>25646.251599999985</v>
      </c>
      <c r="N26" s="46" t="s">
        <v>334</v>
      </c>
    </row>
    <row r="27" spans="1:14">
      <c r="A27" s="6">
        <v>24</v>
      </c>
      <c r="B27" s="219">
        <v>46197</v>
      </c>
      <c r="C27" s="6"/>
      <c r="D27" s="6"/>
      <c r="E27" s="65"/>
      <c r="F27" s="6"/>
      <c r="G27" s="66">
        <f t="shared" si="0"/>
        <v>0</v>
      </c>
      <c r="H27" s="65">
        <v>6.28</v>
      </c>
      <c r="I27" s="318">
        <v>111.42</v>
      </c>
      <c r="J27" s="66">
        <f t="shared" si="1"/>
        <v>699.71760000000006</v>
      </c>
      <c r="K27" s="66">
        <f t="shared" si="2"/>
        <v>699.71760000000006</v>
      </c>
      <c r="L27" s="66"/>
      <c r="M27" s="149">
        <f t="shared" si="4"/>
        <v>26345.969199999985</v>
      </c>
      <c r="N27" s="46" t="s">
        <v>334</v>
      </c>
    </row>
    <row r="28" spans="1:14">
      <c r="A28" s="6">
        <v>25</v>
      </c>
      <c r="B28" s="219">
        <v>46198</v>
      </c>
      <c r="C28" s="6"/>
      <c r="D28" s="6"/>
      <c r="E28" s="65"/>
      <c r="F28" s="6"/>
      <c r="G28" s="66">
        <f t="shared" si="0"/>
        <v>0</v>
      </c>
      <c r="H28" s="65"/>
      <c r="I28" s="318"/>
      <c r="J28" s="66">
        <f t="shared" si="1"/>
        <v>0</v>
      </c>
      <c r="K28" s="66">
        <f t="shared" si="2"/>
        <v>0</v>
      </c>
      <c r="L28" s="66"/>
      <c r="M28" s="149">
        <f t="shared" si="4"/>
        <v>26345.969199999985</v>
      </c>
      <c r="N28" s="46" t="s">
        <v>334</v>
      </c>
    </row>
    <row r="29" spans="1:14">
      <c r="A29" s="6">
        <v>26</v>
      </c>
      <c r="B29" s="219">
        <v>46199</v>
      </c>
      <c r="C29" s="6"/>
      <c r="D29" s="6"/>
      <c r="E29" s="65"/>
      <c r="F29" s="6"/>
      <c r="G29" s="66">
        <f t="shared" si="0"/>
        <v>0</v>
      </c>
      <c r="H29" s="65">
        <v>7</v>
      </c>
      <c r="I29" s="318">
        <v>111.42</v>
      </c>
      <c r="J29" s="66">
        <f t="shared" si="1"/>
        <v>779.94</v>
      </c>
      <c r="K29" s="66">
        <f t="shared" si="2"/>
        <v>779.94</v>
      </c>
      <c r="L29" s="66">
        <v>20000</v>
      </c>
      <c r="M29" s="149">
        <f t="shared" si="4"/>
        <v>7125.9091999999837</v>
      </c>
      <c r="N29" s="46" t="s">
        <v>334</v>
      </c>
    </row>
    <row r="30" spans="1:14">
      <c r="A30" s="6">
        <v>27</v>
      </c>
      <c r="B30" s="219">
        <v>46200</v>
      </c>
      <c r="C30" s="6"/>
      <c r="D30" s="6"/>
      <c r="E30" s="6">
        <v>39.89</v>
      </c>
      <c r="F30" s="66">
        <v>99.32</v>
      </c>
      <c r="G30" s="66">
        <f t="shared" si="0"/>
        <v>3961.8747999999996</v>
      </c>
      <c r="H30" s="65"/>
      <c r="I30" s="318"/>
      <c r="J30" s="66">
        <f t="shared" si="1"/>
        <v>0</v>
      </c>
      <c r="K30" s="66">
        <f t="shared" si="2"/>
        <v>3961.8747999999996</v>
      </c>
      <c r="L30" s="66"/>
      <c r="M30" s="149">
        <f t="shared" si="4"/>
        <v>11087.783999999983</v>
      </c>
      <c r="N30" s="46" t="s">
        <v>334</v>
      </c>
    </row>
    <row r="31" spans="1:14">
      <c r="A31" s="6">
        <v>28</v>
      </c>
      <c r="B31" s="219">
        <v>46201</v>
      </c>
      <c r="C31" s="6"/>
      <c r="D31" s="6"/>
      <c r="E31" s="65"/>
      <c r="F31" s="6"/>
      <c r="G31" s="66">
        <f t="shared" ref="G5:G44" si="5">E31*F31</f>
        <v>0</v>
      </c>
      <c r="H31" s="65">
        <v>8.99</v>
      </c>
      <c r="I31" s="318">
        <v>111.42</v>
      </c>
      <c r="J31" s="66">
        <f t="shared" si="1"/>
        <v>1001.6658</v>
      </c>
      <c r="K31" s="66">
        <f t="shared" si="2"/>
        <v>1001.6658</v>
      </c>
      <c r="L31" s="66"/>
      <c r="M31" s="149">
        <f t="shared" si="4"/>
        <v>12089.449799999984</v>
      </c>
      <c r="N31" s="46" t="s">
        <v>334</v>
      </c>
    </row>
    <row r="32" spans="1:14">
      <c r="A32" s="6">
        <v>29</v>
      </c>
      <c r="B32" s="219">
        <v>46202</v>
      </c>
      <c r="C32" s="6"/>
      <c r="D32" s="6"/>
      <c r="E32" s="65"/>
      <c r="F32" s="6"/>
      <c r="G32" s="66">
        <f t="shared" si="5"/>
        <v>0</v>
      </c>
      <c r="H32" s="65">
        <v>6.61</v>
      </c>
      <c r="I32" s="318">
        <v>120.9</v>
      </c>
      <c r="J32" s="66">
        <f t="shared" si="1"/>
        <v>799.14900000000011</v>
      </c>
      <c r="K32" s="66">
        <f t="shared" si="2"/>
        <v>799.14900000000011</v>
      </c>
      <c r="L32" s="66"/>
      <c r="M32" s="149">
        <f t="shared" si="4"/>
        <v>12888.598799999983</v>
      </c>
      <c r="N32" s="46" t="s">
        <v>334</v>
      </c>
    </row>
    <row r="33" spans="1:16">
      <c r="A33" s="6">
        <v>30</v>
      </c>
      <c r="B33" s="219">
        <v>46203</v>
      </c>
      <c r="C33" s="6"/>
      <c r="D33" s="6"/>
      <c r="E33" s="65">
        <v>15.02</v>
      </c>
      <c r="F33" s="6">
        <v>99.86</v>
      </c>
      <c r="G33" s="66">
        <f t="shared" si="5"/>
        <v>1499.8971999999999</v>
      </c>
      <c r="H33" s="65"/>
      <c r="I33" s="318"/>
      <c r="J33" s="66">
        <f t="shared" si="1"/>
        <v>0</v>
      </c>
      <c r="K33" s="66">
        <f t="shared" si="2"/>
        <v>1499.8971999999999</v>
      </c>
      <c r="L33" s="66">
        <f t="shared" si="2"/>
        <v>1499.8971999999999</v>
      </c>
      <c r="M33" s="149">
        <f t="shared" si="4"/>
        <v>12888.598799999983</v>
      </c>
      <c r="N33" s="46" t="s">
        <v>334</v>
      </c>
    </row>
    <row r="34" spans="1:16">
      <c r="A34" s="6">
        <v>31</v>
      </c>
      <c r="B34" s="219">
        <v>46204</v>
      </c>
      <c r="C34" s="6"/>
      <c r="D34" s="6"/>
      <c r="E34" s="65"/>
      <c r="F34" s="6"/>
      <c r="G34" s="66">
        <f t="shared" si="5"/>
        <v>0</v>
      </c>
      <c r="H34" s="65"/>
      <c r="I34" s="6"/>
      <c r="J34" s="66">
        <f t="shared" si="1"/>
        <v>0</v>
      </c>
      <c r="K34" s="66">
        <f t="shared" si="2"/>
        <v>0</v>
      </c>
      <c r="L34" s="66"/>
      <c r="M34" s="149">
        <f t="shared" si="4"/>
        <v>12888.598799999983</v>
      </c>
      <c r="N34" s="46" t="s">
        <v>334</v>
      </c>
    </row>
    <row r="35" spans="1:16">
      <c r="A35" s="6">
        <v>32</v>
      </c>
      <c r="B35" s="219"/>
      <c r="C35" s="6"/>
      <c r="D35" s="6"/>
      <c r="E35" s="65"/>
      <c r="F35" s="6"/>
      <c r="G35" s="66">
        <f t="shared" si="5"/>
        <v>0</v>
      </c>
      <c r="H35" s="65"/>
      <c r="I35" s="6"/>
      <c r="J35" s="66">
        <f t="shared" si="1"/>
        <v>0</v>
      </c>
      <c r="K35" s="66">
        <f t="shared" si="2"/>
        <v>0</v>
      </c>
      <c r="L35" s="66"/>
      <c r="M35" s="149">
        <f t="shared" si="4"/>
        <v>12888.598799999983</v>
      </c>
      <c r="N35" s="46" t="s">
        <v>334</v>
      </c>
    </row>
    <row r="36" spans="1:16">
      <c r="A36" s="6">
        <v>33</v>
      </c>
      <c r="B36" s="78"/>
      <c r="C36" s="6"/>
      <c r="D36" s="6"/>
      <c r="E36" s="65"/>
      <c r="F36" s="6"/>
      <c r="G36" s="66">
        <f t="shared" si="5"/>
        <v>0</v>
      </c>
      <c r="H36" s="65"/>
      <c r="I36" s="6"/>
      <c r="J36" s="66">
        <f t="shared" si="1"/>
        <v>0</v>
      </c>
      <c r="K36" s="66">
        <f t="shared" si="2"/>
        <v>0</v>
      </c>
      <c r="L36" s="66"/>
      <c r="M36" s="149">
        <f t="shared" si="4"/>
        <v>12888.598799999983</v>
      </c>
      <c r="N36" s="46" t="s">
        <v>334</v>
      </c>
    </row>
    <row r="37" spans="1:16">
      <c r="A37" s="6">
        <v>34</v>
      </c>
      <c r="B37" s="78"/>
      <c r="C37" s="6"/>
      <c r="D37" s="6"/>
      <c r="E37" s="65"/>
      <c r="F37" s="6"/>
      <c r="G37" s="66">
        <f t="shared" si="5"/>
        <v>0</v>
      </c>
      <c r="H37" s="65"/>
      <c r="I37" s="6"/>
      <c r="J37" s="66">
        <f t="shared" si="1"/>
        <v>0</v>
      </c>
      <c r="K37" s="66">
        <f t="shared" si="2"/>
        <v>0</v>
      </c>
      <c r="L37" s="66"/>
      <c r="M37" s="149">
        <f t="shared" si="4"/>
        <v>12888.598799999983</v>
      </c>
      <c r="N37" s="46" t="s">
        <v>334</v>
      </c>
    </row>
    <row r="38" spans="1:16">
      <c r="A38" s="6">
        <v>35</v>
      </c>
      <c r="B38" s="78"/>
      <c r="C38" s="6"/>
      <c r="D38" s="6"/>
      <c r="E38" s="65"/>
      <c r="F38" s="6"/>
      <c r="G38" s="66">
        <f t="shared" si="5"/>
        <v>0</v>
      </c>
      <c r="H38" s="65"/>
      <c r="I38" s="6"/>
      <c r="J38" s="66">
        <f t="shared" si="1"/>
        <v>0</v>
      </c>
      <c r="K38" s="66">
        <f t="shared" si="2"/>
        <v>0</v>
      </c>
      <c r="L38" s="66"/>
      <c r="M38" s="149">
        <f t="shared" si="4"/>
        <v>12888.598799999983</v>
      </c>
      <c r="N38" s="46" t="s">
        <v>334</v>
      </c>
    </row>
    <row r="39" spans="1:16">
      <c r="A39" s="6">
        <v>36</v>
      </c>
      <c r="B39" s="78"/>
      <c r="C39" s="6"/>
      <c r="D39" s="6"/>
      <c r="E39" s="65"/>
      <c r="F39" s="6"/>
      <c r="G39" s="66">
        <f t="shared" si="5"/>
        <v>0</v>
      </c>
      <c r="H39" s="65"/>
      <c r="I39" s="6"/>
      <c r="J39" s="66">
        <v>39.89</v>
      </c>
      <c r="K39" s="66">
        <v>99.32</v>
      </c>
      <c r="L39" s="66"/>
      <c r="M39" s="149">
        <f t="shared" si="4"/>
        <v>12987.918799999983</v>
      </c>
      <c r="N39" s="46" t="s">
        <v>334</v>
      </c>
    </row>
    <row r="40" spans="1:16">
      <c r="A40" s="6">
        <v>37</v>
      </c>
      <c r="B40" s="78"/>
      <c r="C40" s="6"/>
      <c r="D40" s="6"/>
      <c r="E40" s="65"/>
      <c r="F40" s="6"/>
      <c r="G40" s="66">
        <f t="shared" si="5"/>
        <v>0</v>
      </c>
      <c r="H40" s="65"/>
      <c r="I40" s="6"/>
      <c r="J40" s="66">
        <f t="shared" si="1"/>
        <v>0</v>
      </c>
      <c r="K40" s="66">
        <f t="shared" si="2"/>
        <v>0</v>
      </c>
      <c r="L40" s="66"/>
      <c r="M40" s="149">
        <f t="shared" si="4"/>
        <v>12987.918799999983</v>
      </c>
      <c r="N40" s="46" t="s">
        <v>334</v>
      </c>
    </row>
    <row r="41" spans="1:16">
      <c r="A41" s="6">
        <v>38</v>
      </c>
      <c r="B41" s="78"/>
      <c r="C41" s="6"/>
      <c r="D41" s="6"/>
      <c r="E41" s="65"/>
      <c r="F41" s="6"/>
      <c r="G41" s="66">
        <f t="shared" si="5"/>
        <v>0</v>
      </c>
      <c r="H41" s="65"/>
      <c r="I41" s="6"/>
      <c r="J41" s="66">
        <f t="shared" si="1"/>
        <v>0</v>
      </c>
      <c r="K41" s="66">
        <f t="shared" si="2"/>
        <v>0</v>
      </c>
      <c r="L41" s="66"/>
      <c r="M41" s="149">
        <f t="shared" si="4"/>
        <v>12987.918799999983</v>
      </c>
      <c r="N41" s="46" t="s">
        <v>334</v>
      </c>
    </row>
    <row r="42" spans="1:16">
      <c r="A42" s="6">
        <v>39</v>
      </c>
      <c r="B42" s="170"/>
      <c r="C42" s="169"/>
      <c r="D42" s="6"/>
      <c r="E42" s="65"/>
      <c r="F42" s="6"/>
      <c r="G42" s="66">
        <f t="shared" si="5"/>
        <v>0</v>
      </c>
      <c r="H42" s="65"/>
      <c r="I42" s="6"/>
      <c r="J42" s="66">
        <f t="shared" si="1"/>
        <v>0</v>
      </c>
      <c r="K42" s="66">
        <f t="shared" si="2"/>
        <v>0</v>
      </c>
      <c r="L42" s="66"/>
      <c r="M42" s="149">
        <f t="shared" si="4"/>
        <v>12987.918799999983</v>
      </c>
      <c r="N42" s="46" t="s">
        <v>334</v>
      </c>
    </row>
    <row r="43" spans="1:16">
      <c r="A43" s="6">
        <v>40</v>
      </c>
      <c r="B43" s="6"/>
      <c r="C43" s="6"/>
      <c r="D43" s="6"/>
      <c r="E43" s="65"/>
      <c r="F43" s="6"/>
      <c r="G43" s="66">
        <f t="shared" si="5"/>
        <v>0</v>
      </c>
      <c r="H43" s="65"/>
      <c r="I43" s="6"/>
      <c r="J43" s="66">
        <f t="shared" si="1"/>
        <v>0</v>
      </c>
      <c r="K43" s="66">
        <f t="shared" si="2"/>
        <v>0</v>
      </c>
      <c r="L43" s="66"/>
      <c r="M43" s="149">
        <f t="shared" si="4"/>
        <v>12987.918799999983</v>
      </c>
      <c r="N43" s="46" t="s">
        <v>334</v>
      </c>
      <c r="P43" s="526"/>
    </row>
    <row r="44" spans="1:16">
      <c r="A44" s="6">
        <v>41</v>
      </c>
      <c r="B44" s="169"/>
      <c r="C44" s="169"/>
      <c r="D44" s="6"/>
      <c r="E44" s="65"/>
      <c r="F44" s="6"/>
      <c r="G44" s="66">
        <f t="shared" si="5"/>
        <v>0</v>
      </c>
      <c r="H44" s="65"/>
      <c r="I44" s="6"/>
      <c r="J44" s="66">
        <f t="shared" si="1"/>
        <v>0</v>
      </c>
      <c r="K44" s="66">
        <f t="shared" si="2"/>
        <v>0</v>
      </c>
      <c r="L44" s="66"/>
      <c r="M44" s="149">
        <f t="shared" si="4"/>
        <v>12987.918799999983</v>
      </c>
      <c r="N44" s="46" t="s">
        <v>334</v>
      </c>
    </row>
    <row r="45" spans="1:16">
      <c r="A45" s="6">
        <v>42</v>
      </c>
      <c r="B45" s="169"/>
      <c r="C45" s="169"/>
      <c r="D45" s="6"/>
      <c r="E45" s="65"/>
      <c r="F45" s="6"/>
      <c r="G45" s="66">
        <f t="shared" ref="G45" si="6">E45*F45</f>
        <v>0</v>
      </c>
      <c r="H45" s="65"/>
      <c r="I45" s="6"/>
      <c r="J45" s="66">
        <f>H45*I45</f>
        <v>0</v>
      </c>
      <c r="K45" s="66">
        <f t="shared" ref="K45" si="7">G45+J45</f>
        <v>0</v>
      </c>
      <c r="L45" s="162"/>
      <c r="M45" s="149">
        <f t="shared" si="4"/>
        <v>12987.918799999983</v>
      </c>
      <c r="N45" s="46" t="s">
        <v>334</v>
      </c>
    </row>
    <row r="46" spans="1:16">
      <c r="A46" s="62"/>
      <c r="B46" s="62"/>
      <c r="C46" s="62"/>
      <c r="D46" s="62"/>
      <c r="E46" s="63">
        <f>SUM(E4:E45)</f>
        <v>392.99999999999994</v>
      </c>
      <c r="F46" s="63"/>
      <c r="G46" s="63">
        <f>SUM(G4:G45)</f>
        <v>39088.454299999998</v>
      </c>
      <c r="H46" s="63">
        <f>SUM(H4:H45)</f>
        <v>75.959999999999994</v>
      </c>
      <c r="I46" s="63"/>
      <c r="J46" s="63">
        <f>SUM(J4:J45)</f>
        <v>8566.0159999999996</v>
      </c>
      <c r="K46" s="63">
        <f>SUM(K4:K45)</f>
        <v>47713.900299999994</v>
      </c>
      <c r="L46" s="63">
        <f>SUM(L4:L45)</f>
        <v>49500.392700000004</v>
      </c>
      <c r="M46" s="63"/>
      <c r="N46" s="63"/>
      <c r="O46" s="59"/>
    </row>
  </sheetData>
  <mergeCells count="2">
    <mergeCell ref="A1:N1"/>
    <mergeCell ref="A3:L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18" activePane="bottomLeft" state="frozen"/>
      <selection pane="bottomLeft" activeCell="M32" sqref="M32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14.7109375" style="5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564" t="s">
        <v>155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3"/>
    </row>
    <row r="2" spans="1:15">
      <c r="A2" s="98" t="s">
        <v>0</v>
      </c>
      <c r="B2" s="99" t="s">
        <v>167</v>
      </c>
      <c r="C2" s="99" t="s">
        <v>168</v>
      </c>
      <c r="D2" s="99" t="s">
        <v>191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139" t="s">
        <v>175</v>
      </c>
      <c r="M2" s="143" t="s">
        <v>192</v>
      </c>
      <c r="N2" s="101" t="s">
        <v>177</v>
      </c>
      <c r="O2" s="59"/>
    </row>
    <row r="3" spans="1:15">
      <c r="A3" s="155"/>
      <c r="B3" s="17" t="s">
        <v>178</v>
      </c>
      <c r="C3" s="156"/>
      <c r="D3" s="156"/>
      <c r="E3" s="156"/>
      <c r="F3" s="156"/>
      <c r="G3" s="156"/>
      <c r="H3" s="156"/>
      <c r="I3" s="156"/>
      <c r="J3" s="157"/>
      <c r="K3" s="80">
        <v>16237.588500000104</v>
      </c>
      <c r="L3" s="158"/>
      <c r="M3" s="80">
        <v>16237.588500000104</v>
      </c>
      <c r="N3" s="156"/>
      <c r="O3" s="59">
        <v>86559.56660000002</v>
      </c>
    </row>
    <row r="4" spans="1:15">
      <c r="A4" s="196">
        <v>1</v>
      </c>
      <c r="B4" s="219">
        <v>46174</v>
      </c>
      <c r="C4" s="67"/>
      <c r="D4" s="159"/>
      <c r="E4" s="65">
        <v>19.75</v>
      </c>
      <c r="F4" s="6">
        <v>99.12</v>
      </c>
      <c r="G4" s="8">
        <f>E4*F4</f>
        <v>1957.6200000000001</v>
      </c>
      <c r="H4" s="65"/>
      <c r="I4" s="6"/>
      <c r="J4" s="8">
        <f>H4*I4</f>
        <v>0</v>
      </c>
      <c r="K4" s="8">
        <f>G4+J4</f>
        <v>1957.6200000000001</v>
      </c>
      <c r="L4" s="68"/>
      <c r="M4" s="68">
        <f>M3+K4-L4</f>
        <v>18195.208500000103</v>
      </c>
      <c r="N4" s="41"/>
      <c r="O4" s="69"/>
    </row>
    <row r="5" spans="1:15">
      <c r="A5" s="46">
        <v>2</v>
      </c>
      <c r="B5" s="219">
        <v>46175</v>
      </c>
      <c r="C5" s="67"/>
      <c r="D5" s="71"/>
      <c r="E5" s="65"/>
      <c r="F5" s="6"/>
      <c r="G5" s="8">
        <f t="shared" ref="G5:G34" si="0">E5*F5</f>
        <v>0</v>
      </c>
      <c r="H5" s="65"/>
      <c r="I5" s="6"/>
      <c r="J5" s="8">
        <f t="shared" ref="J5:J34" si="1">H5*I5</f>
        <v>0</v>
      </c>
      <c r="K5" s="8">
        <f t="shared" ref="K5:K34" si="2">G5+J5</f>
        <v>0</v>
      </c>
      <c r="L5" s="68"/>
      <c r="M5" s="68">
        <f t="shared" ref="M5:M19" si="3">M4+K5-L5</f>
        <v>18195.208500000103</v>
      </c>
      <c r="N5" s="41"/>
      <c r="O5" s="69"/>
    </row>
    <row r="6" spans="1:15">
      <c r="A6" s="46">
        <v>3</v>
      </c>
      <c r="B6" s="219">
        <v>46176</v>
      </c>
      <c r="C6" s="67"/>
      <c r="D6" s="71"/>
      <c r="E6" s="65">
        <v>200</v>
      </c>
      <c r="F6" s="6">
        <v>99.12</v>
      </c>
      <c r="G6" s="8">
        <f t="shared" si="0"/>
        <v>19824</v>
      </c>
      <c r="H6" s="65"/>
      <c r="I6" s="6"/>
      <c r="J6" s="8">
        <f t="shared" si="1"/>
        <v>0</v>
      </c>
      <c r="K6" s="8">
        <f t="shared" si="2"/>
        <v>19824</v>
      </c>
      <c r="L6" s="68"/>
      <c r="M6" s="68">
        <f t="shared" si="3"/>
        <v>38019.208500000103</v>
      </c>
      <c r="N6" s="41"/>
      <c r="O6" s="69"/>
    </row>
    <row r="7" spans="1:15">
      <c r="A7" s="46">
        <v>4</v>
      </c>
      <c r="B7" s="219">
        <v>46177</v>
      </c>
      <c r="C7" s="67"/>
      <c r="D7" s="71"/>
      <c r="E7" s="65">
        <v>100</v>
      </c>
      <c r="F7" s="6">
        <v>99.12</v>
      </c>
      <c r="G7" s="8">
        <f t="shared" si="0"/>
        <v>9912</v>
      </c>
      <c r="H7" s="65">
        <v>7.5</v>
      </c>
      <c r="I7" s="6">
        <v>113.19</v>
      </c>
      <c r="J7" s="8">
        <f t="shared" si="1"/>
        <v>848.92499999999995</v>
      </c>
      <c r="K7" s="8">
        <f t="shared" si="2"/>
        <v>10760.924999999999</v>
      </c>
      <c r="L7" s="68"/>
      <c r="M7" s="68">
        <f t="shared" si="3"/>
        <v>48780.133500000098</v>
      </c>
      <c r="N7" s="41"/>
      <c r="O7" s="69"/>
    </row>
    <row r="8" spans="1:15">
      <c r="A8" s="46">
        <v>5</v>
      </c>
      <c r="B8" s="219">
        <v>46178</v>
      </c>
      <c r="C8" s="67"/>
      <c r="D8" s="71"/>
      <c r="E8" s="65">
        <v>98.71</v>
      </c>
      <c r="F8" s="6">
        <v>99.12</v>
      </c>
      <c r="G8" s="66">
        <f t="shared" si="0"/>
        <v>9784.1352000000006</v>
      </c>
      <c r="H8" s="65">
        <v>7.34</v>
      </c>
      <c r="I8" s="318">
        <v>113.19</v>
      </c>
      <c r="J8" s="66">
        <f t="shared" si="1"/>
        <v>830.81459999999993</v>
      </c>
      <c r="K8" s="66">
        <f t="shared" si="2"/>
        <v>10614.9498</v>
      </c>
      <c r="L8" s="68"/>
      <c r="M8" s="68">
        <f t="shared" si="3"/>
        <v>59395.0833000001</v>
      </c>
      <c r="N8" s="41"/>
      <c r="O8" s="69"/>
    </row>
    <row r="9" spans="1:15">
      <c r="A9" s="46">
        <v>6</v>
      </c>
      <c r="B9" s="219">
        <v>46179</v>
      </c>
      <c r="C9" s="67"/>
      <c r="D9" s="71"/>
      <c r="E9" s="65"/>
      <c r="F9" s="6"/>
      <c r="G9" s="8">
        <f t="shared" si="0"/>
        <v>0</v>
      </c>
      <c r="H9" s="65"/>
      <c r="I9" s="6"/>
      <c r="J9" s="8">
        <f t="shared" si="1"/>
        <v>0</v>
      </c>
      <c r="K9" s="8">
        <f t="shared" si="2"/>
        <v>0</v>
      </c>
      <c r="L9" s="68"/>
      <c r="M9" s="68">
        <f t="shared" si="3"/>
        <v>59395.0833000001</v>
      </c>
      <c r="N9" s="41"/>
      <c r="O9" s="69"/>
    </row>
    <row r="10" spans="1:15">
      <c r="A10" s="46">
        <v>7</v>
      </c>
      <c r="B10" s="219">
        <v>46180</v>
      </c>
      <c r="C10" s="67"/>
      <c r="D10" s="71"/>
      <c r="E10" s="65">
        <v>32.67</v>
      </c>
      <c r="F10" s="6">
        <v>99.12</v>
      </c>
      <c r="G10" s="8">
        <f t="shared" si="0"/>
        <v>3238.2504000000004</v>
      </c>
      <c r="H10" s="65">
        <v>7.96</v>
      </c>
      <c r="I10" s="6">
        <v>113.19</v>
      </c>
      <c r="J10" s="8">
        <f t="shared" si="1"/>
        <v>900.99239999999998</v>
      </c>
      <c r="K10" s="8">
        <f t="shared" ref="K10:K11" si="4">G10+J10</f>
        <v>4139.2428</v>
      </c>
      <c r="L10" s="68"/>
      <c r="M10" s="68">
        <f t="shared" si="3"/>
        <v>63534.3261000001</v>
      </c>
      <c r="N10" s="41"/>
      <c r="O10" s="69"/>
    </row>
    <row r="11" spans="1:15">
      <c r="A11" s="46">
        <v>8</v>
      </c>
      <c r="B11" s="219">
        <v>46181</v>
      </c>
      <c r="C11" s="67"/>
      <c r="D11" s="71"/>
      <c r="E11" s="65">
        <v>43.34</v>
      </c>
      <c r="F11" s="6">
        <v>99.12</v>
      </c>
      <c r="G11" s="8">
        <f t="shared" si="0"/>
        <v>4295.8608000000004</v>
      </c>
      <c r="H11" s="65"/>
      <c r="I11" s="6"/>
      <c r="J11" s="8">
        <f t="shared" si="1"/>
        <v>0</v>
      </c>
      <c r="K11" s="8">
        <f t="shared" si="4"/>
        <v>4295.8608000000004</v>
      </c>
      <c r="L11" s="68">
        <v>59000</v>
      </c>
      <c r="M11" s="68">
        <f t="shared" si="3"/>
        <v>8830.1869000001025</v>
      </c>
      <c r="N11" s="41"/>
      <c r="O11" s="69"/>
    </row>
    <row r="12" spans="1:15">
      <c r="A12" s="46">
        <v>9</v>
      </c>
      <c r="B12" s="219">
        <v>46182</v>
      </c>
      <c r="C12" s="67"/>
      <c r="D12" s="71"/>
      <c r="E12" s="65">
        <v>136.33000000000001</v>
      </c>
      <c r="F12" s="6">
        <v>99.12</v>
      </c>
      <c r="G12" s="8">
        <f t="shared" si="0"/>
        <v>13513.029600000002</v>
      </c>
      <c r="H12" s="65">
        <v>6.9</v>
      </c>
      <c r="I12" s="6">
        <v>113.19</v>
      </c>
      <c r="J12" s="8">
        <f t="shared" si="1"/>
        <v>781.01100000000008</v>
      </c>
      <c r="K12" s="8">
        <f t="shared" si="2"/>
        <v>14294.040600000002</v>
      </c>
      <c r="L12" s="68"/>
      <c r="M12" s="68">
        <f t="shared" si="3"/>
        <v>23124.227500000103</v>
      </c>
      <c r="N12" s="41"/>
      <c r="O12" s="69"/>
    </row>
    <row r="13" spans="1:15">
      <c r="A13" s="46">
        <v>10</v>
      </c>
      <c r="B13" s="219">
        <v>46183</v>
      </c>
      <c r="C13" s="187"/>
      <c r="D13" s="188"/>
      <c r="E13" s="65">
        <v>150</v>
      </c>
      <c r="F13" s="6">
        <v>99.12</v>
      </c>
      <c r="G13" s="8">
        <f t="shared" si="0"/>
        <v>14868</v>
      </c>
      <c r="H13" s="65">
        <v>4.17</v>
      </c>
      <c r="I13" s="6">
        <v>113.19</v>
      </c>
      <c r="J13" s="8">
        <f t="shared" si="1"/>
        <v>472.00229999999999</v>
      </c>
      <c r="K13" s="8">
        <f t="shared" si="2"/>
        <v>15340.0023</v>
      </c>
      <c r="L13" s="68"/>
      <c r="M13" s="68">
        <f>M12+K13-L13</f>
        <v>38464.229800000103</v>
      </c>
      <c r="N13" s="41"/>
      <c r="O13" s="69"/>
    </row>
    <row r="14" spans="1:15">
      <c r="A14" s="46">
        <v>11</v>
      </c>
      <c r="B14" s="219">
        <v>46184</v>
      </c>
      <c r="C14" s="176"/>
      <c r="D14" s="176"/>
      <c r="E14" s="309"/>
      <c r="F14" s="318"/>
      <c r="G14" s="8">
        <f t="shared" si="0"/>
        <v>0</v>
      </c>
      <c r="H14" s="65"/>
      <c r="I14" s="6"/>
      <c r="J14" s="8">
        <f t="shared" si="1"/>
        <v>0</v>
      </c>
      <c r="K14" s="8">
        <f t="shared" si="2"/>
        <v>0</v>
      </c>
      <c r="L14" s="68"/>
      <c r="M14" s="68">
        <f t="shared" si="3"/>
        <v>38464.229800000103</v>
      </c>
      <c r="N14" s="41"/>
      <c r="O14" s="69"/>
    </row>
    <row r="15" spans="1:15">
      <c r="A15" s="46">
        <v>12</v>
      </c>
      <c r="B15" s="219">
        <v>46185</v>
      </c>
      <c r="C15" s="176"/>
      <c r="D15" s="176"/>
      <c r="E15" s="309"/>
      <c r="F15" s="318"/>
      <c r="G15" s="8">
        <f t="shared" si="0"/>
        <v>0</v>
      </c>
      <c r="H15" s="65"/>
      <c r="I15" s="6"/>
      <c r="J15" s="8">
        <f t="shared" si="1"/>
        <v>0</v>
      </c>
      <c r="K15" s="8">
        <f t="shared" si="2"/>
        <v>0</v>
      </c>
      <c r="L15" s="68"/>
      <c r="M15" s="68">
        <f>M14+K15-L15</f>
        <v>38464.229800000103</v>
      </c>
      <c r="N15" s="41"/>
      <c r="O15" s="69"/>
    </row>
    <row r="16" spans="1:15">
      <c r="A16" s="46">
        <v>13</v>
      </c>
      <c r="B16" s="219">
        <v>46186</v>
      </c>
      <c r="C16" s="176"/>
      <c r="D16" s="176"/>
      <c r="E16" s="65"/>
      <c r="F16" s="6"/>
      <c r="G16" s="8">
        <f t="shared" si="0"/>
        <v>0</v>
      </c>
      <c r="H16" s="65"/>
      <c r="I16" s="6"/>
      <c r="J16" s="8">
        <f t="shared" si="1"/>
        <v>0</v>
      </c>
      <c r="K16" s="8">
        <f t="shared" si="2"/>
        <v>0</v>
      </c>
      <c r="L16" s="68"/>
      <c r="M16" s="68">
        <f t="shared" si="3"/>
        <v>38464.229800000103</v>
      </c>
      <c r="N16" s="41"/>
      <c r="O16" s="69"/>
    </row>
    <row r="17" spans="1:15">
      <c r="A17" s="46">
        <v>14</v>
      </c>
      <c r="B17" s="219">
        <v>46187</v>
      </c>
      <c r="C17" s="176"/>
      <c r="D17" s="176"/>
      <c r="E17" s="65"/>
      <c r="F17" s="6"/>
      <c r="G17" s="8">
        <f t="shared" si="0"/>
        <v>0</v>
      </c>
      <c r="H17" s="309">
        <v>4.71</v>
      </c>
      <c r="I17" s="6">
        <v>113.19</v>
      </c>
      <c r="J17" s="8">
        <f t="shared" si="1"/>
        <v>533.12490000000003</v>
      </c>
      <c r="K17" s="8">
        <f t="shared" si="2"/>
        <v>533.12490000000003</v>
      </c>
      <c r="L17" s="68"/>
      <c r="M17" s="68">
        <f t="shared" si="3"/>
        <v>38997.354700000105</v>
      </c>
      <c r="N17" s="41"/>
      <c r="O17" s="69"/>
    </row>
    <row r="18" spans="1:15">
      <c r="A18" s="46">
        <v>15</v>
      </c>
      <c r="B18" s="219">
        <v>46188</v>
      </c>
      <c r="C18" s="176"/>
      <c r="D18" s="176"/>
      <c r="E18" s="65"/>
      <c r="F18" s="6"/>
      <c r="G18" s="8">
        <f t="shared" si="0"/>
        <v>0</v>
      </c>
      <c r="H18" s="65"/>
      <c r="I18" s="6"/>
      <c r="J18" s="8">
        <f t="shared" si="1"/>
        <v>0</v>
      </c>
      <c r="K18" s="8">
        <f t="shared" si="2"/>
        <v>0</v>
      </c>
      <c r="L18" s="68"/>
      <c r="M18" s="68">
        <f t="shared" si="3"/>
        <v>38997.354700000105</v>
      </c>
      <c r="N18" s="41"/>
      <c r="O18" s="69"/>
    </row>
    <row r="19" spans="1:15">
      <c r="A19" s="46">
        <v>16</v>
      </c>
      <c r="B19" s="219">
        <v>46189</v>
      </c>
      <c r="C19" s="176"/>
      <c r="D19" s="176"/>
      <c r="E19" s="65"/>
      <c r="F19" s="6"/>
      <c r="G19" s="8">
        <f t="shared" si="0"/>
        <v>0</v>
      </c>
      <c r="H19" s="65">
        <v>7.57</v>
      </c>
      <c r="I19" s="6">
        <v>113.19</v>
      </c>
      <c r="J19" s="8">
        <f t="shared" si="1"/>
        <v>856.84829999999999</v>
      </c>
      <c r="K19" s="8">
        <f t="shared" si="2"/>
        <v>856.84829999999999</v>
      </c>
      <c r="L19" s="68"/>
      <c r="M19" s="68">
        <f t="shared" si="3"/>
        <v>39854.203000000103</v>
      </c>
      <c r="N19" s="41"/>
      <c r="O19" s="69"/>
    </row>
    <row r="20" spans="1:15">
      <c r="A20" s="46">
        <v>17</v>
      </c>
      <c r="B20" s="219">
        <v>46190</v>
      </c>
      <c r="C20" s="176"/>
      <c r="D20" s="176"/>
      <c r="E20" s="65"/>
      <c r="F20" s="6"/>
      <c r="G20" s="8">
        <f t="shared" si="0"/>
        <v>0</v>
      </c>
      <c r="H20" s="65">
        <v>12.38</v>
      </c>
      <c r="I20" s="6">
        <v>113.19</v>
      </c>
      <c r="J20" s="8">
        <f t="shared" si="1"/>
        <v>1401.2922000000001</v>
      </c>
      <c r="K20" s="8">
        <f t="shared" si="2"/>
        <v>1401.2922000000001</v>
      </c>
      <c r="L20" s="68"/>
      <c r="M20" s="68">
        <f t="shared" ref="M20:M34" si="5">M19+K20-L20</f>
        <v>41255.495200000107</v>
      </c>
      <c r="N20" s="41"/>
      <c r="O20" s="69"/>
    </row>
    <row r="21" spans="1:15">
      <c r="A21" s="46">
        <v>18</v>
      </c>
      <c r="B21" s="219">
        <v>46191</v>
      </c>
      <c r="C21" s="176"/>
      <c r="D21" s="176"/>
      <c r="E21" s="65">
        <v>51.3</v>
      </c>
      <c r="F21" s="6">
        <v>99.12</v>
      </c>
      <c r="G21" s="8">
        <f t="shared" si="0"/>
        <v>5084.8559999999998</v>
      </c>
      <c r="H21" s="65"/>
      <c r="I21" s="6"/>
      <c r="J21" s="8">
        <f t="shared" si="1"/>
        <v>0</v>
      </c>
      <c r="K21" s="8">
        <f t="shared" si="2"/>
        <v>5084.8559999999998</v>
      </c>
      <c r="L21" s="68"/>
      <c r="M21" s="68">
        <f t="shared" si="5"/>
        <v>46340.351200000106</v>
      </c>
      <c r="N21" s="41"/>
      <c r="O21" s="69"/>
    </row>
    <row r="22" spans="1:15">
      <c r="A22" s="46">
        <v>19</v>
      </c>
      <c r="B22" s="219">
        <v>46192</v>
      </c>
      <c r="C22" s="176"/>
      <c r="D22" s="176"/>
      <c r="E22" s="65"/>
      <c r="F22" s="6"/>
      <c r="G22" s="8">
        <f t="shared" si="0"/>
        <v>0</v>
      </c>
      <c r="H22" s="65"/>
      <c r="I22" s="6"/>
      <c r="J22" s="8">
        <f t="shared" si="1"/>
        <v>0</v>
      </c>
      <c r="K22" s="8">
        <f t="shared" ref="K22" si="6">G22+J22</f>
        <v>0</v>
      </c>
      <c r="L22" s="68"/>
      <c r="M22" s="68">
        <f t="shared" si="5"/>
        <v>46340.351200000106</v>
      </c>
      <c r="N22" s="41"/>
      <c r="O22" s="69"/>
    </row>
    <row r="23" spans="1:15">
      <c r="A23" s="46">
        <v>20</v>
      </c>
      <c r="B23" s="219">
        <v>46193</v>
      </c>
      <c r="C23" s="176"/>
      <c r="D23" s="176"/>
      <c r="E23" s="65">
        <v>20</v>
      </c>
      <c r="F23" s="6">
        <v>99.12</v>
      </c>
      <c r="G23" s="8">
        <f t="shared" si="0"/>
        <v>1982.4</v>
      </c>
      <c r="H23" s="65"/>
      <c r="I23" s="6"/>
      <c r="J23" s="8">
        <f t="shared" si="1"/>
        <v>0</v>
      </c>
      <c r="K23" s="8">
        <f t="shared" si="2"/>
        <v>1982.4</v>
      </c>
      <c r="L23" s="68"/>
      <c r="M23" s="68">
        <f t="shared" si="5"/>
        <v>48322.751200000108</v>
      </c>
      <c r="N23" s="41"/>
      <c r="O23" s="69"/>
    </row>
    <row r="24" spans="1:15">
      <c r="A24" s="46">
        <v>21</v>
      </c>
      <c r="B24" s="219">
        <v>46194</v>
      </c>
      <c r="C24" s="176"/>
      <c r="D24" s="176"/>
      <c r="E24" s="65"/>
      <c r="F24" s="6"/>
      <c r="G24" s="8">
        <f t="shared" si="0"/>
        <v>0</v>
      </c>
      <c r="H24" s="65">
        <v>6.44</v>
      </c>
      <c r="I24" s="6">
        <v>113.19</v>
      </c>
      <c r="J24" s="8">
        <f t="shared" si="1"/>
        <v>728.94360000000006</v>
      </c>
      <c r="K24" s="8">
        <f t="shared" si="2"/>
        <v>728.94360000000006</v>
      </c>
      <c r="L24" s="68"/>
      <c r="M24" s="68">
        <f t="shared" si="5"/>
        <v>49051.694800000107</v>
      </c>
      <c r="N24" s="41"/>
      <c r="O24" s="69"/>
    </row>
    <row r="25" spans="1:15">
      <c r="A25" s="46">
        <v>22</v>
      </c>
      <c r="B25" s="219">
        <v>46195</v>
      </c>
      <c r="C25" s="176"/>
      <c r="D25" s="176"/>
      <c r="E25" s="65">
        <v>60</v>
      </c>
      <c r="F25" s="6">
        <v>99.12</v>
      </c>
      <c r="G25" s="8">
        <f t="shared" si="0"/>
        <v>5947.2000000000007</v>
      </c>
      <c r="H25" s="65">
        <v>9.32</v>
      </c>
      <c r="I25" s="6">
        <v>113.19</v>
      </c>
      <c r="J25" s="8">
        <f t="shared" si="1"/>
        <v>1054.9308000000001</v>
      </c>
      <c r="K25" s="8">
        <f t="shared" si="2"/>
        <v>7002.1308000000008</v>
      </c>
      <c r="L25" s="68"/>
      <c r="M25" s="68">
        <f t="shared" si="5"/>
        <v>56053.825600000106</v>
      </c>
      <c r="N25" s="41"/>
      <c r="O25" s="69"/>
    </row>
    <row r="26" spans="1:15">
      <c r="A26" s="46">
        <v>23</v>
      </c>
      <c r="B26" s="219">
        <v>46196</v>
      </c>
      <c r="C26" s="210"/>
      <c r="D26" s="210"/>
      <c r="E26" s="65">
        <v>39.06</v>
      </c>
      <c r="F26" s="6">
        <v>99.12</v>
      </c>
      <c r="G26" s="8">
        <f t="shared" si="0"/>
        <v>3871.6272000000004</v>
      </c>
      <c r="H26" s="65">
        <v>1</v>
      </c>
      <c r="I26" s="6">
        <v>113.19</v>
      </c>
      <c r="J26" s="8">
        <f t="shared" si="1"/>
        <v>113.19</v>
      </c>
      <c r="K26" s="8">
        <f t="shared" si="2"/>
        <v>3984.8172000000004</v>
      </c>
      <c r="L26" s="68"/>
      <c r="M26" s="68">
        <f t="shared" si="5"/>
        <v>60038.642800000103</v>
      </c>
      <c r="N26" s="211"/>
      <c r="O26" s="69">
        <v>51702</v>
      </c>
    </row>
    <row r="27" spans="1:15">
      <c r="A27" s="46">
        <v>24</v>
      </c>
      <c r="B27" s="219">
        <v>46197</v>
      </c>
      <c r="C27" s="210"/>
      <c r="D27" s="210"/>
      <c r="E27" s="65"/>
      <c r="F27" s="6"/>
      <c r="G27" s="8">
        <f t="shared" si="0"/>
        <v>0</v>
      </c>
      <c r="H27" s="65">
        <v>12.129999999999999</v>
      </c>
      <c r="I27" s="6">
        <v>113.19</v>
      </c>
      <c r="J27" s="8">
        <f t="shared" si="1"/>
        <v>1372.9947</v>
      </c>
      <c r="K27" s="8">
        <f t="shared" si="2"/>
        <v>1372.9947</v>
      </c>
      <c r="L27" s="68"/>
      <c r="M27" s="68">
        <f t="shared" si="5"/>
        <v>61411.637500000106</v>
      </c>
      <c r="N27" s="211"/>
      <c r="O27" s="69"/>
    </row>
    <row r="28" spans="1:15">
      <c r="A28" s="221">
        <v>25</v>
      </c>
      <c r="B28" s="219">
        <v>46198</v>
      </c>
      <c r="C28" s="210"/>
      <c r="D28" s="210"/>
      <c r="E28" s="65"/>
      <c r="F28" s="6"/>
      <c r="G28" s="8">
        <f t="shared" si="0"/>
        <v>0</v>
      </c>
      <c r="H28" s="65"/>
      <c r="I28" s="6"/>
      <c r="J28" s="8">
        <f t="shared" si="1"/>
        <v>0</v>
      </c>
      <c r="K28" s="8">
        <f t="shared" si="2"/>
        <v>0</v>
      </c>
      <c r="L28" s="68"/>
      <c r="M28" s="68">
        <f>M27+K28-L28</f>
        <v>61411.637500000106</v>
      </c>
      <c r="N28" s="211"/>
      <c r="O28" s="69"/>
    </row>
    <row r="29" spans="1:15">
      <c r="A29" s="221">
        <v>26</v>
      </c>
      <c r="B29" s="219">
        <v>46199</v>
      </c>
      <c r="C29" s="210"/>
      <c r="D29" s="210"/>
      <c r="E29" s="65">
        <v>40</v>
      </c>
      <c r="F29" s="6">
        <v>99.12</v>
      </c>
      <c r="G29" s="8">
        <f t="shared" si="0"/>
        <v>3964.8</v>
      </c>
      <c r="H29" s="65"/>
      <c r="I29" s="6"/>
      <c r="J29" s="8">
        <f t="shared" si="1"/>
        <v>0</v>
      </c>
      <c r="K29" s="8">
        <f t="shared" si="2"/>
        <v>3964.8</v>
      </c>
      <c r="L29" s="68"/>
      <c r="M29" s="68">
        <f t="shared" si="5"/>
        <v>65376.437500000109</v>
      </c>
      <c r="N29" s="211"/>
      <c r="O29" s="69"/>
    </row>
    <row r="30" spans="1:15">
      <c r="A30" s="221">
        <v>27</v>
      </c>
      <c r="B30" s="219">
        <v>46200</v>
      </c>
      <c r="C30" s="210"/>
      <c r="D30" s="210"/>
      <c r="E30" s="309">
        <v>22.95</v>
      </c>
      <c r="F30" s="318">
        <v>99.12</v>
      </c>
      <c r="G30" s="8">
        <f t="shared" si="0"/>
        <v>2274.8040000000001</v>
      </c>
      <c r="H30" s="65">
        <v>6</v>
      </c>
      <c r="I30" s="6">
        <v>113.19</v>
      </c>
      <c r="J30" s="8">
        <f t="shared" si="1"/>
        <v>679.14</v>
      </c>
      <c r="K30" s="8">
        <f t="shared" si="2"/>
        <v>2953.944</v>
      </c>
      <c r="L30" s="68"/>
      <c r="M30" s="68">
        <f t="shared" si="5"/>
        <v>68330.381500000105</v>
      </c>
      <c r="N30" s="211"/>
      <c r="O30" s="69"/>
    </row>
    <row r="31" spans="1:15">
      <c r="A31" s="221">
        <v>28</v>
      </c>
      <c r="B31" s="219">
        <v>46201</v>
      </c>
      <c r="C31" s="210"/>
      <c r="D31" s="210"/>
      <c r="E31" s="309">
        <v>0</v>
      </c>
      <c r="F31" s="318">
        <v>99.12</v>
      </c>
      <c r="G31" s="8">
        <f t="shared" si="0"/>
        <v>0</v>
      </c>
      <c r="H31" s="65">
        <v>0</v>
      </c>
      <c r="I31" s="6">
        <v>0</v>
      </c>
      <c r="J31" s="8">
        <f t="shared" si="1"/>
        <v>0</v>
      </c>
      <c r="K31" s="8">
        <f t="shared" si="2"/>
        <v>0</v>
      </c>
      <c r="L31" s="68"/>
      <c r="M31" s="68">
        <f t="shared" si="5"/>
        <v>68330.381500000105</v>
      </c>
      <c r="N31" s="211"/>
      <c r="O31" s="69"/>
    </row>
    <row r="32" spans="1:15">
      <c r="A32" s="222">
        <v>29</v>
      </c>
      <c r="B32" s="219">
        <v>46202</v>
      </c>
      <c r="C32" s="210"/>
      <c r="D32" s="210"/>
      <c r="E32" s="65">
        <v>20</v>
      </c>
      <c r="F32" s="6">
        <v>99.12</v>
      </c>
      <c r="G32" s="8">
        <f t="shared" si="0"/>
        <v>1982.4</v>
      </c>
      <c r="H32" s="65">
        <v>18.11</v>
      </c>
      <c r="I32" s="6">
        <v>113.19</v>
      </c>
      <c r="J32" s="8">
        <f t="shared" si="1"/>
        <v>2049.8708999999999</v>
      </c>
      <c r="K32" s="8">
        <f t="shared" si="2"/>
        <v>4032.2709</v>
      </c>
      <c r="L32" s="68"/>
      <c r="M32" s="68">
        <f t="shared" si="5"/>
        <v>72362.652400000108</v>
      </c>
      <c r="N32" s="211"/>
      <c r="O32" s="69"/>
    </row>
    <row r="33" spans="1:15">
      <c r="A33" s="222">
        <v>30</v>
      </c>
      <c r="B33" s="219">
        <v>46203</v>
      </c>
      <c r="C33" s="210"/>
      <c r="D33" s="210"/>
      <c r="E33" s="65"/>
      <c r="F33" s="6"/>
      <c r="G33" s="8">
        <f t="shared" si="0"/>
        <v>0</v>
      </c>
      <c r="H33" s="65"/>
      <c r="I33" s="6"/>
      <c r="J33" s="8">
        <f t="shared" si="1"/>
        <v>0</v>
      </c>
      <c r="K33" s="8">
        <f t="shared" si="2"/>
        <v>0</v>
      </c>
      <c r="L33" s="68"/>
      <c r="M33" s="68">
        <f t="shared" si="5"/>
        <v>72362.652400000108</v>
      </c>
      <c r="N33" s="211"/>
      <c r="O33" s="69"/>
    </row>
    <row r="34" spans="1:15">
      <c r="A34" s="222">
        <v>31</v>
      </c>
      <c r="B34" s="219">
        <v>46204</v>
      </c>
      <c r="C34" s="210"/>
      <c r="D34" s="210"/>
      <c r="E34" s="65"/>
      <c r="F34" s="6"/>
      <c r="G34" s="8">
        <f t="shared" si="0"/>
        <v>0</v>
      </c>
      <c r="H34" s="65"/>
      <c r="I34" s="6"/>
      <c r="J34" s="8">
        <f t="shared" si="1"/>
        <v>0</v>
      </c>
      <c r="K34" s="8">
        <f t="shared" si="2"/>
        <v>0</v>
      </c>
      <c r="L34" s="68"/>
      <c r="M34" s="68">
        <f t="shared" si="5"/>
        <v>72362.652400000108</v>
      </c>
      <c r="N34" s="211"/>
      <c r="O34" s="69"/>
    </row>
    <row r="35" spans="1:15">
      <c r="A35" s="160"/>
      <c r="B35" s="160"/>
      <c r="C35" s="160"/>
      <c r="D35" s="160"/>
      <c r="E35" s="161">
        <f>SUM(E4:E34)</f>
        <v>1034.1100000000001</v>
      </c>
      <c r="F35" s="161"/>
      <c r="G35" s="161">
        <f>SUM(G4:G34)</f>
        <v>102500.9832</v>
      </c>
      <c r="H35" s="161">
        <f>SUM(H4:H34)</f>
        <v>111.53000000000002</v>
      </c>
      <c r="I35" s="161"/>
      <c r="J35" s="161">
        <f>SUM(J4:J34)</f>
        <v>12624.080699999999</v>
      </c>
      <c r="K35" s="161">
        <f>SUM(K4:K34)</f>
        <v>115125.06390000001</v>
      </c>
      <c r="L35" s="161">
        <f>SUM(L4:L34)</f>
        <v>59000</v>
      </c>
      <c r="M35" s="161"/>
      <c r="N35" s="161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</sheetData>
  <mergeCells count="1">
    <mergeCell ref="A1:N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workbookViewId="0">
      <selection activeCell="E15" sqref="E15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568" t="s">
        <v>157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"/>
    </row>
    <row r="2" spans="1:16" ht="30">
      <c r="A2" s="64" t="s">
        <v>0</v>
      </c>
      <c r="B2" s="83" t="s">
        <v>167</v>
      </c>
      <c r="C2" s="83" t="s">
        <v>168</v>
      </c>
      <c r="D2" s="83" t="s">
        <v>191</v>
      </c>
      <c r="E2" s="83" t="s">
        <v>170</v>
      </c>
      <c r="F2" s="83" t="s">
        <v>171</v>
      </c>
      <c r="G2" s="90" t="s">
        <v>172</v>
      </c>
      <c r="H2" s="83" t="s">
        <v>173</v>
      </c>
      <c r="I2" s="83" t="s">
        <v>171</v>
      </c>
      <c r="J2" s="90" t="s">
        <v>172</v>
      </c>
      <c r="K2" s="64" t="s">
        <v>174</v>
      </c>
      <c r="L2" s="91" t="s">
        <v>175</v>
      </c>
      <c r="M2" s="85" t="s">
        <v>192</v>
      </c>
      <c r="N2" s="83" t="s">
        <v>177</v>
      </c>
      <c r="O2" s="5"/>
    </row>
    <row r="3" spans="1:16">
      <c r="A3" s="602" t="s">
        <v>178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4"/>
      <c r="M3" s="605">
        <v>12648.918199999996</v>
      </c>
      <c r="N3" s="606"/>
      <c r="O3" s="5"/>
    </row>
    <row r="4" spans="1:16">
      <c r="A4" s="196">
        <v>1</v>
      </c>
      <c r="B4" s="219"/>
      <c r="C4" s="6"/>
      <c r="D4" s="6"/>
      <c r="E4" s="65"/>
      <c r="F4" s="6"/>
      <c r="G4" s="66">
        <f>E4*F4</f>
        <v>0</v>
      </c>
      <c r="H4" s="65"/>
      <c r="I4" s="6"/>
      <c r="J4" s="66">
        <f>H4*I4</f>
        <v>0</v>
      </c>
      <c r="K4" s="66">
        <f>G4+J4</f>
        <v>0</v>
      </c>
      <c r="L4" s="162">
        <v>0</v>
      </c>
      <c r="M4" s="149">
        <f>M3+K4-L4</f>
        <v>12648.918199999996</v>
      </c>
      <c r="N4" s="46"/>
      <c r="O4" s="5">
        <v>908.20409999999981</v>
      </c>
    </row>
    <row r="5" spans="1:16">
      <c r="A5" s="46">
        <v>2</v>
      </c>
      <c r="B5" s="219"/>
      <c r="C5" s="6"/>
      <c r="D5" s="6"/>
      <c r="E5" s="65"/>
      <c r="F5" s="6"/>
      <c r="G5" s="66">
        <f t="shared" ref="G5:G17" si="0">E5*F5</f>
        <v>0</v>
      </c>
      <c r="H5" s="65"/>
      <c r="I5" s="6"/>
      <c r="J5" s="66">
        <f t="shared" ref="J5:J42" si="1">H5*I5</f>
        <v>0</v>
      </c>
      <c r="K5" s="66">
        <f t="shared" ref="K5:K42" si="2">G5+J5</f>
        <v>0</v>
      </c>
      <c r="L5" s="162">
        <v>0</v>
      </c>
      <c r="M5" s="149">
        <f t="shared" ref="M5:M43" si="3">M4+K5-L5</f>
        <v>12648.918199999996</v>
      </c>
      <c r="N5" s="46"/>
      <c r="O5" s="5"/>
    </row>
    <row r="6" spans="1:16">
      <c r="A6" s="46">
        <v>3</v>
      </c>
      <c r="B6" s="219" t="s">
        <v>212</v>
      </c>
      <c r="C6" s="6"/>
      <c r="D6" s="6"/>
      <c r="E6" s="65"/>
      <c r="F6" s="6"/>
      <c r="G6" s="66">
        <f t="shared" si="0"/>
        <v>0</v>
      </c>
      <c r="H6" s="65">
        <v>2</v>
      </c>
      <c r="I6" s="6">
        <v>120.64</v>
      </c>
      <c r="J6" s="66">
        <f t="shared" si="1"/>
        <v>241.28</v>
      </c>
      <c r="K6" s="66">
        <f t="shared" si="2"/>
        <v>241.28</v>
      </c>
      <c r="L6" s="162">
        <v>0</v>
      </c>
      <c r="M6" s="149">
        <f t="shared" si="3"/>
        <v>12890.198199999997</v>
      </c>
      <c r="N6" s="46"/>
      <c r="O6" s="5"/>
    </row>
    <row r="7" spans="1:16">
      <c r="A7" s="46">
        <v>4</v>
      </c>
      <c r="B7" s="219" t="s">
        <v>219</v>
      </c>
      <c r="C7" s="6"/>
      <c r="D7" s="6"/>
      <c r="E7" s="65">
        <v>30</v>
      </c>
      <c r="F7" s="6">
        <v>99.07</v>
      </c>
      <c r="G7" s="66">
        <f t="shared" si="0"/>
        <v>2972.1</v>
      </c>
      <c r="H7" s="65"/>
      <c r="I7" s="6"/>
      <c r="J7" s="66">
        <f t="shared" si="1"/>
        <v>0</v>
      </c>
      <c r="K7" s="66">
        <f t="shared" si="2"/>
        <v>2972.1</v>
      </c>
      <c r="L7" s="162">
        <v>0</v>
      </c>
      <c r="M7" s="149">
        <f t="shared" si="3"/>
        <v>15862.298199999997</v>
      </c>
      <c r="N7" s="46"/>
      <c r="O7" s="5"/>
    </row>
    <row r="8" spans="1:16">
      <c r="A8" s="46">
        <v>5</v>
      </c>
      <c r="B8" s="219" t="s">
        <v>225</v>
      </c>
      <c r="C8" s="6"/>
      <c r="D8" s="6"/>
      <c r="E8" s="65">
        <v>55</v>
      </c>
      <c r="F8" s="6">
        <v>99.07</v>
      </c>
      <c r="G8" s="66">
        <f t="shared" si="0"/>
        <v>5448.8499999999995</v>
      </c>
      <c r="H8" s="65"/>
      <c r="I8" s="6"/>
      <c r="J8" s="66">
        <f t="shared" si="1"/>
        <v>0</v>
      </c>
      <c r="K8" s="66">
        <f t="shared" si="2"/>
        <v>5448.8499999999995</v>
      </c>
      <c r="L8" s="162">
        <v>0</v>
      </c>
      <c r="M8" s="149">
        <f t="shared" si="3"/>
        <v>21311.148199999996</v>
      </c>
      <c r="N8" s="46"/>
      <c r="O8" s="5"/>
    </row>
    <row r="9" spans="1:16">
      <c r="A9" s="46">
        <v>6</v>
      </c>
      <c r="B9" s="219" t="s">
        <v>230</v>
      </c>
      <c r="C9" s="6"/>
      <c r="D9" s="6"/>
      <c r="E9" s="65">
        <v>20</v>
      </c>
      <c r="F9" s="6">
        <v>99.07</v>
      </c>
      <c r="G9" s="66">
        <f t="shared" si="0"/>
        <v>1981.3999999999999</v>
      </c>
      <c r="H9" s="65"/>
      <c r="I9" s="6"/>
      <c r="J9" s="66">
        <f t="shared" si="1"/>
        <v>0</v>
      </c>
      <c r="K9" s="66">
        <f t="shared" si="2"/>
        <v>1981.3999999999999</v>
      </c>
      <c r="L9" s="162">
        <v>0</v>
      </c>
      <c r="M9" s="149">
        <f t="shared" si="3"/>
        <v>23292.548199999997</v>
      </c>
      <c r="N9" s="46"/>
      <c r="O9" s="5"/>
    </row>
    <row r="10" spans="1:16">
      <c r="A10" s="46">
        <v>7</v>
      </c>
      <c r="B10" s="219" t="s">
        <v>236</v>
      </c>
      <c r="C10" s="6"/>
      <c r="D10" s="6"/>
      <c r="E10" s="65">
        <v>30</v>
      </c>
      <c r="F10" s="6">
        <v>99.07</v>
      </c>
      <c r="G10" s="66">
        <f t="shared" si="0"/>
        <v>2972.1</v>
      </c>
      <c r="H10" s="65"/>
      <c r="I10" s="6"/>
      <c r="J10" s="66">
        <f t="shared" si="1"/>
        <v>0</v>
      </c>
      <c r="K10" s="66">
        <f t="shared" si="2"/>
        <v>2972.1</v>
      </c>
      <c r="L10" s="162">
        <v>0</v>
      </c>
      <c r="M10" s="149">
        <f t="shared" si="3"/>
        <v>26264.648199999996</v>
      </c>
      <c r="N10" s="46"/>
      <c r="O10" s="5"/>
    </row>
    <row r="11" spans="1:16">
      <c r="A11" s="46">
        <v>8</v>
      </c>
      <c r="B11" s="219"/>
      <c r="C11" s="6"/>
      <c r="D11" s="6"/>
      <c r="E11" s="65"/>
      <c r="F11" s="6"/>
      <c r="G11" s="66">
        <f t="shared" si="0"/>
        <v>0</v>
      </c>
      <c r="H11" s="65"/>
      <c r="I11" s="6"/>
      <c r="J11" s="66">
        <f t="shared" si="1"/>
        <v>0</v>
      </c>
      <c r="K11" s="66">
        <f t="shared" si="2"/>
        <v>0</v>
      </c>
      <c r="L11" s="162">
        <v>23000</v>
      </c>
      <c r="M11" s="149">
        <f t="shared" si="3"/>
        <v>3264.648199999996</v>
      </c>
      <c r="N11" s="46"/>
      <c r="O11" s="5"/>
      <c r="P11" s="68">
        <f>P10+N11-O11</f>
        <v>0</v>
      </c>
    </row>
    <row r="12" spans="1:16">
      <c r="A12" s="46">
        <v>9</v>
      </c>
      <c r="B12" s="219" t="s">
        <v>241</v>
      </c>
      <c r="C12" s="6"/>
      <c r="D12" s="6"/>
      <c r="E12" s="65">
        <v>60</v>
      </c>
      <c r="F12" s="6">
        <v>99.07</v>
      </c>
      <c r="G12" s="66">
        <f t="shared" si="0"/>
        <v>5944.2</v>
      </c>
      <c r="H12" s="65"/>
      <c r="I12" s="6"/>
      <c r="J12" s="66">
        <f t="shared" si="1"/>
        <v>0</v>
      </c>
      <c r="K12" s="66">
        <f t="shared" si="2"/>
        <v>5944.2</v>
      </c>
      <c r="L12" s="162">
        <v>0</v>
      </c>
      <c r="M12" s="149">
        <f t="shared" si="3"/>
        <v>9208.8481999999967</v>
      </c>
      <c r="N12" s="46"/>
      <c r="O12" s="5"/>
    </row>
    <row r="13" spans="1:16">
      <c r="A13" s="46">
        <v>10</v>
      </c>
      <c r="B13" s="219" t="s">
        <v>270</v>
      </c>
      <c r="C13" s="6"/>
      <c r="D13" s="6"/>
      <c r="E13" s="65">
        <v>30.01</v>
      </c>
      <c r="F13" s="6">
        <v>99.07</v>
      </c>
      <c r="G13" s="66">
        <f t="shared" si="0"/>
        <v>2973.0906999999997</v>
      </c>
      <c r="H13" s="65"/>
      <c r="I13" s="6"/>
      <c r="J13" s="66">
        <f t="shared" si="1"/>
        <v>0</v>
      </c>
      <c r="K13" s="66">
        <f t="shared" si="2"/>
        <v>2973.0906999999997</v>
      </c>
      <c r="L13" s="162">
        <v>0</v>
      </c>
      <c r="M13" s="149">
        <f t="shared" si="3"/>
        <v>12181.938899999997</v>
      </c>
      <c r="N13" s="46"/>
      <c r="O13" s="5"/>
    </row>
    <row r="14" spans="1:16">
      <c r="A14" s="46">
        <v>11</v>
      </c>
      <c r="B14" s="219" t="s">
        <v>275</v>
      </c>
      <c r="C14" s="6"/>
      <c r="D14" s="6"/>
      <c r="E14" s="65">
        <v>15</v>
      </c>
      <c r="F14" s="6">
        <v>99.07</v>
      </c>
      <c r="G14" s="66">
        <f t="shared" si="0"/>
        <v>1486.05</v>
      </c>
      <c r="H14" s="65"/>
      <c r="I14" s="6"/>
      <c r="J14" s="66">
        <f t="shared" si="1"/>
        <v>0</v>
      </c>
      <c r="K14" s="66">
        <f t="shared" si="2"/>
        <v>1486.05</v>
      </c>
      <c r="L14" s="162">
        <v>0</v>
      </c>
      <c r="M14" s="149">
        <f t="shared" si="3"/>
        <v>13667.988899999997</v>
      </c>
      <c r="N14" s="46"/>
      <c r="O14" s="5"/>
    </row>
    <row r="15" spans="1:16">
      <c r="A15" s="46">
        <v>12</v>
      </c>
      <c r="B15" s="219"/>
      <c r="C15" s="6"/>
      <c r="D15" s="6"/>
      <c r="E15" s="65"/>
      <c r="F15" s="6"/>
      <c r="G15" s="66">
        <f t="shared" si="0"/>
        <v>0</v>
      </c>
      <c r="H15" s="65"/>
      <c r="I15" s="6"/>
      <c r="J15" s="66">
        <f t="shared" si="1"/>
        <v>0</v>
      </c>
      <c r="K15" s="66">
        <f t="shared" si="2"/>
        <v>0</v>
      </c>
      <c r="L15" s="162">
        <v>0</v>
      </c>
      <c r="M15" s="149">
        <f t="shared" si="3"/>
        <v>13667.988899999997</v>
      </c>
      <c r="N15" s="46"/>
      <c r="O15" s="5"/>
    </row>
    <row r="16" spans="1:16">
      <c r="A16" s="46">
        <v>13</v>
      </c>
      <c r="B16" s="219"/>
      <c r="C16" s="6"/>
      <c r="D16" s="6"/>
      <c r="E16" s="65"/>
      <c r="F16" s="6"/>
      <c r="G16" s="66">
        <f t="shared" si="0"/>
        <v>0</v>
      </c>
      <c r="H16" s="65"/>
      <c r="I16" s="6"/>
      <c r="J16" s="66">
        <f t="shared" si="1"/>
        <v>0</v>
      </c>
      <c r="K16" s="66">
        <f t="shared" si="2"/>
        <v>0</v>
      </c>
      <c r="L16" s="162">
        <v>0</v>
      </c>
      <c r="M16" s="149">
        <f t="shared" si="3"/>
        <v>13667.988899999997</v>
      </c>
      <c r="N16" s="46"/>
      <c r="O16" s="5"/>
    </row>
    <row r="17" spans="1:15">
      <c r="A17" s="46">
        <v>14</v>
      </c>
      <c r="B17" s="219"/>
      <c r="C17" s="6"/>
      <c r="D17" s="6"/>
      <c r="E17" s="65"/>
      <c r="F17" s="6"/>
      <c r="G17" s="66">
        <f t="shared" si="0"/>
        <v>0</v>
      </c>
      <c r="H17" s="65"/>
      <c r="I17" s="6"/>
      <c r="J17" s="66">
        <f t="shared" si="1"/>
        <v>0</v>
      </c>
      <c r="K17" s="66">
        <f t="shared" si="2"/>
        <v>0</v>
      </c>
      <c r="L17" s="162">
        <v>0</v>
      </c>
      <c r="M17" s="149">
        <f t="shared" si="3"/>
        <v>13667.988899999997</v>
      </c>
      <c r="N17" s="46"/>
      <c r="O17" s="5"/>
    </row>
    <row r="18" spans="1:15">
      <c r="A18" s="46">
        <v>15</v>
      </c>
      <c r="B18" s="219"/>
      <c r="C18" s="6"/>
      <c r="D18" s="6"/>
      <c r="E18" s="65"/>
      <c r="F18" s="6"/>
      <c r="G18" s="66">
        <f t="shared" ref="G5:G42" si="4">E18*F18</f>
        <v>0</v>
      </c>
      <c r="H18" s="65"/>
      <c r="I18" s="6"/>
      <c r="J18" s="66">
        <f t="shared" si="1"/>
        <v>0</v>
      </c>
      <c r="K18" s="66">
        <f t="shared" si="2"/>
        <v>0</v>
      </c>
      <c r="L18" s="162">
        <v>0</v>
      </c>
      <c r="M18" s="149">
        <f>M17+K18-L18</f>
        <v>13667.988899999997</v>
      </c>
      <c r="N18" s="46"/>
      <c r="O18" s="5"/>
    </row>
    <row r="19" spans="1:15">
      <c r="A19" s="46">
        <v>16</v>
      </c>
      <c r="B19" s="219"/>
      <c r="C19" s="6"/>
      <c r="D19" s="6"/>
      <c r="E19" s="65"/>
      <c r="F19" s="6"/>
      <c r="G19" s="66">
        <f t="shared" si="4"/>
        <v>0</v>
      </c>
      <c r="H19" s="65"/>
      <c r="I19" s="6"/>
      <c r="J19" s="66">
        <f t="shared" si="1"/>
        <v>0</v>
      </c>
      <c r="K19" s="66">
        <f t="shared" si="2"/>
        <v>0</v>
      </c>
      <c r="L19" s="162">
        <v>0</v>
      </c>
      <c r="M19" s="149">
        <f t="shared" si="3"/>
        <v>13667.988899999997</v>
      </c>
      <c r="N19" s="46"/>
      <c r="O19" s="5"/>
    </row>
    <row r="20" spans="1:15">
      <c r="A20" s="46">
        <v>17</v>
      </c>
      <c r="B20" s="219"/>
      <c r="C20" s="6"/>
      <c r="D20" s="6"/>
      <c r="E20" s="65"/>
      <c r="F20" s="6"/>
      <c r="G20" s="66">
        <f>E20*F20</f>
        <v>0</v>
      </c>
      <c r="H20" s="65"/>
      <c r="I20" s="6"/>
      <c r="J20" s="66">
        <f t="shared" si="1"/>
        <v>0</v>
      </c>
      <c r="K20" s="66">
        <f t="shared" si="2"/>
        <v>0</v>
      </c>
      <c r="L20" s="162">
        <v>0</v>
      </c>
      <c r="M20" s="149">
        <f t="shared" si="3"/>
        <v>13667.988899999997</v>
      </c>
      <c r="N20" s="46"/>
      <c r="O20" s="5"/>
    </row>
    <row r="21" spans="1:15">
      <c r="A21" s="46">
        <v>18</v>
      </c>
      <c r="B21" s="219"/>
      <c r="C21" s="6"/>
      <c r="D21" s="6"/>
      <c r="E21" s="65"/>
      <c r="F21" s="6"/>
      <c r="G21" s="66">
        <f t="shared" si="4"/>
        <v>0</v>
      </c>
      <c r="H21" s="65"/>
      <c r="I21" s="6"/>
      <c r="J21" s="66">
        <f t="shared" si="1"/>
        <v>0</v>
      </c>
      <c r="K21" s="66">
        <f t="shared" si="2"/>
        <v>0</v>
      </c>
      <c r="L21" s="162">
        <v>0</v>
      </c>
      <c r="M21" s="149">
        <f t="shared" si="3"/>
        <v>13667.988899999997</v>
      </c>
      <c r="N21" s="46"/>
      <c r="O21" s="5"/>
    </row>
    <row r="22" spans="1:15">
      <c r="A22" s="46">
        <v>19</v>
      </c>
      <c r="B22" s="219"/>
      <c r="C22" s="6"/>
      <c r="D22" s="6"/>
      <c r="E22" s="65"/>
      <c r="F22" s="6"/>
      <c r="G22" s="66">
        <f t="shared" si="4"/>
        <v>0</v>
      </c>
      <c r="H22" s="65"/>
      <c r="I22" s="6"/>
      <c r="J22" s="66">
        <f t="shared" si="1"/>
        <v>0</v>
      </c>
      <c r="K22" s="66">
        <f t="shared" si="2"/>
        <v>0</v>
      </c>
      <c r="L22" s="162">
        <v>0</v>
      </c>
      <c r="M22" s="149">
        <f t="shared" si="3"/>
        <v>13667.988899999997</v>
      </c>
      <c r="N22" s="46"/>
      <c r="O22" s="5"/>
    </row>
    <row r="23" spans="1:15">
      <c r="A23" s="46">
        <v>20</v>
      </c>
      <c r="B23" s="219"/>
      <c r="C23" s="6"/>
      <c r="D23" s="6"/>
      <c r="E23" s="65"/>
      <c r="F23" s="6"/>
      <c r="G23" s="66">
        <f t="shared" si="4"/>
        <v>0</v>
      </c>
      <c r="H23" s="65"/>
      <c r="I23" s="6"/>
      <c r="J23" s="66">
        <f t="shared" si="1"/>
        <v>0</v>
      </c>
      <c r="K23" s="66">
        <f t="shared" si="2"/>
        <v>0</v>
      </c>
      <c r="L23" s="162">
        <v>0</v>
      </c>
      <c r="M23" s="149">
        <f t="shared" si="3"/>
        <v>13667.988899999997</v>
      </c>
      <c r="N23" s="46"/>
      <c r="O23" s="5"/>
    </row>
    <row r="24" spans="1:15">
      <c r="A24" s="46">
        <v>21</v>
      </c>
      <c r="B24" s="219"/>
      <c r="C24" s="6"/>
      <c r="D24" s="6"/>
      <c r="E24" s="65"/>
      <c r="F24" s="6"/>
      <c r="G24" s="66">
        <f t="shared" si="4"/>
        <v>0</v>
      </c>
      <c r="H24" s="65"/>
      <c r="I24" s="6"/>
      <c r="J24" s="66">
        <f t="shared" si="1"/>
        <v>0</v>
      </c>
      <c r="K24" s="66">
        <f t="shared" si="2"/>
        <v>0</v>
      </c>
      <c r="L24" s="162">
        <v>0</v>
      </c>
      <c r="M24" s="149">
        <f t="shared" si="3"/>
        <v>13667.988899999997</v>
      </c>
      <c r="N24" s="46"/>
      <c r="O24" s="5"/>
    </row>
    <row r="25" spans="1:15">
      <c r="A25" s="46">
        <v>22</v>
      </c>
      <c r="B25" s="219"/>
      <c r="C25" s="6"/>
      <c r="D25" s="6"/>
      <c r="E25" s="65"/>
      <c r="F25" s="6"/>
      <c r="G25" s="66">
        <f t="shared" si="4"/>
        <v>0</v>
      </c>
      <c r="H25" s="65"/>
      <c r="I25" s="6"/>
      <c r="J25" s="66">
        <f t="shared" si="1"/>
        <v>0</v>
      </c>
      <c r="K25" s="66">
        <f t="shared" si="2"/>
        <v>0</v>
      </c>
      <c r="L25" s="162">
        <v>0</v>
      </c>
      <c r="M25" s="149">
        <f t="shared" si="3"/>
        <v>13667.988899999997</v>
      </c>
      <c r="N25" s="46"/>
      <c r="O25" s="5"/>
    </row>
    <row r="26" spans="1:15">
      <c r="A26" s="46">
        <v>23</v>
      </c>
      <c r="B26" s="219"/>
      <c r="C26" s="6"/>
      <c r="D26" s="6"/>
      <c r="E26" s="65"/>
      <c r="F26" s="6"/>
      <c r="G26" s="66">
        <f t="shared" si="4"/>
        <v>0</v>
      </c>
      <c r="H26" s="65"/>
      <c r="I26" s="6"/>
      <c r="J26" s="66">
        <f t="shared" si="1"/>
        <v>0</v>
      </c>
      <c r="K26" s="66">
        <f t="shared" si="2"/>
        <v>0</v>
      </c>
      <c r="L26" s="162">
        <v>0</v>
      </c>
      <c r="M26" s="149">
        <f t="shared" si="3"/>
        <v>13667.988899999997</v>
      </c>
      <c r="N26" s="46"/>
      <c r="O26" s="5"/>
    </row>
    <row r="27" spans="1:15">
      <c r="A27" s="46">
        <v>24</v>
      </c>
      <c r="B27" s="219"/>
      <c r="C27" s="6"/>
      <c r="D27" s="6"/>
      <c r="E27" s="65"/>
      <c r="F27" s="6"/>
      <c r="G27" s="66">
        <f t="shared" si="4"/>
        <v>0</v>
      </c>
      <c r="H27" s="65"/>
      <c r="I27" s="6"/>
      <c r="J27" s="66">
        <f t="shared" si="1"/>
        <v>0</v>
      </c>
      <c r="K27" s="66">
        <f t="shared" si="2"/>
        <v>0</v>
      </c>
      <c r="L27" s="162">
        <v>0</v>
      </c>
      <c r="M27" s="149">
        <f t="shared" si="3"/>
        <v>13667.988899999997</v>
      </c>
      <c r="N27" s="6"/>
      <c r="O27" s="5"/>
    </row>
    <row r="28" spans="1:15">
      <c r="A28" s="221">
        <v>25</v>
      </c>
      <c r="B28" s="219"/>
      <c r="C28" s="6"/>
      <c r="D28" s="6"/>
      <c r="E28" s="65"/>
      <c r="F28" s="6"/>
      <c r="G28" s="66">
        <f t="shared" si="4"/>
        <v>0</v>
      </c>
      <c r="H28" s="65"/>
      <c r="I28" s="6"/>
      <c r="J28" s="66">
        <f t="shared" si="1"/>
        <v>0</v>
      </c>
      <c r="K28" s="66">
        <f t="shared" si="2"/>
        <v>0</v>
      </c>
      <c r="L28" s="162">
        <v>0</v>
      </c>
      <c r="M28" s="149">
        <f t="shared" si="3"/>
        <v>13667.988899999997</v>
      </c>
      <c r="N28" s="6"/>
      <c r="O28" s="5"/>
    </row>
    <row r="29" spans="1:15">
      <c r="A29" s="221">
        <v>26</v>
      </c>
      <c r="B29" s="219"/>
      <c r="C29" s="6"/>
      <c r="D29" s="6"/>
      <c r="E29" s="65"/>
      <c r="F29" s="6"/>
      <c r="G29" s="66">
        <f t="shared" si="4"/>
        <v>0</v>
      </c>
      <c r="H29" s="65"/>
      <c r="I29" s="6"/>
      <c r="J29" s="66">
        <f t="shared" si="1"/>
        <v>0</v>
      </c>
      <c r="K29" s="66">
        <f t="shared" si="2"/>
        <v>0</v>
      </c>
      <c r="L29" s="162">
        <v>0</v>
      </c>
      <c r="M29" s="149">
        <f t="shared" si="3"/>
        <v>13667.988899999997</v>
      </c>
      <c r="N29" s="6"/>
      <c r="O29" s="5"/>
    </row>
    <row r="30" spans="1:15">
      <c r="A30" s="221">
        <v>27</v>
      </c>
      <c r="B30" s="219"/>
      <c r="C30" s="6"/>
      <c r="D30" s="6"/>
      <c r="E30" s="65"/>
      <c r="F30" s="6"/>
      <c r="G30" s="66">
        <f t="shared" si="4"/>
        <v>0</v>
      </c>
      <c r="H30" s="65"/>
      <c r="I30" s="6"/>
      <c r="J30" s="66">
        <f t="shared" si="1"/>
        <v>0</v>
      </c>
      <c r="K30" s="66">
        <f t="shared" si="2"/>
        <v>0</v>
      </c>
      <c r="L30" s="162">
        <v>0</v>
      </c>
      <c r="M30" s="149">
        <f t="shared" si="3"/>
        <v>13667.988899999997</v>
      </c>
      <c r="N30" s="6"/>
      <c r="O30" s="5"/>
    </row>
    <row r="31" spans="1:15">
      <c r="A31" s="221">
        <v>28</v>
      </c>
      <c r="B31" s="219"/>
      <c r="C31" s="6"/>
      <c r="D31" s="6"/>
      <c r="E31" s="65"/>
      <c r="F31" s="6"/>
      <c r="G31" s="66">
        <f t="shared" si="4"/>
        <v>0</v>
      </c>
      <c r="H31" s="65"/>
      <c r="I31" s="6"/>
      <c r="J31" s="66">
        <f t="shared" si="1"/>
        <v>0</v>
      </c>
      <c r="K31" s="66">
        <f t="shared" si="2"/>
        <v>0</v>
      </c>
      <c r="L31" s="162">
        <v>0</v>
      </c>
      <c r="M31" s="149">
        <f t="shared" si="3"/>
        <v>13667.988899999997</v>
      </c>
      <c r="N31" s="6"/>
      <c r="O31" s="5"/>
    </row>
    <row r="32" spans="1:15">
      <c r="A32" s="222">
        <v>29</v>
      </c>
      <c r="B32" s="219"/>
      <c r="C32" s="6"/>
      <c r="D32" s="6"/>
      <c r="E32" s="65"/>
      <c r="F32" s="6"/>
      <c r="G32" s="66">
        <f t="shared" si="4"/>
        <v>0</v>
      </c>
      <c r="H32" s="65"/>
      <c r="I32" s="6"/>
      <c r="J32" s="66">
        <f t="shared" si="1"/>
        <v>0</v>
      </c>
      <c r="K32" s="66">
        <f t="shared" si="2"/>
        <v>0</v>
      </c>
      <c r="L32" s="162">
        <v>0</v>
      </c>
      <c r="M32" s="149">
        <f t="shared" si="3"/>
        <v>13667.988899999997</v>
      </c>
      <c r="N32" s="6"/>
      <c r="O32" s="5"/>
    </row>
    <row r="33" spans="1:15">
      <c r="A33" s="222">
        <v>30</v>
      </c>
      <c r="B33" s="219"/>
      <c r="C33" s="6"/>
      <c r="D33" s="6"/>
      <c r="E33" s="65"/>
      <c r="F33" s="6"/>
      <c r="G33" s="66">
        <f t="shared" si="4"/>
        <v>0</v>
      </c>
      <c r="H33" s="65"/>
      <c r="I33" s="6"/>
      <c r="J33" s="66">
        <f t="shared" si="1"/>
        <v>0</v>
      </c>
      <c r="K33" s="66">
        <f t="shared" si="2"/>
        <v>0</v>
      </c>
      <c r="L33" s="162">
        <v>0</v>
      </c>
      <c r="M33" s="149">
        <f t="shared" si="3"/>
        <v>13667.988899999997</v>
      </c>
      <c r="N33" s="6"/>
      <c r="O33" s="5"/>
    </row>
    <row r="34" spans="1:15">
      <c r="A34" s="222">
        <v>31</v>
      </c>
      <c r="B34" s="219"/>
      <c r="C34" s="6"/>
      <c r="D34" s="6"/>
      <c r="E34" s="65"/>
      <c r="F34" s="6"/>
      <c r="G34" s="66">
        <f t="shared" si="4"/>
        <v>0</v>
      </c>
      <c r="H34" s="65"/>
      <c r="I34" s="6"/>
      <c r="J34" s="66">
        <f t="shared" si="1"/>
        <v>0</v>
      </c>
      <c r="K34" s="66">
        <f t="shared" si="2"/>
        <v>0</v>
      </c>
      <c r="L34" s="162">
        <v>0</v>
      </c>
      <c r="M34" s="149">
        <f t="shared" si="3"/>
        <v>13667.988899999997</v>
      </c>
      <c r="N34" s="6"/>
      <c r="O34" s="5"/>
    </row>
    <row r="35" spans="1:15">
      <c r="A35" s="6">
        <v>34</v>
      </c>
      <c r="B35" s="219"/>
      <c r="C35" s="6"/>
      <c r="D35" s="6"/>
      <c r="E35" s="65"/>
      <c r="F35" s="6"/>
      <c r="G35" s="66">
        <f t="shared" si="4"/>
        <v>0</v>
      </c>
      <c r="H35" s="65"/>
      <c r="I35" s="6"/>
      <c r="J35" s="66">
        <f t="shared" si="1"/>
        <v>0</v>
      </c>
      <c r="K35" s="66">
        <f t="shared" si="2"/>
        <v>0</v>
      </c>
      <c r="L35" s="162">
        <v>0</v>
      </c>
      <c r="M35" s="149">
        <f t="shared" si="3"/>
        <v>13667.988899999997</v>
      </c>
      <c r="N35" s="6"/>
      <c r="O35" s="5"/>
    </row>
    <row r="36" spans="1:15">
      <c r="A36" s="6">
        <v>35</v>
      </c>
      <c r="B36" s="219"/>
      <c r="C36" s="6"/>
      <c r="D36" s="6"/>
      <c r="E36" s="65"/>
      <c r="F36" s="6"/>
      <c r="G36" s="66">
        <f t="shared" si="4"/>
        <v>0</v>
      </c>
      <c r="H36" s="65"/>
      <c r="I36" s="6"/>
      <c r="J36" s="66">
        <f t="shared" si="1"/>
        <v>0</v>
      </c>
      <c r="K36" s="66">
        <f t="shared" si="2"/>
        <v>0</v>
      </c>
      <c r="L36" s="162">
        <v>0</v>
      </c>
      <c r="M36" s="149">
        <f t="shared" si="3"/>
        <v>13667.988899999997</v>
      </c>
      <c r="N36" s="6"/>
      <c r="O36" s="5"/>
    </row>
    <row r="37" spans="1:15">
      <c r="A37" s="6">
        <v>36</v>
      </c>
      <c r="B37" s="219"/>
      <c r="C37" s="6"/>
      <c r="D37" s="6"/>
      <c r="E37" s="65"/>
      <c r="F37" s="6"/>
      <c r="G37" s="66">
        <f t="shared" si="4"/>
        <v>0</v>
      </c>
      <c r="H37" s="65"/>
      <c r="I37" s="6"/>
      <c r="J37" s="66">
        <f t="shared" si="1"/>
        <v>0</v>
      </c>
      <c r="K37" s="66">
        <f t="shared" si="2"/>
        <v>0</v>
      </c>
      <c r="L37" s="162">
        <v>0</v>
      </c>
      <c r="M37" s="149">
        <f t="shared" si="3"/>
        <v>13667.988899999997</v>
      </c>
      <c r="N37" s="6"/>
      <c r="O37" s="5"/>
    </row>
    <row r="38" spans="1:15">
      <c r="A38" s="6">
        <v>37</v>
      </c>
      <c r="B38" s="219"/>
      <c r="C38" s="6"/>
      <c r="D38" s="6"/>
      <c r="E38" s="65"/>
      <c r="F38" s="6"/>
      <c r="G38" s="66">
        <f t="shared" si="4"/>
        <v>0</v>
      </c>
      <c r="H38" s="65"/>
      <c r="I38" s="6"/>
      <c r="J38" s="66">
        <f t="shared" si="1"/>
        <v>0</v>
      </c>
      <c r="K38" s="66">
        <f t="shared" si="2"/>
        <v>0</v>
      </c>
      <c r="L38" s="162">
        <v>0</v>
      </c>
      <c r="M38" s="149">
        <f t="shared" si="3"/>
        <v>13667.988899999997</v>
      </c>
      <c r="N38" s="6"/>
      <c r="O38" s="5"/>
    </row>
    <row r="39" spans="1:15">
      <c r="A39" s="6">
        <v>38</v>
      </c>
      <c r="B39" s="219"/>
      <c r="C39" s="6"/>
      <c r="D39" s="6"/>
      <c r="E39" s="65"/>
      <c r="F39" s="6"/>
      <c r="G39" s="66">
        <f t="shared" si="4"/>
        <v>0</v>
      </c>
      <c r="H39" s="65"/>
      <c r="I39" s="6"/>
      <c r="J39" s="66">
        <f t="shared" si="1"/>
        <v>0</v>
      </c>
      <c r="K39" s="66">
        <f t="shared" si="2"/>
        <v>0</v>
      </c>
      <c r="L39" s="162">
        <v>0</v>
      </c>
      <c r="M39" s="149">
        <f t="shared" si="3"/>
        <v>13667.988899999997</v>
      </c>
      <c r="N39" s="6"/>
      <c r="O39" s="5"/>
    </row>
    <row r="40" spans="1:15">
      <c r="A40" s="169">
        <v>39</v>
      </c>
      <c r="B40" s="219"/>
      <c r="C40" s="6"/>
      <c r="D40" s="6"/>
      <c r="E40" s="65"/>
      <c r="F40" s="6"/>
      <c r="G40" s="66">
        <f t="shared" si="4"/>
        <v>0</v>
      </c>
      <c r="H40" s="65"/>
      <c r="I40" s="6"/>
      <c r="J40" s="66">
        <f t="shared" si="1"/>
        <v>0</v>
      </c>
      <c r="K40" s="66">
        <f t="shared" si="2"/>
        <v>0</v>
      </c>
      <c r="L40" s="162">
        <v>0</v>
      </c>
      <c r="M40" s="149">
        <f t="shared" si="3"/>
        <v>13667.988899999997</v>
      </c>
      <c r="N40" s="169"/>
      <c r="O40" s="5"/>
    </row>
    <row r="41" spans="1:15">
      <c r="A41" s="6">
        <v>40</v>
      </c>
      <c r="B41" s="6"/>
      <c r="C41" s="6"/>
      <c r="D41" s="6"/>
      <c r="E41" s="65"/>
      <c r="F41" s="6"/>
      <c r="G41" s="66">
        <f t="shared" si="4"/>
        <v>0</v>
      </c>
      <c r="H41" s="65"/>
      <c r="I41" s="6"/>
      <c r="J41" s="66">
        <f t="shared" si="1"/>
        <v>0</v>
      </c>
      <c r="K41" s="66">
        <f t="shared" si="2"/>
        <v>0</v>
      </c>
      <c r="L41" s="162">
        <v>0</v>
      </c>
      <c r="M41" s="149">
        <f t="shared" si="3"/>
        <v>13667.988899999997</v>
      </c>
      <c r="N41" s="6"/>
      <c r="O41" s="5"/>
    </row>
    <row r="42" spans="1:15">
      <c r="A42" s="169">
        <v>41</v>
      </c>
      <c r="B42" s="169"/>
      <c r="C42" s="169"/>
      <c r="D42" s="6"/>
      <c r="E42" s="65"/>
      <c r="F42" s="6"/>
      <c r="G42" s="66">
        <f t="shared" si="4"/>
        <v>0</v>
      </c>
      <c r="H42" s="65"/>
      <c r="I42" s="6"/>
      <c r="J42" s="66">
        <f t="shared" si="1"/>
        <v>0</v>
      </c>
      <c r="K42" s="66">
        <f t="shared" si="2"/>
        <v>0</v>
      </c>
      <c r="L42" s="162">
        <v>0</v>
      </c>
      <c r="M42" s="149">
        <f t="shared" si="3"/>
        <v>13667.988899999997</v>
      </c>
      <c r="N42" s="169"/>
      <c r="O42" s="5"/>
    </row>
    <row r="43" spans="1:15">
      <c r="A43" s="169">
        <v>42</v>
      </c>
      <c r="B43" s="169"/>
      <c r="C43" s="169"/>
      <c r="D43" s="6"/>
      <c r="E43" s="65"/>
      <c r="F43" s="6"/>
      <c r="G43" s="66">
        <f t="shared" ref="G43" si="5">E43*F43</f>
        <v>0</v>
      </c>
      <c r="H43" s="65"/>
      <c r="I43" s="6"/>
      <c r="J43" s="66">
        <f t="shared" ref="J43" si="6">H43*I43</f>
        <v>0</v>
      </c>
      <c r="K43" s="66">
        <f t="shared" ref="K43" si="7">G43+J43</f>
        <v>0</v>
      </c>
      <c r="L43" s="162">
        <v>0</v>
      </c>
      <c r="M43" s="149">
        <f t="shared" si="3"/>
        <v>13667.988899999997</v>
      </c>
      <c r="N43" s="169"/>
      <c r="O43" s="5"/>
    </row>
    <row r="44" spans="1:15">
      <c r="A44" s="62"/>
      <c r="B44" s="62"/>
      <c r="C44" s="62"/>
      <c r="D44" s="62"/>
      <c r="E44" s="63">
        <f>SUM(E4:E43)</f>
        <v>240.01</v>
      </c>
      <c r="F44" s="63"/>
      <c r="G44" s="63">
        <f>SUM(G4:G43)</f>
        <v>23777.790699999998</v>
      </c>
      <c r="H44" s="63">
        <f>SUM(H4:H43)</f>
        <v>2</v>
      </c>
      <c r="I44" s="63"/>
      <c r="J44" s="63">
        <f>SUM(J4:J43)</f>
        <v>241.28</v>
      </c>
      <c r="K44" s="63">
        <f>SUM(K4:K43)</f>
        <v>24019.0707</v>
      </c>
      <c r="L44" s="63">
        <f>SUM(L4:L43)</f>
        <v>23000</v>
      </c>
      <c r="M44" s="63"/>
      <c r="N44" s="63"/>
      <c r="O44" s="59"/>
    </row>
    <row r="45" spans="1:15">
      <c r="A45" s="5"/>
      <c r="B45" s="5"/>
      <c r="C45" s="5"/>
      <c r="D45" s="5"/>
      <c r="E45" s="5"/>
      <c r="F45" s="5"/>
      <c r="G45" s="102"/>
      <c r="H45" s="5"/>
      <c r="I45" s="5"/>
      <c r="J45" s="102"/>
      <c r="K45" s="5"/>
      <c r="L45" s="102"/>
      <c r="M45" s="102"/>
      <c r="N45" s="5"/>
      <c r="O45" s="5"/>
    </row>
    <row r="46" spans="1:15">
      <c r="A46" s="5"/>
      <c r="B46" s="5"/>
      <c r="C46" s="5"/>
      <c r="D46" s="5"/>
      <c r="E46" s="5"/>
      <c r="F46" s="5"/>
      <c r="G46" s="102"/>
      <c r="H46" s="5"/>
      <c r="I46" s="5"/>
      <c r="J46" s="102"/>
      <c r="K46" s="5"/>
      <c r="L46" s="102"/>
      <c r="M46" s="102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2"/>
  <sheetViews>
    <sheetView topLeftCell="A38" workbookViewId="0">
      <selection activeCell="O56" sqref="O56"/>
    </sheetView>
  </sheetViews>
  <sheetFormatPr defaultRowHeight="15"/>
  <cols>
    <col min="2" max="2" width="10.85546875" bestFit="1" customWidth="1"/>
    <col min="7" max="7" width="11.85546875" bestFit="1" customWidth="1"/>
    <col min="11" max="11" width="13.5703125" bestFit="1" customWidth="1"/>
    <col min="12" max="12" width="12.42578125" bestFit="1" customWidth="1"/>
    <col min="13" max="13" width="11.5703125" bestFit="1" customWidth="1"/>
  </cols>
  <sheetData>
    <row r="1" spans="1:15" ht="15.75">
      <c r="A1" s="568" t="s">
        <v>159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"/>
    </row>
    <row r="2" spans="1:15" ht="45">
      <c r="A2" s="64" t="s">
        <v>0</v>
      </c>
      <c r="B2" s="83" t="s">
        <v>167</v>
      </c>
      <c r="C2" s="83" t="s">
        <v>168</v>
      </c>
      <c r="D2" s="83" t="s">
        <v>191</v>
      </c>
      <c r="E2" s="83" t="s">
        <v>170</v>
      </c>
      <c r="F2" s="83" t="s">
        <v>171</v>
      </c>
      <c r="G2" s="90" t="s">
        <v>172</v>
      </c>
      <c r="H2" s="83" t="s">
        <v>173</v>
      </c>
      <c r="I2" s="83" t="s">
        <v>171</v>
      </c>
      <c r="J2" s="90" t="s">
        <v>172</v>
      </c>
      <c r="K2" s="64" t="s">
        <v>174</v>
      </c>
      <c r="L2" s="91" t="s">
        <v>175</v>
      </c>
      <c r="M2" s="85" t="s">
        <v>192</v>
      </c>
      <c r="N2" s="83" t="s">
        <v>177</v>
      </c>
      <c r="O2" s="5"/>
    </row>
    <row r="3" spans="1:15">
      <c r="A3" s="602" t="s">
        <v>178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4"/>
      <c r="M3" s="605">
        <v>149809.72220000005</v>
      </c>
      <c r="N3" s="606"/>
      <c r="O3" s="5"/>
    </row>
    <row r="4" spans="1:15">
      <c r="A4" s="196">
        <v>1</v>
      </c>
      <c r="B4" s="219">
        <v>46174</v>
      </c>
      <c r="C4" s="6"/>
      <c r="D4" s="6"/>
      <c r="E4" s="65">
        <v>44.75</v>
      </c>
      <c r="F4" s="6">
        <v>99.23</v>
      </c>
      <c r="G4" s="66">
        <f>E4*F4</f>
        <v>4440.5425000000005</v>
      </c>
      <c r="H4" s="65"/>
      <c r="I4" s="6"/>
      <c r="J4" s="66">
        <f>H4*I4</f>
        <v>0</v>
      </c>
      <c r="K4" s="66">
        <f>G4+J4</f>
        <v>4440.5425000000005</v>
      </c>
      <c r="L4" s="294">
        <v>0</v>
      </c>
      <c r="M4" s="149">
        <f>M3+K4-L4</f>
        <v>154250.26470000006</v>
      </c>
      <c r="N4" s="46"/>
      <c r="O4" s="5"/>
    </row>
    <row r="5" spans="1:15">
      <c r="A5" s="46">
        <v>2</v>
      </c>
      <c r="B5" s="219">
        <v>46176</v>
      </c>
      <c r="C5" s="6"/>
      <c r="D5" s="6"/>
      <c r="E5" s="65">
        <v>49.5</v>
      </c>
      <c r="F5" s="6">
        <v>99.23</v>
      </c>
      <c r="G5" s="66">
        <f t="shared" ref="G5:G34" si="0">E5*F5</f>
        <v>4911.8850000000002</v>
      </c>
      <c r="H5" s="65"/>
      <c r="I5" s="6"/>
      <c r="J5" s="66">
        <f t="shared" ref="J5:J34" si="1">H5*I5</f>
        <v>0</v>
      </c>
      <c r="K5" s="66">
        <f t="shared" ref="K5:K41" si="2">G5+J5</f>
        <v>4911.8850000000002</v>
      </c>
      <c r="L5" s="294">
        <v>0</v>
      </c>
      <c r="M5" s="149">
        <f t="shared" ref="M5:M49" si="3">M4+K5-L5</f>
        <v>159162.14970000007</v>
      </c>
      <c r="N5" s="46"/>
      <c r="O5" s="5"/>
    </row>
    <row r="6" spans="1:15">
      <c r="A6" s="46">
        <v>3</v>
      </c>
      <c r="B6" s="219">
        <v>46177</v>
      </c>
      <c r="C6" s="6"/>
      <c r="D6" s="6" t="s">
        <v>364</v>
      </c>
      <c r="E6" s="65"/>
      <c r="F6" s="6"/>
      <c r="G6" s="66">
        <f t="shared" si="0"/>
        <v>0</v>
      </c>
      <c r="H6">
        <v>5</v>
      </c>
      <c r="I6" s="6">
        <v>111.32</v>
      </c>
      <c r="J6" s="66">
        <f>H6*I6</f>
        <v>556.59999999999991</v>
      </c>
      <c r="K6" s="66">
        <f t="shared" si="2"/>
        <v>556.59999999999991</v>
      </c>
      <c r="L6" s="294">
        <v>0</v>
      </c>
      <c r="M6" s="149">
        <f t="shared" si="3"/>
        <v>159718.74970000007</v>
      </c>
      <c r="N6" s="46"/>
      <c r="O6" s="5"/>
    </row>
    <row r="7" spans="1:15">
      <c r="A7" s="196">
        <v>4</v>
      </c>
      <c r="B7" s="219">
        <v>46178</v>
      </c>
      <c r="C7" s="6"/>
      <c r="D7" s="6"/>
      <c r="E7" s="65">
        <v>125.32</v>
      </c>
      <c r="F7" s="6">
        <v>99.23</v>
      </c>
      <c r="G7" s="66">
        <f t="shared" si="0"/>
        <v>12435.5036</v>
      </c>
      <c r="H7" s="65"/>
      <c r="I7" s="6"/>
      <c r="J7" s="66">
        <f t="shared" si="1"/>
        <v>0</v>
      </c>
      <c r="K7" s="66">
        <f t="shared" si="2"/>
        <v>12435.5036</v>
      </c>
      <c r="L7" s="294">
        <v>0</v>
      </c>
      <c r="M7" s="149">
        <f t="shared" si="3"/>
        <v>172154.25330000007</v>
      </c>
      <c r="N7" s="46"/>
      <c r="O7" s="5"/>
    </row>
    <row r="8" spans="1:15">
      <c r="A8" s="46">
        <v>5</v>
      </c>
      <c r="B8" s="219">
        <v>46179</v>
      </c>
      <c r="C8" s="6"/>
      <c r="D8" s="6"/>
      <c r="E8" s="65">
        <v>94.23</v>
      </c>
      <c r="F8" s="6">
        <v>99.23</v>
      </c>
      <c r="G8" s="66">
        <f t="shared" si="0"/>
        <v>9350.4429</v>
      </c>
      <c r="H8" s="65">
        <v>5</v>
      </c>
      <c r="I8" s="6">
        <v>111.32</v>
      </c>
      <c r="J8" s="66">
        <f t="shared" si="1"/>
        <v>556.59999999999991</v>
      </c>
      <c r="K8" s="66">
        <f t="shared" si="2"/>
        <v>9907.0429000000004</v>
      </c>
      <c r="L8" s="294">
        <v>0</v>
      </c>
      <c r="M8" s="149">
        <f t="shared" si="3"/>
        <v>182061.29620000007</v>
      </c>
      <c r="N8" s="46"/>
      <c r="O8" s="5"/>
    </row>
    <row r="9" spans="1:15">
      <c r="A9" s="46">
        <v>6</v>
      </c>
      <c r="B9" s="219">
        <v>46181</v>
      </c>
      <c r="C9" s="6"/>
      <c r="D9" s="6"/>
      <c r="E9" s="65"/>
      <c r="F9" s="6"/>
      <c r="G9" s="66">
        <f t="shared" si="0"/>
        <v>0</v>
      </c>
      <c r="H9" s="65">
        <v>5</v>
      </c>
      <c r="I9" s="6">
        <v>111.32</v>
      </c>
      <c r="J9" s="66">
        <f t="shared" si="1"/>
        <v>556.59999999999991</v>
      </c>
      <c r="K9" s="66">
        <f t="shared" si="2"/>
        <v>556.59999999999991</v>
      </c>
      <c r="L9" s="294">
        <v>150000</v>
      </c>
      <c r="M9" s="149">
        <f t="shared" si="3"/>
        <v>32617.896200000076</v>
      </c>
      <c r="N9" s="46"/>
      <c r="O9" s="5"/>
    </row>
    <row r="10" spans="1:15">
      <c r="A10" s="196">
        <v>7</v>
      </c>
      <c r="B10" s="219">
        <v>46182</v>
      </c>
      <c r="C10" s="6"/>
      <c r="D10" s="6"/>
      <c r="E10" s="65">
        <v>23</v>
      </c>
      <c r="F10" s="6">
        <v>99.23</v>
      </c>
      <c r="G10" s="66">
        <f t="shared" si="0"/>
        <v>2282.29</v>
      </c>
      <c r="H10" s="65"/>
      <c r="I10" s="6"/>
      <c r="J10" s="66">
        <f t="shared" si="1"/>
        <v>0</v>
      </c>
      <c r="K10" s="66">
        <f t="shared" si="2"/>
        <v>2282.29</v>
      </c>
      <c r="L10" s="294"/>
      <c r="M10" s="149">
        <f t="shared" si="3"/>
        <v>34900.186200000076</v>
      </c>
      <c r="N10" s="46"/>
      <c r="O10" s="5"/>
    </row>
    <row r="11" spans="1:15">
      <c r="A11" s="46">
        <v>8</v>
      </c>
      <c r="B11" s="219">
        <v>46183</v>
      </c>
      <c r="C11" s="6"/>
      <c r="D11" s="6"/>
      <c r="E11" s="65">
        <v>106.36</v>
      </c>
      <c r="F11" s="6">
        <v>99.23</v>
      </c>
      <c r="G11" s="66">
        <f t="shared" si="0"/>
        <v>10554.102800000001</v>
      </c>
      <c r="H11" s="65"/>
      <c r="I11" s="6"/>
      <c r="J11" s="66">
        <f>H11*I11</f>
        <v>0</v>
      </c>
      <c r="K11" s="66">
        <f t="shared" si="2"/>
        <v>10554.102800000001</v>
      </c>
      <c r="L11" s="294"/>
      <c r="M11" s="149">
        <f t="shared" si="3"/>
        <v>45454.289000000077</v>
      </c>
      <c r="N11" s="46"/>
      <c r="O11" s="5"/>
    </row>
    <row r="12" spans="1:15">
      <c r="A12" s="46">
        <v>9</v>
      </c>
      <c r="B12" s="219">
        <v>46184</v>
      </c>
      <c r="C12" s="6"/>
      <c r="D12" s="6"/>
      <c r="E12" s="65">
        <v>50</v>
      </c>
      <c r="F12" s="6">
        <v>99.23</v>
      </c>
      <c r="G12" s="66">
        <f t="shared" si="0"/>
        <v>4961.5</v>
      </c>
      <c r="H12" s="65">
        <v>5</v>
      </c>
      <c r="I12" s="6">
        <v>111.32</v>
      </c>
      <c r="J12" s="66">
        <f t="shared" si="1"/>
        <v>556.59999999999991</v>
      </c>
      <c r="K12" s="66">
        <f t="shared" si="2"/>
        <v>5518.1</v>
      </c>
      <c r="L12" s="294"/>
      <c r="M12" s="149">
        <f t="shared" si="3"/>
        <v>50972.389000000076</v>
      </c>
      <c r="N12" s="46"/>
      <c r="O12" s="5"/>
    </row>
    <row r="13" spans="1:15">
      <c r="A13" s="196">
        <v>10</v>
      </c>
      <c r="B13" s="219">
        <v>46185</v>
      </c>
      <c r="C13" s="6"/>
      <c r="D13" s="6"/>
      <c r="E13" s="65">
        <v>35.17</v>
      </c>
      <c r="F13" s="6">
        <v>99.23</v>
      </c>
      <c r="G13" s="66">
        <f t="shared" si="0"/>
        <v>3489.9191000000005</v>
      </c>
      <c r="H13" s="65">
        <v>5</v>
      </c>
      <c r="I13" s="6">
        <v>111.32</v>
      </c>
      <c r="J13" s="66">
        <f t="shared" si="1"/>
        <v>556.59999999999991</v>
      </c>
      <c r="K13" s="66">
        <f t="shared" si="2"/>
        <v>4046.5191000000004</v>
      </c>
      <c r="L13" s="294"/>
      <c r="M13" s="149">
        <f t="shared" si="3"/>
        <v>55018.908100000073</v>
      </c>
      <c r="N13" s="46"/>
      <c r="O13" s="5"/>
    </row>
    <row r="14" spans="1:15">
      <c r="A14" s="46">
        <v>11</v>
      </c>
      <c r="B14" s="219">
        <v>46186</v>
      </c>
      <c r="C14" s="6"/>
      <c r="D14" s="6"/>
      <c r="E14" s="65">
        <v>99.45</v>
      </c>
      <c r="F14" s="6">
        <v>99.23</v>
      </c>
      <c r="G14" s="66">
        <f t="shared" si="0"/>
        <v>9868.4235000000008</v>
      </c>
      <c r="H14" s="65"/>
      <c r="I14" s="6"/>
      <c r="J14" s="66">
        <f t="shared" si="1"/>
        <v>0</v>
      </c>
      <c r="K14" s="66">
        <f t="shared" si="2"/>
        <v>9868.4235000000008</v>
      </c>
      <c r="L14" s="294"/>
      <c r="M14" s="149">
        <f t="shared" si="3"/>
        <v>64887.331600000078</v>
      </c>
      <c r="N14" s="46"/>
      <c r="O14" s="5"/>
    </row>
    <row r="15" spans="1:15">
      <c r="A15" s="46"/>
      <c r="B15" s="219">
        <v>46189</v>
      </c>
      <c r="C15" s="6"/>
      <c r="D15" s="6"/>
      <c r="E15" s="65">
        <v>47</v>
      </c>
      <c r="F15" s="6">
        <v>99.23</v>
      </c>
      <c r="G15" s="66">
        <f t="shared" si="0"/>
        <v>4663.8100000000004</v>
      </c>
      <c r="H15" s="65"/>
      <c r="I15" s="6"/>
      <c r="J15" s="66">
        <f t="shared" si="1"/>
        <v>0</v>
      </c>
      <c r="K15" s="66">
        <f t="shared" si="2"/>
        <v>4663.8100000000004</v>
      </c>
      <c r="L15" s="294"/>
      <c r="M15" s="149">
        <f t="shared" si="3"/>
        <v>69551.141600000075</v>
      </c>
      <c r="N15" s="46"/>
      <c r="O15" s="5"/>
    </row>
    <row r="16" spans="1:15">
      <c r="A16" s="46">
        <v>12</v>
      </c>
      <c r="B16" s="219">
        <v>46190</v>
      </c>
      <c r="C16" s="6"/>
      <c r="D16" s="6"/>
      <c r="E16" s="65"/>
      <c r="F16" s="6"/>
      <c r="G16" s="66">
        <f t="shared" si="0"/>
        <v>0</v>
      </c>
      <c r="H16" s="65">
        <v>5</v>
      </c>
      <c r="I16" s="6">
        <v>120.75</v>
      </c>
      <c r="J16" s="66">
        <f t="shared" si="1"/>
        <v>603.75</v>
      </c>
      <c r="K16" s="66">
        <f t="shared" si="2"/>
        <v>603.75</v>
      </c>
      <c r="L16" s="294"/>
      <c r="M16" s="149">
        <f t="shared" si="3"/>
        <v>70154.891600000075</v>
      </c>
      <c r="N16" s="46"/>
      <c r="O16" s="5"/>
    </row>
    <row r="17" spans="1:15">
      <c r="A17" s="196">
        <v>13</v>
      </c>
      <c r="B17" s="219">
        <v>46190</v>
      </c>
      <c r="C17" s="6"/>
      <c r="D17" s="6"/>
      <c r="E17" s="65"/>
      <c r="F17" s="6"/>
      <c r="G17" s="66">
        <f t="shared" si="0"/>
        <v>0</v>
      </c>
      <c r="H17" s="65"/>
      <c r="I17" s="6"/>
      <c r="J17" s="66">
        <f t="shared" si="1"/>
        <v>0</v>
      </c>
      <c r="K17" s="66">
        <f t="shared" si="2"/>
        <v>0</v>
      </c>
      <c r="L17" s="294"/>
      <c r="M17" s="149">
        <f t="shared" si="3"/>
        <v>70154.891600000075</v>
      </c>
      <c r="N17" s="46"/>
      <c r="O17" s="5"/>
    </row>
    <row r="18" spans="1:15">
      <c r="A18" s="46">
        <v>14</v>
      </c>
      <c r="B18" s="219">
        <v>46193</v>
      </c>
      <c r="C18" s="6"/>
      <c r="D18" s="6"/>
      <c r="E18" s="309">
        <v>40</v>
      </c>
      <c r="F18" s="309">
        <v>99.23</v>
      </c>
      <c r="G18" s="66">
        <f t="shared" si="0"/>
        <v>3969.2000000000003</v>
      </c>
      <c r="H18" s="65"/>
      <c r="I18" s="6"/>
      <c r="J18" s="66">
        <f t="shared" si="1"/>
        <v>0</v>
      </c>
      <c r="K18" s="66">
        <f t="shared" si="2"/>
        <v>3969.2000000000003</v>
      </c>
      <c r="L18" s="294"/>
      <c r="M18" s="149">
        <f t="shared" si="3"/>
        <v>74124.091600000073</v>
      </c>
      <c r="N18" s="46"/>
      <c r="O18" s="5"/>
    </row>
    <row r="19" spans="1:15">
      <c r="A19" s="46"/>
      <c r="B19" s="219">
        <v>46194</v>
      </c>
      <c r="C19" s="6"/>
      <c r="D19" s="6"/>
      <c r="E19" s="309">
        <v>57</v>
      </c>
      <c r="F19" s="309">
        <v>99.23</v>
      </c>
      <c r="G19" s="66">
        <f t="shared" si="0"/>
        <v>5656.1100000000006</v>
      </c>
      <c r="H19" s="65"/>
      <c r="I19" s="6"/>
      <c r="J19" s="66"/>
      <c r="K19" s="66">
        <f t="shared" si="2"/>
        <v>5656.1100000000006</v>
      </c>
      <c r="L19" s="294"/>
      <c r="M19" s="149">
        <f t="shared" si="3"/>
        <v>79780.201600000073</v>
      </c>
      <c r="N19" s="46"/>
      <c r="O19" s="5"/>
    </row>
    <row r="20" spans="1:15">
      <c r="A20" s="46">
        <v>15</v>
      </c>
      <c r="B20" s="219">
        <v>46195</v>
      </c>
      <c r="C20" s="6"/>
      <c r="D20" s="6"/>
      <c r="E20" s="65">
        <v>43.71</v>
      </c>
      <c r="F20" s="6">
        <v>99.23</v>
      </c>
      <c r="G20" s="66">
        <f t="shared" si="0"/>
        <v>4337.3433000000005</v>
      </c>
      <c r="H20" s="65"/>
      <c r="I20" s="6"/>
      <c r="J20" s="66">
        <f t="shared" si="1"/>
        <v>0</v>
      </c>
      <c r="K20" s="66">
        <f t="shared" si="2"/>
        <v>4337.3433000000005</v>
      </c>
      <c r="L20" s="294"/>
      <c r="M20" s="149">
        <f t="shared" si="3"/>
        <v>84117.544900000066</v>
      </c>
      <c r="N20" s="46"/>
      <c r="O20" s="5"/>
    </row>
    <row r="21" spans="1:15">
      <c r="A21" s="196">
        <v>16</v>
      </c>
      <c r="B21" s="219">
        <v>46196</v>
      </c>
      <c r="C21" s="6"/>
      <c r="D21" s="6"/>
      <c r="E21" s="65">
        <v>165</v>
      </c>
      <c r="F21" s="6">
        <v>99.23</v>
      </c>
      <c r="G21" s="66">
        <f t="shared" si="0"/>
        <v>16372.95</v>
      </c>
      <c r="H21" s="65"/>
      <c r="I21" s="6"/>
      <c r="J21" s="66">
        <f t="shared" si="1"/>
        <v>0</v>
      </c>
      <c r="K21" s="66">
        <f t="shared" si="2"/>
        <v>16372.95</v>
      </c>
      <c r="L21" s="294"/>
      <c r="M21" s="149">
        <f t="shared" si="3"/>
        <v>100490.49490000006</v>
      </c>
      <c r="N21" s="46"/>
      <c r="O21" s="5"/>
    </row>
    <row r="22" spans="1:15">
      <c r="A22" s="46">
        <v>17</v>
      </c>
      <c r="B22" s="219">
        <v>46197</v>
      </c>
      <c r="C22" s="6"/>
      <c r="D22" s="6"/>
      <c r="E22" s="65">
        <v>127.18</v>
      </c>
      <c r="F22" s="6">
        <v>99.23</v>
      </c>
      <c r="G22" s="66">
        <f t="shared" si="0"/>
        <v>12620.071400000001</v>
      </c>
      <c r="H22" s="65"/>
      <c r="I22" s="6"/>
      <c r="J22" s="66">
        <f t="shared" si="1"/>
        <v>0</v>
      </c>
      <c r="K22" s="66">
        <f t="shared" si="2"/>
        <v>12620.071400000001</v>
      </c>
      <c r="L22" s="294"/>
      <c r="M22" s="149">
        <f t="shared" si="3"/>
        <v>113110.56630000006</v>
      </c>
      <c r="N22" s="46"/>
      <c r="O22" s="5"/>
    </row>
    <row r="23" spans="1:15">
      <c r="A23" s="46">
        <v>18</v>
      </c>
      <c r="B23" s="219">
        <v>46198</v>
      </c>
      <c r="C23" s="6"/>
      <c r="D23" s="6"/>
      <c r="E23" s="65">
        <v>10</v>
      </c>
      <c r="F23" s="6">
        <v>99.23</v>
      </c>
      <c r="G23" s="66">
        <f t="shared" si="0"/>
        <v>992.30000000000007</v>
      </c>
      <c r="H23" s="65"/>
      <c r="I23" s="6"/>
      <c r="J23" s="66">
        <f t="shared" si="1"/>
        <v>0</v>
      </c>
      <c r="K23" s="66">
        <f t="shared" si="2"/>
        <v>992.30000000000007</v>
      </c>
      <c r="L23" s="294"/>
      <c r="M23" s="149">
        <f t="shared" si="3"/>
        <v>114102.86630000007</v>
      </c>
      <c r="N23" s="46"/>
      <c r="O23" s="5"/>
    </row>
    <row r="24" spans="1:15">
      <c r="A24" s="196">
        <v>19</v>
      </c>
      <c r="B24" s="219">
        <v>46199</v>
      </c>
      <c r="C24" s="6"/>
      <c r="D24" s="6"/>
      <c r="E24" s="65">
        <v>76.7</v>
      </c>
      <c r="F24" s="6">
        <v>99.23</v>
      </c>
      <c r="G24" s="66">
        <f t="shared" si="0"/>
        <v>7610.9410000000007</v>
      </c>
      <c r="H24" s="65"/>
      <c r="I24" s="6"/>
      <c r="J24" s="66">
        <f t="shared" si="1"/>
        <v>0</v>
      </c>
      <c r="K24" s="66">
        <f t="shared" si="2"/>
        <v>7610.9410000000007</v>
      </c>
      <c r="L24" s="294"/>
      <c r="M24" s="149">
        <f t="shared" si="3"/>
        <v>121713.80730000007</v>
      </c>
      <c r="N24" s="46"/>
      <c r="O24" s="5"/>
    </row>
    <row r="25" spans="1:15">
      <c r="A25" s="46">
        <v>20</v>
      </c>
      <c r="B25" s="219">
        <v>46200</v>
      </c>
      <c r="C25" s="6"/>
      <c r="D25" s="6"/>
      <c r="E25" s="65"/>
      <c r="F25" s="6"/>
      <c r="G25" s="66">
        <f t="shared" si="0"/>
        <v>0</v>
      </c>
      <c r="H25" s="65">
        <v>10</v>
      </c>
      <c r="I25" s="6">
        <v>111.32</v>
      </c>
      <c r="J25" s="66">
        <f t="shared" si="1"/>
        <v>1113.1999999999998</v>
      </c>
      <c r="K25" s="66">
        <f t="shared" si="2"/>
        <v>1113.1999999999998</v>
      </c>
      <c r="L25" s="294"/>
      <c r="M25" s="149">
        <f t="shared" si="3"/>
        <v>122827.00730000007</v>
      </c>
      <c r="N25" s="46"/>
      <c r="O25" s="5"/>
    </row>
    <row r="26" spans="1:15">
      <c r="A26" s="46">
        <v>21</v>
      </c>
      <c r="B26" s="219">
        <v>46201</v>
      </c>
      <c r="C26" s="6"/>
      <c r="D26" s="6"/>
      <c r="E26" s="65">
        <v>106.06</v>
      </c>
      <c r="F26" s="6">
        <v>99.23</v>
      </c>
      <c r="G26" s="66">
        <f t="shared" si="0"/>
        <v>10524.3338</v>
      </c>
      <c r="H26" s="65"/>
      <c r="I26" s="6"/>
      <c r="J26" s="66">
        <f t="shared" si="1"/>
        <v>0</v>
      </c>
      <c r="K26" s="66">
        <f t="shared" si="2"/>
        <v>10524.3338</v>
      </c>
      <c r="L26" s="294"/>
      <c r="M26" s="149">
        <f t="shared" si="3"/>
        <v>133351.34110000008</v>
      </c>
      <c r="N26" s="46"/>
      <c r="O26" s="5"/>
    </row>
    <row r="27" spans="1:15">
      <c r="A27" s="196">
        <v>22</v>
      </c>
      <c r="B27" s="219">
        <v>46202</v>
      </c>
      <c r="C27" s="6"/>
      <c r="D27" s="6"/>
      <c r="E27" s="65">
        <v>75</v>
      </c>
      <c r="F27" s="6">
        <v>99.23</v>
      </c>
      <c r="G27" s="66">
        <f t="shared" si="0"/>
        <v>7442.25</v>
      </c>
      <c r="H27" s="65">
        <v>5</v>
      </c>
      <c r="I27" s="6">
        <v>111.32</v>
      </c>
      <c r="J27" s="66">
        <f t="shared" si="1"/>
        <v>556.59999999999991</v>
      </c>
      <c r="K27" s="66">
        <f t="shared" si="2"/>
        <v>7998.85</v>
      </c>
      <c r="L27" s="294"/>
      <c r="M27" s="149">
        <f t="shared" si="3"/>
        <v>141350.19110000008</v>
      </c>
      <c r="N27" s="46"/>
      <c r="O27" s="5"/>
    </row>
    <row r="28" spans="1:15">
      <c r="A28" s="46">
        <v>23</v>
      </c>
      <c r="B28" s="219">
        <v>46196</v>
      </c>
      <c r="C28" s="6"/>
      <c r="D28" s="6"/>
      <c r="E28" s="65">
        <v>184</v>
      </c>
      <c r="F28" s="6">
        <v>99.23</v>
      </c>
      <c r="G28" s="66">
        <f t="shared" si="0"/>
        <v>18258.32</v>
      </c>
      <c r="H28" s="65"/>
      <c r="I28" s="6"/>
      <c r="J28" s="66">
        <f t="shared" si="1"/>
        <v>0</v>
      </c>
      <c r="K28" s="66">
        <f t="shared" si="2"/>
        <v>18258.32</v>
      </c>
      <c r="L28" s="294"/>
      <c r="M28" s="149">
        <f t="shared" si="3"/>
        <v>159608.51110000009</v>
      </c>
      <c r="N28" s="46"/>
      <c r="O28" s="5"/>
    </row>
    <row r="29" spans="1:15">
      <c r="A29" s="46">
        <v>24</v>
      </c>
      <c r="B29" s="219"/>
      <c r="C29" s="6"/>
      <c r="D29" s="6"/>
      <c r="E29" s="65"/>
      <c r="F29" s="6"/>
      <c r="G29" s="66">
        <f t="shared" si="0"/>
        <v>0</v>
      </c>
      <c r="H29" s="65"/>
      <c r="I29" s="6"/>
      <c r="J29" s="66">
        <f t="shared" si="1"/>
        <v>0</v>
      </c>
      <c r="K29" s="66">
        <f t="shared" si="2"/>
        <v>0</v>
      </c>
      <c r="L29" s="294"/>
      <c r="M29" s="149">
        <f t="shared" si="3"/>
        <v>159608.51110000009</v>
      </c>
      <c r="N29" s="46"/>
      <c r="O29" s="5"/>
    </row>
    <row r="30" spans="1:15">
      <c r="A30" s="196">
        <v>25</v>
      </c>
      <c r="B30" s="219"/>
      <c r="C30" s="6"/>
      <c r="D30" s="6"/>
      <c r="E30" s="65"/>
      <c r="F30" s="6"/>
      <c r="G30" s="66">
        <f t="shared" si="0"/>
        <v>0</v>
      </c>
      <c r="H30" s="65"/>
      <c r="I30" s="6"/>
      <c r="J30" s="66">
        <f t="shared" si="1"/>
        <v>0</v>
      </c>
      <c r="K30" s="66">
        <f t="shared" si="2"/>
        <v>0</v>
      </c>
      <c r="L30" s="294"/>
      <c r="M30" s="149">
        <f t="shared" si="3"/>
        <v>159608.51110000009</v>
      </c>
      <c r="N30" s="46"/>
      <c r="O30" s="5"/>
    </row>
    <row r="31" spans="1:15">
      <c r="A31" s="46">
        <v>26</v>
      </c>
      <c r="B31" s="219"/>
      <c r="C31" s="6"/>
      <c r="D31" s="6"/>
      <c r="E31" s="65"/>
      <c r="F31" s="6"/>
      <c r="G31" s="66">
        <f t="shared" si="0"/>
        <v>0</v>
      </c>
      <c r="H31" s="65"/>
      <c r="I31" s="6"/>
      <c r="J31" s="66">
        <f t="shared" si="1"/>
        <v>0</v>
      </c>
      <c r="K31" s="66">
        <f t="shared" si="2"/>
        <v>0</v>
      </c>
      <c r="L31" s="294"/>
      <c r="M31" s="149">
        <f t="shared" si="3"/>
        <v>159608.51110000009</v>
      </c>
      <c r="N31" s="46"/>
      <c r="O31" s="5"/>
    </row>
    <row r="32" spans="1:15">
      <c r="A32" s="46">
        <v>27</v>
      </c>
      <c r="B32" s="219"/>
      <c r="C32" s="6"/>
      <c r="D32" s="6"/>
      <c r="E32" s="65"/>
      <c r="F32" s="6"/>
      <c r="G32" s="66">
        <f t="shared" si="0"/>
        <v>0</v>
      </c>
      <c r="H32" s="65"/>
      <c r="I32" s="6"/>
      <c r="J32" s="66">
        <f t="shared" si="1"/>
        <v>0</v>
      </c>
      <c r="K32" s="66">
        <f t="shared" si="2"/>
        <v>0</v>
      </c>
      <c r="L32" s="294"/>
      <c r="M32" s="149">
        <f t="shared" si="3"/>
        <v>159608.51110000009</v>
      </c>
      <c r="N32" s="46"/>
      <c r="O32" s="5"/>
    </row>
    <row r="33" spans="1:15">
      <c r="A33" s="196">
        <v>28</v>
      </c>
      <c r="B33" s="219"/>
      <c r="C33" s="6"/>
      <c r="D33" s="6"/>
      <c r="E33" s="65"/>
      <c r="F33" s="6"/>
      <c r="G33" s="66">
        <f t="shared" si="0"/>
        <v>0</v>
      </c>
      <c r="H33" s="65"/>
      <c r="I33" s="6"/>
      <c r="J33" s="66">
        <f t="shared" si="1"/>
        <v>0</v>
      </c>
      <c r="K33" s="66">
        <f t="shared" si="2"/>
        <v>0</v>
      </c>
      <c r="L33" s="294">
        <v>0</v>
      </c>
      <c r="M33" s="149">
        <f t="shared" si="3"/>
        <v>159608.51110000009</v>
      </c>
      <c r="N33" s="46"/>
      <c r="O33" s="5"/>
    </row>
    <row r="34" spans="1:15">
      <c r="A34" s="46">
        <v>29</v>
      </c>
      <c r="B34" s="219"/>
      <c r="C34" s="6"/>
      <c r="D34" s="6"/>
      <c r="E34" s="65"/>
      <c r="F34" s="6"/>
      <c r="G34" s="66">
        <f t="shared" si="0"/>
        <v>0</v>
      </c>
      <c r="H34" s="65"/>
      <c r="I34" s="6"/>
      <c r="J34" s="66">
        <f t="shared" si="1"/>
        <v>0</v>
      </c>
      <c r="K34" s="66">
        <f t="shared" si="2"/>
        <v>0</v>
      </c>
      <c r="L34" s="294">
        <v>0</v>
      </c>
      <c r="M34" s="149">
        <f t="shared" si="3"/>
        <v>159608.51110000009</v>
      </c>
      <c r="N34" s="46"/>
      <c r="O34" s="5"/>
    </row>
    <row r="35" spans="1:15">
      <c r="A35" s="46">
        <v>30</v>
      </c>
      <c r="B35" s="219"/>
      <c r="C35" s="6"/>
      <c r="D35" s="6"/>
      <c r="E35" s="65"/>
      <c r="F35" s="6"/>
      <c r="G35" s="66">
        <f t="shared" ref="G5:G41" si="4">E35*F35</f>
        <v>0</v>
      </c>
      <c r="H35" s="65"/>
      <c r="I35" s="6"/>
      <c r="J35" s="66">
        <f t="shared" ref="J35:J41" si="5">H35*I35</f>
        <v>0</v>
      </c>
      <c r="K35" s="66">
        <f t="shared" si="2"/>
        <v>0</v>
      </c>
      <c r="L35" s="294">
        <v>0</v>
      </c>
      <c r="M35" s="149">
        <f t="shared" si="3"/>
        <v>159608.51110000009</v>
      </c>
      <c r="N35" s="46"/>
      <c r="O35" s="5"/>
    </row>
    <row r="36" spans="1:15">
      <c r="A36" s="196">
        <v>31</v>
      </c>
      <c r="B36" s="219"/>
      <c r="C36" s="6"/>
      <c r="D36" s="6"/>
      <c r="E36" s="65"/>
      <c r="F36" s="6"/>
      <c r="G36" s="66">
        <f t="shared" si="4"/>
        <v>0</v>
      </c>
      <c r="H36" s="65"/>
      <c r="I36" s="6"/>
      <c r="J36" s="66">
        <f t="shared" si="5"/>
        <v>0</v>
      </c>
      <c r="K36" s="66">
        <f t="shared" si="2"/>
        <v>0</v>
      </c>
      <c r="L36" s="294">
        <v>0</v>
      </c>
      <c r="M36" s="149">
        <f t="shared" si="3"/>
        <v>159608.51110000009</v>
      </c>
      <c r="N36" s="46"/>
      <c r="O36" s="5"/>
    </row>
    <row r="37" spans="1:15">
      <c r="A37" s="46">
        <v>32</v>
      </c>
      <c r="B37" s="219"/>
      <c r="C37" s="6"/>
      <c r="D37" s="6"/>
      <c r="E37" s="65"/>
      <c r="F37" s="6"/>
      <c r="G37" s="66">
        <f t="shared" si="4"/>
        <v>0</v>
      </c>
      <c r="H37" s="65"/>
      <c r="I37" s="6"/>
      <c r="J37" s="66">
        <f t="shared" si="5"/>
        <v>0</v>
      </c>
      <c r="K37" s="66">
        <f t="shared" si="2"/>
        <v>0</v>
      </c>
      <c r="L37" s="294">
        <v>0</v>
      </c>
      <c r="M37" s="149">
        <f t="shared" si="3"/>
        <v>159608.51110000009</v>
      </c>
      <c r="N37" s="46"/>
      <c r="O37" s="5"/>
    </row>
    <row r="38" spans="1:15">
      <c r="A38" s="46">
        <v>33</v>
      </c>
      <c r="B38" s="219"/>
      <c r="C38" s="6"/>
      <c r="D38" s="6"/>
      <c r="E38" s="65"/>
      <c r="F38" s="6"/>
      <c r="G38" s="66">
        <f t="shared" si="4"/>
        <v>0</v>
      </c>
      <c r="H38" s="65"/>
      <c r="I38" s="6"/>
      <c r="J38" s="66">
        <f t="shared" si="5"/>
        <v>0</v>
      </c>
      <c r="K38" s="66">
        <f t="shared" si="2"/>
        <v>0</v>
      </c>
      <c r="L38" s="294">
        <v>0</v>
      </c>
      <c r="M38" s="149">
        <f t="shared" si="3"/>
        <v>159608.51110000009</v>
      </c>
      <c r="N38" s="46"/>
      <c r="O38" s="5"/>
    </row>
    <row r="39" spans="1:15">
      <c r="A39" s="196">
        <v>34</v>
      </c>
      <c r="B39" s="219"/>
      <c r="C39" s="6"/>
      <c r="D39" s="6"/>
      <c r="E39" s="65"/>
      <c r="F39" s="6"/>
      <c r="G39" s="66">
        <f t="shared" si="4"/>
        <v>0</v>
      </c>
      <c r="H39" s="65"/>
      <c r="I39" s="6"/>
      <c r="J39" s="66">
        <f t="shared" si="5"/>
        <v>0</v>
      </c>
      <c r="K39" s="66">
        <f t="shared" si="2"/>
        <v>0</v>
      </c>
      <c r="L39" s="294">
        <v>0</v>
      </c>
      <c r="M39" s="149">
        <f t="shared" si="3"/>
        <v>159608.51110000009</v>
      </c>
      <c r="N39" s="46"/>
      <c r="O39" s="5"/>
    </row>
    <row r="40" spans="1:15">
      <c r="A40" s="46">
        <v>35</v>
      </c>
      <c r="B40" s="219"/>
      <c r="C40" s="6"/>
      <c r="D40" s="6"/>
      <c r="E40" s="65"/>
      <c r="F40" s="6"/>
      <c r="G40" s="66">
        <f t="shared" si="4"/>
        <v>0</v>
      </c>
      <c r="H40" s="65"/>
      <c r="I40" s="6"/>
      <c r="J40" s="66">
        <f t="shared" si="5"/>
        <v>0</v>
      </c>
      <c r="K40" s="66">
        <f t="shared" si="2"/>
        <v>0</v>
      </c>
      <c r="L40" s="294">
        <v>0</v>
      </c>
      <c r="M40" s="149">
        <f t="shared" si="3"/>
        <v>159608.51110000009</v>
      </c>
      <c r="N40" s="46"/>
      <c r="O40" s="5"/>
    </row>
    <row r="41" spans="1:15">
      <c r="A41" s="46">
        <v>36</v>
      </c>
      <c r="B41" s="219"/>
      <c r="C41" s="6"/>
      <c r="D41" s="6"/>
      <c r="E41" s="65"/>
      <c r="F41" s="6"/>
      <c r="G41" s="66">
        <f t="shared" si="4"/>
        <v>0</v>
      </c>
      <c r="H41" s="65"/>
      <c r="I41" s="6"/>
      <c r="J41" s="66">
        <f t="shared" si="5"/>
        <v>0</v>
      </c>
      <c r="K41" s="66">
        <f t="shared" si="2"/>
        <v>0</v>
      </c>
      <c r="L41" s="294">
        <v>0</v>
      </c>
      <c r="M41" s="149">
        <f t="shared" si="3"/>
        <v>159608.51110000009</v>
      </c>
      <c r="N41" s="6"/>
      <c r="O41" s="5"/>
    </row>
    <row r="42" spans="1:15">
      <c r="A42" s="196">
        <v>37</v>
      </c>
      <c r="B42" s="219"/>
      <c r="C42" s="6"/>
      <c r="D42" s="6"/>
      <c r="E42" s="65"/>
      <c r="F42" s="6"/>
      <c r="G42" s="66">
        <f t="shared" ref="G25:G49" si="6">E42*F42</f>
        <v>0</v>
      </c>
      <c r="H42" s="65"/>
      <c r="I42" s="6"/>
      <c r="J42" s="66">
        <f t="shared" ref="J25:J49" si="7">H42*I42</f>
        <v>0</v>
      </c>
      <c r="K42" s="66">
        <f t="shared" ref="K42:K49" si="8">G42+J42</f>
        <v>0</v>
      </c>
      <c r="L42" s="294">
        <v>0</v>
      </c>
      <c r="M42" s="149">
        <f t="shared" si="3"/>
        <v>159608.51110000009</v>
      </c>
      <c r="N42" s="6"/>
      <c r="O42" s="5"/>
    </row>
    <row r="43" spans="1:15">
      <c r="A43" s="46">
        <v>38</v>
      </c>
      <c r="B43" s="219"/>
      <c r="C43" s="6"/>
      <c r="D43" s="6"/>
      <c r="E43" s="65"/>
      <c r="F43" s="6"/>
      <c r="G43" s="66">
        <f t="shared" si="6"/>
        <v>0</v>
      </c>
      <c r="H43" s="65"/>
      <c r="I43" s="6"/>
      <c r="J43" s="66">
        <f t="shared" si="7"/>
        <v>0</v>
      </c>
      <c r="K43" s="66">
        <f t="shared" si="8"/>
        <v>0</v>
      </c>
      <c r="L43" s="294">
        <v>0</v>
      </c>
      <c r="M43" s="149">
        <f t="shared" si="3"/>
        <v>159608.51110000009</v>
      </c>
      <c r="N43" s="6"/>
      <c r="O43" s="5"/>
    </row>
    <row r="44" spans="1:15">
      <c r="A44" s="46">
        <v>39</v>
      </c>
      <c r="B44" s="219"/>
      <c r="C44" s="6"/>
      <c r="D44" s="6"/>
      <c r="E44" s="65"/>
      <c r="F44" s="6"/>
      <c r="G44" s="66">
        <f t="shared" si="6"/>
        <v>0</v>
      </c>
      <c r="H44" s="65"/>
      <c r="I44" s="6"/>
      <c r="J44" s="66">
        <f t="shared" si="7"/>
        <v>0</v>
      </c>
      <c r="K44" s="66">
        <f t="shared" si="8"/>
        <v>0</v>
      </c>
      <c r="L44" s="294">
        <v>0</v>
      </c>
      <c r="M44" s="149">
        <f t="shared" si="3"/>
        <v>159608.51110000009</v>
      </c>
      <c r="N44" s="6"/>
      <c r="O44" s="5"/>
    </row>
    <row r="45" spans="1:15">
      <c r="A45" s="196">
        <v>40</v>
      </c>
      <c r="B45" s="219"/>
      <c r="C45" s="6"/>
      <c r="D45" s="6"/>
      <c r="E45" s="65"/>
      <c r="F45" s="6"/>
      <c r="G45" s="66">
        <f t="shared" si="6"/>
        <v>0</v>
      </c>
      <c r="H45" s="65"/>
      <c r="I45" s="6"/>
      <c r="J45" s="66">
        <f t="shared" si="7"/>
        <v>0</v>
      </c>
      <c r="K45" s="66">
        <f t="shared" si="8"/>
        <v>0</v>
      </c>
      <c r="L45" s="294">
        <v>0</v>
      </c>
      <c r="M45" s="149">
        <f t="shared" si="3"/>
        <v>159608.51110000009</v>
      </c>
      <c r="N45" s="6"/>
      <c r="O45" s="5"/>
    </row>
    <row r="46" spans="1:15">
      <c r="A46" s="46">
        <v>41</v>
      </c>
      <c r="B46" s="170"/>
      <c r="C46" s="169"/>
      <c r="D46" s="6"/>
      <c r="E46" s="65"/>
      <c r="F46" s="6"/>
      <c r="G46" s="66">
        <f t="shared" si="6"/>
        <v>0</v>
      </c>
      <c r="H46" s="65"/>
      <c r="I46" s="6"/>
      <c r="J46" s="66">
        <f t="shared" si="7"/>
        <v>0</v>
      </c>
      <c r="K46" s="66">
        <f t="shared" si="8"/>
        <v>0</v>
      </c>
      <c r="L46" s="294">
        <v>0</v>
      </c>
      <c r="M46" s="149">
        <f t="shared" si="3"/>
        <v>159608.51110000009</v>
      </c>
      <c r="N46" s="169"/>
      <c r="O46" s="5"/>
    </row>
    <row r="47" spans="1:15">
      <c r="A47" s="46">
        <v>42</v>
      </c>
      <c r="B47" s="6"/>
      <c r="C47" s="6"/>
      <c r="D47" s="6"/>
      <c r="E47" s="65"/>
      <c r="F47" s="6"/>
      <c r="G47" s="66">
        <f t="shared" si="6"/>
        <v>0</v>
      </c>
      <c r="H47" s="65"/>
      <c r="I47" s="6"/>
      <c r="J47" s="66">
        <f t="shared" si="7"/>
        <v>0</v>
      </c>
      <c r="K47" s="66">
        <f t="shared" si="8"/>
        <v>0</v>
      </c>
      <c r="L47" s="294">
        <v>0</v>
      </c>
      <c r="M47" s="149">
        <f t="shared" si="3"/>
        <v>159608.51110000009</v>
      </c>
      <c r="N47" s="6"/>
      <c r="O47" s="5"/>
    </row>
    <row r="48" spans="1:15">
      <c r="A48" s="196">
        <v>43</v>
      </c>
      <c r="B48" s="169"/>
      <c r="C48" s="169"/>
      <c r="D48" s="6"/>
      <c r="E48" s="65"/>
      <c r="F48" s="6"/>
      <c r="G48" s="66">
        <f t="shared" si="6"/>
        <v>0</v>
      </c>
      <c r="H48" s="65"/>
      <c r="I48" s="6"/>
      <c r="J48" s="66">
        <f t="shared" si="7"/>
        <v>0</v>
      </c>
      <c r="K48" s="171">
        <f t="shared" si="8"/>
        <v>0</v>
      </c>
      <c r="L48" s="162">
        <f t="shared" ref="L48:L49" si="9">+K48</f>
        <v>0</v>
      </c>
      <c r="M48" s="149">
        <f t="shared" si="3"/>
        <v>159608.51110000009</v>
      </c>
      <c r="N48" s="169"/>
      <c r="O48" s="5"/>
    </row>
    <row r="49" spans="1:15">
      <c r="A49" s="46"/>
      <c r="B49" s="169"/>
      <c r="C49" s="169"/>
      <c r="D49" s="6"/>
      <c r="E49" s="65"/>
      <c r="F49" s="6"/>
      <c r="G49" s="66">
        <f t="shared" si="6"/>
        <v>0</v>
      </c>
      <c r="H49" s="65"/>
      <c r="I49" s="6"/>
      <c r="J49" s="66">
        <f t="shared" si="7"/>
        <v>0</v>
      </c>
      <c r="K49" s="171">
        <f t="shared" si="8"/>
        <v>0</v>
      </c>
      <c r="L49" s="172">
        <f t="shared" si="9"/>
        <v>0</v>
      </c>
      <c r="M49" s="149">
        <f t="shared" si="3"/>
        <v>159608.51110000009</v>
      </c>
      <c r="N49" s="169"/>
      <c r="O49" s="5"/>
    </row>
    <row r="50" spans="1:15">
      <c r="A50" s="62"/>
      <c r="B50" s="62"/>
      <c r="C50" s="62"/>
      <c r="D50" s="62"/>
      <c r="E50" s="63">
        <f>SUM(E4:E49)</f>
        <v>1559.43</v>
      </c>
      <c r="F50" s="63"/>
      <c r="G50" s="63">
        <f>SUM(G4:G49)</f>
        <v>154742.2389</v>
      </c>
      <c r="H50" s="63">
        <f>SUM(H4:H49)</f>
        <v>45</v>
      </c>
      <c r="I50" s="63"/>
      <c r="J50" s="63">
        <f>SUM(J4:J49)</f>
        <v>5056.5499999999993</v>
      </c>
      <c r="K50" s="63">
        <f>SUM(K4:K49)</f>
        <v>159798.78890000001</v>
      </c>
      <c r="L50" s="63">
        <f>SUM(L4:L49)</f>
        <v>150000</v>
      </c>
      <c r="M50" s="63"/>
      <c r="N50" s="63"/>
      <c r="O50" s="59"/>
    </row>
    <row r="51" spans="1:15">
      <c r="A51" s="5"/>
      <c r="B51" s="5"/>
      <c r="C51" s="5"/>
      <c r="D51" s="5"/>
      <c r="E51" s="5"/>
      <c r="F51" s="5"/>
      <c r="G51" s="102"/>
      <c r="H51" s="5"/>
      <c r="I51" s="5"/>
      <c r="J51" s="102"/>
      <c r="K51" s="5"/>
      <c r="L51" s="102"/>
      <c r="M51" s="102"/>
      <c r="N51" s="5"/>
      <c r="O51" s="5"/>
    </row>
    <row r="52" spans="1:15">
      <c r="A52" s="5"/>
      <c r="B52" s="5"/>
      <c r="C52" s="5"/>
      <c r="D52" s="5"/>
      <c r="E52" s="5"/>
      <c r="F52" s="5"/>
      <c r="G52" s="102"/>
      <c r="H52" s="5"/>
      <c r="I52" s="5"/>
      <c r="J52" s="102"/>
      <c r="K52" s="5"/>
      <c r="L52" s="102"/>
      <c r="M52" s="102"/>
      <c r="N52" s="5"/>
      <c r="O52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13" workbookViewId="0">
      <selection activeCell="M33" sqref="M33"/>
    </sheetView>
  </sheetViews>
  <sheetFormatPr defaultRowHeight="15"/>
  <cols>
    <col min="1" max="1" width="6.140625" customWidth="1"/>
    <col min="2" max="2" width="11.5703125" bestFit="1" customWidth="1"/>
    <col min="6" max="6" width="9.4257812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568" t="s">
        <v>161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"/>
    </row>
    <row r="2" spans="1:15" ht="45">
      <c r="A2" s="64" t="s">
        <v>0</v>
      </c>
      <c r="B2" s="83" t="s">
        <v>167</v>
      </c>
      <c r="C2" s="83" t="s">
        <v>168</v>
      </c>
      <c r="D2" s="83" t="s">
        <v>191</v>
      </c>
      <c r="E2" s="83" t="s">
        <v>170</v>
      </c>
      <c r="F2" s="83" t="s">
        <v>171</v>
      </c>
      <c r="G2" s="90" t="s">
        <v>172</v>
      </c>
      <c r="H2" s="83" t="s">
        <v>173</v>
      </c>
      <c r="I2" s="83" t="s">
        <v>171</v>
      </c>
      <c r="J2" s="90" t="s">
        <v>172</v>
      </c>
      <c r="K2" s="64" t="s">
        <v>174</v>
      </c>
      <c r="L2" s="91" t="s">
        <v>175</v>
      </c>
      <c r="M2" s="85" t="s">
        <v>192</v>
      </c>
      <c r="N2" s="83" t="s">
        <v>177</v>
      </c>
      <c r="O2" s="5"/>
    </row>
    <row r="3" spans="1:15">
      <c r="A3" s="602" t="s">
        <v>178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4"/>
      <c r="M3" s="605">
        <v>65134</v>
      </c>
      <c r="N3" s="606"/>
      <c r="O3" s="5"/>
    </row>
    <row r="4" spans="1:15">
      <c r="A4" s="196">
        <v>1</v>
      </c>
      <c r="B4" s="219">
        <v>46174</v>
      </c>
      <c r="C4" s="6"/>
      <c r="D4" s="6"/>
      <c r="E4" s="65"/>
      <c r="F4" s="6"/>
      <c r="G4" s="66">
        <f>E4*F4</f>
        <v>0</v>
      </c>
      <c r="H4" s="65"/>
      <c r="I4" s="6"/>
      <c r="J4" s="66">
        <f>H4*I4</f>
        <v>0</v>
      </c>
      <c r="K4" s="66">
        <f>G4+J4</f>
        <v>0</v>
      </c>
      <c r="L4" s="162">
        <v>50000</v>
      </c>
      <c r="M4" s="297">
        <f>M3+K4-L4</f>
        <v>15134</v>
      </c>
      <c r="N4" s="46" t="s">
        <v>334</v>
      </c>
      <c r="O4" s="5"/>
    </row>
    <row r="5" spans="1:15">
      <c r="A5" s="46">
        <v>2</v>
      </c>
      <c r="B5" s="219">
        <v>46175</v>
      </c>
      <c r="C5" s="6"/>
      <c r="D5" s="6"/>
      <c r="E5" s="65"/>
      <c r="F5" s="6"/>
      <c r="G5" s="66">
        <f t="shared" ref="G5:G34" si="0">E5*F5</f>
        <v>0</v>
      </c>
      <c r="H5" s="65"/>
      <c r="I5" s="6"/>
      <c r="J5" s="66">
        <f t="shared" ref="J5:J41" si="1">H5*I5</f>
        <v>0</v>
      </c>
      <c r="K5" s="66">
        <f t="shared" ref="K5:K41" si="2">G5+J5</f>
        <v>0</v>
      </c>
      <c r="L5" s="162">
        <v>0</v>
      </c>
      <c r="M5" s="297">
        <f t="shared" ref="M5:M18" si="3">M4+K5-L5</f>
        <v>15134</v>
      </c>
      <c r="N5" s="46" t="s">
        <v>334</v>
      </c>
      <c r="O5" s="5"/>
    </row>
    <row r="6" spans="1:15">
      <c r="A6" s="46">
        <v>3</v>
      </c>
      <c r="B6" s="219">
        <v>46176</v>
      </c>
      <c r="C6" s="6"/>
      <c r="D6" s="6"/>
      <c r="E6" s="65">
        <v>100</v>
      </c>
      <c r="F6" s="6">
        <v>99.28</v>
      </c>
      <c r="G6" s="66">
        <f t="shared" si="0"/>
        <v>9928</v>
      </c>
      <c r="H6" s="65"/>
      <c r="I6" s="6"/>
      <c r="J6" s="66">
        <f t="shared" si="1"/>
        <v>0</v>
      </c>
      <c r="K6" s="66">
        <f t="shared" si="2"/>
        <v>9928</v>
      </c>
      <c r="L6" s="162"/>
      <c r="M6" s="297">
        <f t="shared" si="3"/>
        <v>25062</v>
      </c>
      <c r="N6" s="46" t="s">
        <v>334</v>
      </c>
      <c r="O6" s="5"/>
    </row>
    <row r="7" spans="1:15">
      <c r="A7" s="46">
        <v>4</v>
      </c>
      <c r="B7" s="219">
        <v>46177</v>
      </c>
      <c r="C7" s="169"/>
      <c r="D7" s="169"/>
      <c r="E7" s="65"/>
      <c r="F7" s="6"/>
      <c r="G7" s="66">
        <f t="shared" si="0"/>
        <v>0</v>
      </c>
      <c r="H7" s="6">
        <v>21.71</v>
      </c>
      <c r="I7" s="66">
        <v>111.38</v>
      </c>
      <c r="J7" s="66">
        <f t="shared" si="1"/>
        <v>2418.0598</v>
      </c>
      <c r="K7" s="66">
        <f t="shared" si="2"/>
        <v>2418.0598</v>
      </c>
      <c r="L7" s="162"/>
      <c r="M7" s="297">
        <f t="shared" si="3"/>
        <v>27480.059799999999</v>
      </c>
      <c r="N7" s="46" t="s">
        <v>334</v>
      </c>
      <c r="O7" s="5"/>
    </row>
    <row r="8" spans="1:15">
      <c r="A8" s="221">
        <v>5</v>
      </c>
      <c r="B8" s="219">
        <v>46178</v>
      </c>
      <c r="C8" s="6"/>
      <c r="D8" s="6"/>
      <c r="E8" s="65"/>
      <c r="F8" s="6"/>
      <c r="G8" s="66">
        <f t="shared" si="0"/>
        <v>0</v>
      </c>
      <c r="H8" s="65"/>
      <c r="I8" s="6"/>
      <c r="J8" s="66">
        <f t="shared" si="1"/>
        <v>0</v>
      </c>
      <c r="K8" s="66">
        <f t="shared" si="2"/>
        <v>0</v>
      </c>
      <c r="L8" s="162"/>
      <c r="M8" s="297">
        <f t="shared" si="3"/>
        <v>27480.059799999999</v>
      </c>
      <c r="N8" s="46" t="s">
        <v>334</v>
      </c>
      <c r="O8" s="5"/>
    </row>
    <row r="9" spans="1:15">
      <c r="A9" s="221">
        <v>6</v>
      </c>
      <c r="B9" s="219">
        <v>46179</v>
      </c>
      <c r="C9" s="6"/>
      <c r="D9" s="6"/>
      <c r="E9" s="65">
        <v>42.08</v>
      </c>
      <c r="F9" s="6">
        <v>99.28</v>
      </c>
      <c r="G9" s="66">
        <f t="shared" si="0"/>
        <v>4177.7024000000001</v>
      </c>
      <c r="H9" s="65"/>
      <c r="I9" s="6"/>
      <c r="J9" s="66">
        <f t="shared" si="1"/>
        <v>0</v>
      </c>
      <c r="K9" s="66">
        <f t="shared" si="2"/>
        <v>4177.7024000000001</v>
      </c>
      <c r="L9" s="162"/>
      <c r="M9" s="297">
        <f t="shared" si="3"/>
        <v>31657.762199999997</v>
      </c>
      <c r="N9" s="46" t="s">
        <v>334</v>
      </c>
      <c r="O9" s="5"/>
    </row>
    <row r="10" spans="1:15">
      <c r="A10" s="221">
        <v>7</v>
      </c>
      <c r="B10" s="219">
        <v>46180</v>
      </c>
      <c r="C10" s="6"/>
      <c r="D10" s="6"/>
      <c r="E10" s="65">
        <v>147.35</v>
      </c>
      <c r="F10" s="6">
        <v>99.28</v>
      </c>
      <c r="G10" s="66">
        <f t="shared" si="0"/>
        <v>14628.907999999999</v>
      </c>
      <c r="H10" s="65"/>
      <c r="I10" s="6"/>
      <c r="J10" s="66">
        <f t="shared" si="1"/>
        <v>0</v>
      </c>
      <c r="K10" s="66">
        <f t="shared" si="2"/>
        <v>14628.907999999999</v>
      </c>
      <c r="L10" s="162"/>
      <c r="M10" s="297">
        <f t="shared" si="3"/>
        <v>46286.670199999993</v>
      </c>
      <c r="N10" s="46" t="s">
        <v>334</v>
      </c>
      <c r="O10" s="5"/>
    </row>
    <row r="11" spans="1:15">
      <c r="A11" s="221">
        <v>8</v>
      </c>
      <c r="B11" s="219">
        <v>46181</v>
      </c>
      <c r="C11" s="6"/>
      <c r="D11" s="6"/>
      <c r="E11" s="65">
        <v>90.61</v>
      </c>
      <c r="F11" s="6">
        <v>99.28</v>
      </c>
      <c r="G11" s="66">
        <f t="shared" si="0"/>
        <v>8995.7608</v>
      </c>
      <c r="H11" s="65"/>
      <c r="I11" s="6"/>
      <c r="J11" s="66">
        <f t="shared" si="1"/>
        <v>0</v>
      </c>
      <c r="K11" s="66">
        <f>G11+J11</f>
        <v>8995.7608</v>
      </c>
      <c r="L11" s="162">
        <v>46000</v>
      </c>
      <c r="M11" s="297">
        <f t="shared" si="3"/>
        <v>9282.4309999999969</v>
      </c>
      <c r="N11" s="46" t="s">
        <v>334</v>
      </c>
      <c r="O11" s="5"/>
    </row>
    <row r="12" spans="1:15">
      <c r="A12" s="221">
        <v>9</v>
      </c>
      <c r="B12" s="219">
        <v>46182</v>
      </c>
      <c r="C12" s="6"/>
      <c r="D12" s="6"/>
      <c r="E12" s="65"/>
      <c r="F12" s="6"/>
      <c r="G12" s="66">
        <f t="shared" si="0"/>
        <v>0</v>
      </c>
      <c r="H12" s="65">
        <v>5</v>
      </c>
      <c r="I12" s="6">
        <v>111.38</v>
      </c>
      <c r="J12" s="66">
        <f t="shared" si="1"/>
        <v>556.9</v>
      </c>
      <c r="K12" s="66">
        <f>G12+J12</f>
        <v>556.9</v>
      </c>
      <c r="L12" s="162"/>
      <c r="M12" s="297">
        <f t="shared" si="3"/>
        <v>9839.3309999999965</v>
      </c>
      <c r="N12" s="46" t="s">
        <v>334</v>
      </c>
      <c r="O12" s="5"/>
    </row>
    <row r="13" spans="1:15">
      <c r="A13" s="221">
        <v>10</v>
      </c>
      <c r="B13" s="219">
        <v>46183</v>
      </c>
      <c r="C13" s="6"/>
      <c r="D13" s="6"/>
      <c r="E13" s="65">
        <v>68.849999999999994</v>
      </c>
      <c r="F13" s="6">
        <v>99.28</v>
      </c>
      <c r="G13" s="66">
        <f t="shared" si="0"/>
        <v>6835.4279999999999</v>
      </c>
      <c r="H13" s="65">
        <v>5</v>
      </c>
      <c r="I13" s="6">
        <v>111.38</v>
      </c>
      <c r="J13" s="66">
        <f t="shared" si="1"/>
        <v>556.9</v>
      </c>
      <c r="K13" s="66">
        <f>G13+J13</f>
        <v>7392.3279999999995</v>
      </c>
      <c r="L13" s="162"/>
      <c r="M13" s="297">
        <f t="shared" si="3"/>
        <v>17231.658999999996</v>
      </c>
      <c r="N13" s="46" t="s">
        <v>334</v>
      </c>
      <c r="O13" s="5"/>
    </row>
    <row r="14" spans="1:15">
      <c r="A14" s="221">
        <v>11</v>
      </c>
      <c r="B14" s="219">
        <v>46184</v>
      </c>
      <c r="C14" s="6"/>
      <c r="D14" s="6"/>
      <c r="E14" s="65">
        <v>37</v>
      </c>
      <c r="F14" s="6">
        <v>99.28</v>
      </c>
      <c r="G14" s="66">
        <f t="shared" si="0"/>
        <v>3673.36</v>
      </c>
      <c r="H14" s="65">
        <v>5.38</v>
      </c>
      <c r="I14" s="6">
        <v>111.38</v>
      </c>
      <c r="J14" s="66">
        <f t="shared" si="1"/>
        <v>599.22439999999995</v>
      </c>
      <c r="K14" s="66">
        <f t="shared" si="2"/>
        <v>4272.5843999999997</v>
      </c>
      <c r="L14" s="162"/>
      <c r="M14" s="297">
        <f t="shared" si="3"/>
        <v>21504.243399999996</v>
      </c>
      <c r="N14" s="46" t="s">
        <v>334</v>
      </c>
      <c r="O14" s="5"/>
    </row>
    <row r="15" spans="1:15">
      <c r="A15" s="221">
        <v>12</v>
      </c>
      <c r="B15" s="219">
        <v>46185</v>
      </c>
      <c r="C15" s="6"/>
      <c r="D15" s="6"/>
      <c r="E15" s="65"/>
      <c r="F15" s="6"/>
      <c r="G15" s="66">
        <f t="shared" si="0"/>
        <v>0</v>
      </c>
      <c r="H15" s="65"/>
      <c r="I15" s="6">
        <v>111.38</v>
      </c>
      <c r="J15" s="66">
        <f t="shared" si="1"/>
        <v>0</v>
      </c>
      <c r="K15" s="66">
        <f t="shared" si="2"/>
        <v>0</v>
      </c>
      <c r="L15" s="162"/>
      <c r="M15" s="297">
        <f t="shared" si="3"/>
        <v>21504.243399999996</v>
      </c>
      <c r="N15" s="46" t="s">
        <v>334</v>
      </c>
      <c r="O15" s="5"/>
    </row>
    <row r="16" spans="1:15">
      <c r="A16" s="221">
        <v>13</v>
      </c>
      <c r="B16" s="219">
        <v>46186</v>
      </c>
      <c r="C16" s="6"/>
      <c r="D16" s="6"/>
      <c r="E16" s="65">
        <v>10.07</v>
      </c>
      <c r="F16" s="6">
        <v>99.28</v>
      </c>
      <c r="G16" s="66">
        <f t="shared" si="0"/>
        <v>999.74959999999999</v>
      </c>
      <c r="H16" s="65">
        <v>10</v>
      </c>
      <c r="I16" s="6">
        <v>111.38</v>
      </c>
      <c r="J16" s="66">
        <f t="shared" si="1"/>
        <v>1113.8</v>
      </c>
      <c r="K16" s="66">
        <f t="shared" si="2"/>
        <v>2113.5495999999998</v>
      </c>
      <c r="L16" s="162"/>
      <c r="M16" s="297">
        <f t="shared" si="3"/>
        <v>23617.792999999994</v>
      </c>
      <c r="N16" s="46" t="s">
        <v>334</v>
      </c>
      <c r="O16" s="5"/>
    </row>
    <row r="17" spans="1:15">
      <c r="A17" s="221">
        <v>14</v>
      </c>
      <c r="B17" s="219">
        <v>46187</v>
      </c>
      <c r="C17" s="6"/>
      <c r="D17" s="6"/>
      <c r="E17" s="65">
        <v>46.69</v>
      </c>
      <c r="F17" s="6">
        <v>99.28</v>
      </c>
      <c r="G17" s="66">
        <f t="shared" si="0"/>
        <v>4635.3832000000002</v>
      </c>
      <c r="H17" s="65"/>
      <c r="I17" s="6"/>
      <c r="J17" s="66">
        <f t="shared" si="1"/>
        <v>0</v>
      </c>
      <c r="K17" s="66">
        <f t="shared" si="2"/>
        <v>4635.3832000000002</v>
      </c>
      <c r="L17" s="162"/>
      <c r="M17" s="297">
        <f t="shared" si="3"/>
        <v>28253.176199999994</v>
      </c>
      <c r="N17" s="46" t="s">
        <v>334</v>
      </c>
      <c r="O17" s="5"/>
    </row>
    <row r="18" spans="1:15">
      <c r="A18" s="221">
        <v>15</v>
      </c>
      <c r="B18" s="219">
        <v>46188</v>
      </c>
      <c r="C18" s="6"/>
      <c r="D18" s="6"/>
      <c r="E18" s="65">
        <v>100</v>
      </c>
      <c r="F18" s="6">
        <v>99.28</v>
      </c>
      <c r="G18" s="66">
        <f t="shared" si="0"/>
        <v>9928</v>
      </c>
      <c r="H18" s="65"/>
      <c r="I18" s="6"/>
      <c r="J18" s="66">
        <f t="shared" si="1"/>
        <v>0</v>
      </c>
      <c r="K18" s="66">
        <f t="shared" si="2"/>
        <v>9928</v>
      </c>
      <c r="L18" s="162"/>
      <c r="M18" s="297">
        <f t="shared" si="3"/>
        <v>38181.176199999994</v>
      </c>
      <c r="N18" s="46" t="s">
        <v>183</v>
      </c>
      <c r="O18" s="5"/>
    </row>
    <row r="19" spans="1:15">
      <c r="A19" s="221">
        <v>16</v>
      </c>
      <c r="B19" s="219">
        <v>46189</v>
      </c>
      <c r="C19" s="6"/>
      <c r="D19" s="6"/>
      <c r="E19" s="65"/>
      <c r="F19" s="6"/>
      <c r="G19" s="66">
        <f t="shared" si="0"/>
        <v>0</v>
      </c>
      <c r="H19" s="65"/>
      <c r="I19" s="6"/>
      <c r="J19" s="66">
        <f t="shared" si="1"/>
        <v>0</v>
      </c>
      <c r="K19" s="66">
        <f t="shared" si="2"/>
        <v>0</v>
      </c>
      <c r="L19" s="162"/>
      <c r="M19" s="298">
        <f t="shared" ref="M15:M42" si="4">M18+K19-L19</f>
        <v>38181.176199999994</v>
      </c>
      <c r="N19" s="46" t="s">
        <v>334</v>
      </c>
      <c r="O19" s="5"/>
    </row>
    <row r="20" spans="1:15">
      <c r="A20" s="221">
        <v>17</v>
      </c>
      <c r="B20" s="219">
        <v>46190</v>
      </c>
      <c r="C20" s="6"/>
      <c r="D20" s="6"/>
      <c r="E20" s="65"/>
      <c r="F20" s="6"/>
      <c r="G20" s="66">
        <f t="shared" si="0"/>
        <v>0</v>
      </c>
      <c r="H20" s="65"/>
      <c r="I20" s="6"/>
      <c r="J20" s="66">
        <f t="shared" si="1"/>
        <v>0</v>
      </c>
      <c r="K20" s="66">
        <f t="shared" si="2"/>
        <v>0</v>
      </c>
      <c r="L20" s="162"/>
      <c r="M20" s="298">
        <f t="shared" si="4"/>
        <v>38181.176199999994</v>
      </c>
      <c r="N20" s="46" t="s">
        <v>334</v>
      </c>
      <c r="O20" s="5"/>
    </row>
    <row r="21" spans="1:15">
      <c r="A21" s="221">
        <v>18</v>
      </c>
      <c r="B21" s="219">
        <v>46191</v>
      </c>
      <c r="C21" s="6"/>
      <c r="D21" s="6"/>
      <c r="E21" s="65"/>
      <c r="F21" s="6"/>
      <c r="G21" s="66">
        <f t="shared" si="0"/>
        <v>0</v>
      </c>
      <c r="H21" s="65"/>
      <c r="I21" s="6"/>
      <c r="J21" s="66">
        <f t="shared" si="1"/>
        <v>0</v>
      </c>
      <c r="K21" s="66">
        <f t="shared" si="2"/>
        <v>0</v>
      </c>
      <c r="L21" s="162"/>
      <c r="M21" s="298">
        <f t="shared" si="4"/>
        <v>38181.176199999994</v>
      </c>
      <c r="N21" s="46" t="s">
        <v>334</v>
      </c>
      <c r="O21" s="5"/>
    </row>
    <row r="22" spans="1:15">
      <c r="A22" s="221">
        <v>19</v>
      </c>
      <c r="B22" s="219">
        <v>46192</v>
      </c>
      <c r="C22" s="6"/>
      <c r="D22" s="6"/>
      <c r="E22" s="65"/>
      <c r="F22" s="6"/>
      <c r="G22" s="66">
        <f t="shared" si="0"/>
        <v>0</v>
      </c>
      <c r="H22" s="65">
        <v>11</v>
      </c>
      <c r="I22" s="6">
        <v>111.38</v>
      </c>
      <c r="J22" s="66">
        <f t="shared" si="1"/>
        <v>1225.1799999999998</v>
      </c>
      <c r="K22" s="66">
        <f t="shared" si="2"/>
        <v>1225.1799999999998</v>
      </c>
      <c r="L22" s="162"/>
      <c r="M22" s="298">
        <f t="shared" si="4"/>
        <v>39406.356199999995</v>
      </c>
      <c r="N22" s="46" t="s">
        <v>334</v>
      </c>
      <c r="O22" s="5"/>
    </row>
    <row r="23" spans="1:15">
      <c r="A23" s="221">
        <v>20</v>
      </c>
      <c r="B23" s="219">
        <v>46193</v>
      </c>
      <c r="C23" s="6"/>
      <c r="D23" s="6"/>
      <c r="E23" s="65">
        <v>91.39</v>
      </c>
      <c r="F23" s="6">
        <v>99.28</v>
      </c>
      <c r="G23" s="66">
        <f t="shared" si="0"/>
        <v>9073.1992000000009</v>
      </c>
      <c r="H23" s="65"/>
      <c r="I23" s="6"/>
      <c r="J23" s="66">
        <f t="shared" si="1"/>
        <v>0</v>
      </c>
      <c r="K23" s="66">
        <f t="shared" si="2"/>
        <v>9073.1992000000009</v>
      </c>
      <c r="L23" s="162"/>
      <c r="M23" s="298">
        <f t="shared" si="4"/>
        <v>48479.555399999997</v>
      </c>
      <c r="N23" s="46"/>
      <c r="O23" s="5"/>
    </row>
    <row r="24" spans="1:15">
      <c r="A24" s="221">
        <v>21</v>
      </c>
      <c r="B24" s="219">
        <v>46194</v>
      </c>
      <c r="C24" s="6"/>
      <c r="D24" s="6"/>
      <c r="E24" s="65"/>
      <c r="F24" s="6"/>
      <c r="G24" s="66">
        <f t="shared" si="0"/>
        <v>0</v>
      </c>
      <c r="H24" s="65"/>
      <c r="I24" s="6"/>
      <c r="J24" s="66">
        <f t="shared" si="1"/>
        <v>0</v>
      </c>
      <c r="K24" s="66">
        <f t="shared" si="2"/>
        <v>0</v>
      </c>
      <c r="L24" s="162"/>
      <c r="M24" s="298">
        <f t="shared" si="4"/>
        <v>48479.555399999997</v>
      </c>
      <c r="N24" s="46"/>
      <c r="O24" s="5"/>
    </row>
    <row r="25" spans="1:15">
      <c r="A25" s="46">
        <v>22</v>
      </c>
      <c r="B25" s="219">
        <v>46195</v>
      </c>
      <c r="C25" s="325"/>
      <c r="D25" s="325"/>
      <c r="E25" s="65"/>
      <c r="F25" s="6"/>
      <c r="G25" s="66">
        <f t="shared" si="0"/>
        <v>0</v>
      </c>
      <c r="H25" s="65"/>
      <c r="I25" s="6"/>
      <c r="J25" s="66">
        <f t="shared" si="1"/>
        <v>0</v>
      </c>
      <c r="K25" s="66">
        <f t="shared" si="2"/>
        <v>0</v>
      </c>
      <c r="L25" s="162"/>
      <c r="M25" s="259">
        <f t="shared" si="4"/>
        <v>48479.555399999997</v>
      </c>
      <c r="N25" s="46"/>
      <c r="O25" s="5"/>
    </row>
    <row r="26" spans="1:15">
      <c r="A26" s="46">
        <v>23</v>
      </c>
      <c r="B26" s="219">
        <v>46196</v>
      </c>
      <c r="C26" s="6"/>
      <c r="D26" s="6"/>
      <c r="E26" s="65">
        <v>50</v>
      </c>
      <c r="F26" s="6">
        <v>99.28</v>
      </c>
      <c r="G26" s="66">
        <f t="shared" si="0"/>
        <v>4964</v>
      </c>
      <c r="H26" s="65">
        <v>5</v>
      </c>
      <c r="I26" s="6">
        <v>111.38</v>
      </c>
      <c r="J26" s="66">
        <f t="shared" si="1"/>
        <v>556.9</v>
      </c>
      <c r="K26" s="66">
        <f t="shared" si="2"/>
        <v>5520.9</v>
      </c>
      <c r="L26" s="162"/>
      <c r="M26" s="259">
        <f t="shared" si="4"/>
        <v>54000.455399999999</v>
      </c>
      <c r="N26" s="6"/>
      <c r="O26" s="5"/>
    </row>
    <row r="27" spans="1:15">
      <c r="A27" s="46">
        <v>24</v>
      </c>
      <c r="B27" s="219">
        <v>46197</v>
      </c>
      <c r="C27" s="6"/>
      <c r="D27" s="6"/>
      <c r="E27" s="65">
        <v>68.5</v>
      </c>
      <c r="F27" s="6">
        <v>99.28</v>
      </c>
      <c r="G27" s="66">
        <f t="shared" si="0"/>
        <v>6800.68</v>
      </c>
      <c r="H27" s="65"/>
      <c r="I27" s="6"/>
      <c r="J27" s="66">
        <f t="shared" si="1"/>
        <v>0</v>
      </c>
      <c r="K27" s="66">
        <f t="shared" si="2"/>
        <v>6800.68</v>
      </c>
      <c r="L27" s="162"/>
      <c r="M27" s="259">
        <f t="shared" si="4"/>
        <v>60801.135399999999</v>
      </c>
      <c r="N27" s="6"/>
      <c r="O27" s="5"/>
    </row>
    <row r="28" spans="1:15">
      <c r="A28" s="221">
        <v>25</v>
      </c>
      <c r="B28" s="219">
        <v>46198</v>
      </c>
      <c r="C28" s="6"/>
      <c r="D28" s="6"/>
      <c r="E28" s="65"/>
      <c r="F28" s="6"/>
      <c r="G28" s="66">
        <f t="shared" si="0"/>
        <v>0</v>
      </c>
      <c r="H28" s="65">
        <v>6</v>
      </c>
      <c r="I28" s="6">
        <v>111.38</v>
      </c>
      <c r="J28" s="66">
        <f t="shared" si="1"/>
        <v>668.28</v>
      </c>
      <c r="K28" s="66">
        <f t="shared" si="2"/>
        <v>668.28</v>
      </c>
      <c r="L28" s="162"/>
      <c r="M28" s="259">
        <f t="shared" si="4"/>
        <v>61469.415399999998</v>
      </c>
      <c r="N28" s="6"/>
      <c r="O28" s="5"/>
    </row>
    <row r="29" spans="1:15">
      <c r="A29" s="221">
        <v>26</v>
      </c>
      <c r="B29" s="219">
        <v>46199</v>
      </c>
      <c r="C29" s="6"/>
      <c r="D29" s="6"/>
      <c r="E29" s="65"/>
      <c r="F29" s="6"/>
      <c r="G29" s="66">
        <f t="shared" si="0"/>
        <v>0</v>
      </c>
      <c r="H29" s="65"/>
      <c r="I29" s="6">
        <v>111.38</v>
      </c>
      <c r="J29" s="66">
        <f t="shared" si="1"/>
        <v>0</v>
      </c>
      <c r="K29" s="66">
        <f t="shared" si="2"/>
        <v>0</v>
      </c>
      <c r="L29" s="162"/>
      <c r="M29" s="259">
        <f t="shared" si="4"/>
        <v>61469.415399999998</v>
      </c>
      <c r="N29" s="6"/>
      <c r="O29" s="5"/>
    </row>
    <row r="30" spans="1:15">
      <c r="A30" s="221">
        <v>27</v>
      </c>
      <c r="B30" s="219">
        <v>46200</v>
      </c>
      <c r="C30" s="6"/>
      <c r="D30" s="6"/>
      <c r="E30" s="65">
        <v>77.930000000000007</v>
      </c>
      <c r="F30" s="6">
        <v>99.28</v>
      </c>
      <c r="G30" s="66">
        <f t="shared" si="0"/>
        <v>7736.8904000000011</v>
      </c>
      <c r="H30" s="65"/>
      <c r="I30" s="6"/>
      <c r="J30" s="66">
        <f t="shared" si="1"/>
        <v>0</v>
      </c>
      <c r="K30" s="66">
        <f t="shared" si="2"/>
        <v>7736.8904000000011</v>
      </c>
      <c r="L30" s="162"/>
      <c r="M30" s="259">
        <f t="shared" si="4"/>
        <v>69206.305800000002</v>
      </c>
      <c r="N30" s="6"/>
      <c r="O30" s="5"/>
    </row>
    <row r="31" spans="1:15">
      <c r="A31" s="221">
        <v>28</v>
      </c>
      <c r="B31" s="219">
        <v>46201</v>
      </c>
      <c r="C31" s="6"/>
      <c r="D31" s="6"/>
      <c r="E31" s="65"/>
      <c r="F31" s="6"/>
      <c r="G31" s="66">
        <f t="shared" si="0"/>
        <v>0</v>
      </c>
      <c r="H31" s="65"/>
      <c r="I31" s="6"/>
      <c r="J31" s="66">
        <f t="shared" si="1"/>
        <v>0</v>
      </c>
      <c r="K31" s="66">
        <f t="shared" si="2"/>
        <v>0</v>
      </c>
      <c r="L31" s="162"/>
      <c r="M31" s="259">
        <f t="shared" si="4"/>
        <v>69206.305800000002</v>
      </c>
      <c r="N31" s="6"/>
      <c r="O31" s="5"/>
    </row>
    <row r="32" spans="1:15">
      <c r="A32" s="222">
        <v>29</v>
      </c>
      <c r="B32" s="219">
        <v>46202</v>
      </c>
      <c r="C32" s="6"/>
      <c r="D32" s="6"/>
      <c r="E32" s="65"/>
      <c r="F32" s="6"/>
      <c r="G32" s="66">
        <f t="shared" si="0"/>
        <v>0</v>
      </c>
      <c r="H32" s="6">
        <v>5</v>
      </c>
      <c r="I32" s="66">
        <v>111.38</v>
      </c>
      <c r="J32" s="66">
        <f t="shared" si="1"/>
        <v>556.9</v>
      </c>
      <c r="K32" s="66">
        <f t="shared" si="2"/>
        <v>556.9</v>
      </c>
      <c r="L32" s="162"/>
      <c r="M32" s="259">
        <f t="shared" si="4"/>
        <v>69763.205799999996</v>
      </c>
      <c r="N32" s="6"/>
      <c r="O32" s="5"/>
    </row>
    <row r="33" spans="1:15">
      <c r="A33" s="222">
        <v>30</v>
      </c>
      <c r="B33" s="219">
        <v>46203</v>
      </c>
      <c r="C33" s="6"/>
      <c r="D33" s="6"/>
      <c r="E33" s="65"/>
      <c r="F33" s="6"/>
      <c r="G33" s="66">
        <f t="shared" si="0"/>
        <v>0</v>
      </c>
      <c r="H33" s="65"/>
      <c r="I33" s="6"/>
      <c r="J33" s="66">
        <f t="shared" si="1"/>
        <v>0</v>
      </c>
      <c r="K33" s="66">
        <f t="shared" si="2"/>
        <v>0</v>
      </c>
      <c r="L33" s="162"/>
      <c r="M33" s="259">
        <f t="shared" si="4"/>
        <v>69763.205799999996</v>
      </c>
      <c r="N33" s="6"/>
      <c r="O33" s="5"/>
    </row>
    <row r="34" spans="1:15">
      <c r="A34" s="222">
        <v>31</v>
      </c>
      <c r="B34" s="219">
        <v>46204</v>
      </c>
      <c r="C34" s="6"/>
      <c r="D34" s="6"/>
      <c r="E34" s="65"/>
      <c r="F34" s="6"/>
      <c r="G34" s="66">
        <f t="shared" si="0"/>
        <v>0</v>
      </c>
      <c r="H34" s="65"/>
      <c r="I34" s="6"/>
      <c r="J34" s="66">
        <f t="shared" si="1"/>
        <v>0</v>
      </c>
      <c r="K34" s="66">
        <f t="shared" si="2"/>
        <v>0</v>
      </c>
      <c r="L34" s="162"/>
      <c r="M34" s="259">
        <f t="shared" si="4"/>
        <v>69763.205799999996</v>
      </c>
      <c r="N34" s="6"/>
      <c r="O34" s="5"/>
    </row>
    <row r="35" spans="1:15">
      <c r="A35" s="6">
        <v>35</v>
      </c>
      <c r="B35" s="78"/>
      <c r="C35" s="6"/>
      <c r="D35" s="6"/>
      <c r="E35" s="65"/>
      <c r="F35" s="6"/>
      <c r="G35" s="66">
        <v>0</v>
      </c>
      <c r="H35" s="65"/>
      <c r="I35" s="6"/>
      <c r="J35" s="66">
        <f t="shared" si="1"/>
        <v>0</v>
      </c>
      <c r="K35" s="66">
        <f t="shared" si="2"/>
        <v>0</v>
      </c>
      <c r="L35" s="162"/>
      <c r="M35" s="259">
        <f t="shared" si="4"/>
        <v>69763.205799999996</v>
      </c>
      <c r="N35" s="6"/>
      <c r="O35" s="5"/>
    </row>
    <row r="36" spans="1:15">
      <c r="A36" s="6">
        <v>36</v>
      </c>
      <c r="B36" s="78"/>
      <c r="C36" s="6"/>
      <c r="D36" s="6"/>
      <c r="E36" s="65"/>
      <c r="F36" s="6"/>
      <c r="G36" s="66">
        <v>0</v>
      </c>
      <c r="H36" s="65"/>
      <c r="I36" s="6"/>
      <c r="J36" s="66">
        <f t="shared" si="1"/>
        <v>0</v>
      </c>
      <c r="K36" s="66">
        <f t="shared" si="2"/>
        <v>0</v>
      </c>
      <c r="L36" s="162"/>
      <c r="M36" s="259">
        <f t="shared" si="4"/>
        <v>69763.205799999996</v>
      </c>
      <c r="N36" s="6"/>
      <c r="O36" s="5"/>
    </row>
    <row r="37" spans="1:15">
      <c r="A37" s="6">
        <v>37</v>
      </c>
      <c r="B37" s="78"/>
      <c r="C37" s="6"/>
      <c r="D37" s="6"/>
      <c r="E37" s="65"/>
      <c r="F37" s="6"/>
      <c r="G37" s="66">
        <v>0</v>
      </c>
      <c r="H37" s="65"/>
      <c r="I37" s="6"/>
      <c r="J37" s="66">
        <f t="shared" si="1"/>
        <v>0</v>
      </c>
      <c r="K37" s="66">
        <f t="shared" si="2"/>
        <v>0</v>
      </c>
      <c r="L37" s="162"/>
      <c r="M37" s="259">
        <f t="shared" si="4"/>
        <v>69763.205799999996</v>
      </c>
      <c r="N37" s="6"/>
      <c r="O37" s="5"/>
    </row>
    <row r="38" spans="1:15">
      <c r="A38" s="6">
        <v>38</v>
      </c>
      <c r="B38" s="78"/>
      <c r="C38" s="6"/>
      <c r="D38" s="6"/>
      <c r="E38" s="65"/>
      <c r="F38" s="6"/>
      <c r="G38" s="66">
        <v>0</v>
      </c>
      <c r="H38" s="65"/>
      <c r="I38" s="6"/>
      <c r="J38" s="66">
        <f t="shared" si="1"/>
        <v>0</v>
      </c>
      <c r="K38" s="66">
        <f t="shared" si="2"/>
        <v>0</v>
      </c>
      <c r="L38" s="162"/>
      <c r="M38" s="259">
        <f t="shared" si="4"/>
        <v>69763.205799999996</v>
      </c>
      <c r="N38" s="6"/>
      <c r="O38" s="5"/>
    </row>
    <row r="39" spans="1:15">
      <c r="A39" s="169">
        <v>39</v>
      </c>
      <c r="B39" s="170"/>
      <c r="C39" s="169"/>
      <c r="D39" s="6"/>
      <c r="E39" s="65"/>
      <c r="F39" s="6"/>
      <c r="G39" s="66">
        <v>0</v>
      </c>
      <c r="H39" s="65"/>
      <c r="I39" s="6"/>
      <c r="J39" s="66">
        <f t="shared" si="1"/>
        <v>0</v>
      </c>
      <c r="K39" s="66">
        <f t="shared" si="2"/>
        <v>0</v>
      </c>
      <c r="L39" s="162"/>
      <c r="M39" s="259">
        <f t="shared" si="4"/>
        <v>69763.205799999996</v>
      </c>
      <c r="N39" s="169"/>
      <c r="O39" s="5"/>
    </row>
    <row r="40" spans="1:15">
      <c r="A40" s="6">
        <v>40</v>
      </c>
      <c r="B40" s="6"/>
      <c r="C40" s="6"/>
      <c r="D40" s="6"/>
      <c r="E40" s="65"/>
      <c r="F40" s="6"/>
      <c r="G40" s="66">
        <v>0</v>
      </c>
      <c r="H40" s="65"/>
      <c r="I40" s="6"/>
      <c r="J40" s="66">
        <f t="shared" si="1"/>
        <v>0</v>
      </c>
      <c r="K40" s="66">
        <f t="shared" si="2"/>
        <v>0</v>
      </c>
      <c r="L40" s="162"/>
      <c r="M40" s="259">
        <f t="shared" si="4"/>
        <v>69763.205799999996</v>
      </c>
      <c r="N40" s="6"/>
      <c r="O40" s="5"/>
    </row>
    <row r="41" spans="1:15">
      <c r="A41" s="169">
        <v>41</v>
      </c>
      <c r="B41" s="169"/>
      <c r="C41" s="169"/>
      <c r="D41" s="6"/>
      <c r="E41" s="65"/>
      <c r="F41" s="6"/>
      <c r="G41" s="66">
        <v>0</v>
      </c>
      <c r="H41" s="65"/>
      <c r="I41" s="6"/>
      <c r="J41" s="66">
        <f t="shared" si="1"/>
        <v>0</v>
      </c>
      <c r="K41" s="66">
        <f t="shared" si="2"/>
        <v>0</v>
      </c>
      <c r="L41" s="162"/>
      <c r="M41" s="259">
        <f t="shared" si="4"/>
        <v>69763.205799999996</v>
      </c>
      <c r="N41" s="169"/>
      <c r="O41" s="5"/>
    </row>
    <row r="42" spans="1:15">
      <c r="A42" s="169">
        <v>42</v>
      </c>
      <c r="B42" s="169"/>
      <c r="C42" s="169"/>
      <c r="D42" s="6"/>
      <c r="E42" s="65"/>
      <c r="F42" s="6"/>
      <c r="G42" s="66">
        <f t="shared" ref="G42" si="5">E42*F42</f>
        <v>0</v>
      </c>
      <c r="H42" s="65"/>
      <c r="I42" s="6"/>
      <c r="J42" s="66">
        <f t="shared" ref="J42" si="6">H42*I42</f>
        <v>0</v>
      </c>
      <c r="K42" s="171">
        <f t="shared" ref="K42" si="7">G42+J42</f>
        <v>0</v>
      </c>
      <c r="L42" s="172">
        <f t="shared" ref="L42" si="8">+K42</f>
        <v>0</v>
      </c>
      <c r="M42" s="259">
        <f t="shared" si="4"/>
        <v>69763.205799999996</v>
      </c>
      <c r="N42" s="169"/>
      <c r="O42" s="5"/>
    </row>
    <row r="43" spans="1:15">
      <c r="A43" s="62"/>
      <c r="B43" s="62"/>
      <c r="C43" s="62"/>
      <c r="D43" s="62"/>
      <c r="E43" s="63">
        <f>SUM(E4:E42)</f>
        <v>930.47</v>
      </c>
      <c r="F43" s="63"/>
      <c r="G43" s="63">
        <f>SUM(G4:G42)</f>
        <v>92377.061600000015</v>
      </c>
      <c r="H43" s="63">
        <f>SUM(H4:H42)</f>
        <v>74.09</v>
      </c>
      <c r="I43" s="63"/>
      <c r="J43" s="63">
        <f>SUM(J4:J42)</f>
        <v>8252.1442000000006</v>
      </c>
      <c r="K43" s="63">
        <f>SUM(K4:K42)</f>
        <v>100629.2058</v>
      </c>
      <c r="L43" s="63">
        <f>SUM(L4:L42)</f>
        <v>96000</v>
      </c>
      <c r="M43" s="63"/>
      <c r="N43" s="63"/>
      <c r="O43" s="59"/>
    </row>
    <row r="44" spans="1:15">
      <c r="A44" s="5"/>
      <c r="B44" s="5"/>
      <c r="C44" s="5"/>
      <c r="D44" s="5"/>
      <c r="E44" s="5"/>
      <c r="F44" s="5"/>
      <c r="G44" s="102"/>
      <c r="H44" s="5"/>
      <c r="I44" s="5"/>
      <c r="J44" s="102"/>
      <c r="K44" s="5"/>
      <c r="L44" s="102"/>
      <c r="M44" s="102"/>
      <c r="N44" s="5"/>
      <c r="O44" s="5"/>
    </row>
    <row r="45" spans="1:15">
      <c r="A45" s="5"/>
      <c r="B45" s="5"/>
      <c r="C45" s="5"/>
      <c r="D45" s="5"/>
      <c r="E45" s="5"/>
      <c r="F45" s="5"/>
      <c r="G45" s="102"/>
      <c r="H45" s="5"/>
      <c r="I45" s="5"/>
      <c r="J45" s="102"/>
      <c r="K45" s="5"/>
      <c r="L45" s="102"/>
      <c r="M45" s="102"/>
      <c r="N45" s="5"/>
      <c r="O45" s="5"/>
    </row>
    <row r="46" spans="1:15">
      <c r="L46">
        <v>41648.541499999999</v>
      </c>
    </row>
    <row r="47" spans="1:15">
      <c r="L47" s="174">
        <f>L43+L46</f>
        <v>137648.54149999999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6" workbookViewId="0">
      <selection activeCell="M25" sqref="M25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568" t="s">
        <v>163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</row>
    <row r="2" spans="1:18" ht="45">
      <c r="A2" s="64" t="s">
        <v>0</v>
      </c>
      <c r="B2" s="83" t="s">
        <v>167</v>
      </c>
      <c r="C2" s="83" t="s">
        <v>168</v>
      </c>
      <c r="D2" s="83" t="s">
        <v>191</v>
      </c>
      <c r="E2" s="83" t="s">
        <v>170</v>
      </c>
      <c r="F2" s="83" t="s">
        <v>171</v>
      </c>
      <c r="G2" s="90" t="s">
        <v>172</v>
      </c>
      <c r="H2" s="83" t="s">
        <v>173</v>
      </c>
      <c r="I2" s="83" t="s">
        <v>171</v>
      </c>
      <c r="J2" s="90" t="s">
        <v>172</v>
      </c>
      <c r="K2" s="64" t="s">
        <v>174</v>
      </c>
      <c r="L2" s="91" t="s">
        <v>175</v>
      </c>
      <c r="M2" s="85" t="s">
        <v>192</v>
      </c>
      <c r="N2" s="83" t="s">
        <v>177</v>
      </c>
    </row>
    <row r="3" spans="1:18">
      <c r="A3" s="602" t="s">
        <v>178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4"/>
      <c r="M3" s="605">
        <v>110295.88160000002</v>
      </c>
      <c r="N3" s="606"/>
    </row>
    <row r="4" spans="1:18">
      <c r="A4" s="196">
        <v>1</v>
      </c>
      <c r="B4" s="219">
        <v>46174</v>
      </c>
      <c r="C4" s="6"/>
      <c r="D4" s="6"/>
      <c r="E4" s="65"/>
      <c r="F4" s="309"/>
      <c r="G4" s="66">
        <f>E4*F4</f>
        <v>0</v>
      </c>
      <c r="H4" s="65">
        <v>5.82</v>
      </c>
      <c r="I4" s="6">
        <v>111.55</v>
      </c>
      <c r="J4" s="66">
        <f>H4*I4</f>
        <v>649.221</v>
      </c>
      <c r="K4" s="66">
        <f>G4+J4</f>
        <v>649.221</v>
      </c>
      <c r="L4" s="162">
        <v>0</v>
      </c>
      <c r="M4" s="149">
        <f>M3+K4-L4</f>
        <v>110945.10260000003</v>
      </c>
      <c r="N4" s="46" t="s">
        <v>334</v>
      </c>
    </row>
    <row r="5" spans="1:18">
      <c r="A5" s="46">
        <v>2</v>
      </c>
      <c r="B5" s="219">
        <v>46175</v>
      </c>
      <c r="C5" s="6"/>
      <c r="D5" s="6"/>
      <c r="E5" s="65"/>
      <c r="F5" s="309"/>
      <c r="G5" s="66">
        <f t="shared" ref="G5:G38" si="0">E5*F5</f>
        <v>0</v>
      </c>
      <c r="H5" s="65"/>
      <c r="I5" s="6"/>
      <c r="J5" s="66">
        <f t="shared" ref="J5:J40" si="1">H5*I5</f>
        <v>0</v>
      </c>
      <c r="K5" s="66">
        <f t="shared" ref="K5:K40" si="2">G5+J5</f>
        <v>0</v>
      </c>
      <c r="L5" s="162">
        <v>0</v>
      </c>
      <c r="M5" s="149">
        <f t="shared" ref="M5:M33" si="3">M4+K5-L5</f>
        <v>110945.10260000003</v>
      </c>
      <c r="N5" s="46" t="s">
        <v>334</v>
      </c>
    </row>
    <row r="6" spans="1:18">
      <c r="A6" s="46">
        <v>3</v>
      </c>
      <c r="B6" s="219">
        <v>46176</v>
      </c>
      <c r="C6" s="6"/>
      <c r="D6" s="6"/>
      <c r="E6" s="65"/>
      <c r="F6" s="309"/>
      <c r="G6" s="66">
        <f t="shared" si="0"/>
        <v>0</v>
      </c>
      <c r="H6" s="65"/>
      <c r="I6" s="6"/>
      <c r="J6" s="66">
        <f t="shared" si="1"/>
        <v>0</v>
      </c>
      <c r="K6" s="66">
        <f t="shared" si="2"/>
        <v>0</v>
      </c>
      <c r="L6" s="162">
        <v>0</v>
      </c>
      <c r="M6" s="149">
        <f t="shared" si="3"/>
        <v>110945.10260000003</v>
      </c>
      <c r="N6" s="46" t="s">
        <v>334</v>
      </c>
    </row>
    <row r="7" spans="1:18">
      <c r="A7" s="46">
        <v>4</v>
      </c>
      <c r="B7" s="219">
        <v>46177</v>
      </c>
      <c r="C7" s="6"/>
      <c r="D7" s="6"/>
      <c r="E7" s="65"/>
      <c r="F7" s="309"/>
      <c r="G7" s="66">
        <f t="shared" si="0"/>
        <v>0</v>
      </c>
      <c r="H7" s="65"/>
      <c r="I7" s="6"/>
      <c r="J7" s="66">
        <f t="shared" si="1"/>
        <v>0</v>
      </c>
      <c r="K7" s="66">
        <f t="shared" si="2"/>
        <v>0</v>
      </c>
      <c r="L7" s="162">
        <v>0</v>
      </c>
      <c r="M7" s="149">
        <f>M6+K7-L7</f>
        <v>110945.10260000003</v>
      </c>
      <c r="N7" s="46" t="s">
        <v>334</v>
      </c>
    </row>
    <row r="8" spans="1:18">
      <c r="A8" s="46">
        <v>5</v>
      </c>
      <c r="B8" s="219">
        <v>46178</v>
      </c>
      <c r="C8" s="6"/>
      <c r="D8" s="6"/>
      <c r="E8" s="65"/>
      <c r="F8" s="309"/>
      <c r="G8" s="66">
        <f t="shared" si="0"/>
        <v>0</v>
      </c>
      <c r="H8" s="65"/>
      <c r="I8" s="6"/>
      <c r="J8" s="66">
        <f t="shared" si="1"/>
        <v>0</v>
      </c>
      <c r="K8" s="66">
        <f t="shared" si="2"/>
        <v>0</v>
      </c>
      <c r="L8" s="162">
        <v>0</v>
      </c>
      <c r="M8" s="149">
        <f t="shared" si="3"/>
        <v>110945.10260000003</v>
      </c>
      <c r="N8" s="46" t="s">
        <v>334</v>
      </c>
    </row>
    <row r="9" spans="1:18">
      <c r="A9" s="46">
        <v>6</v>
      </c>
      <c r="B9" s="219">
        <v>46179</v>
      </c>
      <c r="C9" s="6"/>
      <c r="D9" s="6"/>
      <c r="E9" s="65"/>
      <c r="F9" s="309"/>
      <c r="G9" s="66">
        <f t="shared" si="0"/>
        <v>0</v>
      </c>
      <c r="H9" s="65"/>
      <c r="I9" s="6"/>
      <c r="J9" s="66">
        <f t="shared" si="1"/>
        <v>0</v>
      </c>
      <c r="K9" s="66">
        <f t="shared" si="2"/>
        <v>0</v>
      </c>
      <c r="L9" s="162">
        <v>0</v>
      </c>
      <c r="M9" s="149">
        <f t="shared" si="3"/>
        <v>110945.10260000003</v>
      </c>
      <c r="N9" s="46" t="s">
        <v>334</v>
      </c>
    </row>
    <row r="10" spans="1:18">
      <c r="A10" s="46">
        <v>7</v>
      </c>
      <c r="B10" s="219">
        <v>46180</v>
      </c>
      <c r="C10" s="6"/>
      <c r="D10" s="6"/>
      <c r="E10" s="65"/>
      <c r="F10" s="309"/>
      <c r="G10" s="66">
        <f t="shared" si="0"/>
        <v>0</v>
      </c>
      <c r="H10" s="65"/>
      <c r="I10" s="6"/>
      <c r="J10" s="66">
        <f t="shared" si="1"/>
        <v>0</v>
      </c>
      <c r="K10" s="66">
        <f t="shared" si="2"/>
        <v>0</v>
      </c>
      <c r="L10" s="162">
        <v>0</v>
      </c>
      <c r="M10" s="149">
        <f t="shared" si="3"/>
        <v>110945.10260000003</v>
      </c>
      <c r="N10" s="46" t="s">
        <v>334</v>
      </c>
    </row>
    <row r="11" spans="1:18">
      <c r="A11" s="46">
        <v>8</v>
      </c>
      <c r="B11" s="219">
        <v>46181</v>
      </c>
      <c r="C11" s="6"/>
      <c r="D11" s="6"/>
      <c r="E11" s="65"/>
      <c r="F11" s="309"/>
      <c r="G11" s="66">
        <f t="shared" si="0"/>
        <v>0</v>
      </c>
      <c r="H11" s="65"/>
      <c r="I11" s="6"/>
      <c r="J11" s="66">
        <f t="shared" si="1"/>
        <v>0</v>
      </c>
      <c r="K11" s="66">
        <f t="shared" si="2"/>
        <v>0</v>
      </c>
      <c r="L11" s="162">
        <v>100000</v>
      </c>
      <c r="M11" s="149">
        <f t="shared" si="3"/>
        <v>10945.102600000027</v>
      </c>
      <c r="N11" s="46" t="s">
        <v>334</v>
      </c>
    </row>
    <row r="12" spans="1:18">
      <c r="A12" s="46">
        <v>9</v>
      </c>
      <c r="B12" s="219">
        <v>46182</v>
      </c>
      <c r="C12" s="6"/>
      <c r="D12" s="6"/>
      <c r="E12" s="65"/>
      <c r="F12" s="309"/>
      <c r="G12" s="66">
        <f t="shared" si="0"/>
        <v>0</v>
      </c>
      <c r="H12" s="65"/>
      <c r="I12" s="6"/>
      <c r="J12" s="66">
        <f t="shared" si="1"/>
        <v>0</v>
      </c>
      <c r="K12" s="66">
        <f t="shared" si="2"/>
        <v>0</v>
      </c>
      <c r="L12" s="162">
        <v>0</v>
      </c>
      <c r="M12" s="149">
        <f t="shared" si="3"/>
        <v>10945.102600000027</v>
      </c>
      <c r="N12" s="46" t="s">
        <v>334</v>
      </c>
      <c r="R12" s="238"/>
    </row>
    <row r="13" spans="1:18">
      <c r="A13" s="46">
        <v>10</v>
      </c>
      <c r="B13" s="219">
        <v>46183</v>
      </c>
      <c r="C13" s="6"/>
      <c r="D13" s="6"/>
      <c r="E13" s="65"/>
      <c r="F13" s="309"/>
      <c r="G13" s="66">
        <f t="shared" si="0"/>
        <v>0</v>
      </c>
      <c r="H13" s="65">
        <v>6.99</v>
      </c>
      <c r="I13" s="6">
        <v>121.03</v>
      </c>
      <c r="J13" s="66">
        <f t="shared" si="1"/>
        <v>845.99970000000008</v>
      </c>
      <c r="K13" s="66">
        <f t="shared" si="2"/>
        <v>845.99970000000008</v>
      </c>
      <c r="L13" s="162">
        <v>0</v>
      </c>
      <c r="M13" s="149">
        <f t="shared" si="3"/>
        <v>11791.102300000028</v>
      </c>
      <c r="N13" s="46" t="s">
        <v>334</v>
      </c>
    </row>
    <row r="14" spans="1:18">
      <c r="A14" s="46">
        <v>11</v>
      </c>
      <c r="B14" s="219">
        <v>46184</v>
      </c>
      <c r="C14" s="6"/>
      <c r="D14" s="6"/>
      <c r="E14" s="65"/>
      <c r="F14" s="309"/>
      <c r="G14" s="66">
        <f t="shared" si="0"/>
        <v>0</v>
      </c>
      <c r="H14" s="65"/>
      <c r="I14" s="6"/>
      <c r="J14" s="66">
        <f t="shared" si="1"/>
        <v>0</v>
      </c>
      <c r="K14" s="66">
        <f t="shared" si="2"/>
        <v>0</v>
      </c>
      <c r="L14" s="162">
        <v>0</v>
      </c>
      <c r="M14" s="149">
        <f t="shared" si="3"/>
        <v>11791.102300000028</v>
      </c>
      <c r="N14" s="46" t="s">
        <v>334</v>
      </c>
    </row>
    <row r="15" spans="1:18">
      <c r="A15" s="46">
        <v>12</v>
      </c>
      <c r="B15" s="219">
        <v>46185</v>
      </c>
      <c r="C15" s="6"/>
      <c r="D15" s="6"/>
      <c r="E15" s="65"/>
      <c r="F15" s="309"/>
      <c r="G15" s="66">
        <f t="shared" si="0"/>
        <v>0</v>
      </c>
      <c r="H15" s="65"/>
      <c r="I15" s="6"/>
      <c r="J15" s="66">
        <f t="shared" si="1"/>
        <v>0</v>
      </c>
      <c r="K15" s="66">
        <f t="shared" si="2"/>
        <v>0</v>
      </c>
      <c r="L15" s="162">
        <v>0</v>
      </c>
      <c r="M15" s="149">
        <f>M14+K15-L15</f>
        <v>11791.102300000028</v>
      </c>
      <c r="N15" s="46" t="s">
        <v>334</v>
      </c>
    </row>
    <row r="16" spans="1:18">
      <c r="A16" s="46">
        <v>13</v>
      </c>
      <c r="B16" s="219">
        <v>46186</v>
      </c>
      <c r="C16" s="6"/>
      <c r="D16" s="6"/>
      <c r="E16" s="65"/>
      <c r="F16" s="309"/>
      <c r="G16" s="66">
        <f t="shared" si="0"/>
        <v>0</v>
      </c>
      <c r="H16" s="65"/>
      <c r="I16" s="6"/>
      <c r="J16" s="66">
        <f t="shared" si="1"/>
        <v>0</v>
      </c>
      <c r="K16" s="66">
        <f t="shared" si="2"/>
        <v>0</v>
      </c>
      <c r="L16" s="162">
        <v>0</v>
      </c>
      <c r="M16" s="149">
        <f t="shared" si="3"/>
        <v>11791.102300000028</v>
      </c>
      <c r="N16" s="46" t="s">
        <v>334</v>
      </c>
    </row>
    <row r="17" spans="1:14">
      <c r="A17" s="46">
        <v>14</v>
      </c>
      <c r="B17" s="219">
        <v>46187</v>
      </c>
      <c r="C17" s="6"/>
      <c r="D17" s="6"/>
      <c r="E17" s="65"/>
      <c r="F17" s="309"/>
      <c r="G17" s="66">
        <f t="shared" si="0"/>
        <v>0</v>
      </c>
      <c r="H17" s="65"/>
      <c r="I17" s="6"/>
      <c r="J17" s="66">
        <f t="shared" si="1"/>
        <v>0</v>
      </c>
      <c r="K17" s="66">
        <f t="shared" si="2"/>
        <v>0</v>
      </c>
      <c r="L17" s="162">
        <v>0</v>
      </c>
      <c r="M17" s="149">
        <f t="shared" si="3"/>
        <v>11791.102300000028</v>
      </c>
      <c r="N17" s="46" t="s">
        <v>334</v>
      </c>
    </row>
    <row r="18" spans="1:14">
      <c r="A18" s="46">
        <v>15</v>
      </c>
      <c r="B18" s="219">
        <v>46188</v>
      </c>
      <c r="C18" s="6"/>
      <c r="D18" s="6"/>
      <c r="E18" s="65"/>
      <c r="F18" s="309"/>
      <c r="G18" s="66">
        <f t="shared" si="0"/>
        <v>0</v>
      </c>
      <c r="H18" s="65"/>
      <c r="I18" s="6"/>
      <c r="J18" s="66">
        <f t="shared" si="1"/>
        <v>0</v>
      </c>
      <c r="K18" s="66">
        <f t="shared" si="2"/>
        <v>0</v>
      </c>
      <c r="L18" s="162">
        <v>0</v>
      </c>
      <c r="M18" s="149">
        <f t="shared" si="3"/>
        <v>11791.102300000028</v>
      </c>
      <c r="N18" s="46" t="s">
        <v>334</v>
      </c>
    </row>
    <row r="19" spans="1:14">
      <c r="A19" s="46">
        <v>16</v>
      </c>
      <c r="B19" s="219">
        <v>46189</v>
      </c>
      <c r="C19" s="6"/>
      <c r="D19" s="6"/>
      <c r="E19" s="65"/>
      <c r="F19" s="309"/>
      <c r="G19" s="66">
        <f t="shared" si="0"/>
        <v>0</v>
      </c>
      <c r="H19" s="65"/>
      <c r="I19" s="6"/>
      <c r="J19" s="66">
        <f t="shared" si="1"/>
        <v>0</v>
      </c>
      <c r="K19" s="66">
        <f t="shared" si="2"/>
        <v>0</v>
      </c>
      <c r="L19" s="162">
        <v>0</v>
      </c>
      <c r="M19" s="149">
        <f t="shared" si="3"/>
        <v>11791.102300000028</v>
      </c>
      <c r="N19" s="46" t="s">
        <v>334</v>
      </c>
    </row>
    <row r="20" spans="1:14">
      <c r="A20" s="46">
        <v>17</v>
      </c>
      <c r="B20" s="219">
        <v>46190</v>
      </c>
      <c r="C20" s="6"/>
      <c r="D20" s="6"/>
      <c r="E20" s="65"/>
      <c r="F20" s="309"/>
      <c r="G20" s="66">
        <f t="shared" si="0"/>
        <v>0</v>
      </c>
      <c r="H20" s="65"/>
      <c r="I20" s="6"/>
      <c r="J20" s="66">
        <f t="shared" si="1"/>
        <v>0</v>
      </c>
      <c r="K20" s="66">
        <f t="shared" si="2"/>
        <v>0</v>
      </c>
      <c r="L20" s="162">
        <v>0</v>
      </c>
      <c r="M20" s="149">
        <f t="shared" si="3"/>
        <v>11791.102300000028</v>
      </c>
      <c r="N20" s="46" t="s">
        <v>334</v>
      </c>
    </row>
    <row r="21" spans="1:14">
      <c r="A21" s="46">
        <v>18</v>
      </c>
      <c r="B21" s="219">
        <v>46191</v>
      </c>
      <c r="C21" s="6"/>
      <c r="D21" s="6"/>
      <c r="E21" s="65"/>
      <c r="F21" s="309"/>
      <c r="G21" s="66">
        <f t="shared" si="0"/>
        <v>0</v>
      </c>
      <c r="H21" s="65"/>
      <c r="I21" s="6"/>
      <c r="J21" s="66">
        <f t="shared" si="1"/>
        <v>0</v>
      </c>
      <c r="K21" s="66">
        <f t="shared" si="2"/>
        <v>0</v>
      </c>
      <c r="L21" s="162">
        <v>0</v>
      </c>
      <c r="M21" s="149">
        <f t="shared" si="3"/>
        <v>11791.102300000028</v>
      </c>
      <c r="N21" s="46" t="s">
        <v>334</v>
      </c>
    </row>
    <row r="22" spans="1:14">
      <c r="A22" s="46">
        <v>19</v>
      </c>
      <c r="B22" s="219">
        <v>46192</v>
      </c>
      <c r="C22" s="6"/>
      <c r="D22" s="6"/>
      <c r="E22" s="65"/>
      <c r="F22" s="309"/>
      <c r="G22" s="66">
        <f t="shared" si="0"/>
        <v>0</v>
      </c>
      <c r="H22" s="65"/>
      <c r="I22" s="6"/>
      <c r="J22" s="66">
        <f t="shared" si="1"/>
        <v>0</v>
      </c>
      <c r="K22" s="66">
        <f t="shared" si="2"/>
        <v>0</v>
      </c>
      <c r="L22" s="162">
        <v>0</v>
      </c>
      <c r="M22" s="149">
        <f t="shared" si="3"/>
        <v>11791.102300000028</v>
      </c>
      <c r="N22" s="46" t="s">
        <v>334</v>
      </c>
    </row>
    <row r="23" spans="1:14">
      <c r="A23" s="46">
        <v>20</v>
      </c>
      <c r="B23" s="219">
        <v>46193</v>
      </c>
      <c r="C23" s="6"/>
      <c r="D23" s="6"/>
      <c r="E23" s="65">
        <v>40.229999999999997</v>
      </c>
      <c r="F23" s="309">
        <v>99.44</v>
      </c>
      <c r="G23" s="66">
        <f t="shared" si="0"/>
        <v>4000.4711999999995</v>
      </c>
      <c r="H23" s="65"/>
      <c r="I23" s="6"/>
      <c r="J23" s="66">
        <f t="shared" si="1"/>
        <v>0</v>
      </c>
      <c r="K23" s="66">
        <f t="shared" si="2"/>
        <v>4000.4711999999995</v>
      </c>
      <c r="L23" s="162">
        <v>0</v>
      </c>
      <c r="M23" s="149">
        <f t="shared" si="3"/>
        <v>15791.573500000028</v>
      </c>
      <c r="N23" s="46"/>
    </row>
    <row r="24" spans="1:14">
      <c r="A24" s="46">
        <v>21</v>
      </c>
      <c r="B24" s="219">
        <v>46194</v>
      </c>
      <c r="C24" s="6"/>
      <c r="D24" s="6"/>
      <c r="E24" s="65"/>
      <c r="F24" s="309"/>
      <c r="G24" s="66">
        <f t="shared" si="0"/>
        <v>0</v>
      </c>
      <c r="H24" s="65"/>
      <c r="I24" s="6"/>
      <c r="J24" s="66">
        <f t="shared" si="1"/>
        <v>0</v>
      </c>
      <c r="K24" s="66">
        <f t="shared" si="2"/>
        <v>0</v>
      </c>
      <c r="L24" s="162">
        <v>0</v>
      </c>
      <c r="M24" s="149">
        <f>M23+K24-L24</f>
        <v>15791.573500000028</v>
      </c>
      <c r="N24" s="46"/>
    </row>
    <row r="25" spans="1:14">
      <c r="A25" s="46">
        <v>22</v>
      </c>
      <c r="B25" s="219">
        <v>46195</v>
      </c>
      <c r="C25" s="6"/>
      <c r="D25" s="6"/>
      <c r="E25" s="65"/>
      <c r="F25" s="309"/>
      <c r="G25" s="66">
        <f t="shared" si="0"/>
        <v>0</v>
      </c>
      <c r="H25" s="65">
        <v>5</v>
      </c>
      <c r="I25" s="6">
        <v>111.55</v>
      </c>
      <c r="J25" s="66">
        <f t="shared" si="1"/>
        <v>557.75</v>
      </c>
      <c r="K25" s="66">
        <f t="shared" si="2"/>
        <v>557.75</v>
      </c>
      <c r="L25" s="162">
        <v>0</v>
      </c>
      <c r="M25" s="149">
        <f t="shared" si="3"/>
        <v>16349.323500000028</v>
      </c>
      <c r="N25" s="46"/>
    </row>
    <row r="26" spans="1:14">
      <c r="A26" s="46">
        <v>23</v>
      </c>
      <c r="B26" s="219">
        <v>46196</v>
      </c>
      <c r="C26" s="6"/>
      <c r="D26" s="6"/>
      <c r="E26" s="65"/>
      <c r="F26" s="309"/>
      <c r="G26" s="66">
        <f t="shared" si="0"/>
        <v>0</v>
      </c>
      <c r="H26" s="65"/>
      <c r="I26" s="6"/>
      <c r="J26" s="66">
        <f t="shared" si="1"/>
        <v>0</v>
      </c>
      <c r="K26" s="66">
        <f t="shared" si="2"/>
        <v>0</v>
      </c>
      <c r="L26" s="162">
        <v>0</v>
      </c>
      <c r="M26" s="149">
        <f t="shared" si="3"/>
        <v>16349.323500000028</v>
      </c>
      <c r="N26" s="6"/>
    </row>
    <row r="27" spans="1:14">
      <c r="A27" s="46">
        <v>24</v>
      </c>
      <c r="B27" s="219">
        <v>46197</v>
      </c>
      <c r="C27" s="6"/>
      <c r="D27" s="6"/>
      <c r="E27" s="65"/>
      <c r="F27" s="309"/>
      <c r="G27" s="66">
        <f t="shared" si="0"/>
        <v>0</v>
      </c>
      <c r="H27" s="65"/>
      <c r="I27" s="6"/>
      <c r="J27" s="66">
        <f t="shared" si="1"/>
        <v>0</v>
      </c>
      <c r="K27" s="66">
        <f t="shared" si="2"/>
        <v>0</v>
      </c>
      <c r="L27" s="162">
        <v>0</v>
      </c>
      <c r="M27" s="149">
        <f t="shared" si="3"/>
        <v>16349.323500000028</v>
      </c>
      <c r="N27" s="6"/>
    </row>
    <row r="28" spans="1:14">
      <c r="A28" s="221">
        <v>25</v>
      </c>
      <c r="B28" s="219">
        <v>46198</v>
      </c>
      <c r="C28" s="6"/>
      <c r="D28" s="6"/>
      <c r="E28" s="65"/>
      <c r="F28" s="309"/>
      <c r="G28" s="66">
        <f t="shared" si="0"/>
        <v>0</v>
      </c>
      <c r="H28" s="65"/>
      <c r="I28" s="6"/>
      <c r="J28" s="66">
        <f t="shared" si="1"/>
        <v>0</v>
      </c>
      <c r="K28" s="66">
        <f t="shared" si="2"/>
        <v>0</v>
      </c>
      <c r="L28" s="162">
        <v>0</v>
      </c>
      <c r="M28" s="149">
        <f t="shared" si="3"/>
        <v>16349.323500000028</v>
      </c>
      <c r="N28" s="6"/>
    </row>
    <row r="29" spans="1:14">
      <c r="A29" s="221">
        <v>26</v>
      </c>
      <c r="B29" s="219">
        <v>46199</v>
      </c>
      <c r="C29" s="6"/>
      <c r="D29" s="6"/>
      <c r="E29" s="65"/>
      <c r="F29" s="309"/>
      <c r="G29" s="66">
        <f t="shared" si="0"/>
        <v>0</v>
      </c>
      <c r="H29" s="65"/>
      <c r="I29" s="6"/>
      <c r="J29" s="66">
        <f t="shared" si="1"/>
        <v>0</v>
      </c>
      <c r="K29" s="66">
        <f t="shared" si="2"/>
        <v>0</v>
      </c>
      <c r="L29" s="162">
        <v>0</v>
      </c>
      <c r="M29" s="149">
        <f t="shared" si="3"/>
        <v>16349.323500000028</v>
      </c>
      <c r="N29" s="6"/>
    </row>
    <row r="30" spans="1:14">
      <c r="A30" s="221">
        <v>27</v>
      </c>
      <c r="B30" s="219">
        <v>46200</v>
      </c>
      <c r="C30" s="6"/>
      <c r="D30" s="6"/>
      <c r="E30" s="65"/>
      <c r="F30" s="309"/>
      <c r="G30" s="66">
        <f t="shared" si="0"/>
        <v>0</v>
      </c>
      <c r="H30" s="65"/>
      <c r="I30" s="6"/>
      <c r="J30" s="66">
        <f t="shared" si="1"/>
        <v>0</v>
      </c>
      <c r="K30" s="66">
        <f t="shared" si="2"/>
        <v>0</v>
      </c>
      <c r="L30" s="162">
        <v>0</v>
      </c>
      <c r="M30" s="149">
        <f t="shared" si="3"/>
        <v>16349.323500000028</v>
      </c>
      <c r="N30" s="6"/>
    </row>
    <row r="31" spans="1:14">
      <c r="A31" s="221">
        <v>28</v>
      </c>
      <c r="B31" s="219">
        <v>46201</v>
      </c>
      <c r="C31" s="6"/>
      <c r="D31" s="6"/>
      <c r="E31" s="65"/>
      <c r="F31" s="309"/>
      <c r="G31" s="66">
        <f t="shared" si="0"/>
        <v>0</v>
      </c>
      <c r="H31" s="65"/>
      <c r="I31" s="6"/>
      <c r="J31" s="66">
        <f t="shared" si="1"/>
        <v>0</v>
      </c>
      <c r="K31" s="66">
        <f t="shared" si="2"/>
        <v>0</v>
      </c>
      <c r="L31" s="162">
        <v>0</v>
      </c>
      <c r="M31" s="149">
        <f t="shared" si="3"/>
        <v>16349.323500000028</v>
      </c>
      <c r="N31" s="6"/>
    </row>
    <row r="32" spans="1:14">
      <c r="A32" s="222">
        <v>29</v>
      </c>
      <c r="B32" s="219">
        <v>46202</v>
      </c>
      <c r="C32" s="6"/>
      <c r="D32" s="6"/>
      <c r="E32" s="65"/>
      <c r="F32" s="309"/>
      <c r="G32" s="66">
        <f t="shared" si="0"/>
        <v>0</v>
      </c>
      <c r="H32" s="65"/>
      <c r="I32" s="6"/>
      <c r="J32" s="66">
        <f t="shared" si="1"/>
        <v>0</v>
      </c>
      <c r="K32" s="66">
        <f t="shared" si="2"/>
        <v>0</v>
      </c>
      <c r="L32" s="162">
        <v>0</v>
      </c>
      <c r="M32" s="149">
        <f t="shared" si="3"/>
        <v>16349.323500000028</v>
      </c>
      <c r="N32" s="6"/>
    </row>
    <row r="33" spans="1:17">
      <c r="A33" s="222">
        <v>30</v>
      </c>
      <c r="B33" s="219">
        <v>46203</v>
      </c>
      <c r="C33" s="6"/>
      <c r="D33" s="6"/>
      <c r="E33" s="65"/>
      <c r="F33" s="309"/>
      <c r="G33" s="66">
        <f t="shared" si="0"/>
        <v>0</v>
      </c>
      <c r="H33" s="65"/>
      <c r="I33" s="6"/>
      <c r="J33" s="66">
        <f t="shared" si="1"/>
        <v>0</v>
      </c>
      <c r="K33" s="66">
        <f t="shared" si="2"/>
        <v>0</v>
      </c>
      <c r="L33" s="162">
        <v>0</v>
      </c>
      <c r="M33" s="149">
        <f t="shared" si="3"/>
        <v>16349.323500000028</v>
      </c>
      <c r="N33" s="6"/>
    </row>
    <row r="34" spans="1:17">
      <c r="A34" s="222">
        <v>31</v>
      </c>
      <c r="B34" s="219"/>
      <c r="C34" s="6"/>
      <c r="D34" s="6"/>
      <c r="E34" s="309"/>
      <c r="F34" s="66"/>
      <c r="G34" s="66">
        <f t="shared" si="0"/>
        <v>0</v>
      </c>
      <c r="H34" s="65"/>
      <c r="I34" s="6"/>
      <c r="J34" s="66">
        <f t="shared" si="1"/>
        <v>0</v>
      </c>
      <c r="K34" s="66">
        <f t="shared" si="2"/>
        <v>0</v>
      </c>
      <c r="L34" s="162">
        <v>0</v>
      </c>
      <c r="M34" s="149">
        <f t="shared" ref="M34:M39" si="4">M33+K34-L34</f>
        <v>16349.323500000028</v>
      </c>
      <c r="N34" s="6"/>
    </row>
    <row r="35" spans="1:17">
      <c r="A35" s="6">
        <v>35</v>
      </c>
      <c r="B35" s="78"/>
      <c r="C35" s="6"/>
      <c r="D35" s="6"/>
      <c r="E35" s="65"/>
      <c r="F35" s="309"/>
      <c r="G35" s="66">
        <f t="shared" si="0"/>
        <v>0</v>
      </c>
      <c r="H35" s="65"/>
      <c r="I35" s="6"/>
      <c r="J35" s="66">
        <f t="shared" si="1"/>
        <v>0</v>
      </c>
      <c r="K35" s="66">
        <f t="shared" si="2"/>
        <v>0</v>
      </c>
      <c r="L35" s="162">
        <v>0</v>
      </c>
      <c r="M35" s="149">
        <f t="shared" si="4"/>
        <v>16349.323500000028</v>
      </c>
      <c r="N35" s="6"/>
    </row>
    <row r="36" spans="1:17">
      <c r="A36" s="6">
        <v>36</v>
      </c>
      <c r="B36" s="78"/>
      <c r="C36" s="6"/>
      <c r="D36" s="6"/>
      <c r="E36" s="65"/>
      <c r="F36" s="309"/>
      <c r="G36" s="66">
        <f t="shared" si="0"/>
        <v>0</v>
      </c>
      <c r="H36" s="65"/>
      <c r="I36" s="6"/>
      <c r="J36" s="66">
        <f t="shared" si="1"/>
        <v>0</v>
      </c>
      <c r="K36" s="66">
        <f t="shared" si="2"/>
        <v>0</v>
      </c>
      <c r="L36" s="162">
        <v>0</v>
      </c>
      <c r="M36" s="149">
        <f t="shared" si="4"/>
        <v>16349.323500000028</v>
      </c>
      <c r="N36" s="6"/>
    </row>
    <row r="37" spans="1:17">
      <c r="A37" s="6">
        <v>37</v>
      </c>
      <c r="B37" s="78"/>
      <c r="C37" s="6"/>
      <c r="D37" s="6"/>
      <c r="E37" s="65"/>
      <c r="F37" s="309"/>
      <c r="G37" s="66">
        <f t="shared" si="0"/>
        <v>0</v>
      </c>
      <c r="H37" s="65"/>
      <c r="I37" s="6"/>
      <c r="J37" s="66">
        <f t="shared" si="1"/>
        <v>0</v>
      </c>
      <c r="K37" s="66">
        <f t="shared" si="2"/>
        <v>0</v>
      </c>
      <c r="L37" s="162">
        <v>0</v>
      </c>
      <c r="M37" s="149">
        <f t="shared" si="4"/>
        <v>16349.323500000028</v>
      </c>
      <c r="N37" s="6"/>
    </row>
    <row r="38" spans="1:17">
      <c r="A38" s="6">
        <v>38</v>
      </c>
      <c r="B38" s="78"/>
      <c r="C38" s="6"/>
      <c r="D38" s="6"/>
      <c r="E38" s="65"/>
      <c r="F38" s="309"/>
      <c r="G38" s="66">
        <f t="shared" si="0"/>
        <v>0</v>
      </c>
      <c r="H38" s="65"/>
      <c r="I38" s="6"/>
      <c r="J38" s="66">
        <f t="shared" si="1"/>
        <v>0</v>
      </c>
      <c r="K38" s="66">
        <f t="shared" si="2"/>
        <v>0</v>
      </c>
      <c r="L38" s="162">
        <v>0</v>
      </c>
      <c r="M38" s="149">
        <f t="shared" si="4"/>
        <v>16349.323500000028</v>
      </c>
      <c r="N38" s="6"/>
    </row>
    <row r="39" spans="1:17">
      <c r="A39" s="169">
        <v>39</v>
      </c>
      <c r="B39" s="170"/>
      <c r="C39" s="169"/>
      <c r="D39" s="6"/>
      <c r="E39" s="65"/>
      <c r="F39" s="309"/>
      <c r="G39" s="66">
        <f t="shared" ref="G5:G40" si="5">E39*F39</f>
        <v>0</v>
      </c>
      <c r="H39" s="65"/>
      <c r="I39" s="6"/>
      <c r="J39" s="66">
        <f t="shared" si="1"/>
        <v>0</v>
      </c>
      <c r="K39" s="66">
        <f t="shared" si="2"/>
        <v>0</v>
      </c>
      <c r="L39" s="162">
        <v>0</v>
      </c>
      <c r="M39" s="149">
        <f>M38+K39-L39</f>
        <v>16349.323500000028</v>
      </c>
      <c r="N39" s="169"/>
    </row>
    <row r="40" spans="1:17">
      <c r="A40" s="6">
        <v>40</v>
      </c>
      <c r="B40" s="6"/>
      <c r="C40" s="6"/>
      <c r="D40" s="6"/>
      <c r="E40" s="65"/>
      <c r="F40" s="309"/>
      <c r="G40" s="66">
        <f t="shared" ref="G40:G42" si="6">E40*F40</f>
        <v>0</v>
      </c>
      <c r="H40" s="65"/>
      <c r="I40" s="6"/>
      <c r="J40" s="66">
        <f t="shared" si="1"/>
        <v>0</v>
      </c>
      <c r="K40" s="66">
        <f t="shared" si="2"/>
        <v>0</v>
      </c>
      <c r="L40" s="162">
        <v>0</v>
      </c>
      <c r="M40" s="149">
        <v>0</v>
      </c>
      <c r="N40" s="6"/>
    </row>
    <row r="41" spans="1:17">
      <c r="A41" s="169">
        <v>41</v>
      </c>
      <c r="B41" s="169"/>
      <c r="C41" s="169"/>
      <c r="D41" s="6"/>
      <c r="E41" s="65"/>
      <c r="F41" s="309"/>
      <c r="G41" s="66">
        <f t="shared" si="6"/>
        <v>0</v>
      </c>
      <c r="H41" s="65"/>
      <c r="I41" s="6"/>
      <c r="J41" s="66">
        <f t="shared" ref="J5:J41" si="7">H41*I41</f>
        <v>0</v>
      </c>
      <c r="K41" s="66">
        <f t="shared" ref="K5:K41" si="8">G41+J41</f>
        <v>0</v>
      </c>
      <c r="L41" s="162">
        <v>0</v>
      </c>
      <c r="M41" s="173">
        <v>0</v>
      </c>
      <c r="N41" s="169"/>
    </row>
    <row r="42" spans="1:17">
      <c r="A42" s="169">
        <v>42</v>
      </c>
      <c r="B42" s="169"/>
      <c r="C42" s="169"/>
      <c r="D42" s="6"/>
      <c r="E42" s="65"/>
      <c r="F42" s="309"/>
      <c r="G42" s="66">
        <f t="shared" si="6"/>
        <v>0</v>
      </c>
      <c r="H42" s="65"/>
      <c r="I42" s="6"/>
      <c r="J42" s="66">
        <f t="shared" ref="J42" si="9">H42*I42</f>
        <v>0</v>
      </c>
      <c r="K42" s="171">
        <f t="shared" ref="K42" si="10">G42+J42</f>
        <v>0</v>
      </c>
      <c r="L42" s="172">
        <f t="shared" ref="L42" si="11">+K42</f>
        <v>0</v>
      </c>
      <c r="M42" s="173">
        <v>0</v>
      </c>
      <c r="N42" s="169"/>
    </row>
    <row r="43" spans="1:17">
      <c r="A43" s="62"/>
      <c r="B43" s="62"/>
      <c r="C43" s="62"/>
      <c r="D43" s="62"/>
      <c r="E43" s="63">
        <f>SUM(E4:E42)</f>
        <v>40.229999999999997</v>
      </c>
      <c r="F43" s="63"/>
      <c r="G43" s="63">
        <f>SUM(G4:G42)</f>
        <v>4000.4711999999995</v>
      </c>
      <c r="H43" s="63">
        <f>SUM(H4:H42)</f>
        <v>17.810000000000002</v>
      </c>
      <c r="I43" s="63"/>
      <c r="J43" s="63">
        <f>SUM(J4:J42)</f>
        <v>2052.9706999999999</v>
      </c>
      <c r="K43" s="63">
        <f>SUM(K4:K42)</f>
        <v>6053.4418999999998</v>
      </c>
      <c r="L43" s="63">
        <f>SUM(L4:L42)</f>
        <v>100000</v>
      </c>
      <c r="M43" s="63"/>
      <c r="N43" s="63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14" activePane="bottomLeft" state="frozen"/>
      <selection pane="bottomLeft" activeCell="S33" sqref="S33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546" t="s">
        <v>165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82"/>
    </row>
    <row r="2" spans="1:15" ht="16.5" customHeight="1">
      <c r="A2" s="98" t="s">
        <v>0</v>
      </c>
      <c r="B2" s="99" t="s">
        <v>167</v>
      </c>
      <c r="C2" s="99" t="s">
        <v>168</v>
      </c>
      <c r="D2" s="99" t="s">
        <v>191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138" t="s">
        <v>172</v>
      </c>
      <c r="K2" s="100" t="s">
        <v>174</v>
      </c>
      <c r="L2" s="139" t="s">
        <v>175</v>
      </c>
      <c r="M2" s="143" t="s">
        <v>192</v>
      </c>
      <c r="N2" s="101" t="s">
        <v>177</v>
      </c>
      <c r="O2" s="59"/>
    </row>
    <row r="3" spans="1:15" ht="16.5" customHeight="1">
      <c r="A3" s="547" t="s">
        <v>178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8">
        <v>0</v>
      </c>
      <c r="N3" s="156"/>
      <c r="O3" s="59"/>
    </row>
    <row r="4" spans="1:15">
      <c r="A4" s="196">
        <v>1</v>
      </c>
      <c r="B4" s="219">
        <v>46174</v>
      </c>
      <c r="C4" s="67"/>
      <c r="D4" s="159"/>
      <c r="E4" s="65"/>
      <c r="F4" s="65"/>
      <c r="G4" s="8">
        <f>E4*F4</f>
        <v>0</v>
      </c>
      <c r="H4" s="65"/>
      <c r="I4" s="66"/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5">
      <c r="A5" s="46">
        <v>2</v>
      </c>
      <c r="B5" s="219">
        <v>46175</v>
      </c>
      <c r="C5" s="67"/>
      <c r="D5" s="159"/>
      <c r="E5" s="65"/>
      <c r="F5" s="65"/>
      <c r="G5" s="8">
        <f t="shared" ref="G5:G34" si="0">E5*F5</f>
        <v>0</v>
      </c>
      <c r="H5" s="65"/>
      <c r="I5" s="66"/>
      <c r="J5" s="8">
        <f t="shared" ref="J5:J8" si="1">H5*I5</f>
        <v>0</v>
      </c>
      <c r="K5" s="8">
        <f t="shared" ref="K5:K33" si="2">G5+J5</f>
        <v>0</v>
      </c>
      <c r="L5" s="68">
        <f t="shared" ref="L5:L33" si="3">+K5</f>
        <v>0</v>
      </c>
      <c r="M5" s="68">
        <v>0</v>
      </c>
      <c r="N5" s="8"/>
    </row>
    <row r="6" spans="1:15">
      <c r="A6" s="46">
        <v>3</v>
      </c>
      <c r="B6" s="219">
        <v>46176</v>
      </c>
      <c r="C6" s="67"/>
      <c r="D6" s="159"/>
      <c r="E6" s="65"/>
      <c r="F6" s="65"/>
      <c r="G6" s="8">
        <f t="shared" si="0"/>
        <v>0</v>
      </c>
      <c r="H6" s="65"/>
      <c r="I6" s="66"/>
      <c r="J6" s="8">
        <f t="shared" si="1"/>
        <v>0</v>
      </c>
      <c r="K6" s="8">
        <f t="shared" si="2"/>
        <v>0</v>
      </c>
      <c r="L6" s="68">
        <f t="shared" si="3"/>
        <v>0</v>
      </c>
      <c r="M6" s="68">
        <v>0</v>
      </c>
      <c r="N6" s="8"/>
    </row>
    <row r="7" spans="1:15">
      <c r="A7" s="46">
        <v>4</v>
      </c>
      <c r="B7" s="219">
        <v>46177</v>
      </c>
      <c r="C7" s="67"/>
      <c r="D7" s="159"/>
      <c r="E7" s="65"/>
      <c r="F7" s="65"/>
      <c r="G7" s="8">
        <f t="shared" si="0"/>
        <v>0</v>
      </c>
      <c r="H7" s="65"/>
      <c r="I7" s="66"/>
      <c r="J7" s="8">
        <f t="shared" ref="J7" si="4">H7*I7</f>
        <v>0</v>
      </c>
      <c r="K7" s="8">
        <f t="shared" si="2"/>
        <v>0</v>
      </c>
      <c r="L7" s="68">
        <f t="shared" si="3"/>
        <v>0</v>
      </c>
      <c r="M7" s="68">
        <v>0</v>
      </c>
      <c r="N7" s="8"/>
    </row>
    <row r="8" spans="1:15">
      <c r="A8" s="46">
        <v>5</v>
      </c>
      <c r="B8" s="219">
        <v>46178</v>
      </c>
      <c r="C8" s="67"/>
      <c r="D8" s="159"/>
      <c r="E8" s="65"/>
      <c r="F8" s="65"/>
      <c r="G8" s="8">
        <f t="shared" ref="G8:G33" si="5">E8*F8</f>
        <v>0</v>
      </c>
      <c r="H8" s="65"/>
      <c r="I8" s="66"/>
      <c r="J8" s="8">
        <f t="shared" ref="J8:J33" si="6">H8*I8</f>
        <v>0</v>
      </c>
      <c r="K8" s="8">
        <f t="shared" ref="K8:K33" si="7">G8+J8</f>
        <v>0</v>
      </c>
      <c r="L8" s="68">
        <f t="shared" si="3"/>
        <v>0</v>
      </c>
      <c r="M8" s="68">
        <v>0</v>
      </c>
      <c r="N8" s="8"/>
      <c r="O8" s="69"/>
    </row>
    <row r="9" spans="1:15">
      <c r="A9" s="46">
        <v>6</v>
      </c>
      <c r="B9" s="219">
        <v>46179</v>
      </c>
      <c r="C9" s="67"/>
      <c r="D9" s="159"/>
      <c r="E9" s="65"/>
      <c r="F9" s="65"/>
      <c r="G9" s="8">
        <f t="shared" si="5"/>
        <v>0</v>
      </c>
      <c r="H9" s="65"/>
      <c r="I9" s="66"/>
      <c r="J9" s="8">
        <f t="shared" si="6"/>
        <v>0</v>
      </c>
      <c r="K9" s="8">
        <f t="shared" si="7"/>
        <v>0</v>
      </c>
      <c r="L9" s="68">
        <f t="shared" si="3"/>
        <v>0</v>
      </c>
      <c r="M9" s="68">
        <v>0</v>
      </c>
      <c r="N9" s="8"/>
      <c r="O9" s="69"/>
    </row>
    <row r="10" spans="1:15">
      <c r="A10" s="46">
        <v>7</v>
      </c>
      <c r="B10" s="219">
        <v>46180</v>
      </c>
      <c r="C10" s="67"/>
      <c r="D10" s="159"/>
      <c r="E10" s="65"/>
      <c r="F10" s="65"/>
      <c r="G10" s="8">
        <f t="shared" si="5"/>
        <v>0</v>
      </c>
      <c r="H10" s="65"/>
      <c r="I10" s="66"/>
      <c r="J10" s="8">
        <f t="shared" si="6"/>
        <v>0</v>
      </c>
      <c r="K10" s="8">
        <f t="shared" si="7"/>
        <v>0</v>
      </c>
      <c r="L10" s="68">
        <f t="shared" si="3"/>
        <v>0</v>
      </c>
      <c r="M10" s="68">
        <v>0</v>
      </c>
      <c r="N10" s="8"/>
      <c r="O10" s="69"/>
    </row>
    <row r="11" spans="1:15">
      <c r="A11" s="46">
        <v>8</v>
      </c>
      <c r="B11" s="219">
        <v>46181</v>
      </c>
      <c r="C11" s="67"/>
      <c r="D11" s="159"/>
      <c r="E11" s="65"/>
      <c r="F11" s="65"/>
      <c r="G11" s="8">
        <f t="shared" si="5"/>
        <v>0</v>
      </c>
      <c r="H11" s="65"/>
      <c r="I11" s="66"/>
      <c r="J11" s="8">
        <f t="shared" si="6"/>
        <v>0</v>
      </c>
      <c r="K11" s="8">
        <f t="shared" si="7"/>
        <v>0</v>
      </c>
      <c r="L11" s="68">
        <f t="shared" si="3"/>
        <v>0</v>
      </c>
      <c r="M11" s="68">
        <v>0</v>
      </c>
      <c r="N11" s="8"/>
      <c r="O11" s="69"/>
    </row>
    <row r="12" spans="1:15">
      <c r="A12" s="46">
        <v>9</v>
      </c>
      <c r="B12" s="219">
        <v>46182</v>
      </c>
      <c r="C12" s="67"/>
      <c r="D12" s="159"/>
      <c r="E12" s="65"/>
      <c r="F12" s="65"/>
      <c r="G12" s="8">
        <f t="shared" si="5"/>
        <v>0</v>
      </c>
      <c r="H12" s="65"/>
      <c r="I12" s="66"/>
      <c r="J12" s="8">
        <f t="shared" si="6"/>
        <v>0</v>
      </c>
      <c r="K12" s="8">
        <f t="shared" si="7"/>
        <v>0</v>
      </c>
      <c r="L12" s="68">
        <f t="shared" si="3"/>
        <v>0</v>
      </c>
      <c r="M12" s="68">
        <v>0</v>
      </c>
      <c r="N12" s="8"/>
      <c r="O12" s="69"/>
    </row>
    <row r="13" spans="1:15">
      <c r="A13" s="46">
        <v>10</v>
      </c>
      <c r="B13" s="219">
        <v>46183</v>
      </c>
      <c r="C13" s="67"/>
      <c r="D13" s="159"/>
      <c r="E13" s="65"/>
      <c r="F13" s="65"/>
      <c r="G13" s="8">
        <f t="shared" si="5"/>
        <v>0</v>
      </c>
      <c r="H13" s="65"/>
      <c r="I13" s="66"/>
      <c r="J13" s="8">
        <f t="shared" si="6"/>
        <v>0</v>
      </c>
      <c r="K13" s="8">
        <f t="shared" si="7"/>
        <v>0</v>
      </c>
      <c r="L13" s="68">
        <f t="shared" si="3"/>
        <v>0</v>
      </c>
      <c r="M13" s="68">
        <v>0</v>
      </c>
      <c r="N13" s="8"/>
      <c r="O13" s="69"/>
    </row>
    <row r="14" spans="1:15">
      <c r="A14" s="46">
        <v>11</v>
      </c>
      <c r="B14" s="219">
        <v>46184</v>
      </c>
      <c r="C14" s="67"/>
      <c r="D14" s="159"/>
      <c r="E14" s="65"/>
      <c r="F14" s="65"/>
      <c r="G14" s="8">
        <f t="shared" si="5"/>
        <v>0</v>
      </c>
      <c r="H14" s="65"/>
      <c r="I14" s="66"/>
      <c r="J14" s="8">
        <f t="shared" si="6"/>
        <v>0</v>
      </c>
      <c r="K14" s="8">
        <f t="shared" si="7"/>
        <v>0</v>
      </c>
      <c r="L14" s="68">
        <f t="shared" si="3"/>
        <v>0</v>
      </c>
      <c r="M14" s="68">
        <v>0</v>
      </c>
      <c r="N14" s="8"/>
      <c r="O14" s="69"/>
    </row>
    <row r="15" spans="1:15">
      <c r="A15" s="46">
        <v>12</v>
      </c>
      <c r="B15" s="219">
        <v>46185</v>
      </c>
      <c r="C15" s="67"/>
      <c r="D15" s="159"/>
      <c r="E15" s="65"/>
      <c r="F15" s="65"/>
      <c r="G15" s="8">
        <f t="shared" si="5"/>
        <v>0</v>
      </c>
      <c r="H15" s="65"/>
      <c r="I15" s="66"/>
      <c r="J15" s="8">
        <f t="shared" si="6"/>
        <v>0</v>
      </c>
      <c r="K15" s="8">
        <f t="shared" si="7"/>
        <v>0</v>
      </c>
      <c r="L15" s="68">
        <f t="shared" si="3"/>
        <v>0</v>
      </c>
      <c r="M15" s="68">
        <v>0</v>
      </c>
      <c r="N15" s="8"/>
      <c r="O15" s="69"/>
    </row>
    <row r="16" spans="1:15">
      <c r="A16" s="46">
        <v>13</v>
      </c>
      <c r="B16" s="219">
        <v>46186</v>
      </c>
      <c r="C16" s="67"/>
      <c r="D16" s="159"/>
      <c r="E16" s="65"/>
      <c r="F16" s="65"/>
      <c r="G16" s="8">
        <f t="shared" si="5"/>
        <v>0</v>
      </c>
      <c r="H16" s="65"/>
      <c r="I16" s="66"/>
      <c r="J16" s="8">
        <f t="shared" si="6"/>
        <v>0</v>
      </c>
      <c r="K16" s="8">
        <f t="shared" si="7"/>
        <v>0</v>
      </c>
      <c r="L16" s="68">
        <f t="shared" si="3"/>
        <v>0</v>
      </c>
      <c r="M16" s="68">
        <v>0</v>
      </c>
      <c r="N16" s="8"/>
      <c r="O16" s="69"/>
    </row>
    <row r="17" spans="1:15">
      <c r="A17" s="46">
        <v>14</v>
      </c>
      <c r="B17" s="219">
        <v>46187</v>
      </c>
      <c r="C17" s="67"/>
      <c r="D17" s="159"/>
      <c r="E17" s="65"/>
      <c r="F17" s="65"/>
      <c r="G17" s="8">
        <f t="shared" si="5"/>
        <v>0</v>
      </c>
      <c r="H17" s="65">
        <v>4.74</v>
      </c>
      <c r="I17" s="66">
        <v>105.32</v>
      </c>
      <c r="J17" s="8">
        <f t="shared" si="6"/>
        <v>499.21679999999998</v>
      </c>
      <c r="K17" s="8">
        <f t="shared" si="7"/>
        <v>499.21679999999998</v>
      </c>
      <c r="L17" s="68">
        <f t="shared" si="3"/>
        <v>499.21679999999998</v>
      </c>
      <c r="M17" s="68">
        <v>0</v>
      </c>
      <c r="N17" s="8"/>
      <c r="O17" s="69"/>
    </row>
    <row r="18" spans="1:15">
      <c r="A18" s="46">
        <v>15</v>
      </c>
      <c r="B18" s="219">
        <v>46188</v>
      </c>
      <c r="C18" s="67"/>
      <c r="D18" s="159"/>
      <c r="E18" s="65">
        <v>91.95</v>
      </c>
      <c r="F18" s="65">
        <v>98.37</v>
      </c>
      <c r="G18" s="8">
        <f t="shared" si="5"/>
        <v>9045.1215000000011</v>
      </c>
      <c r="H18" s="65"/>
      <c r="I18" s="66"/>
      <c r="J18" s="8">
        <f t="shared" si="6"/>
        <v>0</v>
      </c>
      <c r="K18" s="8">
        <f t="shared" si="7"/>
        <v>9045.1215000000011</v>
      </c>
      <c r="L18" s="68">
        <f t="shared" si="3"/>
        <v>9045.1215000000011</v>
      </c>
      <c r="M18" s="68" t="s">
        <v>181</v>
      </c>
      <c r="N18" s="8"/>
      <c r="O18" s="69"/>
    </row>
    <row r="19" spans="1:15">
      <c r="A19" s="46">
        <v>16</v>
      </c>
      <c r="B19" s="219">
        <v>46189</v>
      </c>
      <c r="C19" s="67"/>
      <c r="D19" s="159"/>
      <c r="E19" s="65"/>
      <c r="F19" s="65"/>
      <c r="G19" s="8">
        <f t="shared" si="5"/>
        <v>0</v>
      </c>
      <c r="H19" s="65"/>
      <c r="I19" s="66"/>
      <c r="J19" s="8">
        <f t="shared" si="6"/>
        <v>0</v>
      </c>
      <c r="K19" s="8">
        <f t="shared" si="7"/>
        <v>0</v>
      </c>
      <c r="L19" s="68">
        <f>+K19</f>
        <v>0</v>
      </c>
      <c r="M19" s="68">
        <v>0</v>
      </c>
      <c r="N19" s="8"/>
      <c r="O19" s="69"/>
    </row>
    <row r="20" spans="1:15">
      <c r="A20" s="46">
        <v>17</v>
      </c>
      <c r="B20" s="219">
        <v>46190</v>
      </c>
      <c r="C20" s="67"/>
      <c r="D20" s="159"/>
      <c r="E20" s="65"/>
      <c r="F20" s="65"/>
      <c r="G20" s="8">
        <f t="shared" si="5"/>
        <v>0</v>
      </c>
      <c r="H20" s="65"/>
      <c r="I20" s="66"/>
      <c r="J20" s="8">
        <f t="shared" si="6"/>
        <v>0</v>
      </c>
      <c r="K20" s="8">
        <f t="shared" si="7"/>
        <v>0</v>
      </c>
      <c r="L20" s="68">
        <f t="shared" si="3"/>
        <v>0</v>
      </c>
      <c r="M20" s="68">
        <v>0</v>
      </c>
      <c r="N20" s="8"/>
      <c r="O20" s="69"/>
    </row>
    <row r="21" spans="1:15">
      <c r="A21" s="46">
        <v>18</v>
      </c>
      <c r="B21" s="219">
        <v>46191</v>
      </c>
      <c r="C21" s="67"/>
      <c r="D21" s="159"/>
      <c r="E21" s="65"/>
      <c r="F21" s="65"/>
      <c r="G21" s="8">
        <f t="shared" si="5"/>
        <v>0</v>
      </c>
      <c r="H21" s="65"/>
      <c r="I21" s="66"/>
      <c r="J21" s="8">
        <f t="shared" si="6"/>
        <v>0</v>
      </c>
      <c r="K21" s="8">
        <f t="shared" si="7"/>
        <v>0</v>
      </c>
      <c r="L21" s="68">
        <f t="shared" si="3"/>
        <v>0</v>
      </c>
      <c r="M21" s="68">
        <v>0</v>
      </c>
      <c r="N21" s="8"/>
      <c r="O21" s="69"/>
    </row>
    <row r="22" spans="1:15">
      <c r="A22" s="46">
        <v>19</v>
      </c>
      <c r="B22" s="219">
        <v>46192</v>
      </c>
      <c r="C22" s="67"/>
      <c r="D22" s="159"/>
      <c r="E22" s="65"/>
      <c r="F22" s="65"/>
      <c r="G22" s="8">
        <f t="shared" si="5"/>
        <v>0</v>
      </c>
      <c r="H22" s="65">
        <v>8.15</v>
      </c>
      <c r="I22" s="66">
        <v>110.44</v>
      </c>
      <c r="J22" s="8">
        <f t="shared" si="6"/>
        <v>900.08600000000001</v>
      </c>
      <c r="K22" s="8">
        <f t="shared" si="7"/>
        <v>900.08600000000001</v>
      </c>
      <c r="L22" s="68">
        <f t="shared" si="3"/>
        <v>900.08600000000001</v>
      </c>
      <c r="M22" s="68">
        <v>0</v>
      </c>
      <c r="N22" s="8"/>
      <c r="O22" s="69"/>
    </row>
    <row r="23" spans="1:15">
      <c r="A23" s="46">
        <v>20</v>
      </c>
      <c r="B23" s="219">
        <v>46193</v>
      </c>
      <c r="C23" s="67"/>
      <c r="D23" s="159"/>
      <c r="E23" s="65"/>
      <c r="F23" s="65"/>
      <c r="G23" s="8">
        <f t="shared" si="5"/>
        <v>0</v>
      </c>
      <c r="H23" s="65"/>
      <c r="I23" s="66"/>
      <c r="J23" s="8">
        <f t="shared" si="6"/>
        <v>0</v>
      </c>
      <c r="K23" s="8">
        <f t="shared" si="7"/>
        <v>0</v>
      </c>
      <c r="L23" s="68">
        <f t="shared" si="3"/>
        <v>0</v>
      </c>
      <c r="M23" s="68">
        <v>0</v>
      </c>
      <c r="N23" s="8"/>
      <c r="O23" s="69"/>
    </row>
    <row r="24" spans="1:15">
      <c r="A24" s="46">
        <v>21</v>
      </c>
      <c r="B24" s="219">
        <v>46194</v>
      </c>
      <c r="C24" s="67"/>
      <c r="D24" s="159"/>
      <c r="E24" s="65"/>
      <c r="F24" s="65"/>
      <c r="G24" s="8">
        <f t="shared" si="5"/>
        <v>0</v>
      </c>
      <c r="H24" s="65"/>
      <c r="I24" s="66"/>
      <c r="J24" s="8">
        <f t="shared" si="6"/>
        <v>0</v>
      </c>
      <c r="K24" s="8">
        <f t="shared" si="7"/>
        <v>0</v>
      </c>
      <c r="L24" s="68">
        <f t="shared" si="3"/>
        <v>0</v>
      </c>
      <c r="M24" s="68">
        <v>0</v>
      </c>
      <c r="N24" s="8"/>
      <c r="O24" s="69"/>
    </row>
    <row r="25" spans="1:15">
      <c r="A25" s="46">
        <v>22</v>
      </c>
      <c r="B25" s="219">
        <v>46195</v>
      </c>
      <c r="C25" s="67"/>
      <c r="D25" s="159"/>
      <c r="E25" s="65"/>
      <c r="F25" s="65"/>
      <c r="G25" s="8">
        <f t="shared" si="5"/>
        <v>0</v>
      </c>
      <c r="H25" s="65"/>
      <c r="I25" s="66"/>
      <c r="J25" s="8">
        <f t="shared" si="6"/>
        <v>0</v>
      </c>
      <c r="K25" s="8">
        <f t="shared" si="7"/>
        <v>0</v>
      </c>
      <c r="L25" s="68">
        <f t="shared" si="3"/>
        <v>0</v>
      </c>
      <c r="M25" s="68">
        <v>0</v>
      </c>
      <c r="N25" s="8"/>
      <c r="O25" s="69"/>
    </row>
    <row r="26" spans="1:15">
      <c r="A26" s="46">
        <v>23</v>
      </c>
      <c r="B26" s="219">
        <v>46196</v>
      </c>
      <c r="C26" s="67"/>
      <c r="D26" s="159"/>
      <c r="E26" s="65"/>
      <c r="F26" s="65"/>
      <c r="G26" s="8">
        <f t="shared" si="5"/>
        <v>0</v>
      </c>
      <c r="H26" s="65"/>
      <c r="I26" s="66"/>
      <c r="J26" s="8">
        <f t="shared" si="6"/>
        <v>0</v>
      </c>
      <c r="K26" s="8">
        <f t="shared" si="7"/>
        <v>0</v>
      </c>
      <c r="L26" s="68">
        <f t="shared" si="3"/>
        <v>0</v>
      </c>
      <c r="M26" s="68">
        <v>0</v>
      </c>
      <c r="N26" s="8"/>
      <c r="O26" s="69"/>
    </row>
    <row r="27" spans="1:15">
      <c r="A27" s="46">
        <v>24</v>
      </c>
      <c r="B27" s="219">
        <v>46197</v>
      </c>
      <c r="C27" s="67"/>
      <c r="D27" s="159"/>
      <c r="E27" s="65"/>
      <c r="F27" s="65"/>
      <c r="G27" s="8">
        <f t="shared" si="5"/>
        <v>0</v>
      </c>
      <c r="H27" s="65"/>
      <c r="I27" s="66"/>
      <c r="J27" s="8">
        <f t="shared" si="6"/>
        <v>0</v>
      </c>
      <c r="K27" s="8">
        <f t="shared" si="7"/>
        <v>0</v>
      </c>
      <c r="L27" s="68">
        <f t="shared" si="3"/>
        <v>0</v>
      </c>
      <c r="M27" s="68">
        <v>0</v>
      </c>
      <c r="N27" s="8"/>
      <c r="O27" s="69"/>
    </row>
    <row r="28" spans="1:15">
      <c r="A28" s="221">
        <v>25</v>
      </c>
      <c r="B28" s="219">
        <v>46198</v>
      </c>
      <c r="C28" s="67"/>
      <c r="D28" s="159"/>
      <c r="E28" s="65"/>
      <c r="F28" s="65"/>
      <c r="G28" s="8">
        <f t="shared" si="5"/>
        <v>0</v>
      </c>
      <c r="H28" s="65"/>
      <c r="I28" s="66"/>
      <c r="J28" s="8">
        <f t="shared" si="6"/>
        <v>0</v>
      </c>
      <c r="K28" s="8">
        <f t="shared" si="7"/>
        <v>0</v>
      </c>
      <c r="L28" s="68">
        <f t="shared" si="3"/>
        <v>0</v>
      </c>
      <c r="M28" s="68">
        <v>0</v>
      </c>
      <c r="N28" s="8"/>
      <c r="O28" s="69"/>
    </row>
    <row r="29" spans="1:15">
      <c r="A29" s="221">
        <v>26</v>
      </c>
      <c r="B29" s="219">
        <v>46199</v>
      </c>
      <c r="C29" s="67"/>
      <c r="D29" s="159"/>
      <c r="E29" s="65"/>
      <c r="F29" s="65"/>
      <c r="G29" s="8">
        <f t="shared" si="5"/>
        <v>0</v>
      </c>
      <c r="H29" s="65">
        <v>9.0500000000000007</v>
      </c>
      <c r="I29" s="66">
        <v>110.44</v>
      </c>
      <c r="J29" s="8">
        <f t="shared" si="6"/>
        <v>999.48200000000008</v>
      </c>
      <c r="K29" s="8">
        <f t="shared" si="7"/>
        <v>999.48200000000008</v>
      </c>
      <c r="L29" s="68">
        <f t="shared" si="3"/>
        <v>999.48200000000008</v>
      </c>
      <c r="M29" s="68">
        <v>0</v>
      </c>
      <c r="N29" s="8"/>
      <c r="O29" s="69"/>
    </row>
    <row r="30" spans="1:15">
      <c r="A30" s="221">
        <v>27</v>
      </c>
      <c r="B30" s="219">
        <v>46200</v>
      </c>
      <c r="C30" s="67"/>
      <c r="D30" s="159"/>
      <c r="E30" s="65"/>
      <c r="F30" s="65"/>
      <c r="G30" s="8">
        <f t="shared" si="5"/>
        <v>0</v>
      </c>
      <c r="H30" s="65"/>
      <c r="I30" s="66"/>
      <c r="J30" s="8">
        <f t="shared" si="6"/>
        <v>0</v>
      </c>
      <c r="K30" s="8">
        <f t="shared" si="7"/>
        <v>0</v>
      </c>
      <c r="L30" s="68">
        <f t="shared" si="3"/>
        <v>0</v>
      </c>
      <c r="M30" s="68">
        <v>0</v>
      </c>
      <c r="N30" s="8"/>
      <c r="O30" s="69"/>
    </row>
    <row r="31" spans="1:15">
      <c r="A31" s="221">
        <v>28</v>
      </c>
      <c r="B31" s="219">
        <v>46201</v>
      </c>
      <c r="C31" s="67"/>
      <c r="D31" s="159"/>
      <c r="E31" s="65"/>
      <c r="F31" s="65"/>
      <c r="G31" s="8">
        <f t="shared" si="5"/>
        <v>0</v>
      </c>
      <c r="H31" s="65"/>
      <c r="I31" s="66"/>
      <c r="J31" s="8">
        <f t="shared" si="6"/>
        <v>0</v>
      </c>
      <c r="K31" s="8">
        <f t="shared" si="7"/>
        <v>0</v>
      </c>
      <c r="L31" s="68">
        <f t="shared" si="3"/>
        <v>0</v>
      </c>
      <c r="M31" s="68">
        <v>0</v>
      </c>
      <c r="N31" s="8"/>
      <c r="O31" s="69"/>
    </row>
    <row r="32" spans="1:15">
      <c r="A32" s="222">
        <v>29</v>
      </c>
      <c r="B32" s="219">
        <v>46202</v>
      </c>
      <c r="C32" s="67"/>
      <c r="D32" s="159"/>
      <c r="E32" s="65"/>
      <c r="F32" s="65"/>
      <c r="G32" s="8">
        <f t="shared" si="5"/>
        <v>0</v>
      </c>
      <c r="H32" s="65"/>
      <c r="I32" s="66"/>
      <c r="J32" s="8">
        <f t="shared" si="6"/>
        <v>0</v>
      </c>
      <c r="K32" s="8">
        <f t="shared" si="7"/>
        <v>0</v>
      </c>
      <c r="L32" s="68">
        <f t="shared" si="3"/>
        <v>0</v>
      </c>
      <c r="M32" s="68">
        <v>0</v>
      </c>
      <c r="N32" s="8"/>
      <c r="O32" s="69"/>
    </row>
    <row r="33" spans="1:15">
      <c r="A33" s="222">
        <v>30</v>
      </c>
      <c r="B33" s="219">
        <v>46203</v>
      </c>
      <c r="C33" s="67"/>
      <c r="D33" s="159"/>
      <c r="E33" s="65"/>
      <c r="F33" s="65"/>
      <c r="G33" s="8">
        <f t="shared" si="5"/>
        <v>0</v>
      </c>
      <c r="H33" s="65"/>
      <c r="I33" s="66"/>
      <c r="J33" s="8">
        <f t="shared" si="6"/>
        <v>0</v>
      </c>
      <c r="K33" s="8">
        <f t="shared" si="7"/>
        <v>0</v>
      </c>
      <c r="L33" s="68">
        <f t="shared" si="3"/>
        <v>0</v>
      </c>
      <c r="M33" s="68">
        <v>0</v>
      </c>
      <c r="N33" s="8"/>
      <c r="O33" s="69"/>
    </row>
    <row r="34" spans="1:15">
      <c r="A34" s="222">
        <v>31</v>
      </c>
      <c r="B34" s="219">
        <v>46204</v>
      </c>
      <c r="C34" s="67"/>
      <c r="D34" s="159"/>
      <c r="E34" s="65"/>
      <c r="F34" s="65"/>
      <c r="G34" s="8">
        <f t="shared" si="0"/>
        <v>0</v>
      </c>
      <c r="H34" s="65"/>
      <c r="I34" s="66"/>
      <c r="J34" s="8">
        <f t="shared" ref="J9:J34" si="8">H34*I34</f>
        <v>0</v>
      </c>
      <c r="K34" s="8">
        <f t="shared" ref="K34" si="9">G34+J34</f>
        <v>0</v>
      </c>
      <c r="L34" s="68">
        <f t="shared" ref="L34" si="10">+K34</f>
        <v>0</v>
      </c>
      <c r="M34" s="68">
        <v>0</v>
      </c>
      <c r="N34" s="8"/>
      <c r="O34" s="69"/>
    </row>
    <row r="35" spans="1:15">
      <c r="A35" s="62"/>
      <c r="B35" s="62"/>
      <c r="C35" s="62"/>
      <c r="D35" s="62"/>
      <c r="E35" s="63">
        <f>SUM(E4:E34)</f>
        <v>91.95</v>
      </c>
      <c r="F35" s="63"/>
      <c r="G35" s="63">
        <f>SUM(G4:G34)</f>
        <v>9045.1215000000011</v>
      </c>
      <c r="H35" s="63">
        <f>SUM(H4:H34)</f>
        <v>21.94</v>
      </c>
      <c r="I35" s="63"/>
      <c r="J35" s="63">
        <f>SUM(J4:J34)</f>
        <v>2398.7847999999999</v>
      </c>
      <c r="K35" s="63">
        <f>SUM(K4:K34)</f>
        <v>11443.906300000001</v>
      </c>
      <c r="L35" s="63">
        <f>SUM(L4:L34)</f>
        <v>11443.906300000001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561"/>
      <c r="C43" s="561"/>
      <c r="D43" s="561"/>
      <c r="E43" s="561"/>
      <c r="F43" s="69"/>
      <c r="G43" s="69"/>
      <c r="H43" s="69"/>
      <c r="I43" s="561"/>
      <c r="J43" s="561"/>
      <c r="K43" s="561"/>
      <c r="L43" s="561"/>
      <c r="M43" s="561"/>
      <c r="N43" s="561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103"/>
  <sheetViews>
    <sheetView workbookViewId="0">
      <pane ySplit="3" topLeftCell="A44" activePane="bottomLeft" state="frozen"/>
      <selection pane="bottomLeft" activeCell="J62" sqref="J62"/>
    </sheetView>
  </sheetViews>
  <sheetFormatPr defaultRowHeight="15"/>
  <cols>
    <col min="1" max="1" width="15" customWidth="1"/>
    <col min="2" max="2" width="18.7109375" customWidth="1"/>
    <col min="3" max="3" width="63.5703125" bestFit="1" customWidth="1"/>
    <col min="4" max="4" width="15.5703125" customWidth="1"/>
    <col min="5" max="5" width="12.28515625" style="185" customWidth="1"/>
    <col min="6" max="6" width="12.85546875" style="185" customWidth="1"/>
    <col min="7" max="7" width="12.5703125" style="185" bestFit="1" customWidth="1"/>
    <col min="8" max="8" width="12.5703125" style="185" customWidth="1"/>
    <col min="9" max="10" width="9.140625" style="185"/>
    <col min="11" max="11" width="18.7109375" style="185" customWidth="1"/>
    <col min="12" max="12" width="24.140625" style="185" customWidth="1"/>
    <col min="13" max="13" width="16.5703125" style="185" customWidth="1"/>
    <col min="14" max="14" width="19.85546875" style="185" customWidth="1"/>
    <col min="15" max="15" width="13.42578125" style="185" customWidth="1"/>
    <col min="16" max="16" width="11.42578125" style="185" bestFit="1" customWidth="1"/>
    <col min="17" max="21" width="9.140625" style="185"/>
  </cols>
  <sheetData>
    <row r="1" spans="1:16" ht="15.75">
      <c r="A1" s="246" t="s">
        <v>370</v>
      </c>
      <c r="B1" s="246"/>
      <c r="C1" s="246"/>
      <c r="D1" s="246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</row>
    <row r="2" spans="1:16" ht="26.25" customHeight="1">
      <c r="A2" s="64" t="s">
        <v>0</v>
      </c>
      <c r="B2" s="83" t="s">
        <v>167</v>
      </c>
      <c r="C2" s="83" t="s">
        <v>371</v>
      </c>
      <c r="D2" s="83" t="s">
        <v>372</v>
      </c>
      <c r="E2" s="281" t="s">
        <v>170</v>
      </c>
      <c r="F2" s="281" t="s">
        <v>171</v>
      </c>
      <c r="G2" s="282" t="s">
        <v>172</v>
      </c>
      <c r="H2" s="281" t="s">
        <v>173</v>
      </c>
      <c r="I2" s="281" t="s">
        <v>171</v>
      </c>
      <c r="J2" s="282" t="s">
        <v>172</v>
      </c>
      <c r="K2" s="283" t="s">
        <v>174</v>
      </c>
      <c r="L2" s="284" t="s">
        <v>373</v>
      </c>
      <c r="M2" s="285" t="s">
        <v>192</v>
      </c>
      <c r="N2" s="281" t="s">
        <v>177</v>
      </c>
      <c r="O2" s="281" t="s">
        <v>374</v>
      </c>
    </row>
    <row r="3" spans="1:16" ht="15.75">
      <c r="A3" s="247" t="s">
        <v>178</v>
      </c>
      <c r="B3" s="247"/>
      <c r="C3" s="247"/>
      <c r="D3" s="247"/>
      <c r="E3" s="286"/>
      <c r="F3" s="286"/>
      <c r="G3" s="286"/>
      <c r="H3" s="286"/>
      <c r="I3" s="286"/>
      <c r="J3" s="286"/>
      <c r="K3" s="304">
        <v>0</v>
      </c>
      <c r="L3" s="304"/>
      <c r="M3" s="304"/>
      <c r="N3" s="304"/>
      <c r="O3" s="404"/>
    </row>
    <row r="4" spans="1:16">
      <c r="A4" s="403">
        <v>1</v>
      </c>
      <c r="B4" s="223">
        <v>46174</v>
      </c>
      <c r="C4" s="388" t="s">
        <v>375</v>
      </c>
      <c r="D4" s="388" t="s">
        <v>376</v>
      </c>
      <c r="E4" s="287">
        <v>90</v>
      </c>
      <c r="F4" s="287">
        <v>104.7</v>
      </c>
      <c r="G4" s="287">
        <f>E4*F4</f>
        <v>9423</v>
      </c>
      <c r="H4" s="104"/>
      <c r="I4" s="104"/>
      <c r="J4" s="287">
        <f>H4*I4</f>
        <v>0</v>
      </c>
      <c r="K4" s="287">
        <f t="shared" ref="K4:K67" si="0">G4+J4</f>
        <v>9423</v>
      </c>
      <c r="L4" s="288"/>
      <c r="M4" s="288">
        <f>K3+L4-K4</f>
        <v>-9423</v>
      </c>
      <c r="N4" s="288"/>
      <c r="O4" s="288"/>
      <c r="P4" s="185" t="s">
        <v>377</v>
      </c>
    </row>
    <row r="5" spans="1:16">
      <c r="A5" s="17">
        <v>2</v>
      </c>
      <c r="B5" s="223">
        <v>46174</v>
      </c>
      <c r="C5" s="388" t="s">
        <v>378</v>
      </c>
      <c r="D5" s="388" t="s">
        <v>379</v>
      </c>
      <c r="E5" s="104">
        <v>10.11</v>
      </c>
      <c r="F5" s="104">
        <v>98.95</v>
      </c>
      <c r="G5" s="287">
        <f>E5*F5</f>
        <v>1000.3845</v>
      </c>
      <c r="H5" s="104"/>
      <c r="I5" s="104"/>
      <c r="J5" s="287">
        <f t="shared" ref="J5:J73" si="1">H5*I5</f>
        <v>0</v>
      </c>
      <c r="K5" s="287">
        <f>G5+J5</f>
        <v>1000.3845</v>
      </c>
      <c r="L5" s="288"/>
      <c r="M5" s="287">
        <f>M4+L5-K5</f>
        <v>-10423.3845</v>
      </c>
      <c r="N5" s="287"/>
      <c r="O5" s="287"/>
    </row>
    <row r="6" spans="1:16">
      <c r="A6" s="17">
        <v>3</v>
      </c>
      <c r="B6" s="223">
        <v>46174</v>
      </c>
      <c r="C6" s="452" t="s">
        <v>380</v>
      </c>
      <c r="D6" s="452" t="s">
        <v>40</v>
      </c>
      <c r="E6" s="184"/>
      <c r="F6" s="184"/>
      <c r="G6" s="287">
        <f>E6*F6</f>
        <v>0</v>
      </c>
      <c r="H6" s="104">
        <v>4.7699999999999996</v>
      </c>
      <c r="I6" s="104">
        <v>115.69</v>
      </c>
      <c r="J6" s="287">
        <f t="shared" si="1"/>
        <v>551.84129999999993</v>
      </c>
      <c r="K6" s="287">
        <f>G6+J6</f>
        <v>551.84129999999993</v>
      </c>
      <c r="L6" s="288"/>
      <c r="M6" s="287">
        <f>M5+L6-K6</f>
        <v>-10975.2258</v>
      </c>
      <c r="N6" s="287"/>
      <c r="O6" s="287"/>
    </row>
    <row r="7" spans="1:16">
      <c r="A7" s="403">
        <v>4</v>
      </c>
      <c r="B7" s="223">
        <v>46174</v>
      </c>
      <c r="C7" s="452" t="s">
        <v>381</v>
      </c>
      <c r="D7" s="452" t="s">
        <v>376</v>
      </c>
      <c r="E7" s="184">
        <v>112.47</v>
      </c>
      <c r="F7" s="184">
        <v>105.21</v>
      </c>
      <c r="G7" s="287">
        <f>E7*F7</f>
        <v>11832.968699999999</v>
      </c>
      <c r="H7" s="287"/>
      <c r="I7" s="104"/>
      <c r="J7" s="287">
        <f t="shared" si="1"/>
        <v>0</v>
      </c>
      <c r="K7" s="287">
        <f>G7+J7</f>
        <v>11832.968699999999</v>
      </c>
      <c r="L7" s="288"/>
      <c r="M7" s="287">
        <f>M6+L7-K7</f>
        <v>-22808.194499999998</v>
      </c>
      <c r="N7" s="287"/>
      <c r="O7" s="287"/>
    </row>
    <row r="8" spans="1:16">
      <c r="A8" s="17">
        <v>5</v>
      </c>
      <c r="B8" s="223">
        <v>46174</v>
      </c>
      <c r="C8" s="452" t="s">
        <v>382</v>
      </c>
      <c r="D8" s="452" t="s">
        <v>383</v>
      </c>
      <c r="E8" s="184">
        <v>38.07</v>
      </c>
      <c r="F8" s="184">
        <v>99.88</v>
      </c>
      <c r="G8" s="287">
        <f>E8*F8</f>
        <v>3802.4315999999999</v>
      </c>
      <c r="H8" s="287">
        <v>5</v>
      </c>
      <c r="I8" s="104">
        <v>111.79</v>
      </c>
      <c r="J8" s="287">
        <f t="shared" si="1"/>
        <v>558.95000000000005</v>
      </c>
      <c r="K8" s="287">
        <f>G8+J8</f>
        <v>4361.3815999999997</v>
      </c>
      <c r="L8" s="288"/>
      <c r="M8" s="287">
        <f>M7+L8-K8</f>
        <v>-27169.576099999998</v>
      </c>
      <c r="N8" s="287"/>
      <c r="O8" s="287"/>
    </row>
    <row r="9" spans="1:16">
      <c r="A9" s="17">
        <v>6</v>
      </c>
      <c r="B9" s="223">
        <v>46174</v>
      </c>
      <c r="C9" s="452" t="s">
        <v>384</v>
      </c>
      <c r="D9" s="452" t="s">
        <v>385</v>
      </c>
      <c r="E9" s="287">
        <v>300</v>
      </c>
      <c r="F9" s="287">
        <v>99.14</v>
      </c>
      <c r="G9" s="287">
        <f>E9*F9</f>
        <v>29742</v>
      </c>
      <c r="H9" s="287"/>
      <c r="I9" s="104"/>
      <c r="J9" s="287">
        <f t="shared" si="1"/>
        <v>0</v>
      </c>
      <c r="K9" s="287">
        <f>G9+J9</f>
        <v>29742</v>
      </c>
      <c r="L9" s="288"/>
      <c r="M9" s="287">
        <f>M8+L9-K9</f>
        <v>-56911.576099999998</v>
      </c>
      <c r="N9" s="287"/>
      <c r="O9" s="287"/>
    </row>
    <row r="10" spans="1:16">
      <c r="A10" s="403">
        <v>7</v>
      </c>
      <c r="B10" s="223">
        <v>46174</v>
      </c>
      <c r="C10" s="452" t="s">
        <v>386</v>
      </c>
      <c r="D10" s="452" t="s">
        <v>376</v>
      </c>
      <c r="E10" s="287"/>
      <c r="F10" s="287"/>
      <c r="G10" s="287">
        <f>E10*F10</f>
        <v>0</v>
      </c>
      <c r="H10" s="104">
        <v>5</v>
      </c>
      <c r="I10" s="104">
        <v>111.78</v>
      </c>
      <c r="J10" s="287">
        <f t="shared" si="1"/>
        <v>558.9</v>
      </c>
      <c r="K10" s="287">
        <f>G10+J10</f>
        <v>558.9</v>
      </c>
      <c r="L10" s="288"/>
      <c r="M10" s="287">
        <f>M9+L10-K10</f>
        <v>-57470.4761</v>
      </c>
      <c r="N10" s="287"/>
      <c r="O10" s="287"/>
    </row>
    <row r="11" spans="1:16">
      <c r="A11" s="17">
        <v>8</v>
      </c>
      <c r="B11" s="223">
        <v>46174</v>
      </c>
      <c r="C11" s="452" t="s">
        <v>387</v>
      </c>
      <c r="D11" s="452" t="s">
        <v>376</v>
      </c>
      <c r="E11" s="287">
        <v>45.03</v>
      </c>
      <c r="F11" s="287">
        <v>105.29</v>
      </c>
      <c r="G11" s="287">
        <f>E11*F11</f>
        <v>4741.2087000000001</v>
      </c>
      <c r="H11" s="104"/>
      <c r="I11" s="104"/>
      <c r="J11" s="287">
        <f t="shared" si="1"/>
        <v>0</v>
      </c>
      <c r="K11" s="287">
        <f>G11+J11</f>
        <v>4741.2087000000001</v>
      </c>
      <c r="L11" s="288"/>
      <c r="M11" s="287">
        <f>M10+L11-K11</f>
        <v>-62211.684800000003</v>
      </c>
      <c r="N11" s="287"/>
      <c r="O11" s="287"/>
    </row>
    <row r="12" spans="1:16">
      <c r="A12" s="17">
        <v>9</v>
      </c>
      <c r="B12" s="223">
        <v>46174</v>
      </c>
      <c r="C12" s="452" t="s">
        <v>388</v>
      </c>
      <c r="D12" s="452" t="s">
        <v>51</v>
      </c>
      <c r="E12" s="287">
        <v>42.7</v>
      </c>
      <c r="F12" s="287">
        <v>99.9</v>
      </c>
      <c r="G12" s="287">
        <f>E12*F12</f>
        <v>4265.7300000000005</v>
      </c>
      <c r="H12" s="104"/>
      <c r="I12" s="104"/>
      <c r="J12" s="287">
        <f t="shared" si="1"/>
        <v>0</v>
      </c>
      <c r="K12" s="287">
        <f>G12+J12</f>
        <v>4265.7300000000005</v>
      </c>
      <c r="L12" s="288"/>
      <c r="M12" s="287">
        <f>M11+L12-K12</f>
        <v>-66477.414799999999</v>
      </c>
      <c r="N12" s="287"/>
      <c r="O12" s="287"/>
    </row>
    <row r="13" spans="1:16">
      <c r="A13" s="403">
        <v>10</v>
      </c>
      <c r="B13" s="223">
        <v>46175</v>
      </c>
      <c r="C13" s="452" t="s">
        <v>375</v>
      </c>
      <c r="D13" s="452" t="s">
        <v>376</v>
      </c>
      <c r="E13" s="104">
        <v>90</v>
      </c>
      <c r="F13" s="104">
        <v>104.7</v>
      </c>
      <c r="G13" s="287">
        <f>E13*F13</f>
        <v>9423</v>
      </c>
      <c r="H13" s="104">
        <v>5</v>
      </c>
      <c r="I13" s="104">
        <v>116.99</v>
      </c>
      <c r="J13" s="287">
        <f t="shared" si="1"/>
        <v>584.94999999999993</v>
      </c>
      <c r="K13" s="287">
        <f>G13+J13</f>
        <v>10007.950000000001</v>
      </c>
      <c r="L13" s="288"/>
      <c r="M13" s="287">
        <f>M12+L13-K13</f>
        <v>-76485.364799999996</v>
      </c>
      <c r="N13" s="287"/>
      <c r="O13" s="287"/>
    </row>
    <row r="14" spans="1:16">
      <c r="A14" s="17">
        <v>11</v>
      </c>
      <c r="B14" s="223">
        <v>46175</v>
      </c>
      <c r="C14" s="452" t="s">
        <v>389</v>
      </c>
      <c r="D14" s="452" t="s">
        <v>376</v>
      </c>
      <c r="E14">
        <v>48.16</v>
      </c>
      <c r="F14" s="104">
        <v>105.59</v>
      </c>
      <c r="G14" s="287">
        <f>E14*F14</f>
        <v>5085.2143999999998</v>
      </c>
      <c r="H14" s="104"/>
      <c r="I14" s="104"/>
      <c r="J14" s="287">
        <f t="shared" si="1"/>
        <v>0</v>
      </c>
      <c r="K14" s="287">
        <f>G14+J14</f>
        <v>5085.2143999999998</v>
      </c>
      <c r="L14" s="288"/>
      <c r="M14" s="287">
        <f>M13+L14-K14</f>
        <v>-81570.579199999993</v>
      </c>
      <c r="N14" s="287"/>
      <c r="O14" s="287"/>
    </row>
    <row r="15" spans="1:16">
      <c r="A15" s="17">
        <v>12</v>
      </c>
      <c r="B15" s="223">
        <v>46175</v>
      </c>
      <c r="C15" s="452" t="s">
        <v>390</v>
      </c>
      <c r="D15" s="452" t="s">
        <v>376</v>
      </c>
      <c r="E15" s="287">
        <v>46.47</v>
      </c>
      <c r="F15" s="287">
        <v>105.22</v>
      </c>
      <c r="G15" s="287">
        <f>E15*F15</f>
        <v>4889.5734000000002</v>
      </c>
      <c r="H15" s="104"/>
      <c r="I15" s="104"/>
      <c r="J15" s="287">
        <f t="shared" si="1"/>
        <v>0</v>
      </c>
      <c r="K15" s="287">
        <f>G15+J15</f>
        <v>4889.5734000000002</v>
      </c>
      <c r="L15" s="288"/>
      <c r="M15" s="287">
        <f>M14+L15-K15</f>
        <v>-86460.152599999987</v>
      </c>
      <c r="N15" s="287"/>
      <c r="O15" s="287"/>
    </row>
    <row r="16" spans="1:16">
      <c r="A16" s="403">
        <v>13</v>
      </c>
      <c r="B16" s="223">
        <v>46175</v>
      </c>
      <c r="C16" s="452" t="s">
        <v>381</v>
      </c>
      <c r="D16" s="452" t="s">
        <v>376</v>
      </c>
      <c r="E16" s="287">
        <v>50</v>
      </c>
      <c r="F16" s="287">
        <v>105.21</v>
      </c>
      <c r="G16" s="287">
        <f>E16*F16</f>
        <v>5260.5</v>
      </c>
      <c r="H16" s="104"/>
      <c r="I16" s="104"/>
      <c r="J16" s="287">
        <f t="shared" si="1"/>
        <v>0</v>
      </c>
      <c r="K16" s="287">
        <f>G16+J16</f>
        <v>5260.5</v>
      </c>
      <c r="L16" s="288"/>
      <c r="M16" s="287">
        <f>M15+L16-K16</f>
        <v>-91720.652599999987</v>
      </c>
      <c r="N16" s="287"/>
      <c r="O16" s="287"/>
    </row>
    <row r="17" spans="1:15">
      <c r="A17" s="17">
        <v>14</v>
      </c>
      <c r="B17" s="223">
        <v>46176</v>
      </c>
      <c r="C17" s="452" t="s">
        <v>391</v>
      </c>
      <c r="D17" s="452" t="s">
        <v>376</v>
      </c>
      <c r="E17" s="287">
        <v>36.590000000000003</v>
      </c>
      <c r="F17" s="287">
        <v>105.52</v>
      </c>
      <c r="G17" s="287">
        <f>E17*F17</f>
        <v>3860.9768000000004</v>
      </c>
      <c r="H17" s="104"/>
      <c r="I17" s="104"/>
      <c r="J17" s="287">
        <f t="shared" si="1"/>
        <v>0</v>
      </c>
      <c r="K17" s="287">
        <f>G17+J17</f>
        <v>3860.9768000000004</v>
      </c>
      <c r="L17" s="288"/>
      <c r="M17" s="287">
        <f>M16+L17-K17</f>
        <v>-95581.629399999991</v>
      </c>
      <c r="N17" s="287"/>
      <c r="O17" s="287"/>
    </row>
    <row r="18" spans="1:15">
      <c r="A18" s="17">
        <v>15</v>
      </c>
      <c r="B18" s="223">
        <v>46176</v>
      </c>
      <c r="C18" s="452" t="s">
        <v>375</v>
      </c>
      <c r="D18" s="452" t="s">
        <v>376</v>
      </c>
      <c r="E18" s="287">
        <v>9.82</v>
      </c>
      <c r="F18" s="287">
        <v>104.7</v>
      </c>
      <c r="G18" s="287">
        <f>E18*F18</f>
        <v>1028.154</v>
      </c>
      <c r="H18" s="104"/>
      <c r="I18" s="104"/>
      <c r="J18" s="287">
        <f t="shared" si="1"/>
        <v>0</v>
      </c>
      <c r="K18" s="287">
        <f>G18+J18</f>
        <v>1028.154</v>
      </c>
      <c r="L18" s="288"/>
      <c r="M18" s="287">
        <f>M17+L18-K18</f>
        <v>-96609.783399999986</v>
      </c>
      <c r="N18" s="287"/>
      <c r="O18" s="287"/>
    </row>
    <row r="19" spans="1:15">
      <c r="A19" s="403">
        <v>16</v>
      </c>
      <c r="B19" s="223">
        <v>46176</v>
      </c>
      <c r="C19" s="452" t="s">
        <v>381</v>
      </c>
      <c r="D19" s="452" t="s">
        <v>376</v>
      </c>
      <c r="E19" s="287">
        <v>150</v>
      </c>
      <c r="F19" s="287">
        <v>105.21</v>
      </c>
      <c r="G19" s="287">
        <f>E19*F19</f>
        <v>15781.499999999998</v>
      </c>
      <c r="H19" s="104"/>
      <c r="I19" s="104"/>
      <c r="J19" s="287">
        <f t="shared" si="1"/>
        <v>0</v>
      </c>
      <c r="K19" s="287">
        <f>G19+J19</f>
        <v>15781.499999999998</v>
      </c>
      <c r="L19" s="288"/>
      <c r="M19" s="287">
        <f>M18+L19-K19</f>
        <v>-112391.28339999999</v>
      </c>
      <c r="N19" s="287"/>
      <c r="O19" s="287"/>
    </row>
    <row r="20" spans="1:15">
      <c r="A20" s="17">
        <v>17</v>
      </c>
      <c r="B20" s="223">
        <v>46176</v>
      </c>
      <c r="C20" s="452" t="s">
        <v>382</v>
      </c>
      <c r="D20" s="452" t="s">
        <v>383</v>
      </c>
      <c r="E20" s="287">
        <v>67</v>
      </c>
      <c r="F20" s="287">
        <v>99.88</v>
      </c>
      <c r="G20" s="287">
        <f>E20*F20</f>
        <v>6691.96</v>
      </c>
      <c r="H20" s="104">
        <v>15</v>
      </c>
      <c r="I20" s="104">
        <v>111.79</v>
      </c>
      <c r="J20" s="287">
        <f t="shared" si="1"/>
        <v>1676.8500000000001</v>
      </c>
      <c r="K20" s="287">
        <f>G20+J20</f>
        <v>8368.81</v>
      </c>
      <c r="L20" s="288"/>
      <c r="M20" s="287">
        <f>M19+L20-K20</f>
        <v>-120760.09339999998</v>
      </c>
      <c r="N20" s="287"/>
      <c r="O20" s="287"/>
    </row>
    <row r="21" spans="1:15">
      <c r="A21" s="17">
        <v>18</v>
      </c>
      <c r="B21" s="223">
        <v>46176</v>
      </c>
      <c r="C21" s="452" t="s">
        <v>387</v>
      </c>
      <c r="D21" s="452" t="s">
        <v>376</v>
      </c>
      <c r="E21" s="287">
        <v>42.09</v>
      </c>
      <c r="F21" s="287">
        <v>105.29</v>
      </c>
      <c r="G21" s="287">
        <f>E21*F21</f>
        <v>4431.6561000000011</v>
      </c>
      <c r="H21" s="104"/>
      <c r="I21" s="104"/>
      <c r="J21" s="287">
        <f t="shared" si="1"/>
        <v>0</v>
      </c>
      <c r="K21" s="287">
        <f>G21+J21</f>
        <v>4431.6561000000011</v>
      </c>
      <c r="L21" s="288"/>
      <c r="M21" s="287">
        <f>M20+L21-K21</f>
        <v>-125191.74949999999</v>
      </c>
      <c r="N21" s="287"/>
      <c r="O21" s="287"/>
    </row>
    <row r="22" spans="1:15">
      <c r="A22" s="403">
        <v>19</v>
      </c>
      <c r="B22" s="223">
        <v>46176</v>
      </c>
      <c r="C22" s="452" t="s">
        <v>392</v>
      </c>
      <c r="D22" s="452" t="s">
        <v>48</v>
      </c>
      <c r="E22" s="287">
        <v>41.11</v>
      </c>
      <c r="F22" s="287">
        <v>105.23</v>
      </c>
      <c r="G22" s="287">
        <f>E22*F22</f>
        <v>4326.0052999999998</v>
      </c>
      <c r="H22" s="104"/>
      <c r="I22" s="104"/>
      <c r="J22" s="287">
        <f t="shared" si="1"/>
        <v>0</v>
      </c>
      <c r="K22" s="287">
        <f>G22+J22</f>
        <v>4326.0052999999998</v>
      </c>
      <c r="L22" s="288"/>
      <c r="M22" s="287">
        <f>M21+L22-K22</f>
        <v>-129517.7548</v>
      </c>
      <c r="N22" s="287"/>
      <c r="O22" s="287"/>
    </row>
    <row r="23" spans="1:15">
      <c r="A23" s="17">
        <v>20</v>
      </c>
      <c r="B23" s="223">
        <v>46177</v>
      </c>
      <c r="C23" s="452" t="s">
        <v>393</v>
      </c>
      <c r="D23" s="452" t="s">
        <v>376</v>
      </c>
      <c r="E23" s="287">
        <v>47.42</v>
      </c>
      <c r="F23" s="287">
        <v>104.62</v>
      </c>
      <c r="G23" s="287">
        <f>E23*F23</f>
        <v>4961.0804000000007</v>
      </c>
      <c r="H23" s="104"/>
      <c r="I23" s="104"/>
      <c r="J23" s="287">
        <f t="shared" si="1"/>
        <v>0</v>
      </c>
      <c r="K23" s="287">
        <f>G23+J23</f>
        <v>4961.0804000000007</v>
      </c>
      <c r="L23" s="288"/>
      <c r="M23" s="287">
        <f>M22+L23-K23</f>
        <v>-134478.8352</v>
      </c>
      <c r="N23" s="287"/>
      <c r="O23" s="287"/>
    </row>
    <row r="24" spans="1:15">
      <c r="A24" s="17">
        <v>21</v>
      </c>
      <c r="B24" s="223">
        <v>46177</v>
      </c>
      <c r="C24" s="452" t="s">
        <v>394</v>
      </c>
      <c r="D24" s="452" t="s">
        <v>376</v>
      </c>
      <c r="E24" s="287">
        <v>53.63</v>
      </c>
      <c r="F24" s="287">
        <v>105.35</v>
      </c>
      <c r="G24" s="287">
        <f>E24*F24</f>
        <v>5649.9205000000002</v>
      </c>
      <c r="H24" s="104"/>
      <c r="I24" s="104"/>
      <c r="J24" s="287">
        <f t="shared" si="1"/>
        <v>0</v>
      </c>
      <c r="K24" s="287">
        <f>G24+J24</f>
        <v>5649.9205000000002</v>
      </c>
      <c r="L24" s="288"/>
      <c r="M24" s="287">
        <f>M23+L24-K24</f>
        <v>-140128.75570000001</v>
      </c>
      <c r="N24" s="287"/>
      <c r="O24" s="287"/>
    </row>
    <row r="25" spans="1:15">
      <c r="A25" s="403">
        <v>22</v>
      </c>
      <c r="B25" s="223">
        <v>46177</v>
      </c>
      <c r="C25" s="452" t="s">
        <v>381</v>
      </c>
      <c r="D25" s="452" t="s">
        <v>376</v>
      </c>
      <c r="E25" s="104">
        <v>200</v>
      </c>
      <c r="F25" s="287">
        <v>105.21</v>
      </c>
      <c r="G25" s="287">
        <f>E25*F25</f>
        <v>21042</v>
      </c>
      <c r="H25" s="104"/>
      <c r="I25" s="104"/>
      <c r="J25" s="287">
        <f t="shared" si="1"/>
        <v>0</v>
      </c>
      <c r="K25" s="287">
        <f>G25+J25</f>
        <v>21042</v>
      </c>
      <c r="L25" s="288"/>
      <c r="M25" s="287">
        <f>M24+L25-K25</f>
        <v>-161170.75570000001</v>
      </c>
      <c r="N25" s="287"/>
      <c r="O25" s="287"/>
    </row>
    <row r="26" spans="1:15">
      <c r="A26" s="17">
        <v>23</v>
      </c>
      <c r="B26" s="223">
        <v>46177</v>
      </c>
      <c r="C26" s="452" t="s">
        <v>387</v>
      </c>
      <c r="D26" s="452" t="s">
        <v>376</v>
      </c>
      <c r="E26" s="287"/>
      <c r="F26" s="287"/>
      <c r="G26" s="287">
        <f>E26*F26</f>
        <v>0</v>
      </c>
      <c r="H26" s="104">
        <v>4.8099999999999996</v>
      </c>
      <c r="I26" s="104">
        <v>117.62</v>
      </c>
      <c r="J26" s="287">
        <f t="shared" si="1"/>
        <v>565.75220000000002</v>
      </c>
      <c r="K26" s="287">
        <f>G26+J26</f>
        <v>565.75220000000002</v>
      </c>
      <c r="L26" s="288"/>
      <c r="M26" s="287">
        <f>M25+L26-K26</f>
        <v>-161736.5079</v>
      </c>
      <c r="N26" s="287"/>
      <c r="O26" s="287"/>
    </row>
    <row r="27" spans="1:15">
      <c r="A27" s="17">
        <v>24</v>
      </c>
      <c r="B27" s="223">
        <v>46178</v>
      </c>
      <c r="C27" s="452" t="s">
        <v>382</v>
      </c>
      <c r="D27" s="452" t="s">
        <v>383</v>
      </c>
      <c r="E27" s="287">
        <v>75</v>
      </c>
      <c r="F27" s="287">
        <v>99.88</v>
      </c>
      <c r="G27" s="287">
        <f>E27*F27</f>
        <v>7491</v>
      </c>
      <c r="H27" s="104"/>
      <c r="I27" s="104"/>
      <c r="J27" s="287">
        <f t="shared" si="1"/>
        <v>0</v>
      </c>
      <c r="K27" s="287">
        <f>G27+J27</f>
        <v>7491</v>
      </c>
      <c r="L27" s="288"/>
      <c r="M27" s="287">
        <f>M26+L27-K27</f>
        <v>-169227.5079</v>
      </c>
      <c r="N27" s="287"/>
      <c r="O27" s="287"/>
    </row>
    <row r="28" spans="1:15">
      <c r="A28" s="403">
        <v>25</v>
      </c>
      <c r="B28" s="223">
        <v>46179</v>
      </c>
      <c r="C28" s="452" t="s">
        <v>375</v>
      </c>
      <c r="D28" s="452" t="s">
        <v>376</v>
      </c>
      <c r="E28" s="287"/>
      <c r="F28" s="287"/>
      <c r="G28" s="287">
        <f>E28*F28</f>
        <v>0</v>
      </c>
      <c r="H28" s="104">
        <v>5</v>
      </c>
      <c r="I28" s="104">
        <v>116.99</v>
      </c>
      <c r="J28" s="287">
        <f t="shared" si="1"/>
        <v>584.94999999999993</v>
      </c>
      <c r="K28" s="287">
        <f>G28+J28</f>
        <v>584.94999999999993</v>
      </c>
      <c r="L28" s="288"/>
      <c r="M28" s="287">
        <f>M27+L28-K28</f>
        <v>-169812.45790000001</v>
      </c>
      <c r="N28" s="287"/>
      <c r="O28" s="287"/>
    </row>
    <row r="29" spans="1:15" ht="14.25" customHeight="1">
      <c r="A29" s="17">
        <v>26</v>
      </c>
      <c r="B29" s="223">
        <v>46179</v>
      </c>
      <c r="C29" s="452" t="s">
        <v>389</v>
      </c>
      <c r="D29" s="452" t="s">
        <v>376</v>
      </c>
      <c r="E29" s="287"/>
      <c r="F29" s="287"/>
      <c r="G29" s="287">
        <f>E29*F29</f>
        <v>0</v>
      </c>
      <c r="H29" s="104">
        <v>5</v>
      </c>
      <c r="I29" s="104">
        <v>117.98</v>
      </c>
      <c r="J29" s="287">
        <f t="shared" si="1"/>
        <v>589.9</v>
      </c>
      <c r="K29" s="287">
        <f>G29+J29</f>
        <v>589.9</v>
      </c>
      <c r="L29" s="288"/>
      <c r="M29" s="287">
        <f>M28+L29-K29</f>
        <v>-170402.3579</v>
      </c>
      <c r="N29" s="287"/>
      <c r="O29" s="287"/>
    </row>
    <row r="30" spans="1:15">
      <c r="A30" s="17">
        <v>27</v>
      </c>
      <c r="B30" s="223">
        <v>46179</v>
      </c>
      <c r="C30" s="452" t="s">
        <v>393</v>
      </c>
      <c r="D30" s="452" t="s">
        <v>376</v>
      </c>
      <c r="E30" s="287"/>
      <c r="F30" s="287"/>
      <c r="G30" s="287">
        <f>E30*F30</f>
        <v>0</v>
      </c>
      <c r="H30" s="104">
        <v>5</v>
      </c>
      <c r="I30" s="104">
        <v>116.9</v>
      </c>
      <c r="J30" s="287">
        <f t="shared" si="1"/>
        <v>584.5</v>
      </c>
      <c r="K30" s="287">
        <f>G30+J30</f>
        <v>584.5</v>
      </c>
      <c r="L30" s="288"/>
      <c r="M30" s="287">
        <f>M29+L30-K30</f>
        <v>-170986.8579</v>
      </c>
      <c r="N30" s="287"/>
      <c r="O30" s="287"/>
    </row>
    <row r="31" spans="1:15">
      <c r="A31" s="403">
        <v>28</v>
      </c>
      <c r="B31" s="223">
        <v>46179</v>
      </c>
      <c r="C31" s="452" t="s">
        <v>394</v>
      </c>
      <c r="D31" s="452" t="s">
        <v>376</v>
      </c>
      <c r="E31" s="287">
        <v>50</v>
      </c>
      <c r="F31" s="287">
        <v>105.35</v>
      </c>
      <c r="G31" s="287">
        <f>E31*F31</f>
        <v>5267.5</v>
      </c>
      <c r="H31" s="104"/>
      <c r="I31" s="104"/>
      <c r="J31" s="287">
        <f t="shared" si="1"/>
        <v>0</v>
      </c>
      <c r="K31" s="287">
        <f>G31+J31</f>
        <v>5267.5</v>
      </c>
      <c r="L31" s="288"/>
      <c r="M31" s="287">
        <f>M30+L31-K31</f>
        <v>-176254.3579</v>
      </c>
      <c r="N31" s="287"/>
      <c r="O31" s="287"/>
    </row>
    <row r="32" spans="1:15">
      <c r="A32" s="17">
        <v>29</v>
      </c>
      <c r="B32" s="223">
        <v>46179</v>
      </c>
      <c r="C32" s="452" t="s">
        <v>380</v>
      </c>
      <c r="D32" s="452" t="s">
        <v>40</v>
      </c>
      <c r="E32" s="104"/>
      <c r="F32" s="104"/>
      <c r="G32" s="287">
        <f>E32*F32</f>
        <v>0</v>
      </c>
      <c r="H32" s="104">
        <v>4.42</v>
      </c>
      <c r="I32" s="104">
        <v>115.69</v>
      </c>
      <c r="J32" s="287">
        <f t="shared" si="1"/>
        <v>511.34979999999996</v>
      </c>
      <c r="K32" s="287">
        <f>G32+J32</f>
        <v>511.34979999999996</v>
      </c>
      <c r="L32" s="288"/>
      <c r="M32" s="287">
        <f>M31+L32-K32</f>
        <v>-176765.7077</v>
      </c>
      <c r="N32" s="287"/>
      <c r="O32" s="287"/>
    </row>
    <row r="33" spans="1:16">
      <c r="A33" s="17">
        <v>30</v>
      </c>
      <c r="B33" s="223">
        <v>46179</v>
      </c>
      <c r="C33" s="452" t="s">
        <v>381</v>
      </c>
      <c r="D33" s="452" t="s">
        <v>376</v>
      </c>
      <c r="E33" s="104">
        <v>160.02000000000001</v>
      </c>
      <c r="F33" s="104">
        <v>105.21</v>
      </c>
      <c r="G33" s="287">
        <f>E33*F33</f>
        <v>16835.7042</v>
      </c>
      <c r="H33" s="104">
        <v>4</v>
      </c>
      <c r="I33" s="104">
        <v>117.58</v>
      </c>
      <c r="J33" s="287">
        <f t="shared" si="1"/>
        <v>470.32</v>
      </c>
      <c r="K33" s="287">
        <f>G33+J33</f>
        <v>17306.0242</v>
      </c>
      <c r="L33" s="288"/>
      <c r="M33" s="287">
        <f>M32+L33-K33</f>
        <v>-194071.73190000001</v>
      </c>
      <c r="N33" s="287"/>
      <c r="O33" s="287"/>
    </row>
    <row r="34" spans="1:16">
      <c r="A34" s="403">
        <v>31</v>
      </c>
      <c r="B34" s="223">
        <v>46179</v>
      </c>
      <c r="C34" s="452" t="s">
        <v>386</v>
      </c>
      <c r="D34" s="452" t="s">
        <v>376</v>
      </c>
      <c r="E34" s="104">
        <v>28.41</v>
      </c>
      <c r="F34" s="104">
        <v>105.59</v>
      </c>
      <c r="G34" s="287">
        <f>E34*F34</f>
        <v>2999.8119000000002</v>
      </c>
      <c r="H34" s="104">
        <v>4</v>
      </c>
      <c r="I34" s="104">
        <v>117.98</v>
      </c>
      <c r="J34" s="287">
        <f t="shared" si="1"/>
        <v>471.92</v>
      </c>
      <c r="K34" s="287">
        <f>G34+J34</f>
        <v>3471.7319000000002</v>
      </c>
      <c r="L34" s="288"/>
      <c r="M34" s="287">
        <f>M33+L34-K34</f>
        <v>-197543.46380000003</v>
      </c>
      <c r="N34" s="287"/>
      <c r="O34" s="287"/>
    </row>
    <row r="35" spans="1:16">
      <c r="A35" s="17">
        <v>32</v>
      </c>
      <c r="B35" s="223">
        <v>46179</v>
      </c>
      <c r="C35" s="452" t="s">
        <v>395</v>
      </c>
      <c r="D35" s="452" t="s">
        <v>383</v>
      </c>
      <c r="E35" s="104">
        <v>40</v>
      </c>
      <c r="F35" s="104">
        <v>99.87</v>
      </c>
      <c r="G35" s="287">
        <f>E35*F35</f>
        <v>3994.8</v>
      </c>
      <c r="H35" s="104"/>
      <c r="I35" s="104"/>
      <c r="J35" s="287">
        <f t="shared" si="1"/>
        <v>0</v>
      </c>
      <c r="K35" s="287">
        <f>G35+J35</f>
        <v>3994.8</v>
      </c>
      <c r="L35" s="288"/>
      <c r="M35" s="287">
        <f>M34+L35-K35</f>
        <v>-201538.26380000002</v>
      </c>
      <c r="N35" s="287"/>
      <c r="O35" s="287"/>
    </row>
    <row r="36" spans="1:16">
      <c r="A36" s="17">
        <v>33</v>
      </c>
      <c r="B36" s="223">
        <v>46180</v>
      </c>
      <c r="C36" s="452" t="s">
        <v>375</v>
      </c>
      <c r="D36" s="452" t="s">
        <v>376</v>
      </c>
      <c r="E36" s="287">
        <v>100</v>
      </c>
      <c r="F36" s="287">
        <v>104.7</v>
      </c>
      <c r="G36" s="287">
        <f>E36*F36</f>
        <v>10470</v>
      </c>
      <c r="H36" s="104"/>
      <c r="I36" s="104"/>
      <c r="J36" s="287">
        <f t="shared" si="1"/>
        <v>0</v>
      </c>
      <c r="K36" s="287">
        <f>G36+J36</f>
        <v>10470</v>
      </c>
      <c r="L36" s="288"/>
      <c r="M36" s="287">
        <f>M35+L36-K36</f>
        <v>-212008.26380000002</v>
      </c>
      <c r="N36" s="287"/>
      <c r="O36" s="287"/>
    </row>
    <row r="37" spans="1:16">
      <c r="A37" s="403">
        <v>34</v>
      </c>
      <c r="B37" s="223">
        <v>46180</v>
      </c>
      <c r="C37" s="452" t="s">
        <v>389</v>
      </c>
      <c r="D37" s="452" t="s">
        <v>376</v>
      </c>
      <c r="E37" s="287"/>
      <c r="F37" s="287"/>
      <c r="G37" s="287">
        <f>E37*F37</f>
        <v>0</v>
      </c>
      <c r="H37" s="104">
        <v>5</v>
      </c>
      <c r="I37" s="104">
        <v>117.98</v>
      </c>
      <c r="J37" s="287">
        <f t="shared" si="1"/>
        <v>589.9</v>
      </c>
      <c r="K37" s="287">
        <f>G37+J37</f>
        <v>589.9</v>
      </c>
      <c r="L37" s="288"/>
      <c r="M37" s="287">
        <f>M36+L37-K37</f>
        <v>-212598.16380000001</v>
      </c>
      <c r="N37" s="287"/>
      <c r="O37" s="287"/>
    </row>
    <row r="38" spans="1:16">
      <c r="A38" s="17">
        <v>35</v>
      </c>
      <c r="B38" s="223">
        <v>46180</v>
      </c>
      <c r="C38" s="452" t="s">
        <v>381</v>
      </c>
      <c r="D38" s="452" t="s">
        <v>376</v>
      </c>
      <c r="E38" s="104">
        <v>81.78</v>
      </c>
      <c r="F38" s="104">
        <v>105.21</v>
      </c>
      <c r="G38" s="287">
        <f>E38*F38</f>
        <v>8604.0738000000001</v>
      </c>
      <c r="H38" s="104"/>
      <c r="I38" s="104"/>
      <c r="J38" s="287">
        <f t="shared" si="1"/>
        <v>0</v>
      </c>
      <c r="K38" s="287">
        <f>G38+J38</f>
        <v>8604.0738000000001</v>
      </c>
      <c r="L38" s="288"/>
      <c r="M38" s="287">
        <f>M37+L38-K38</f>
        <v>-221202.23760000002</v>
      </c>
      <c r="N38" s="287"/>
      <c r="O38" s="287"/>
    </row>
    <row r="39" spans="1:16">
      <c r="A39" s="17">
        <v>36</v>
      </c>
      <c r="B39" s="223">
        <v>46180</v>
      </c>
      <c r="C39" s="452" t="s">
        <v>386</v>
      </c>
      <c r="D39" s="452" t="s">
        <v>376</v>
      </c>
      <c r="E39" s="104"/>
      <c r="F39" s="104"/>
      <c r="G39" s="287">
        <f>E39*F39</f>
        <v>0</v>
      </c>
      <c r="H39" s="104">
        <v>5</v>
      </c>
      <c r="I39" s="104">
        <v>117.98</v>
      </c>
      <c r="J39" s="287">
        <f t="shared" si="1"/>
        <v>589.9</v>
      </c>
      <c r="K39" s="287">
        <f>G39+J39</f>
        <v>589.9</v>
      </c>
      <c r="L39" s="288"/>
      <c r="M39" s="287">
        <f>M38+L39-K39</f>
        <v>-221792.13760000002</v>
      </c>
      <c r="N39" s="287"/>
      <c r="O39" s="287"/>
    </row>
    <row r="40" spans="1:16">
      <c r="A40" s="403">
        <v>37</v>
      </c>
      <c r="B40" s="223">
        <v>46181</v>
      </c>
      <c r="C40" s="452" t="s">
        <v>396</v>
      </c>
      <c r="D40" s="452" t="s">
        <v>48</v>
      </c>
      <c r="E40" s="104">
        <v>53.45</v>
      </c>
      <c r="F40" s="104">
        <v>103.95</v>
      </c>
      <c r="G40" s="287">
        <f>E40*F40</f>
        <v>5556.1275000000005</v>
      </c>
      <c r="H40" s="104"/>
      <c r="I40" s="104"/>
      <c r="J40" s="287">
        <f t="shared" si="1"/>
        <v>0</v>
      </c>
      <c r="K40" s="287">
        <f>G40+J40</f>
        <v>5556.1275000000005</v>
      </c>
      <c r="L40" s="288"/>
      <c r="M40" s="287">
        <f>M39+L40-K40</f>
        <v>-227348.26510000002</v>
      </c>
      <c r="N40" s="287"/>
      <c r="O40" s="287"/>
    </row>
    <row r="41" spans="1:16">
      <c r="A41" s="17">
        <v>38</v>
      </c>
      <c r="B41" s="223">
        <v>46181</v>
      </c>
      <c r="C41" s="452" t="s">
        <v>397</v>
      </c>
      <c r="D41" s="452" t="s">
        <v>376</v>
      </c>
      <c r="E41" s="104">
        <v>46.47</v>
      </c>
      <c r="F41" s="104">
        <v>104.62</v>
      </c>
      <c r="G41" s="287">
        <f>E41*F41</f>
        <v>4861.6913999999997</v>
      </c>
      <c r="H41" s="104"/>
      <c r="I41" s="104"/>
      <c r="J41" s="287">
        <f t="shared" si="1"/>
        <v>0</v>
      </c>
      <c r="K41" s="287">
        <f>G41+J41</f>
        <v>4861.6913999999997</v>
      </c>
      <c r="L41" s="288"/>
      <c r="M41" s="287">
        <f>M40+L41-K41</f>
        <v>-232209.95650000003</v>
      </c>
      <c r="N41" s="287"/>
      <c r="O41" s="287"/>
    </row>
    <row r="42" spans="1:16">
      <c r="A42" s="17">
        <v>39</v>
      </c>
      <c r="B42" s="223">
        <v>46181</v>
      </c>
      <c r="C42" s="388" t="s">
        <v>381</v>
      </c>
      <c r="D42" s="388" t="s">
        <v>376</v>
      </c>
      <c r="E42" s="287">
        <v>210</v>
      </c>
      <c r="F42" s="287">
        <v>105.21</v>
      </c>
      <c r="G42" s="287">
        <f>E42*F42</f>
        <v>22094.1</v>
      </c>
      <c r="H42" s="104"/>
      <c r="I42" s="104"/>
      <c r="J42" s="287">
        <f t="shared" si="1"/>
        <v>0</v>
      </c>
      <c r="K42" s="287">
        <f>G42+J42</f>
        <v>22094.1</v>
      </c>
      <c r="L42" s="288"/>
      <c r="M42" s="287">
        <f>M41+L42-K42</f>
        <v>-254304.05650000004</v>
      </c>
      <c r="N42" s="287"/>
      <c r="O42" s="287"/>
    </row>
    <row r="43" spans="1:16">
      <c r="A43" s="403">
        <v>40</v>
      </c>
      <c r="B43" s="464">
        <v>46181</v>
      </c>
      <c r="C43" s="388" t="s">
        <v>382</v>
      </c>
      <c r="D43" s="388" t="s">
        <v>383</v>
      </c>
      <c r="E43" s="287">
        <v>61.41</v>
      </c>
      <c r="F43" s="287">
        <v>99.88</v>
      </c>
      <c r="G43" s="287">
        <f>E43*F43</f>
        <v>6133.630799999999</v>
      </c>
      <c r="H43" s="104"/>
      <c r="I43" s="104"/>
      <c r="J43" s="287">
        <f t="shared" si="1"/>
        <v>0</v>
      </c>
      <c r="K43" s="287">
        <f>G43+J43</f>
        <v>6133.630799999999</v>
      </c>
      <c r="L43" s="288"/>
      <c r="M43" s="287">
        <f>M42+L43-K43</f>
        <v>-260437.68730000005</v>
      </c>
      <c r="N43" s="287"/>
      <c r="O43" s="287"/>
    </row>
    <row r="44" spans="1:16">
      <c r="A44" s="97">
        <v>41</v>
      </c>
      <c r="B44" s="223">
        <v>46181</v>
      </c>
      <c r="C44" s="388" t="s">
        <v>386</v>
      </c>
      <c r="D44" s="388" t="s">
        <v>376</v>
      </c>
      <c r="E44" s="459">
        <v>38.26</v>
      </c>
      <c r="F44" s="457">
        <v>105.59</v>
      </c>
      <c r="G44" s="287">
        <f>E44*F44</f>
        <v>4039.8733999999999</v>
      </c>
      <c r="H44" s="104"/>
      <c r="I44" s="104"/>
      <c r="J44" s="287">
        <f t="shared" si="1"/>
        <v>0</v>
      </c>
      <c r="K44" s="287">
        <f>G44+J44</f>
        <v>4039.8733999999999</v>
      </c>
      <c r="L44" s="288"/>
      <c r="M44" s="287">
        <f>M43+L44-K44</f>
        <v>-264477.56070000003</v>
      </c>
      <c r="N44" s="287"/>
      <c r="O44" s="287">
        <v>564582.48</v>
      </c>
      <c r="P44" s="387">
        <f>O44-M44</f>
        <v>829060.04070000001</v>
      </c>
    </row>
    <row r="45" spans="1:16">
      <c r="A45" s="97">
        <v>42</v>
      </c>
      <c r="B45" s="223">
        <v>46181</v>
      </c>
      <c r="C45" s="388" t="s">
        <v>387</v>
      </c>
      <c r="D45" s="388" t="s">
        <v>376</v>
      </c>
      <c r="E45" s="460">
        <v>45</v>
      </c>
      <c r="F45" s="104">
        <v>105.29</v>
      </c>
      <c r="G45" s="287">
        <f>E45*F45</f>
        <v>4738.05</v>
      </c>
      <c r="H45" s="104"/>
      <c r="I45" s="104"/>
      <c r="J45" s="287">
        <f t="shared" si="1"/>
        <v>0</v>
      </c>
      <c r="K45" s="287">
        <f>G45+J45</f>
        <v>4738.05</v>
      </c>
      <c r="L45" s="288"/>
      <c r="M45" s="287">
        <f>M44+L45-K45</f>
        <v>-269215.61070000002</v>
      </c>
      <c r="N45" s="287"/>
      <c r="O45" s="287"/>
    </row>
    <row r="46" spans="1:16">
      <c r="A46" s="302">
        <v>43</v>
      </c>
      <c r="B46" s="223">
        <v>46181</v>
      </c>
      <c r="C46" s="388" t="s">
        <v>398</v>
      </c>
      <c r="D46" s="388" t="s">
        <v>53</v>
      </c>
      <c r="E46" s="306">
        <v>45</v>
      </c>
      <c r="F46" s="394">
        <v>99.45</v>
      </c>
      <c r="G46" s="287">
        <f>E46*F46</f>
        <v>4475.25</v>
      </c>
      <c r="H46" s="456"/>
      <c r="I46" s="104"/>
      <c r="J46" s="287">
        <f t="shared" si="1"/>
        <v>0</v>
      </c>
      <c r="K46" s="287">
        <f>G46+J46</f>
        <v>4475.25</v>
      </c>
      <c r="L46" s="288"/>
      <c r="M46" s="287">
        <f>M45+L46-K46</f>
        <v>-273690.86070000002</v>
      </c>
      <c r="N46" s="287">
        <v>458115.19</v>
      </c>
      <c r="O46" s="287">
        <f>N46-M46</f>
        <v>731806.05070000002</v>
      </c>
    </row>
    <row r="47" spans="1:16">
      <c r="A47" s="97">
        <v>44</v>
      </c>
      <c r="B47" s="223">
        <v>46182</v>
      </c>
      <c r="C47" s="388" t="s">
        <v>399</v>
      </c>
      <c r="D47" s="388" t="s">
        <v>40</v>
      </c>
      <c r="E47" s="378"/>
      <c r="F47" s="457"/>
      <c r="G47" s="287">
        <f>E47*F47</f>
        <v>0</v>
      </c>
      <c r="H47" s="104">
        <v>3.03</v>
      </c>
      <c r="I47" s="394">
        <v>115.69</v>
      </c>
      <c r="J47" s="287">
        <f t="shared" si="1"/>
        <v>350.54069999999996</v>
      </c>
      <c r="K47" s="287">
        <f>G47+J47</f>
        <v>350.54069999999996</v>
      </c>
      <c r="L47" s="288"/>
      <c r="M47" s="287">
        <f>M46+L47-K47</f>
        <v>-274041.40140000003</v>
      </c>
      <c r="N47" s="287"/>
      <c r="O47" s="287"/>
    </row>
    <row r="48" spans="1:16">
      <c r="A48" s="97">
        <v>45</v>
      </c>
      <c r="B48" s="223">
        <v>46182</v>
      </c>
      <c r="C48" s="388" t="s">
        <v>394</v>
      </c>
      <c r="D48" s="388" t="s">
        <v>376</v>
      </c>
      <c r="E48" s="460">
        <v>48.25</v>
      </c>
      <c r="F48" s="104">
        <v>105.35</v>
      </c>
      <c r="G48" s="287">
        <f>E48*F48</f>
        <v>5083.1374999999998</v>
      </c>
      <c r="H48" s="303">
        <v>5</v>
      </c>
      <c r="I48" s="104">
        <v>117.72</v>
      </c>
      <c r="J48" s="287">
        <f t="shared" si="1"/>
        <v>588.6</v>
      </c>
      <c r="K48" s="287">
        <f>G48+J48</f>
        <v>5671.7375000000002</v>
      </c>
      <c r="L48" s="288"/>
      <c r="M48" s="287">
        <f>M47+L48-K48</f>
        <v>-279713.13890000002</v>
      </c>
      <c r="N48" s="287"/>
      <c r="O48" s="287"/>
    </row>
    <row r="49" spans="1:15">
      <c r="A49" s="302">
        <v>46</v>
      </c>
      <c r="B49" s="223">
        <v>46182</v>
      </c>
      <c r="C49" s="388" t="s">
        <v>381</v>
      </c>
      <c r="D49" s="388" t="s">
        <v>376</v>
      </c>
      <c r="E49" s="306">
        <v>50</v>
      </c>
      <c r="F49" s="394">
        <v>105.21</v>
      </c>
      <c r="G49" s="287">
        <f>E49*F49</f>
        <v>5260.5</v>
      </c>
      <c r="H49" s="224">
        <v>5</v>
      </c>
      <c r="I49" s="104">
        <v>117.58</v>
      </c>
      <c r="J49" s="287">
        <f t="shared" si="1"/>
        <v>587.9</v>
      </c>
      <c r="K49" s="287">
        <f>G49+J49</f>
        <v>5848.4</v>
      </c>
      <c r="L49" s="288"/>
      <c r="M49" s="287">
        <f>M48+L49-K49</f>
        <v>-285561.53890000004</v>
      </c>
      <c r="N49" s="287"/>
      <c r="O49" s="287"/>
    </row>
    <row r="50" spans="1:15">
      <c r="A50" s="97">
        <v>47</v>
      </c>
      <c r="B50" s="223">
        <v>46182</v>
      </c>
      <c r="C50" s="388" t="s">
        <v>388</v>
      </c>
      <c r="D50" s="388" t="s">
        <v>51</v>
      </c>
      <c r="E50" s="319">
        <v>49</v>
      </c>
      <c r="F50" s="104">
        <v>99.9</v>
      </c>
      <c r="G50" s="287">
        <f>E50*F50</f>
        <v>4895.1000000000004</v>
      </c>
      <c r="H50" s="44"/>
      <c r="I50" s="394"/>
      <c r="J50" s="287">
        <f t="shared" si="1"/>
        <v>0</v>
      </c>
      <c r="K50" s="287">
        <f>G50+J50</f>
        <v>4895.1000000000004</v>
      </c>
      <c r="L50" s="288"/>
      <c r="M50" s="287">
        <f>M49+L50-K50</f>
        <v>-290456.63890000002</v>
      </c>
      <c r="N50" s="287"/>
      <c r="O50" s="287"/>
    </row>
    <row r="51" spans="1:15">
      <c r="A51" s="97">
        <v>48</v>
      </c>
      <c r="B51" s="223">
        <v>46183</v>
      </c>
      <c r="C51" s="388" t="s">
        <v>389</v>
      </c>
      <c r="D51" s="388" t="s">
        <v>376</v>
      </c>
      <c r="E51" s="306"/>
      <c r="F51" s="394"/>
      <c r="G51" s="287">
        <f>E51*F51</f>
        <v>0</v>
      </c>
      <c r="H51" s="465">
        <v>8.48</v>
      </c>
      <c r="I51" s="104">
        <v>117.98</v>
      </c>
      <c r="J51" s="287">
        <f t="shared" si="1"/>
        <v>1000.4704</v>
      </c>
      <c r="K51" s="287">
        <f>G51+J51</f>
        <v>1000.4704</v>
      </c>
      <c r="L51" s="288"/>
      <c r="M51" s="287">
        <f>M50+L51-K51</f>
        <v>-291457.10930000001</v>
      </c>
      <c r="N51" s="287"/>
      <c r="O51" s="287"/>
    </row>
    <row r="52" spans="1:15">
      <c r="A52" s="302">
        <v>49</v>
      </c>
      <c r="B52" s="223">
        <v>46183</v>
      </c>
      <c r="C52" s="388" t="s">
        <v>394</v>
      </c>
      <c r="D52" s="388" t="s">
        <v>376</v>
      </c>
      <c r="E52" s="306">
        <v>34.11</v>
      </c>
      <c r="F52" s="104">
        <v>105.35</v>
      </c>
      <c r="G52" s="287">
        <f>E52*F52</f>
        <v>3593.4884999999999</v>
      </c>
      <c r="H52" s="104"/>
      <c r="I52" s="394"/>
      <c r="J52" s="287">
        <f t="shared" si="1"/>
        <v>0</v>
      </c>
      <c r="K52" s="287">
        <f>G52+J52</f>
        <v>3593.4884999999999</v>
      </c>
      <c r="L52" s="288"/>
      <c r="M52" s="287">
        <f>M51+L52-K52</f>
        <v>-295050.59779999999</v>
      </c>
      <c r="N52" s="287"/>
      <c r="O52" s="287"/>
    </row>
    <row r="53" spans="1:15">
      <c r="A53" s="97">
        <v>50</v>
      </c>
      <c r="B53" s="223">
        <v>46183</v>
      </c>
      <c r="C53" s="388" t="s">
        <v>381</v>
      </c>
      <c r="D53" s="388" t="s">
        <v>376</v>
      </c>
      <c r="E53" s="306">
        <v>297.27999999999997</v>
      </c>
      <c r="F53" s="394">
        <v>105.21</v>
      </c>
      <c r="G53" s="287">
        <f>E53*F53</f>
        <v>31276.828799999996</v>
      </c>
      <c r="H53" s="303"/>
      <c r="I53" s="104"/>
      <c r="J53" s="287">
        <f t="shared" si="1"/>
        <v>0</v>
      </c>
      <c r="K53" s="287">
        <f>G53+J53</f>
        <v>31276.828799999996</v>
      </c>
      <c r="L53" s="288"/>
      <c r="M53" s="287">
        <f>M52+L53-K53</f>
        <v>-326327.42660000001</v>
      </c>
      <c r="N53" s="287"/>
      <c r="O53" s="287"/>
    </row>
    <row r="54" spans="1:15">
      <c r="A54" s="97">
        <v>51</v>
      </c>
      <c r="B54" s="223">
        <v>46183</v>
      </c>
      <c r="C54" s="388" t="s">
        <v>382</v>
      </c>
      <c r="D54" s="388" t="s">
        <v>383</v>
      </c>
      <c r="E54" s="459">
        <v>70</v>
      </c>
      <c r="F54" s="394">
        <v>99.88</v>
      </c>
      <c r="G54" s="287">
        <f>E54*F54</f>
        <v>6991.5999999999995</v>
      </c>
      <c r="H54" s="456"/>
      <c r="I54" s="456"/>
      <c r="J54" s="457">
        <f t="shared" si="1"/>
        <v>0</v>
      </c>
      <c r="K54" s="287">
        <f>G54+J54</f>
        <v>6991.5999999999995</v>
      </c>
      <c r="L54" s="288"/>
      <c r="M54" s="287">
        <f>M53+L54-K54</f>
        <v>-333319.02659999998</v>
      </c>
      <c r="N54" s="287"/>
      <c r="O54" s="287"/>
    </row>
    <row r="55" spans="1:15">
      <c r="A55" s="467">
        <v>52</v>
      </c>
      <c r="B55" s="468">
        <v>46183</v>
      </c>
      <c r="C55" s="388" t="s">
        <v>387</v>
      </c>
      <c r="D55" s="388" t="s">
        <v>376</v>
      </c>
      <c r="E55" s="104"/>
      <c r="F55" s="104"/>
      <c r="G55" s="287">
        <f>E55*F55</f>
        <v>0</v>
      </c>
      <c r="H55" s="104">
        <v>6.04</v>
      </c>
      <c r="I55" s="104">
        <v>117.62</v>
      </c>
      <c r="J55" s="287">
        <f t="shared" si="1"/>
        <v>710.4248</v>
      </c>
      <c r="K55" s="287">
        <f>G55+J55</f>
        <v>710.4248</v>
      </c>
      <c r="L55" s="471"/>
      <c r="M55" s="287">
        <f>M54+L55-K55</f>
        <v>-334029.45139999996</v>
      </c>
      <c r="N55" s="287"/>
      <c r="O55" s="287"/>
    </row>
    <row r="56" spans="1:15">
      <c r="A56" s="17">
        <v>53</v>
      </c>
      <c r="B56" s="469">
        <v>46183</v>
      </c>
      <c r="C56" s="388" t="s">
        <v>400</v>
      </c>
      <c r="D56" s="388" t="s">
        <v>376</v>
      </c>
      <c r="E56" s="104">
        <v>42.81</v>
      </c>
      <c r="F56" s="104">
        <v>105.16</v>
      </c>
      <c r="G56" s="287">
        <f>E56*F56</f>
        <v>4501.8995999999997</v>
      </c>
      <c r="H56" s="104"/>
      <c r="I56" s="104"/>
      <c r="J56" s="287">
        <f t="shared" si="1"/>
        <v>0</v>
      </c>
      <c r="K56" s="287">
        <f>G56+J56</f>
        <v>4501.8995999999997</v>
      </c>
      <c r="L56" s="472"/>
      <c r="M56" s="289">
        <f>M55+L56-K56</f>
        <v>-338531.35099999997</v>
      </c>
      <c r="N56" s="287"/>
      <c r="O56" s="287"/>
    </row>
    <row r="57" spans="1:15" ht="15" customHeight="1">
      <c r="A57" s="17">
        <v>54</v>
      </c>
      <c r="B57" s="469">
        <v>46184</v>
      </c>
      <c r="C57" s="388" t="s">
        <v>393</v>
      </c>
      <c r="D57" s="388" t="s">
        <v>376</v>
      </c>
      <c r="E57" s="104"/>
      <c r="F57" s="104"/>
      <c r="G57" s="287">
        <f>E57*F57</f>
        <v>0</v>
      </c>
      <c r="H57" s="104">
        <v>5</v>
      </c>
      <c r="I57" s="104">
        <v>116.9</v>
      </c>
      <c r="J57" s="287">
        <f t="shared" si="1"/>
        <v>584.5</v>
      </c>
      <c r="K57" s="287">
        <f>G57+J57</f>
        <v>584.5</v>
      </c>
      <c r="L57" s="472"/>
      <c r="M57" s="289">
        <f>M56+L57-K57</f>
        <v>-339115.85099999997</v>
      </c>
      <c r="N57" s="287"/>
      <c r="O57" s="287"/>
    </row>
    <row r="58" spans="1:15" ht="15" customHeight="1">
      <c r="A58" s="17">
        <v>55</v>
      </c>
      <c r="B58" s="469">
        <v>46184</v>
      </c>
      <c r="C58" s="388" t="s">
        <v>394</v>
      </c>
      <c r="D58" s="388" t="s">
        <v>376</v>
      </c>
      <c r="E58" s="104">
        <v>44.62</v>
      </c>
      <c r="F58" s="104">
        <v>105.35</v>
      </c>
      <c r="G58" s="287">
        <f>E58*F58</f>
        <v>4700.7169999999996</v>
      </c>
      <c r="H58" s="104">
        <v>5</v>
      </c>
      <c r="I58" s="104">
        <v>117.72</v>
      </c>
      <c r="J58" s="287">
        <f t="shared" si="1"/>
        <v>588.6</v>
      </c>
      <c r="K58" s="287">
        <f>G58+J58</f>
        <v>5289.317</v>
      </c>
      <c r="L58" s="472"/>
      <c r="M58" s="289">
        <f>M57+L58-K58</f>
        <v>-344405.16799999995</v>
      </c>
      <c r="N58" s="287"/>
      <c r="O58" s="287"/>
    </row>
    <row r="59" spans="1:15" ht="15" customHeight="1">
      <c r="A59" s="17">
        <v>56</v>
      </c>
      <c r="B59" s="469">
        <v>46184</v>
      </c>
      <c r="C59" s="388" t="s">
        <v>381</v>
      </c>
      <c r="D59" s="388" t="s">
        <v>376</v>
      </c>
      <c r="E59" s="104">
        <v>70</v>
      </c>
      <c r="F59" s="104">
        <v>105.21</v>
      </c>
      <c r="G59" s="287">
        <f>E59*F59</f>
        <v>7364.7</v>
      </c>
      <c r="H59" s="104"/>
      <c r="I59" s="104"/>
      <c r="J59" s="287">
        <f t="shared" si="1"/>
        <v>0</v>
      </c>
      <c r="K59" s="287">
        <f>G59+J59</f>
        <v>7364.7</v>
      </c>
      <c r="L59" s="472"/>
      <c r="M59" s="289">
        <f>M58+L59-K59</f>
        <v>-351769.86799999996</v>
      </c>
      <c r="N59" s="287"/>
      <c r="O59" s="287"/>
    </row>
    <row r="60" spans="1:15" ht="15" customHeight="1">
      <c r="A60" s="17">
        <v>57</v>
      </c>
      <c r="B60" s="469">
        <v>46184</v>
      </c>
      <c r="C60" s="388" t="s">
        <v>382</v>
      </c>
      <c r="D60" s="388" t="s">
        <v>383</v>
      </c>
      <c r="E60" s="104">
        <v>150</v>
      </c>
      <c r="F60" s="104">
        <v>99.88</v>
      </c>
      <c r="G60" s="287">
        <f>E60*F60</f>
        <v>14982</v>
      </c>
      <c r="H60" s="104"/>
      <c r="I60" s="104"/>
      <c r="J60" s="287">
        <f t="shared" si="1"/>
        <v>0</v>
      </c>
      <c r="K60" s="287">
        <f>G60+J60</f>
        <v>14982</v>
      </c>
      <c r="L60" s="472"/>
      <c r="M60" s="289">
        <f>M59+L60-K60</f>
        <v>-366751.86799999996</v>
      </c>
      <c r="N60" s="287"/>
      <c r="O60" s="287"/>
    </row>
    <row r="61" spans="1:15" ht="15" customHeight="1">
      <c r="A61" s="17">
        <v>58</v>
      </c>
      <c r="B61" s="469">
        <v>46184</v>
      </c>
      <c r="C61" s="388" t="s">
        <v>401</v>
      </c>
      <c r="D61" s="388" t="s">
        <v>376</v>
      </c>
      <c r="E61" s="104"/>
      <c r="F61" s="104"/>
      <c r="G61" s="287">
        <f>E61*F61</f>
        <v>0</v>
      </c>
      <c r="H61" s="104">
        <v>7</v>
      </c>
      <c r="I61" s="104">
        <v>117.06</v>
      </c>
      <c r="J61" s="287">
        <f t="shared" si="1"/>
        <v>819.42000000000007</v>
      </c>
      <c r="K61" s="287">
        <f>G61+J61</f>
        <v>819.42000000000007</v>
      </c>
      <c r="L61" s="472"/>
      <c r="M61" s="289">
        <f>M60+L61-K61</f>
        <v>-367571.28799999994</v>
      </c>
      <c r="N61" s="287"/>
      <c r="O61" s="287"/>
    </row>
    <row r="62" spans="1:15" ht="15" customHeight="1">
      <c r="A62" s="17">
        <v>59</v>
      </c>
      <c r="B62" s="469">
        <v>46184</v>
      </c>
      <c r="C62" s="388" t="s">
        <v>386</v>
      </c>
      <c r="D62" s="388" t="s">
        <v>376</v>
      </c>
      <c r="E62" s="104"/>
      <c r="F62" s="104"/>
      <c r="G62" s="287">
        <f>E62*F62</f>
        <v>0</v>
      </c>
      <c r="H62" s="104">
        <v>5</v>
      </c>
      <c r="I62" s="104">
        <v>117.98</v>
      </c>
      <c r="J62" s="287">
        <f t="shared" si="1"/>
        <v>589.9</v>
      </c>
      <c r="K62" s="287">
        <f>G62+J62</f>
        <v>589.9</v>
      </c>
      <c r="L62" s="472"/>
      <c r="M62" s="289">
        <f>M61+L62-K62</f>
        <v>-368161.18799999997</v>
      </c>
      <c r="N62" s="287"/>
      <c r="O62" s="287"/>
    </row>
    <row r="63" spans="1:15">
      <c r="A63" s="403">
        <v>60</v>
      </c>
      <c r="B63" s="469"/>
      <c r="C63" s="104"/>
      <c r="D63" s="104"/>
      <c r="E63" s="287"/>
      <c r="F63" s="104"/>
      <c r="G63" s="287">
        <f>E63*F63</f>
        <v>0</v>
      </c>
      <c r="H63" s="104"/>
      <c r="I63" s="104"/>
      <c r="J63" s="287">
        <f t="shared" si="1"/>
        <v>0</v>
      </c>
      <c r="K63" s="287">
        <f>G63+J63</f>
        <v>0</v>
      </c>
      <c r="L63" s="472"/>
      <c r="M63" s="289">
        <f>M62+L63-K63</f>
        <v>-368161.18799999997</v>
      </c>
      <c r="N63" s="287"/>
      <c r="O63" s="287"/>
    </row>
    <row r="64" spans="1:15">
      <c r="A64" s="405">
        <v>61</v>
      </c>
      <c r="B64" s="470"/>
      <c r="C64" s="104"/>
      <c r="D64" s="104"/>
      <c r="E64" s="287"/>
      <c r="F64" s="104"/>
      <c r="G64" s="287">
        <f>E64*F64</f>
        <v>0</v>
      </c>
      <c r="H64" s="104"/>
      <c r="I64" s="104"/>
      <c r="J64" s="287">
        <f t="shared" si="1"/>
        <v>0</v>
      </c>
      <c r="K64" s="287">
        <f>G64+J64</f>
        <v>0</v>
      </c>
      <c r="L64" s="473"/>
      <c r="M64" s="289">
        <f>M63+L64-K64</f>
        <v>-368161.18799999997</v>
      </c>
      <c r="N64" s="287"/>
      <c r="O64" s="287"/>
    </row>
    <row r="65" spans="1:15">
      <c r="A65" s="97">
        <v>62</v>
      </c>
      <c r="B65" s="469"/>
      <c r="C65" s="104"/>
      <c r="D65" s="104"/>
      <c r="E65" s="104"/>
      <c r="F65" s="104"/>
      <c r="G65" s="287">
        <f>E65*F65</f>
        <v>0</v>
      </c>
      <c r="H65" s="104"/>
      <c r="I65" s="104"/>
      <c r="J65" s="287">
        <f t="shared" si="1"/>
        <v>0</v>
      </c>
      <c r="K65" s="287">
        <f>G65+J65</f>
        <v>0</v>
      </c>
      <c r="L65" s="472"/>
      <c r="M65" s="289">
        <f>M64+L65-K65</f>
        <v>-368161.18799999997</v>
      </c>
      <c r="N65" s="287"/>
      <c r="O65" s="287"/>
    </row>
    <row r="66" spans="1:15">
      <c r="A66" s="302">
        <v>63</v>
      </c>
      <c r="B66" s="223"/>
      <c r="C66" s="303"/>
      <c r="D66" s="303"/>
      <c r="E66" s="319"/>
      <c r="F66" s="394"/>
      <c r="G66" s="287">
        <f>E66*F66</f>
        <v>0</v>
      </c>
      <c r="H66" s="466"/>
      <c r="I66" s="303"/>
      <c r="J66" s="290">
        <f t="shared" si="1"/>
        <v>0</v>
      </c>
      <c r="K66" s="287">
        <f>G66+J66</f>
        <v>0</v>
      </c>
      <c r="L66" s="288"/>
      <c r="M66" s="289">
        <f>M65+L66-K66</f>
        <v>-368161.18799999997</v>
      </c>
      <c r="N66" s="287"/>
      <c r="O66" s="287"/>
    </row>
    <row r="67" spans="1:15">
      <c r="A67" s="97">
        <v>64</v>
      </c>
      <c r="B67" s="223"/>
      <c r="C67" s="104"/>
      <c r="D67" s="104"/>
      <c r="E67" s="378"/>
      <c r="F67" s="457"/>
      <c r="G67" s="287">
        <f>E67*F67</f>
        <v>0</v>
      </c>
      <c r="H67" s="104"/>
      <c r="I67" s="394"/>
      <c r="J67" s="287">
        <f t="shared" si="1"/>
        <v>0</v>
      </c>
      <c r="K67" s="287">
        <f>G67+J67</f>
        <v>0</v>
      </c>
      <c r="L67" s="288"/>
      <c r="M67" s="289">
        <f>M66+L67-K67</f>
        <v>-368161.18799999997</v>
      </c>
      <c r="N67" s="287"/>
      <c r="O67" s="287"/>
    </row>
    <row r="68" spans="1:15">
      <c r="A68" s="97">
        <v>65</v>
      </c>
      <c r="B68" s="223"/>
      <c r="C68" s="104"/>
      <c r="D68" s="104"/>
      <c r="E68" s="462"/>
      <c r="F68" s="104"/>
      <c r="G68" s="287">
        <f>E68*F68</f>
        <v>0</v>
      </c>
      <c r="H68" s="466"/>
      <c r="I68" s="456"/>
      <c r="J68" s="287">
        <f t="shared" si="1"/>
        <v>0</v>
      </c>
      <c r="K68" s="287">
        <f>G68+J68</f>
        <v>0</v>
      </c>
      <c r="L68" s="288"/>
      <c r="M68" s="289">
        <f>M67+L68-K68</f>
        <v>-368161.18799999997</v>
      </c>
      <c r="N68" s="287"/>
      <c r="O68" s="287"/>
    </row>
    <row r="69" spans="1:15">
      <c r="A69" s="302">
        <v>66</v>
      </c>
      <c r="B69" s="223"/>
      <c r="C69" s="104"/>
      <c r="D69" s="104"/>
      <c r="E69" s="289"/>
      <c r="F69" s="394"/>
      <c r="G69" s="287">
        <f>E69*F69</f>
        <v>0</v>
      </c>
      <c r="H69" s="458"/>
      <c r="I69" s="456"/>
      <c r="J69" s="287">
        <f t="shared" si="1"/>
        <v>0</v>
      </c>
      <c r="K69" s="287">
        <f>G69+J69</f>
        <v>0</v>
      </c>
      <c r="L69" s="288"/>
      <c r="M69" s="289">
        <f>M68+L69-K69</f>
        <v>-368161.18799999997</v>
      </c>
      <c r="N69" s="287"/>
      <c r="O69" s="287"/>
    </row>
    <row r="70" spans="1:15">
      <c r="A70" s="97">
        <v>67</v>
      </c>
      <c r="B70" s="223"/>
      <c r="C70" s="104"/>
      <c r="D70" s="104"/>
      <c r="E70" s="289"/>
      <c r="F70" s="287"/>
      <c r="G70" s="287">
        <f>E70*F70</f>
        <v>0</v>
      </c>
      <c r="H70" s="458"/>
      <c r="I70" s="104"/>
      <c r="J70" s="287">
        <f t="shared" si="1"/>
        <v>0</v>
      </c>
      <c r="K70" s="287">
        <f>G70+J70</f>
        <v>0</v>
      </c>
      <c r="L70" s="288"/>
      <c r="M70" s="289">
        <f>M69+L70-K70</f>
        <v>-368161.18799999997</v>
      </c>
      <c r="N70" s="370"/>
      <c r="O70" s="287"/>
    </row>
    <row r="71" spans="1:15">
      <c r="A71" s="97">
        <v>68</v>
      </c>
      <c r="B71" s="223"/>
      <c r="C71" s="104"/>
      <c r="D71" s="104"/>
      <c r="E71" s="461"/>
      <c r="F71" s="456"/>
      <c r="G71" s="287">
        <f>E71*F71</f>
        <v>0</v>
      </c>
      <c r="H71" s="104"/>
      <c r="I71" s="394"/>
      <c r="J71" s="287">
        <f t="shared" si="1"/>
        <v>0</v>
      </c>
      <c r="K71" s="287">
        <f>G71+J71</f>
        <v>0</v>
      </c>
      <c r="L71" s="288"/>
      <c r="M71" s="289">
        <f>M70+L71-K71</f>
        <v>-368161.18799999997</v>
      </c>
      <c r="N71" s="184"/>
      <c r="O71" s="184"/>
    </row>
    <row r="72" spans="1:15">
      <c r="A72" s="302">
        <v>69</v>
      </c>
      <c r="B72" s="223"/>
      <c r="C72" s="104"/>
      <c r="D72" s="104"/>
      <c r="E72" s="463"/>
      <c r="F72" s="104"/>
      <c r="G72" s="287">
        <f>E72*F72</f>
        <v>0</v>
      </c>
      <c r="H72" s="303"/>
      <c r="I72" s="104"/>
      <c r="J72" s="287">
        <f t="shared" si="1"/>
        <v>0</v>
      </c>
      <c r="K72" s="287">
        <f>G72+J72</f>
        <v>0</v>
      </c>
      <c r="L72" s="288"/>
      <c r="M72" s="289">
        <f>M71+L72-K72</f>
        <v>-368161.18799999997</v>
      </c>
      <c r="N72" s="184"/>
      <c r="O72" s="184"/>
    </row>
    <row r="73" spans="1:15">
      <c r="A73" s="474">
        <v>70</v>
      </c>
      <c r="B73" s="464"/>
      <c r="C73" s="456"/>
      <c r="D73" s="456"/>
      <c r="E73" s="475"/>
      <c r="F73" s="394"/>
      <c r="G73" s="287">
        <f>E73*F73</f>
        <v>0</v>
      </c>
      <c r="H73" s="457"/>
      <c r="I73" s="457"/>
      <c r="J73" s="457">
        <f t="shared" si="1"/>
        <v>0</v>
      </c>
      <c r="K73" s="287">
        <f>G73+J73</f>
        <v>0</v>
      </c>
      <c r="L73" s="476"/>
      <c r="M73" s="289">
        <f>M72+L73-K73</f>
        <v>-368161.18799999997</v>
      </c>
      <c r="N73" s="184"/>
      <c r="O73" s="184"/>
    </row>
    <row r="74" spans="1:15">
      <c r="A74" s="17">
        <v>71</v>
      </c>
      <c r="B74" s="223"/>
      <c r="C74" s="44"/>
      <c r="D74" s="44"/>
      <c r="E74" s="44"/>
      <c r="F74" s="44"/>
      <c r="G74" s="287">
        <f>E74*F74</f>
        <v>0</v>
      </c>
      <c r="H74" s="287"/>
      <c r="I74" s="44"/>
      <c r="J74" s="287">
        <f t="shared" ref="J73:J95" si="2">H74*I74</f>
        <v>0</v>
      </c>
      <c r="K74" s="287">
        <f>G74+J74</f>
        <v>0</v>
      </c>
      <c r="L74" s="288"/>
      <c r="M74" s="289">
        <f>M73+L74-K74</f>
        <v>-368161.18799999997</v>
      </c>
      <c r="N74" s="184"/>
      <c r="O74" s="184"/>
    </row>
    <row r="75" spans="1:15">
      <c r="A75" s="403">
        <v>72</v>
      </c>
      <c r="B75" s="223"/>
      <c r="C75" s="44"/>
      <c r="D75" s="44"/>
      <c r="E75" s="44"/>
      <c r="F75" s="44"/>
      <c r="G75" s="287">
        <f>E75*F75</f>
        <v>0</v>
      </c>
      <c r="H75" s="287"/>
      <c r="I75" s="287"/>
      <c r="J75" s="287">
        <f t="shared" si="2"/>
        <v>0</v>
      </c>
      <c r="K75" s="287">
        <f>G75+J75</f>
        <v>0</v>
      </c>
      <c r="L75" s="288"/>
      <c r="M75" s="289">
        <f>M74+L75-K75</f>
        <v>-368161.18799999997</v>
      </c>
      <c r="N75" s="184"/>
      <c r="O75" s="184"/>
    </row>
    <row r="76" spans="1:15">
      <c r="A76" s="17">
        <v>73</v>
      </c>
      <c r="B76" s="223"/>
      <c r="C76" s="44"/>
      <c r="D76" s="44"/>
      <c r="E76" s="44"/>
      <c r="F76" s="44"/>
      <c r="G76" s="287">
        <f>E76*F76</f>
        <v>0</v>
      </c>
      <c r="H76" s="104"/>
      <c r="I76" s="104"/>
      <c r="J76" s="287">
        <f t="shared" si="2"/>
        <v>0</v>
      </c>
      <c r="K76" s="287">
        <f>G76+J76</f>
        <v>0</v>
      </c>
      <c r="L76" s="288"/>
      <c r="M76" s="289">
        <f>M75+L76-K76</f>
        <v>-368161.18799999997</v>
      </c>
      <c r="N76" s="184"/>
      <c r="O76" s="184"/>
    </row>
    <row r="77" spans="1:15">
      <c r="A77" s="17">
        <v>74</v>
      </c>
      <c r="B77" s="223"/>
      <c r="C77" s="44"/>
      <c r="D77" s="44"/>
      <c r="E77" s="44"/>
      <c r="F77" s="44"/>
      <c r="G77" s="287">
        <f>E77*F77</f>
        <v>0</v>
      </c>
      <c r="H77" s="104"/>
      <c r="I77" s="104"/>
      <c r="J77" s="287">
        <f t="shared" si="2"/>
        <v>0</v>
      </c>
      <c r="K77" s="287">
        <f>G77+J77</f>
        <v>0</v>
      </c>
      <c r="L77" s="288"/>
      <c r="M77" s="289">
        <f>M76+L77-K77</f>
        <v>-368161.18799999997</v>
      </c>
      <c r="N77" s="184"/>
      <c r="O77" s="184"/>
    </row>
    <row r="78" spans="1:15">
      <c r="A78" s="403">
        <v>75</v>
      </c>
      <c r="B78" s="223"/>
      <c r="C78" s="44"/>
      <c r="D78" s="44"/>
      <c r="E78" s="44"/>
      <c r="F78" s="44"/>
      <c r="G78" s="287">
        <f>E78*F78</f>
        <v>0</v>
      </c>
      <c r="H78" s="287"/>
      <c r="I78" s="287"/>
      <c r="J78" s="287">
        <f t="shared" si="2"/>
        <v>0</v>
      </c>
      <c r="K78" s="287">
        <f>G78+J78</f>
        <v>0</v>
      </c>
      <c r="L78" s="288"/>
      <c r="M78" s="289">
        <f>M77+L78-K78</f>
        <v>-368161.18799999997</v>
      </c>
      <c r="N78" s="184"/>
      <c r="O78" s="184"/>
    </row>
    <row r="79" spans="1:15">
      <c r="A79" s="403">
        <v>76</v>
      </c>
      <c r="B79" s="406"/>
      <c r="C79" s="308"/>
      <c r="D79" s="308"/>
      <c r="E79" s="290"/>
      <c r="F79" s="290"/>
      <c r="G79" s="290">
        <f>E79*F79</f>
        <v>0</v>
      </c>
      <c r="H79" s="290"/>
      <c r="I79" s="290"/>
      <c r="J79" s="290">
        <f t="shared" si="2"/>
        <v>0</v>
      </c>
      <c r="K79" s="287">
        <f>G79+J79</f>
        <v>0</v>
      </c>
      <c r="L79" s="477"/>
      <c r="M79" s="289">
        <f>M78+L79-K79</f>
        <v>-368161.18799999997</v>
      </c>
      <c r="N79" s="184"/>
      <c r="O79" s="184"/>
    </row>
    <row r="80" spans="1:15">
      <c r="A80" s="403">
        <v>77</v>
      </c>
      <c r="B80" s="223"/>
      <c r="C80" s="17"/>
      <c r="D80" s="167"/>
      <c r="E80" s="287"/>
      <c r="F80" s="287"/>
      <c r="G80" s="287">
        <f>E80*F80</f>
        <v>0</v>
      </c>
      <c r="H80" s="287"/>
      <c r="I80" s="287"/>
      <c r="J80" s="287">
        <f t="shared" si="2"/>
        <v>0</v>
      </c>
      <c r="K80" s="287">
        <f>G80+J80</f>
        <v>0</v>
      </c>
      <c r="L80" s="288"/>
      <c r="M80" s="289">
        <f>M79+L80-K80</f>
        <v>-368161.18799999997</v>
      </c>
      <c r="N80" s="184"/>
      <c r="O80" s="184"/>
    </row>
    <row r="81" spans="1:15">
      <c r="A81" s="403">
        <v>78</v>
      </c>
      <c r="B81" s="223"/>
      <c r="C81" s="167"/>
      <c r="D81" s="167"/>
      <c r="E81" s="287"/>
      <c r="F81" s="287"/>
      <c r="G81" s="287">
        <f>E81*F81</f>
        <v>0</v>
      </c>
      <c r="H81" s="287"/>
      <c r="I81" s="287"/>
      <c r="J81" s="287">
        <f t="shared" si="2"/>
        <v>0</v>
      </c>
      <c r="K81" s="287">
        <f>G81+J81</f>
        <v>0</v>
      </c>
      <c r="L81" s="288"/>
      <c r="M81" s="289">
        <f>M80+L81-K81</f>
        <v>-368161.18799999997</v>
      </c>
      <c r="N81" s="184"/>
      <c r="O81" s="184"/>
    </row>
    <row r="82" spans="1:15">
      <c r="A82" s="403">
        <v>79</v>
      </c>
      <c r="B82" s="223"/>
      <c r="C82" s="167"/>
      <c r="D82" s="167"/>
      <c r="E82" s="287"/>
      <c r="F82" s="287"/>
      <c r="G82" s="287">
        <f>E82*F82</f>
        <v>0</v>
      </c>
      <c r="H82" s="287"/>
      <c r="I82" s="287"/>
      <c r="J82" s="287">
        <f t="shared" si="2"/>
        <v>0</v>
      </c>
      <c r="K82" s="287">
        <f>G82+J82</f>
        <v>0</v>
      </c>
      <c r="L82" s="288"/>
      <c r="M82" s="289">
        <f>M81+L82-K82</f>
        <v>-368161.18799999997</v>
      </c>
      <c r="N82" s="184"/>
      <c r="O82" s="184"/>
    </row>
    <row r="83" spans="1:15">
      <c r="A83" s="403">
        <v>80</v>
      </c>
      <c r="B83" s="223"/>
      <c r="C83" s="167"/>
      <c r="D83" s="167"/>
      <c r="E83" s="287"/>
      <c r="F83" s="287"/>
      <c r="G83" s="287">
        <f>E83*F83</f>
        <v>0</v>
      </c>
      <c r="H83" s="287"/>
      <c r="I83" s="287"/>
      <c r="J83" s="287">
        <f>H83*I83</f>
        <v>0</v>
      </c>
      <c r="K83" s="287">
        <f t="shared" ref="K75:K98" si="3">G83+J83</f>
        <v>0</v>
      </c>
      <c r="L83" s="288"/>
      <c r="M83" s="289">
        <f>M82+L83-K83</f>
        <v>-368161.18799999997</v>
      </c>
      <c r="N83" s="184"/>
      <c r="O83" s="184"/>
    </row>
    <row r="84" spans="1:15">
      <c r="A84" s="403">
        <v>81</v>
      </c>
      <c r="B84" s="223"/>
      <c r="C84" s="167"/>
      <c r="D84" s="167"/>
      <c r="E84" s="287"/>
      <c r="F84" s="287"/>
      <c r="G84" s="287">
        <f>E84*F84</f>
        <v>0</v>
      </c>
      <c r="H84" s="287"/>
      <c r="I84" s="287"/>
      <c r="J84" s="287">
        <f>H84*I84</f>
        <v>0</v>
      </c>
      <c r="K84" s="287">
        <f t="shared" si="3"/>
        <v>0</v>
      </c>
      <c r="L84" s="288"/>
      <c r="M84" s="289">
        <f>M83+L84-K84</f>
        <v>-368161.18799999997</v>
      </c>
      <c r="N84" s="184"/>
      <c r="O84" s="184"/>
    </row>
    <row r="85" spans="1:15">
      <c r="A85" s="403">
        <v>82</v>
      </c>
      <c r="B85" s="223"/>
      <c r="C85" s="167"/>
      <c r="D85" s="167"/>
      <c r="E85" s="287"/>
      <c r="F85" s="287"/>
      <c r="G85" s="287">
        <f>E85*F85</f>
        <v>0</v>
      </c>
      <c r="H85" s="287"/>
      <c r="I85" s="287"/>
      <c r="J85" s="287">
        <f>H85*I85</f>
        <v>0</v>
      </c>
      <c r="K85" s="287">
        <f t="shared" si="3"/>
        <v>0</v>
      </c>
      <c r="L85" s="288"/>
      <c r="M85" s="289">
        <f>M84+L85-K85</f>
        <v>-368161.18799999997</v>
      </c>
      <c r="N85" s="184"/>
      <c r="O85" s="184"/>
    </row>
    <row r="86" spans="1:15">
      <c r="A86" s="403">
        <v>83</v>
      </c>
      <c r="B86" s="223"/>
      <c r="C86" s="167"/>
      <c r="D86" s="167"/>
      <c r="E86" s="287"/>
      <c r="F86" s="287"/>
      <c r="G86" s="287">
        <f>E86*F86</f>
        <v>0</v>
      </c>
      <c r="H86" s="287"/>
      <c r="I86" s="287"/>
      <c r="J86" s="287">
        <f>H86*I86</f>
        <v>0</v>
      </c>
      <c r="K86" s="287">
        <f t="shared" si="3"/>
        <v>0</v>
      </c>
      <c r="L86" s="288"/>
      <c r="M86" s="289">
        <f>M85+L86-K86</f>
        <v>-368161.18799999997</v>
      </c>
      <c r="N86" s="184"/>
      <c r="O86" s="184"/>
    </row>
    <row r="87" spans="1:15">
      <c r="A87" s="403">
        <v>84</v>
      </c>
      <c r="B87" s="223"/>
      <c r="C87" s="167"/>
      <c r="D87" s="167"/>
      <c r="E87" s="287"/>
      <c r="F87" s="287"/>
      <c r="G87" s="287">
        <f>E87*F87</f>
        <v>0</v>
      </c>
      <c r="H87" s="287"/>
      <c r="I87" s="287"/>
      <c r="J87" s="287">
        <f t="shared" ref="J87:J91" si="4">H87*I87</f>
        <v>0</v>
      </c>
      <c r="K87" s="287">
        <f t="shared" si="3"/>
        <v>0</v>
      </c>
      <c r="L87" s="288"/>
      <c r="M87" s="289">
        <f>M86+L87-K87</f>
        <v>-368161.18799999997</v>
      </c>
      <c r="N87" s="184"/>
      <c r="O87" s="184"/>
    </row>
    <row r="88" spans="1:15">
      <c r="A88" s="403">
        <v>85</v>
      </c>
      <c r="B88" s="223"/>
      <c r="C88" s="167"/>
      <c r="D88" s="167"/>
      <c r="E88" s="287"/>
      <c r="F88" s="287"/>
      <c r="G88" s="287">
        <f>E88*F88</f>
        <v>0</v>
      </c>
      <c r="H88" s="287"/>
      <c r="I88" s="287"/>
      <c r="J88" s="287">
        <f t="shared" si="4"/>
        <v>0</v>
      </c>
      <c r="K88" s="287">
        <f t="shared" si="3"/>
        <v>0</v>
      </c>
      <c r="L88" s="288"/>
      <c r="M88" s="289">
        <f>M87+L88-K88</f>
        <v>-368161.18799999997</v>
      </c>
      <c r="N88" s="184"/>
      <c r="O88" s="184"/>
    </row>
    <row r="89" spans="1:15">
      <c r="A89" s="403">
        <v>86</v>
      </c>
      <c r="B89" s="223"/>
      <c r="C89" s="167"/>
      <c r="D89" s="167"/>
      <c r="E89" s="287"/>
      <c r="F89" s="287"/>
      <c r="G89" s="287">
        <f>E89*F89</f>
        <v>0</v>
      </c>
      <c r="H89" s="287"/>
      <c r="I89" s="287"/>
      <c r="J89" s="287">
        <f t="shared" si="4"/>
        <v>0</v>
      </c>
      <c r="K89" s="287">
        <f t="shared" si="3"/>
        <v>0</v>
      </c>
      <c r="L89" s="288"/>
      <c r="M89" s="289">
        <f>M88+L89-K89</f>
        <v>-368161.18799999997</v>
      </c>
      <c r="N89" s="184"/>
      <c r="O89" s="184"/>
    </row>
    <row r="90" spans="1:15">
      <c r="A90" s="403">
        <v>87</v>
      </c>
      <c r="B90" s="223"/>
      <c r="C90" s="167"/>
      <c r="D90" s="167"/>
      <c r="E90" s="287"/>
      <c r="F90" s="287"/>
      <c r="G90" s="287">
        <f>E90*F90</f>
        <v>0</v>
      </c>
      <c r="H90" s="287"/>
      <c r="I90" s="287"/>
      <c r="J90" s="287">
        <f t="shared" si="4"/>
        <v>0</v>
      </c>
      <c r="K90" s="287">
        <f t="shared" si="3"/>
        <v>0</v>
      </c>
      <c r="L90" s="288"/>
      <c r="M90" s="289">
        <f>M89+L90-K90</f>
        <v>-368161.18799999997</v>
      </c>
      <c r="N90" s="184"/>
      <c r="O90" s="184"/>
    </row>
    <row r="91" spans="1:15">
      <c r="A91" s="403">
        <v>88</v>
      </c>
      <c r="B91" s="223"/>
      <c r="C91" s="167"/>
      <c r="D91" s="167"/>
      <c r="E91" s="287"/>
      <c r="F91" s="287"/>
      <c r="G91" s="287">
        <f>E91*F91</f>
        <v>0</v>
      </c>
      <c r="H91" s="287"/>
      <c r="I91" s="287"/>
      <c r="J91" s="287">
        <f t="shared" si="4"/>
        <v>0</v>
      </c>
      <c r="K91" s="287">
        <f t="shared" si="3"/>
        <v>0</v>
      </c>
      <c r="L91" s="287"/>
      <c r="M91" s="289">
        <f>M90+L91-K91</f>
        <v>-368161.18799999997</v>
      </c>
      <c r="N91" s="184"/>
      <c r="O91" s="184"/>
    </row>
    <row r="92" spans="1:15">
      <c r="A92" s="403">
        <v>89</v>
      </c>
      <c r="B92" s="406"/>
      <c r="C92" s="407"/>
      <c r="D92" s="308"/>
      <c r="E92" s="290"/>
      <c r="F92" s="290"/>
      <c r="G92" s="290">
        <f>E92*F92</f>
        <v>0</v>
      </c>
      <c r="H92" s="290"/>
      <c r="I92" s="290"/>
      <c r="J92" s="290">
        <f t="shared" si="2"/>
        <v>0</v>
      </c>
      <c r="K92" s="287">
        <f t="shared" si="3"/>
        <v>0</v>
      </c>
      <c r="L92" s="290"/>
      <c r="M92" s="289">
        <f>M91+L92-K92</f>
        <v>-368161.18799999997</v>
      </c>
      <c r="N92" s="408"/>
      <c r="O92" s="408"/>
    </row>
    <row r="93" spans="1:15">
      <c r="A93" s="403">
        <v>90</v>
      </c>
      <c r="B93" s="223"/>
      <c r="C93" s="307"/>
      <c r="D93" s="167"/>
      <c r="E93" s="287"/>
      <c r="F93" s="287"/>
      <c r="G93" s="287">
        <f>E93*F93</f>
        <v>0</v>
      </c>
      <c r="H93" s="287"/>
      <c r="I93" s="287"/>
      <c r="J93" s="287">
        <f t="shared" si="2"/>
        <v>0</v>
      </c>
      <c r="K93" s="287">
        <f t="shared" si="3"/>
        <v>0</v>
      </c>
      <c r="L93" s="287"/>
      <c r="M93" s="289">
        <f>M92+L93-K93</f>
        <v>-368161.18799999997</v>
      </c>
      <c r="N93" s="184"/>
      <c r="O93" s="184"/>
    </row>
    <row r="94" spans="1:15">
      <c r="A94" s="403">
        <v>91</v>
      </c>
      <c r="B94" s="223"/>
      <c r="C94" s="307"/>
      <c r="D94" s="167"/>
      <c r="E94" s="287"/>
      <c r="F94" s="287"/>
      <c r="G94" s="287">
        <f>E94*F94</f>
        <v>0</v>
      </c>
      <c r="H94" s="287"/>
      <c r="I94" s="287"/>
      <c r="J94" s="287">
        <f t="shared" si="2"/>
        <v>0</v>
      </c>
      <c r="K94" s="287">
        <f t="shared" si="3"/>
        <v>0</v>
      </c>
      <c r="L94" s="287"/>
      <c r="M94" s="289">
        <f>M93+L94-K94</f>
        <v>-368161.18799999997</v>
      </c>
      <c r="N94" s="184"/>
      <c r="O94" s="184"/>
    </row>
    <row r="95" spans="1:15">
      <c r="A95" s="403">
        <v>92</v>
      </c>
      <c r="B95" s="223"/>
      <c r="C95" s="307"/>
      <c r="D95" s="167"/>
      <c r="E95" s="287"/>
      <c r="F95" s="287"/>
      <c r="G95" s="287">
        <v>0</v>
      </c>
      <c r="H95" s="287"/>
      <c r="I95" s="287"/>
      <c r="J95" s="287">
        <f t="shared" si="2"/>
        <v>0</v>
      </c>
      <c r="K95" s="287">
        <f t="shared" si="3"/>
        <v>0</v>
      </c>
      <c r="L95" s="287"/>
      <c r="M95" s="289">
        <f>M94+L95-K95</f>
        <v>-368161.18799999997</v>
      </c>
      <c r="N95" s="381"/>
      <c r="O95" s="381"/>
    </row>
    <row r="96" spans="1:15">
      <c r="A96" s="403">
        <v>93</v>
      </c>
      <c r="B96" s="223"/>
      <c r="C96" s="307"/>
      <c r="D96" s="167"/>
      <c r="E96" s="287"/>
      <c r="F96" s="287"/>
      <c r="G96" s="287"/>
      <c r="H96" s="287"/>
      <c r="I96" s="287"/>
      <c r="J96" s="287"/>
      <c r="K96" s="287">
        <f t="shared" si="3"/>
        <v>0</v>
      </c>
      <c r="L96" s="287"/>
      <c r="M96" s="289">
        <f>M95+L96-K96</f>
        <v>-368161.18799999997</v>
      </c>
      <c r="N96" s="184"/>
      <c r="O96" s="184"/>
    </row>
    <row r="97" spans="1:15">
      <c r="A97" s="403">
        <v>94</v>
      </c>
      <c r="B97" s="223"/>
      <c r="C97" s="307"/>
      <c r="D97" s="167"/>
      <c r="E97" s="287"/>
      <c r="F97" s="287"/>
      <c r="G97" s="287"/>
      <c r="H97" s="287"/>
      <c r="I97" s="287"/>
      <c r="J97" s="287"/>
      <c r="K97" s="287">
        <f t="shared" si="3"/>
        <v>0</v>
      </c>
      <c r="L97" s="287"/>
      <c r="M97" s="289">
        <f>M96+L97-K97</f>
        <v>-368161.18799999997</v>
      </c>
      <c r="N97" s="370">
        <v>78625.02</v>
      </c>
      <c r="O97" s="370">
        <f>N97-M97</f>
        <v>446786.20799999998</v>
      </c>
    </row>
    <row r="98" spans="1:15">
      <c r="A98" s="437">
        <v>95</v>
      </c>
      <c r="B98" s="94"/>
      <c r="C98" s="307"/>
      <c r="D98" s="307"/>
      <c r="E98" s="457"/>
      <c r="F98" s="457"/>
      <c r="G98" s="457"/>
      <c r="H98" s="457"/>
      <c r="I98" s="457"/>
      <c r="J98" s="457"/>
      <c r="K98" s="457">
        <f t="shared" si="3"/>
        <v>0</v>
      </c>
      <c r="L98" s="457"/>
      <c r="M98" s="459">
        <f>M97+L98-K98</f>
        <v>-368161.18799999997</v>
      </c>
      <c r="N98" s="479"/>
      <c r="O98" s="479"/>
    </row>
    <row r="99" spans="1:15">
      <c r="A99" s="17">
        <v>96</v>
      </c>
      <c r="B99" s="17"/>
      <c r="C99" s="17"/>
      <c r="D99" s="17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</row>
    <row r="100" spans="1:15">
      <c r="A100" s="17">
        <v>97</v>
      </c>
      <c r="B100" s="17"/>
      <c r="C100" s="17"/>
      <c r="D100" s="17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</row>
    <row r="101" spans="1:15">
      <c r="A101" s="17">
        <v>98</v>
      </c>
      <c r="B101" s="17"/>
      <c r="C101" s="17"/>
      <c r="D101" s="17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</row>
    <row r="102" spans="1:15">
      <c r="A102" s="17">
        <v>99</v>
      </c>
      <c r="B102" s="17"/>
      <c r="C102" s="17"/>
      <c r="D102" s="17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</row>
    <row r="103" spans="1:15">
      <c r="A103" s="17">
        <v>100</v>
      </c>
      <c r="B103" s="17"/>
      <c r="C103" s="17"/>
      <c r="D103" s="17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P128"/>
  <sheetViews>
    <sheetView topLeftCell="A36" workbookViewId="0">
      <selection activeCell="C52" sqref="C52"/>
    </sheetView>
  </sheetViews>
  <sheetFormatPr defaultRowHeight="15"/>
  <cols>
    <col min="1" max="1" width="9.140625" style="5"/>
    <col min="2" max="2" width="11.5703125" style="5" customWidth="1"/>
    <col min="3" max="3" width="46" style="5" bestFit="1" customWidth="1"/>
    <col min="4" max="4" width="18.28515625" style="5" customWidth="1"/>
    <col min="5" max="5" width="36.5703125" style="5" customWidth="1"/>
    <col min="6" max="6" width="15.7109375" style="5" customWidth="1"/>
    <col min="7" max="7" width="9.140625" style="5"/>
    <col min="8" max="8" width="22.42578125" style="5" customWidth="1"/>
    <col min="9" max="9" width="22.140625" style="5" customWidth="1"/>
    <col min="10" max="10" width="17.7109375" style="5" bestFit="1" customWidth="1"/>
    <col min="11" max="11" width="10.42578125" style="5" bestFit="1" customWidth="1"/>
    <col min="12" max="12" width="15.42578125" style="5" customWidth="1"/>
    <col min="13" max="13" width="17.7109375" style="5" customWidth="1"/>
    <col min="14" max="14" width="12.7109375" style="5" customWidth="1"/>
    <col min="15" max="15" width="15.140625" style="5" customWidth="1"/>
    <col min="16" max="16" width="20.5703125" style="5" customWidth="1"/>
    <col min="17" max="16384" width="9.140625" style="5"/>
  </cols>
  <sheetData>
    <row r="1" spans="1:16" ht="15.75">
      <c r="A1" s="568" t="s">
        <v>402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</row>
    <row r="2" spans="1:16">
      <c r="A2" s="64" t="s">
        <v>0</v>
      </c>
      <c r="B2" s="83" t="s">
        <v>167</v>
      </c>
      <c r="C2" s="83" t="s">
        <v>371</v>
      </c>
      <c r="D2" s="83"/>
      <c r="E2" s="83" t="s">
        <v>372</v>
      </c>
      <c r="F2" s="83" t="s">
        <v>170</v>
      </c>
      <c r="G2" s="83" t="s">
        <v>171</v>
      </c>
      <c r="H2" s="90" t="s">
        <v>172</v>
      </c>
      <c r="I2" s="83" t="s">
        <v>173</v>
      </c>
      <c r="J2" s="83" t="s">
        <v>171</v>
      </c>
      <c r="K2" s="90" t="s">
        <v>172</v>
      </c>
      <c r="L2" s="64" t="s">
        <v>174</v>
      </c>
      <c r="M2" s="91" t="s">
        <v>373</v>
      </c>
      <c r="N2" s="85" t="s">
        <v>192</v>
      </c>
      <c r="O2" s="83" t="s">
        <v>177</v>
      </c>
      <c r="P2" s="83" t="s">
        <v>374</v>
      </c>
    </row>
    <row r="3" spans="1:16">
      <c r="A3" s="607" t="s">
        <v>178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102">
        <v>113320.34</v>
      </c>
      <c r="M3" s="224"/>
      <c r="N3" s="480">
        <v>1138971.58</v>
      </c>
      <c r="O3" s="169"/>
      <c r="P3" s="169"/>
    </row>
    <row r="4" spans="1:16" ht="15.75">
      <c r="A4" s="6">
        <v>1</v>
      </c>
      <c r="B4" s="78" t="s">
        <v>197</v>
      </c>
      <c r="C4" s="481" t="s">
        <v>403</v>
      </c>
      <c r="D4" s="6"/>
      <c r="E4" s="608" t="s">
        <v>404</v>
      </c>
      <c r="F4" s="485">
        <v>1926.78</v>
      </c>
      <c r="G4" s="485">
        <v>103.8</v>
      </c>
      <c r="H4" s="485">
        <v>200000</v>
      </c>
      <c r="I4" s="487"/>
      <c r="J4" s="487"/>
      <c r="K4" s="487">
        <f>I4*J4</f>
        <v>0</v>
      </c>
      <c r="L4" s="487">
        <f>H4+K4</f>
        <v>200000</v>
      </c>
      <c r="M4" s="481">
        <v>755000</v>
      </c>
      <c r="N4" s="482">
        <f>SUM(N3+M4-L4)</f>
        <v>1693971.58</v>
      </c>
      <c r="O4" s="6"/>
      <c r="P4" s="6"/>
    </row>
    <row r="5" spans="1:16" ht="15.75">
      <c r="A5" s="6">
        <v>2</v>
      </c>
      <c r="B5" s="78" t="s">
        <v>197</v>
      </c>
      <c r="C5" s="481" t="s">
        <v>405</v>
      </c>
      <c r="D5" s="6"/>
      <c r="E5" s="534" t="s">
        <v>406</v>
      </c>
      <c r="F5" s="481">
        <v>100</v>
      </c>
      <c r="G5" s="481">
        <v>99.7</v>
      </c>
      <c r="H5" s="481">
        <v>9970</v>
      </c>
      <c r="I5" s="609"/>
      <c r="J5" s="609"/>
      <c r="K5" s="487">
        <f t="shared" ref="K5:K92" si="0">I5*J5</f>
        <v>0</v>
      </c>
      <c r="L5" s="487">
        <f t="shared" ref="L5:L90" si="1">H5+K5</f>
        <v>9970</v>
      </c>
      <c r="M5" s="481"/>
      <c r="N5" s="482">
        <f t="shared" ref="N5:N92" si="2">SUM(N4+M5-L5)</f>
        <v>1684001.58</v>
      </c>
      <c r="O5" s="6"/>
      <c r="P5" s="6"/>
    </row>
    <row r="6" spans="1:16" ht="15.75">
      <c r="A6" s="6">
        <v>3</v>
      </c>
      <c r="B6" s="78" t="s">
        <v>197</v>
      </c>
      <c r="C6" s="481" t="s">
        <v>407</v>
      </c>
      <c r="D6" s="481"/>
      <c r="E6" s="534" t="s">
        <v>406</v>
      </c>
      <c r="F6" s="481">
        <v>2013.08</v>
      </c>
      <c r="G6" s="481">
        <v>99.35</v>
      </c>
      <c r="H6" s="485">
        <v>200000</v>
      </c>
      <c r="I6" s="609"/>
      <c r="J6" s="609"/>
      <c r="K6" s="487">
        <f t="shared" si="0"/>
        <v>0</v>
      </c>
      <c r="L6" s="487">
        <f t="shared" si="1"/>
        <v>200000</v>
      </c>
      <c r="M6" s="481"/>
      <c r="N6" s="482">
        <f t="shared" si="2"/>
        <v>1484001.58</v>
      </c>
      <c r="O6" s="6"/>
      <c r="P6" s="6"/>
    </row>
    <row r="7" spans="1:16" ht="15.75">
      <c r="A7" s="6">
        <v>4</v>
      </c>
      <c r="B7" s="78" t="s">
        <v>197</v>
      </c>
      <c r="C7" s="481" t="s">
        <v>408</v>
      </c>
      <c r="D7" s="481"/>
      <c r="E7" s="533" t="s">
        <v>409</v>
      </c>
      <c r="F7" s="481">
        <v>1004.02</v>
      </c>
      <c r="G7" s="481">
        <v>99.6</v>
      </c>
      <c r="H7" s="481">
        <v>100000</v>
      </c>
      <c r="I7" s="609"/>
      <c r="J7" s="609"/>
      <c r="K7" s="487">
        <f t="shared" si="0"/>
        <v>0</v>
      </c>
      <c r="L7" s="487">
        <f t="shared" si="1"/>
        <v>100000</v>
      </c>
      <c r="M7" s="481"/>
      <c r="N7" s="482">
        <f t="shared" si="2"/>
        <v>1384001.58</v>
      </c>
      <c r="O7" s="6"/>
      <c r="P7" s="6"/>
    </row>
    <row r="8" spans="1:16" ht="15.75">
      <c r="A8" s="6">
        <v>5</v>
      </c>
      <c r="B8" s="78" t="s">
        <v>197</v>
      </c>
      <c r="C8" s="481" t="s">
        <v>410</v>
      </c>
      <c r="D8" s="481"/>
      <c r="E8" s="533" t="s">
        <v>411</v>
      </c>
      <c r="F8" s="481">
        <v>1513.01</v>
      </c>
      <c r="G8" s="481">
        <v>99.14</v>
      </c>
      <c r="H8" s="481">
        <v>150000</v>
      </c>
      <c r="I8" s="486"/>
      <c r="J8" s="486"/>
      <c r="K8" s="487">
        <f t="shared" si="0"/>
        <v>0</v>
      </c>
      <c r="L8" s="487">
        <f t="shared" si="1"/>
        <v>150000</v>
      </c>
      <c r="M8" s="481"/>
      <c r="N8" s="482">
        <f t="shared" si="2"/>
        <v>1234001.58</v>
      </c>
      <c r="O8" s="6"/>
      <c r="P8" s="6"/>
    </row>
    <row r="9" spans="1:16" ht="15.75">
      <c r="A9" s="6">
        <v>6</v>
      </c>
      <c r="B9" s="78" t="s">
        <v>206</v>
      </c>
      <c r="C9" s="481" t="s">
        <v>403</v>
      </c>
      <c r="D9" s="481"/>
      <c r="E9" s="533" t="s">
        <v>404</v>
      </c>
      <c r="F9" s="481">
        <v>963.39</v>
      </c>
      <c r="G9" s="481">
        <v>103.8</v>
      </c>
      <c r="H9" s="481">
        <v>100000</v>
      </c>
      <c r="I9" s="609"/>
      <c r="J9" s="609"/>
      <c r="K9" s="487">
        <f t="shared" si="0"/>
        <v>0</v>
      </c>
      <c r="L9" s="487">
        <f t="shared" si="1"/>
        <v>100000</v>
      </c>
      <c r="M9" s="481"/>
      <c r="N9" s="482">
        <f t="shared" si="2"/>
        <v>1134001.58</v>
      </c>
      <c r="O9" s="6"/>
      <c r="P9" s="6"/>
    </row>
    <row r="10" spans="1:16" ht="15.75">
      <c r="A10" s="6">
        <v>7</v>
      </c>
      <c r="B10" s="78" t="s">
        <v>206</v>
      </c>
      <c r="C10" s="481" t="s">
        <v>405</v>
      </c>
      <c r="D10" s="481"/>
      <c r="E10" s="533" t="s">
        <v>406</v>
      </c>
      <c r="F10" s="481">
        <v>150</v>
      </c>
      <c r="G10" s="481">
        <v>99.7</v>
      </c>
      <c r="H10" s="481">
        <v>14955</v>
      </c>
      <c r="I10" s="609"/>
      <c r="J10" s="609"/>
      <c r="K10" s="487">
        <f t="shared" si="0"/>
        <v>0</v>
      </c>
      <c r="L10" s="487">
        <f t="shared" si="1"/>
        <v>14955</v>
      </c>
      <c r="M10" s="481"/>
      <c r="N10" s="482">
        <f t="shared" si="2"/>
        <v>1119046.58</v>
      </c>
      <c r="O10" s="6"/>
      <c r="P10" s="6"/>
    </row>
    <row r="11" spans="1:16" ht="15.75">
      <c r="A11" s="6">
        <v>8</v>
      </c>
      <c r="B11" s="78" t="s">
        <v>212</v>
      </c>
      <c r="C11" s="481" t="s">
        <v>412</v>
      </c>
      <c r="D11" s="481"/>
      <c r="E11" s="533" t="s">
        <v>406</v>
      </c>
      <c r="F11" s="481">
        <v>35</v>
      </c>
      <c r="G11" s="481">
        <v>103.76</v>
      </c>
      <c r="H11" s="481">
        <v>3631.6</v>
      </c>
      <c r="I11" s="609"/>
      <c r="J11" s="609"/>
      <c r="K11" s="487">
        <f t="shared" si="0"/>
        <v>0</v>
      </c>
      <c r="L11" s="487">
        <f t="shared" si="1"/>
        <v>3631.6</v>
      </c>
      <c r="M11" s="276"/>
      <c r="N11" s="482">
        <f t="shared" si="2"/>
        <v>1115414.98</v>
      </c>
      <c r="O11" s="6"/>
      <c r="P11" s="6"/>
    </row>
    <row r="12" spans="1:16" ht="15.75">
      <c r="A12" s="6">
        <v>9</v>
      </c>
      <c r="B12" s="78" t="s">
        <v>225</v>
      </c>
      <c r="C12" s="481" t="s">
        <v>405</v>
      </c>
      <c r="D12" s="481"/>
      <c r="E12" s="533" t="s">
        <v>406</v>
      </c>
      <c r="F12" s="481">
        <v>100</v>
      </c>
      <c r="G12" s="481">
        <v>99.7</v>
      </c>
      <c r="H12" s="481">
        <v>9970</v>
      </c>
      <c r="I12" s="609"/>
      <c r="J12" s="609"/>
      <c r="K12" s="487">
        <f t="shared" si="0"/>
        <v>0</v>
      </c>
      <c r="L12" s="487">
        <f t="shared" si="1"/>
        <v>9970</v>
      </c>
      <c r="M12" s="481">
        <v>50000</v>
      </c>
      <c r="N12" s="482">
        <f t="shared" si="2"/>
        <v>1155444.98</v>
      </c>
      <c r="O12" s="6"/>
      <c r="P12" s="6"/>
    </row>
    <row r="13" spans="1:16" ht="15.75">
      <c r="A13" s="6">
        <v>10</v>
      </c>
      <c r="B13" s="78" t="s">
        <v>225</v>
      </c>
      <c r="C13" s="481" t="s">
        <v>412</v>
      </c>
      <c r="D13" s="481"/>
      <c r="E13" s="535" t="s">
        <v>413</v>
      </c>
      <c r="F13" s="481">
        <v>19.28</v>
      </c>
      <c r="G13" s="481">
        <v>103.76</v>
      </c>
      <c r="H13" s="481">
        <v>2000</v>
      </c>
      <c r="I13" s="609"/>
      <c r="J13" s="609"/>
      <c r="K13" s="487">
        <f t="shared" si="0"/>
        <v>0</v>
      </c>
      <c r="L13" s="487">
        <f t="shared" si="1"/>
        <v>2000</v>
      </c>
      <c r="M13" s="371"/>
      <c r="N13" s="482">
        <f t="shared" si="2"/>
        <v>1153444.98</v>
      </c>
      <c r="O13" s="6"/>
      <c r="P13" s="6"/>
    </row>
    <row r="14" spans="1:16" ht="15.75">
      <c r="A14" s="6">
        <v>11</v>
      </c>
      <c r="B14" s="78" t="s">
        <v>225</v>
      </c>
      <c r="C14" s="481" t="s">
        <v>414</v>
      </c>
      <c r="D14" s="481"/>
      <c r="E14" s="533" t="s">
        <v>415</v>
      </c>
      <c r="F14" s="481">
        <v>31.9</v>
      </c>
      <c r="G14" s="481">
        <v>104.72</v>
      </c>
      <c r="H14" s="481">
        <v>3340.57</v>
      </c>
      <c r="I14" s="609"/>
      <c r="J14" s="609"/>
      <c r="K14" s="487">
        <f t="shared" si="0"/>
        <v>0</v>
      </c>
      <c r="L14" s="487">
        <f t="shared" si="1"/>
        <v>3340.57</v>
      </c>
      <c r="M14" s="66"/>
      <c r="N14" s="482">
        <f t="shared" si="2"/>
        <v>1150104.4099999999</v>
      </c>
      <c r="O14" s="6"/>
      <c r="P14" s="6"/>
    </row>
    <row r="15" spans="1:16" ht="15.75">
      <c r="A15" s="6">
        <v>12</v>
      </c>
      <c r="B15" s="78" t="s">
        <v>225</v>
      </c>
      <c r="C15" s="481" t="s">
        <v>416</v>
      </c>
      <c r="D15" s="481"/>
      <c r="E15" s="533" t="s">
        <v>415</v>
      </c>
      <c r="F15" s="481">
        <v>31.9</v>
      </c>
      <c r="G15" s="481">
        <v>94.03</v>
      </c>
      <c r="H15" s="481">
        <v>3000</v>
      </c>
      <c r="I15" s="486"/>
      <c r="J15" s="486"/>
      <c r="K15" s="487">
        <f t="shared" si="0"/>
        <v>0</v>
      </c>
      <c r="L15" s="487">
        <f t="shared" si="1"/>
        <v>3000</v>
      </c>
      <c r="M15" s="66"/>
      <c r="N15" s="482">
        <f t="shared" si="2"/>
        <v>1147104.4099999999</v>
      </c>
      <c r="O15" s="6"/>
      <c r="P15" s="6"/>
    </row>
    <row r="16" spans="1:16" ht="15.75">
      <c r="A16" s="6">
        <v>13</v>
      </c>
      <c r="B16" s="78" t="s">
        <v>225</v>
      </c>
      <c r="C16" s="481" t="s">
        <v>417</v>
      </c>
      <c r="D16" s="481"/>
      <c r="E16" s="533" t="s">
        <v>406</v>
      </c>
      <c r="F16" s="481">
        <v>200</v>
      </c>
      <c r="G16" s="481">
        <v>99.86</v>
      </c>
      <c r="H16" s="481">
        <v>19972</v>
      </c>
      <c r="I16" s="609"/>
      <c r="J16" s="609"/>
      <c r="K16" s="487">
        <f t="shared" si="0"/>
        <v>0</v>
      </c>
      <c r="L16" s="487">
        <f t="shared" si="1"/>
        <v>19972</v>
      </c>
      <c r="M16" s="66"/>
      <c r="N16" s="482">
        <f t="shared" si="2"/>
        <v>1127132.4099999999</v>
      </c>
      <c r="O16" s="6"/>
      <c r="P16" s="6"/>
    </row>
    <row r="17" spans="1:16" ht="15.75">
      <c r="A17" s="6">
        <v>14</v>
      </c>
      <c r="B17" s="78" t="s">
        <v>230</v>
      </c>
      <c r="C17" s="481" t="s">
        <v>418</v>
      </c>
      <c r="D17" s="481"/>
      <c r="E17" s="533" t="s">
        <v>406</v>
      </c>
      <c r="F17" s="5">
        <v>2517.88</v>
      </c>
      <c r="G17" s="5">
        <v>99.29</v>
      </c>
      <c r="H17" s="5">
        <v>250000</v>
      </c>
      <c r="I17" s="609"/>
      <c r="J17" s="609"/>
      <c r="K17" s="487">
        <f t="shared" si="0"/>
        <v>0</v>
      </c>
      <c r="L17" s="487">
        <f t="shared" si="1"/>
        <v>250000</v>
      </c>
      <c r="M17" s="66">
        <v>451000</v>
      </c>
      <c r="N17" s="482">
        <f t="shared" si="2"/>
        <v>1328132.4099999999</v>
      </c>
      <c r="O17" s="6"/>
      <c r="P17" s="6"/>
    </row>
    <row r="18" spans="1:16" ht="15.75">
      <c r="A18" s="6"/>
      <c r="B18" s="78" t="s">
        <v>230</v>
      </c>
      <c r="C18" s="481" t="s">
        <v>410</v>
      </c>
      <c r="D18" s="481"/>
      <c r="E18" s="533" t="s">
        <v>411</v>
      </c>
      <c r="F18" s="5">
        <v>2017.35</v>
      </c>
      <c r="G18" s="5">
        <v>99.14</v>
      </c>
      <c r="H18" s="5">
        <v>200000</v>
      </c>
      <c r="I18" s="609"/>
      <c r="J18" s="609"/>
      <c r="K18" s="487"/>
      <c r="L18" s="487">
        <f t="shared" si="1"/>
        <v>200000</v>
      </c>
      <c r="M18" s="66"/>
      <c r="N18" s="482">
        <f t="shared" si="2"/>
        <v>1128132.4099999999</v>
      </c>
      <c r="O18" s="6"/>
      <c r="P18" s="6"/>
    </row>
    <row r="19" spans="1:16" ht="15.75">
      <c r="A19" s="6">
        <v>15</v>
      </c>
      <c r="B19" s="78" t="s">
        <v>230</v>
      </c>
      <c r="C19" s="481" t="s">
        <v>405</v>
      </c>
      <c r="D19" s="481"/>
      <c r="E19" s="533" t="s">
        <v>406</v>
      </c>
      <c r="F19" s="481">
        <v>150</v>
      </c>
      <c r="G19" s="481">
        <v>99.7</v>
      </c>
      <c r="H19" s="481">
        <v>14955</v>
      </c>
      <c r="I19" s="609"/>
      <c r="J19" s="609"/>
      <c r="K19" s="487">
        <f t="shared" si="0"/>
        <v>0</v>
      </c>
      <c r="L19" s="487">
        <f t="shared" si="1"/>
        <v>14955</v>
      </c>
      <c r="M19" s="66"/>
      <c r="N19" s="482">
        <f t="shared" si="2"/>
        <v>1113177.4099999999</v>
      </c>
      <c r="O19" s="6"/>
      <c r="P19" s="6"/>
    </row>
    <row r="20" spans="1:16" ht="15.75">
      <c r="A20" s="6">
        <v>16</v>
      </c>
      <c r="B20" s="78" t="s">
        <v>241</v>
      </c>
      <c r="C20" s="481" t="s">
        <v>405</v>
      </c>
      <c r="D20" s="481"/>
      <c r="E20" s="533" t="s">
        <v>406</v>
      </c>
      <c r="F20" s="481">
        <v>100</v>
      </c>
      <c r="G20" s="481">
        <v>99.7</v>
      </c>
      <c r="H20" s="481">
        <v>9970</v>
      </c>
      <c r="I20" s="609"/>
      <c r="J20" s="609"/>
      <c r="K20" s="487">
        <f t="shared" si="0"/>
        <v>0</v>
      </c>
      <c r="L20" s="487">
        <f t="shared" si="1"/>
        <v>9970</v>
      </c>
      <c r="M20" s="66">
        <v>5000000</v>
      </c>
      <c r="N20" s="482">
        <f t="shared" si="2"/>
        <v>6103207.4100000001</v>
      </c>
      <c r="O20" s="6"/>
      <c r="P20" s="6"/>
    </row>
    <row r="21" spans="1:16" ht="15.75">
      <c r="A21" s="6"/>
      <c r="B21" s="78" t="s">
        <v>241</v>
      </c>
      <c r="C21" s="481" t="s">
        <v>403</v>
      </c>
      <c r="D21" s="481"/>
      <c r="E21" s="533" t="s">
        <v>404</v>
      </c>
      <c r="F21" s="481">
        <v>36332.94</v>
      </c>
      <c r="G21" s="481">
        <v>103.8</v>
      </c>
      <c r="H21" s="481">
        <v>3771364</v>
      </c>
      <c r="I21" s="609"/>
      <c r="J21" s="609"/>
      <c r="K21" s="487"/>
      <c r="L21" s="487">
        <f t="shared" si="1"/>
        <v>3771364</v>
      </c>
      <c r="M21" s="66"/>
      <c r="N21" s="482">
        <f t="shared" si="2"/>
        <v>2331843.41</v>
      </c>
      <c r="O21" s="6"/>
      <c r="P21" s="6"/>
    </row>
    <row r="22" spans="1:16" ht="15.75">
      <c r="A22" s="6"/>
      <c r="B22" s="78" t="s">
        <v>241</v>
      </c>
      <c r="C22" s="481" t="s">
        <v>408</v>
      </c>
      <c r="D22" s="481"/>
      <c r="E22" s="533" t="s">
        <v>409</v>
      </c>
      <c r="F22" s="481">
        <v>702.81</v>
      </c>
      <c r="G22" s="481">
        <v>99.6</v>
      </c>
      <c r="H22" s="481">
        <v>70000</v>
      </c>
      <c r="I22" s="609"/>
      <c r="J22" s="609"/>
      <c r="K22" s="487"/>
      <c r="L22" s="487">
        <f t="shared" si="1"/>
        <v>70000</v>
      </c>
      <c r="M22" s="66"/>
      <c r="N22" s="482">
        <f t="shared" si="2"/>
        <v>2261843.41</v>
      </c>
      <c r="O22" s="6"/>
      <c r="P22" s="6"/>
    </row>
    <row r="23" spans="1:16" ht="15.75">
      <c r="A23" s="6"/>
      <c r="B23" s="78" t="s">
        <v>241</v>
      </c>
      <c r="C23" s="481" t="s">
        <v>419</v>
      </c>
      <c r="D23" s="481"/>
      <c r="E23" s="533" t="s">
        <v>420</v>
      </c>
      <c r="F23" s="481">
        <v>3009.03</v>
      </c>
      <c r="G23" s="481">
        <v>99.7</v>
      </c>
      <c r="H23" s="481">
        <v>300000</v>
      </c>
      <c r="I23" s="609"/>
      <c r="J23" s="609"/>
      <c r="K23" s="487"/>
      <c r="L23" s="487">
        <f t="shared" si="1"/>
        <v>300000</v>
      </c>
      <c r="M23" s="66"/>
      <c r="N23" s="482">
        <f t="shared" si="2"/>
        <v>1961843.4100000001</v>
      </c>
      <c r="O23" s="6"/>
      <c r="P23" s="6"/>
    </row>
    <row r="24" spans="1:16" ht="15.75">
      <c r="A24" s="6"/>
      <c r="B24" s="78" t="s">
        <v>241</v>
      </c>
      <c r="C24" s="481" t="s">
        <v>410</v>
      </c>
      <c r="D24" s="481"/>
      <c r="E24" s="533" t="s">
        <v>411</v>
      </c>
      <c r="F24" s="481">
        <v>1008.68</v>
      </c>
      <c r="G24" s="481">
        <v>99.14</v>
      </c>
      <c r="H24" s="481">
        <v>100000</v>
      </c>
      <c r="I24" s="609"/>
      <c r="J24" s="609"/>
      <c r="K24" s="487"/>
      <c r="L24" s="487">
        <f t="shared" si="1"/>
        <v>100000</v>
      </c>
      <c r="M24" s="66"/>
      <c r="N24" s="482">
        <f t="shared" si="2"/>
        <v>1861843.4100000001</v>
      </c>
      <c r="O24" s="6"/>
      <c r="P24" s="6"/>
    </row>
    <row r="25" spans="1:16" ht="15.75">
      <c r="A25" s="6"/>
      <c r="B25" s="78" t="s">
        <v>241</v>
      </c>
      <c r="C25" s="481" t="s">
        <v>407</v>
      </c>
      <c r="D25" s="481"/>
      <c r="E25" s="533" t="s">
        <v>421</v>
      </c>
      <c r="F25" s="481">
        <v>3966.04</v>
      </c>
      <c r="G25" s="481">
        <v>99.35</v>
      </c>
      <c r="H25" s="481">
        <v>394027</v>
      </c>
      <c r="I25" s="609"/>
      <c r="J25" s="609"/>
      <c r="K25" s="487"/>
      <c r="L25" s="487">
        <f t="shared" si="1"/>
        <v>394027</v>
      </c>
      <c r="M25" s="66"/>
      <c r="N25" s="482">
        <f t="shared" si="2"/>
        <v>1467816.4100000001</v>
      </c>
      <c r="O25" s="6"/>
      <c r="P25" s="6"/>
    </row>
    <row r="26" spans="1:16" ht="15.75">
      <c r="A26" s="6"/>
      <c r="B26" s="78" t="s">
        <v>241</v>
      </c>
      <c r="C26" s="481" t="s">
        <v>412</v>
      </c>
      <c r="D26" s="481"/>
      <c r="E26" s="535" t="s">
        <v>413</v>
      </c>
      <c r="F26" s="481">
        <v>44.14</v>
      </c>
      <c r="G26" s="481">
        <v>103.76</v>
      </c>
      <c r="H26" s="481">
        <v>4579.96</v>
      </c>
      <c r="I26" s="609"/>
      <c r="J26" s="609"/>
      <c r="K26" s="487"/>
      <c r="L26" s="487">
        <f t="shared" si="1"/>
        <v>4579.96</v>
      </c>
      <c r="M26" s="66"/>
      <c r="N26" s="482">
        <f t="shared" si="2"/>
        <v>1463236.4500000002</v>
      </c>
      <c r="O26" s="6"/>
      <c r="P26" s="6"/>
    </row>
    <row r="27" spans="1:16" ht="15.75">
      <c r="A27" s="6">
        <v>17</v>
      </c>
      <c r="B27" s="78" t="s">
        <v>241</v>
      </c>
      <c r="C27" s="481" t="s">
        <v>412</v>
      </c>
      <c r="D27" s="481"/>
      <c r="E27" s="533" t="s">
        <v>406</v>
      </c>
      <c r="F27" s="481">
        <v>100</v>
      </c>
      <c r="G27" s="481">
        <v>103.76</v>
      </c>
      <c r="H27" s="481">
        <v>10376</v>
      </c>
      <c r="I27" s="609"/>
      <c r="J27" s="609"/>
      <c r="K27" s="487">
        <f t="shared" si="0"/>
        <v>0</v>
      </c>
      <c r="L27" s="487">
        <f t="shared" si="1"/>
        <v>10376</v>
      </c>
      <c r="M27" s="44"/>
      <c r="N27" s="482">
        <f>SUM(N22+M27-L27)</f>
        <v>2251467.41</v>
      </c>
      <c r="O27" s="6"/>
      <c r="P27" s="6"/>
    </row>
    <row r="28" spans="1:16" ht="15.75">
      <c r="A28" s="6">
        <v>18</v>
      </c>
      <c r="B28" s="78" t="s">
        <v>242</v>
      </c>
      <c r="C28" s="481" t="s">
        <v>412</v>
      </c>
      <c r="D28" s="481"/>
      <c r="E28" s="533" t="s">
        <v>406</v>
      </c>
      <c r="F28" s="481">
        <v>70</v>
      </c>
      <c r="G28" s="481">
        <v>103.76</v>
      </c>
      <c r="H28" s="481">
        <v>7263.2</v>
      </c>
      <c r="I28" s="609"/>
      <c r="J28" s="609"/>
      <c r="K28" s="487">
        <f t="shared" si="0"/>
        <v>0</v>
      </c>
      <c r="L28" s="487">
        <f t="shared" si="1"/>
        <v>7263.2</v>
      </c>
      <c r="M28" s="44"/>
      <c r="N28" s="482">
        <f t="shared" si="2"/>
        <v>2244204.21</v>
      </c>
      <c r="O28" s="6"/>
      <c r="P28" s="6"/>
    </row>
    <row r="29" spans="1:16" ht="15.75">
      <c r="A29" s="6">
        <v>19</v>
      </c>
      <c r="B29" s="78" t="s">
        <v>242</v>
      </c>
      <c r="C29" s="481" t="s">
        <v>405</v>
      </c>
      <c r="D29" s="481"/>
      <c r="E29" s="533" t="s">
        <v>406</v>
      </c>
      <c r="F29" s="481">
        <v>150</v>
      </c>
      <c r="G29" s="481">
        <v>99.7</v>
      </c>
      <c r="H29" s="481">
        <v>14955</v>
      </c>
      <c r="I29" s="486">
        <v>44</v>
      </c>
      <c r="J29" s="486">
        <v>111.78</v>
      </c>
      <c r="K29" s="487">
        <f t="shared" si="0"/>
        <v>4918.32</v>
      </c>
      <c r="L29" s="487">
        <f>H29+K29</f>
        <v>19873.32</v>
      </c>
      <c r="M29" s="44"/>
      <c r="N29" s="482">
        <f t="shared" si="2"/>
        <v>2224330.89</v>
      </c>
      <c r="O29" s="6"/>
      <c r="P29" s="6"/>
    </row>
    <row r="30" spans="1:16" ht="15.75">
      <c r="A30" s="6">
        <v>20</v>
      </c>
      <c r="B30" s="78" t="s">
        <v>247</v>
      </c>
      <c r="C30" s="481" t="s">
        <v>422</v>
      </c>
      <c r="D30" s="481"/>
      <c r="E30" s="533" t="s">
        <v>406</v>
      </c>
      <c r="F30" s="481">
        <v>80</v>
      </c>
      <c r="G30" s="481">
        <v>103.88</v>
      </c>
      <c r="H30" s="481">
        <v>8310</v>
      </c>
      <c r="I30" s="609"/>
      <c r="J30" s="609"/>
      <c r="K30" s="487">
        <f t="shared" si="0"/>
        <v>0</v>
      </c>
      <c r="L30" s="487">
        <f>H30+K30</f>
        <v>8310</v>
      </c>
      <c r="M30" s="44"/>
      <c r="N30" s="482">
        <f t="shared" si="2"/>
        <v>2216020.89</v>
      </c>
      <c r="O30" s="6"/>
      <c r="P30" s="6"/>
    </row>
    <row r="31" spans="1:16" ht="15.75">
      <c r="A31" s="6">
        <v>21</v>
      </c>
      <c r="B31" s="78" t="s">
        <v>247</v>
      </c>
      <c r="C31" s="481" t="s">
        <v>412</v>
      </c>
      <c r="D31" s="481"/>
      <c r="E31" s="533" t="s">
        <v>406</v>
      </c>
      <c r="F31" s="481">
        <v>70</v>
      </c>
      <c r="G31" s="481">
        <v>103.76</v>
      </c>
      <c r="H31" s="481">
        <v>7263.19</v>
      </c>
      <c r="I31" s="609"/>
      <c r="J31" s="609"/>
      <c r="K31" s="487">
        <f t="shared" si="0"/>
        <v>0</v>
      </c>
      <c r="L31" s="487">
        <f t="shared" si="1"/>
        <v>7263.19</v>
      </c>
      <c r="M31" s="44"/>
      <c r="N31" s="482">
        <f t="shared" si="2"/>
        <v>2208757.7000000002</v>
      </c>
      <c r="O31" s="6"/>
      <c r="P31" s="6"/>
    </row>
    <row r="32" spans="1:16" ht="15.75">
      <c r="A32" s="6"/>
      <c r="B32" s="78" t="s">
        <v>254</v>
      </c>
      <c r="C32" s="481" t="s">
        <v>306</v>
      </c>
      <c r="D32" s="481"/>
      <c r="E32" s="533" t="s">
        <v>415</v>
      </c>
      <c r="F32" s="481">
        <v>45</v>
      </c>
      <c r="G32" s="481">
        <v>104.92</v>
      </c>
      <c r="H32" s="481">
        <v>4721.3999999999996</v>
      </c>
      <c r="I32" s="609"/>
      <c r="J32" s="609"/>
      <c r="K32" s="487"/>
      <c r="L32" s="487">
        <f t="shared" si="1"/>
        <v>4721.3999999999996</v>
      </c>
      <c r="M32" s="44"/>
      <c r="N32" s="482">
        <f t="shared" si="2"/>
        <v>2204036.3000000003</v>
      </c>
      <c r="O32" s="6"/>
      <c r="P32" s="6"/>
    </row>
    <row r="33" spans="1:16" ht="15.75">
      <c r="A33" s="6"/>
      <c r="B33" s="78" t="s">
        <v>257</v>
      </c>
      <c r="C33" s="481" t="s">
        <v>306</v>
      </c>
      <c r="D33" s="481"/>
      <c r="E33" s="533" t="s">
        <v>415</v>
      </c>
      <c r="F33" s="481">
        <v>25</v>
      </c>
      <c r="G33" s="481">
        <v>104.92</v>
      </c>
      <c r="H33" s="481">
        <v>2623</v>
      </c>
      <c r="I33" s="609"/>
      <c r="J33" s="609"/>
      <c r="K33" s="487"/>
      <c r="L33" s="487">
        <f t="shared" si="1"/>
        <v>2623</v>
      </c>
      <c r="M33" s="44"/>
      <c r="N33" s="482">
        <f t="shared" si="2"/>
        <v>2201413.3000000003</v>
      </c>
      <c r="O33" s="6"/>
      <c r="P33" s="6"/>
    </row>
    <row r="34" spans="1:16" ht="15.75">
      <c r="A34" s="6">
        <v>22</v>
      </c>
      <c r="B34" s="78" t="s">
        <v>266</v>
      </c>
      <c r="C34" s="481" t="s">
        <v>423</v>
      </c>
      <c r="D34" s="481"/>
      <c r="E34" s="533" t="s">
        <v>406</v>
      </c>
      <c r="F34" s="481">
        <v>91.95</v>
      </c>
      <c r="G34" s="481">
        <v>98.37</v>
      </c>
      <c r="H34" s="481">
        <v>9045.1200000000008</v>
      </c>
      <c r="I34" s="609"/>
      <c r="J34" s="486"/>
      <c r="K34" s="487">
        <f t="shared" si="0"/>
        <v>0</v>
      </c>
      <c r="L34" s="487">
        <f t="shared" si="1"/>
        <v>9045.1200000000008</v>
      </c>
      <c r="M34" s="44"/>
      <c r="N34" s="482">
        <f>SUM(N31+M34-L34)</f>
        <v>2199712.58</v>
      </c>
      <c r="O34" s="6"/>
      <c r="P34" s="6"/>
    </row>
    <row r="35" spans="1:16" ht="15.75">
      <c r="A35" s="6"/>
      <c r="B35" s="78" t="s">
        <v>266</v>
      </c>
      <c r="C35" s="481" t="s">
        <v>424</v>
      </c>
      <c r="D35" s="481"/>
      <c r="E35" s="533" t="s">
        <v>415</v>
      </c>
      <c r="F35" s="481">
        <v>60</v>
      </c>
      <c r="G35" s="481">
        <v>104.68</v>
      </c>
      <c r="H35" s="481">
        <v>6280.8</v>
      </c>
      <c r="I35" s="609">
        <v>5.04</v>
      </c>
      <c r="J35" s="486">
        <v>116.96</v>
      </c>
      <c r="K35" s="487">
        <v>590</v>
      </c>
      <c r="L35" s="487">
        <f t="shared" si="1"/>
        <v>6870.8</v>
      </c>
      <c r="M35" s="44"/>
      <c r="N35" s="482">
        <f t="shared" ref="N35:N70" si="3">SUM(N32+M35-L35)</f>
        <v>2197165.5000000005</v>
      </c>
      <c r="O35" s="6"/>
      <c r="P35" s="6"/>
    </row>
    <row r="36" spans="1:16" ht="15.75">
      <c r="A36" s="6">
        <v>23</v>
      </c>
      <c r="B36" s="78" t="s">
        <v>270</v>
      </c>
      <c r="C36" s="481" t="s">
        <v>418</v>
      </c>
      <c r="D36" s="481"/>
      <c r="E36" s="533" t="s">
        <v>406</v>
      </c>
      <c r="F36" s="481">
        <v>1712.16</v>
      </c>
      <c r="G36" s="481">
        <v>99.29</v>
      </c>
      <c r="H36" s="481">
        <v>170000</v>
      </c>
      <c r="I36" s="609"/>
      <c r="J36" s="609"/>
      <c r="K36" s="487">
        <f t="shared" si="0"/>
        <v>0</v>
      </c>
      <c r="L36" s="487">
        <f t="shared" si="1"/>
        <v>170000</v>
      </c>
      <c r="M36" s="44">
        <v>800000</v>
      </c>
      <c r="N36" s="482">
        <f t="shared" si="3"/>
        <v>2831413.3000000003</v>
      </c>
      <c r="O36" s="6"/>
      <c r="P36" s="6"/>
    </row>
    <row r="37" spans="1:16" ht="15.75">
      <c r="A37" s="6"/>
      <c r="B37" s="78" t="s">
        <v>270</v>
      </c>
      <c r="C37" s="481" t="s">
        <v>410</v>
      </c>
      <c r="D37" s="481"/>
      <c r="E37" s="533" t="s">
        <v>411</v>
      </c>
      <c r="F37" s="481">
        <v>1513.01</v>
      </c>
      <c r="G37" s="481">
        <v>99.14</v>
      </c>
      <c r="H37" s="481">
        <v>150000</v>
      </c>
      <c r="I37" s="609"/>
      <c r="J37" s="609"/>
      <c r="K37" s="487"/>
      <c r="L37" s="487">
        <f t="shared" si="1"/>
        <v>150000</v>
      </c>
      <c r="M37" s="44"/>
      <c r="N37" s="482">
        <f t="shared" si="3"/>
        <v>2049712.58</v>
      </c>
      <c r="O37" s="6"/>
      <c r="P37" s="6"/>
    </row>
    <row r="38" spans="1:16" ht="15.75">
      <c r="A38" s="6"/>
      <c r="B38" s="78" t="s">
        <v>270</v>
      </c>
      <c r="C38" s="481" t="s">
        <v>425</v>
      </c>
      <c r="D38" s="481"/>
      <c r="E38" s="533" t="s">
        <v>404</v>
      </c>
      <c r="F38" s="481">
        <v>2890.17</v>
      </c>
      <c r="G38" s="481">
        <v>103.8</v>
      </c>
      <c r="H38" s="481">
        <v>300000</v>
      </c>
      <c r="I38" s="609"/>
      <c r="J38" s="609"/>
      <c r="K38" s="487"/>
      <c r="L38" s="487">
        <f t="shared" si="1"/>
        <v>300000</v>
      </c>
      <c r="M38" s="44"/>
      <c r="N38" s="482">
        <f t="shared" si="3"/>
        <v>1897165.5000000005</v>
      </c>
      <c r="O38" s="6"/>
      <c r="P38" s="6"/>
    </row>
    <row r="39" spans="1:16" ht="15.75">
      <c r="A39" s="6">
        <v>24</v>
      </c>
      <c r="B39" s="78" t="s">
        <v>270</v>
      </c>
      <c r="C39" s="481" t="s">
        <v>405</v>
      </c>
      <c r="D39" s="481"/>
      <c r="E39" s="533" t="s">
        <v>406</v>
      </c>
      <c r="F39" s="481">
        <v>195</v>
      </c>
      <c r="G39" s="481">
        <v>99.7</v>
      </c>
      <c r="H39" s="481">
        <v>19441.5</v>
      </c>
      <c r="I39" s="609"/>
      <c r="J39" s="609"/>
      <c r="K39" s="487">
        <f t="shared" si="0"/>
        <v>0</v>
      </c>
      <c r="L39" s="487">
        <f t="shared" si="1"/>
        <v>19441.5</v>
      </c>
      <c r="M39" s="44"/>
      <c r="N39" s="482">
        <f t="shared" si="3"/>
        <v>2811971.8000000003</v>
      </c>
      <c r="O39" s="6"/>
      <c r="P39" s="6"/>
    </row>
    <row r="40" spans="1:16" ht="15.75">
      <c r="A40" s="6"/>
      <c r="B40" s="78" t="s">
        <v>275</v>
      </c>
      <c r="C40" s="481" t="s">
        <v>426</v>
      </c>
      <c r="D40" s="481"/>
      <c r="E40" s="533" t="s">
        <v>411</v>
      </c>
      <c r="F40" s="481">
        <v>2019.79</v>
      </c>
      <c r="G40" s="481">
        <v>99.02</v>
      </c>
      <c r="H40" s="481">
        <v>200000</v>
      </c>
      <c r="I40" s="609"/>
      <c r="J40" s="609"/>
      <c r="K40" s="487"/>
      <c r="L40" s="487">
        <f t="shared" si="1"/>
        <v>200000</v>
      </c>
      <c r="M40" s="44"/>
      <c r="N40" s="482">
        <f t="shared" si="3"/>
        <v>1849712.58</v>
      </c>
      <c r="O40" s="6"/>
      <c r="P40" s="6"/>
    </row>
    <row r="41" spans="1:16" ht="15.75">
      <c r="A41" s="6">
        <v>25</v>
      </c>
      <c r="B41" s="78" t="s">
        <v>275</v>
      </c>
      <c r="C41" s="481" t="s">
        <v>427</v>
      </c>
      <c r="D41" s="481"/>
      <c r="E41" s="533" t="s">
        <v>406</v>
      </c>
      <c r="F41" s="481">
        <v>150</v>
      </c>
      <c r="G41" s="481">
        <v>105.34</v>
      </c>
      <c r="H41" s="481">
        <v>15801</v>
      </c>
      <c r="I41" s="609"/>
      <c r="J41" s="609"/>
      <c r="K41" s="487">
        <f t="shared" si="0"/>
        <v>0</v>
      </c>
      <c r="L41" s="487">
        <f t="shared" si="1"/>
        <v>15801</v>
      </c>
      <c r="M41" s="44"/>
      <c r="N41" s="482">
        <f>SUM(N37+M41-L41)</f>
        <v>2033911.58</v>
      </c>
      <c r="O41" s="6"/>
      <c r="P41" s="6"/>
    </row>
    <row r="42" spans="1:16" ht="15.75">
      <c r="A42" s="6">
        <v>26</v>
      </c>
      <c r="B42" s="78" t="s">
        <v>275</v>
      </c>
      <c r="C42" s="481" t="s">
        <v>428</v>
      </c>
      <c r="D42" s="481"/>
      <c r="E42" s="533" t="s">
        <v>406</v>
      </c>
      <c r="F42" s="481">
        <v>200</v>
      </c>
      <c r="G42" s="481">
        <v>103.51</v>
      </c>
      <c r="H42" s="481">
        <v>20702</v>
      </c>
      <c r="I42" s="609"/>
      <c r="J42" s="609"/>
      <c r="K42" s="487">
        <f t="shared" si="0"/>
        <v>0</v>
      </c>
      <c r="L42" s="487">
        <f t="shared" si="1"/>
        <v>20702</v>
      </c>
      <c r="M42" s="44"/>
      <c r="N42" s="482">
        <f>SUM(N38+M42-L42)</f>
        <v>1876463.5000000005</v>
      </c>
      <c r="O42" s="6"/>
      <c r="P42" s="6"/>
    </row>
    <row r="43" spans="1:16" ht="15.75">
      <c r="A43" s="6">
        <v>27</v>
      </c>
      <c r="B43" s="78" t="s">
        <v>275</v>
      </c>
      <c r="C43" s="481" t="s">
        <v>412</v>
      </c>
      <c r="D43" s="481"/>
      <c r="E43" s="533" t="s">
        <v>406</v>
      </c>
      <c r="F43" s="481">
        <v>70</v>
      </c>
      <c r="G43" s="481">
        <v>103.76</v>
      </c>
      <c r="H43" s="481">
        <v>7263.2</v>
      </c>
      <c r="I43" s="609"/>
      <c r="J43" s="609"/>
      <c r="K43" s="487">
        <f t="shared" si="0"/>
        <v>0</v>
      </c>
      <c r="L43" s="487">
        <f t="shared" si="1"/>
        <v>7263.2</v>
      </c>
      <c r="M43" s="47"/>
      <c r="N43" s="482">
        <f>SUM(N39+M43-L43)</f>
        <v>2804708.6</v>
      </c>
      <c r="O43" s="6"/>
      <c r="P43" s="6"/>
    </row>
    <row r="44" spans="1:16" ht="15.75">
      <c r="A44" s="6">
        <v>28</v>
      </c>
      <c r="B44" s="78" t="s">
        <v>280</v>
      </c>
      <c r="C44" s="481" t="s">
        <v>412</v>
      </c>
      <c r="D44" s="481"/>
      <c r="E44" s="533" t="s">
        <v>406</v>
      </c>
      <c r="F44" s="481">
        <v>35</v>
      </c>
      <c r="G44" s="481">
        <v>103.76</v>
      </c>
      <c r="H44" s="481">
        <v>3631.6</v>
      </c>
      <c r="I44" s="609"/>
      <c r="J44" s="609"/>
      <c r="K44" s="487">
        <f t="shared" si="0"/>
        <v>0</v>
      </c>
      <c r="L44" s="487">
        <f t="shared" si="1"/>
        <v>3631.6</v>
      </c>
      <c r="M44" s="47">
        <v>600000</v>
      </c>
      <c r="N44" s="482">
        <f t="shared" si="3"/>
        <v>2630279.98</v>
      </c>
      <c r="O44" s="6"/>
      <c r="P44" s="6"/>
    </row>
    <row r="45" spans="1:16" ht="15.75">
      <c r="A45" s="6"/>
      <c r="B45" s="78" t="s">
        <v>280</v>
      </c>
      <c r="C45" s="481" t="s">
        <v>425</v>
      </c>
      <c r="D45" s="481"/>
      <c r="E45" s="533" t="s">
        <v>404</v>
      </c>
      <c r="F45" s="481">
        <v>2890.17</v>
      </c>
      <c r="G45" s="481">
        <v>103.8</v>
      </c>
      <c r="H45" s="481">
        <v>300000</v>
      </c>
      <c r="I45" s="609"/>
      <c r="J45" s="609"/>
      <c r="K45" s="487"/>
      <c r="L45" s="487">
        <f t="shared" si="1"/>
        <v>300000</v>
      </c>
      <c r="M45" s="47"/>
      <c r="N45" s="482">
        <f t="shared" si="3"/>
        <v>1576463.5000000005</v>
      </c>
      <c r="O45" s="6"/>
      <c r="P45" s="6"/>
    </row>
    <row r="46" spans="1:16" ht="15.75">
      <c r="A46" s="6"/>
      <c r="B46" s="78" t="s">
        <v>280</v>
      </c>
      <c r="C46" s="481" t="s">
        <v>306</v>
      </c>
      <c r="D46" s="481"/>
      <c r="E46" s="536"/>
      <c r="F46" s="481">
        <v>47.66</v>
      </c>
      <c r="G46" s="481">
        <v>104.92</v>
      </c>
      <c r="H46" s="481">
        <v>5000</v>
      </c>
      <c r="I46" s="609"/>
      <c r="J46" s="609"/>
      <c r="K46" s="487"/>
      <c r="L46" s="487">
        <f t="shared" si="1"/>
        <v>5000</v>
      </c>
      <c r="M46" s="47"/>
      <c r="N46" s="482">
        <f t="shared" si="3"/>
        <v>2799708.6</v>
      </c>
      <c r="O46" s="6"/>
      <c r="P46" s="6"/>
    </row>
    <row r="47" spans="1:16" ht="15.75">
      <c r="A47" s="6">
        <v>29</v>
      </c>
      <c r="B47" s="78" t="s">
        <v>280</v>
      </c>
      <c r="C47" s="481" t="s">
        <v>405</v>
      </c>
      <c r="D47" s="481"/>
      <c r="E47" s="533" t="s">
        <v>406</v>
      </c>
      <c r="F47" s="481">
        <v>195</v>
      </c>
      <c r="G47" s="481">
        <v>99.7</v>
      </c>
      <c r="H47" s="481">
        <v>19441.5</v>
      </c>
      <c r="I47" s="481"/>
      <c r="J47" s="481"/>
      <c r="K47" s="481">
        <f t="shared" si="0"/>
        <v>0</v>
      </c>
      <c r="L47" s="487">
        <f t="shared" si="1"/>
        <v>19441.5</v>
      </c>
      <c r="M47" s="47"/>
      <c r="N47" s="482">
        <f>SUM(N42+M47-L47)</f>
        <v>1857022.0000000005</v>
      </c>
      <c r="O47" s="6"/>
      <c r="P47" s="6"/>
    </row>
    <row r="48" spans="1:16" ht="15.75">
      <c r="A48" s="6"/>
      <c r="B48" s="78" t="s">
        <v>429</v>
      </c>
      <c r="C48" s="481" t="s">
        <v>412</v>
      </c>
      <c r="D48" s="481"/>
      <c r="E48" s="533" t="s">
        <v>413</v>
      </c>
      <c r="F48" s="481">
        <v>70</v>
      </c>
      <c r="G48" s="481">
        <v>103.8</v>
      </c>
      <c r="H48" s="481">
        <v>7263.2</v>
      </c>
      <c r="I48" s="481"/>
      <c r="J48" s="481"/>
      <c r="K48" s="481"/>
      <c r="L48" s="487">
        <f t="shared" si="1"/>
        <v>7263.2</v>
      </c>
      <c r="M48" s="47"/>
      <c r="N48" s="482"/>
      <c r="O48" s="6"/>
      <c r="P48" s="6"/>
    </row>
    <row r="49" spans="1:16" ht="15.75">
      <c r="A49" s="6"/>
      <c r="B49" s="78" t="s">
        <v>429</v>
      </c>
      <c r="C49" s="481" t="s">
        <v>424</v>
      </c>
      <c r="D49" s="481"/>
      <c r="E49" s="533" t="s">
        <v>415</v>
      </c>
      <c r="F49" s="481">
        <v>19.11</v>
      </c>
      <c r="G49" s="481">
        <v>104.7</v>
      </c>
      <c r="H49" s="481">
        <v>2000</v>
      </c>
      <c r="I49" s="481"/>
      <c r="J49" s="481"/>
      <c r="K49" s="481"/>
      <c r="L49" s="487">
        <f t="shared" si="1"/>
        <v>2000</v>
      </c>
      <c r="M49" s="47"/>
      <c r="N49" s="482"/>
      <c r="O49" s="6"/>
      <c r="P49" s="6"/>
    </row>
    <row r="50" spans="1:16" ht="15.75">
      <c r="A50" s="6">
        <v>30</v>
      </c>
      <c r="B50" s="78" t="s">
        <v>430</v>
      </c>
      <c r="C50" s="481" t="s">
        <v>405</v>
      </c>
      <c r="D50" s="481"/>
      <c r="E50" s="533" t="s">
        <v>406</v>
      </c>
      <c r="F50" s="481">
        <v>195</v>
      </c>
      <c r="G50" s="481">
        <v>99.7</v>
      </c>
      <c r="H50" s="481">
        <v>19441.5</v>
      </c>
      <c r="I50" s="481"/>
      <c r="J50" s="481"/>
      <c r="K50" s="481">
        <f t="shared" si="0"/>
        <v>0</v>
      </c>
      <c r="L50" s="487">
        <f t="shared" si="1"/>
        <v>19441.5</v>
      </c>
      <c r="M50" s="47"/>
      <c r="N50" s="482">
        <f>SUM(N43+M50-L50)</f>
        <v>2785267.1</v>
      </c>
      <c r="O50" s="6"/>
      <c r="P50" s="6"/>
    </row>
    <row r="51" spans="1:16" ht="15.75">
      <c r="A51" s="6"/>
      <c r="B51" s="78"/>
      <c r="C51" s="481"/>
      <c r="D51" s="481"/>
      <c r="E51" s="533"/>
      <c r="F51" s="481"/>
      <c r="G51" s="481"/>
      <c r="H51" s="481"/>
      <c r="I51" s="481"/>
      <c r="J51" s="481"/>
      <c r="K51" s="481"/>
      <c r="L51" s="487"/>
      <c r="M51" s="47"/>
      <c r="N51" s="482"/>
      <c r="O51" s="6"/>
      <c r="P51" s="6"/>
    </row>
    <row r="52" spans="1:16" ht="15.75">
      <c r="A52" s="6"/>
      <c r="B52" s="78"/>
      <c r="C52" s="481"/>
      <c r="D52" s="481"/>
      <c r="E52" s="533"/>
      <c r="F52" s="481"/>
      <c r="G52" s="481"/>
      <c r="H52" s="481"/>
      <c r="I52" s="481"/>
      <c r="J52" s="481"/>
      <c r="K52" s="481"/>
      <c r="L52" s="487"/>
      <c r="M52" s="47"/>
      <c r="N52" s="482"/>
      <c r="O52" s="6"/>
      <c r="P52" s="6"/>
    </row>
    <row r="53" spans="1:16" ht="15.75">
      <c r="A53" s="6"/>
      <c r="B53" s="78"/>
      <c r="C53" s="481"/>
      <c r="D53" s="481"/>
      <c r="E53" s="533"/>
      <c r="F53" s="481"/>
      <c r="G53" s="481"/>
      <c r="H53" s="481"/>
      <c r="I53" s="481"/>
      <c r="J53" s="481"/>
      <c r="K53" s="481"/>
      <c r="L53" s="487"/>
      <c r="M53" s="47"/>
      <c r="N53" s="482"/>
      <c r="O53" s="6"/>
      <c r="P53" s="6"/>
    </row>
    <row r="54" spans="1:16" ht="15.75">
      <c r="A54" s="6"/>
      <c r="B54" s="78"/>
      <c r="C54" s="481"/>
      <c r="D54" s="481"/>
      <c r="E54" s="533"/>
      <c r="F54" s="481"/>
      <c r="G54" s="481"/>
      <c r="H54" s="481"/>
      <c r="I54" s="481"/>
      <c r="J54" s="481"/>
      <c r="K54" s="481"/>
      <c r="L54" s="487"/>
      <c r="M54" s="47"/>
      <c r="N54" s="482"/>
      <c r="O54" s="6"/>
      <c r="P54" s="6"/>
    </row>
    <row r="55" spans="1:16" ht="15.75">
      <c r="A55" s="6"/>
      <c r="B55" s="78"/>
      <c r="C55" s="481"/>
      <c r="D55" s="481"/>
      <c r="E55" s="533"/>
      <c r="F55" s="481"/>
      <c r="G55" s="481"/>
      <c r="H55" s="481"/>
      <c r="I55" s="481"/>
      <c r="J55" s="481"/>
      <c r="K55" s="481"/>
      <c r="L55" s="487"/>
      <c r="M55" s="47"/>
      <c r="N55" s="482"/>
      <c r="O55" s="6"/>
      <c r="P55" s="6"/>
    </row>
    <row r="56" spans="1:16" ht="15.75">
      <c r="A56" s="6"/>
      <c r="B56" s="78"/>
      <c r="C56" s="481"/>
      <c r="D56" s="481"/>
      <c r="E56" s="533"/>
      <c r="F56" s="481"/>
      <c r="G56" s="481"/>
      <c r="H56" s="481"/>
      <c r="I56" s="481"/>
      <c r="J56" s="481"/>
      <c r="K56" s="481"/>
      <c r="L56" s="487"/>
      <c r="M56" s="47"/>
      <c r="N56" s="482"/>
      <c r="O56" s="6"/>
      <c r="P56" s="6"/>
    </row>
    <row r="57" spans="1:16" ht="15.75">
      <c r="A57" s="6"/>
      <c r="B57" s="78"/>
      <c r="C57" s="481"/>
      <c r="D57" s="481"/>
      <c r="E57" s="533"/>
      <c r="F57" s="481"/>
      <c r="G57" s="481"/>
      <c r="H57" s="481"/>
      <c r="I57" s="481"/>
      <c r="J57" s="481"/>
      <c r="K57" s="481"/>
      <c r="L57" s="487"/>
      <c r="M57" s="47"/>
      <c r="N57" s="482"/>
      <c r="O57" s="6"/>
      <c r="P57" s="6"/>
    </row>
    <row r="58" spans="1:16" ht="15.75">
      <c r="A58" s="6"/>
      <c r="B58" s="78"/>
      <c r="C58" s="481"/>
      <c r="D58" s="481"/>
      <c r="E58" s="533"/>
      <c r="F58" s="481"/>
      <c r="G58" s="481"/>
      <c r="H58" s="481"/>
      <c r="I58" s="481"/>
      <c r="J58" s="481"/>
      <c r="K58" s="481"/>
      <c r="L58" s="487"/>
      <c r="M58" s="47"/>
      <c r="N58" s="482"/>
      <c r="O58" s="6"/>
      <c r="P58" s="6"/>
    </row>
    <row r="59" spans="1:16" ht="15.75">
      <c r="A59" s="6"/>
      <c r="B59" s="78"/>
      <c r="C59" s="481"/>
      <c r="D59" s="481"/>
      <c r="E59" s="533"/>
      <c r="F59" s="481"/>
      <c r="G59" s="481"/>
      <c r="H59" s="481"/>
      <c r="I59" s="481"/>
      <c r="J59" s="481"/>
      <c r="K59" s="481"/>
      <c r="L59" s="487"/>
      <c r="M59" s="47"/>
      <c r="N59" s="482"/>
      <c r="O59" s="6"/>
      <c r="P59" s="6"/>
    </row>
    <row r="60" spans="1:16" ht="15.75">
      <c r="A60" s="6"/>
      <c r="B60" s="78"/>
      <c r="C60" s="481"/>
      <c r="D60" s="481"/>
      <c r="E60" s="533"/>
      <c r="F60" s="481"/>
      <c r="G60" s="481"/>
      <c r="H60" s="481"/>
      <c r="I60" s="481"/>
      <c r="J60" s="481"/>
      <c r="K60" s="481"/>
      <c r="L60" s="487"/>
      <c r="M60" s="47"/>
      <c r="N60" s="482"/>
      <c r="O60" s="6"/>
      <c r="P60" s="6"/>
    </row>
    <row r="61" spans="1:16" ht="15.75">
      <c r="A61" s="6"/>
      <c r="B61" s="78"/>
      <c r="C61" s="481"/>
      <c r="D61" s="481"/>
      <c r="E61" s="533"/>
      <c r="F61" s="481"/>
      <c r="G61" s="481"/>
      <c r="H61" s="481"/>
      <c r="I61" s="481"/>
      <c r="J61" s="481"/>
      <c r="K61" s="481"/>
      <c r="L61" s="487"/>
      <c r="M61" s="47"/>
      <c r="N61" s="482"/>
      <c r="O61" s="6"/>
      <c r="P61" s="6"/>
    </row>
    <row r="62" spans="1:16" ht="15.75">
      <c r="A62" s="6"/>
      <c r="B62" s="78"/>
      <c r="C62" s="481"/>
      <c r="D62" s="481"/>
      <c r="E62" s="533"/>
      <c r="F62" s="481"/>
      <c r="G62" s="481"/>
      <c r="H62" s="481"/>
      <c r="I62" s="481"/>
      <c r="J62" s="481"/>
      <c r="K62" s="481"/>
      <c r="L62" s="487"/>
      <c r="M62" s="47"/>
      <c r="N62" s="482"/>
      <c r="O62" s="6"/>
      <c r="P62" s="6"/>
    </row>
    <row r="63" spans="1:16" ht="15.75">
      <c r="A63" s="6"/>
      <c r="B63" s="78"/>
      <c r="C63" s="481"/>
      <c r="D63" s="481"/>
      <c r="E63" s="533"/>
      <c r="F63" s="481"/>
      <c r="G63" s="481"/>
      <c r="H63" s="481"/>
      <c r="I63" s="481"/>
      <c r="J63" s="481"/>
      <c r="K63" s="481"/>
      <c r="L63" s="487"/>
      <c r="M63" s="47"/>
      <c r="N63" s="482"/>
      <c r="O63" s="6"/>
      <c r="P63" s="6"/>
    </row>
    <row r="64" spans="1:16" ht="15.75">
      <c r="A64" s="6"/>
      <c r="B64" s="78"/>
      <c r="C64" s="481"/>
      <c r="D64" s="481"/>
      <c r="E64" s="533"/>
      <c r="F64" s="481"/>
      <c r="G64" s="481"/>
      <c r="H64" s="481"/>
      <c r="I64" s="481"/>
      <c r="J64" s="481"/>
      <c r="K64" s="481"/>
      <c r="L64" s="487"/>
      <c r="M64" s="47"/>
      <c r="N64" s="482"/>
      <c r="O64" s="6"/>
      <c r="P64" s="6"/>
    </row>
    <row r="65" spans="1:16" ht="15.75">
      <c r="A65" s="6"/>
      <c r="B65" s="78"/>
      <c r="C65" s="481"/>
      <c r="D65" s="481"/>
      <c r="E65" s="533"/>
      <c r="F65" s="481"/>
      <c r="G65" s="481"/>
      <c r="H65" s="481"/>
      <c r="I65" s="481"/>
      <c r="J65" s="481"/>
      <c r="K65" s="481"/>
      <c r="L65" s="487"/>
      <c r="M65" s="47"/>
      <c r="N65" s="482"/>
      <c r="O65" s="6"/>
      <c r="P65" s="6"/>
    </row>
    <row r="66" spans="1:16" ht="15.75">
      <c r="A66" s="6"/>
      <c r="B66" s="78"/>
      <c r="C66" s="481"/>
      <c r="D66" s="481"/>
      <c r="E66" s="533"/>
      <c r="F66" s="481"/>
      <c r="G66" s="481"/>
      <c r="H66" s="481"/>
      <c r="I66" s="481"/>
      <c r="J66" s="481"/>
      <c r="K66" s="481"/>
      <c r="L66" s="487"/>
      <c r="M66" s="47"/>
      <c r="N66" s="482"/>
      <c r="O66" s="6"/>
      <c r="P66" s="6"/>
    </row>
    <row r="67" spans="1:16" ht="15.75">
      <c r="A67" s="6">
        <v>31</v>
      </c>
      <c r="B67" s="78" t="s">
        <v>431</v>
      </c>
      <c r="C67" s="481" t="s">
        <v>405</v>
      </c>
      <c r="D67" s="481"/>
      <c r="E67" s="533" t="s">
        <v>406</v>
      </c>
      <c r="F67" s="481">
        <v>195</v>
      </c>
      <c r="G67" s="481">
        <v>99.7</v>
      </c>
      <c r="H67" s="481">
        <v>19441.5</v>
      </c>
      <c r="I67" s="609"/>
      <c r="J67" s="609"/>
      <c r="K67" s="487">
        <f t="shared" si="0"/>
        <v>0</v>
      </c>
      <c r="L67" s="487">
        <f t="shared" si="1"/>
        <v>19441.5</v>
      </c>
      <c r="M67" s="47"/>
      <c r="N67" s="482">
        <f>SUM(N44+M67-L67)</f>
        <v>2610838.48</v>
      </c>
      <c r="O67" s="6"/>
      <c r="P67" s="6"/>
    </row>
    <row r="68" spans="1:16" ht="15.75">
      <c r="A68" s="6"/>
      <c r="B68" s="78" t="s">
        <v>432</v>
      </c>
      <c r="C68" s="481"/>
      <c r="D68" s="481"/>
      <c r="E68" s="533"/>
      <c r="F68" s="481"/>
      <c r="G68" s="481"/>
      <c r="H68" s="481"/>
      <c r="I68" s="609"/>
      <c r="J68" s="609"/>
      <c r="K68" s="487"/>
      <c r="L68" s="487">
        <f t="shared" si="1"/>
        <v>0</v>
      </c>
      <c r="M68" s="47">
        <v>775000</v>
      </c>
      <c r="N68" s="482">
        <f>SUM(N47+M68-L68)</f>
        <v>2632022.0000000005</v>
      </c>
      <c r="O68" s="6"/>
      <c r="P68" s="6"/>
    </row>
    <row r="69" spans="1:16" ht="15.75">
      <c r="A69" s="6">
        <v>32</v>
      </c>
      <c r="B69" s="78" t="s">
        <v>433</v>
      </c>
      <c r="C69" s="481" t="s">
        <v>405</v>
      </c>
      <c r="D69" s="481"/>
      <c r="E69" s="533" t="s">
        <v>406</v>
      </c>
      <c r="F69" s="481">
        <v>195</v>
      </c>
      <c r="G69" s="481">
        <v>99.7</v>
      </c>
      <c r="H69" s="481">
        <v>19441.5</v>
      </c>
      <c r="I69" s="610"/>
      <c r="J69" s="610"/>
      <c r="K69" s="487">
        <f t="shared" si="0"/>
        <v>0</v>
      </c>
      <c r="L69" s="487">
        <f t="shared" si="1"/>
        <v>19441.5</v>
      </c>
      <c r="M69" s="6">
        <v>1332000</v>
      </c>
      <c r="N69" s="482">
        <f>SUM(N50+M69-L69)</f>
        <v>4097825.6</v>
      </c>
      <c r="O69" s="6"/>
      <c r="P69" s="6"/>
    </row>
    <row r="70" spans="1:16" ht="15.75">
      <c r="A70" s="6">
        <v>33</v>
      </c>
      <c r="B70" s="78"/>
      <c r="C70" s="481"/>
      <c r="D70" s="481"/>
      <c r="E70" s="481"/>
      <c r="F70" s="481"/>
      <c r="G70" s="481"/>
      <c r="H70" s="481"/>
      <c r="I70" s="610"/>
      <c r="J70" s="610"/>
      <c r="K70" s="487">
        <f t="shared" si="0"/>
        <v>0</v>
      </c>
      <c r="L70" s="487">
        <f t="shared" si="1"/>
        <v>0</v>
      </c>
      <c r="M70" s="6"/>
      <c r="N70" s="482">
        <f t="shared" si="3"/>
        <v>2610838.48</v>
      </c>
      <c r="O70" s="6"/>
      <c r="P70" s="6"/>
    </row>
    <row r="71" spans="1:16" ht="15.75">
      <c r="A71" s="6">
        <v>34</v>
      </c>
      <c r="B71" s="78"/>
      <c r="C71" s="481"/>
      <c r="D71" s="481"/>
      <c r="E71" s="481"/>
      <c r="F71" s="481"/>
      <c r="G71" s="481"/>
      <c r="H71" s="481"/>
      <c r="I71" s="610"/>
      <c r="J71" s="610"/>
      <c r="K71" s="487">
        <f t="shared" si="0"/>
        <v>0</v>
      </c>
      <c r="L71" s="487">
        <f t="shared" si="1"/>
        <v>0</v>
      </c>
      <c r="M71" s="6"/>
      <c r="N71" s="482">
        <f t="shared" si="2"/>
        <v>2610838.48</v>
      </c>
      <c r="O71" s="6"/>
      <c r="P71" s="6"/>
    </row>
    <row r="72" spans="1:16" ht="15.75">
      <c r="A72" s="6">
        <v>35</v>
      </c>
      <c r="B72" s="78"/>
      <c r="C72" s="481"/>
      <c r="D72" s="481"/>
      <c r="E72" s="481"/>
      <c r="F72" s="481"/>
      <c r="G72" s="481"/>
      <c r="H72" s="481"/>
      <c r="I72" s="610"/>
      <c r="J72" s="610"/>
      <c r="K72" s="487">
        <f t="shared" si="0"/>
        <v>0</v>
      </c>
      <c r="L72" s="487">
        <f t="shared" si="1"/>
        <v>0</v>
      </c>
      <c r="M72" s="6"/>
      <c r="N72" s="482">
        <f t="shared" si="2"/>
        <v>2610838.48</v>
      </c>
      <c r="O72" s="6"/>
      <c r="P72" s="6"/>
    </row>
    <row r="73" spans="1:16" ht="15.75">
      <c r="A73" s="6">
        <v>36</v>
      </c>
      <c r="B73" s="78"/>
      <c r="C73" s="481"/>
      <c r="D73" s="481"/>
      <c r="E73" s="481"/>
      <c r="F73" s="481"/>
      <c r="G73" s="481"/>
      <c r="H73" s="481"/>
      <c r="I73" s="486"/>
      <c r="J73" s="486"/>
      <c r="K73" s="487">
        <f t="shared" si="0"/>
        <v>0</v>
      </c>
      <c r="L73" s="487">
        <f t="shared" si="1"/>
        <v>0</v>
      </c>
      <c r="M73" s="6"/>
      <c r="N73" s="482">
        <f t="shared" si="2"/>
        <v>2610838.48</v>
      </c>
      <c r="O73" s="6"/>
      <c r="P73" s="6"/>
    </row>
    <row r="74" spans="1:16" ht="15.75">
      <c r="A74" s="6">
        <v>37</v>
      </c>
      <c r="B74" s="78"/>
      <c r="C74" s="481"/>
      <c r="D74" s="481"/>
      <c r="E74" s="481"/>
      <c r="F74" s="481"/>
      <c r="G74" s="481"/>
      <c r="H74" s="481"/>
      <c r="I74" s="610"/>
      <c r="J74" s="610"/>
      <c r="K74" s="487">
        <f t="shared" si="0"/>
        <v>0</v>
      </c>
      <c r="L74" s="487">
        <f t="shared" si="1"/>
        <v>0</v>
      </c>
      <c r="M74" s="6"/>
      <c r="N74" s="482">
        <f t="shared" si="2"/>
        <v>2610838.48</v>
      </c>
      <c r="O74" s="6"/>
      <c r="P74" s="6"/>
    </row>
    <row r="75" spans="1:16" ht="15.75">
      <c r="A75" s="6">
        <v>38</v>
      </c>
      <c r="B75" s="78"/>
      <c r="C75" s="481"/>
      <c r="D75" s="481"/>
      <c r="E75" s="481"/>
      <c r="F75" s="481"/>
      <c r="G75" s="481"/>
      <c r="H75" s="481"/>
      <c r="I75" s="610"/>
      <c r="J75" s="610"/>
      <c r="K75" s="487">
        <f t="shared" si="0"/>
        <v>0</v>
      </c>
      <c r="L75" s="487">
        <f t="shared" si="1"/>
        <v>0</v>
      </c>
      <c r="M75" s="6"/>
      <c r="N75" s="482">
        <f t="shared" si="2"/>
        <v>2610838.48</v>
      </c>
      <c r="O75" s="6"/>
      <c r="P75" s="66"/>
    </row>
    <row r="76" spans="1:16" ht="15.75">
      <c r="A76" s="6">
        <v>39</v>
      </c>
      <c r="B76" s="483"/>
      <c r="C76" s="481"/>
      <c r="D76" s="481"/>
      <c r="E76" s="481"/>
      <c r="F76" s="481"/>
      <c r="G76" s="481"/>
      <c r="H76" s="481"/>
      <c r="I76" s="611"/>
      <c r="J76" s="611"/>
      <c r="K76" s="487">
        <f t="shared" si="0"/>
        <v>0</v>
      </c>
      <c r="L76" s="487">
        <f t="shared" si="1"/>
        <v>0</v>
      </c>
      <c r="M76" s="169"/>
      <c r="N76" s="482">
        <f t="shared" si="2"/>
        <v>2610838.48</v>
      </c>
      <c r="O76" s="169"/>
      <c r="P76" s="169"/>
    </row>
    <row r="77" spans="1:16" ht="15.75">
      <c r="A77" s="6">
        <v>40</v>
      </c>
      <c r="B77" s="483"/>
      <c r="C77" s="481"/>
      <c r="D77" s="481"/>
      <c r="E77" s="481"/>
      <c r="F77" s="481"/>
      <c r="G77" s="481"/>
      <c r="H77" s="481"/>
      <c r="I77" s="486"/>
      <c r="J77" s="486"/>
      <c r="K77" s="487">
        <f t="shared" si="0"/>
        <v>0</v>
      </c>
      <c r="L77" s="487">
        <f t="shared" si="1"/>
        <v>0</v>
      </c>
      <c r="M77" s="169"/>
      <c r="N77" s="482">
        <f t="shared" si="2"/>
        <v>2610838.48</v>
      </c>
      <c r="O77" s="169"/>
      <c r="P77" s="169"/>
    </row>
    <row r="78" spans="1:16" ht="15.75">
      <c r="A78" s="6">
        <v>41</v>
      </c>
      <c r="B78" s="484"/>
      <c r="C78" s="481"/>
      <c r="D78" s="481"/>
      <c r="E78" s="481"/>
      <c r="F78" s="481"/>
      <c r="G78" s="481"/>
      <c r="H78" s="481"/>
      <c r="I78" s="610"/>
      <c r="J78" s="610"/>
      <c r="K78" s="487">
        <f t="shared" si="0"/>
        <v>0</v>
      </c>
      <c r="L78" s="487">
        <f t="shared" si="1"/>
        <v>0</v>
      </c>
      <c r="M78" s="6"/>
      <c r="N78" s="482">
        <f t="shared" si="2"/>
        <v>2610838.48</v>
      </c>
      <c r="O78" s="6"/>
      <c r="P78" s="6"/>
    </row>
    <row r="79" spans="1:16" ht="15.75">
      <c r="A79" s="6">
        <v>42</v>
      </c>
      <c r="B79" s="484"/>
      <c r="C79" s="481"/>
      <c r="D79" s="481"/>
      <c r="E79" s="481"/>
      <c r="F79" s="481"/>
      <c r="G79" s="481"/>
      <c r="H79" s="481"/>
      <c r="I79" s="610"/>
      <c r="J79" s="610"/>
      <c r="K79" s="487">
        <f t="shared" si="0"/>
        <v>0</v>
      </c>
      <c r="L79" s="487">
        <f t="shared" si="1"/>
        <v>0</v>
      </c>
      <c r="M79" s="6"/>
      <c r="N79" s="482">
        <f t="shared" si="2"/>
        <v>2610838.48</v>
      </c>
      <c r="O79" s="6"/>
      <c r="P79" s="6"/>
    </row>
    <row r="80" spans="1:16" ht="15.75">
      <c r="A80" s="6">
        <v>43</v>
      </c>
      <c r="B80" s="484"/>
      <c r="C80" s="481"/>
      <c r="D80" s="481"/>
      <c r="E80" s="481"/>
      <c r="F80" s="481"/>
      <c r="G80" s="481"/>
      <c r="H80" s="481"/>
      <c r="I80" s="610"/>
      <c r="J80" s="610"/>
      <c r="K80" s="487">
        <f t="shared" si="0"/>
        <v>0</v>
      </c>
      <c r="L80" s="487">
        <f t="shared" si="1"/>
        <v>0</v>
      </c>
      <c r="M80" s="6"/>
      <c r="N80" s="482">
        <f t="shared" si="2"/>
        <v>2610838.48</v>
      </c>
      <c r="O80" s="6"/>
      <c r="P80" s="6"/>
    </row>
    <row r="81" spans="1:16" ht="15.75">
      <c r="A81" s="6">
        <v>44</v>
      </c>
      <c r="B81" s="484"/>
      <c r="C81" s="481"/>
      <c r="D81" s="481"/>
      <c r="E81" s="481"/>
      <c r="F81" s="481"/>
      <c r="G81" s="481"/>
      <c r="H81" s="481"/>
      <c r="I81" s="610"/>
      <c r="J81" s="610"/>
      <c r="K81" s="487">
        <f t="shared" si="0"/>
        <v>0</v>
      </c>
      <c r="L81" s="487">
        <f t="shared" si="1"/>
        <v>0</v>
      </c>
      <c r="M81" s="6"/>
      <c r="N81" s="482">
        <f t="shared" si="2"/>
        <v>2610838.48</v>
      </c>
      <c r="O81" s="6"/>
      <c r="P81" s="6"/>
    </row>
    <row r="82" spans="1:16" ht="15.75">
      <c r="A82" s="6">
        <v>45</v>
      </c>
      <c r="B82" s="484"/>
      <c r="C82" s="481"/>
      <c r="D82" s="481"/>
      <c r="E82" s="481"/>
      <c r="F82" s="481"/>
      <c r="G82" s="481"/>
      <c r="H82" s="481"/>
      <c r="I82" s="610"/>
      <c r="J82" s="610"/>
      <c r="K82" s="487">
        <f t="shared" si="0"/>
        <v>0</v>
      </c>
      <c r="L82" s="487">
        <f t="shared" si="1"/>
        <v>0</v>
      </c>
      <c r="M82" s="6"/>
      <c r="N82" s="482">
        <f t="shared" si="2"/>
        <v>2610838.48</v>
      </c>
      <c r="O82" s="6"/>
      <c r="P82" s="6"/>
    </row>
    <row r="83" spans="1:16" ht="15.75">
      <c r="A83" s="6">
        <v>46</v>
      </c>
      <c r="B83" s="484"/>
      <c r="C83" s="481"/>
      <c r="D83" s="481"/>
      <c r="E83" s="481"/>
      <c r="F83" s="481"/>
      <c r="G83" s="481"/>
      <c r="H83" s="481"/>
      <c r="I83" s="610"/>
      <c r="J83" s="610"/>
      <c r="K83" s="487">
        <f t="shared" si="0"/>
        <v>0</v>
      </c>
      <c r="L83" s="487">
        <f t="shared" si="1"/>
        <v>0</v>
      </c>
      <c r="M83" s="6"/>
      <c r="N83" s="482">
        <f t="shared" si="2"/>
        <v>2610838.48</v>
      </c>
      <c r="O83" s="6"/>
      <c r="P83" s="6"/>
    </row>
    <row r="84" spans="1:16" ht="15.75">
      <c r="A84" s="6">
        <v>47</v>
      </c>
      <c r="B84" s="484"/>
      <c r="C84" s="481"/>
      <c r="D84" s="481"/>
      <c r="E84" s="481"/>
      <c r="F84" s="481"/>
      <c r="G84" s="481"/>
      <c r="H84" s="481"/>
      <c r="I84" s="610"/>
      <c r="J84" s="610"/>
      <c r="K84" s="487">
        <f t="shared" si="0"/>
        <v>0</v>
      </c>
      <c r="L84" s="487">
        <f t="shared" si="1"/>
        <v>0</v>
      </c>
      <c r="M84" s="6"/>
      <c r="N84" s="482">
        <f t="shared" si="2"/>
        <v>2610838.48</v>
      </c>
      <c r="O84" s="6"/>
      <c r="P84" s="6"/>
    </row>
    <row r="85" spans="1:16" ht="15.75">
      <c r="A85" s="6">
        <v>48</v>
      </c>
      <c r="B85" s="484"/>
      <c r="C85" s="481"/>
      <c r="D85" s="481"/>
      <c r="E85" s="481"/>
      <c r="F85" s="481"/>
      <c r="G85" s="481"/>
      <c r="H85" s="481"/>
      <c r="I85" s="610"/>
      <c r="J85" s="610"/>
      <c r="K85" s="487">
        <f t="shared" si="0"/>
        <v>0</v>
      </c>
      <c r="L85" s="487">
        <f t="shared" si="1"/>
        <v>0</v>
      </c>
      <c r="M85" s="6"/>
      <c r="N85" s="482">
        <f t="shared" si="2"/>
        <v>2610838.48</v>
      </c>
      <c r="O85" s="6"/>
      <c r="P85" s="6"/>
    </row>
    <row r="86" spans="1:16" ht="15.75">
      <c r="A86" s="6">
        <v>49</v>
      </c>
      <c r="B86" s="484"/>
      <c r="C86" s="481"/>
      <c r="D86" s="481"/>
      <c r="E86" s="481"/>
      <c r="F86" s="481"/>
      <c r="G86" s="481"/>
      <c r="H86" s="481"/>
      <c r="I86" s="610"/>
      <c r="J86" s="610"/>
      <c r="K86" s="487">
        <f t="shared" si="0"/>
        <v>0</v>
      </c>
      <c r="L86" s="487">
        <f t="shared" si="1"/>
        <v>0</v>
      </c>
      <c r="M86" s="6"/>
      <c r="N86" s="482">
        <f t="shared" si="2"/>
        <v>2610838.48</v>
      </c>
      <c r="O86" s="6"/>
      <c r="P86" s="6"/>
    </row>
    <row r="87" spans="1:16" ht="15.75">
      <c r="A87" s="6">
        <v>50</v>
      </c>
      <c r="B87" s="484"/>
      <c r="C87" s="481"/>
      <c r="D87" s="481"/>
      <c r="E87" s="481"/>
      <c r="F87" s="481"/>
      <c r="G87" s="481"/>
      <c r="H87" s="481"/>
      <c r="I87" s="610"/>
      <c r="J87" s="486"/>
      <c r="K87" s="487">
        <f t="shared" si="0"/>
        <v>0</v>
      </c>
      <c r="L87" s="487">
        <f t="shared" si="1"/>
        <v>0</v>
      </c>
      <c r="M87" s="6"/>
      <c r="N87" s="482">
        <f t="shared" si="2"/>
        <v>2610838.48</v>
      </c>
      <c r="O87" s="6"/>
      <c r="P87" s="6"/>
    </row>
    <row r="88" spans="1:16" ht="15.75">
      <c r="A88" s="6">
        <v>51</v>
      </c>
      <c r="B88" s="484"/>
      <c r="C88" s="481"/>
      <c r="D88" s="481"/>
      <c r="E88" s="481"/>
      <c r="F88" s="481"/>
      <c r="G88" s="481"/>
      <c r="H88" s="481"/>
      <c r="I88" s="610"/>
      <c r="J88" s="610"/>
      <c r="K88" s="487">
        <f t="shared" si="0"/>
        <v>0</v>
      </c>
      <c r="L88" s="487">
        <f t="shared" si="1"/>
        <v>0</v>
      </c>
      <c r="M88" s="6"/>
      <c r="N88" s="482">
        <f t="shared" si="2"/>
        <v>2610838.48</v>
      </c>
      <c r="O88" s="6"/>
      <c r="P88" s="6"/>
    </row>
    <row r="89" spans="1:16" ht="15.75">
      <c r="A89" s="6">
        <v>52</v>
      </c>
      <c r="B89" s="484"/>
      <c r="C89" s="481"/>
      <c r="D89" s="481"/>
      <c r="E89" s="481"/>
      <c r="F89" s="481"/>
      <c r="G89" s="481"/>
      <c r="H89" s="481"/>
      <c r="I89" s="610"/>
      <c r="J89" s="610"/>
      <c r="K89" s="487">
        <f t="shared" si="0"/>
        <v>0</v>
      </c>
      <c r="L89" s="487">
        <f t="shared" si="1"/>
        <v>0</v>
      </c>
      <c r="M89" s="6"/>
      <c r="N89" s="482">
        <f t="shared" si="2"/>
        <v>2610838.48</v>
      </c>
      <c r="O89" s="6"/>
      <c r="P89" s="6"/>
    </row>
    <row r="90" spans="1:16" ht="15.75">
      <c r="A90" s="6">
        <v>53</v>
      </c>
      <c r="B90" s="484"/>
      <c r="C90" s="481"/>
      <c r="D90" s="481"/>
      <c r="E90" s="481"/>
      <c r="F90" s="481"/>
      <c r="G90" s="481"/>
      <c r="H90" s="481"/>
      <c r="I90" s="610"/>
      <c r="J90" s="610"/>
      <c r="K90" s="487">
        <f t="shared" si="0"/>
        <v>0</v>
      </c>
      <c r="L90" s="487">
        <f t="shared" si="1"/>
        <v>0</v>
      </c>
      <c r="M90" s="6"/>
      <c r="N90" s="482">
        <f t="shared" si="2"/>
        <v>2610838.48</v>
      </c>
      <c r="O90" s="6"/>
      <c r="P90" s="6"/>
    </row>
    <row r="91" spans="1:16" ht="15.75">
      <c r="A91" s="6">
        <v>54</v>
      </c>
      <c r="B91" s="484"/>
      <c r="C91" s="481"/>
      <c r="D91" s="481"/>
      <c r="E91" s="481"/>
      <c r="F91" s="481"/>
      <c r="G91" s="481"/>
      <c r="H91" s="481"/>
      <c r="I91" s="610"/>
      <c r="J91" s="610"/>
      <c r="K91" s="487">
        <f t="shared" si="0"/>
        <v>0</v>
      </c>
      <c r="L91" s="487">
        <f t="shared" ref="L91:L92" si="4">H91+K91</f>
        <v>0</v>
      </c>
      <c r="M91" s="6"/>
      <c r="N91" s="482">
        <f t="shared" si="2"/>
        <v>2610838.48</v>
      </c>
      <c r="O91" s="6"/>
      <c r="P91" s="6"/>
    </row>
    <row r="92" spans="1:16" ht="15.75">
      <c r="A92" s="6">
        <v>55</v>
      </c>
      <c r="B92" s="484"/>
      <c r="C92" s="481"/>
      <c r="D92" s="481"/>
      <c r="E92" s="481"/>
      <c r="F92" s="481"/>
      <c r="G92" s="481"/>
      <c r="H92" s="481"/>
      <c r="I92" s="610"/>
      <c r="J92" s="486"/>
      <c r="K92" s="487">
        <f t="shared" si="0"/>
        <v>0</v>
      </c>
      <c r="L92" s="487">
        <f t="shared" si="4"/>
        <v>0</v>
      </c>
      <c r="M92" s="6"/>
      <c r="N92" s="482">
        <f t="shared" si="2"/>
        <v>2610838.48</v>
      </c>
      <c r="O92" s="6"/>
      <c r="P92" s="6"/>
    </row>
    <row r="93" spans="1:16" ht="15.75">
      <c r="A93" s="6">
        <v>56</v>
      </c>
      <c r="B93" s="6"/>
      <c r="C93" s="6"/>
      <c r="D93" s="6"/>
      <c r="E93" s="610"/>
      <c r="F93" s="610"/>
      <c r="G93" s="610"/>
      <c r="H93" s="610"/>
      <c r="I93" s="610"/>
      <c r="J93" s="610"/>
      <c r="K93" s="487"/>
      <c r="L93" s="610"/>
      <c r="M93" s="6"/>
      <c r="N93" s="6"/>
      <c r="O93" s="6"/>
      <c r="P93" s="6"/>
    </row>
    <row r="94" spans="1:16">
      <c r="A94" s="6">
        <v>57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>
      <c r="A95" s="6">
        <v>58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>
      <c r="A96" s="6">
        <v>59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>
      <c r="A97" s="6">
        <v>60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>
      <c r="A98" s="6">
        <v>61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>
      <c r="A99" s="6">
        <v>62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>
      <c r="A100" s="6">
        <v>63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>
      <c r="A101" s="6">
        <v>64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>
      <c r="A102" s="6">
        <v>65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>
      <c r="A103" s="6">
        <v>66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>
      <c r="A104" s="6">
        <v>67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>
      <c r="A105" s="6">
        <v>68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>
      <c r="A106" s="6">
        <v>69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>
      <c r="A107" s="6">
        <v>70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>
      <c r="A108" s="6">
        <v>71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>
      <c r="A109" s="6">
        <v>72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>
      <c r="A110" s="6">
        <v>73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>
      <c r="A111" s="6">
        <v>74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>
      <c r="A112" s="6">
        <v>75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>
      <c r="A113" s="169">
        <v>76</v>
      </c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</row>
    <row r="114" spans="1:16">
      <c r="A114" s="6">
        <v>77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>
      <c r="A115" s="6">
        <v>78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>
      <c r="A116" s="6">
        <v>79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>
      <c r="A117" s="6">
        <v>80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>
      <c r="A118" s="6">
        <v>81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>
      <c r="A119" s="6">
        <v>82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>
      <c r="A120" s="6">
        <v>83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>
      <c r="A121" s="6">
        <v>84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>
      <c r="A122" s="6">
        <v>85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>
      <c r="A123" s="6">
        <v>86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>
      <c r="A124" s="6">
        <v>87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>
      <c r="A125" s="6">
        <v>88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>
      <c r="A126" s="6">
        <v>89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>
      <c r="A127" s="6">
        <v>90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>
      <c r="A128" s="6">
        <v>91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</sheetData>
  <mergeCells count="2">
    <mergeCell ref="A1:P1"/>
    <mergeCell ref="A3:K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36F0-8AEE-4D71-B274-AD3D9F13445A}">
  <dimension ref="B2:B7"/>
  <sheetViews>
    <sheetView workbookViewId="0">
      <selection activeCell="T14" sqref="T14"/>
    </sheetView>
  </sheetViews>
  <sheetFormatPr defaultRowHeight="15"/>
  <cols>
    <col min="2" max="2" width="29.28515625" customWidth="1"/>
  </cols>
  <sheetData>
    <row r="2" spans="2:2" ht="30" customHeight="1">
      <c r="B2" s="375" t="s">
        <v>53</v>
      </c>
    </row>
    <row r="3" spans="2:2" ht="30" customHeight="1">
      <c r="B3" s="375" t="s">
        <v>383</v>
      </c>
    </row>
    <row r="4" spans="2:2" ht="30" customHeight="1">
      <c r="B4" s="375" t="s">
        <v>376</v>
      </c>
    </row>
    <row r="5" spans="2:2" ht="30" customHeight="1">
      <c r="B5" s="375" t="s">
        <v>40</v>
      </c>
    </row>
    <row r="6" spans="2:2" ht="30" customHeight="1">
      <c r="B6" s="375" t="s">
        <v>434</v>
      </c>
    </row>
    <row r="7" spans="2:2" ht="30" customHeight="1">
      <c r="B7" s="376"/>
    </row>
  </sheetData>
  <dataValidations count="1">
    <dataValidation type="list" allowBlank="1" showInputMessage="1" showErrorMessage="1" sqref="C15" xr:uid="{D64AB095-6DAA-485D-A4E6-9BA7B6FD6BF7}">
      <formula1>$B$2:$B$5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5C14-6E7E-415C-A7E3-EBB67030E1DA}">
  <dimension ref="B3:B7"/>
  <sheetViews>
    <sheetView workbookViewId="0">
      <selection activeCell="E29" sqref="E29"/>
    </sheetView>
  </sheetViews>
  <sheetFormatPr defaultRowHeight="15"/>
  <sheetData>
    <row r="3" spans="2:2">
      <c r="B3">
        <v>1162961.45</v>
      </c>
    </row>
    <row r="4" spans="2:2">
      <c r="B4">
        <v>280260</v>
      </c>
    </row>
    <row r="5" spans="2:2">
      <c r="B5">
        <v>280000</v>
      </c>
    </row>
    <row r="6" spans="2:2">
      <c r="B6">
        <v>406000</v>
      </c>
    </row>
    <row r="7" spans="2:2">
      <c r="B7">
        <f>SUM(B3:B6)</f>
        <v>2129221.4500000002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2026-10-07T05:21:56Z</dcterms:modified>
  <cp:category/>
  <cp:contentStatus/>
</cp:coreProperties>
</file>