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filterPrivacy="1"/>
  <xr:revisionPtr revIDLastSave="22408" documentId="8_{21E78461-8472-4FC4-9B9A-C4551723630E}" xr6:coauthVersionLast="47" xr6:coauthVersionMax="47" xr10:uidLastSave="{3F23E9E1-4F96-4619-AB55-BE581E5758FD}"/>
  <bookViews>
    <workbookView xWindow="-60" yWindow="-60" windowWidth="15480" windowHeight="11640" firstSheet="38" activeTab="38" xr2:uid="{00000000-000D-0000-FFFF-FFFF00000000}"/>
  </bookViews>
  <sheets>
    <sheet name=" MIs" sheetId="84" state="hidden" r:id="rId1"/>
    <sheet name=" April-2026" sheetId="56" r:id="rId2"/>
    <sheet name="HO(DG)" sheetId="81" r:id="rId3"/>
    <sheet name="Khammam-1" sheetId="50" r:id="rId4"/>
    <sheet name="Khammam-2" sheetId="47" r:id="rId5"/>
    <sheet name="Khammam-3" sheetId="82" r:id="rId6"/>
    <sheet name="Khammam-4" sheetId="87" r:id="rId7"/>
    <sheet name="Khammam-5" sheetId="90" r:id="rId8"/>
    <sheet name=" Khammam&amp;Cash" sheetId="95" r:id="rId9"/>
    <sheet name=" Jadcherla" sheetId="94" r:id="rId10"/>
    <sheet name="Jadcherla-3" sheetId="72" r:id="rId11"/>
    <sheet name="Jadcherla-4" sheetId="78" r:id="rId12"/>
    <sheet name=" Sangareeddy-1" sheetId="88" r:id="rId13"/>
    <sheet name=" Sangareddy-2" sheetId="89" r:id="rId14"/>
    <sheet name=" Sangareddy-3" sheetId="93" r:id="rId15"/>
    <sheet name=" Narayankhed" sheetId="96" r:id="rId16"/>
    <sheet name="Dindi" sheetId="58" r:id="rId17"/>
    <sheet name="Amalapuram" sheetId="65" r:id="rId18"/>
    <sheet name="Madana palli" sheetId="71" r:id="rId19"/>
    <sheet name="Kadur" sheetId="7" r:id="rId20"/>
    <sheet name="YG Gudda-2" sheetId="62" r:id="rId21"/>
    <sheet name="Hosadurga -2" sheetId="52" r:id="rId22"/>
    <sheet name="Hiriyur(VJNL)" sheetId="3" r:id="rId23"/>
    <sheet name="Malebenur(KUWSDB)" sheetId="16" r:id="rId24"/>
    <sheet name="Molakamuru" sheetId="63" r:id="rId25"/>
    <sheet name="Chellakere -1" sheetId="68" r:id="rId26"/>
    <sheet name=" Chellakere-PKG-9" sheetId="73" r:id="rId27"/>
    <sheet name=" Chennagiri" sheetId="74" r:id="rId28"/>
    <sheet name="Khanapur" sheetId="24" r:id="rId29"/>
    <sheet name="Munavali-2" sheetId="80" r:id="rId30"/>
    <sheet name="Borgaon" sheetId="10" r:id="rId31"/>
    <sheet name="Ugar,Khagwad,Kudichi" sheetId="11" r:id="rId32"/>
    <sheet name="Kabbur" sheetId="40" r:id="rId33"/>
    <sheet name="kumta" sheetId="25" r:id="rId34"/>
    <sheet name="Jalgaon" sheetId="22" r:id="rId35"/>
    <sheet name="Jalgoan-2" sheetId="85" r:id="rId36"/>
    <sheet name=" Jalgoan-3" sheetId="91" r:id="rId37"/>
    <sheet name=" Jalgoan-4" sheetId="92" r:id="rId38"/>
    <sheet name="MKBD" sheetId="14" r:id="rId39"/>
    <sheet name=" Haveri-2" sheetId="75" r:id="rId40"/>
    <sheet name=" Guttal-2" sheetId="79" r:id="rId41"/>
    <sheet name="Rattihali-2" sheetId="76" r:id="rId42"/>
    <sheet name="Gajendragada" sheetId="12" r:id="rId43"/>
    <sheet name="Gokak Dharwad PKG 3" sheetId="41" r:id="rId44"/>
    <sheet name="Ankalgi" sheetId="60" r:id="rId45"/>
    <sheet name=" TR Associates" sheetId="83" r:id="rId46"/>
    <sheet name=" Shankeshwar" sheetId="57" r:id="rId47"/>
    <sheet name=" Talikote" sheetId="26" r:id="rId48"/>
    <sheet name="Chadchan" sheetId="9" r:id="rId49"/>
    <sheet name="Sindagi" sheetId="33" r:id="rId50"/>
    <sheet name="Muddebhihal-2" sheetId="69" r:id="rId51"/>
    <sheet name="Alemela" sheetId="35" r:id="rId52"/>
    <sheet name="Nalatwad" sheetId="51" r:id="rId53"/>
    <sheet name="Srirangapatna" sheetId="19" r:id="rId54"/>
    <sheet name=" BPCL April-26" sheetId="44" r:id="rId55"/>
    <sheet name=" HPCL April-26" sheetId="45" r:id="rId56"/>
    <sheet name="Sheet1" sheetId="86" r:id="rId57"/>
  </sheets>
  <definedNames>
    <definedName name="_xlnm._FilterDatabase" localSheetId="54" hidden="1">' BPCL April-26'!$A$4:$U$4</definedName>
    <definedName name="_xlnm._FilterDatabase" localSheetId="55" hidden="1">' HPCL April-26'!$A$1:$P$37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14" l="1"/>
  <c r="M32" i="14"/>
  <c r="M33" i="14"/>
  <c r="M34" i="14"/>
  <c r="M35" i="14"/>
  <c r="M36" i="14"/>
  <c r="L5" i="14"/>
  <c r="P5" i="14"/>
  <c r="P11" i="82"/>
  <c r="P4" i="14"/>
  <c r="L27" i="47"/>
  <c r="G18" i="24"/>
  <c r="G19" i="24"/>
  <c r="G20" i="24"/>
  <c r="K20" i="24"/>
  <c r="E35" i="24"/>
  <c r="R6" i="92"/>
  <c r="J33" i="14"/>
  <c r="O112" i="44"/>
  <c r="O107" i="44"/>
  <c r="J114" i="44"/>
  <c r="J115" i="44"/>
  <c r="J116" i="44"/>
  <c r="J117" i="44"/>
  <c r="K88" i="44"/>
  <c r="K89" i="44"/>
  <c r="K90" i="44"/>
  <c r="K91" i="44"/>
  <c r="K92" i="44"/>
  <c r="K93" i="44"/>
  <c r="K94" i="44"/>
  <c r="K95" i="44"/>
  <c r="K96" i="44"/>
  <c r="K97" i="44"/>
  <c r="K98" i="44"/>
  <c r="K99" i="44"/>
  <c r="K100" i="44"/>
  <c r="K101" i="44"/>
  <c r="K102" i="44"/>
  <c r="K103" i="44"/>
  <c r="K104" i="44"/>
  <c r="K105" i="44"/>
  <c r="K106" i="44"/>
  <c r="K107" i="44"/>
  <c r="K108" i="44"/>
  <c r="K109" i="44"/>
  <c r="K110" i="44"/>
  <c r="K111" i="44"/>
  <c r="K112" i="44"/>
  <c r="K114" i="44"/>
  <c r="K115" i="44"/>
  <c r="K116" i="44"/>
  <c r="K117" i="44"/>
  <c r="G116" i="44"/>
  <c r="G117" i="44"/>
  <c r="G115" i="44"/>
  <c r="G113" i="44"/>
  <c r="K113" i="44" s="1"/>
  <c r="G114" i="44"/>
  <c r="J110" i="44"/>
  <c r="J111" i="44"/>
  <c r="J112" i="44"/>
  <c r="J113" i="44"/>
  <c r="G112" i="44"/>
  <c r="G111" i="44"/>
  <c r="G109" i="44"/>
  <c r="G110" i="44"/>
  <c r="J104" i="44"/>
  <c r="J105" i="44"/>
  <c r="J106" i="44"/>
  <c r="J107" i="44"/>
  <c r="J108" i="44"/>
  <c r="J109" i="44"/>
  <c r="G108" i="44"/>
  <c r="G107" i="44"/>
  <c r="G105" i="44"/>
  <c r="G106" i="44"/>
  <c r="G103" i="44"/>
  <c r="G104" i="44"/>
  <c r="J102" i="44"/>
  <c r="J103" i="44"/>
  <c r="G102" i="44"/>
  <c r="J101" i="44"/>
  <c r="G101" i="44"/>
  <c r="J99" i="44"/>
  <c r="J100" i="44"/>
  <c r="G100" i="44"/>
  <c r="G98" i="44"/>
  <c r="G99" i="44"/>
  <c r="J97" i="44"/>
  <c r="J98" i="44"/>
  <c r="G95" i="44"/>
  <c r="G96" i="44"/>
  <c r="G97" i="44"/>
  <c r="J95" i="44"/>
  <c r="J96" i="44"/>
  <c r="J93" i="44"/>
  <c r="J94" i="44"/>
  <c r="G94" i="44"/>
  <c r="G93" i="44"/>
  <c r="J91" i="44"/>
  <c r="J92" i="44"/>
  <c r="G92" i="44"/>
  <c r="G90" i="44"/>
  <c r="G91" i="44"/>
  <c r="K14" i="56"/>
  <c r="J14" i="56"/>
  <c r="I14" i="56"/>
  <c r="H14" i="56"/>
  <c r="G14" i="56"/>
  <c r="F14" i="56"/>
  <c r="E14" i="56"/>
  <c r="D14" i="56"/>
  <c r="M24" i="96"/>
  <c r="M25" i="96"/>
  <c r="M26" i="96"/>
  <c r="M27" i="96"/>
  <c r="M28" i="96"/>
  <c r="M29" i="96"/>
  <c r="M30" i="96"/>
  <c r="M31" i="96"/>
  <c r="M32" i="96"/>
  <c r="M33" i="96"/>
  <c r="H35" i="96"/>
  <c r="E35" i="96"/>
  <c r="J34" i="96"/>
  <c r="G34" i="96"/>
  <c r="K34" i="96" s="1"/>
  <c r="L34" i="96" s="1"/>
  <c r="J33" i="96"/>
  <c r="G33" i="96"/>
  <c r="K33" i="96" s="1"/>
  <c r="L33" i="96" s="1"/>
  <c r="J32" i="96"/>
  <c r="G32" i="96"/>
  <c r="K32" i="96" s="1"/>
  <c r="L32" i="96" s="1"/>
  <c r="J31" i="96"/>
  <c r="G31" i="96"/>
  <c r="K31" i="96" s="1"/>
  <c r="L31" i="96" s="1"/>
  <c r="J30" i="96"/>
  <c r="G30" i="96"/>
  <c r="K30" i="96" s="1"/>
  <c r="L30" i="96" s="1"/>
  <c r="J29" i="96"/>
  <c r="G29" i="96"/>
  <c r="K29" i="96" s="1"/>
  <c r="L29" i="96" s="1"/>
  <c r="J28" i="96"/>
  <c r="G28" i="96"/>
  <c r="K28" i="96" s="1"/>
  <c r="L28" i="96" s="1"/>
  <c r="J27" i="96"/>
  <c r="G27" i="96"/>
  <c r="K27" i="96" s="1"/>
  <c r="L27" i="96" s="1"/>
  <c r="J26" i="96"/>
  <c r="G26" i="96"/>
  <c r="K26" i="96" s="1"/>
  <c r="L26" i="96" s="1"/>
  <c r="J25" i="96"/>
  <c r="G25" i="96"/>
  <c r="K25" i="96" s="1"/>
  <c r="L25" i="96" s="1"/>
  <c r="J24" i="96"/>
  <c r="G24" i="96"/>
  <c r="J23" i="96"/>
  <c r="G23" i="96"/>
  <c r="J22" i="96"/>
  <c r="G22" i="96"/>
  <c r="J21" i="96"/>
  <c r="G21" i="96"/>
  <c r="J20" i="96"/>
  <c r="G20" i="96"/>
  <c r="J19" i="96"/>
  <c r="G19" i="96"/>
  <c r="K19" i="96" s="1"/>
  <c r="J18" i="96"/>
  <c r="G18" i="96"/>
  <c r="K18" i="96" s="1"/>
  <c r="L18" i="96" s="1"/>
  <c r="L35" i="96" s="1"/>
  <c r="J17" i="96"/>
  <c r="G17" i="96"/>
  <c r="K17" i="96" s="1"/>
  <c r="J16" i="96"/>
  <c r="G16" i="96"/>
  <c r="K16" i="96" s="1"/>
  <c r="J15" i="96"/>
  <c r="G15" i="96"/>
  <c r="K15" i="96" s="1"/>
  <c r="J14" i="96"/>
  <c r="G14" i="96"/>
  <c r="K14" i="96" s="1"/>
  <c r="J13" i="96"/>
  <c r="G13" i="96"/>
  <c r="K13" i="96" s="1"/>
  <c r="J12" i="96"/>
  <c r="G12" i="96"/>
  <c r="K12" i="96" s="1"/>
  <c r="J11" i="96"/>
  <c r="G11" i="96"/>
  <c r="K11" i="96" s="1"/>
  <c r="J10" i="96"/>
  <c r="G10" i="96"/>
  <c r="K10" i="96" s="1"/>
  <c r="J9" i="96"/>
  <c r="G9" i="96"/>
  <c r="K9" i="96" s="1"/>
  <c r="J8" i="96"/>
  <c r="G8" i="96"/>
  <c r="K8" i="96" s="1"/>
  <c r="J7" i="96"/>
  <c r="G7" i="96"/>
  <c r="K7" i="96" s="1"/>
  <c r="J6" i="96"/>
  <c r="G6" i="96"/>
  <c r="K6" i="96" s="1"/>
  <c r="J5" i="96"/>
  <c r="G5" i="96"/>
  <c r="K5" i="96" s="1"/>
  <c r="J4" i="96"/>
  <c r="J35" i="96" s="1"/>
  <c r="G4" i="96"/>
  <c r="J7" i="56"/>
  <c r="I7" i="56"/>
  <c r="G7" i="56"/>
  <c r="F7" i="56"/>
  <c r="E7" i="56"/>
  <c r="H7" i="56" s="1"/>
  <c r="K7" i="56" s="1"/>
  <c r="D7" i="56"/>
  <c r="J6" i="56"/>
  <c r="I6" i="56"/>
  <c r="G6" i="56"/>
  <c r="F6" i="56"/>
  <c r="E6" i="56"/>
  <c r="H6" i="56" s="1"/>
  <c r="K6" i="56" s="1"/>
  <c r="D6" i="56"/>
  <c r="G46" i="95"/>
  <c r="E46" i="95"/>
  <c r="Q55" i="56"/>
  <c r="J10" i="56"/>
  <c r="I10" i="56"/>
  <c r="G10" i="56"/>
  <c r="F10" i="56"/>
  <c r="E10" i="56"/>
  <c r="H10" i="56" s="1"/>
  <c r="K10" i="56" s="1"/>
  <c r="D10" i="56"/>
  <c r="M43" i="95"/>
  <c r="M44" i="95"/>
  <c r="L43" i="95"/>
  <c r="L44" i="95"/>
  <c r="K43" i="95"/>
  <c r="K44" i="95"/>
  <c r="G43" i="95"/>
  <c r="G44" i="95"/>
  <c r="M42" i="95"/>
  <c r="L41" i="95"/>
  <c r="L42" i="95"/>
  <c r="K41" i="95"/>
  <c r="K42" i="95"/>
  <c r="G41" i="95"/>
  <c r="G42" i="95"/>
  <c r="L33" i="50"/>
  <c r="M41" i="80"/>
  <c r="M36" i="65"/>
  <c r="M37" i="65"/>
  <c r="M38" i="65"/>
  <c r="M39" i="65"/>
  <c r="M40" i="65"/>
  <c r="M41" i="65"/>
  <c r="M42" i="65"/>
  <c r="M43" i="65"/>
  <c r="K31" i="25"/>
  <c r="M34" i="72"/>
  <c r="L37" i="81"/>
  <c r="G33" i="14"/>
  <c r="S19" i="81"/>
  <c r="R19" i="81"/>
  <c r="L40" i="95"/>
  <c r="K40" i="95"/>
  <c r="G40" i="95"/>
  <c r="L38" i="95"/>
  <c r="M37" i="95"/>
  <c r="M38" i="95"/>
  <c r="M39" i="95"/>
  <c r="M40" i="95"/>
  <c r="M41" i="95"/>
  <c r="L37" i="95"/>
  <c r="L39" i="95"/>
  <c r="K38" i="95"/>
  <c r="K39" i="95"/>
  <c r="G38" i="95"/>
  <c r="G39" i="95"/>
  <c r="L32" i="50"/>
  <c r="J32" i="14"/>
  <c r="G32" i="14"/>
  <c r="K25" i="41"/>
  <c r="K26" i="41"/>
  <c r="J25" i="41"/>
  <c r="S8" i="81"/>
  <c r="S10" i="81" s="1"/>
  <c r="Q6" i="72"/>
  <c r="L32" i="25"/>
  <c r="G32" i="25"/>
  <c r="J32" i="25"/>
  <c r="K32" i="25"/>
  <c r="G31" i="35"/>
  <c r="G28" i="14"/>
  <c r="G29" i="14"/>
  <c r="G30" i="14"/>
  <c r="G31" i="14"/>
  <c r="J28" i="14"/>
  <c r="J29" i="14"/>
  <c r="J30" i="14"/>
  <c r="J31" i="14"/>
  <c r="G35" i="92"/>
  <c r="K35" i="92" s="1"/>
  <c r="L35" i="92" s="1"/>
  <c r="G36" i="92"/>
  <c r="K36" i="92" s="1"/>
  <c r="L36" i="92" s="1"/>
  <c r="L33" i="81"/>
  <c r="L34" i="81"/>
  <c r="K34" i="81"/>
  <c r="G34" i="81"/>
  <c r="G34" i="65"/>
  <c r="G31" i="65"/>
  <c r="M26" i="93"/>
  <c r="M27" i="93"/>
  <c r="M28" i="93"/>
  <c r="M29" i="93"/>
  <c r="M30" i="93"/>
  <c r="M31" i="93"/>
  <c r="M28" i="89"/>
  <c r="G32" i="92"/>
  <c r="G30" i="92"/>
  <c r="K30" i="92" s="1"/>
  <c r="L30" i="92" s="1"/>
  <c r="G31" i="92"/>
  <c r="K31" i="92" s="1"/>
  <c r="G27" i="95"/>
  <c r="K27" i="95" s="1"/>
  <c r="L27" i="95" s="1"/>
  <c r="E28" i="95"/>
  <c r="H46" i="95"/>
  <c r="J45" i="95"/>
  <c r="G45" i="95"/>
  <c r="K45" i="95" s="1"/>
  <c r="J37" i="95"/>
  <c r="G37" i="95"/>
  <c r="K37" i="95" s="1"/>
  <c r="J36" i="95"/>
  <c r="G36" i="95"/>
  <c r="K36" i="95" s="1"/>
  <c r="L36" i="95" s="1"/>
  <c r="G35" i="95"/>
  <c r="K35" i="95" s="1"/>
  <c r="L35" i="95" s="1"/>
  <c r="J34" i="95"/>
  <c r="G34" i="95"/>
  <c r="K34" i="95" s="1"/>
  <c r="J33" i="95"/>
  <c r="G33" i="95"/>
  <c r="K33" i="95" s="1"/>
  <c r="J32" i="95"/>
  <c r="G32" i="95"/>
  <c r="K32" i="95" s="1"/>
  <c r="L32" i="95" s="1"/>
  <c r="J31" i="95"/>
  <c r="G31" i="95"/>
  <c r="K31" i="95" s="1"/>
  <c r="L31" i="95" s="1"/>
  <c r="J30" i="95"/>
  <c r="G30" i="95"/>
  <c r="K30" i="95" s="1"/>
  <c r="L30" i="95" s="1"/>
  <c r="J29" i="95"/>
  <c r="G29" i="95"/>
  <c r="K29" i="95" s="1"/>
  <c r="L29" i="95" s="1"/>
  <c r="J28" i="95"/>
  <c r="G28" i="95"/>
  <c r="K28" i="95" s="1"/>
  <c r="L28" i="95" s="1"/>
  <c r="J26" i="95"/>
  <c r="G26" i="95"/>
  <c r="K26" i="95" s="1"/>
  <c r="L26" i="95" s="1"/>
  <c r="J25" i="95"/>
  <c r="G25" i="95"/>
  <c r="K25" i="95" s="1"/>
  <c r="L25" i="95" s="1"/>
  <c r="J24" i="95"/>
  <c r="G24" i="95"/>
  <c r="K24" i="95" s="1"/>
  <c r="L24" i="95" s="1"/>
  <c r="L46" i="95" s="1"/>
  <c r="J23" i="95"/>
  <c r="G23" i="95"/>
  <c r="K23" i="95" s="1"/>
  <c r="J22" i="95"/>
  <c r="G22" i="95"/>
  <c r="K22" i="95" s="1"/>
  <c r="J21" i="95"/>
  <c r="G21" i="95"/>
  <c r="K21" i="95" s="1"/>
  <c r="J20" i="95"/>
  <c r="G20" i="95"/>
  <c r="K20" i="95" s="1"/>
  <c r="J19" i="95"/>
  <c r="G19" i="95"/>
  <c r="K19" i="95" s="1"/>
  <c r="J18" i="95"/>
  <c r="G18" i="95"/>
  <c r="K18" i="95" s="1"/>
  <c r="J17" i="95"/>
  <c r="G17" i="95"/>
  <c r="K17" i="95" s="1"/>
  <c r="J16" i="95"/>
  <c r="G16" i="95"/>
  <c r="K16" i="95" s="1"/>
  <c r="J15" i="95"/>
  <c r="G15" i="95"/>
  <c r="K15" i="95" s="1"/>
  <c r="J14" i="95"/>
  <c r="G14" i="95"/>
  <c r="K14" i="95" s="1"/>
  <c r="J13" i="95"/>
  <c r="G13" i="95"/>
  <c r="K13" i="95" s="1"/>
  <c r="J12" i="95"/>
  <c r="G12" i="95"/>
  <c r="K12" i="95" s="1"/>
  <c r="J11" i="95"/>
  <c r="G11" i="95"/>
  <c r="K11" i="95" s="1"/>
  <c r="J10" i="95"/>
  <c r="G10" i="95"/>
  <c r="K10" i="95" s="1"/>
  <c r="J9" i="95"/>
  <c r="G9" i="95"/>
  <c r="K9" i="95" s="1"/>
  <c r="J8" i="95"/>
  <c r="G8" i="95"/>
  <c r="K8" i="95" s="1"/>
  <c r="J7" i="95"/>
  <c r="G7" i="95"/>
  <c r="K7" i="95" s="1"/>
  <c r="J6" i="95"/>
  <c r="G6" i="95"/>
  <c r="K6" i="95" s="1"/>
  <c r="J5" i="95"/>
  <c r="J46" i="95" s="1"/>
  <c r="G5" i="95"/>
  <c r="K5" i="95" s="1"/>
  <c r="G4" i="95"/>
  <c r="G29" i="81"/>
  <c r="J27" i="14"/>
  <c r="G27" i="14"/>
  <c r="G26" i="14"/>
  <c r="J26" i="14"/>
  <c r="K26" i="14"/>
  <c r="U22" i="76"/>
  <c r="S25" i="79"/>
  <c r="H35" i="94"/>
  <c r="E35" i="94"/>
  <c r="J34" i="94"/>
  <c r="G34" i="94"/>
  <c r="K34" i="94" s="1"/>
  <c r="J33" i="94"/>
  <c r="G33" i="94"/>
  <c r="K33" i="94" s="1"/>
  <c r="J32" i="94"/>
  <c r="G32" i="94"/>
  <c r="K32" i="94" s="1"/>
  <c r="J31" i="94"/>
  <c r="G31" i="94"/>
  <c r="K31" i="94" s="1"/>
  <c r="J30" i="94"/>
  <c r="G30" i="94"/>
  <c r="K30" i="94" s="1"/>
  <c r="J29" i="94"/>
  <c r="G29" i="94"/>
  <c r="K29" i="94" s="1"/>
  <c r="J28" i="94"/>
  <c r="G28" i="94"/>
  <c r="K28" i="94" s="1"/>
  <c r="J27" i="94"/>
  <c r="G27" i="94"/>
  <c r="K27" i="94" s="1"/>
  <c r="J26" i="94"/>
  <c r="G26" i="94"/>
  <c r="K26" i="94" s="1"/>
  <c r="L26" i="94" s="1"/>
  <c r="J25" i="94"/>
  <c r="G25" i="94"/>
  <c r="K25" i="94" s="1"/>
  <c r="J24" i="94"/>
  <c r="G24" i="94"/>
  <c r="K24" i="94" s="1"/>
  <c r="J23" i="94"/>
  <c r="G23" i="94"/>
  <c r="K23" i="94" s="1"/>
  <c r="J22" i="94"/>
  <c r="G22" i="94"/>
  <c r="K22" i="94" s="1"/>
  <c r="J21" i="94"/>
  <c r="G21" i="94"/>
  <c r="K21" i="94" s="1"/>
  <c r="J20" i="94"/>
  <c r="G20" i="94"/>
  <c r="K20" i="94" s="1"/>
  <c r="J19" i="94"/>
  <c r="G19" i="94"/>
  <c r="K19" i="94" s="1"/>
  <c r="J18" i="94"/>
  <c r="G18" i="94"/>
  <c r="K18" i="94" s="1"/>
  <c r="J17" i="94"/>
  <c r="G17" i="94"/>
  <c r="K17" i="94" s="1"/>
  <c r="J16" i="94"/>
  <c r="G16" i="94"/>
  <c r="K16" i="94" s="1"/>
  <c r="J15" i="94"/>
  <c r="G15" i="94"/>
  <c r="K15" i="94" s="1"/>
  <c r="L15" i="94" s="1"/>
  <c r="L35" i="94" s="1"/>
  <c r="J14" i="94"/>
  <c r="G14" i="94"/>
  <c r="K14" i="94" s="1"/>
  <c r="J13" i="94"/>
  <c r="G13" i="94"/>
  <c r="K13" i="94" s="1"/>
  <c r="J12" i="94"/>
  <c r="G12" i="94"/>
  <c r="K12" i="94" s="1"/>
  <c r="J11" i="94"/>
  <c r="G11" i="94"/>
  <c r="K11" i="94" s="1"/>
  <c r="J10" i="94"/>
  <c r="G10" i="94"/>
  <c r="K10" i="94" s="1"/>
  <c r="J9" i="94"/>
  <c r="G9" i="94"/>
  <c r="K9" i="94" s="1"/>
  <c r="J8" i="94"/>
  <c r="G8" i="94"/>
  <c r="K8" i="94" s="1"/>
  <c r="J7" i="94"/>
  <c r="G7" i="94"/>
  <c r="K7" i="94" s="1"/>
  <c r="J6" i="94"/>
  <c r="G6" i="94"/>
  <c r="K6" i="94" s="1"/>
  <c r="J5" i="94"/>
  <c r="G5" i="94"/>
  <c r="K5" i="94" s="1"/>
  <c r="J4" i="94"/>
  <c r="J35" i="94" s="1"/>
  <c r="G4" i="94"/>
  <c r="K61" i="44"/>
  <c r="K62" i="44"/>
  <c r="K63" i="44"/>
  <c r="K64" i="44"/>
  <c r="K65" i="44"/>
  <c r="K66" i="44"/>
  <c r="K67" i="44"/>
  <c r="K68" i="44"/>
  <c r="K69" i="44"/>
  <c r="K70" i="44"/>
  <c r="K71" i="44"/>
  <c r="K72" i="44"/>
  <c r="K73" i="44"/>
  <c r="K75" i="44"/>
  <c r="K76" i="44"/>
  <c r="K77" i="44"/>
  <c r="K78" i="44"/>
  <c r="K79" i="44"/>
  <c r="K80" i="44"/>
  <c r="K81" i="44"/>
  <c r="K82" i="44"/>
  <c r="K83" i="44"/>
  <c r="K84" i="44"/>
  <c r="K85" i="44"/>
  <c r="K86" i="44"/>
  <c r="K87" i="44"/>
  <c r="J82" i="44"/>
  <c r="J83" i="44"/>
  <c r="J84" i="44"/>
  <c r="J85" i="44"/>
  <c r="J86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G85" i="44"/>
  <c r="G84" i="44"/>
  <c r="G83" i="44"/>
  <c r="G82" i="44"/>
  <c r="J81" i="44"/>
  <c r="G81" i="44"/>
  <c r="G80" i="44"/>
  <c r="J80" i="44"/>
  <c r="J77" i="44"/>
  <c r="G77" i="44"/>
  <c r="G71" i="44"/>
  <c r="G70" i="44"/>
  <c r="L24" i="90"/>
  <c r="J22" i="14"/>
  <c r="J23" i="14"/>
  <c r="J24" i="14"/>
  <c r="J25" i="14"/>
  <c r="G25" i="14"/>
  <c r="J24" i="92"/>
  <c r="G24" i="92"/>
  <c r="K24" i="92" s="1"/>
  <c r="L24" i="92" s="1"/>
  <c r="J25" i="92"/>
  <c r="G25" i="92"/>
  <c r="K25" i="92" s="1"/>
  <c r="L25" i="92" s="1"/>
  <c r="G23" i="14"/>
  <c r="G24" i="14"/>
  <c r="G22" i="14"/>
  <c r="L21" i="22"/>
  <c r="G21" i="85"/>
  <c r="H22" i="89"/>
  <c r="E22" i="89"/>
  <c r="E18" i="89"/>
  <c r="E21" i="89"/>
  <c r="G21" i="3"/>
  <c r="J21" i="14"/>
  <c r="K21" i="14" s="1"/>
  <c r="J20" i="14"/>
  <c r="G20" i="14"/>
  <c r="Q20" i="92"/>
  <c r="G22" i="81"/>
  <c r="J22" i="81"/>
  <c r="K22" i="81"/>
  <c r="J15" i="14"/>
  <c r="J16" i="14"/>
  <c r="J17" i="14"/>
  <c r="J18" i="14"/>
  <c r="J19" i="14"/>
  <c r="G15" i="14"/>
  <c r="G16" i="14"/>
  <c r="G17" i="14"/>
  <c r="G18" i="14"/>
  <c r="G19" i="14"/>
  <c r="L15" i="78"/>
  <c r="J17" i="50"/>
  <c r="J14" i="50"/>
  <c r="J15" i="50"/>
  <c r="J16" i="50"/>
  <c r="G18" i="65"/>
  <c r="G17" i="65"/>
  <c r="I13" i="56"/>
  <c r="G13" i="56"/>
  <c r="F13" i="56"/>
  <c r="G45" i="44"/>
  <c r="G16" i="41"/>
  <c r="J16" i="41"/>
  <c r="K16" i="41" s="1"/>
  <c r="J14" i="41"/>
  <c r="G14" i="41"/>
  <c r="K14" i="41" s="1"/>
  <c r="E15" i="9"/>
  <c r="J22" i="76"/>
  <c r="J14" i="14"/>
  <c r="G14" i="14"/>
  <c r="J13" i="14"/>
  <c r="G13" i="14"/>
  <c r="K13" i="14" s="1"/>
  <c r="L14" i="22"/>
  <c r="G14" i="68"/>
  <c r="J11" i="50"/>
  <c r="J12" i="50"/>
  <c r="J13" i="50"/>
  <c r="J11" i="14"/>
  <c r="G11" i="14"/>
  <c r="M6" i="60"/>
  <c r="M7" i="60"/>
  <c r="M8" i="60"/>
  <c r="M9" i="60"/>
  <c r="M10" i="60"/>
  <c r="M11" i="60"/>
  <c r="M12" i="60"/>
  <c r="H35" i="93"/>
  <c r="E35" i="93"/>
  <c r="D13" i="56" s="1"/>
  <c r="J34" i="93"/>
  <c r="G34" i="93"/>
  <c r="K34" i="93" s="1"/>
  <c r="L34" i="93" s="1"/>
  <c r="J33" i="93"/>
  <c r="G33" i="93"/>
  <c r="K33" i="93" s="1"/>
  <c r="J32" i="93"/>
  <c r="G32" i="93"/>
  <c r="K32" i="93" s="1"/>
  <c r="J31" i="93"/>
  <c r="G31" i="93"/>
  <c r="K31" i="93" s="1"/>
  <c r="L31" i="93" s="1"/>
  <c r="J30" i="93"/>
  <c r="G30" i="93"/>
  <c r="K30" i="93" s="1"/>
  <c r="J29" i="93"/>
  <c r="G29" i="93"/>
  <c r="K29" i="93" s="1"/>
  <c r="L29" i="93" s="1"/>
  <c r="J28" i="93"/>
  <c r="G28" i="93"/>
  <c r="K28" i="93" s="1"/>
  <c r="J27" i="93"/>
  <c r="G27" i="93"/>
  <c r="K27" i="93" s="1"/>
  <c r="L27" i="93" s="1"/>
  <c r="J26" i="93"/>
  <c r="G26" i="93"/>
  <c r="K26" i="93" s="1"/>
  <c r="J25" i="93"/>
  <c r="G25" i="93"/>
  <c r="K25" i="93" s="1"/>
  <c r="J24" i="93"/>
  <c r="G24" i="93"/>
  <c r="K24" i="93" s="1"/>
  <c r="J23" i="93"/>
  <c r="G23" i="93"/>
  <c r="K23" i="93" s="1"/>
  <c r="J22" i="93"/>
  <c r="G22" i="93"/>
  <c r="K22" i="93" s="1"/>
  <c r="L22" i="93" s="1"/>
  <c r="J21" i="93"/>
  <c r="G21" i="93"/>
  <c r="K21" i="93" s="1"/>
  <c r="J20" i="93"/>
  <c r="G20" i="93"/>
  <c r="K20" i="93" s="1"/>
  <c r="J19" i="93"/>
  <c r="G19" i="93"/>
  <c r="K19" i="93" s="1"/>
  <c r="J18" i="93"/>
  <c r="G18" i="93"/>
  <c r="K18" i="93" s="1"/>
  <c r="J17" i="93"/>
  <c r="G17" i="93"/>
  <c r="K17" i="93" s="1"/>
  <c r="J16" i="93"/>
  <c r="G16" i="93"/>
  <c r="K16" i="93" s="1"/>
  <c r="J15" i="93"/>
  <c r="G15" i="93"/>
  <c r="K15" i="93" s="1"/>
  <c r="J14" i="93"/>
  <c r="G14" i="93"/>
  <c r="K14" i="93" s="1"/>
  <c r="J13" i="93"/>
  <c r="G13" i="93"/>
  <c r="K13" i="93" s="1"/>
  <c r="J12" i="93"/>
  <c r="G12" i="93"/>
  <c r="K12" i="93" s="1"/>
  <c r="J11" i="93"/>
  <c r="G11" i="93"/>
  <c r="K11" i="93" s="1"/>
  <c r="J10" i="93"/>
  <c r="G10" i="93"/>
  <c r="K10" i="93" s="1"/>
  <c r="J9" i="93"/>
  <c r="G9" i="93"/>
  <c r="K9" i="93" s="1"/>
  <c r="J8" i="93"/>
  <c r="G8" i="93"/>
  <c r="K8" i="93" s="1"/>
  <c r="J7" i="93"/>
  <c r="G7" i="93"/>
  <c r="K7" i="93" s="1"/>
  <c r="J6" i="93"/>
  <c r="G6" i="93"/>
  <c r="K6" i="93" s="1"/>
  <c r="J5" i="93"/>
  <c r="G5" i="93"/>
  <c r="K5" i="93" s="1"/>
  <c r="J4" i="93"/>
  <c r="J35" i="93" s="1"/>
  <c r="G4" i="93"/>
  <c r="M4" i="26"/>
  <c r="M10" i="50"/>
  <c r="J9" i="50"/>
  <c r="J10" i="50"/>
  <c r="M11" i="80"/>
  <c r="K11" i="80"/>
  <c r="J11" i="80"/>
  <c r="G11" i="80"/>
  <c r="J10" i="14"/>
  <c r="G10" i="14"/>
  <c r="J9" i="35"/>
  <c r="J9" i="14"/>
  <c r="G9" i="14"/>
  <c r="G5" i="14"/>
  <c r="G6" i="14"/>
  <c r="G7" i="14"/>
  <c r="G8" i="14"/>
  <c r="J7" i="50"/>
  <c r="J8" i="50"/>
  <c r="G8" i="57"/>
  <c r="G10" i="81"/>
  <c r="K10" i="81" s="1"/>
  <c r="L10" i="81" s="1"/>
  <c r="G8" i="44"/>
  <c r="J8" i="44"/>
  <c r="K8" i="44"/>
  <c r="J7" i="81"/>
  <c r="G7" i="81"/>
  <c r="K7" i="81" s="1"/>
  <c r="L7" i="81" s="1"/>
  <c r="K6" i="87"/>
  <c r="J6" i="50"/>
  <c r="G40" i="51"/>
  <c r="G41" i="51"/>
  <c r="G42" i="51"/>
  <c r="G5" i="51"/>
  <c r="G6" i="51"/>
  <c r="G7" i="51"/>
  <c r="G8" i="51"/>
  <c r="G9" i="51"/>
  <c r="G10" i="51"/>
  <c r="G11" i="51"/>
  <c r="G12" i="51"/>
  <c r="G13" i="51"/>
  <c r="G14" i="51"/>
  <c r="G15" i="51"/>
  <c r="G16" i="51"/>
  <c r="G17" i="51"/>
  <c r="G18" i="51"/>
  <c r="G19" i="51"/>
  <c r="G20" i="51"/>
  <c r="G21" i="51"/>
  <c r="G22" i="51"/>
  <c r="G23" i="51"/>
  <c r="G24" i="51"/>
  <c r="G25" i="51"/>
  <c r="G26" i="51"/>
  <c r="G27" i="51"/>
  <c r="G28" i="51"/>
  <c r="G29" i="51"/>
  <c r="G30" i="51"/>
  <c r="G31" i="51"/>
  <c r="G32" i="51"/>
  <c r="G33" i="51"/>
  <c r="G34" i="51"/>
  <c r="G35" i="51"/>
  <c r="G36" i="51"/>
  <c r="G37" i="51"/>
  <c r="G38" i="51"/>
  <c r="G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5" i="69"/>
  <c r="J5" i="69"/>
  <c r="G6" i="69"/>
  <c r="J6" i="69"/>
  <c r="G7" i="69"/>
  <c r="J7" i="69"/>
  <c r="G8" i="69"/>
  <c r="J8" i="69"/>
  <c r="G9" i="69"/>
  <c r="J9" i="69"/>
  <c r="G10" i="69"/>
  <c r="J10" i="69"/>
  <c r="G11" i="69"/>
  <c r="J11" i="69"/>
  <c r="G12" i="69"/>
  <c r="J12" i="69"/>
  <c r="G13" i="69"/>
  <c r="J13" i="69"/>
  <c r="G14" i="69"/>
  <c r="J14" i="69"/>
  <c r="G15" i="69"/>
  <c r="J15" i="69"/>
  <c r="G16" i="69"/>
  <c r="J16" i="69"/>
  <c r="G17" i="69"/>
  <c r="J17" i="69"/>
  <c r="G18" i="69"/>
  <c r="J18" i="69"/>
  <c r="G19" i="69"/>
  <c r="J19" i="69"/>
  <c r="G20" i="69"/>
  <c r="J20" i="69"/>
  <c r="G21" i="69"/>
  <c r="J21" i="69"/>
  <c r="G22" i="69"/>
  <c r="J22" i="69"/>
  <c r="G23" i="69"/>
  <c r="J23" i="69"/>
  <c r="G24" i="69"/>
  <c r="J24" i="69"/>
  <c r="G25" i="69"/>
  <c r="J25" i="69"/>
  <c r="G26" i="69"/>
  <c r="J26" i="69"/>
  <c r="G27" i="69"/>
  <c r="J27" i="69"/>
  <c r="G28" i="69"/>
  <c r="J28" i="69"/>
  <c r="G29" i="69"/>
  <c r="J29" i="69"/>
  <c r="G30" i="69"/>
  <c r="J30" i="69"/>
  <c r="G31" i="69"/>
  <c r="J31" i="69"/>
  <c r="G32" i="69"/>
  <c r="J32" i="69"/>
  <c r="G33" i="69"/>
  <c r="J33" i="69"/>
  <c r="G5" i="33"/>
  <c r="G6" i="33"/>
  <c r="G7" i="33"/>
  <c r="G8" i="33"/>
  <c r="G9" i="33"/>
  <c r="G10" i="33"/>
  <c r="G11" i="33"/>
  <c r="G12" i="33"/>
  <c r="G13" i="33"/>
  <c r="G14" i="33"/>
  <c r="G15" i="33"/>
  <c r="G16" i="33"/>
  <c r="G17" i="33"/>
  <c r="G5" i="9"/>
  <c r="J5" i="9"/>
  <c r="G6" i="9"/>
  <c r="J6" i="9"/>
  <c r="G7" i="9"/>
  <c r="J7" i="9"/>
  <c r="G8" i="9"/>
  <c r="J8" i="9"/>
  <c r="G9" i="9"/>
  <c r="J9" i="9"/>
  <c r="G10" i="9"/>
  <c r="J10" i="9"/>
  <c r="G11" i="9"/>
  <c r="J11" i="9"/>
  <c r="G12" i="9"/>
  <c r="J12" i="9"/>
  <c r="G13" i="9"/>
  <c r="J13" i="9"/>
  <c r="G14" i="9"/>
  <c r="J14" i="9"/>
  <c r="G15" i="9"/>
  <c r="J15" i="9"/>
  <c r="G16" i="9"/>
  <c r="J16" i="9"/>
  <c r="G17" i="9"/>
  <c r="J17" i="9"/>
  <c r="G18" i="9"/>
  <c r="J18" i="9"/>
  <c r="G19" i="9"/>
  <c r="J19" i="9"/>
  <c r="G20" i="9"/>
  <c r="J20" i="9"/>
  <c r="G21" i="9"/>
  <c r="J21" i="9"/>
  <c r="G22" i="9"/>
  <c r="J22" i="9"/>
  <c r="G23" i="9"/>
  <c r="J23" i="9"/>
  <c r="G24" i="9"/>
  <c r="J24" i="9"/>
  <c r="G25" i="9"/>
  <c r="J25" i="9"/>
  <c r="G26" i="9"/>
  <c r="J26" i="9"/>
  <c r="G27" i="9"/>
  <c r="J27" i="9"/>
  <c r="G28" i="9"/>
  <c r="J28" i="9"/>
  <c r="G29" i="9"/>
  <c r="J29" i="9"/>
  <c r="G30" i="9"/>
  <c r="J30" i="9"/>
  <c r="G31" i="9"/>
  <c r="J31" i="9"/>
  <c r="G32" i="9"/>
  <c r="J32" i="9"/>
  <c r="G33" i="9"/>
  <c r="J33" i="9"/>
  <c r="G34" i="9"/>
  <c r="J34" i="9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5" i="57"/>
  <c r="J5" i="57"/>
  <c r="G6" i="57"/>
  <c r="J6" i="57"/>
  <c r="G7" i="57"/>
  <c r="J7" i="57"/>
  <c r="J8" i="57"/>
  <c r="G9" i="57"/>
  <c r="J9" i="57"/>
  <c r="G10" i="57"/>
  <c r="J10" i="57"/>
  <c r="G11" i="57"/>
  <c r="J11" i="57"/>
  <c r="G12" i="57"/>
  <c r="J12" i="57"/>
  <c r="G13" i="57"/>
  <c r="J13" i="57"/>
  <c r="G14" i="57"/>
  <c r="J14" i="57"/>
  <c r="G15" i="57"/>
  <c r="J15" i="57"/>
  <c r="G16" i="57"/>
  <c r="J16" i="57"/>
  <c r="G17" i="57"/>
  <c r="J17" i="57"/>
  <c r="G18" i="57"/>
  <c r="J18" i="57"/>
  <c r="G19" i="57"/>
  <c r="J19" i="57"/>
  <c r="G20" i="57"/>
  <c r="J20" i="57"/>
  <c r="G21" i="57"/>
  <c r="J21" i="57"/>
  <c r="G22" i="57"/>
  <c r="J22" i="57"/>
  <c r="G23" i="57"/>
  <c r="J23" i="57"/>
  <c r="G24" i="57"/>
  <c r="J24" i="57"/>
  <c r="G25" i="57"/>
  <c r="J25" i="57"/>
  <c r="G26" i="57"/>
  <c r="J26" i="57"/>
  <c r="G27" i="57"/>
  <c r="J27" i="57"/>
  <c r="G28" i="57"/>
  <c r="J28" i="57"/>
  <c r="G29" i="57"/>
  <c r="J29" i="57"/>
  <c r="G30" i="57"/>
  <c r="J30" i="57"/>
  <c r="G31" i="57"/>
  <c r="J31" i="57"/>
  <c r="G32" i="57"/>
  <c r="J32" i="57"/>
  <c r="G33" i="57"/>
  <c r="J33" i="57"/>
  <c r="G34" i="57"/>
  <c r="J34" i="57"/>
  <c r="K17" i="60"/>
  <c r="K18" i="60"/>
  <c r="K19" i="60"/>
  <c r="K20" i="60"/>
  <c r="K22" i="60"/>
  <c r="G5" i="60"/>
  <c r="G6" i="60"/>
  <c r="G7" i="60"/>
  <c r="G8" i="60"/>
  <c r="G9" i="60"/>
  <c r="G10" i="60"/>
  <c r="G11" i="60"/>
  <c r="G12" i="60"/>
  <c r="G13" i="60"/>
  <c r="G14" i="60"/>
  <c r="G15" i="60"/>
  <c r="K15" i="60" s="1"/>
  <c r="G16" i="60"/>
  <c r="G17" i="60"/>
  <c r="G18" i="60"/>
  <c r="G19" i="60"/>
  <c r="G20" i="60"/>
  <c r="G21" i="60"/>
  <c r="K21" i="60" s="1"/>
  <c r="G22" i="60"/>
  <c r="G23" i="60"/>
  <c r="K23" i="60" s="1"/>
  <c r="G24" i="60"/>
  <c r="K24" i="60" s="1"/>
  <c r="G25" i="60"/>
  <c r="K25" i="60" s="1"/>
  <c r="G26" i="60"/>
  <c r="G27" i="60"/>
  <c r="G28" i="60"/>
  <c r="G29" i="60"/>
  <c r="G30" i="60"/>
  <c r="G31" i="60"/>
  <c r="G32" i="60"/>
  <c r="G33" i="60"/>
  <c r="G34" i="60"/>
  <c r="G4" i="60"/>
  <c r="G5" i="41"/>
  <c r="J5" i="41"/>
  <c r="G6" i="41"/>
  <c r="J6" i="41"/>
  <c r="G7" i="41"/>
  <c r="J7" i="41"/>
  <c r="G8" i="41"/>
  <c r="J8" i="41"/>
  <c r="G9" i="41"/>
  <c r="J9" i="41"/>
  <c r="G10" i="41"/>
  <c r="J10" i="41"/>
  <c r="G11" i="41"/>
  <c r="J11" i="41"/>
  <c r="G12" i="41"/>
  <c r="J12" i="41"/>
  <c r="G13" i="41"/>
  <c r="J13" i="41"/>
  <c r="G15" i="41"/>
  <c r="J15" i="41"/>
  <c r="G17" i="41"/>
  <c r="J17" i="41"/>
  <c r="G18" i="41"/>
  <c r="J18" i="41"/>
  <c r="G19" i="41"/>
  <c r="J19" i="41"/>
  <c r="G20" i="41"/>
  <c r="J20" i="41"/>
  <c r="G21" i="41"/>
  <c r="J21" i="41"/>
  <c r="G22" i="41"/>
  <c r="J22" i="41"/>
  <c r="G23" i="41"/>
  <c r="J23" i="41"/>
  <c r="G24" i="41"/>
  <c r="J24" i="41"/>
  <c r="G25" i="41"/>
  <c r="G26" i="41"/>
  <c r="J26" i="41"/>
  <c r="G27" i="41"/>
  <c r="J27" i="41"/>
  <c r="G28" i="41"/>
  <c r="J28" i="41"/>
  <c r="G29" i="41"/>
  <c r="J29" i="41"/>
  <c r="G30" i="41"/>
  <c r="J30" i="41"/>
  <c r="G31" i="41"/>
  <c r="J31" i="41"/>
  <c r="G32" i="41"/>
  <c r="J32" i="41"/>
  <c r="G33" i="41"/>
  <c r="J33" i="41"/>
  <c r="G34" i="41"/>
  <c r="J34" i="41"/>
  <c r="G35" i="41"/>
  <c r="J35" i="41"/>
  <c r="G36" i="41"/>
  <c r="J36" i="41"/>
  <c r="G37" i="41"/>
  <c r="J37" i="41"/>
  <c r="G38" i="41"/>
  <c r="J38" i="41"/>
  <c r="G39" i="41"/>
  <c r="J39" i="41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5" i="76"/>
  <c r="J5" i="76"/>
  <c r="G6" i="76"/>
  <c r="J6" i="76"/>
  <c r="G7" i="76"/>
  <c r="J7" i="76"/>
  <c r="G8" i="76"/>
  <c r="J8" i="76"/>
  <c r="G9" i="76"/>
  <c r="J9" i="76"/>
  <c r="G10" i="76"/>
  <c r="J10" i="76"/>
  <c r="G11" i="76"/>
  <c r="J11" i="76"/>
  <c r="G12" i="76"/>
  <c r="J12" i="76"/>
  <c r="G13" i="76"/>
  <c r="J13" i="76"/>
  <c r="G14" i="76"/>
  <c r="J14" i="76"/>
  <c r="G15" i="76"/>
  <c r="J15" i="76"/>
  <c r="G16" i="76"/>
  <c r="J16" i="76"/>
  <c r="G17" i="76"/>
  <c r="J17" i="76"/>
  <c r="G18" i="76"/>
  <c r="J18" i="76"/>
  <c r="G19" i="76"/>
  <c r="J19" i="76"/>
  <c r="G20" i="76"/>
  <c r="J20" i="76"/>
  <c r="G21" i="76"/>
  <c r="J21" i="76"/>
  <c r="G22" i="76"/>
  <c r="K22" i="76" s="1"/>
  <c r="G23" i="76"/>
  <c r="J23" i="76"/>
  <c r="G24" i="76"/>
  <c r="J24" i="76"/>
  <c r="G25" i="76"/>
  <c r="J25" i="76"/>
  <c r="G26" i="76"/>
  <c r="J26" i="76"/>
  <c r="G27" i="76"/>
  <c r="J27" i="76"/>
  <c r="G28" i="76"/>
  <c r="J28" i="76"/>
  <c r="G29" i="76"/>
  <c r="J29" i="76"/>
  <c r="G30" i="76"/>
  <c r="J30" i="76"/>
  <c r="G31" i="76"/>
  <c r="J31" i="76"/>
  <c r="G32" i="76"/>
  <c r="J32" i="76"/>
  <c r="G33" i="76"/>
  <c r="J33" i="76"/>
  <c r="G34" i="76"/>
  <c r="J34" i="76"/>
  <c r="G35" i="76"/>
  <c r="J35" i="76"/>
  <c r="G5" i="79"/>
  <c r="J5" i="79"/>
  <c r="G6" i="79"/>
  <c r="J6" i="79"/>
  <c r="G7" i="79"/>
  <c r="J7" i="79"/>
  <c r="G8" i="79"/>
  <c r="J8" i="79"/>
  <c r="G9" i="79"/>
  <c r="J9" i="79"/>
  <c r="G10" i="79"/>
  <c r="J10" i="79"/>
  <c r="G11" i="79"/>
  <c r="J11" i="79"/>
  <c r="G12" i="79"/>
  <c r="J12" i="79"/>
  <c r="G13" i="79"/>
  <c r="J13" i="79"/>
  <c r="G14" i="79"/>
  <c r="J14" i="79"/>
  <c r="G15" i="79"/>
  <c r="J15" i="79"/>
  <c r="G16" i="79"/>
  <c r="J16" i="79"/>
  <c r="G17" i="79"/>
  <c r="J17" i="79"/>
  <c r="G18" i="79"/>
  <c r="J18" i="79"/>
  <c r="G19" i="79"/>
  <c r="J19" i="79"/>
  <c r="G20" i="79"/>
  <c r="J20" i="79"/>
  <c r="G21" i="79"/>
  <c r="J21" i="79"/>
  <c r="G22" i="79"/>
  <c r="J22" i="79"/>
  <c r="G23" i="79"/>
  <c r="J23" i="79"/>
  <c r="G24" i="79"/>
  <c r="J24" i="79"/>
  <c r="G25" i="79"/>
  <c r="J25" i="79"/>
  <c r="G26" i="79"/>
  <c r="J26" i="79"/>
  <c r="G27" i="79"/>
  <c r="J27" i="79"/>
  <c r="G28" i="79"/>
  <c r="J28" i="79"/>
  <c r="G29" i="79"/>
  <c r="J29" i="79"/>
  <c r="G30" i="79"/>
  <c r="J30" i="79"/>
  <c r="G31" i="79"/>
  <c r="J31" i="79"/>
  <c r="G32" i="79"/>
  <c r="J32" i="79"/>
  <c r="G33" i="79"/>
  <c r="J33" i="79"/>
  <c r="G34" i="79"/>
  <c r="J34" i="79"/>
  <c r="G5" i="75"/>
  <c r="J5" i="75"/>
  <c r="G6" i="75"/>
  <c r="J6" i="75"/>
  <c r="G7" i="75"/>
  <c r="J7" i="75"/>
  <c r="G8" i="75"/>
  <c r="J8" i="75"/>
  <c r="G9" i="75"/>
  <c r="J9" i="75"/>
  <c r="G10" i="75"/>
  <c r="J10" i="75"/>
  <c r="G11" i="75"/>
  <c r="J11" i="75"/>
  <c r="G12" i="75"/>
  <c r="J12" i="75"/>
  <c r="G13" i="75"/>
  <c r="J13" i="75"/>
  <c r="G14" i="75"/>
  <c r="J14" i="75"/>
  <c r="G15" i="75"/>
  <c r="J15" i="75"/>
  <c r="G16" i="75"/>
  <c r="J16" i="75"/>
  <c r="G17" i="75"/>
  <c r="J17" i="75"/>
  <c r="G18" i="75"/>
  <c r="J18" i="75"/>
  <c r="G19" i="75"/>
  <c r="J19" i="75"/>
  <c r="G20" i="75"/>
  <c r="G21" i="75"/>
  <c r="J21" i="75"/>
  <c r="G22" i="75"/>
  <c r="J22" i="75"/>
  <c r="G23" i="75"/>
  <c r="J23" i="75"/>
  <c r="G24" i="75"/>
  <c r="J24" i="75"/>
  <c r="G25" i="75"/>
  <c r="J25" i="75"/>
  <c r="G26" i="75"/>
  <c r="J26" i="75"/>
  <c r="G27" i="75"/>
  <c r="J27" i="75"/>
  <c r="G28" i="75"/>
  <c r="J28" i="75"/>
  <c r="G29" i="75"/>
  <c r="J29" i="75"/>
  <c r="G30" i="75"/>
  <c r="J30" i="75"/>
  <c r="G5" i="85"/>
  <c r="J5" i="85"/>
  <c r="K5" i="85"/>
  <c r="G6" i="85"/>
  <c r="J6" i="85"/>
  <c r="K6" i="85"/>
  <c r="G7" i="85"/>
  <c r="J7" i="85"/>
  <c r="K7" i="85"/>
  <c r="G8" i="85"/>
  <c r="J8" i="85"/>
  <c r="K8" i="85"/>
  <c r="G9" i="85"/>
  <c r="J9" i="85"/>
  <c r="K9" i="85"/>
  <c r="G10" i="85"/>
  <c r="J10" i="85"/>
  <c r="K10" i="85"/>
  <c r="G11" i="85"/>
  <c r="J11" i="85"/>
  <c r="K11" i="85"/>
  <c r="G12" i="85"/>
  <c r="J12" i="85"/>
  <c r="K12" i="85"/>
  <c r="G13" i="85"/>
  <c r="J13" i="85"/>
  <c r="K13" i="85"/>
  <c r="G14" i="85"/>
  <c r="J14" i="85"/>
  <c r="K14" i="85"/>
  <c r="G15" i="85"/>
  <c r="J15" i="85"/>
  <c r="K15" i="85"/>
  <c r="G16" i="85"/>
  <c r="J16" i="85"/>
  <c r="K16" i="85"/>
  <c r="G17" i="85"/>
  <c r="J17" i="85"/>
  <c r="K17" i="85"/>
  <c r="G18" i="85"/>
  <c r="J18" i="85"/>
  <c r="K18" i="85"/>
  <c r="G19" i="85"/>
  <c r="J19" i="85"/>
  <c r="K19" i="85"/>
  <c r="G20" i="85"/>
  <c r="J20" i="85"/>
  <c r="K20" i="85"/>
  <c r="J21" i="85"/>
  <c r="K21" i="85"/>
  <c r="G22" i="85"/>
  <c r="J22" i="85"/>
  <c r="K22" i="85"/>
  <c r="G23" i="85"/>
  <c r="J23" i="85"/>
  <c r="K23" i="85"/>
  <c r="G24" i="85"/>
  <c r="J24" i="85"/>
  <c r="K24" i="85"/>
  <c r="G25" i="85"/>
  <c r="J25" i="85"/>
  <c r="K25" i="85"/>
  <c r="G26" i="85"/>
  <c r="J26" i="85"/>
  <c r="K26" i="85"/>
  <c r="G27" i="85"/>
  <c r="J27" i="85"/>
  <c r="K27" i="85"/>
  <c r="G28" i="85"/>
  <c r="J28" i="85"/>
  <c r="K28" i="85"/>
  <c r="G29" i="85"/>
  <c r="J29" i="85"/>
  <c r="K29" i="85"/>
  <c r="G30" i="85"/>
  <c r="J30" i="85"/>
  <c r="K30" i="85"/>
  <c r="G31" i="85"/>
  <c r="J31" i="85"/>
  <c r="K31" i="85"/>
  <c r="G32" i="85"/>
  <c r="J32" i="85"/>
  <c r="K32" i="85"/>
  <c r="G33" i="85"/>
  <c r="J33" i="85"/>
  <c r="K33" i="85"/>
  <c r="G34" i="85"/>
  <c r="J34" i="85"/>
  <c r="K34" i="85"/>
  <c r="G35" i="85"/>
  <c r="J35" i="85"/>
  <c r="K35" i="85"/>
  <c r="G5" i="22"/>
  <c r="J5" i="22"/>
  <c r="G6" i="22"/>
  <c r="J6" i="22"/>
  <c r="G7" i="22"/>
  <c r="J7" i="22"/>
  <c r="G8" i="22"/>
  <c r="J8" i="22"/>
  <c r="G9" i="22"/>
  <c r="J9" i="22"/>
  <c r="G10" i="22"/>
  <c r="J10" i="22"/>
  <c r="G11" i="22"/>
  <c r="J11" i="22"/>
  <c r="G12" i="22"/>
  <c r="J12" i="22"/>
  <c r="G13" i="22"/>
  <c r="J13" i="22"/>
  <c r="G14" i="22"/>
  <c r="J14" i="22"/>
  <c r="G15" i="22"/>
  <c r="J15" i="22"/>
  <c r="G16" i="22"/>
  <c r="J16" i="22"/>
  <c r="G17" i="22"/>
  <c r="J17" i="22"/>
  <c r="G18" i="22"/>
  <c r="J18" i="22"/>
  <c r="G19" i="22"/>
  <c r="J19" i="22"/>
  <c r="G20" i="22"/>
  <c r="J20" i="22"/>
  <c r="G21" i="22"/>
  <c r="J21" i="22"/>
  <c r="G22" i="22"/>
  <c r="J22" i="22"/>
  <c r="G23" i="22"/>
  <c r="J23" i="22"/>
  <c r="G24" i="22"/>
  <c r="J24" i="22"/>
  <c r="G25" i="22"/>
  <c r="J25" i="22"/>
  <c r="G26" i="22"/>
  <c r="J26" i="22"/>
  <c r="G27" i="22"/>
  <c r="J27" i="22"/>
  <c r="G28" i="22"/>
  <c r="J28" i="22"/>
  <c r="G29" i="22"/>
  <c r="J29" i="22"/>
  <c r="G30" i="22"/>
  <c r="J30" i="22"/>
  <c r="G31" i="22"/>
  <c r="J31" i="22"/>
  <c r="G32" i="22"/>
  <c r="J32" i="22"/>
  <c r="G33" i="22"/>
  <c r="J33" i="22"/>
  <c r="G34" i="22"/>
  <c r="J34" i="22"/>
  <c r="G35" i="22"/>
  <c r="J35" i="22"/>
  <c r="G36" i="22"/>
  <c r="J36" i="22"/>
  <c r="G37" i="22"/>
  <c r="J37" i="22"/>
  <c r="G38" i="22"/>
  <c r="J38" i="22"/>
  <c r="G39" i="22"/>
  <c r="J39" i="22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3" i="25"/>
  <c r="G34" i="25"/>
  <c r="G35" i="25"/>
  <c r="G5" i="11"/>
  <c r="J5" i="11"/>
  <c r="G6" i="11"/>
  <c r="J6" i="11"/>
  <c r="G7" i="11"/>
  <c r="J7" i="11"/>
  <c r="G8" i="11"/>
  <c r="J8" i="11"/>
  <c r="G9" i="11"/>
  <c r="J9" i="11"/>
  <c r="G10" i="11"/>
  <c r="J10" i="11"/>
  <c r="G11" i="11"/>
  <c r="J11" i="11"/>
  <c r="G12" i="11"/>
  <c r="J12" i="11"/>
  <c r="G13" i="11"/>
  <c r="J13" i="11"/>
  <c r="G14" i="11"/>
  <c r="J14" i="11"/>
  <c r="G15" i="11"/>
  <c r="J15" i="11"/>
  <c r="G16" i="11"/>
  <c r="J16" i="11"/>
  <c r="G17" i="11"/>
  <c r="J17" i="11"/>
  <c r="G18" i="11"/>
  <c r="J18" i="11"/>
  <c r="G19" i="11"/>
  <c r="J19" i="11"/>
  <c r="G20" i="11"/>
  <c r="J20" i="11"/>
  <c r="G21" i="11"/>
  <c r="J21" i="11"/>
  <c r="G22" i="11"/>
  <c r="J22" i="11"/>
  <c r="G23" i="11"/>
  <c r="J23" i="11"/>
  <c r="G24" i="11"/>
  <c r="J24" i="11"/>
  <c r="G25" i="11"/>
  <c r="J25" i="11"/>
  <c r="G26" i="11"/>
  <c r="J26" i="11"/>
  <c r="G27" i="11"/>
  <c r="J27" i="11"/>
  <c r="G28" i="11"/>
  <c r="J28" i="11"/>
  <c r="G29" i="11"/>
  <c r="J29" i="11"/>
  <c r="G30" i="11"/>
  <c r="J30" i="11"/>
  <c r="G31" i="11"/>
  <c r="J31" i="11"/>
  <c r="G32" i="11"/>
  <c r="J32" i="11"/>
  <c r="G33" i="11"/>
  <c r="J33" i="11"/>
  <c r="G34" i="11"/>
  <c r="J34" i="11"/>
  <c r="G5" i="10"/>
  <c r="J5" i="10"/>
  <c r="G6" i="10"/>
  <c r="J6" i="10"/>
  <c r="G7" i="10"/>
  <c r="J7" i="10"/>
  <c r="G8" i="10"/>
  <c r="J8" i="10"/>
  <c r="G9" i="10"/>
  <c r="J9" i="10"/>
  <c r="G10" i="10"/>
  <c r="J10" i="10"/>
  <c r="G11" i="10"/>
  <c r="J11" i="10"/>
  <c r="G12" i="10"/>
  <c r="J12" i="10"/>
  <c r="G13" i="10"/>
  <c r="J13" i="10"/>
  <c r="G14" i="10"/>
  <c r="J14" i="10"/>
  <c r="G15" i="10"/>
  <c r="J15" i="10"/>
  <c r="G16" i="10"/>
  <c r="J16" i="10"/>
  <c r="G17" i="10"/>
  <c r="J17" i="10"/>
  <c r="G18" i="10"/>
  <c r="J18" i="10"/>
  <c r="G19" i="10"/>
  <c r="J19" i="10"/>
  <c r="G20" i="10"/>
  <c r="J20" i="10"/>
  <c r="G21" i="10"/>
  <c r="J21" i="10"/>
  <c r="G22" i="10"/>
  <c r="J22" i="10"/>
  <c r="G23" i="10"/>
  <c r="J23" i="10"/>
  <c r="G24" i="10"/>
  <c r="J24" i="10"/>
  <c r="G25" i="10"/>
  <c r="J25" i="10"/>
  <c r="G26" i="10"/>
  <c r="J26" i="10"/>
  <c r="G27" i="10"/>
  <c r="J27" i="10"/>
  <c r="G28" i="10"/>
  <c r="J28" i="10"/>
  <c r="G29" i="10"/>
  <c r="J29" i="10"/>
  <c r="G30" i="10"/>
  <c r="J30" i="10"/>
  <c r="G31" i="10"/>
  <c r="J31" i="10"/>
  <c r="G32" i="10"/>
  <c r="J32" i="10"/>
  <c r="G33" i="10"/>
  <c r="J33" i="10"/>
  <c r="G5" i="80"/>
  <c r="J5" i="80"/>
  <c r="G6" i="80"/>
  <c r="J6" i="80"/>
  <c r="G7" i="80"/>
  <c r="J7" i="80"/>
  <c r="G8" i="80"/>
  <c r="J8" i="80"/>
  <c r="G9" i="80"/>
  <c r="J9" i="80"/>
  <c r="G10" i="80"/>
  <c r="J10" i="80"/>
  <c r="G12" i="80"/>
  <c r="J12" i="80"/>
  <c r="G13" i="80"/>
  <c r="J13" i="80"/>
  <c r="G14" i="80"/>
  <c r="J14" i="80"/>
  <c r="G15" i="80"/>
  <c r="J15" i="80"/>
  <c r="G16" i="80"/>
  <c r="J16" i="80"/>
  <c r="G17" i="80"/>
  <c r="J17" i="80"/>
  <c r="G18" i="80"/>
  <c r="J18" i="80"/>
  <c r="G19" i="80"/>
  <c r="J19" i="80"/>
  <c r="G20" i="80"/>
  <c r="J20" i="80"/>
  <c r="G21" i="80"/>
  <c r="J21" i="80"/>
  <c r="G22" i="80"/>
  <c r="J22" i="80"/>
  <c r="G23" i="80"/>
  <c r="J23" i="80"/>
  <c r="G24" i="80"/>
  <c r="J24" i="80"/>
  <c r="G25" i="80"/>
  <c r="J25" i="80"/>
  <c r="G26" i="80"/>
  <c r="J26" i="80"/>
  <c r="G27" i="80"/>
  <c r="J27" i="80"/>
  <c r="G28" i="80"/>
  <c r="J28" i="80"/>
  <c r="G29" i="80"/>
  <c r="J29" i="80"/>
  <c r="G30" i="80"/>
  <c r="J30" i="80"/>
  <c r="G31" i="80"/>
  <c r="J31" i="80"/>
  <c r="G32" i="80"/>
  <c r="J32" i="80"/>
  <c r="G33" i="80"/>
  <c r="J33" i="80"/>
  <c r="G34" i="80"/>
  <c r="J34" i="80"/>
  <c r="G35" i="80"/>
  <c r="J35" i="80"/>
  <c r="G36" i="80"/>
  <c r="J36" i="80"/>
  <c r="J4" i="80"/>
  <c r="G4" i="80"/>
  <c r="G5" i="24"/>
  <c r="J5" i="24"/>
  <c r="G6" i="24"/>
  <c r="J6" i="24"/>
  <c r="G7" i="24"/>
  <c r="J7" i="24"/>
  <c r="G8" i="24"/>
  <c r="J8" i="24"/>
  <c r="J9" i="24"/>
  <c r="G10" i="24"/>
  <c r="J10" i="24"/>
  <c r="G11" i="24"/>
  <c r="J11" i="24"/>
  <c r="G12" i="24"/>
  <c r="J12" i="24"/>
  <c r="G13" i="24"/>
  <c r="J13" i="24"/>
  <c r="G14" i="24"/>
  <c r="J14" i="24"/>
  <c r="G15" i="24"/>
  <c r="J15" i="24"/>
  <c r="G16" i="24"/>
  <c r="J16" i="24"/>
  <c r="G17" i="24"/>
  <c r="J17" i="24"/>
  <c r="J18" i="24"/>
  <c r="J19" i="24"/>
  <c r="J20" i="24"/>
  <c r="G21" i="24"/>
  <c r="J21" i="24"/>
  <c r="G22" i="24"/>
  <c r="J22" i="24"/>
  <c r="G23" i="24"/>
  <c r="J23" i="24"/>
  <c r="G24" i="24"/>
  <c r="J24" i="24"/>
  <c r="G25" i="24"/>
  <c r="J25" i="24"/>
  <c r="G26" i="24"/>
  <c r="J26" i="24"/>
  <c r="G27" i="24"/>
  <c r="J27" i="24"/>
  <c r="G28" i="24"/>
  <c r="J28" i="24"/>
  <c r="G29" i="24"/>
  <c r="J29" i="24"/>
  <c r="G30" i="24"/>
  <c r="J30" i="24"/>
  <c r="G31" i="24"/>
  <c r="J31" i="24"/>
  <c r="G32" i="24"/>
  <c r="J32" i="24"/>
  <c r="G33" i="24"/>
  <c r="J33" i="24"/>
  <c r="G34" i="24"/>
  <c r="J34" i="24"/>
  <c r="G6" i="74"/>
  <c r="J6" i="74"/>
  <c r="G7" i="74"/>
  <c r="J7" i="74"/>
  <c r="G8" i="74"/>
  <c r="J8" i="74"/>
  <c r="G9" i="74"/>
  <c r="J9" i="74"/>
  <c r="G10" i="74"/>
  <c r="J10" i="74"/>
  <c r="G11" i="74"/>
  <c r="J11" i="74"/>
  <c r="G12" i="74"/>
  <c r="J12" i="74"/>
  <c r="G13" i="74"/>
  <c r="J13" i="74"/>
  <c r="G14" i="74"/>
  <c r="J14" i="74"/>
  <c r="G15" i="74"/>
  <c r="J15" i="74"/>
  <c r="G16" i="74"/>
  <c r="J16" i="74"/>
  <c r="G17" i="74"/>
  <c r="J17" i="74"/>
  <c r="G18" i="74"/>
  <c r="J18" i="74"/>
  <c r="G19" i="74"/>
  <c r="J19" i="74"/>
  <c r="G20" i="74"/>
  <c r="J20" i="74"/>
  <c r="G21" i="74"/>
  <c r="J21" i="74"/>
  <c r="G22" i="74"/>
  <c r="J22" i="74"/>
  <c r="G23" i="74"/>
  <c r="J23" i="74"/>
  <c r="G24" i="74"/>
  <c r="J24" i="74"/>
  <c r="G25" i="74"/>
  <c r="J25" i="74"/>
  <c r="G26" i="74"/>
  <c r="J26" i="74"/>
  <c r="G27" i="74"/>
  <c r="J27" i="74"/>
  <c r="G28" i="74"/>
  <c r="J28" i="74"/>
  <c r="G29" i="74"/>
  <c r="J29" i="74"/>
  <c r="G30" i="74"/>
  <c r="J30" i="74"/>
  <c r="G31" i="74"/>
  <c r="J31" i="74"/>
  <c r="G32" i="74"/>
  <c r="J32" i="74"/>
  <c r="G33" i="74"/>
  <c r="J33" i="74"/>
  <c r="G5" i="73"/>
  <c r="J5" i="73"/>
  <c r="G6" i="73"/>
  <c r="J6" i="73"/>
  <c r="G7" i="73"/>
  <c r="J7" i="73"/>
  <c r="G8" i="73"/>
  <c r="J8" i="73"/>
  <c r="G9" i="73"/>
  <c r="J9" i="73"/>
  <c r="G10" i="73"/>
  <c r="J10" i="73"/>
  <c r="G11" i="73"/>
  <c r="J11" i="73"/>
  <c r="G12" i="73"/>
  <c r="J12" i="73"/>
  <c r="G13" i="73"/>
  <c r="J13" i="73"/>
  <c r="G14" i="73"/>
  <c r="J14" i="73"/>
  <c r="G15" i="73"/>
  <c r="J15" i="73"/>
  <c r="G16" i="73"/>
  <c r="J16" i="73"/>
  <c r="G17" i="73"/>
  <c r="J17" i="73"/>
  <c r="G18" i="73"/>
  <c r="J18" i="73"/>
  <c r="G19" i="73"/>
  <c r="J19" i="73"/>
  <c r="G20" i="73"/>
  <c r="J20" i="73"/>
  <c r="G21" i="73"/>
  <c r="J21" i="73"/>
  <c r="G22" i="73"/>
  <c r="J22" i="73"/>
  <c r="G23" i="73"/>
  <c r="J23" i="73"/>
  <c r="G24" i="73"/>
  <c r="J24" i="73"/>
  <c r="G25" i="73"/>
  <c r="J25" i="73"/>
  <c r="G26" i="73"/>
  <c r="J26" i="73"/>
  <c r="G27" i="73"/>
  <c r="J27" i="73"/>
  <c r="G28" i="73"/>
  <c r="J28" i="73"/>
  <c r="G29" i="73"/>
  <c r="J29" i="73"/>
  <c r="G30" i="73"/>
  <c r="J30" i="73"/>
  <c r="G31" i="73"/>
  <c r="J31" i="73"/>
  <c r="G32" i="73"/>
  <c r="J32" i="73"/>
  <c r="G33" i="73"/>
  <c r="J33" i="73"/>
  <c r="G5" i="68"/>
  <c r="J5" i="68"/>
  <c r="K5" i="68"/>
  <c r="G6" i="68"/>
  <c r="J6" i="68"/>
  <c r="K6" i="68"/>
  <c r="G7" i="68"/>
  <c r="J7" i="68"/>
  <c r="K7" i="68"/>
  <c r="G8" i="68"/>
  <c r="J8" i="68"/>
  <c r="K8" i="68"/>
  <c r="G9" i="68"/>
  <c r="J9" i="68"/>
  <c r="K9" i="68"/>
  <c r="G10" i="68"/>
  <c r="J10" i="68"/>
  <c r="K10" i="68"/>
  <c r="G11" i="68"/>
  <c r="J11" i="68"/>
  <c r="K11" i="68"/>
  <c r="G12" i="68"/>
  <c r="J12" i="68"/>
  <c r="K12" i="68"/>
  <c r="G13" i="68"/>
  <c r="J13" i="68"/>
  <c r="K13" i="68"/>
  <c r="J14" i="68"/>
  <c r="K14" i="68"/>
  <c r="G15" i="68"/>
  <c r="J15" i="68"/>
  <c r="K15" i="68"/>
  <c r="G16" i="68"/>
  <c r="J16" i="68"/>
  <c r="K16" i="68"/>
  <c r="G17" i="68"/>
  <c r="J17" i="68"/>
  <c r="K17" i="68"/>
  <c r="G18" i="68"/>
  <c r="J18" i="68"/>
  <c r="K18" i="68"/>
  <c r="G19" i="68"/>
  <c r="J19" i="68"/>
  <c r="K19" i="68"/>
  <c r="G20" i="68"/>
  <c r="J20" i="68"/>
  <c r="K20" i="68"/>
  <c r="G21" i="68"/>
  <c r="J21" i="68"/>
  <c r="K21" i="68"/>
  <c r="G22" i="68"/>
  <c r="J22" i="68"/>
  <c r="K22" i="68"/>
  <c r="G23" i="68"/>
  <c r="J23" i="68"/>
  <c r="K23" i="68"/>
  <c r="G24" i="68"/>
  <c r="J24" i="68"/>
  <c r="K24" i="68"/>
  <c r="G25" i="68"/>
  <c r="J25" i="68"/>
  <c r="K25" i="68"/>
  <c r="G26" i="68"/>
  <c r="J26" i="68"/>
  <c r="K26" i="68"/>
  <c r="G27" i="68"/>
  <c r="J27" i="68"/>
  <c r="K27" i="68"/>
  <c r="G28" i="68"/>
  <c r="J28" i="68"/>
  <c r="K28" i="68"/>
  <c r="G29" i="68"/>
  <c r="J29" i="68"/>
  <c r="K29" i="68"/>
  <c r="G30" i="68"/>
  <c r="J30" i="68"/>
  <c r="K30" i="68"/>
  <c r="G31" i="68"/>
  <c r="J31" i="68"/>
  <c r="K31" i="68"/>
  <c r="G32" i="68"/>
  <c r="J32" i="68"/>
  <c r="K32" i="68"/>
  <c r="G33" i="68"/>
  <c r="J33" i="68"/>
  <c r="K33" i="68"/>
  <c r="G34" i="68"/>
  <c r="J34" i="68"/>
  <c r="K34" i="68"/>
  <c r="J4" i="68"/>
  <c r="G4" i="68"/>
  <c r="G6" i="63"/>
  <c r="J6" i="63"/>
  <c r="K6" i="63"/>
  <c r="G7" i="63"/>
  <c r="J7" i="63"/>
  <c r="K7" i="63"/>
  <c r="G8" i="63"/>
  <c r="J8" i="63"/>
  <c r="K8" i="63"/>
  <c r="G9" i="63"/>
  <c r="J9" i="63"/>
  <c r="K9" i="63"/>
  <c r="G10" i="63"/>
  <c r="J10" i="63"/>
  <c r="K10" i="63"/>
  <c r="G11" i="63"/>
  <c r="J11" i="63"/>
  <c r="K11" i="63"/>
  <c r="G12" i="63"/>
  <c r="J12" i="63"/>
  <c r="K12" i="63"/>
  <c r="G13" i="63"/>
  <c r="J13" i="63"/>
  <c r="K13" i="63"/>
  <c r="G14" i="63"/>
  <c r="J14" i="63"/>
  <c r="K14" i="63"/>
  <c r="G15" i="63"/>
  <c r="J15" i="63"/>
  <c r="K15" i="63"/>
  <c r="G16" i="63"/>
  <c r="J16" i="63"/>
  <c r="K16" i="63"/>
  <c r="G17" i="63"/>
  <c r="J17" i="63"/>
  <c r="K17" i="63"/>
  <c r="G18" i="63"/>
  <c r="J18" i="63"/>
  <c r="K18" i="63"/>
  <c r="G19" i="63"/>
  <c r="J19" i="63"/>
  <c r="K19" i="63"/>
  <c r="G20" i="63"/>
  <c r="J20" i="63"/>
  <c r="K20" i="63"/>
  <c r="G21" i="63"/>
  <c r="J21" i="63"/>
  <c r="K21" i="63"/>
  <c r="G22" i="63"/>
  <c r="J22" i="63"/>
  <c r="K22" i="63"/>
  <c r="G23" i="63"/>
  <c r="J23" i="63"/>
  <c r="K23" i="63"/>
  <c r="G24" i="63"/>
  <c r="J24" i="63"/>
  <c r="K24" i="63"/>
  <c r="G25" i="63"/>
  <c r="J25" i="63"/>
  <c r="K25" i="63"/>
  <c r="G26" i="63"/>
  <c r="J26" i="63"/>
  <c r="K26" i="63"/>
  <c r="G27" i="63"/>
  <c r="J27" i="63"/>
  <c r="K27" i="63"/>
  <c r="G28" i="63"/>
  <c r="J28" i="63"/>
  <c r="K28" i="63"/>
  <c r="G29" i="63"/>
  <c r="J29" i="63"/>
  <c r="K29" i="63"/>
  <c r="G30" i="63"/>
  <c r="J30" i="63"/>
  <c r="K30" i="63"/>
  <c r="G31" i="63"/>
  <c r="J31" i="63"/>
  <c r="K31" i="63"/>
  <c r="G32" i="63"/>
  <c r="J32" i="63"/>
  <c r="K32" i="63"/>
  <c r="G33" i="63"/>
  <c r="J33" i="63"/>
  <c r="K33" i="63"/>
  <c r="G5" i="16"/>
  <c r="J5" i="16"/>
  <c r="K5" i="16"/>
  <c r="G6" i="16"/>
  <c r="J6" i="16"/>
  <c r="K6" i="16"/>
  <c r="G7" i="16"/>
  <c r="J7" i="16"/>
  <c r="K7" i="16"/>
  <c r="G8" i="16"/>
  <c r="J8" i="16"/>
  <c r="K8" i="16"/>
  <c r="G9" i="16"/>
  <c r="J9" i="16"/>
  <c r="K9" i="16"/>
  <c r="G10" i="16"/>
  <c r="J10" i="16"/>
  <c r="K10" i="16"/>
  <c r="G11" i="16"/>
  <c r="J11" i="16"/>
  <c r="K11" i="16"/>
  <c r="G12" i="16"/>
  <c r="J12" i="16"/>
  <c r="K12" i="16"/>
  <c r="G13" i="16"/>
  <c r="J13" i="16"/>
  <c r="K13" i="16"/>
  <c r="G14" i="16"/>
  <c r="J14" i="16"/>
  <c r="K14" i="16"/>
  <c r="G15" i="16"/>
  <c r="J15" i="16"/>
  <c r="K15" i="16"/>
  <c r="G16" i="16"/>
  <c r="J16" i="16"/>
  <c r="K16" i="16"/>
  <c r="G17" i="16"/>
  <c r="J17" i="16"/>
  <c r="K17" i="16"/>
  <c r="G18" i="16"/>
  <c r="J18" i="16"/>
  <c r="K18" i="16"/>
  <c r="G19" i="16"/>
  <c r="J19" i="16"/>
  <c r="K19" i="16"/>
  <c r="G20" i="16"/>
  <c r="J20" i="16"/>
  <c r="K20" i="16"/>
  <c r="G21" i="16"/>
  <c r="J21" i="16"/>
  <c r="K21" i="16"/>
  <c r="G22" i="16"/>
  <c r="J22" i="16"/>
  <c r="K22" i="16"/>
  <c r="G23" i="16"/>
  <c r="J23" i="16"/>
  <c r="K23" i="16"/>
  <c r="G24" i="16"/>
  <c r="J24" i="16"/>
  <c r="K24" i="16"/>
  <c r="G25" i="16"/>
  <c r="J25" i="16"/>
  <c r="K25" i="16"/>
  <c r="G26" i="16"/>
  <c r="J26" i="16"/>
  <c r="K26" i="16"/>
  <c r="G27" i="16"/>
  <c r="J27" i="16"/>
  <c r="K27" i="16"/>
  <c r="G28" i="16"/>
  <c r="J28" i="16"/>
  <c r="K28" i="16"/>
  <c r="G29" i="16"/>
  <c r="J29" i="16"/>
  <c r="K29" i="16"/>
  <c r="G30" i="16"/>
  <c r="J30" i="16"/>
  <c r="K30" i="16"/>
  <c r="G31" i="16"/>
  <c r="J31" i="16"/>
  <c r="K31" i="16"/>
  <c r="G32" i="16"/>
  <c r="J32" i="16"/>
  <c r="K32" i="16"/>
  <c r="G33" i="16"/>
  <c r="J33" i="16"/>
  <c r="K33" i="16"/>
  <c r="G34" i="16"/>
  <c r="J34" i="16"/>
  <c r="K34" i="16"/>
  <c r="G35" i="16"/>
  <c r="J35" i="16"/>
  <c r="K35" i="16"/>
  <c r="G5" i="3"/>
  <c r="J5" i="3"/>
  <c r="K5" i="3"/>
  <c r="G6" i="3"/>
  <c r="J6" i="3"/>
  <c r="K6" i="3"/>
  <c r="G7" i="3"/>
  <c r="J7" i="3"/>
  <c r="K7" i="3"/>
  <c r="G8" i="3"/>
  <c r="J8" i="3"/>
  <c r="K8" i="3"/>
  <c r="G9" i="3"/>
  <c r="J9" i="3"/>
  <c r="K9" i="3"/>
  <c r="G10" i="3"/>
  <c r="J10" i="3"/>
  <c r="K10" i="3"/>
  <c r="G11" i="3"/>
  <c r="J11" i="3"/>
  <c r="K11" i="3"/>
  <c r="G12" i="3"/>
  <c r="J12" i="3"/>
  <c r="K12" i="3"/>
  <c r="G13" i="3"/>
  <c r="J13" i="3"/>
  <c r="K13" i="3"/>
  <c r="G14" i="3"/>
  <c r="J14" i="3"/>
  <c r="K14" i="3"/>
  <c r="G15" i="3"/>
  <c r="J15" i="3"/>
  <c r="K15" i="3"/>
  <c r="G16" i="3"/>
  <c r="J16" i="3"/>
  <c r="K16" i="3"/>
  <c r="G17" i="3"/>
  <c r="J17" i="3"/>
  <c r="K17" i="3"/>
  <c r="G18" i="3"/>
  <c r="J18" i="3"/>
  <c r="K18" i="3"/>
  <c r="G19" i="3"/>
  <c r="J19" i="3"/>
  <c r="K19" i="3"/>
  <c r="G20" i="3"/>
  <c r="J20" i="3"/>
  <c r="K20" i="3"/>
  <c r="J21" i="3"/>
  <c r="K21" i="3"/>
  <c r="G22" i="3"/>
  <c r="J22" i="3"/>
  <c r="K22" i="3"/>
  <c r="G23" i="3"/>
  <c r="J23" i="3"/>
  <c r="K23" i="3"/>
  <c r="G24" i="3"/>
  <c r="J24" i="3"/>
  <c r="K24" i="3"/>
  <c r="G25" i="3"/>
  <c r="J25" i="3"/>
  <c r="K25" i="3"/>
  <c r="G26" i="3"/>
  <c r="J26" i="3"/>
  <c r="K26" i="3"/>
  <c r="G27" i="3"/>
  <c r="J27" i="3"/>
  <c r="K27" i="3"/>
  <c r="G28" i="3"/>
  <c r="J28" i="3"/>
  <c r="K28" i="3"/>
  <c r="G29" i="3"/>
  <c r="J29" i="3"/>
  <c r="K29" i="3"/>
  <c r="G30" i="3"/>
  <c r="J30" i="3"/>
  <c r="K30" i="3"/>
  <c r="G31" i="3"/>
  <c r="J31" i="3"/>
  <c r="K31" i="3"/>
  <c r="G32" i="3"/>
  <c r="J32" i="3"/>
  <c r="K32" i="3"/>
  <c r="G33" i="3"/>
  <c r="J33" i="3"/>
  <c r="K33" i="3"/>
  <c r="G25" i="52"/>
  <c r="J25" i="52"/>
  <c r="K25" i="52"/>
  <c r="G26" i="52"/>
  <c r="J26" i="52"/>
  <c r="K26" i="52"/>
  <c r="G27" i="52"/>
  <c r="J27" i="52"/>
  <c r="K27" i="52"/>
  <c r="G28" i="52"/>
  <c r="J28" i="52"/>
  <c r="K28" i="52"/>
  <c r="G29" i="52"/>
  <c r="J29" i="52"/>
  <c r="K29" i="52"/>
  <c r="G30" i="52"/>
  <c r="J30" i="52"/>
  <c r="K30" i="52"/>
  <c r="G31" i="52"/>
  <c r="J31" i="52"/>
  <c r="K31" i="52"/>
  <c r="G32" i="52"/>
  <c r="J32" i="52"/>
  <c r="K32" i="52"/>
  <c r="G33" i="52"/>
  <c r="J33" i="52"/>
  <c r="K33" i="52"/>
  <c r="G8" i="52"/>
  <c r="J8" i="52"/>
  <c r="K8" i="52"/>
  <c r="G9" i="52"/>
  <c r="J9" i="52"/>
  <c r="K9" i="52"/>
  <c r="G10" i="52"/>
  <c r="J10" i="52"/>
  <c r="K10" i="52"/>
  <c r="G11" i="52"/>
  <c r="J11" i="52"/>
  <c r="K11" i="52"/>
  <c r="G12" i="52"/>
  <c r="J12" i="52"/>
  <c r="K12" i="52"/>
  <c r="G13" i="52"/>
  <c r="J13" i="52"/>
  <c r="K13" i="52"/>
  <c r="G14" i="52"/>
  <c r="J14" i="52"/>
  <c r="K14" i="52"/>
  <c r="G15" i="52"/>
  <c r="J15" i="52"/>
  <c r="K15" i="52"/>
  <c r="G16" i="52"/>
  <c r="J16" i="52"/>
  <c r="K16" i="52"/>
  <c r="G17" i="52"/>
  <c r="J17" i="52"/>
  <c r="K17" i="52"/>
  <c r="G18" i="52"/>
  <c r="J18" i="52"/>
  <c r="K18" i="52"/>
  <c r="G19" i="52"/>
  <c r="J19" i="52"/>
  <c r="K19" i="52"/>
  <c r="G20" i="52"/>
  <c r="J20" i="52"/>
  <c r="K20" i="52"/>
  <c r="G8" i="62"/>
  <c r="G9" i="62"/>
  <c r="G10" i="62"/>
  <c r="G11" i="62"/>
  <c r="G12" i="62"/>
  <c r="G13" i="62"/>
  <c r="G14" i="62"/>
  <c r="G15" i="62"/>
  <c r="G16" i="62"/>
  <c r="G17" i="62"/>
  <c r="G18" i="62"/>
  <c r="G19" i="62"/>
  <c r="G20" i="62"/>
  <c r="G21" i="62"/>
  <c r="G22" i="62"/>
  <c r="G23" i="62"/>
  <c r="G24" i="62"/>
  <c r="G25" i="62"/>
  <c r="G26" i="62"/>
  <c r="G27" i="62"/>
  <c r="G28" i="62"/>
  <c r="G29" i="62"/>
  <c r="G30" i="62"/>
  <c r="G31" i="62"/>
  <c r="G32" i="62"/>
  <c r="G33" i="62"/>
  <c r="G34" i="62"/>
  <c r="G35" i="62"/>
  <c r="G5" i="89"/>
  <c r="J5" i="89"/>
  <c r="K5" i="89"/>
  <c r="G6" i="89"/>
  <c r="J6" i="89"/>
  <c r="K6" i="89"/>
  <c r="G7" i="89"/>
  <c r="J7" i="89"/>
  <c r="K7" i="89"/>
  <c r="G8" i="89"/>
  <c r="J8" i="89"/>
  <c r="K8" i="89"/>
  <c r="G9" i="89"/>
  <c r="J9" i="89"/>
  <c r="K9" i="89"/>
  <c r="G10" i="89"/>
  <c r="J10" i="89"/>
  <c r="K10" i="89"/>
  <c r="G11" i="89"/>
  <c r="J11" i="89"/>
  <c r="K11" i="89"/>
  <c r="G12" i="89"/>
  <c r="J12" i="89"/>
  <c r="K12" i="89"/>
  <c r="G13" i="89"/>
  <c r="J13" i="89"/>
  <c r="K13" i="89"/>
  <c r="G14" i="89"/>
  <c r="J14" i="89"/>
  <c r="K14" i="89"/>
  <c r="G15" i="89"/>
  <c r="J15" i="89"/>
  <c r="K15" i="89"/>
  <c r="G16" i="89"/>
  <c r="J16" i="89"/>
  <c r="K16" i="89"/>
  <c r="G17" i="89"/>
  <c r="J17" i="89"/>
  <c r="K17" i="89"/>
  <c r="G18" i="89"/>
  <c r="J18" i="89"/>
  <c r="K18" i="89"/>
  <c r="G19" i="89"/>
  <c r="J19" i="89"/>
  <c r="K19" i="89"/>
  <c r="G20" i="89"/>
  <c r="J20" i="89"/>
  <c r="K20" i="89"/>
  <c r="G21" i="89"/>
  <c r="J21" i="89"/>
  <c r="K21" i="89"/>
  <c r="G22" i="89"/>
  <c r="J22" i="89"/>
  <c r="K22" i="89"/>
  <c r="G23" i="89"/>
  <c r="J23" i="89"/>
  <c r="K23" i="89"/>
  <c r="G24" i="89"/>
  <c r="J24" i="89"/>
  <c r="K24" i="89"/>
  <c r="G25" i="89"/>
  <c r="J25" i="89"/>
  <c r="K25" i="89"/>
  <c r="G26" i="89"/>
  <c r="J26" i="89"/>
  <c r="K26" i="89"/>
  <c r="G27" i="89"/>
  <c r="J27" i="89"/>
  <c r="K27" i="89"/>
  <c r="G28" i="89"/>
  <c r="K28" i="89"/>
  <c r="G29" i="89"/>
  <c r="J29" i="89"/>
  <c r="K29" i="89"/>
  <c r="G30" i="89"/>
  <c r="J30" i="89"/>
  <c r="K30" i="89"/>
  <c r="G31" i="89"/>
  <c r="J31" i="89"/>
  <c r="K31" i="89"/>
  <c r="G32" i="89"/>
  <c r="J32" i="89"/>
  <c r="K32" i="89"/>
  <c r="G33" i="89"/>
  <c r="J33" i="89"/>
  <c r="K33" i="89"/>
  <c r="G34" i="89"/>
  <c r="J34" i="89"/>
  <c r="K34" i="89"/>
  <c r="G5" i="88"/>
  <c r="J5" i="88"/>
  <c r="K5" i="88"/>
  <c r="G6" i="88"/>
  <c r="J6" i="88"/>
  <c r="K6" i="88"/>
  <c r="G7" i="88"/>
  <c r="J7" i="88"/>
  <c r="K7" i="88"/>
  <c r="G8" i="88"/>
  <c r="J8" i="88"/>
  <c r="K8" i="88"/>
  <c r="G9" i="88"/>
  <c r="J9" i="88"/>
  <c r="K9" i="88"/>
  <c r="G10" i="88"/>
  <c r="J10" i="88"/>
  <c r="K10" i="88"/>
  <c r="G11" i="88"/>
  <c r="J11" i="88"/>
  <c r="K11" i="88"/>
  <c r="G12" i="88"/>
  <c r="J12" i="88"/>
  <c r="K12" i="88"/>
  <c r="G13" i="88"/>
  <c r="J13" i="88"/>
  <c r="K13" i="88"/>
  <c r="G14" i="88"/>
  <c r="J14" i="88"/>
  <c r="K14" i="88"/>
  <c r="G15" i="88"/>
  <c r="J15" i="88"/>
  <c r="K15" i="88"/>
  <c r="G16" i="88"/>
  <c r="J16" i="88"/>
  <c r="K16" i="88"/>
  <c r="G17" i="88"/>
  <c r="J17" i="88"/>
  <c r="K17" i="88"/>
  <c r="G18" i="88"/>
  <c r="J18" i="88"/>
  <c r="K18" i="88"/>
  <c r="G19" i="88"/>
  <c r="J19" i="88"/>
  <c r="K19" i="88"/>
  <c r="G20" i="88"/>
  <c r="J20" i="88"/>
  <c r="K20" i="88"/>
  <c r="G21" i="88"/>
  <c r="J21" i="88"/>
  <c r="K21" i="88"/>
  <c r="G22" i="88"/>
  <c r="J22" i="88"/>
  <c r="K22" i="88"/>
  <c r="G23" i="88"/>
  <c r="J23" i="88"/>
  <c r="K23" i="88"/>
  <c r="G24" i="88"/>
  <c r="J24" i="88"/>
  <c r="K24" i="88"/>
  <c r="G25" i="88"/>
  <c r="J25" i="88"/>
  <c r="K25" i="88"/>
  <c r="G26" i="88"/>
  <c r="J26" i="88"/>
  <c r="K26" i="88"/>
  <c r="G27" i="88"/>
  <c r="J27" i="88"/>
  <c r="K27" i="88"/>
  <c r="G28" i="88"/>
  <c r="J28" i="88"/>
  <c r="K28" i="88"/>
  <c r="J5" i="78"/>
  <c r="J6" i="78"/>
  <c r="J7" i="78"/>
  <c r="J8" i="78"/>
  <c r="J9" i="78"/>
  <c r="J10" i="78"/>
  <c r="J11" i="78"/>
  <c r="J12" i="78"/>
  <c r="J13" i="78"/>
  <c r="J14" i="78"/>
  <c r="J15" i="78"/>
  <c r="J16" i="78"/>
  <c r="J17" i="78"/>
  <c r="J18" i="78"/>
  <c r="J19" i="78"/>
  <c r="J20" i="78"/>
  <c r="J21" i="78"/>
  <c r="J22" i="78"/>
  <c r="J23" i="78"/>
  <c r="J24" i="78"/>
  <c r="J25" i="78"/>
  <c r="J26" i="78"/>
  <c r="J27" i="78"/>
  <c r="J28" i="78"/>
  <c r="J29" i="78"/>
  <c r="J30" i="78"/>
  <c r="J31" i="78"/>
  <c r="J32" i="78"/>
  <c r="G5" i="72"/>
  <c r="J5" i="72"/>
  <c r="K5" i="72"/>
  <c r="G6" i="72"/>
  <c r="J6" i="72"/>
  <c r="K6" i="72"/>
  <c r="G7" i="72"/>
  <c r="J7" i="72"/>
  <c r="K7" i="72"/>
  <c r="G8" i="72"/>
  <c r="J8" i="72"/>
  <c r="K8" i="72"/>
  <c r="G9" i="72"/>
  <c r="J9" i="72"/>
  <c r="K9" i="72"/>
  <c r="G10" i="72"/>
  <c r="J10" i="72"/>
  <c r="K10" i="72"/>
  <c r="G11" i="72"/>
  <c r="J11" i="72"/>
  <c r="K11" i="72"/>
  <c r="G12" i="72"/>
  <c r="J12" i="72"/>
  <c r="K12" i="72"/>
  <c r="G13" i="72"/>
  <c r="J13" i="72"/>
  <c r="K13" i="72"/>
  <c r="G14" i="72"/>
  <c r="J14" i="72"/>
  <c r="K14" i="72"/>
  <c r="G15" i="72"/>
  <c r="J15" i="72"/>
  <c r="K15" i="72"/>
  <c r="G16" i="72"/>
  <c r="J16" i="72"/>
  <c r="K16" i="72"/>
  <c r="G17" i="72"/>
  <c r="J17" i="72"/>
  <c r="K17" i="72"/>
  <c r="G18" i="72"/>
  <c r="J18" i="72"/>
  <c r="K18" i="72"/>
  <c r="G19" i="72"/>
  <c r="J19" i="72"/>
  <c r="K19" i="72"/>
  <c r="G20" i="72"/>
  <c r="J20" i="72"/>
  <c r="K20" i="72"/>
  <c r="G21" i="72"/>
  <c r="J21" i="72"/>
  <c r="K21" i="72"/>
  <c r="G22" i="72"/>
  <c r="J22" i="72"/>
  <c r="K22" i="72"/>
  <c r="G23" i="72"/>
  <c r="J23" i="72"/>
  <c r="K23" i="72"/>
  <c r="G24" i="72"/>
  <c r="J24" i="72"/>
  <c r="K24" i="72"/>
  <c r="G25" i="72"/>
  <c r="J25" i="72"/>
  <c r="K25" i="72"/>
  <c r="G26" i="72"/>
  <c r="J26" i="72"/>
  <c r="K26" i="72"/>
  <c r="G27" i="72"/>
  <c r="J27" i="72"/>
  <c r="K27" i="72"/>
  <c r="G28" i="72"/>
  <c r="J28" i="72"/>
  <c r="K28" i="72"/>
  <c r="G29" i="72"/>
  <c r="J29" i="72"/>
  <c r="K29" i="72"/>
  <c r="G30" i="72"/>
  <c r="J30" i="72"/>
  <c r="K30" i="72"/>
  <c r="G31" i="72"/>
  <c r="J31" i="72"/>
  <c r="K31" i="72"/>
  <c r="G32" i="72"/>
  <c r="J32" i="72"/>
  <c r="K32" i="72"/>
  <c r="G33" i="72"/>
  <c r="J33" i="72"/>
  <c r="K33" i="72"/>
  <c r="G6" i="87"/>
  <c r="J6" i="87"/>
  <c r="G7" i="87"/>
  <c r="J7" i="87"/>
  <c r="K7" i="87"/>
  <c r="G8" i="87"/>
  <c r="J8" i="87"/>
  <c r="K8" i="87"/>
  <c r="G9" i="87"/>
  <c r="J9" i="87"/>
  <c r="K9" i="87"/>
  <c r="G10" i="87"/>
  <c r="J10" i="87"/>
  <c r="K10" i="87"/>
  <c r="G11" i="87"/>
  <c r="J11" i="87"/>
  <c r="K11" i="87"/>
  <c r="G12" i="87"/>
  <c r="J12" i="87"/>
  <c r="K12" i="87"/>
  <c r="G13" i="87"/>
  <c r="J13" i="87"/>
  <c r="K13" i="87"/>
  <c r="G14" i="87"/>
  <c r="J14" i="87"/>
  <c r="K14" i="87"/>
  <c r="G15" i="87"/>
  <c r="J15" i="87"/>
  <c r="K15" i="87"/>
  <c r="G16" i="87"/>
  <c r="J16" i="87"/>
  <c r="K16" i="87"/>
  <c r="G17" i="87"/>
  <c r="J17" i="87"/>
  <c r="K17" i="87"/>
  <c r="G18" i="87"/>
  <c r="J18" i="87"/>
  <c r="K18" i="87"/>
  <c r="G19" i="87"/>
  <c r="J19" i="87"/>
  <c r="K19" i="87"/>
  <c r="G5" i="82"/>
  <c r="J5" i="82"/>
  <c r="K5" i="82"/>
  <c r="G6" i="82"/>
  <c r="J6" i="82"/>
  <c r="K6" i="82"/>
  <c r="G7" i="82"/>
  <c r="J7" i="82"/>
  <c r="K7" i="82"/>
  <c r="G8" i="82"/>
  <c r="J8" i="82"/>
  <c r="K8" i="82"/>
  <c r="G9" i="82"/>
  <c r="J9" i="82"/>
  <c r="K9" i="82"/>
  <c r="G10" i="82"/>
  <c r="J10" i="82"/>
  <c r="K10" i="82"/>
  <c r="G11" i="82"/>
  <c r="J11" i="82"/>
  <c r="K11" i="82"/>
  <c r="G12" i="82"/>
  <c r="J12" i="82"/>
  <c r="K12" i="82"/>
  <c r="G13" i="82"/>
  <c r="J13" i="82"/>
  <c r="K13" i="82"/>
  <c r="G14" i="82"/>
  <c r="J14" i="82"/>
  <c r="K14" i="82"/>
  <c r="G15" i="82"/>
  <c r="J15" i="82"/>
  <c r="K15" i="82"/>
  <c r="G16" i="82"/>
  <c r="J16" i="82"/>
  <c r="K16" i="82"/>
  <c r="G17" i="82"/>
  <c r="J17" i="82"/>
  <c r="K17" i="82"/>
  <c r="G18" i="82"/>
  <c r="J18" i="82"/>
  <c r="K18" i="82"/>
  <c r="G19" i="82"/>
  <c r="J19" i="82"/>
  <c r="K19" i="82"/>
  <c r="G20" i="82"/>
  <c r="J20" i="82"/>
  <c r="K20" i="82"/>
  <c r="G21" i="82"/>
  <c r="J21" i="82"/>
  <c r="K21" i="82"/>
  <c r="G22" i="82"/>
  <c r="J22" i="82"/>
  <c r="K22" i="82"/>
  <c r="G23" i="82"/>
  <c r="J23" i="82"/>
  <c r="K23" i="82"/>
  <c r="G24" i="82"/>
  <c r="J24" i="82"/>
  <c r="K24" i="82"/>
  <c r="G25" i="82"/>
  <c r="J25" i="82"/>
  <c r="K25" i="82"/>
  <c r="G26" i="82"/>
  <c r="J26" i="82"/>
  <c r="K26" i="82"/>
  <c r="G27" i="82"/>
  <c r="J27" i="82"/>
  <c r="K27" i="82"/>
  <c r="G28" i="82"/>
  <c r="J28" i="82"/>
  <c r="K28" i="82"/>
  <c r="G29" i="82"/>
  <c r="J29" i="82"/>
  <c r="K29" i="82"/>
  <c r="G30" i="82"/>
  <c r="J30" i="82"/>
  <c r="K30" i="82"/>
  <c r="G31" i="82"/>
  <c r="J31" i="82"/>
  <c r="K31" i="82"/>
  <c r="G32" i="82"/>
  <c r="J32" i="82"/>
  <c r="K32" i="82"/>
  <c r="G33" i="82"/>
  <c r="J33" i="82"/>
  <c r="K33" i="82"/>
  <c r="G34" i="82"/>
  <c r="J34" i="82"/>
  <c r="K34" i="82"/>
  <c r="G6" i="47"/>
  <c r="J6" i="47"/>
  <c r="K6" i="47"/>
  <c r="G7" i="47"/>
  <c r="J7" i="47"/>
  <c r="K7" i="47"/>
  <c r="G8" i="47"/>
  <c r="J8" i="47"/>
  <c r="K8" i="47"/>
  <c r="G9" i="47"/>
  <c r="J9" i="47"/>
  <c r="K9" i="47"/>
  <c r="G10" i="47"/>
  <c r="J10" i="47"/>
  <c r="K10" i="47"/>
  <c r="G11" i="47"/>
  <c r="J11" i="47"/>
  <c r="K11" i="47"/>
  <c r="G12" i="47"/>
  <c r="J12" i="47"/>
  <c r="K12" i="47"/>
  <c r="G13" i="47"/>
  <c r="J13" i="47"/>
  <c r="K13" i="47"/>
  <c r="G14" i="47"/>
  <c r="J14" i="47"/>
  <c r="K14" i="47"/>
  <c r="G15" i="47"/>
  <c r="J15" i="47"/>
  <c r="K15" i="47"/>
  <c r="G16" i="47"/>
  <c r="J16" i="47"/>
  <c r="K16" i="47"/>
  <c r="G17" i="47"/>
  <c r="J17" i="47"/>
  <c r="K17" i="47"/>
  <c r="G18" i="47"/>
  <c r="J18" i="47"/>
  <c r="K18" i="47"/>
  <c r="G19" i="47"/>
  <c r="J19" i="47"/>
  <c r="K19" i="47"/>
  <c r="G20" i="47"/>
  <c r="J20" i="47"/>
  <c r="K20" i="47"/>
  <c r="G21" i="47"/>
  <c r="J21" i="47"/>
  <c r="K21" i="47"/>
  <c r="G22" i="47"/>
  <c r="J22" i="47"/>
  <c r="K22" i="47"/>
  <c r="G23" i="47"/>
  <c r="J23" i="47"/>
  <c r="K23" i="47"/>
  <c r="G24" i="47"/>
  <c r="J24" i="47"/>
  <c r="K24" i="47"/>
  <c r="G25" i="47"/>
  <c r="J25" i="47"/>
  <c r="K25" i="47"/>
  <c r="G26" i="47"/>
  <c r="J26" i="47"/>
  <c r="K26" i="47"/>
  <c r="G27" i="47"/>
  <c r="J27" i="47"/>
  <c r="K27" i="47"/>
  <c r="G28" i="47"/>
  <c r="J28" i="47"/>
  <c r="K28" i="47"/>
  <c r="G29" i="47"/>
  <c r="J29" i="47"/>
  <c r="K29" i="47"/>
  <c r="G30" i="47"/>
  <c r="J30" i="47"/>
  <c r="K30" i="47"/>
  <c r="G31" i="47"/>
  <c r="J31" i="47"/>
  <c r="K31" i="47"/>
  <c r="G32" i="47"/>
  <c r="J32" i="47"/>
  <c r="K32" i="47"/>
  <c r="G33" i="47"/>
  <c r="J33" i="47"/>
  <c r="K33" i="47"/>
  <c r="G34" i="47"/>
  <c r="J34" i="47"/>
  <c r="K34" i="47"/>
  <c r="G5" i="50"/>
  <c r="K5" i="50"/>
  <c r="G6" i="50"/>
  <c r="K6" i="50"/>
  <c r="G7" i="50"/>
  <c r="K7" i="50"/>
  <c r="G8" i="50"/>
  <c r="K8" i="50"/>
  <c r="G9" i="50"/>
  <c r="K9" i="50"/>
  <c r="G10" i="50"/>
  <c r="K10" i="50"/>
  <c r="G11" i="50"/>
  <c r="K11" i="50"/>
  <c r="G12" i="50"/>
  <c r="K12" i="50"/>
  <c r="G13" i="50"/>
  <c r="K13" i="50"/>
  <c r="G14" i="50"/>
  <c r="K14" i="50"/>
  <c r="G15" i="50"/>
  <c r="K15" i="50"/>
  <c r="G16" i="50"/>
  <c r="K16" i="50"/>
  <c r="G17" i="50"/>
  <c r="K17" i="50"/>
  <c r="G18" i="50"/>
  <c r="K18" i="50"/>
  <c r="G19" i="50"/>
  <c r="K19" i="50"/>
  <c r="G20" i="50"/>
  <c r="K20" i="50"/>
  <c r="G21" i="50"/>
  <c r="K21" i="50"/>
  <c r="G22" i="50"/>
  <c r="K22" i="50"/>
  <c r="G23" i="50"/>
  <c r="K23" i="50"/>
  <c r="G24" i="50"/>
  <c r="K24" i="50"/>
  <c r="G25" i="50"/>
  <c r="K25" i="50"/>
  <c r="G26" i="50"/>
  <c r="K26" i="50"/>
  <c r="G27" i="50"/>
  <c r="K27" i="50"/>
  <c r="G28" i="50"/>
  <c r="K28" i="50"/>
  <c r="G29" i="50"/>
  <c r="K29" i="50"/>
  <c r="G30" i="50"/>
  <c r="K30" i="50"/>
  <c r="G31" i="50"/>
  <c r="K31" i="50"/>
  <c r="G32" i="50"/>
  <c r="K32" i="50"/>
  <c r="G33" i="50"/>
  <c r="K33" i="50"/>
  <c r="G5" i="81"/>
  <c r="J5" i="81"/>
  <c r="K5" i="81"/>
  <c r="G6" i="81"/>
  <c r="J6" i="81"/>
  <c r="G8" i="81"/>
  <c r="J8" i="81"/>
  <c r="K8" i="81"/>
  <c r="L8" i="81" s="1"/>
  <c r="G9" i="81"/>
  <c r="J9" i="81"/>
  <c r="K9" i="81"/>
  <c r="G11" i="81"/>
  <c r="J11" i="81"/>
  <c r="K11" i="81"/>
  <c r="G12" i="81"/>
  <c r="J12" i="81"/>
  <c r="K12" i="81"/>
  <c r="G13" i="81"/>
  <c r="J13" i="81"/>
  <c r="K13" i="81"/>
  <c r="G14" i="81"/>
  <c r="J14" i="81"/>
  <c r="K14" i="81"/>
  <c r="G15" i="81"/>
  <c r="J15" i="81"/>
  <c r="K15" i="81"/>
  <c r="G16" i="81"/>
  <c r="J16" i="81"/>
  <c r="K16" i="81"/>
  <c r="G17" i="81"/>
  <c r="J17" i="81"/>
  <c r="K17" i="81"/>
  <c r="G18" i="81"/>
  <c r="J18" i="81"/>
  <c r="K18" i="81"/>
  <c r="G19" i="81"/>
  <c r="J19" i="81"/>
  <c r="K19" i="81"/>
  <c r="L19" i="81" s="1"/>
  <c r="G20" i="81"/>
  <c r="J20" i="81"/>
  <c r="K20" i="81"/>
  <c r="L20" i="81" s="1"/>
  <c r="G21" i="81"/>
  <c r="J21" i="81"/>
  <c r="K21" i="81"/>
  <c r="L21" i="81" s="1"/>
  <c r="G23" i="81"/>
  <c r="J23" i="81"/>
  <c r="K23" i="81"/>
  <c r="G24" i="81"/>
  <c r="J24" i="81"/>
  <c r="K24" i="81"/>
  <c r="G25" i="81"/>
  <c r="J25" i="81"/>
  <c r="K25" i="81"/>
  <c r="G26" i="81"/>
  <c r="J26" i="81"/>
  <c r="K26" i="81"/>
  <c r="G27" i="81"/>
  <c r="J27" i="81"/>
  <c r="K27" i="81"/>
  <c r="G28" i="81"/>
  <c r="J28" i="81"/>
  <c r="K28" i="81"/>
  <c r="L28" i="81" s="1"/>
  <c r="J29" i="81"/>
  <c r="K29" i="81"/>
  <c r="G30" i="81"/>
  <c r="J30" i="81"/>
  <c r="K30" i="81"/>
  <c r="G31" i="81"/>
  <c r="J31" i="81"/>
  <c r="K31" i="81"/>
  <c r="G32" i="81"/>
  <c r="J32" i="81"/>
  <c r="K32" i="81"/>
  <c r="G33" i="81"/>
  <c r="J33" i="81"/>
  <c r="K33" i="81"/>
  <c r="G35" i="81"/>
  <c r="J35" i="81"/>
  <c r="K35" i="81"/>
  <c r="G36" i="81"/>
  <c r="J36" i="81"/>
  <c r="K36" i="81"/>
  <c r="G37" i="81"/>
  <c r="J37" i="81"/>
  <c r="K37" i="81"/>
  <c r="G38" i="81"/>
  <c r="J38" i="81"/>
  <c r="K38" i="81"/>
  <c r="G39" i="81"/>
  <c r="J39" i="81"/>
  <c r="K39" i="81"/>
  <c r="I35" i="56"/>
  <c r="G35" i="56"/>
  <c r="F35" i="56"/>
  <c r="H38" i="80"/>
  <c r="L34" i="45"/>
  <c r="L21" i="45"/>
  <c r="L38" i="45"/>
  <c r="L37" i="45"/>
  <c r="L39" i="45"/>
  <c r="L22" i="45"/>
  <c r="L23" i="45"/>
  <c r="L24" i="45"/>
  <c r="L25" i="45"/>
  <c r="L26" i="45"/>
  <c r="L27" i="45"/>
  <c r="L28" i="45"/>
  <c r="L29" i="45"/>
  <c r="L30" i="45"/>
  <c r="L31" i="45"/>
  <c r="L32" i="45"/>
  <c r="L33" i="45"/>
  <c r="L35" i="45"/>
  <c r="L36" i="45"/>
  <c r="J75" i="44"/>
  <c r="J76" i="44"/>
  <c r="J78" i="44"/>
  <c r="J79" i="44"/>
  <c r="J87" i="44"/>
  <c r="J88" i="44"/>
  <c r="J89" i="44"/>
  <c r="J90" i="44"/>
  <c r="G89" i="44"/>
  <c r="G88" i="44"/>
  <c r="G87" i="44"/>
  <c r="G86" i="44"/>
  <c r="G79" i="44"/>
  <c r="G78" i="44"/>
  <c r="G76" i="44"/>
  <c r="G73" i="44"/>
  <c r="G74" i="44"/>
  <c r="K74" i="44" s="1"/>
  <c r="G75" i="44"/>
  <c r="J74" i="44"/>
  <c r="J71" i="44"/>
  <c r="J72" i="44"/>
  <c r="J73" i="44"/>
  <c r="G72" i="44"/>
  <c r="M72" i="44" s="1"/>
  <c r="M73" i="44" s="1"/>
  <c r="M74" i="44" s="1"/>
  <c r="M75" i="44" s="1"/>
  <c r="M76" i="44" s="1"/>
  <c r="M77" i="44" s="1"/>
  <c r="M78" i="44" s="1"/>
  <c r="M79" i="44" s="1"/>
  <c r="M80" i="44" s="1"/>
  <c r="M81" i="44" s="1"/>
  <c r="M82" i="44" s="1"/>
  <c r="J69" i="44"/>
  <c r="J70" i="44"/>
  <c r="G69" i="44"/>
  <c r="H43" i="51"/>
  <c r="H60" i="92"/>
  <c r="F36" i="56" s="1"/>
  <c r="E60" i="92"/>
  <c r="D36" i="56" s="1"/>
  <c r="J59" i="92"/>
  <c r="G59" i="92"/>
  <c r="K59" i="92" s="1"/>
  <c r="J58" i="92"/>
  <c r="G58" i="92"/>
  <c r="K58" i="92" s="1"/>
  <c r="J57" i="92"/>
  <c r="G57" i="92"/>
  <c r="K57" i="92" s="1"/>
  <c r="J56" i="92"/>
  <c r="G56" i="92"/>
  <c r="K56" i="92" s="1"/>
  <c r="J55" i="92"/>
  <c r="G55" i="92"/>
  <c r="K55" i="92" s="1"/>
  <c r="J54" i="92"/>
  <c r="G54" i="92"/>
  <c r="K54" i="92" s="1"/>
  <c r="J53" i="92"/>
  <c r="G53" i="92"/>
  <c r="K53" i="92" s="1"/>
  <c r="J52" i="92"/>
  <c r="G52" i="92"/>
  <c r="K52" i="92" s="1"/>
  <c r="J51" i="92"/>
  <c r="G51" i="92"/>
  <c r="K51" i="92" s="1"/>
  <c r="J50" i="92"/>
  <c r="G50" i="92"/>
  <c r="K50" i="92" s="1"/>
  <c r="J49" i="92"/>
  <c r="G49" i="92"/>
  <c r="K49" i="92" s="1"/>
  <c r="J48" i="92"/>
  <c r="G48" i="92"/>
  <c r="K48" i="92" s="1"/>
  <c r="J47" i="92"/>
  <c r="G47" i="92"/>
  <c r="K47" i="92" s="1"/>
  <c r="J46" i="92"/>
  <c r="G46" i="92"/>
  <c r="K46" i="92" s="1"/>
  <c r="J45" i="92"/>
  <c r="G45" i="92"/>
  <c r="K45" i="92" s="1"/>
  <c r="J44" i="92"/>
  <c r="G44" i="92"/>
  <c r="K44" i="92" s="1"/>
  <c r="J43" i="92"/>
  <c r="G43" i="92"/>
  <c r="K43" i="92" s="1"/>
  <c r="J42" i="92"/>
  <c r="G42" i="92"/>
  <c r="K42" i="92" s="1"/>
  <c r="J41" i="92"/>
  <c r="G41" i="92"/>
  <c r="K41" i="92" s="1"/>
  <c r="J40" i="92"/>
  <c r="G40" i="92"/>
  <c r="K40" i="92" s="1"/>
  <c r="J39" i="92"/>
  <c r="G39" i="92"/>
  <c r="K39" i="92" s="1"/>
  <c r="L39" i="92" s="1"/>
  <c r="J38" i="92"/>
  <c r="G38" i="92"/>
  <c r="K38" i="92" s="1"/>
  <c r="L38" i="92" s="1"/>
  <c r="J37" i="92"/>
  <c r="G37" i="92"/>
  <c r="K37" i="92" s="1"/>
  <c r="L37" i="92" s="1"/>
  <c r="J34" i="92"/>
  <c r="G34" i="92"/>
  <c r="K34" i="92" s="1"/>
  <c r="L34" i="92" s="1"/>
  <c r="J33" i="92"/>
  <c r="G33" i="92"/>
  <c r="K33" i="92" s="1"/>
  <c r="J32" i="92"/>
  <c r="K32" i="92"/>
  <c r="L32" i="92" s="1"/>
  <c r="J29" i="92"/>
  <c r="G29" i="92"/>
  <c r="K29" i="92" s="1"/>
  <c r="J28" i="92"/>
  <c r="G28" i="92"/>
  <c r="K28" i="92" s="1"/>
  <c r="L28" i="92" s="1"/>
  <c r="J27" i="92"/>
  <c r="G27" i="92"/>
  <c r="K27" i="92" s="1"/>
  <c r="J26" i="92"/>
  <c r="G26" i="92"/>
  <c r="K26" i="92" s="1"/>
  <c r="L26" i="92" s="1"/>
  <c r="J23" i="92"/>
  <c r="G23" i="92"/>
  <c r="K23" i="92" s="1"/>
  <c r="L23" i="92" s="1"/>
  <c r="J22" i="92"/>
  <c r="G22" i="92"/>
  <c r="K22" i="92" s="1"/>
  <c r="J21" i="92"/>
  <c r="G21" i="92"/>
  <c r="K21" i="92" s="1"/>
  <c r="L21" i="92" s="1"/>
  <c r="J20" i="92"/>
  <c r="G20" i="92"/>
  <c r="K20" i="92" s="1"/>
  <c r="L20" i="92" s="1"/>
  <c r="J19" i="92"/>
  <c r="G19" i="92"/>
  <c r="K19" i="92" s="1"/>
  <c r="J18" i="92"/>
  <c r="G18" i="92"/>
  <c r="K18" i="92" s="1"/>
  <c r="J17" i="92"/>
  <c r="G17" i="92"/>
  <c r="K17" i="92" s="1"/>
  <c r="J16" i="92"/>
  <c r="G16" i="92"/>
  <c r="K16" i="92" s="1"/>
  <c r="L16" i="92" s="1"/>
  <c r="J15" i="92"/>
  <c r="G15" i="92"/>
  <c r="K15" i="92" s="1"/>
  <c r="J14" i="92"/>
  <c r="G14" i="92"/>
  <c r="K14" i="92" s="1"/>
  <c r="J13" i="92"/>
  <c r="G13" i="92"/>
  <c r="K13" i="92" s="1"/>
  <c r="J12" i="92"/>
  <c r="G12" i="92"/>
  <c r="K12" i="92" s="1"/>
  <c r="J11" i="92"/>
  <c r="G11" i="92"/>
  <c r="K11" i="92" s="1"/>
  <c r="J10" i="92"/>
  <c r="G10" i="92"/>
  <c r="K10" i="92" s="1"/>
  <c r="J9" i="92"/>
  <c r="G9" i="92"/>
  <c r="K9" i="92" s="1"/>
  <c r="J8" i="92"/>
  <c r="G8" i="92"/>
  <c r="K8" i="92" s="1"/>
  <c r="L8" i="92" s="1"/>
  <c r="J7" i="92"/>
  <c r="G7" i="92"/>
  <c r="K7" i="92" s="1"/>
  <c r="G6" i="92"/>
  <c r="K6" i="92" s="1"/>
  <c r="J5" i="92"/>
  <c r="G5" i="92"/>
  <c r="K5" i="92" s="1"/>
  <c r="L5" i="92" s="1"/>
  <c r="J4" i="92"/>
  <c r="J60" i="92" s="1"/>
  <c r="G36" i="56" s="1"/>
  <c r="G4" i="92"/>
  <c r="M3" i="92"/>
  <c r="I36" i="56" s="1"/>
  <c r="H55" i="91"/>
  <c r="E55" i="91"/>
  <c r="D35" i="56" s="1"/>
  <c r="J54" i="91"/>
  <c r="G54" i="91"/>
  <c r="K54" i="91" s="1"/>
  <c r="J53" i="91"/>
  <c r="G53" i="91"/>
  <c r="K53" i="91" s="1"/>
  <c r="J52" i="91"/>
  <c r="G52" i="91"/>
  <c r="K52" i="91" s="1"/>
  <c r="J51" i="91"/>
  <c r="G51" i="91"/>
  <c r="K51" i="91" s="1"/>
  <c r="J50" i="91"/>
  <c r="G50" i="91"/>
  <c r="K50" i="91" s="1"/>
  <c r="J49" i="91"/>
  <c r="G49" i="91"/>
  <c r="K49" i="91" s="1"/>
  <c r="J48" i="91"/>
  <c r="G48" i="91"/>
  <c r="K48" i="91" s="1"/>
  <c r="J47" i="91"/>
  <c r="G47" i="91"/>
  <c r="K47" i="91" s="1"/>
  <c r="J46" i="91"/>
  <c r="G46" i="91"/>
  <c r="K46" i="91" s="1"/>
  <c r="J45" i="91"/>
  <c r="G45" i="91"/>
  <c r="K45" i="91" s="1"/>
  <c r="J44" i="91"/>
  <c r="G44" i="91"/>
  <c r="K44" i="91" s="1"/>
  <c r="J43" i="91"/>
  <c r="G43" i="91"/>
  <c r="K43" i="91" s="1"/>
  <c r="J42" i="91"/>
  <c r="G42" i="91"/>
  <c r="K42" i="91" s="1"/>
  <c r="J41" i="91"/>
  <c r="G41" i="91"/>
  <c r="K41" i="91" s="1"/>
  <c r="J40" i="91"/>
  <c r="G40" i="91"/>
  <c r="K40" i="91" s="1"/>
  <c r="J39" i="91"/>
  <c r="G39" i="91"/>
  <c r="K39" i="91" s="1"/>
  <c r="J38" i="91"/>
  <c r="G38" i="91"/>
  <c r="K38" i="91" s="1"/>
  <c r="J37" i="91"/>
  <c r="G37" i="91"/>
  <c r="K37" i="91" s="1"/>
  <c r="J36" i="91"/>
  <c r="G36" i="91"/>
  <c r="K36" i="91" s="1"/>
  <c r="J35" i="91"/>
  <c r="G35" i="91"/>
  <c r="K35" i="91" s="1"/>
  <c r="J34" i="91"/>
  <c r="G34" i="91"/>
  <c r="K34" i="91" s="1"/>
  <c r="J33" i="91"/>
  <c r="G33" i="91"/>
  <c r="K33" i="91" s="1"/>
  <c r="J32" i="91"/>
  <c r="G32" i="91"/>
  <c r="K32" i="91" s="1"/>
  <c r="J31" i="91"/>
  <c r="G31" i="91"/>
  <c r="K31" i="91" s="1"/>
  <c r="J30" i="91"/>
  <c r="G30" i="91"/>
  <c r="K30" i="91" s="1"/>
  <c r="J29" i="91"/>
  <c r="G29" i="91"/>
  <c r="K29" i="91" s="1"/>
  <c r="J28" i="91"/>
  <c r="G28" i="91"/>
  <c r="K28" i="91" s="1"/>
  <c r="J27" i="91"/>
  <c r="G27" i="91"/>
  <c r="K27" i="91" s="1"/>
  <c r="J26" i="91"/>
  <c r="G26" i="91"/>
  <c r="K26" i="91" s="1"/>
  <c r="J25" i="91"/>
  <c r="G25" i="91"/>
  <c r="K25" i="91" s="1"/>
  <c r="J24" i="91"/>
  <c r="G24" i="91"/>
  <c r="K24" i="91" s="1"/>
  <c r="J23" i="91"/>
  <c r="G23" i="91"/>
  <c r="K23" i="91" s="1"/>
  <c r="J22" i="91"/>
  <c r="G22" i="91"/>
  <c r="K22" i="91" s="1"/>
  <c r="J21" i="91"/>
  <c r="G21" i="91"/>
  <c r="K21" i="91" s="1"/>
  <c r="J20" i="91"/>
  <c r="G20" i="91"/>
  <c r="K20" i="91" s="1"/>
  <c r="J19" i="91"/>
  <c r="G19" i="91"/>
  <c r="K19" i="91" s="1"/>
  <c r="J18" i="91"/>
  <c r="G18" i="91"/>
  <c r="K18" i="91" s="1"/>
  <c r="J17" i="91"/>
  <c r="G17" i="91"/>
  <c r="K17" i="91" s="1"/>
  <c r="J16" i="91"/>
  <c r="G16" i="91"/>
  <c r="K16" i="91" s="1"/>
  <c r="J15" i="91"/>
  <c r="G15" i="91"/>
  <c r="K15" i="91" s="1"/>
  <c r="L55" i="91" s="1"/>
  <c r="J35" i="56" s="1"/>
  <c r="J14" i="91"/>
  <c r="G14" i="91"/>
  <c r="K14" i="91" s="1"/>
  <c r="J13" i="91"/>
  <c r="G13" i="91"/>
  <c r="K13" i="91" s="1"/>
  <c r="J12" i="91"/>
  <c r="G12" i="91"/>
  <c r="K12" i="91" s="1"/>
  <c r="J11" i="91"/>
  <c r="G11" i="91"/>
  <c r="K11" i="91" s="1"/>
  <c r="J10" i="91"/>
  <c r="G10" i="91"/>
  <c r="K10" i="91" s="1"/>
  <c r="J9" i="91"/>
  <c r="G9" i="91"/>
  <c r="K9" i="91" s="1"/>
  <c r="J8" i="91"/>
  <c r="G8" i="91"/>
  <c r="K8" i="91" s="1"/>
  <c r="J7" i="91"/>
  <c r="G7" i="91"/>
  <c r="K7" i="91" s="1"/>
  <c r="G6" i="91"/>
  <c r="K6" i="91" s="1"/>
  <c r="J5" i="91"/>
  <c r="G5" i="91"/>
  <c r="K5" i="91" s="1"/>
  <c r="J4" i="91"/>
  <c r="J55" i="91" s="1"/>
  <c r="G4" i="91"/>
  <c r="M3" i="91"/>
  <c r="K15" i="69"/>
  <c r="E49" i="69"/>
  <c r="U20" i="90"/>
  <c r="U19" i="90"/>
  <c r="R24" i="90"/>
  <c r="J29" i="62"/>
  <c r="K29" i="62"/>
  <c r="J29" i="71"/>
  <c r="K29" i="71" s="1"/>
  <c r="L29" i="71" s="1"/>
  <c r="G4" i="90"/>
  <c r="K4" i="90"/>
  <c r="M4" i="90"/>
  <c r="G5" i="90"/>
  <c r="J5" i="90"/>
  <c r="K5" i="90"/>
  <c r="M5" i="90"/>
  <c r="G6" i="90"/>
  <c r="J6" i="90"/>
  <c r="K6" i="90"/>
  <c r="M6" i="90"/>
  <c r="G7" i="90"/>
  <c r="J7" i="90"/>
  <c r="K7" i="90"/>
  <c r="M7" i="90"/>
  <c r="G8" i="90"/>
  <c r="J8" i="90"/>
  <c r="K8" i="90"/>
  <c r="M8" i="90"/>
  <c r="G9" i="90"/>
  <c r="J9" i="90"/>
  <c r="K9" i="90"/>
  <c r="M9" i="90"/>
  <c r="G10" i="90"/>
  <c r="J10" i="90"/>
  <c r="K10" i="90"/>
  <c r="M10" i="90"/>
  <c r="G11" i="90"/>
  <c r="J11" i="90"/>
  <c r="K11" i="90"/>
  <c r="M11" i="90"/>
  <c r="G12" i="90"/>
  <c r="J12" i="90"/>
  <c r="K12" i="90"/>
  <c r="M12" i="90"/>
  <c r="G13" i="90"/>
  <c r="J13" i="90"/>
  <c r="K13" i="90"/>
  <c r="M13" i="90"/>
  <c r="G14" i="90"/>
  <c r="J14" i="90"/>
  <c r="K14" i="90"/>
  <c r="M14" i="90"/>
  <c r="G15" i="90"/>
  <c r="J15" i="90"/>
  <c r="K15" i="90"/>
  <c r="M15" i="90"/>
  <c r="G16" i="90"/>
  <c r="J16" i="90"/>
  <c r="K16" i="90"/>
  <c r="M16" i="90"/>
  <c r="G17" i="90"/>
  <c r="J17" i="90"/>
  <c r="K17" i="90"/>
  <c r="M17" i="90"/>
  <c r="G18" i="90"/>
  <c r="J18" i="90"/>
  <c r="K18" i="90"/>
  <c r="M18" i="90"/>
  <c r="G19" i="90"/>
  <c r="J19" i="90"/>
  <c r="K19" i="90"/>
  <c r="M19" i="90"/>
  <c r="G20" i="90"/>
  <c r="J20" i="90"/>
  <c r="K20" i="90"/>
  <c r="M20" i="90"/>
  <c r="G21" i="90"/>
  <c r="J21" i="90"/>
  <c r="K21" i="90"/>
  <c r="M21" i="90"/>
  <c r="G22" i="90"/>
  <c r="J22" i="90"/>
  <c r="K22" i="90"/>
  <c r="M22" i="90"/>
  <c r="G23" i="90"/>
  <c r="J23" i="90"/>
  <c r="K23" i="90"/>
  <c r="M23" i="90"/>
  <c r="G24" i="90"/>
  <c r="J24" i="90"/>
  <c r="K24" i="90"/>
  <c r="M24" i="90"/>
  <c r="G25" i="90"/>
  <c r="J25" i="90"/>
  <c r="K25" i="90"/>
  <c r="M25" i="90"/>
  <c r="G26" i="90"/>
  <c r="J26" i="90"/>
  <c r="K26" i="90"/>
  <c r="M26" i="90"/>
  <c r="G27" i="90"/>
  <c r="J27" i="90"/>
  <c r="K27" i="90"/>
  <c r="M27" i="90"/>
  <c r="G28" i="90"/>
  <c r="J28" i="90"/>
  <c r="K28" i="90"/>
  <c r="M28" i="90"/>
  <c r="G29" i="90"/>
  <c r="J29" i="90"/>
  <c r="K29" i="90"/>
  <c r="M29" i="90"/>
  <c r="G30" i="90"/>
  <c r="J30" i="90"/>
  <c r="K30" i="90"/>
  <c r="M30" i="90"/>
  <c r="G31" i="90"/>
  <c r="J31" i="90"/>
  <c r="K31" i="90"/>
  <c r="M31" i="90"/>
  <c r="G32" i="90"/>
  <c r="J32" i="90"/>
  <c r="K32" i="90"/>
  <c r="M32" i="90"/>
  <c r="G33" i="90"/>
  <c r="J33" i="90"/>
  <c r="K33" i="90"/>
  <c r="M33" i="90"/>
  <c r="G34" i="90"/>
  <c r="K34" i="90"/>
  <c r="M34" i="90"/>
  <c r="G35" i="90"/>
  <c r="J35" i="90"/>
  <c r="K35" i="90"/>
  <c r="M35" i="90"/>
  <c r="G36" i="90"/>
  <c r="J36" i="90"/>
  <c r="K36" i="90"/>
  <c r="G37" i="90"/>
  <c r="J37" i="90"/>
  <c r="K37" i="90"/>
  <c r="E38" i="90"/>
  <c r="G38" i="90"/>
  <c r="H38" i="90"/>
  <c r="J38" i="90"/>
  <c r="K38" i="90"/>
  <c r="L38" i="90"/>
  <c r="I5" i="56"/>
  <c r="I12" i="56"/>
  <c r="I11" i="56"/>
  <c r="H35" i="89"/>
  <c r="F12" i="56" s="1"/>
  <c r="E35" i="89"/>
  <c r="D12" i="56" s="1"/>
  <c r="E35" i="88"/>
  <c r="D11" i="56" s="1"/>
  <c r="H35" i="88"/>
  <c r="F11" i="56" s="1"/>
  <c r="L20" i="45"/>
  <c r="L17" i="45"/>
  <c r="L16" i="45"/>
  <c r="J44" i="44"/>
  <c r="J45" i="44"/>
  <c r="J42" i="44"/>
  <c r="J43" i="44"/>
  <c r="J41" i="44"/>
  <c r="J37" i="44"/>
  <c r="J38" i="44"/>
  <c r="J39" i="44"/>
  <c r="J40" i="44"/>
  <c r="J4" i="89"/>
  <c r="G4" i="89"/>
  <c r="K4" i="89" s="1"/>
  <c r="J34" i="88"/>
  <c r="G34" i="88"/>
  <c r="K34" i="88" s="1"/>
  <c r="L34" i="88" s="1"/>
  <c r="J33" i="88"/>
  <c r="G33" i="88"/>
  <c r="K33" i="88" s="1"/>
  <c r="L33" i="88" s="1"/>
  <c r="J32" i="88"/>
  <c r="G32" i="88"/>
  <c r="K32" i="88" s="1"/>
  <c r="L32" i="88" s="1"/>
  <c r="J31" i="88"/>
  <c r="G31" i="88"/>
  <c r="K31" i="88" s="1"/>
  <c r="L31" i="88" s="1"/>
  <c r="J30" i="88"/>
  <c r="G30" i="88"/>
  <c r="K30" i="88" s="1"/>
  <c r="L30" i="88" s="1"/>
  <c r="J29" i="88"/>
  <c r="G29" i="88"/>
  <c r="K29" i="88" s="1"/>
  <c r="L29" i="88" s="1"/>
  <c r="L28" i="88"/>
  <c r="L27" i="88"/>
  <c r="L26" i="88"/>
  <c r="L25" i="88"/>
  <c r="L24" i="88"/>
  <c r="L23" i="88"/>
  <c r="L18" i="88"/>
  <c r="L35" i="88" s="1"/>
  <c r="J11" i="56" s="1"/>
  <c r="J4" i="88"/>
  <c r="J35" i="88" s="1"/>
  <c r="G11" i="56" s="1"/>
  <c r="G4" i="88"/>
  <c r="K16" i="80"/>
  <c r="K15" i="75"/>
  <c r="L38" i="87"/>
  <c r="J5" i="56" s="1"/>
  <c r="H38" i="87"/>
  <c r="F5" i="56" s="1"/>
  <c r="E38" i="87"/>
  <c r="D5" i="56" s="1"/>
  <c r="J37" i="87"/>
  <c r="G37" i="87"/>
  <c r="K37" i="87" s="1"/>
  <c r="J36" i="87"/>
  <c r="G36" i="87"/>
  <c r="K36" i="87" s="1"/>
  <c r="J35" i="87"/>
  <c r="G35" i="87"/>
  <c r="K35" i="87" s="1"/>
  <c r="G34" i="87"/>
  <c r="K34" i="87" s="1"/>
  <c r="J33" i="87"/>
  <c r="G33" i="87"/>
  <c r="K33" i="87" s="1"/>
  <c r="J32" i="87"/>
  <c r="G32" i="87"/>
  <c r="K32" i="87" s="1"/>
  <c r="J31" i="87"/>
  <c r="G31" i="87"/>
  <c r="K31" i="87" s="1"/>
  <c r="J30" i="87"/>
  <c r="G30" i="87"/>
  <c r="K30" i="87" s="1"/>
  <c r="J29" i="87"/>
  <c r="G29" i="87"/>
  <c r="K29" i="87" s="1"/>
  <c r="J28" i="87"/>
  <c r="G28" i="87"/>
  <c r="K28" i="87" s="1"/>
  <c r="J27" i="87"/>
  <c r="G27" i="87"/>
  <c r="K27" i="87" s="1"/>
  <c r="J26" i="87"/>
  <c r="G26" i="87"/>
  <c r="K26" i="87" s="1"/>
  <c r="J25" i="87"/>
  <c r="G25" i="87"/>
  <c r="K25" i="87" s="1"/>
  <c r="J24" i="87"/>
  <c r="G24" i="87"/>
  <c r="K24" i="87" s="1"/>
  <c r="J23" i="87"/>
  <c r="G23" i="87"/>
  <c r="K23" i="87" s="1"/>
  <c r="J22" i="87"/>
  <c r="G22" i="87"/>
  <c r="K22" i="87" s="1"/>
  <c r="J21" i="87"/>
  <c r="G21" i="87"/>
  <c r="K21" i="87" s="1"/>
  <c r="J20" i="87"/>
  <c r="G20" i="87"/>
  <c r="K20" i="87" s="1"/>
  <c r="J5" i="87"/>
  <c r="J38" i="87" s="1"/>
  <c r="G5" i="56" s="1"/>
  <c r="G5" i="87"/>
  <c r="K5" i="87" s="1"/>
  <c r="G4" i="87"/>
  <c r="J16" i="44"/>
  <c r="J7" i="33"/>
  <c r="J6" i="33"/>
  <c r="J8" i="26"/>
  <c r="J9" i="26"/>
  <c r="G6" i="83"/>
  <c r="P10" i="41"/>
  <c r="K6" i="22"/>
  <c r="G5" i="71"/>
  <c r="G4" i="35"/>
  <c r="I45" i="56"/>
  <c r="I32" i="56"/>
  <c r="G4" i="25"/>
  <c r="J4" i="57"/>
  <c r="G11" i="40"/>
  <c r="G12" i="40"/>
  <c r="G13" i="40"/>
  <c r="G14" i="40"/>
  <c r="G7" i="62"/>
  <c r="G9" i="7"/>
  <c r="G10" i="7"/>
  <c r="G11" i="7"/>
  <c r="G12" i="7"/>
  <c r="G13" i="7"/>
  <c r="G14" i="7"/>
  <c r="G15" i="7"/>
  <c r="G16" i="7"/>
  <c r="G17" i="7"/>
  <c r="G18" i="7"/>
  <c r="K22" i="9"/>
  <c r="J36" i="44"/>
  <c r="J34" i="44"/>
  <c r="J35" i="44"/>
  <c r="J33" i="44"/>
  <c r="J31" i="44"/>
  <c r="J32" i="44"/>
  <c r="J27" i="44"/>
  <c r="J28" i="44"/>
  <c r="J29" i="44"/>
  <c r="J30" i="44"/>
  <c r="K10" i="78"/>
  <c r="K11" i="78"/>
  <c r="K12" i="78"/>
  <c r="K13" i="78"/>
  <c r="K14" i="78"/>
  <c r="J25" i="44"/>
  <c r="J26" i="44"/>
  <c r="J19" i="44"/>
  <c r="J20" i="44"/>
  <c r="J21" i="44"/>
  <c r="J22" i="44"/>
  <c r="J23" i="44"/>
  <c r="J24" i="44"/>
  <c r="J10" i="44"/>
  <c r="J11" i="44"/>
  <c r="J12" i="44"/>
  <c r="J13" i="44"/>
  <c r="J14" i="44"/>
  <c r="J15" i="44"/>
  <c r="J17" i="44"/>
  <c r="J18" i="44"/>
  <c r="K10" i="9"/>
  <c r="K11" i="9"/>
  <c r="K9" i="9"/>
  <c r="L10" i="45"/>
  <c r="J9" i="44"/>
  <c r="J6" i="44"/>
  <c r="J7" i="44"/>
  <c r="J5" i="44"/>
  <c r="H55" i="85"/>
  <c r="F34" i="56" s="1"/>
  <c r="E55" i="85"/>
  <c r="D34" i="56" s="1"/>
  <c r="J54" i="85"/>
  <c r="G54" i="85"/>
  <c r="K54" i="85" s="1"/>
  <c r="J53" i="85"/>
  <c r="G53" i="85"/>
  <c r="K53" i="85" s="1"/>
  <c r="J52" i="85"/>
  <c r="G52" i="85"/>
  <c r="K52" i="85" s="1"/>
  <c r="J51" i="85"/>
  <c r="G51" i="85"/>
  <c r="K51" i="85" s="1"/>
  <c r="J50" i="85"/>
  <c r="G50" i="85"/>
  <c r="K50" i="85" s="1"/>
  <c r="J49" i="85"/>
  <c r="G49" i="85"/>
  <c r="K49" i="85" s="1"/>
  <c r="J48" i="85"/>
  <c r="G48" i="85"/>
  <c r="K48" i="85" s="1"/>
  <c r="J47" i="85"/>
  <c r="G47" i="85"/>
  <c r="K47" i="85" s="1"/>
  <c r="J46" i="85"/>
  <c r="G46" i="85"/>
  <c r="K46" i="85" s="1"/>
  <c r="J45" i="85"/>
  <c r="G45" i="85"/>
  <c r="K45" i="85" s="1"/>
  <c r="J44" i="85"/>
  <c r="G44" i="85"/>
  <c r="K44" i="85" s="1"/>
  <c r="J43" i="85"/>
  <c r="G43" i="85"/>
  <c r="K43" i="85" s="1"/>
  <c r="J42" i="85"/>
  <c r="G42" i="85"/>
  <c r="K42" i="85" s="1"/>
  <c r="J41" i="85"/>
  <c r="G41" i="85"/>
  <c r="K41" i="85" s="1"/>
  <c r="J40" i="85"/>
  <c r="G40" i="85"/>
  <c r="K40" i="85" s="1"/>
  <c r="J39" i="85"/>
  <c r="G39" i="85"/>
  <c r="K39" i="85" s="1"/>
  <c r="J38" i="85"/>
  <c r="G38" i="85"/>
  <c r="K38" i="85" s="1"/>
  <c r="J37" i="85"/>
  <c r="G37" i="85"/>
  <c r="K37" i="85" s="1"/>
  <c r="J36" i="85"/>
  <c r="G36" i="85"/>
  <c r="K36" i="85" s="1"/>
  <c r="L55" i="85"/>
  <c r="J34" i="56" s="1"/>
  <c r="J4" i="85"/>
  <c r="J55" i="85" s="1"/>
  <c r="G34" i="56" s="1"/>
  <c r="G4" i="85"/>
  <c r="I34" i="56"/>
  <c r="M3" i="14"/>
  <c r="G4" i="22"/>
  <c r="G5" i="63"/>
  <c r="J5" i="63"/>
  <c r="K5" i="63"/>
  <c r="G5" i="52"/>
  <c r="J5" i="52"/>
  <c r="K5" i="52"/>
  <c r="G6" i="52"/>
  <c r="J6" i="52"/>
  <c r="K6" i="52"/>
  <c r="G7" i="52"/>
  <c r="J7" i="52"/>
  <c r="K7" i="52"/>
  <c r="G21" i="52"/>
  <c r="J21" i="52"/>
  <c r="K21" i="52"/>
  <c r="G22" i="52"/>
  <c r="J22" i="52"/>
  <c r="K22" i="52"/>
  <c r="G23" i="52"/>
  <c r="J23" i="52"/>
  <c r="K23" i="52"/>
  <c r="G24" i="52"/>
  <c r="J24" i="52"/>
  <c r="K24" i="52"/>
  <c r="G5" i="62"/>
  <c r="J5" i="62"/>
  <c r="K5" i="62"/>
  <c r="G6" i="62"/>
  <c r="J6" i="62"/>
  <c r="K6" i="62"/>
  <c r="J7" i="62"/>
  <c r="K7" i="62"/>
  <c r="J8" i="62"/>
  <c r="K8" i="62"/>
  <c r="J9" i="62"/>
  <c r="K9" i="62"/>
  <c r="J10" i="62"/>
  <c r="K10" i="62"/>
  <c r="J11" i="62"/>
  <c r="K11" i="62"/>
  <c r="J12" i="62"/>
  <c r="K12" i="62"/>
  <c r="J13" i="62"/>
  <c r="K13" i="62"/>
  <c r="J14" i="62"/>
  <c r="K14" i="62"/>
  <c r="J15" i="62"/>
  <c r="K15" i="62"/>
  <c r="J16" i="62"/>
  <c r="K16" i="62"/>
  <c r="J17" i="62"/>
  <c r="K17" i="62"/>
  <c r="J18" i="62"/>
  <c r="K18" i="62"/>
  <c r="J19" i="62"/>
  <c r="K19" i="62"/>
  <c r="J20" i="62"/>
  <c r="K20" i="62"/>
  <c r="J21" i="62"/>
  <c r="K21" i="62"/>
  <c r="J22" i="62"/>
  <c r="K22" i="62"/>
  <c r="J23" i="62"/>
  <c r="K23" i="62"/>
  <c r="J24" i="62"/>
  <c r="K24" i="62"/>
  <c r="J25" i="62"/>
  <c r="K25" i="62"/>
  <c r="J26" i="62"/>
  <c r="K26" i="62"/>
  <c r="J27" i="62"/>
  <c r="K27" i="62"/>
  <c r="J28" i="62"/>
  <c r="K28" i="62"/>
  <c r="J30" i="62"/>
  <c r="K30" i="62"/>
  <c r="J31" i="62"/>
  <c r="K31" i="62"/>
  <c r="J32" i="62"/>
  <c r="K32" i="62"/>
  <c r="J33" i="62"/>
  <c r="K33" i="62"/>
  <c r="J34" i="62"/>
  <c r="K34" i="62"/>
  <c r="G33" i="58"/>
  <c r="J5" i="47"/>
  <c r="G30" i="35"/>
  <c r="L6" i="45"/>
  <c r="G66" i="44"/>
  <c r="G67" i="44"/>
  <c r="G68" i="44"/>
  <c r="J66" i="44"/>
  <c r="J67" i="44"/>
  <c r="J68" i="44"/>
  <c r="J33" i="78"/>
  <c r="H37" i="76"/>
  <c r="H35" i="24"/>
  <c r="J29" i="35"/>
  <c r="J65" i="44"/>
  <c r="G64" i="44"/>
  <c r="G65" i="44"/>
  <c r="J64" i="44"/>
  <c r="J61" i="44"/>
  <c r="J62" i="44"/>
  <c r="J63" i="44"/>
  <c r="G62" i="44"/>
  <c r="G63" i="44"/>
  <c r="G60" i="44"/>
  <c r="G61" i="44"/>
  <c r="J55" i="44"/>
  <c r="J56" i="44"/>
  <c r="J57" i="44"/>
  <c r="J58" i="44"/>
  <c r="J59" i="44"/>
  <c r="J60" i="44"/>
  <c r="K60" i="44" s="1"/>
  <c r="G59" i="44"/>
  <c r="K59" i="44" s="1"/>
  <c r="G58" i="44"/>
  <c r="K58" i="44" s="1"/>
  <c r="G57" i="44"/>
  <c r="K57" i="44" s="1"/>
  <c r="AM5" i="84"/>
  <c r="AM6" i="84"/>
  <c r="AM7" i="84"/>
  <c r="AM8" i="84"/>
  <c r="AM9" i="84"/>
  <c r="AM10" i="84"/>
  <c r="AM11" i="84"/>
  <c r="AM12" i="84"/>
  <c r="AM13" i="84"/>
  <c r="AM14" i="84"/>
  <c r="AM15" i="84"/>
  <c r="AM4" i="84"/>
  <c r="G53" i="44"/>
  <c r="G54" i="44"/>
  <c r="G55" i="44"/>
  <c r="K55" i="44" s="1"/>
  <c r="G56" i="44"/>
  <c r="K56" i="44" s="1"/>
  <c r="J52" i="44"/>
  <c r="J53" i="44"/>
  <c r="J54" i="44"/>
  <c r="G52" i="44"/>
  <c r="K52" i="44" s="1"/>
  <c r="L18" i="45"/>
  <c r="L19" i="45"/>
  <c r="L14" i="45"/>
  <c r="L15" i="45"/>
  <c r="L11" i="45"/>
  <c r="L12" i="45"/>
  <c r="L13" i="45"/>
  <c r="L9" i="45"/>
  <c r="J46" i="44"/>
  <c r="J47" i="44"/>
  <c r="J48" i="44"/>
  <c r="J49" i="44"/>
  <c r="J50" i="44"/>
  <c r="J51" i="44"/>
  <c r="G51" i="44"/>
  <c r="K51" i="44" s="1"/>
  <c r="G50" i="44"/>
  <c r="K50" i="44" s="1"/>
  <c r="G49" i="44"/>
  <c r="K49" i="44" s="1"/>
  <c r="G48" i="44"/>
  <c r="K48" i="44" s="1"/>
  <c r="G47" i="44"/>
  <c r="K47" i="44" s="1"/>
  <c r="G46" i="44"/>
  <c r="K46" i="44" s="1"/>
  <c r="K45" i="44"/>
  <c r="G44" i="44"/>
  <c r="K44" i="44" s="1"/>
  <c r="G42" i="44"/>
  <c r="K42" i="44" s="1"/>
  <c r="G43" i="44"/>
  <c r="K43" i="44" s="1"/>
  <c r="G40" i="44"/>
  <c r="K40" i="44" s="1"/>
  <c r="G41" i="44"/>
  <c r="K41" i="44" s="1"/>
  <c r="G39" i="44"/>
  <c r="K39" i="44" s="1"/>
  <c r="G38" i="44"/>
  <c r="K38" i="44" s="1"/>
  <c r="G37" i="44"/>
  <c r="K37" i="44" s="1"/>
  <c r="G36" i="44"/>
  <c r="K36" i="44" s="1"/>
  <c r="G35" i="44"/>
  <c r="K35" i="44" s="1"/>
  <c r="G33" i="44"/>
  <c r="K33" i="44" s="1"/>
  <c r="G34" i="44"/>
  <c r="K34" i="44" s="1"/>
  <c r="G32" i="44"/>
  <c r="K32" i="44" s="1"/>
  <c r="G30" i="44"/>
  <c r="K30" i="44" s="1"/>
  <c r="G31" i="44"/>
  <c r="K31" i="44" s="1"/>
  <c r="G29" i="44"/>
  <c r="K29" i="44" s="1"/>
  <c r="G28" i="44"/>
  <c r="K28" i="44" s="1"/>
  <c r="G27" i="44"/>
  <c r="K27" i="44" s="1"/>
  <c r="G26" i="44"/>
  <c r="K26" i="44" s="1"/>
  <c r="G5" i="78"/>
  <c r="I4" i="56"/>
  <c r="I43" i="56"/>
  <c r="L35" i="83"/>
  <c r="J43" i="56" s="1"/>
  <c r="H35" i="83"/>
  <c r="F43" i="56" s="1"/>
  <c r="E35" i="83"/>
  <c r="D43" i="56" s="1"/>
  <c r="J34" i="83"/>
  <c r="G34" i="83"/>
  <c r="K34" i="83" s="1"/>
  <c r="J33" i="83"/>
  <c r="G33" i="83"/>
  <c r="K33" i="83" s="1"/>
  <c r="J32" i="83"/>
  <c r="G32" i="83"/>
  <c r="K32" i="83" s="1"/>
  <c r="J31" i="83"/>
  <c r="G31" i="83"/>
  <c r="K31" i="83" s="1"/>
  <c r="J30" i="83"/>
  <c r="G30" i="83"/>
  <c r="K30" i="83" s="1"/>
  <c r="J29" i="83"/>
  <c r="G29" i="83"/>
  <c r="K29" i="83" s="1"/>
  <c r="J28" i="83"/>
  <c r="G28" i="83"/>
  <c r="K28" i="83" s="1"/>
  <c r="J27" i="83"/>
  <c r="G27" i="83"/>
  <c r="K27" i="83" s="1"/>
  <c r="J26" i="83"/>
  <c r="G26" i="83"/>
  <c r="K26" i="83" s="1"/>
  <c r="J25" i="83"/>
  <c r="G25" i="83"/>
  <c r="K25" i="83" s="1"/>
  <c r="J24" i="83"/>
  <c r="G24" i="83"/>
  <c r="K24" i="83" s="1"/>
  <c r="J23" i="83"/>
  <c r="G23" i="83"/>
  <c r="K23" i="83" s="1"/>
  <c r="J22" i="83"/>
  <c r="G22" i="83"/>
  <c r="K22" i="83" s="1"/>
  <c r="J21" i="83"/>
  <c r="G21" i="83"/>
  <c r="K21" i="83" s="1"/>
  <c r="J20" i="83"/>
  <c r="G20" i="83"/>
  <c r="K20" i="83" s="1"/>
  <c r="J19" i="83"/>
  <c r="G19" i="83"/>
  <c r="K19" i="83" s="1"/>
  <c r="J18" i="83"/>
  <c r="G18" i="83"/>
  <c r="K18" i="83" s="1"/>
  <c r="J17" i="83"/>
  <c r="G17" i="83"/>
  <c r="K17" i="83" s="1"/>
  <c r="J16" i="83"/>
  <c r="G16" i="83"/>
  <c r="K16" i="83" s="1"/>
  <c r="J15" i="83"/>
  <c r="G15" i="83"/>
  <c r="K15" i="83" s="1"/>
  <c r="J14" i="83"/>
  <c r="G14" i="83"/>
  <c r="K14" i="83" s="1"/>
  <c r="J13" i="83"/>
  <c r="G13" i="83"/>
  <c r="K13" i="83" s="1"/>
  <c r="J12" i="83"/>
  <c r="G12" i="83"/>
  <c r="K12" i="83" s="1"/>
  <c r="J11" i="83"/>
  <c r="G11" i="83"/>
  <c r="K11" i="83" s="1"/>
  <c r="J10" i="83"/>
  <c r="G10" i="83"/>
  <c r="K10" i="83" s="1"/>
  <c r="J9" i="83"/>
  <c r="G9" i="83"/>
  <c r="K9" i="83" s="1"/>
  <c r="J8" i="83"/>
  <c r="G8" i="83"/>
  <c r="K8" i="83" s="1"/>
  <c r="J7" i="83"/>
  <c r="G7" i="83"/>
  <c r="K7" i="83" s="1"/>
  <c r="J6" i="83"/>
  <c r="K6" i="83" s="1"/>
  <c r="J5" i="83"/>
  <c r="G5" i="83"/>
  <c r="K5" i="83" s="1"/>
  <c r="J4" i="83"/>
  <c r="J35" i="83" s="1"/>
  <c r="G43" i="56" s="1"/>
  <c r="G4" i="83"/>
  <c r="L35" i="82"/>
  <c r="J4" i="56" s="1"/>
  <c r="H35" i="82"/>
  <c r="F4" i="56" s="1"/>
  <c r="E35" i="82"/>
  <c r="D4" i="56" s="1"/>
  <c r="J4" i="82"/>
  <c r="J35" i="82" s="1"/>
  <c r="G4" i="56" s="1"/>
  <c r="G4" i="82"/>
  <c r="G25" i="44"/>
  <c r="K25" i="44" s="1"/>
  <c r="G20" i="44"/>
  <c r="G21" i="44"/>
  <c r="G22" i="44"/>
  <c r="K22" i="44" s="1"/>
  <c r="G23" i="44"/>
  <c r="K23" i="44" s="1"/>
  <c r="G24" i="44"/>
  <c r="K24" i="44" s="1"/>
  <c r="K21" i="44"/>
  <c r="J11" i="25"/>
  <c r="J12" i="25"/>
  <c r="J13" i="25"/>
  <c r="J14" i="25"/>
  <c r="K20" i="44"/>
  <c r="G19" i="44"/>
  <c r="K19" i="44" s="1"/>
  <c r="G18" i="44"/>
  <c r="K18" i="44" s="1"/>
  <c r="G17" i="44"/>
  <c r="K17" i="44" s="1"/>
  <c r="I53" i="56"/>
  <c r="G40" i="81"/>
  <c r="J40" i="81"/>
  <c r="K40" i="81"/>
  <c r="G41" i="81"/>
  <c r="J41" i="81"/>
  <c r="K41" i="81"/>
  <c r="M54" i="81"/>
  <c r="H43" i="81"/>
  <c r="F53" i="56" s="1"/>
  <c r="E43" i="81"/>
  <c r="D53" i="56" s="1"/>
  <c r="J42" i="81"/>
  <c r="G42" i="81"/>
  <c r="K42" i="81" s="1"/>
  <c r="J4" i="81"/>
  <c r="J43" i="81" s="1"/>
  <c r="G53" i="56" s="1"/>
  <c r="G4" i="81"/>
  <c r="L8" i="45"/>
  <c r="L5" i="45"/>
  <c r="G16" i="44"/>
  <c r="K16" i="44" s="1"/>
  <c r="G13" i="44"/>
  <c r="G14" i="44"/>
  <c r="G15" i="44"/>
  <c r="K13" i="44"/>
  <c r="K14" i="44"/>
  <c r="K15" i="44"/>
  <c r="G10" i="44"/>
  <c r="G11" i="44"/>
  <c r="K11" i="44" s="1"/>
  <c r="G12" i="44"/>
  <c r="K12" i="44" s="1"/>
  <c r="I28" i="56"/>
  <c r="I39" i="56"/>
  <c r="K10" i="44"/>
  <c r="G9" i="44"/>
  <c r="K9" i="44" s="1"/>
  <c r="G7" i="44"/>
  <c r="K7" i="44" s="1"/>
  <c r="G6" i="44"/>
  <c r="K6" i="44" s="1"/>
  <c r="L38" i="80"/>
  <c r="J28" i="56" s="1"/>
  <c r="F28" i="56"/>
  <c r="E38" i="80"/>
  <c r="D28" i="56" s="1"/>
  <c r="J37" i="80"/>
  <c r="G37" i="80"/>
  <c r="K37" i="80" s="1"/>
  <c r="K36" i="80"/>
  <c r="K35" i="80"/>
  <c r="K34" i="80"/>
  <c r="K33" i="80"/>
  <c r="K32" i="80"/>
  <c r="K31" i="80"/>
  <c r="K30" i="80"/>
  <c r="K29" i="80"/>
  <c r="K28" i="80"/>
  <c r="K27" i="80"/>
  <c r="K26" i="80"/>
  <c r="K25" i="80"/>
  <c r="K24" i="80"/>
  <c r="K23" i="80"/>
  <c r="K22" i="80"/>
  <c r="K21" i="80"/>
  <c r="K20" i="80"/>
  <c r="K19" i="80"/>
  <c r="K18" i="80"/>
  <c r="K17" i="80"/>
  <c r="K15" i="80"/>
  <c r="K14" i="80"/>
  <c r="K13" i="80"/>
  <c r="K12" i="80"/>
  <c r="K10" i="80"/>
  <c r="K9" i="80"/>
  <c r="K8" i="80"/>
  <c r="K7" i="80"/>
  <c r="K6" i="80"/>
  <c r="K5" i="80"/>
  <c r="J38" i="80"/>
  <c r="G28" i="56" s="1"/>
  <c r="L35" i="79"/>
  <c r="J39" i="56" s="1"/>
  <c r="H35" i="79"/>
  <c r="F39" i="56" s="1"/>
  <c r="E35" i="79"/>
  <c r="D39" i="56" s="1"/>
  <c r="K34" i="79"/>
  <c r="K33" i="79"/>
  <c r="K32" i="79"/>
  <c r="K31" i="79"/>
  <c r="K30" i="79"/>
  <c r="K29" i="79"/>
  <c r="K28" i="79"/>
  <c r="K27" i="79"/>
  <c r="K26" i="79"/>
  <c r="K25" i="79"/>
  <c r="K24" i="79"/>
  <c r="I38" i="79" s="1"/>
  <c r="K23" i="79"/>
  <c r="K22" i="79"/>
  <c r="K21" i="79"/>
  <c r="K20" i="79"/>
  <c r="K19" i="79"/>
  <c r="K18" i="79"/>
  <c r="K17" i="79"/>
  <c r="K16" i="79"/>
  <c r="K15" i="79"/>
  <c r="K14" i="79"/>
  <c r="K13" i="79"/>
  <c r="K12" i="79"/>
  <c r="K11" i="79"/>
  <c r="K10" i="79"/>
  <c r="K9" i="79"/>
  <c r="K8" i="79"/>
  <c r="K7" i="79"/>
  <c r="K6" i="79"/>
  <c r="K5" i="79"/>
  <c r="J4" i="79"/>
  <c r="J35" i="79" s="1"/>
  <c r="G39" i="56" s="1"/>
  <c r="G4" i="79"/>
  <c r="G32" i="19"/>
  <c r="G33" i="19"/>
  <c r="J6" i="25"/>
  <c r="J7" i="25"/>
  <c r="J8" i="25"/>
  <c r="J9" i="25"/>
  <c r="J10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3" i="25"/>
  <c r="J34" i="25"/>
  <c r="J35" i="25"/>
  <c r="K5" i="57"/>
  <c r="K6" i="57"/>
  <c r="K7" i="57"/>
  <c r="K8" i="57"/>
  <c r="K9" i="57"/>
  <c r="K10" i="57"/>
  <c r="K11" i="57"/>
  <c r="K12" i="57"/>
  <c r="K13" i="57"/>
  <c r="K14" i="57"/>
  <c r="K15" i="57"/>
  <c r="K16" i="57"/>
  <c r="K17" i="57"/>
  <c r="K18" i="57"/>
  <c r="K19" i="57"/>
  <c r="K20" i="57"/>
  <c r="K21" i="57"/>
  <c r="K22" i="57"/>
  <c r="K23" i="57"/>
  <c r="K24" i="57"/>
  <c r="K25" i="57"/>
  <c r="K26" i="57"/>
  <c r="K27" i="57"/>
  <c r="K28" i="57"/>
  <c r="K29" i="57"/>
  <c r="K30" i="57"/>
  <c r="K31" i="57"/>
  <c r="K32" i="57"/>
  <c r="K33" i="57"/>
  <c r="K34" i="57"/>
  <c r="G4" i="41"/>
  <c r="J5" i="60"/>
  <c r="J6" i="60"/>
  <c r="J7" i="60"/>
  <c r="J8" i="60"/>
  <c r="J9" i="60"/>
  <c r="J10" i="60"/>
  <c r="J11" i="60"/>
  <c r="J12" i="60"/>
  <c r="J13" i="60"/>
  <c r="J14" i="60"/>
  <c r="J15" i="60"/>
  <c r="J16" i="60"/>
  <c r="K16" i="60" s="1"/>
  <c r="J17" i="60"/>
  <c r="J18" i="60"/>
  <c r="J19" i="60"/>
  <c r="J20" i="60"/>
  <c r="J21" i="60"/>
  <c r="J22" i="60"/>
  <c r="J23" i="60"/>
  <c r="J24" i="60"/>
  <c r="J25" i="60"/>
  <c r="J26" i="60"/>
  <c r="J27" i="60"/>
  <c r="J28" i="60"/>
  <c r="J29" i="60"/>
  <c r="J30" i="60"/>
  <c r="J31" i="60"/>
  <c r="J32" i="60"/>
  <c r="J33" i="60"/>
  <c r="J34" i="60"/>
  <c r="K5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36" i="22"/>
  <c r="K37" i="22"/>
  <c r="K38" i="22"/>
  <c r="K39" i="22"/>
  <c r="J5" i="51"/>
  <c r="K5" i="51"/>
  <c r="J6" i="51"/>
  <c r="K6" i="51"/>
  <c r="J7" i="51"/>
  <c r="K7" i="51"/>
  <c r="J8" i="51"/>
  <c r="K8" i="51"/>
  <c r="J9" i="51"/>
  <c r="K9" i="51"/>
  <c r="J10" i="51"/>
  <c r="K10" i="51"/>
  <c r="J11" i="51"/>
  <c r="K11" i="51"/>
  <c r="J12" i="51"/>
  <c r="K12" i="51"/>
  <c r="J13" i="51"/>
  <c r="K13" i="51"/>
  <c r="J14" i="51"/>
  <c r="K14" i="51"/>
  <c r="J15" i="51"/>
  <c r="K15" i="51"/>
  <c r="J16" i="51"/>
  <c r="K16" i="51"/>
  <c r="J17" i="51"/>
  <c r="K17" i="51"/>
  <c r="J18" i="51"/>
  <c r="K18" i="51"/>
  <c r="J19" i="51"/>
  <c r="K19" i="51"/>
  <c r="J20" i="51"/>
  <c r="K20" i="51"/>
  <c r="J21" i="51"/>
  <c r="K21" i="51"/>
  <c r="J22" i="51"/>
  <c r="K22" i="51"/>
  <c r="J23" i="51"/>
  <c r="K23" i="51"/>
  <c r="J24" i="51"/>
  <c r="K24" i="51"/>
  <c r="J25" i="51"/>
  <c r="K25" i="51"/>
  <c r="J26" i="51"/>
  <c r="K26" i="51"/>
  <c r="J27" i="51"/>
  <c r="K27" i="51"/>
  <c r="J28" i="51"/>
  <c r="K28" i="51"/>
  <c r="J29" i="51"/>
  <c r="K29" i="51"/>
  <c r="J30" i="51"/>
  <c r="K30" i="51"/>
  <c r="J31" i="51"/>
  <c r="K31" i="51"/>
  <c r="J32" i="51"/>
  <c r="K32" i="51"/>
  <c r="J33" i="51"/>
  <c r="K33" i="51"/>
  <c r="J34" i="51"/>
  <c r="K34" i="51"/>
  <c r="J35" i="51"/>
  <c r="K35" i="51"/>
  <c r="J36" i="51"/>
  <c r="K36" i="51"/>
  <c r="J37" i="51"/>
  <c r="K37" i="51"/>
  <c r="J38" i="51"/>
  <c r="K38" i="51"/>
  <c r="G39" i="51"/>
  <c r="J39" i="51"/>
  <c r="K39" i="51"/>
  <c r="J40" i="51"/>
  <c r="K40" i="51"/>
  <c r="K5" i="69"/>
  <c r="K6" i="69"/>
  <c r="K7" i="69"/>
  <c r="K8" i="69"/>
  <c r="K9" i="69"/>
  <c r="K10" i="69"/>
  <c r="K11" i="69"/>
  <c r="K12" i="69"/>
  <c r="K13" i="69"/>
  <c r="K14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G34" i="69"/>
  <c r="J34" i="69"/>
  <c r="K34" i="69"/>
  <c r="G35" i="69"/>
  <c r="J35" i="69"/>
  <c r="K35" i="69"/>
  <c r="G36" i="69"/>
  <c r="J36" i="69"/>
  <c r="K36" i="69"/>
  <c r="G37" i="69"/>
  <c r="J37" i="69"/>
  <c r="K37" i="69"/>
  <c r="G38" i="69"/>
  <c r="J38" i="69"/>
  <c r="K38" i="69"/>
  <c r="G39" i="69"/>
  <c r="J39" i="69"/>
  <c r="K39" i="69"/>
  <c r="G40" i="69"/>
  <c r="J40" i="69"/>
  <c r="K40" i="69"/>
  <c r="G4" i="26"/>
  <c r="J35" i="62"/>
  <c r="G34" i="10"/>
  <c r="J34" i="10"/>
  <c r="G4" i="76"/>
  <c r="G4" i="75"/>
  <c r="J34" i="73"/>
  <c r="G34" i="73"/>
  <c r="K34" i="73" s="1"/>
  <c r="L34" i="73" s="1"/>
  <c r="K34" i="24"/>
  <c r="K34" i="60"/>
  <c r="G34" i="63"/>
  <c r="K34" i="63" s="1"/>
  <c r="E35" i="74"/>
  <c r="K33" i="74"/>
  <c r="L33" i="74" s="1"/>
  <c r="G34" i="74"/>
  <c r="K34" i="74" s="1"/>
  <c r="L34" i="74" s="1"/>
  <c r="I9" i="56"/>
  <c r="G32" i="78"/>
  <c r="K32" i="78"/>
  <c r="G33" i="78"/>
  <c r="K33" i="78"/>
  <c r="G34" i="78"/>
  <c r="J34" i="78"/>
  <c r="K34" i="78"/>
  <c r="L35" i="78"/>
  <c r="J9" i="56" s="1"/>
  <c r="H35" i="78"/>
  <c r="F9" i="56" s="1"/>
  <c r="E35" i="78"/>
  <c r="D9" i="56" s="1"/>
  <c r="G31" i="78"/>
  <c r="K31" i="78" s="1"/>
  <c r="G30" i="78"/>
  <c r="K30" i="78" s="1"/>
  <c r="G29" i="78"/>
  <c r="K29" i="78" s="1"/>
  <c r="G28" i="78"/>
  <c r="K28" i="78" s="1"/>
  <c r="G27" i="78"/>
  <c r="K27" i="78" s="1"/>
  <c r="G26" i="78"/>
  <c r="G25" i="78"/>
  <c r="K25" i="78" s="1"/>
  <c r="G24" i="78"/>
  <c r="K24" i="78" s="1"/>
  <c r="G23" i="78"/>
  <c r="K23" i="78" s="1"/>
  <c r="G22" i="78"/>
  <c r="K22" i="78" s="1"/>
  <c r="G21" i="78"/>
  <c r="K21" i="78" s="1"/>
  <c r="G20" i="78"/>
  <c r="K20" i="78" s="1"/>
  <c r="G19" i="78"/>
  <c r="K19" i="78" s="1"/>
  <c r="G18" i="78"/>
  <c r="K18" i="78" s="1"/>
  <c r="G17" i="78"/>
  <c r="K17" i="78" s="1"/>
  <c r="G16" i="78"/>
  <c r="K16" i="78" s="1"/>
  <c r="G15" i="78"/>
  <c r="K15" i="78" s="1"/>
  <c r="G14" i="78"/>
  <c r="G13" i="78"/>
  <c r="G12" i="78"/>
  <c r="G11" i="78"/>
  <c r="G10" i="78"/>
  <c r="G9" i="78"/>
  <c r="K9" i="78" s="1"/>
  <c r="G8" i="78"/>
  <c r="K8" i="78" s="1"/>
  <c r="G7" i="78"/>
  <c r="K7" i="78" s="1"/>
  <c r="G6" i="78"/>
  <c r="K6" i="78" s="1"/>
  <c r="K5" i="78"/>
  <c r="J4" i="78"/>
  <c r="G4" i="78"/>
  <c r="K4" i="78" s="1"/>
  <c r="M4" i="78" s="1"/>
  <c r="M5" i="78" s="1"/>
  <c r="M6" i="78" s="1"/>
  <c r="M7" i="78" s="1"/>
  <c r="M8" i="78" s="1"/>
  <c r="M9" i="78" s="1"/>
  <c r="M10" i="78" s="1"/>
  <c r="M11" i="78" s="1"/>
  <c r="M12" i="78" s="1"/>
  <c r="M13" i="78" s="1"/>
  <c r="M14" i="78" s="1"/>
  <c r="M15" i="78" s="1"/>
  <c r="M16" i="78" s="1"/>
  <c r="M17" i="78" s="1"/>
  <c r="M18" i="78" s="1"/>
  <c r="M19" i="78" s="1"/>
  <c r="M20" i="78" s="1"/>
  <c r="M21" i="78" s="1"/>
  <c r="M22" i="78" s="1"/>
  <c r="M23" i="78" s="1"/>
  <c r="M24" i="78" s="1"/>
  <c r="M25" i="78" s="1"/>
  <c r="G18" i="58"/>
  <c r="G19" i="58"/>
  <c r="G20" i="58"/>
  <c r="G21" i="58"/>
  <c r="G22" i="58"/>
  <c r="G23" i="58"/>
  <c r="G24" i="58"/>
  <c r="G25" i="58"/>
  <c r="G26" i="58"/>
  <c r="G27" i="58"/>
  <c r="K30" i="14"/>
  <c r="Q23" i="14"/>
  <c r="J6" i="14"/>
  <c r="K24" i="14"/>
  <c r="I40" i="56"/>
  <c r="L37" i="76"/>
  <c r="J40" i="56" s="1"/>
  <c r="F40" i="56"/>
  <c r="E37" i="76"/>
  <c r="D40" i="56" s="1"/>
  <c r="K35" i="76"/>
  <c r="K34" i="76"/>
  <c r="K33" i="76"/>
  <c r="K32" i="76"/>
  <c r="K31" i="76"/>
  <c r="K30" i="76"/>
  <c r="K29" i="76"/>
  <c r="K28" i="76"/>
  <c r="K27" i="76"/>
  <c r="K26" i="76"/>
  <c r="K25" i="76"/>
  <c r="I40" i="76" s="1"/>
  <c r="K21" i="76"/>
  <c r="K20" i="76"/>
  <c r="K19" i="76"/>
  <c r="K18" i="76"/>
  <c r="K17" i="76"/>
  <c r="K16" i="76"/>
  <c r="K15" i="76"/>
  <c r="K14" i="76"/>
  <c r="K13" i="76"/>
  <c r="K12" i="76"/>
  <c r="K11" i="76"/>
  <c r="K10" i="76"/>
  <c r="K9" i="76"/>
  <c r="K8" i="76"/>
  <c r="K7" i="76"/>
  <c r="K6" i="76"/>
  <c r="J4" i="76"/>
  <c r="G21" i="7"/>
  <c r="I38" i="56"/>
  <c r="E35" i="57"/>
  <c r="L35" i="9"/>
  <c r="E35" i="10"/>
  <c r="E35" i="60"/>
  <c r="G12" i="58"/>
  <c r="G13" i="58"/>
  <c r="G14" i="58"/>
  <c r="G15" i="58"/>
  <c r="G16" i="58"/>
  <c r="G17" i="58"/>
  <c r="K12" i="58"/>
  <c r="L12" i="58"/>
  <c r="K13" i="58"/>
  <c r="L13" i="58"/>
  <c r="K14" i="58"/>
  <c r="L14" i="58"/>
  <c r="K15" i="58"/>
  <c r="L15" i="58"/>
  <c r="K16" i="58"/>
  <c r="L16" i="58"/>
  <c r="K17" i="58"/>
  <c r="L17" i="58"/>
  <c r="K18" i="58"/>
  <c r="L18" i="58"/>
  <c r="G9" i="58"/>
  <c r="G10" i="58"/>
  <c r="G11" i="58"/>
  <c r="H38" i="75"/>
  <c r="F38" i="56" s="1"/>
  <c r="E38" i="75"/>
  <c r="D38" i="56" s="1"/>
  <c r="J36" i="75"/>
  <c r="G36" i="75"/>
  <c r="K36" i="75" s="1"/>
  <c r="J35" i="75"/>
  <c r="G35" i="75"/>
  <c r="K35" i="75" s="1"/>
  <c r="J34" i="75"/>
  <c r="G34" i="75"/>
  <c r="K34" i="75" s="1"/>
  <c r="J33" i="75"/>
  <c r="G33" i="75"/>
  <c r="K33" i="75" s="1"/>
  <c r="J32" i="75"/>
  <c r="G32" i="75"/>
  <c r="K32" i="75" s="1"/>
  <c r="J31" i="75"/>
  <c r="G31" i="75"/>
  <c r="K31" i="75" s="1"/>
  <c r="K30" i="75"/>
  <c r="K29" i="75"/>
  <c r="K28" i="75"/>
  <c r="K27" i="75"/>
  <c r="K26" i="75"/>
  <c r="I41" i="75" s="1"/>
  <c r="K25" i="75"/>
  <c r="K24" i="75"/>
  <c r="K23" i="75"/>
  <c r="K22" i="75"/>
  <c r="K21" i="75"/>
  <c r="K20" i="75"/>
  <c r="K19" i="75"/>
  <c r="K18" i="75"/>
  <c r="K17" i="75"/>
  <c r="K16" i="75"/>
  <c r="K14" i="75"/>
  <c r="L38" i="75" s="1"/>
  <c r="J38" i="56" s="1"/>
  <c r="K13" i="75"/>
  <c r="K12" i="75"/>
  <c r="K11" i="75"/>
  <c r="K10" i="75"/>
  <c r="K9" i="75"/>
  <c r="K8" i="75"/>
  <c r="K7" i="75"/>
  <c r="K6" i="75"/>
  <c r="J4" i="75"/>
  <c r="I26" i="56"/>
  <c r="J4" i="25"/>
  <c r="K4" i="68"/>
  <c r="E55" i="22"/>
  <c r="I24" i="56"/>
  <c r="H35" i="74"/>
  <c r="F26" i="56" s="1"/>
  <c r="D26" i="56"/>
  <c r="K29" i="74"/>
  <c r="L29" i="74" s="1"/>
  <c r="K28" i="74"/>
  <c r="L28" i="74" s="1"/>
  <c r="K27" i="74"/>
  <c r="L27" i="74" s="1"/>
  <c r="K26" i="74"/>
  <c r="L26" i="74" s="1"/>
  <c r="K25" i="74"/>
  <c r="L25" i="74" s="1"/>
  <c r="K24" i="74"/>
  <c r="L24" i="74" s="1"/>
  <c r="K23" i="74"/>
  <c r="L23" i="74" s="1"/>
  <c r="K22" i="74"/>
  <c r="L22" i="74" s="1"/>
  <c r="K21" i="74"/>
  <c r="L21" i="74" s="1"/>
  <c r="K20" i="74"/>
  <c r="L20" i="74" s="1"/>
  <c r="K19" i="74"/>
  <c r="L19" i="74" s="1"/>
  <c r="K18" i="74"/>
  <c r="L18" i="74" s="1"/>
  <c r="K17" i="74"/>
  <c r="L17" i="74" s="1"/>
  <c r="K16" i="74"/>
  <c r="L16" i="74" s="1"/>
  <c r="K15" i="74"/>
  <c r="L15" i="74" s="1"/>
  <c r="K14" i="74"/>
  <c r="L14" i="74" s="1"/>
  <c r="K13" i="74"/>
  <c r="L13" i="74" s="1"/>
  <c r="K12" i="74"/>
  <c r="L12" i="74" s="1"/>
  <c r="K11" i="74"/>
  <c r="L11" i="74" s="1"/>
  <c r="K10" i="74"/>
  <c r="L10" i="74" s="1"/>
  <c r="K9" i="74"/>
  <c r="L9" i="74" s="1"/>
  <c r="K8" i="74"/>
  <c r="L8" i="74" s="1"/>
  <c r="K7" i="74"/>
  <c r="L7" i="74" s="1"/>
  <c r="K6" i="74"/>
  <c r="L6" i="74" s="1"/>
  <c r="J5" i="74"/>
  <c r="G5" i="74"/>
  <c r="K5" i="74" s="1"/>
  <c r="L5" i="74" s="1"/>
  <c r="J4" i="74"/>
  <c r="J35" i="74" s="1"/>
  <c r="G26" i="56" s="1"/>
  <c r="G4" i="74"/>
  <c r="M3" i="74"/>
  <c r="H35" i="73"/>
  <c r="F24" i="56" s="1"/>
  <c r="E35" i="73"/>
  <c r="D24" i="56" s="1"/>
  <c r="K33" i="73"/>
  <c r="L33" i="73" s="1"/>
  <c r="K32" i="73"/>
  <c r="L32" i="73" s="1"/>
  <c r="K31" i="73"/>
  <c r="L31" i="73" s="1"/>
  <c r="K30" i="73"/>
  <c r="L30" i="73" s="1"/>
  <c r="K29" i="73"/>
  <c r="L29" i="73" s="1"/>
  <c r="K28" i="73"/>
  <c r="L28" i="73" s="1"/>
  <c r="K27" i="73"/>
  <c r="L27" i="73" s="1"/>
  <c r="K26" i="73"/>
  <c r="L26" i="73" s="1"/>
  <c r="K25" i="73"/>
  <c r="L25" i="73" s="1"/>
  <c r="K24" i="73"/>
  <c r="L24" i="73" s="1"/>
  <c r="K23" i="73"/>
  <c r="L23" i="73" s="1"/>
  <c r="K22" i="73"/>
  <c r="L22" i="73" s="1"/>
  <c r="K21" i="73"/>
  <c r="L21" i="73" s="1"/>
  <c r="K20" i="73"/>
  <c r="L20" i="73" s="1"/>
  <c r="K19" i="73"/>
  <c r="L19" i="73" s="1"/>
  <c r="K18" i="73"/>
  <c r="L18" i="73" s="1"/>
  <c r="K17" i="73"/>
  <c r="L17" i="73" s="1"/>
  <c r="K16" i="73"/>
  <c r="L16" i="73" s="1"/>
  <c r="K15" i="73"/>
  <c r="L15" i="73" s="1"/>
  <c r="K14" i="73"/>
  <c r="L14" i="73" s="1"/>
  <c r="K13" i="73"/>
  <c r="L13" i="73" s="1"/>
  <c r="K12" i="73"/>
  <c r="L12" i="73" s="1"/>
  <c r="K11" i="73"/>
  <c r="L11" i="73" s="1"/>
  <c r="K10" i="73"/>
  <c r="L10" i="73" s="1"/>
  <c r="K9" i="73"/>
  <c r="L9" i="73" s="1"/>
  <c r="K8" i="73"/>
  <c r="L8" i="73" s="1"/>
  <c r="K7" i="73"/>
  <c r="L7" i="73" s="1"/>
  <c r="K6" i="73"/>
  <c r="L6" i="73" s="1"/>
  <c r="K5" i="73"/>
  <c r="L5" i="73" s="1"/>
  <c r="J4" i="73"/>
  <c r="J35" i="73" s="1"/>
  <c r="G24" i="56" s="1"/>
  <c r="G4" i="73"/>
  <c r="H35" i="9"/>
  <c r="L7" i="45"/>
  <c r="L4" i="45"/>
  <c r="P17" i="71"/>
  <c r="O12" i="71"/>
  <c r="Q12" i="71" s="1"/>
  <c r="I15" i="56"/>
  <c r="I8" i="56"/>
  <c r="G15" i="56"/>
  <c r="L35" i="72"/>
  <c r="J8" i="56" s="1"/>
  <c r="H35" i="72"/>
  <c r="F8" i="56" s="1"/>
  <c r="E35" i="72"/>
  <c r="D8" i="56" s="1"/>
  <c r="J34" i="72"/>
  <c r="G34" i="72"/>
  <c r="K34" i="72" s="1"/>
  <c r="J4" i="72"/>
  <c r="J35" i="72" s="1"/>
  <c r="G8" i="56" s="1"/>
  <c r="G4" i="72"/>
  <c r="I23" i="56"/>
  <c r="J6" i="40"/>
  <c r="J7" i="40"/>
  <c r="J8" i="40"/>
  <c r="J9" i="40"/>
  <c r="J10" i="40"/>
  <c r="J11" i="40"/>
  <c r="J12" i="40"/>
  <c r="J13" i="40"/>
  <c r="J14" i="40"/>
  <c r="J15" i="40"/>
  <c r="J16" i="40"/>
  <c r="J17" i="40"/>
  <c r="J18" i="40"/>
  <c r="J19" i="40"/>
  <c r="J20" i="40"/>
  <c r="J21" i="40"/>
  <c r="J22" i="40"/>
  <c r="J23" i="40"/>
  <c r="J24" i="40"/>
  <c r="J25" i="40"/>
  <c r="J26" i="40"/>
  <c r="J27" i="40"/>
  <c r="J28" i="40"/>
  <c r="J29" i="40"/>
  <c r="J30" i="40"/>
  <c r="J31" i="40"/>
  <c r="J32" i="40"/>
  <c r="J33" i="40"/>
  <c r="J34" i="40"/>
  <c r="J5" i="40"/>
  <c r="J4" i="40"/>
  <c r="J10" i="7"/>
  <c r="K10" i="7"/>
  <c r="J11" i="7"/>
  <c r="K11" i="7"/>
  <c r="J12" i="7"/>
  <c r="K12" i="7"/>
  <c r="J13" i="7"/>
  <c r="K13" i="7"/>
  <c r="J14" i="7"/>
  <c r="K14" i="7"/>
  <c r="J15" i="7"/>
  <c r="K15" i="7"/>
  <c r="J16" i="7"/>
  <c r="K16" i="7"/>
  <c r="J17" i="7"/>
  <c r="K17" i="7"/>
  <c r="H36" i="71"/>
  <c r="H43" i="35"/>
  <c r="I16" i="56"/>
  <c r="F16" i="56"/>
  <c r="E36" i="71"/>
  <c r="D16" i="56" s="1"/>
  <c r="J35" i="71"/>
  <c r="G35" i="71"/>
  <c r="K35" i="71" s="1"/>
  <c r="L35" i="71" s="1"/>
  <c r="J34" i="71"/>
  <c r="G34" i="71"/>
  <c r="K34" i="71" s="1"/>
  <c r="L34" i="71" s="1"/>
  <c r="J33" i="71"/>
  <c r="G33" i="71"/>
  <c r="K33" i="71" s="1"/>
  <c r="L33" i="71" s="1"/>
  <c r="J32" i="71"/>
  <c r="G32" i="71"/>
  <c r="K32" i="71" s="1"/>
  <c r="L32" i="71" s="1"/>
  <c r="J31" i="71"/>
  <c r="G31" i="71"/>
  <c r="K31" i="71" s="1"/>
  <c r="L31" i="71" s="1"/>
  <c r="J30" i="71"/>
  <c r="G30" i="71"/>
  <c r="K30" i="71" s="1"/>
  <c r="L30" i="71" s="1"/>
  <c r="J28" i="71"/>
  <c r="G28" i="71"/>
  <c r="K28" i="71" s="1"/>
  <c r="L28" i="71" s="1"/>
  <c r="J27" i="71"/>
  <c r="G27" i="71"/>
  <c r="K27" i="71" s="1"/>
  <c r="L27" i="71" s="1"/>
  <c r="J26" i="71"/>
  <c r="G26" i="71"/>
  <c r="K26" i="71" s="1"/>
  <c r="L26" i="71" s="1"/>
  <c r="J25" i="71"/>
  <c r="G25" i="71"/>
  <c r="K25" i="71" s="1"/>
  <c r="L25" i="71" s="1"/>
  <c r="J24" i="71"/>
  <c r="G24" i="71"/>
  <c r="K24" i="71" s="1"/>
  <c r="L24" i="71" s="1"/>
  <c r="J23" i="71"/>
  <c r="G23" i="71"/>
  <c r="K23" i="71" s="1"/>
  <c r="L23" i="71" s="1"/>
  <c r="J22" i="71"/>
  <c r="G22" i="71"/>
  <c r="K22" i="71" s="1"/>
  <c r="L22" i="71" s="1"/>
  <c r="J21" i="71"/>
  <c r="G21" i="71"/>
  <c r="K21" i="71" s="1"/>
  <c r="L21" i="71" s="1"/>
  <c r="J20" i="71"/>
  <c r="G20" i="71"/>
  <c r="K20" i="71" s="1"/>
  <c r="L20" i="71" s="1"/>
  <c r="J19" i="71"/>
  <c r="G19" i="71"/>
  <c r="K19" i="71" s="1"/>
  <c r="L19" i="71" s="1"/>
  <c r="J18" i="71"/>
  <c r="G18" i="71"/>
  <c r="K18" i="71" s="1"/>
  <c r="L18" i="71" s="1"/>
  <c r="J17" i="71"/>
  <c r="G17" i="71"/>
  <c r="K17" i="71" s="1"/>
  <c r="L17" i="71" s="1"/>
  <c r="J16" i="71"/>
  <c r="G16" i="71"/>
  <c r="K16" i="71" s="1"/>
  <c r="L16" i="71" s="1"/>
  <c r="J15" i="71"/>
  <c r="G15" i="71"/>
  <c r="K15" i="71" s="1"/>
  <c r="L15" i="71" s="1"/>
  <c r="J14" i="71"/>
  <c r="G14" i="71"/>
  <c r="K14" i="71" s="1"/>
  <c r="L14" i="71" s="1"/>
  <c r="J13" i="71"/>
  <c r="G13" i="71"/>
  <c r="K13" i="71" s="1"/>
  <c r="L13" i="71" s="1"/>
  <c r="J12" i="71"/>
  <c r="G12" i="71"/>
  <c r="K12" i="71" s="1"/>
  <c r="L12" i="71" s="1"/>
  <c r="J11" i="71"/>
  <c r="G11" i="71"/>
  <c r="K11" i="71" s="1"/>
  <c r="L11" i="71" s="1"/>
  <c r="J10" i="71"/>
  <c r="G10" i="71"/>
  <c r="K10" i="71" s="1"/>
  <c r="L10" i="71" s="1"/>
  <c r="J9" i="71"/>
  <c r="G9" i="71"/>
  <c r="K9" i="71" s="1"/>
  <c r="L9" i="71" s="1"/>
  <c r="J8" i="71"/>
  <c r="G8" i="71"/>
  <c r="K8" i="71" s="1"/>
  <c r="L8" i="71" s="1"/>
  <c r="J7" i="71"/>
  <c r="G7" i="71"/>
  <c r="K7" i="71" s="1"/>
  <c r="L7" i="71" s="1"/>
  <c r="J6" i="71"/>
  <c r="G6" i="71"/>
  <c r="K6" i="71" s="1"/>
  <c r="L6" i="71" s="1"/>
  <c r="J5" i="71"/>
  <c r="K5" i="71"/>
  <c r="L5" i="71" s="1"/>
  <c r="J4" i="71"/>
  <c r="J36" i="71" s="1"/>
  <c r="G16" i="56" s="1"/>
  <c r="G4" i="71"/>
  <c r="H55" i="22"/>
  <c r="I49" i="56"/>
  <c r="H46" i="26"/>
  <c r="H49" i="69"/>
  <c r="F49" i="56" s="1"/>
  <c r="J48" i="69"/>
  <c r="G48" i="69"/>
  <c r="K48" i="69" s="1"/>
  <c r="L48" i="69" s="1"/>
  <c r="J47" i="69"/>
  <c r="G47" i="69"/>
  <c r="K47" i="69" s="1"/>
  <c r="L47" i="69" s="1"/>
  <c r="L49" i="69" s="1"/>
  <c r="J49" i="56" s="1"/>
  <c r="J46" i="69"/>
  <c r="G46" i="69"/>
  <c r="K46" i="69" s="1"/>
  <c r="J45" i="69"/>
  <c r="G45" i="69"/>
  <c r="K45" i="69" s="1"/>
  <c r="J44" i="69"/>
  <c r="G44" i="69"/>
  <c r="K44" i="69" s="1"/>
  <c r="J43" i="69"/>
  <c r="G43" i="69"/>
  <c r="K43" i="69" s="1"/>
  <c r="J42" i="69"/>
  <c r="G42" i="69"/>
  <c r="K42" i="69" s="1"/>
  <c r="J41" i="69"/>
  <c r="G41" i="69"/>
  <c r="K41" i="69" s="1"/>
  <c r="J4" i="69"/>
  <c r="J49" i="69" s="1"/>
  <c r="G49" i="56" s="1"/>
  <c r="G4" i="69"/>
  <c r="H35" i="68"/>
  <c r="F23" i="56" s="1"/>
  <c r="E35" i="68"/>
  <c r="D23" i="56" s="1"/>
  <c r="J35" i="68"/>
  <c r="G23" i="56" s="1"/>
  <c r="I27" i="56"/>
  <c r="G5" i="40"/>
  <c r="G6" i="40"/>
  <c r="G7" i="40"/>
  <c r="G8" i="40"/>
  <c r="G9" i="40"/>
  <c r="G10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K27" i="40" s="1"/>
  <c r="G28" i="40"/>
  <c r="K28" i="40" s="1"/>
  <c r="G29" i="40"/>
  <c r="K29" i="40" s="1"/>
  <c r="G30" i="40"/>
  <c r="K30" i="40" s="1"/>
  <c r="G31" i="40"/>
  <c r="K31" i="40" s="1"/>
  <c r="G32" i="40"/>
  <c r="K32" i="40" s="1"/>
  <c r="K9" i="14"/>
  <c r="K10" i="14"/>
  <c r="K11" i="14"/>
  <c r="K12" i="14"/>
  <c r="K14" i="14"/>
  <c r="K15" i="14"/>
  <c r="K16" i="14"/>
  <c r="K17" i="14"/>
  <c r="K18" i="14"/>
  <c r="K19" i="14"/>
  <c r="K20" i="14"/>
  <c r="K22" i="14"/>
  <c r="K23" i="14"/>
  <c r="K25" i="14"/>
  <c r="K27" i="14"/>
  <c r="K28" i="14"/>
  <c r="K29" i="14"/>
  <c r="K31" i="14"/>
  <c r="K32" i="14"/>
  <c r="K33" i="14"/>
  <c r="K35" i="14"/>
  <c r="G36" i="14"/>
  <c r="J36" i="14"/>
  <c r="K36" i="14"/>
  <c r="G37" i="14"/>
  <c r="J37" i="14"/>
  <c r="K37" i="14"/>
  <c r="G40" i="22"/>
  <c r="J40" i="22"/>
  <c r="K40" i="22"/>
  <c r="G41" i="22"/>
  <c r="J41" i="22"/>
  <c r="K41" i="22"/>
  <c r="G42" i="22"/>
  <c r="J42" i="22"/>
  <c r="K42" i="22"/>
  <c r="G43" i="22"/>
  <c r="J43" i="22"/>
  <c r="K43" i="22"/>
  <c r="G44" i="22"/>
  <c r="J44" i="22"/>
  <c r="K44" i="22"/>
  <c r="G45" i="22"/>
  <c r="J45" i="22"/>
  <c r="K45" i="22"/>
  <c r="G46" i="22"/>
  <c r="J46" i="22"/>
  <c r="K46" i="22"/>
  <c r="G47" i="22"/>
  <c r="J47" i="22"/>
  <c r="K47" i="22"/>
  <c r="G48" i="22"/>
  <c r="J48" i="22"/>
  <c r="K48" i="22"/>
  <c r="G49" i="22"/>
  <c r="J49" i="22"/>
  <c r="K49" i="22"/>
  <c r="G50" i="22"/>
  <c r="J50" i="22"/>
  <c r="K50" i="22"/>
  <c r="G51" i="22"/>
  <c r="J51" i="22"/>
  <c r="K51" i="22"/>
  <c r="G52" i="22"/>
  <c r="J52" i="22"/>
  <c r="K52" i="22"/>
  <c r="G53" i="22"/>
  <c r="J53" i="22"/>
  <c r="K53" i="22"/>
  <c r="M4" i="22"/>
  <c r="J5" i="12"/>
  <c r="K5" i="12"/>
  <c r="J6" i="12"/>
  <c r="K6" i="12"/>
  <c r="J7" i="12"/>
  <c r="K7" i="12"/>
  <c r="J8" i="12"/>
  <c r="K8" i="12"/>
  <c r="J9" i="12"/>
  <c r="K9" i="12"/>
  <c r="J10" i="12"/>
  <c r="K10" i="12"/>
  <c r="J11" i="12"/>
  <c r="K11" i="12"/>
  <c r="J12" i="12"/>
  <c r="K12" i="12"/>
  <c r="J13" i="12"/>
  <c r="K13" i="12"/>
  <c r="J14" i="12"/>
  <c r="K14" i="12"/>
  <c r="J15" i="12"/>
  <c r="K15" i="12"/>
  <c r="J16" i="12"/>
  <c r="K16" i="12"/>
  <c r="J17" i="12"/>
  <c r="K17" i="12"/>
  <c r="J18" i="12"/>
  <c r="K18" i="12"/>
  <c r="J19" i="12"/>
  <c r="K19" i="12"/>
  <c r="J20" i="12"/>
  <c r="K20" i="12"/>
  <c r="J21" i="12"/>
  <c r="K21" i="12"/>
  <c r="J22" i="12"/>
  <c r="K22" i="12"/>
  <c r="J23" i="12"/>
  <c r="K23" i="12"/>
  <c r="J24" i="12"/>
  <c r="K24" i="12"/>
  <c r="J25" i="12"/>
  <c r="K25" i="12"/>
  <c r="J26" i="12"/>
  <c r="K26" i="12"/>
  <c r="J27" i="12"/>
  <c r="K27" i="12"/>
  <c r="J28" i="12"/>
  <c r="K28" i="12"/>
  <c r="J29" i="12"/>
  <c r="K29" i="12"/>
  <c r="J30" i="12"/>
  <c r="K30" i="12"/>
  <c r="J31" i="12"/>
  <c r="K31" i="12"/>
  <c r="J32" i="12"/>
  <c r="K32" i="12"/>
  <c r="J33" i="12"/>
  <c r="K33" i="12"/>
  <c r="J34" i="12"/>
  <c r="K34" i="12"/>
  <c r="M3" i="16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7" i="19"/>
  <c r="J5" i="25"/>
  <c r="K5" i="25"/>
  <c r="K6" i="25"/>
  <c r="K7" i="25"/>
  <c r="K8" i="25"/>
  <c r="K9" i="25"/>
  <c r="K10" i="25"/>
  <c r="K11" i="25"/>
  <c r="K12" i="25"/>
  <c r="K13" i="25"/>
  <c r="K14" i="25"/>
  <c r="K15" i="25"/>
  <c r="K16" i="25"/>
  <c r="K17" i="25"/>
  <c r="K18" i="25"/>
  <c r="K19" i="25"/>
  <c r="K20" i="25"/>
  <c r="K21" i="25"/>
  <c r="K22" i="25"/>
  <c r="K23" i="25"/>
  <c r="K24" i="25"/>
  <c r="K25" i="25"/>
  <c r="K26" i="25"/>
  <c r="K27" i="25"/>
  <c r="K28" i="25"/>
  <c r="K29" i="25"/>
  <c r="K30" i="25"/>
  <c r="K33" i="25"/>
  <c r="K34" i="25"/>
  <c r="K35" i="25"/>
  <c r="K5" i="24"/>
  <c r="K6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19" i="24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L35" i="24"/>
  <c r="J27" i="56" s="1"/>
  <c r="K5" i="60"/>
  <c r="K6" i="60"/>
  <c r="K7" i="60"/>
  <c r="K8" i="60"/>
  <c r="K9" i="60"/>
  <c r="K10" i="60"/>
  <c r="K11" i="60"/>
  <c r="K12" i="60"/>
  <c r="K13" i="60"/>
  <c r="M13" i="60" s="1"/>
  <c r="M14" i="60" s="1"/>
  <c r="K14" i="60"/>
  <c r="K26" i="60"/>
  <c r="K27" i="60"/>
  <c r="K28" i="60"/>
  <c r="K29" i="60"/>
  <c r="K30" i="60"/>
  <c r="K31" i="60"/>
  <c r="K32" i="60"/>
  <c r="K33" i="60"/>
  <c r="K5" i="41"/>
  <c r="K6" i="41"/>
  <c r="K7" i="41"/>
  <c r="K8" i="41"/>
  <c r="K9" i="41"/>
  <c r="K10" i="41"/>
  <c r="K11" i="41"/>
  <c r="K12" i="41"/>
  <c r="K13" i="41"/>
  <c r="K15" i="41"/>
  <c r="K17" i="41"/>
  <c r="K18" i="41"/>
  <c r="K19" i="41"/>
  <c r="K20" i="41"/>
  <c r="K21" i="41"/>
  <c r="K22" i="41"/>
  <c r="K23" i="41"/>
  <c r="K24" i="41"/>
  <c r="K27" i="41"/>
  <c r="K28" i="41"/>
  <c r="K29" i="41"/>
  <c r="K30" i="41"/>
  <c r="K31" i="41"/>
  <c r="K32" i="41"/>
  <c r="K33" i="41"/>
  <c r="K34" i="41"/>
  <c r="K35" i="41"/>
  <c r="K36" i="41"/>
  <c r="K37" i="41"/>
  <c r="K38" i="41"/>
  <c r="K39" i="41"/>
  <c r="G40" i="41"/>
  <c r="J40" i="41"/>
  <c r="K40" i="41"/>
  <c r="G41" i="41"/>
  <c r="J41" i="41"/>
  <c r="K41" i="41"/>
  <c r="J41" i="51"/>
  <c r="K41" i="51"/>
  <c r="J5" i="35"/>
  <c r="K5" i="35"/>
  <c r="J6" i="35"/>
  <c r="K6" i="35"/>
  <c r="J7" i="35"/>
  <c r="K7" i="35"/>
  <c r="J8" i="35"/>
  <c r="K8" i="35"/>
  <c r="K9" i="35"/>
  <c r="J10" i="35"/>
  <c r="K10" i="35"/>
  <c r="J11" i="35"/>
  <c r="J12" i="35"/>
  <c r="K12" i="35" s="1"/>
  <c r="J13" i="35"/>
  <c r="K13" i="35" s="1"/>
  <c r="J14" i="35"/>
  <c r="K14" i="35"/>
  <c r="J15" i="35"/>
  <c r="K15" i="35"/>
  <c r="J16" i="35"/>
  <c r="K16" i="35"/>
  <c r="J17" i="35"/>
  <c r="K17" i="35"/>
  <c r="J18" i="35"/>
  <c r="K18" i="35"/>
  <c r="J19" i="35"/>
  <c r="K19" i="35"/>
  <c r="J20" i="35"/>
  <c r="K20" i="35"/>
  <c r="J21" i="35"/>
  <c r="K21" i="35"/>
  <c r="J22" i="35"/>
  <c r="K22" i="35"/>
  <c r="J23" i="35"/>
  <c r="K23" i="35"/>
  <c r="J24" i="35"/>
  <c r="K24" i="35"/>
  <c r="J25" i="35"/>
  <c r="K25" i="35"/>
  <c r="J26" i="35"/>
  <c r="K26" i="35"/>
  <c r="J27" i="35"/>
  <c r="K27" i="35"/>
  <c r="J28" i="35"/>
  <c r="K28" i="35"/>
  <c r="K29" i="35"/>
  <c r="J30" i="35"/>
  <c r="K30" i="35"/>
  <c r="J31" i="35"/>
  <c r="K31" i="35"/>
  <c r="J32" i="35"/>
  <c r="K32" i="35"/>
  <c r="J33" i="35"/>
  <c r="K33" i="35"/>
  <c r="J34" i="35"/>
  <c r="K34" i="35"/>
  <c r="J35" i="35"/>
  <c r="K35" i="35"/>
  <c r="J36" i="35"/>
  <c r="K36" i="35"/>
  <c r="J37" i="35"/>
  <c r="K37" i="35"/>
  <c r="J38" i="35"/>
  <c r="K38" i="35"/>
  <c r="J39" i="35"/>
  <c r="K39" i="35"/>
  <c r="J40" i="35"/>
  <c r="K40" i="35"/>
  <c r="J41" i="35"/>
  <c r="K41" i="35"/>
  <c r="K5" i="9"/>
  <c r="K6" i="9"/>
  <c r="K7" i="9"/>
  <c r="K8" i="9"/>
  <c r="K12" i="9"/>
  <c r="K13" i="9"/>
  <c r="K14" i="9"/>
  <c r="K15" i="9"/>
  <c r="K16" i="9"/>
  <c r="K17" i="9"/>
  <c r="K18" i="9"/>
  <c r="K19" i="9"/>
  <c r="K20" i="9"/>
  <c r="K21" i="9"/>
  <c r="K23" i="9"/>
  <c r="K24" i="9"/>
  <c r="K25" i="9"/>
  <c r="K26" i="9"/>
  <c r="K27" i="9"/>
  <c r="K28" i="9"/>
  <c r="K29" i="9"/>
  <c r="K30" i="9"/>
  <c r="K31" i="9"/>
  <c r="K32" i="9"/>
  <c r="K33" i="9"/>
  <c r="K34" i="9"/>
  <c r="J5" i="26"/>
  <c r="K5" i="26"/>
  <c r="J6" i="26"/>
  <c r="K6" i="26"/>
  <c r="J7" i="26"/>
  <c r="K7" i="26"/>
  <c r="K8" i="26"/>
  <c r="K9" i="26"/>
  <c r="J10" i="26"/>
  <c r="K10" i="26"/>
  <c r="J11" i="26"/>
  <c r="K11" i="26"/>
  <c r="J12" i="26"/>
  <c r="K12" i="26"/>
  <c r="J13" i="26"/>
  <c r="K13" i="26"/>
  <c r="J14" i="26"/>
  <c r="K14" i="26"/>
  <c r="J15" i="26"/>
  <c r="K15" i="26"/>
  <c r="J16" i="26"/>
  <c r="K16" i="26"/>
  <c r="J17" i="26"/>
  <c r="K17" i="26"/>
  <c r="J18" i="26"/>
  <c r="K18" i="26"/>
  <c r="J19" i="26"/>
  <c r="K19" i="26"/>
  <c r="J20" i="26"/>
  <c r="K20" i="26"/>
  <c r="J21" i="26"/>
  <c r="K21" i="26"/>
  <c r="J22" i="26"/>
  <c r="K22" i="26"/>
  <c r="J23" i="26"/>
  <c r="K23" i="26"/>
  <c r="J24" i="26"/>
  <c r="K24" i="26"/>
  <c r="J25" i="26"/>
  <c r="K25" i="26"/>
  <c r="J26" i="26"/>
  <c r="K26" i="26"/>
  <c r="J27" i="26"/>
  <c r="K27" i="26"/>
  <c r="J28" i="26"/>
  <c r="K28" i="26"/>
  <c r="G29" i="26"/>
  <c r="J29" i="26"/>
  <c r="K29" i="26"/>
  <c r="G30" i="26"/>
  <c r="J30" i="26"/>
  <c r="K30" i="26"/>
  <c r="G31" i="26"/>
  <c r="J31" i="26"/>
  <c r="K31" i="26"/>
  <c r="G32" i="26"/>
  <c r="J32" i="26"/>
  <c r="K32" i="26"/>
  <c r="G33" i="26"/>
  <c r="J33" i="26"/>
  <c r="K33" i="26"/>
  <c r="G34" i="26"/>
  <c r="J34" i="26"/>
  <c r="K34" i="26"/>
  <c r="G35" i="26"/>
  <c r="J35" i="26"/>
  <c r="K35" i="26"/>
  <c r="G36" i="26"/>
  <c r="J36" i="26"/>
  <c r="K36" i="26"/>
  <c r="G37" i="26"/>
  <c r="J37" i="26"/>
  <c r="K37" i="26"/>
  <c r="G38" i="26"/>
  <c r="J38" i="26"/>
  <c r="K38" i="26"/>
  <c r="G39" i="26"/>
  <c r="J39" i="26"/>
  <c r="K39" i="26"/>
  <c r="G40" i="26"/>
  <c r="J40" i="26"/>
  <c r="K40" i="26"/>
  <c r="G41" i="26"/>
  <c r="J41" i="26"/>
  <c r="K41" i="26"/>
  <c r="G42" i="26"/>
  <c r="J42" i="26"/>
  <c r="K42" i="26"/>
  <c r="G43" i="26"/>
  <c r="J43" i="26"/>
  <c r="K43" i="26"/>
  <c r="G44" i="26"/>
  <c r="J44" i="26"/>
  <c r="K44" i="26"/>
  <c r="K6" i="10"/>
  <c r="K7" i="10"/>
  <c r="K8" i="10"/>
  <c r="K9" i="10"/>
  <c r="K10" i="10"/>
  <c r="K11" i="10"/>
  <c r="K12" i="10"/>
  <c r="K13" i="10"/>
  <c r="K14" i="10"/>
  <c r="K15" i="10"/>
  <c r="K16" i="10"/>
  <c r="K17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G5" i="19"/>
  <c r="J5" i="19"/>
  <c r="G6" i="19"/>
  <c r="J6" i="19"/>
  <c r="G7" i="19"/>
  <c r="G8" i="19"/>
  <c r="J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4" i="19"/>
  <c r="J5" i="33"/>
  <c r="K5" i="33"/>
  <c r="K6" i="33"/>
  <c r="K7" i="33"/>
  <c r="J8" i="33"/>
  <c r="K8" i="33"/>
  <c r="J9" i="33"/>
  <c r="K9" i="33"/>
  <c r="J10" i="33"/>
  <c r="K10" i="33"/>
  <c r="J11" i="33"/>
  <c r="K11" i="33"/>
  <c r="J12" i="33"/>
  <c r="K12" i="33"/>
  <c r="J13" i="33"/>
  <c r="K13" i="33"/>
  <c r="J14" i="33"/>
  <c r="K14" i="33"/>
  <c r="J15" i="33"/>
  <c r="K15" i="33"/>
  <c r="J16" i="33"/>
  <c r="K16" i="33"/>
  <c r="J17" i="33"/>
  <c r="K17" i="33"/>
  <c r="G18" i="33"/>
  <c r="J18" i="33"/>
  <c r="K18" i="33"/>
  <c r="G19" i="33"/>
  <c r="J19" i="33"/>
  <c r="K19" i="33"/>
  <c r="G20" i="33"/>
  <c r="J20" i="33"/>
  <c r="K20" i="33"/>
  <c r="G21" i="33"/>
  <c r="J21" i="33"/>
  <c r="K21" i="33"/>
  <c r="G22" i="33"/>
  <c r="J22" i="33"/>
  <c r="K22" i="33"/>
  <c r="G23" i="33"/>
  <c r="J23" i="33"/>
  <c r="K23" i="33"/>
  <c r="G24" i="33"/>
  <c r="J24" i="33"/>
  <c r="K24" i="33"/>
  <c r="G25" i="33"/>
  <c r="J25" i="33"/>
  <c r="K25" i="33"/>
  <c r="G26" i="33"/>
  <c r="J26" i="33"/>
  <c r="K26" i="33"/>
  <c r="G27" i="33"/>
  <c r="J27" i="33"/>
  <c r="K27" i="33"/>
  <c r="G28" i="33"/>
  <c r="J28" i="33"/>
  <c r="K28" i="33"/>
  <c r="G29" i="33"/>
  <c r="J29" i="33"/>
  <c r="K29" i="33"/>
  <c r="G30" i="33"/>
  <c r="J30" i="33"/>
  <c r="K30" i="33"/>
  <c r="G31" i="33"/>
  <c r="J31" i="33"/>
  <c r="K31" i="33"/>
  <c r="G32" i="33"/>
  <c r="J32" i="33"/>
  <c r="K32" i="33"/>
  <c r="G33" i="33"/>
  <c r="J33" i="33"/>
  <c r="K33" i="33"/>
  <c r="G34" i="33"/>
  <c r="J34" i="33"/>
  <c r="K34" i="33"/>
  <c r="G35" i="33"/>
  <c r="J35" i="33"/>
  <c r="K35" i="33"/>
  <c r="G36" i="33"/>
  <c r="J36" i="33"/>
  <c r="K36" i="33"/>
  <c r="G37" i="33"/>
  <c r="J37" i="33"/>
  <c r="K37" i="33"/>
  <c r="G38" i="33"/>
  <c r="J38" i="33"/>
  <c r="K38" i="33"/>
  <c r="G39" i="33"/>
  <c r="J39" i="33"/>
  <c r="K39" i="33"/>
  <c r="G40" i="33"/>
  <c r="J40" i="33"/>
  <c r="K40" i="33"/>
  <c r="G41" i="33"/>
  <c r="J41" i="33"/>
  <c r="K41" i="33"/>
  <c r="G42" i="33"/>
  <c r="J42" i="33"/>
  <c r="K42" i="33"/>
  <c r="K8" i="14"/>
  <c r="G38" i="14"/>
  <c r="J38" i="14"/>
  <c r="K38" i="14"/>
  <c r="G54" i="22"/>
  <c r="J54" i="22"/>
  <c r="K54" i="22"/>
  <c r="K5" i="40"/>
  <c r="K6" i="40"/>
  <c r="K7" i="40"/>
  <c r="K8" i="40"/>
  <c r="K9" i="40"/>
  <c r="K10" i="40"/>
  <c r="K11" i="40"/>
  <c r="K12" i="40"/>
  <c r="K13" i="40"/>
  <c r="K14" i="40"/>
  <c r="K15" i="40"/>
  <c r="K16" i="40"/>
  <c r="K17" i="40"/>
  <c r="K18" i="40"/>
  <c r="K19" i="40"/>
  <c r="K20" i="40"/>
  <c r="K21" i="40"/>
  <c r="K22" i="40"/>
  <c r="K23" i="40"/>
  <c r="K24" i="40"/>
  <c r="K25" i="40"/>
  <c r="K26" i="40"/>
  <c r="G33" i="40"/>
  <c r="K33" i="40" s="1"/>
  <c r="G34" i="40"/>
  <c r="K34" i="40"/>
  <c r="L34" i="40" s="1"/>
  <c r="K5" i="10"/>
  <c r="K34" i="10"/>
  <c r="H35" i="10"/>
  <c r="L35" i="10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G36" i="16"/>
  <c r="J36" i="16"/>
  <c r="K36" i="16"/>
  <c r="K35" i="62"/>
  <c r="G36" i="62"/>
  <c r="J36" i="62"/>
  <c r="K36" i="62"/>
  <c r="G5" i="58"/>
  <c r="J5" i="58"/>
  <c r="K5" i="58"/>
  <c r="L5" i="58"/>
  <c r="G6" i="58"/>
  <c r="J6" i="58"/>
  <c r="K6" i="58"/>
  <c r="L6" i="58"/>
  <c r="G7" i="58"/>
  <c r="J7" i="58"/>
  <c r="K7" i="58"/>
  <c r="L7" i="58"/>
  <c r="G8" i="58"/>
  <c r="J8" i="58"/>
  <c r="K8" i="58"/>
  <c r="L8" i="58"/>
  <c r="J9" i="58"/>
  <c r="K9" i="58"/>
  <c r="L9" i="58"/>
  <c r="J10" i="58"/>
  <c r="K10" i="58"/>
  <c r="L10" i="58"/>
  <c r="J11" i="58"/>
  <c r="K11" i="58"/>
  <c r="L11" i="58"/>
  <c r="J12" i="58"/>
  <c r="J13" i="58"/>
  <c r="J14" i="58"/>
  <c r="J15" i="58"/>
  <c r="J16" i="58"/>
  <c r="J17" i="58"/>
  <c r="J18" i="58"/>
  <c r="J19" i="58"/>
  <c r="K19" i="58"/>
  <c r="L19" i="58"/>
  <c r="J20" i="58"/>
  <c r="K20" i="58"/>
  <c r="L20" i="58"/>
  <c r="J21" i="58"/>
  <c r="K21" i="58"/>
  <c r="L21" i="58"/>
  <c r="J22" i="58"/>
  <c r="K22" i="58"/>
  <c r="L22" i="58"/>
  <c r="J23" i="58"/>
  <c r="K23" i="58"/>
  <c r="L23" i="58"/>
  <c r="J24" i="58"/>
  <c r="K24" i="58"/>
  <c r="L24" i="58"/>
  <c r="J25" i="58"/>
  <c r="K25" i="58"/>
  <c r="L25" i="58"/>
  <c r="J26" i="58"/>
  <c r="K26" i="58"/>
  <c r="L26" i="58"/>
  <c r="J27" i="58"/>
  <c r="K27" i="58"/>
  <c r="L27" i="58"/>
  <c r="J28" i="58"/>
  <c r="K28" i="58"/>
  <c r="L28" i="58"/>
  <c r="G29" i="58"/>
  <c r="J29" i="58"/>
  <c r="K29" i="58"/>
  <c r="L29" i="58"/>
  <c r="G30" i="58"/>
  <c r="J30" i="58"/>
  <c r="K30" i="58"/>
  <c r="L30" i="58"/>
  <c r="G31" i="58"/>
  <c r="J31" i="58"/>
  <c r="K31" i="58"/>
  <c r="L31" i="58"/>
  <c r="G32" i="58"/>
  <c r="J32" i="58"/>
  <c r="K32" i="58"/>
  <c r="L32" i="58"/>
  <c r="J33" i="58"/>
  <c r="K33" i="58"/>
  <c r="L33" i="58"/>
  <c r="G5" i="47"/>
  <c r="K5" i="47"/>
  <c r="G34" i="50"/>
  <c r="K34" i="50"/>
  <c r="G35" i="50"/>
  <c r="J35" i="50"/>
  <c r="K35" i="50"/>
  <c r="G36" i="50"/>
  <c r="J36" i="50"/>
  <c r="K36" i="50"/>
  <c r="G37" i="50"/>
  <c r="J37" i="50"/>
  <c r="K37" i="50"/>
  <c r="I17" i="56"/>
  <c r="H48" i="65"/>
  <c r="F17" i="56" s="1"/>
  <c r="E48" i="65"/>
  <c r="D17" i="56" s="1"/>
  <c r="J48" i="65"/>
  <c r="G17" i="56" s="1"/>
  <c r="I25" i="56"/>
  <c r="H35" i="63"/>
  <c r="F25" i="56" s="1"/>
  <c r="E35" i="63"/>
  <c r="D25" i="56" s="1"/>
  <c r="J4" i="63"/>
  <c r="J35" i="63" s="1"/>
  <c r="G25" i="56" s="1"/>
  <c r="G4" i="63"/>
  <c r="G5" i="44"/>
  <c r="I30" i="56"/>
  <c r="L37" i="62"/>
  <c r="J18" i="56" s="1"/>
  <c r="H37" i="62"/>
  <c r="F18" i="56" s="1"/>
  <c r="E37" i="62"/>
  <c r="D18" i="56" s="1"/>
  <c r="J4" i="62"/>
  <c r="J37" i="62" s="1"/>
  <c r="G18" i="56" s="1"/>
  <c r="G4" i="62"/>
  <c r="I18" i="56"/>
  <c r="K5" i="19"/>
  <c r="L5" i="19"/>
  <c r="K6" i="19"/>
  <c r="L6" i="19"/>
  <c r="K7" i="19"/>
  <c r="L7" i="19"/>
  <c r="K8" i="19"/>
  <c r="L8" i="19"/>
  <c r="K9" i="19"/>
  <c r="L9" i="19"/>
  <c r="K10" i="19"/>
  <c r="L10" i="19"/>
  <c r="K11" i="19"/>
  <c r="L11" i="19"/>
  <c r="K12" i="19"/>
  <c r="L12" i="19"/>
  <c r="K13" i="19"/>
  <c r="L13" i="19"/>
  <c r="K14" i="19"/>
  <c r="L14" i="19"/>
  <c r="K15" i="19"/>
  <c r="L15" i="19"/>
  <c r="K16" i="19"/>
  <c r="L16" i="19"/>
  <c r="K17" i="19"/>
  <c r="L17" i="19"/>
  <c r="K18" i="19"/>
  <c r="L18" i="19"/>
  <c r="K19" i="19"/>
  <c r="L19" i="19" s="1"/>
  <c r="K20" i="19"/>
  <c r="L20" i="19"/>
  <c r="K21" i="19"/>
  <c r="L21" i="19"/>
  <c r="K22" i="19"/>
  <c r="L22" i="19"/>
  <c r="K23" i="19"/>
  <c r="L23" i="19"/>
  <c r="K24" i="19"/>
  <c r="L24" i="19"/>
  <c r="K25" i="19"/>
  <c r="L25" i="19"/>
  <c r="K26" i="19"/>
  <c r="L26" i="19"/>
  <c r="K27" i="19"/>
  <c r="L27" i="19"/>
  <c r="K28" i="19"/>
  <c r="L28" i="19"/>
  <c r="K29" i="19"/>
  <c r="L29" i="19"/>
  <c r="K30" i="19"/>
  <c r="L30" i="19"/>
  <c r="K31" i="19"/>
  <c r="L31" i="19"/>
  <c r="K32" i="19"/>
  <c r="L32" i="19"/>
  <c r="K33" i="19"/>
  <c r="L33" i="19"/>
  <c r="G43" i="33"/>
  <c r="J43" i="33"/>
  <c r="K43" i="33"/>
  <c r="L5" i="57"/>
  <c r="L6" i="57"/>
  <c r="L7" i="57"/>
  <c r="L8" i="57"/>
  <c r="L9" i="57"/>
  <c r="L10" i="57"/>
  <c r="L11" i="57"/>
  <c r="L12" i="57"/>
  <c r="L13" i="57"/>
  <c r="L14" i="57"/>
  <c r="L15" i="57"/>
  <c r="L16" i="57"/>
  <c r="L17" i="57"/>
  <c r="L18" i="57"/>
  <c r="L19" i="57"/>
  <c r="L20" i="57"/>
  <c r="L21" i="57"/>
  <c r="L22" i="57"/>
  <c r="L23" i="57"/>
  <c r="L24" i="57"/>
  <c r="L25" i="57"/>
  <c r="L26" i="57"/>
  <c r="L27" i="57"/>
  <c r="L28" i="57"/>
  <c r="L29" i="57"/>
  <c r="L30" i="57"/>
  <c r="L31" i="57"/>
  <c r="L32" i="57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G34" i="3"/>
  <c r="J34" i="3"/>
  <c r="K34" i="3"/>
  <c r="J23" i="7"/>
  <c r="K23" i="7"/>
  <c r="J24" i="7"/>
  <c r="K24" i="7"/>
  <c r="J25" i="7"/>
  <c r="K25" i="7"/>
  <c r="J26" i="7"/>
  <c r="K26" i="7"/>
  <c r="J27" i="7"/>
  <c r="K27" i="7"/>
  <c r="J28" i="7"/>
  <c r="K28" i="7"/>
  <c r="J29" i="7"/>
  <c r="K29" i="7"/>
  <c r="J30" i="7"/>
  <c r="K30" i="7"/>
  <c r="J31" i="7"/>
  <c r="K31" i="7"/>
  <c r="G32" i="7"/>
  <c r="J32" i="7"/>
  <c r="K32" i="7"/>
  <c r="E43" i="35"/>
  <c r="E35" i="11"/>
  <c r="H42" i="41"/>
  <c r="I44" i="56"/>
  <c r="H35" i="12"/>
  <c r="I50" i="56"/>
  <c r="I48" i="56"/>
  <c r="H35" i="60"/>
  <c r="F44" i="56" s="1"/>
  <c r="D44" i="56"/>
  <c r="J4" i="60"/>
  <c r="J35" i="60" s="1"/>
  <c r="G44" i="56" s="1"/>
  <c r="I46" i="56"/>
  <c r="G4" i="52"/>
  <c r="J4" i="47"/>
  <c r="J5" i="14"/>
  <c r="P11" i="33"/>
  <c r="L42" i="41"/>
  <c r="I51" i="56"/>
  <c r="I47" i="56"/>
  <c r="I42" i="56"/>
  <c r="I41" i="56"/>
  <c r="I37" i="56"/>
  <c r="I33" i="56"/>
  <c r="I29" i="56"/>
  <c r="I22" i="56"/>
  <c r="I21" i="56"/>
  <c r="I20" i="56"/>
  <c r="I19" i="56"/>
  <c r="N3" i="45"/>
  <c r="G4" i="9"/>
  <c r="K34" i="19"/>
  <c r="L34" i="19"/>
  <c r="L33" i="57"/>
  <c r="L34" i="57"/>
  <c r="K5" i="14"/>
  <c r="G5" i="7"/>
  <c r="J5" i="7"/>
  <c r="G6" i="7"/>
  <c r="J6" i="7"/>
  <c r="G7" i="7"/>
  <c r="J7" i="7"/>
  <c r="G8" i="7"/>
  <c r="J8" i="7"/>
  <c r="J9" i="7"/>
  <c r="J18" i="7"/>
  <c r="G19" i="7"/>
  <c r="J19" i="7"/>
  <c r="G20" i="7"/>
  <c r="J20" i="7"/>
  <c r="K20" i="7" s="1"/>
  <c r="J21" i="7"/>
  <c r="J22" i="7"/>
  <c r="G33" i="7"/>
  <c r="J33" i="7"/>
  <c r="G4" i="50"/>
  <c r="K4" i="50"/>
  <c r="G34" i="58"/>
  <c r="J34" i="58"/>
  <c r="K34" i="58"/>
  <c r="L34" i="58"/>
  <c r="J4" i="58"/>
  <c r="G4" i="58"/>
  <c r="H35" i="58"/>
  <c r="F15" i="56" s="1"/>
  <c r="E35" i="58"/>
  <c r="D15" i="56" s="1"/>
  <c r="J35" i="58"/>
  <c r="H35" i="19"/>
  <c r="E35" i="19"/>
  <c r="E43" i="51"/>
  <c r="F52" i="56"/>
  <c r="D52" i="56"/>
  <c r="F51" i="56"/>
  <c r="D51" i="56"/>
  <c r="D50" i="56"/>
  <c r="E44" i="33"/>
  <c r="D48" i="56" s="1"/>
  <c r="F47" i="56"/>
  <c r="E35" i="9"/>
  <c r="D47" i="56" s="1"/>
  <c r="F46" i="56"/>
  <c r="E46" i="26"/>
  <c r="D46" i="56" s="1"/>
  <c r="H35" i="57"/>
  <c r="F45" i="56" s="1"/>
  <c r="D45" i="56"/>
  <c r="J35" i="57"/>
  <c r="G45" i="56" s="1"/>
  <c r="G4" i="57"/>
  <c r="J42" i="56"/>
  <c r="F42" i="56"/>
  <c r="E42" i="41"/>
  <c r="D42" i="56" s="1"/>
  <c r="E35" i="12"/>
  <c r="L35" i="12"/>
  <c r="J41" i="56"/>
  <c r="F41" i="56"/>
  <c r="D41" i="56"/>
  <c r="F33" i="56"/>
  <c r="D33" i="56"/>
  <c r="E39" i="14"/>
  <c r="D37" i="56" s="1"/>
  <c r="E36" i="25"/>
  <c r="D32" i="56" s="1"/>
  <c r="E35" i="40"/>
  <c r="D31" i="56" s="1"/>
  <c r="D30" i="56"/>
  <c r="J29" i="56"/>
  <c r="D29" i="56"/>
  <c r="D27" i="56"/>
  <c r="D54" i="56" s="1"/>
  <c r="E35" i="3"/>
  <c r="D22" i="56" s="1"/>
  <c r="E35" i="7"/>
  <c r="D21" i="56" s="1"/>
  <c r="E37" i="16"/>
  <c r="D20" i="56" s="1"/>
  <c r="L37" i="16"/>
  <c r="E35" i="52"/>
  <c r="D19" i="56" s="1"/>
  <c r="J47" i="56"/>
  <c r="L35" i="11"/>
  <c r="H35" i="11"/>
  <c r="F30" i="56" s="1"/>
  <c r="F29" i="56"/>
  <c r="H35" i="3"/>
  <c r="F22" i="56" s="1"/>
  <c r="L35" i="3"/>
  <c r="J22" i="56" s="1"/>
  <c r="H35" i="7"/>
  <c r="F21" i="56" s="1"/>
  <c r="I3" i="56"/>
  <c r="I2" i="56"/>
  <c r="L38" i="50"/>
  <c r="J2" i="56" s="1"/>
  <c r="H38" i="50"/>
  <c r="F2" i="56" s="1"/>
  <c r="E38" i="50"/>
  <c r="D2" i="56" s="1"/>
  <c r="F50" i="56"/>
  <c r="L39" i="14"/>
  <c r="J37" i="56" s="1"/>
  <c r="H39" i="14"/>
  <c r="F37" i="56" s="1"/>
  <c r="F54" i="56" s="1"/>
  <c r="H36" i="25"/>
  <c r="F32" i="56" s="1"/>
  <c r="J35" i="40"/>
  <c r="G31" i="56" s="1"/>
  <c r="H35" i="40"/>
  <c r="F31" i="56" s="1"/>
  <c r="F27" i="56"/>
  <c r="K38" i="16"/>
  <c r="L35" i="52"/>
  <c r="J19" i="56" s="1"/>
  <c r="H35" i="52"/>
  <c r="F19" i="56" s="1"/>
  <c r="E35" i="47"/>
  <c r="D3" i="56" s="1"/>
  <c r="L35" i="47"/>
  <c r="J3" i="56" s="1"/>
  <c r="H35" i="47"/>
  <c r="F3" i="56" s="1"/>
  <c r="G4" i="44"/>
  <c r="G4" i="51"/>
  <c r="K5" i="7"/>
  <c r="K6" i="7"/>
  <c r="K7" i="7"/>
  <c r="K8" i="7"/>
  <c r="K9" i="7"/>
  <c r="K18" i="7"/>
  <c r="K19" i="7"/>
  <c r="K21" i="7"/>
  <c r="K22" i="7"/>
  <c r="K33" i="7"/>
  <c r="J4" i="52"/>
  <c r="K4" i="52"/>
  <c r="M4" i="52"/>
  <c r="M5" i="52"/>
  <c r="M6" i="52"/>
  <c r="M7" i="52"/>
  <c r="M8" i="52"/>
  <c r="M9" i="52"/>
  <c r="M10" i="52"/>
  <c r="M11" i="52"/>
  <c r="M12" i="52"/>
  <c r="M13" i="52"/>
  <c r="M14" i="52"/>
  <c r="M15" i="52"/>
  <c r="M16" i="52"/>
  <c r="M17" i="52" s="1"/>
  <c r="M18" i="52"/>
  <c r="M19" i="52"/>
  <c r="M20" i="52"/>
  <c r="M21" i="52"/>
  <c r="M22" i="52"/>
  <c r="M23" i="52"/>
  <c r="M24" i="52"/>
  <c r="M25" i="52"/>
  <c r="M26" i="52"/>
  <c r="M27" i="52"/>
  <c r="M28" i="52"/>
  <c r="M29" i="52"/>
  <c r="M30" i="52"/>
  <c r="M31" i="52"/>
  <c r="J45" i="26"/>
  <c r="J4" i="41"/>
  <c r="J42" i="51"/>
  <c r="K42" i="51"/>
  <c r="L42" i="51" s="1"/>
  <c r="J4" i="51"/>
  <c r="G45" i="26"/>
  <c r="K45" i="26"/>
  <c r="G34" i="7"/>
  <c r="J34" i="7"/>
  <c r="K34" i="7"/>
  <c r="G4" i="47"/>
  <c r="G4" i="40"/>
  <c r="J35" i="24"/>
  <c r="G27" i="56" s="1"/>
  <c r="G4" i="12"/>
  <c r="G35" i="12" s="1"/>
  <c r="E41" i="56" s="1"/>
  <c r="H37" i="16"/>
  <c r="F20" i="56" s="1"/>
  <c r="M3" i="40"/>
  <c r="J42" i="35"/>
  <c r="G42" i="35"/>
  <c r="K42" i="35" s="1"/>
  <c r="L42" i="35" s="1"/>
  <c r="J4" i="35"/>
  <c r="H44" i="33"/>
  <c r="F48" i="56" s="1"/>
  <c r="J4" i="33"/>
  <c r="J44" i="33" s="1"/>
  <c r="G48" i="56" s="1"/>
  <c r="G4" i="33"/>
  <c r="J4" i="10"/>
  <c r="J35" i="10" s="1"/>
  <c r="J4" i="22"/>
  <c r="J55" i="22" s="1"/>
  <c r="G33" i="56" s="1"/>
  <c r="L35" i="7"/>
  <c r="J21" i="56" s="1"/>
  <c r="J4" i="26"/>
  <c r="J4" i="9"/>
  <c r="G4" i="7"/>
  <c r="G4" i="19"/>
  <c r="G35" i="19" s="1"/>
  <c r="E52" i="56" s="1"/>
  <c r="J4" i="19"/>
  <c r="K4" i="19"/>
  <c r="J4" i="16"/>
  <c r="G4" i="16"/>
  <c r="K4" i="16" s="1"/>
  <c r="J4" i="14"/>
  <c r="G4" i="14"/>
  <c r="K4" i="14"/>
  <c r="J4" i="7"/>
  <c r="J35" i="7" s="1"/>
  <c r="G21" i="56" s="1"/>
  <c r="J4" i="12"/>
  <c r="G4" i="11"/>
  <c r="J4" i="11"/>
  <c r="J35" i="11" s="1"/>
  <c r="G30" i="56" s="1"/>
  <c r="K4" i="11"/>
  <c r="M4" i="11" s="1"/>
  <c r="M5" i="11" s="1"/>
  <c r="G4" i="10"/>
  <c r="G35" i="10" s="1"/>
  <c r="J4" i="3"/>
  <c r="J35" i="3" s="1"/>
  <c r="G22" i="56" s="1"/>
  <c r="G4" i="3"/>
  <c r="G35" i="3" s="1"/>
  <c r="E22" i="56" s="1"/>
  <c r="G35" i="96" l="1"/>
  <c r="K4" i="96"/>
  <c r="L35" i="93"/>
  <c r="J13" i="56" s="1"/>
  <c r="M32" i="93"/>
  <c r="M33" i="93" s="1"/>
  <c r="M34" i="93" s="1"/>
  <c r="L17" i="65"/>
  <c r="K17" i="65"/>
  <c r="L18" i="65"/>
  <c r="K18" i="65"/>
  <c r="K24" i="76"/>
  <c r="L27" i="81"/>
  <c r="L43" i="81" s="1"/>
  <c r="J53" i="56" s="1"/>
  <c r="L29" i="92"/>
  <c r="K4" i="95"/>
  <c r="G35" i="94"/>
  <c r="K4" i="94"/>
  <c r="M83" i="44"/>
  <c r="M84" i="44" s="1"/>
  <c r="M85" i="44" s="1"/>
  <c r="M86" i="44" s="1"/>
  <c r="M87" i="44" s="1"/>
  <c r="M88" i="44" s="1"/>
  <c r="M89" i="44" s="1"/>
  <c r="M90" i="44" s="1"/>
  <c r="M91" i="44" s="1"/>
  <c r="M92" i="44" s="1"/>
  <c r="M93" i="44" s="1"/>
  <c r="M94" i="44" s="1"/>
  <c r="M95" i="44" s="1"/>
  <c r="M96" i="44" s="1"/>
  <c r="M97" i="44" s="1"/>
  <c r="M98" i="44" s="1"/>
  <c r="M99" i="44" s="1"/>
  <c r="M100" i="44" s="1"/>
  <c r="M101" i="44" s="1"/>
  <c r="M102" i="44" s="1"/>
  <c r="M103" i="44" s="1"/>
  <c r="M104" i="44" s="1"/>
  <c r="M105" i="44" s="1"/>
  <c r="M106" i="44" s="1"/>
  <c r="M107" i="44" s="1"/>
  <c r="M108" i="44" s="1"/>
  <c r="M109" i="44" s="1"/>
  <c r="M110" i="44" s="1"/>
  <c r="M111" i="44" s="1"/>
  <c r="M112" i="44" s="1"/>
  <c r="M113" i="44" s="1"/>
  <c r="M114" i="44" s="1"/>
  <c r="M115" i="44" s="1"/>
  <c r="M116" i="44" s="1"/>
  <c r="M117" i="44" s="1"/>
  <c r="M118" i="44" s="1"/>
  <c r="K23" i="76"/>
  <c r="M15" i="60"/>
  <c r="G35" i="93"/>
  <c r="E13" i="56" s="1"/>
  <c r="H13" i="56" s="1"/>
  <c r="K13" i="56" s="1"/>
  <c r="K4" i="93"/>
  <c r="M4" i="89"/>
  <c r="M5" i="89" s="1"/>
  <c r="M6" i="89" s="1"/>
  <c r="M7" i="89" s="1"/>
  <c r="M8" i="89" s="1"/>
  <c r="M9" i="89" s="1"/>
  <c r="M10" i="89" s="1"/>
  <c r="M11" i="89" s="1"/>
  <c r="M12" i="89" s="1"/>
  <c r="M13" i="89" s="1"/>
  <c r="M14" i="89" s="1"/>
  <c r="M15" i="89" s="1"/>
  <c r="M16" i="89" s="1"/>
  <c r="J35" i="89"/>
  <c r="G12" i="56" s="1"/>
  <c r="K4" i="88"/>
  <c r="G35" i="88"/>
  <c r="E11" i="56" s="1"/>
  <c r="H11" i="56" s="1"/>
  <c r="K11" i="56" s="1"/>
  <c r="G60" i="92"/>
  <c r="E36" i="56" s="1"/>
  <c r="H36" i="56" s="1"/>
  <c r="K4" i="92"/>
  <c r="L4" i="92" s="1"/>
  <c r="G55" i="91"/>
  <c r="E35" i="56" s="1"/>
  <c r="H35" i="56" s="1"/>
  <c r="K35" i="56" s="1"/>
  <c r="K4" i="91"/>
  <c r="J30" i="56"/>
  <c r="L35" i="89"/>
  <c r="J12" i="56" s="1"/>
  <c r="K35" i="89"/>
  <c r="G35" i="89"/>
  <c r="E12" i="56" s="1"/>
  <c r="H12" i="56" s="1"/>
  <c r="K12" i="56" s="1"/>
  <c r="M17" i="89"/>
  <c r="M18" i="89" s="1"/>
  <c r="M19" i="89" s="1"/>
  <c r="M20" i="89" s="1"/>
  <c r="M21" i="89" s="1"/>
  <c r="M22" i="89" s="1"/>
  <c r="M23" i="89" s="1"/>
  <c r="M24" i="89" s="1"/>
  <c r="M25" i="89" s="1"/>
  <c r="M26" i="89" s="1"/>
  <c r="M27" i="89" s="1"/>
  <c r="M29" i="89" s="1"/>
  <c r="M30" i="89" s="1"/>
  <c r="M31" i="89" s="1"/>
  <c r="M32" i="89" s="1"/>
  <c r="M33" i="89" s="1"/>
  <c r="M34" i="89" s="1"/>
  <c r="G38" i="87"/>
  <c r="E5" i="56" s="1"/>
  <c r="H5" i="56" s="1"/>
  <c r="K5" i="56" s="1"/>
  <c r="K4" i="87"/>
  <c r="M5" i="22"/>
  <c r="M6" i="22" s="1"/>
  <c r="M7" i="22" s="1"/>
  <c r="M8" i="22" s="1"/>
  <c r="M9" i="22" s="1"/>
  <c r="M10" i="22" s="1"/>
  <c r="M11" i="22" s="1"/>
  <c r="M12" i="22" s="1"/>
  <c r="M13" i="22" s="1"/>
  <c r="M14" i="22" s="1"/>
  <c r="M15" i="22" s="1"/>
  <c r="M16" i="22" s="1"/>
  <c r="M17" i="22" s="1"/>
  <c r="M18" i="22" s="1"/>
  <c r="M19" i="22" s="1"/>
  <c r="M20" i="22" s="1"/>
  <c r="M21" i="22" s="1"/>
  <c r="M22" i="22" s="1"/>
  <c r="M23" i="22" s="1"/>
  <c r="M24" i="22" s="1"/>
  <c r="M25" i="22" s="1"/>
  <c r="M26" i="22" s="1"/>
  <c r="M27" i="22" s="1"/>
  <c r="M28" i="22" s="1"/>
  <c r="M29" i="22" s="1"/>
  <c r="M30" i="22" s="1"/>
  <c r="M31" i="22" s="1"/>
  <c r="M32" i="22" s="1"/>
  <c r="M33" i="22" s="1"/>
  <c r="M34" i="22" s="1"/>
  <c r="M35" i="22" s="1"/>
  <c r="M36" i="22" s="1"/>
  <c r="M37" i="22" s="1"/>
  <c r="M38" i="22" s="1"/>
  <c r="M39" i="22" s="1"/>
  <c r="M40" i="22" s="1"/>
  <c r="M41" i="22" s="1"/>
  <c r="M42" i="22" s="1"/>
  <c r="M43" i="22" s="1"/>
  <c r="M44" i="22" s="1"/>
  <c r="M45" i="22" s="1"/>
  <c r="M46" i="22" s="1"/>
  <c r="M47" i="22" s="1"/>
  <c r="M48" i="22" s="1"/>
  <c r="M49" i="22" s="1"/>
  <c r="M50" i="22" s="1"/>
  <c r="M51" i="22" s="1"/>
  <c r="M52" i="22" s="1"/>
  <c r="M53" i="22" s="1"/>
  <c r="M54" i="22" s="1"/>
  <c r="K54" i="44"/>
  <c r="K53" i="44"/>
  <c r="G55" i="85"/>
  <c r="E34" i="56" s="1"/>
  <c r="H34" i="56" s="1"/>
  <c r="K34" i="56" s="1"/>
  <c r="K4" i="85"/>
  <c r="J35" i="78"/>
  <c r="G9" i="56" s="1"/>
  <c r="G35" i="83"/>
  <c r="E43" i="56" s="1"/>
  <c r="H43" i="56" s="1"/>
  <c r="K43" i="56" s="1"/>
  <c r="K4" i="83"/>
  <c r="G35" i="82"/>
  <c r="E4" i="56" s="1"/>
  <c r="H4" i="56" s="1"/>
  <c r="K4" i="56" s="1"/>
  <c r="K4" i="82"/>
  <c r="G43" i="81"/>
  <c r="E53" i="56" s="1"/>
  <c r="H53" i="56" s="1"/>
  <c r="K53" i="56" s="1"/>
  <c r="K4" i="81"/>
  <c r="G38" i="80"/>
  <c r="E28" i="56" s="1"/>
  <c r="H28" i="56" s="1"/>
  <c r="K28" i="56" s="1"/>
  <c r="K4" i="80"/>
  <c r="G35" i="79"/>
  <c r="E39" i="56" s="1"/>
  <c r="H39" i="56" s="1"/>
  <c r="K39" i="56" s="1"/>
  <c r="K4" i="79"/>
  <c r="K32" i="74"/>
  <c r="L32" i="74" s="1"/>
  <c r="K31" i="74"/>
  <c r="L31" i="74" s="1"/>
  <c r="K30" i="74"/>
  <c r="L30" i="74" s="1"/>
  <c r="K26" i="78"/>
  <c r="G35" i="78"/>
  <c r="E9" i="56" s="1"/>
  <c r="K6" i="14"/>
  <c r="J37" i="76"/>
  <c r="G40" i="56" s="1"/>
  <c r="K4" i="76"/>
  <c r="G37" i="76"/>
  <c r="E40" i="56" s="1"/>
  <c r="H40" i="56" s="1"/>
  <c r="K40" i="56" s="1"/>
  <c r="K5" i="76"/>
  <c r="J38" i="75"/>
  <c r="G38" i="56" s="1"/>
  <c r="K4" i="75"/>
  <c r="G38" i="75"/>
  <c r="E38" i="56" s="1"/>
  <c r="H38" i="56" s="1"/>
  <c r="K38" i="56" s="1"/>
  <c r="K5" i="75"/>
  <c r="K18" i="10"/>
  <c r="G35" i="74"/>
  <c r="E26" i="56" s="1"/>
  <c r="H26" i="56" s="1"/>
  <c r="K4" i="74"/>
  <c r="G35" i="73"/>
  <c r="E24" i="56" s="1"/>
  <c r="H24" i="56" s="1"/>
  <c r="K4" i="73"/>
  <c r="G35" i="72"/>
  <c r="E8" i="56" s="1"/>
  <c r="H8" i="56" s="1"/>
  <c r="K8" i="56" s="1"/>
  <c r="K4" i="72"/>
  <c r="H22" i="56"/>
  <c r="K22" i="56" s="1"/>
  <c r="M32" i="52"/>
  <c r="M33" i="52" s="1"/>
  <c r="K11" i="35"/>
  <c r="G36" i="71"/>
  <c r="E16" i="56" s="1"/>
  <c r="H16" i="56" s="1"/>
  <c r="K4" i="71"/>
  <c r="N4" i="45"/>
  <c r="N5" i="45" s="1"/>
  <c r="N6" i="45" s="1"/>
  <c r="N7" i="45" s="1"/>
  <c r="N8" i="45" s="1"/>
  <c r="N9" i="45" s="1"/>
  <c r="N10" i="45" s="1"/>
  <c r="N11" i="45" s="1"/>
  <c r="N12" i="45" s="1"/>
  <c r="N13" i="45" s="1"/>
  <c r="N14" i="45" s="1"/>
  <c r="N15" i="45" s="1"/>
  <c r="N16" i="45" s="1"/>
  <c r="N17" i="45" s="1"/>
  <c r="N18" i="45" s="1"/>
  <c r="N19" i="45" s="1"/>
  <c r="N20" i="45" s="1"/>
  <c r="N21" i="45" s="1"/>
  <c r="N22" i="45" s="1"/>
  <c r="N23" i="45" s="1"/>
  <c r="N24" i="45" s="1"/>
  <c r="N25" i="45" s="1"/>
  <c r="N26" i="45" s="1"/>
  <c r="N27" i="45" s="1"/>
  <c r="N28" i="45" s="1"/>
  <c r="N29" i="45" s="1"/>
  <c r="N30" i="45" s="1"/>
  <c r="N31" i="45" s="1"/>
  <c r="N32" i="45" s="1"/>
  <c r="N33" i="45" s="1"/>
  <c r="N34" i="45" s="1"/>
  <c r="N35" i="45" s="1"/>
  <c r="N36" i="45" s="1"/>
  <c r="N37" i="45" s="1"/>
  <c r="N38" i="45" s="1"/>
  <c r="N39" i="45" s="1"/>
  <c r="K4" i="69"/>
  <c r="D49" i="56"/>
  <c r="G35" i="68"/>
  <c r="E23" i="56" s="1"/>
  <c r="K4" i="44"/>
  <c r="M4" i="44" s="1"/>
  <c r="K5" i="44"/>
  <c r="M6" i="11"/>
  <c r="G48" i="65"/>
  <c r="E17" i="56" s="1"/>
  <c r="H17" i="56" s="1"/>
  <c r="K48" i="65"/>
  <c r="J37" i="16"/>
  <c r="G20" i="56" s="1"/>
  <c r="L46" i="26"/>
  <c r="G35" i="63"/>
  <c r="E25" i="56" s="1"/>
  <c r="H25" i="56" s="1"/>
  <c r="K4" i="63"/>
  <c r="M7" i="11"/>
  <c r="M8" i="11" s="1"/>
  <c r="G37" i="62"/>
  <c r="E18" i="56" s="1"/>
  <c r="H18" i="56" s="1"/>
  <c r="K18" i="56" s="1"/>
  <c r="K4" i="62"/>
  <c r="G35" i="60"/>
  <c r="E44" i="56" s="1"/>
  <c r="H44" i="56" s="1"/>
  <c r="K4" i="60"/>
  <c r="J43" i="51"/>
  <c r="G51" i="56" s="1"/>
  <c r="J20" i="56"/>
  <c r="K4" i="12"/>
  <c r="K35" i="12" s="1"/>
  <c r="J35" i="12"/>
  <c r="G41" i="56" s="1"/>
  <c r="H41" i="56"/>
  <c r="K41" i="56" s="1"/>
  <c r="G44" i="33"/>
  <c r="E48" i="56" s="1"/>
  <c r="H48" i="56" s="1"/>
  <c r="J35" i="9"/>
  <c r="G47" i="56" s="1"/>
  <c r="J46" i="26"/>
  <c r="G46" i="56" s="1"/>
  <c r="G55" i="22"/>
  <c r="E33" i="56" s="1"/>
  <c r="H33" i="56" s="1"/>
  <c r="K4" i="40"/>
  <c r="L4" i="40" s="1"/>
  <c r="G35" i="40"/>
  <c r="E31" i="56" s="1"/>
  <c r="H31" i="56" s="1"/>
  <c r="L35" i="40"/>
  <c r="J31" i="56" s="1"/>
  <c r="K35" i="40"/>
  <c r="J35" i="52"/>
  <c r="G19" i="56" s="1"/>
  <c r="K35" i="52"/>
  <c r="H19" i="56" s="1"/>
  <c r="K19" i="56" s="1"/>
  <c r="G35" i="52"/>
  <c r="J42" i="41"/>
  <c r="G42" i="56" s="1"/>
  <c r="G35" i="11"/>
  <c r="E30" i="56" s="1"/>
  <c r="G43" i="35"/>
  <c r="E50" i="56" s="1"/>
  <c r="G43" i="51"/>
  <c r="E51" i="56" s="1"/>
  <c r="H51" i="56" s="1"/>
  <c r="J46" i="56"/>
  <c r="G46" i="26"/>
  <c r="E46" i="56" s="1"/>
  <c r="J35" i="19"/>
  <c r="G52" i="56" s="1"/>
  <c r="H52" i="56" s="1"/>
  <c r="H46" i="56"/>
  <c r="J43" i="35"/>
  <c r="G50" i="56" s="1"/>
  <c r="H50" i="56" s="1"/>
  <c r="G35" i="9"/>
  <c r="E47" i="56" s="1"/>
  <c r="G42" i="41"/>
  <c r="E42" i="56" s="1"/>
  <c r="H42" i="56" s="1"/>
  <c r="G35" i="58"/>
  <c r="E15" i="56" s="1"/>
  <c r="H15" i="56" s="1"/>
  <c r="K4" i="58"/>
  <c r="G35" i="57"/>
  <c r="E45" i="56" s="1"/>
  <c r="H45" i="56" s="1"/>
  <c r="K4" i="57"/>
  <c r="L4" i="57" s="1"/>
  <c r="L35" i="57" s="1"/>
  <c r="J45" i="56" s="1"/>
  <c r="H30" i="56"/>
  <c r="K30" i="56" s="1"/>
  <c r="G35" i="7"/>
  <c r="E21" i="56" s="1"/>
  <c r="J35" i="47"/>
  <c r="G3" i="56" s="1"/>
  <c r="G29" i="56"/>
  <c r="J39" i="14"/>
  <c r="G37" i="56" s="1"/>
  <c r="G39" i="14"/>
  <c r="E37" i="56" s="1"/>
  <c r="H37" i="56" s="1"/>
  <c r="K37" i="56" s="1"/>
  <c r="G35" i="47"/>
  <c r="E3" i="56" s="1"/>
  <c r="K35" i="19"/>
  <c r="H23" i="56"/>
  <c r="J38" i="50"/>
  <c r="G2" i="56" s="1"/>
  <c r="G38" i="50"/>
  <c r="E2" i="56" s="1"/>
  <c r="G36" i="25"/>
  <c r="E32" i="56" s="1"/>
  <c r="J36" i="25"/>
  <c r="G32" i="56" s="1"/>
  <c r="H32" i="56" s="1"/>
  <c r="K35" i="11"/>
  <c r="E29" i="56"/>
  <c r="G35" i="24"/>
  <c r="E27" i="56" s="1"/>
  <c r="K4" i="41"/>
  <c r="K39" i="14"/>
  <c r="K4" i="22"/>
  <c r="P54" i="22" s="1"/>
  <c r="K4" i="51"/>
  <c r="K43" i="51" s="1"/>
  <c r="K4" i="24"/>
  <c r="M4" i="24" s="1"/>
  <c r="K38" i="50"/>
  <c r="K4" i="47"/>
  <c r="K35" i="47" s="1"/>
  <c r="M4" i="47"/>
  <c r="O4" i="47" s="1"/>
  <c r="G37" i="16"/>
  <c r="M5" i="47"/>
  <c r="M6" i="47" s="1"/>
  <c r="M7" i="47" s="1"/>
  <c r="M8" i="47" s="1"/>
  <c r="M9" i="47" s="1"/>
  <c r="M10" i="47" s="1"/>
  <c r="M11" i="47" s="1"/>
  <c r="M12" i="47" s="1"/>
  <c r="M13" i="47" s="1"/>
  <c r="M14" i="47" s="1"/>
  <c r="M15" i="47" s="1"/>
  <c r="M16" i="47" s="1"/>
  <c r="M17" i="47" s="1"/>
  <c r="M18" i="47" s="1"/>
  <c r="M19" i="47" s="1"/>
  <c r="M20" i="47" s="1"/>
  <c r="M21" i="47" s="1"/>
  <c r="M22" i="47" s="1"/>
  <c r="M23" i="47" s="1"/>
  <c r="M24" i="47" s="1"/>
  <c r="M25" i="47" s="1"/>
  <c r="M26" i="47" s="1"/>
  <c r="M27" i="47" s="1"/>
  <c r="M28" i="47" s="1"/>
  <c r="M29" i="47" s="1"/>
  <c r="M30" i="47" s="1"/>
  <c r="M31" i="47" s="1"/>
  <c r="M32" i="47" s="1"/>
  <c r="M33" i="47" s="1"/>
  <c r="M34" i="47" s="1"/>
  <c r="M4" i="12"/>
  <c r="M5" i="12" s="1"/>
  <c r="K4" i="35"/>
  <c r="M4" i="35" s="1"/>
  <c r="M5" i="35" s="1"/>
  <c r="M6" i="35" s="1"/>
  <c r="M7" i="35" s="1"/>
  <c r="M8" i="35" s="1"/>
  <c r="M9" i="35" s="1"/>
  <c r="M10" i="35" s="1"/>
  <c r="M11" i="35" s="1"/>
  <c r="M12" i="35" s="1"/>
  <c r="M13" i="35" s="1"/>
  <c r="M14" i="35" s="1"/>
  <c r="M15" i="35" s="1"/>
  <c r="M16" i="35" s="1"/>
  <c r="M17" i="35" s="1"/>
  <c r="M18" i="35" s="1"/>
  <c r="K4" i="33"/>
  <c r="L4" i="19"/>
  <c r="L35" i="19" s="1"/>
  <c r="J52" i="56" s="1"/>
  <c r="K4" i="7"/>
  <c r="K35" i="7" s="1"/>
  <c r="M4" i="14"/>
  <c r="M5" i="14" s="1"/>
  <c r="M6" i="14" s="1"/>
  <c r="M7" i="14" s="1"/>
  <c r="M8" i="14" s="1"/>
  <c r="M9" i="14" s="1"/>
  <c r="M10" i="14" s="1"/>
  <c r="K4" i="9"/>
  <c r="K4" i="10"/>
  <c r="K35" i="10" s="1"/>
  <c r="K4" i="26"/>
  <c r="M5" i="26" s="1"/>
  <c r="M11" i="14"/>
  <c r="M12" i="14" s="1"/>
  <c r="M13" i="14" s="1"/>
  <c r="M14" i="14" s="1"/>
  <c r="M15" i="14" s="1"/>
  <c r="M6" i="12"/>
  <c r="M7" i="12" s="1"/>
  <c r="M8" i="12" s="1"/>
  <c r="M9" i="12" s="1"/>
  <c r="M10" i="12" s="1"/>
  <c r="M11" i="12" s="1"/>
  <c r="M12" i="12" s="1"/>
  <c r="M13" i="12" s="1"/>
  <c r="M14" i="12" s="1"/>
  <c r="M15" i="12" s="1"/>
  <c r="K4" i="25"/>
  <c r="K4" i="3"/>
  <c r="H27" i="56" l="1"/>
  <c r="E54" i="56"/>
  <c r="K35" i="96"/>
  <c r="M4" i="96"/>
  <c r="M5" i="96" s="1"/>
  <c r="M6" i="96" s="1"/>
  <c r="M7" i="96" s="1"/>
  <c r="M8" i="96" s="1"/>
  <c r="M9" i="96" s="1"/>
  <c r="M10" i="96" s="1"/>
  <c r="M11" i="96" s="1"/>
  <c r="M12" i="96" s="1"/>
  <c r="M13" i="96" s="1"/>
  <c r="M14" i="96" s="1"/>
  <c r="M15" i="96" s="1"/>
  <c r="M16" i="96" s="1"/>
  <c r="M17" i="96" s="1"/>
  <c r="M18" i="96" s="1"/>
  <c r="M19" i="96" s="1"/>
  <c r="M20" i="96" s="1"/>
  <c r="M21" i="96" s="1"/>
  <c r="M22" i="96" s="1"/>
  <c r="M23" i="96" s="1"/>
  <c r="L48" i="65"/>
  <c r="J17" i="56" s="1"/>
  <c r="K17" i="56" s="1"/>
  <c r="K46" i="95"/>
  <c r="M4" i="95"/>
  <c r="M5" i="95" s="1"/>
  <c r="M6" i="95" s="1"/>
  <c r="M7" i="95" s="1"/>
  <c r="M8" i="95" s="1"/>
  <c r="M9" i="95" s="1"/>
  <c r="M10" i="95" s="1"/>
  <c r="M11" i="95" s="1"/>
  <c r="M12" i="95" s="1"/>
  <c r="M13" i="95" s="1"/>
  <c r="M14" i="95" s="1"/>
  <c r="M15" i="95" s="1"/>
  <c r="M16" i="95" s="1"/>
  <c r="M17" i="95" s="1"/>
  <c r="M18" i="95" s="1"/>
  <c r="M19" i="95" s="1"/>
  <c r="M20" i="95" s="1"/>
  <c r="M21" i="95" s="1"/>
  <c r="M22" i="95" s="1"/>
  <c r="M23" i="95" s="1"/>
  <c r="M24" i="95" s="1"/>
  <c r="M25" i="95" s="1"/>
  <c r="M26" i="95" s="1"/>
  <c r="K35" i="94"/>
  <c r="M4" i="94"/>
  <c r="M5" i="94" s="1"/>
  <c r="M6" i="94" s="1"/>
  <c r="M7" i="94" s="1"/>
  <c r="M8" i="94" s="1"/>
  <c r="M9" i="94" s="1"/>
  <c r="M10" i="94" s="1"/>
  <c r="M11" i="94" s="1"/>
  <c r="M12" i="94" s="1"/>
  <c r="M13" i="94" s="1"/>
  <c r="M14" i="94" s="1"/>
  <c r="M15" i="94" s="1"/>
  <c r="M16" i="94" s="1"/>
  <c r="M17" i="94" s="1"/>
  <c r="M18" i="94" s="1"/>
  <c r="M19" i="94" s="1"/>
  <c r="M20" i="94" s="1"/>
  <c r="M21" i="94" s="1"/>
  <c r="M22" i="94" s="1"/>
  <c r="M23" i="94" s="1"/>
  <c r="M24" i="94" s="1"/>
  <c r="M25" i="94" s="1"/>
  <c r="M26" i="94" s="1"/>
  <c r="M27" i="94" s="1"/>
  <c r="M28" i="94" s="1"/>
  <c r="M29" i="94" s="1"/>
  <c r="M30" i="94" s="1"/>
  <c r="M31" i="94" s="1"/>
  <c r="M32" i="94" s="1"/>
  <c r="M33" i="94" s="1"/>
  <c r="M34" i="94" s="1"/>
  <c r="K35" i="93"/>
  <c r="M4" i="93"/>
  <c r="M5" i="93" s="1"/>
  <c r="M6" i="93" s="1"/>
  <c r="M7" i="93" s="1"/>
  <c r="M8" i="93" s="1"/>
  <c r="M9" i="93" s="1"/>
  <c r="M10" i="93" s="1"/>
  <c r="M11" i="93" s="1"/>
  <c r="M12" i="93" s="1"/>
  <c r="M13" i="93" s="1"/>
  <c r="M14" i="93" s="1"/>
  <c r="M15" i="93" s="1"/>
  <c r="M16" i="93" s="1"/>
  <c r="M17" i="93" s="1"/>
  <c r="M18" i="93" s="1"/>
  <c r="M19" i="93" s="1"/>
  <c r="M20" i="93" s="1"/>
  <c r="M21" i="93" s="1"/>
  <c r="M22" i="93" s="1"/>
  <c r="M23" i="93" s="1"/>
  <c r="M24" i="93" s="1"/>
  <c r="M25" i="93" s="1"/>
  <c r="L60" i="92"/>
  <c r="J36" i="56" s="1"/>
  <c r="K36" i="56" s="1"/>
  <c r="K35" i="88"/>
  <c r="M4" i="88"/>
  <c r="M5" i="88" s="1"/>
  <c r="M6" i="88" s="1"/>
  <c r="M7" i="88" s="1"/>
  <c r="M8" i="88" s="1"/>
  <c r="M9" i="88" s="1"/>
  <c r="M10" i="88" s="1"/>
  <c r="M11" i="88" s="1"/>
  <c r="M12" i="88" s="1"/>
  <c r="M13" i="88" s="1"/>
  <c r="M14" i="88" s="1"/>
  <c r="M15" i="88" s="1"/>
  <c r="M16" i="88" s="1"/>
  <c r="M17" i="88" s="1"/>
  <c r="M18" i="88" s="1"/>
  <c r="M19" i="88" s="1"/>
  <c r="M20" i="88" s="1"/>
  <c r="M21" i="88" s="1"/>
  <c r="M22" i="88" s="1"/>
  <c r="M23" i="88" s="1"/>
  <c r="M24" i="88" s="1"/>
  <c r="M25" i="88" s="1"/>
  <c r="K60" i="92"/>
  <c r="M4" i="92"/>
  <c r="M5" i="92" s="1"/>
  <c r="M6" i="92" s="1"/>
  <c r="M7" i="92" s="1"/>
  <c r="M8" i="92" s="1"/>
  <c r="M9" i="92" s="1"/>
  <c r="M10" i="92" s="1"/>
  <c r="M11" i="92" s="1"/>
  <c r="M12" i="92" s="1"/>
  <c r="M13" i="92" s="1"/>
  <c r="M14" i="92" s="1"/>
  <c r="M15" i="92" s="1"/>
  <c r="M16" i="92" s="1"/>
  <c r="M17" i="92" s="1"/>
  <c r="M18" i="92" s="1"/>
  <c r="M19" i="92" s="1"/>
  <c r="M20" i="92" s="1"/>
  <c r="K55" i="91"/>
  <c r="M4" i="91"/>
  <c r="M5" i="91" s="1"/>
  <c r="M6" i="91" s="1"/>
  <c r="M7" i="91" s="1"/>
  <c r="M8" i="91" s="1"/>
  <c r="M9" i="91" s="1"/>
  <c r="M10" i="91" s="1"/>
  <c r="M11" i="91" s="1"/>
  <c r="M12" i="91" s="1"/>
  <c r="M13" i="91" s="1"/>
  <c r="M14" i="91" s="1"/>
  <c r="M15" i="91" s="1"/>
  <c r="M16" i="91" s="1"/>
  <c r="M17" i="91" s="1"/>
  <c r="M18" i="91" s="1"/>
  <c r="M19" i="91" s="1"/>
  <c r="M20" i="91" s="1"/>
  <c r="M21" i="91" s="1"/>
  <c r="M22" i="91" s="1"/>
  <c r="M23" i="91" s="1"/>
  <c r="M24" i="91" s="1"/>
  <c r="M25" i="91" s="1"/>
  <c r="M26" i="91" s="1"/>
  <c r="M27" i="91" s="1"/>
  <c r="M28" i="91" s="1"/>
  <c r="M29" i="91" s="1"/>
  <c r="M30" i="91" s="1"/>
  <c r="M31" i="91" s="1"/>
  <c r="M32" i="91" s="1"/>
  <c r="M33" i="91" s="1"/>
  <c r="M34" i="91" s="1"/>
  <c r="M35" i="91" s="1"/>
  <c r="M36" i="91" s="1"/>
  <c r="M37" i="91" s="1"/>
  <c r="M38" i="91" s="1"/>
  <c r="M39" i="91" s="1"/>
  <c r="M40" i="91" s="1"/>
  <c r="M41" i="91" s="1"/>
  <c r="M42" i="91" s="1"/>
  <c r="M43" i="91" s="1"/>
  <c r="M44" i="91" s="1"/>
  <c r="M45" i="91" s="1"/>
  <c r="M46" i="91" s="1"/>
  <c r="M47" i="91" s="1"/>
  <c r="M48" i="91" s="1"/>
  <c r="M49" i="91" s="1"/>
  <c r="M50" i="91" s="1"/>
  <c r="M51" i="91" s="1"/>
  <c r="M52" i="91" s="1"/>
  <c r="M53" i="91" s="1"/>
  <c r="M54" i="91" s="1"/>
  <c r="H9" i="56"/>
  <c r="K9" i="56" s="1"/>
  <c r="K38" i="87"/>
  <c r="M4" i="87"/>
  <c r="M5" i="87" s="1"/>
  <c r="M6" i="87" s="1"/>
  <c r="M7" i="87" s="1"/>
  <c r="M8" i="87" s="1"/>
  <c r="M9" i="87" s="1"/>
  <c r="K45" i="56"/>
  <c r="M9" i="1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K55" i="85"/>
  <c r="M4" i="85"/>
  <c r="K35" i="83"/>
  <c r="M4" i="83"/>
  <c r="M5" i="83" s="1"/>
  <c r="M6" i="83" s="1"/>
  <c r="M7" i="83" s="1"/>
  <c r="M8" i="83" s="1"/>
  <c r="M9" i="83" s="1"/>
  <c r="M10" i="83" s="1"/>
  <c r="M11" i="83" s="1"/>
  <c r="M12" i="83" s="1"/>
  <c r="M13" i="83" s="1"/>
  <c r="M14" i="83" s="1"/>
  <c r="M15" i="83" s="1"/>
  <c r="M16" i="83" s="1"/>
  <c r="M17" i="83" s="1"/>
  <c r="M18" i="83" s="1"/>
  <c r="M19" i="83" s="1"/>
  <c r="M20" i="83" s="1"/>
  <c r="M21" i="83" s="1"/>
  <c r="M22" i="83" s="1"/>
  <c r="M23" i="83" s="1"/>
  <c r="M24" i="83" s="1"/>
  <c r="M25" i="83" s="1"/>
  <c r="M26" i="83" s="1"/>
  <c r="M27" i="83" s="1"/>
  <c r="M28" i="83" s="1"/>
  <c r="M29" i="83" s="1"/>
  <c r="M30" i="83" s="1"/>
  <c r="M31" i="83" s="1"/>
  <c r="M32" i="83" s="1"/>
  <c r="M33" i="83" s="1"/>
  <c r="M34" i="83" s="1"/>
  <c r="K35" i="82"/>
  <c r="M4" i="82"/>
  <c r="G54" i="56"/>
  <c r="H2" i="56"/>
  <c r="K43" i="81"/>
  <c r="M4" i="81"/>
  <c r="M5" i="81" s="1"/>
  <c r="M6" i="81" s="1"/>
  <c r="M7" i="81" s="1"/>
  <c r="M8" i="81" s="1"/>
  <c r="M9" i="81" s="1"/>
  <c r="M5" i="44"/>
  <c r="M6" i="44" s="1"/>
  <c r="M7" i="44" s="1"/>
  <c r="K38" i="80"/>
  <c r="M4" i="80"/>
  <c r="M5" i="80" s="1"/>
  <c r="M6" i="80" s="1"/>
  <c r="M7" i="80" s="1"/>
  <c r="M8" i="80" s="1"/>
  <c r="M9" i="80" s="1"/>
  <c r="M10" i="80" s="1"/>
  <c r="M12" i="80" s="1"/>
  <c r="M13" i="80" s="1"/>
  <c r="M14" i="80" s="1"/>
  <c r="M15" i="80" s="1"/>
  <c r="K35" i="79"/>
  <c r="M4" i="79"/>
  <c r="M5" i="79" s="1"/>
  <c r="M6" i="79" s="1"/>
  <c r="M7" i="79" s="1"/>
  <c r="M8" i="79" s="1"/>
  <c r="M9" i="79" s="1"/>
  <c r="M10" i="79" s="1"/>
  <c r="M11" i="79" s="1"/>
  <c r="K35" i="78"/>
  <c r="M26" i="78"/>
  <c r="M27" i="78" s="1"/>
  <c r="M28" i="78" s="1"/>
  <c r="M29" i="78" s="1"/>
  <c r="M30" i="78" s="1"/>
  <c r="M31" i="78" s="1"/>
  <c r="M32" i="78" s="1"/>
  <c r="M33" i="78" s="1"/>
  <c r="M34" i="78" s="1"/>
  <c r="K37" i="76"/>
  <c r="M4" i="76"/>
  <c r="M5" i="76" s="1"/>
  <c r="M6" i="76" s="1"/>
  <c r="M7" i="76" s="1"/>
  <c r="M8" i="76" s="1"/>
  <c r="M9" i="76" s="1"/>
  <c r="M10" i="76" s="1"/>
  <c r="M11" i="76" s="1"/>
  <c r="M12" i="76" s="1"/>
  <c r="M13" i="76" s="1"/>
  <c r="M14" i="76" s="1"/>
  <c r="M15" i="76" s="1"/>
  <c r="M16" i="76" s="1"/>
  <c r="M17" i="76" s="1"/>
  <c r="M18" i="76" s="1"/>
  <c r="M19" i="76" s="1"/>
  <c r="M20" i="76" s="1"/>
  <c r="M21" i="76" s="1"/>
  <c r="M22" i="76" s="1"/>
  <c r="M23" i="76" s="1"/>
  <c r="M24" i="76" s="1"/>
  <c r="M25" i="76" s="1"/>
  <c r="M26" i="76" s="1"/>
  <c r="M27" i="76" s="1"/>
  <c r="M28" i="76" s="1"/>
  <c r="M29" i="76" s="1"/>
  <c r="M30" i="76" s="1"/>
  <c r="M31" i="76" s="1"/>
  <c r="M32" i="76" s="1"/>
  <c r="M33" i="76" s="1"/>
  <c r="M34" i="76" s="1"/>
  <c r="M35" i="76" s="1"/>
  <c r="M36" i="76" s="1"/>
  <c r="K38" i="75"/>
  <c r="M4" i="75"/>
  <c r="M5" i="75" s="1"/>
  <c r="M6" i="75" s="1"/>
  <c r="M7" i="75" s="1"/>
  <c r="M8" i="75" s="1"/>
  <c r="M9" i="75" s="1"/>
  <c r="M10" i="75" s="1"/>
  <c r="M11" i="75" s="1"/>
  <c r="M12" i="75" s="1"/>
  <c r="M13" i="75" s="1"/>
  <c r="M14" i="75" s="1"/>
  <c r="M15" i="75" s="1"/>
  <c r="M16" i="75" s="1"/>
  <c r="M17" i="75" s="1"/>
  <c r="M18" i="75" s="1"/>
  <c r="M19" i="75" s="1"/>
  <c r="M20" i="75" s="1"/>
  <c r="M21" i="75" s="1"/>
  <c r="M22" i="75" s="1"/>
  <c r="M23" i="75" s="1"/>
  <c r="M24" i="75" s="1"/>
  <c r="M25" i="75" s="1"/>
  <c r="M26" i="75" s="1"/>
  <c r="M27" i="75" s="1"/>
  <c r="M28" i="75" s="1"/>
  <c r="M29" i="75" s="1"/>
  <c r="M30" i="75" s="1"/>
  <c r="M31" i="75" s="1"/>
  <c r="M32" i="75" s="1"/>
  <c r="M33" i="75" s="1"/>
  <c r="M34" i="75" s="1"/>
  <c r="M35" i="75" s="1"/>
  <c r="M36" i="75" s="1"/>
  <c r="M37" i="75" s="1"/>
  <c r="K35" i="74"/>
  <c r="L4" i="74"/>
  <c r="L35" i="74" s="1"/>
  <c r="J26" i="56" s="1"/>
  <c r="K26" i="56" s="1"/>
  <c r="M4" i="74"/>
  <c r="M5" i="74" s="1"/>
  <c r="M6" i="74" s="1"/>
  <c r="M7" i="74" s="1"/>
  <c r="M8" i="74" s="1"/>
  <c r="M9" i="74" s="1"/>
  <c r="M10" i="74" s="1"/>
  <c r="M11" i="74" s="1"/>
  <c r="M12" i="74" s="1"/>
  <c r="M13" i="74" s="1"/>
  <c r="M14" i="74" s="1"/>
  <c r="M15" i="74" s="1"/>
  <c r="M16" i="74" s="1"/>
  <c r="M17" i="74" s="1"/>
  <c r="M18" i="74" s="1"/>
  <c r="M19" i="74" s="1"/>
  <c r="M20" i="74" s="1"/>
  <c r="M21" i="74" s="1"/>
  <c r="M22" i="74" s="1"/>
  <c r="M23" i="74" s="1"/>
  <c r="M24" i="74" s="1"/>
  <c r="M25" i="74" s="1"/>
  <c r="M26" i="74" s="1"/>
  <c r="M27" i="74" s="1"/>
  <c r="K35" i="73"/>
  <c r="L4" i="73"/>
  <c r="L35" i="73" s="1"/>
  <c r="J24" i="56" s="1"/>
  <c r="M4" i="73"/>
  <c r="M5" i="73" s="1"/>
  <c r="M6" i="73" s="1"/>
  <c r="M7" i="73" s="1"/>
  <c r="M8" i="73" s="1"/>
  <c r="M9" i="73" s="1"/>
  <c r="M10" i="73" s="1"/>
  <c r="M11" i="73" s="1"/>
  <c r="M12" i="73" s="1"/>
  <c r="M13" i="73" s="1"/>
  <c r="M14" i="73" s="1"/>
  <c r="M15" i="73" s="1"/>
  <c r="M16" i="73" s="1"/>
  <c r="M17" i="73" s="1"/>
  <c r="M18" i="73" s="1"/>
  <c r="M19" i="73" s="1"/>
  <c r="M20" i="73" s="1"/>
  <c r="M21" i="73" s="1"/>
  <c r="M22" i="73" s="1"/>
  <c r="M23" i="73" s="1"/>
  <c r="M24" i="73" s="1"/>
  <c r="M25" i="73" s="1"/>
  <c r="M26" i="73" s="1"/>
  <c r="M27" i="73" s="1"/>
  <c r="K35" i="72"/>
  <c r="M4" i="72"/>
  <c r="M5" i="72" s="1"/>
  <c r="M6" i="72" s="1"/>
  <c r="M7" i="72" s="1"/>
  <c r="M8" i="72" s="1"/>
  <c r="M9" i="72" s="1"/>
  <c r="M10" i="72" s="1"/>
  <c r="M11" i="72" s="1"/>
  <c r="M12" i="72" s="1"/>
  <c r="M13" i="72" s="1"/>
  <c r="M14" i="72" s="1"/>
  <c r="M15" i="72" s="1"/>
  <c r="M16" i="72" s="1"/>
  <c r="M17" i="72" s="1"/>
  <c r="M18" i="72" s="1"/>
  <c r="M19" i="72" s="1"/>
  <c r="M20" i="72" s="1"/>
  <c r="M21" i="72" s="1"/>
  <c r="M22" i="72" s="1"/>
  <c r="M23" i="72" s="1"/>
  <c r="M24" i="72" s="1"/>
  <c r="M25" i="72" s="1"/>
  <c r="M26" i="72" s="1"/>
  <c r="M27" i="72" s="1"/>
  <c r="M28" i="72" s="1"/>
  <c r="M29" i="72" s="1"/>
  <c r="M30" i="72" s="1"/>
  <c r="M31" i="72" s="1"/>
  <c r="M32" i="72" s="1"/>
  <c r="M33" i="72" s="1"/>
  <c r="M5" i="24"/>
  <c r="M6" i="24" s="1"/>
  <c r="M7" i="24" s="1"/>
  <c r="M8" i="24" s="1"/>
  <c r="M9" i="24" s="1"/>
  <c r="M10" i="24" s="1"/>
  <c r="M11" i="24" s="1"/>
  <c r="M12" i="24" s="1"/>
  <c r="K35" i="24"/>
  <c r="H3" i="56"/>
  <c r="K3" i="56" s="1"/>
  <c r="K36" i="71"/>
  <c r="L4" i="71"/>
  <c r="L36" i="71" s="1"/>
  <c r="J16" i="56" s="1"/>
  <c r="K16" i="56" s="1"/>
  <c r="G49" i="69"/>
  <c r="E49" i="56" s="1"/>
  <c r="K49" i="69"/>
  <c r="H49" i="56" s="1"/>
  <c r="M4" i="69"/>
  <c r="M5" i="69" s="1"/>
  <c r="M6" i="69" s="1"/>
  <c r="M7" i="69" s="1"/>
  <c r="M8" i="69" s="1"/>
  <c r="M9" i="69" s="1"/>
  <c r="K35" i="68"/>
  <c r="L35" i="68"/>
  <c r="J23" i="56" s="1"/>
  <c r="M4" i="68"/>
  <c r="M5" i="68" s="1"/>
  <c r="M6" i="68" s="1"/>
  <c r="M7" i="68" s="1"/>
  <c r="M8" i="68" s="1"/>
  <c r="M9" i="68" s="1"/>
  <c r="K36" i="25"/>
  <c r="H47" i="56"/>
  <c r="K47" i="56" s="1"/>
  <c r="H21" i="56"/>
  <c r="M4" i="3"/>
  <c r="M5" i="3" s="1"/>
  <c r="M6" i="3" s="1"/>
  <c r="M7" i="3" s="1"/>
  <c r="M8" i="3" s="1"/>
  <c r="M9" i="3" s="1"/>
  <c r="M10" i="3" s="1"/>
  <c r="M11" i="3" s="1"/>
  <c r="M12" i="3" s="1"/>
  <c r="M13" i="3" s="1"/>
  <c r="M14" i="3" s="1"/>
  <c r="K35" i="3"/>
  <c r="M20" i="1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4" i="65"/>
  <c r="M5" i="65" s="1"/>
  <c r="M6" i="65" s="1"/>
  <c r="E20" i="56"/>
  <c r="H20" i="56" s="1"/>
  <c r="K20" i="56" s="1"/>
  <c r="K35" i="63"/>
  <c r="L35" i="63"/>
  <c r="J25" i="56" s="1"/>
  <c r="M4" i="63"/>
  <c r="M5" i="63" s="1"/>
  <c r="M6" i="63" s="1"/>
  <c r="M7" i="63" s="1"/>
  <c r="M8" i="63" s="1"/>
  <c r="M9" i="63" s="1"/>
  <c r="M10" i="63" s="1"/>
  <c r="M11" i="63" s="1"/>
  <c r="M12" i="63" s="1"/>
  <c r="M13" i="63" s="1"/>
  <c r="M14" i="63" s="1"/>
  <c r="M15" i="63" s="1"/>
  <c r="M16" i="63" s="1"/>
  <c r="M17" i="63" s="1"/>
  <c r="M18" i="63" s="1"/>
  <c r="M19" i="63" s="1"/>
  <c r="M20" i="63" s="1"/>
  <c r="M21" i="63" s="1"/>
  <c r="M22" i="63" s="1"/>
  <c r="M23" i="63" s="1"/>
  <c r="M24" i="63" s="1"/>
  <c r="M25" i="63" s="1"/>
  <c r="M26" i="63" s="1"/>
  <c r="M27" i="63" s="1"/>
  <c r="M28" i="63" s="1"/>
  <c r="M29" i="63" s="1"/>
  <c r="M30" i="63" s="1"/>
  <c r="M31" i="63" s="1"/>
  <c r="M32" i="63" s="1"/>
  <c r="M33" i="63" s="1"/>
  <c r="M34" i="63" s="1"/>
  <c r="K37" i="62"/>
  <c r="M4" i="62"/>
  <c r="M5" i="62" s="1"/>
  <c r="M6" i="62" s="1"/>
  <c r="M7" i="62" s="1"/>
  <c r="M8" i="62" s="1"/>
  <c r="M9" i="62" s="1"/>
  <c r="M10" i="62" s="1"/>
  <c r="M11" i="62" s="1"/>
  <c r="M12" i="62" s="1"/>
  <c r="M13" i="62" s="1"/>
  <c r="M14" i="62" s="1"/>
  <c r="M15" i="62" s="1"/>
  <c r="M16" i="62" s="1"/>
  <c r="M17" i="62" s="1"/>
  <c r="M18" i="62" s="1"/>
  <c r="M19" i="62" s="1"/>
  <c r="M20" i="62" s="1"/>
  <c r="M21" i="62" s="1"/>
  <c r="M22" i="62" s="1"/>
  <c r="M23" i="62" s="1"/>
  <c r="M24" i="62" s="1"/>
  <c r="M25" i="62" s="1"/>
  <c r="M26" i="62" s="1"/>
  <c r="M27" i="62" s="1"/>
  <c r="M28" i="62" s="1"/>
  <c r="M29" i="62" s="1"/>
  <c r="M30" i="62" s="1"/>
  <c r="M31" i="62" s="1"/>
  <c r="M32" i="62" s="1"/>
  <c r="M33" i="62" s="1"/>
  <c r="M34" i="62" s="1"/>
  <c r="M35" i="62" s="1"/>
  <c r="M36" i="62" s="1"/>
  <c r="L43" i="51"/>
  <c r="M4" i="51"/>
  <c r="M5" i="51" s="1"/>
  <c r="M6" i="51" s="1"/>
  <c r="K46" i="56"/>
  <c r="K42" i="56"/>
  <c r="K35" i="60"/>
  <c r="K46" i="26"/>
  <c r="M4" i="10"/>
  <c r="K44" i="33"/>
  <c r="K35" i="9"/>
  <c r="M4" i="9"/>
  <c r="M16" i="14"/>
  <c r="M17" i="14" s="1"/>
  <c r="M18" i="14" s="1"/>
  <c r="M19" i="14" s="1"/>
  <c r="M20" i="14" s="1"/>
  <c r="M21" i="14" s="1"/>
  <c r="M22" i="14" s="1"/>
  <c r="M23" i="14" s="1"/>
  <c r="M24" i="14" s="1"/>
  <c r="M25" i="14" s="1"/>
  <c r="M26" i="14" s="1"/>
  <c r="M27" i="14" s="1"/>
  <c r="E19" i="56"/>
  <c r="M16" i="12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K31" i="56"/>
  <c r="H29" i="56"/>
  <c r="M4" i="41"/>
  <c r="M5" i="41" s="1"/>
  <c r="M6" i="41" s="1"/>
  <c r="M7" i="41" s="1"/>
  <c r="M8" i="41" s="1"/>
  <c r="M9" i="41" s="1"/>
  <c r="M10" i="41" s="1"/>
  <c r="M11" i="41" s="1"/>
  <c r="M12" i="41" s="1"/>
  <c r="M13" i="41" s="1"/>
  <c r="M14" i="41" s="1"/>
  <c r="M15" i="41" s="1"/>
  <c r="M16" i="41" s="1"/>
  <c r="M17" i="41" s="1"/>
  <c r="M18" i="41" s="1"/>
  <c r="M19" i="41" s="1"/>
  <c r="M20" i="41" s="1"/>
  <c r="M21" i="41" s="1"/>
  <c r="M22" i="41" s="1"/>
  <c r="M23" i="41" s="1"/>
  <c r="M24" i="41" s="1"/>
  <c r="M25" i="41" s="1"/>
  <c r="K42" i="41"/>
  <c r="M4" i="16"/>
  <c r="K37" i="16"/>
  <c r="K52" i="56"/>
  <c r="K35" i="58"/>
  <c r="L4" i="58"/>
  <c r="L35" i="58" s="1"/>
  <c r="J15" i="56" s="1"/>
  <c r="K35" i="57"/>
  <c r="M4" i="57"/>
  <c r="M5" i="57" s="1"/>
  <c r="M6" i="57" s="1"/>
  <c r="M7" i="57" s="1"/>
  <c r="M8" i="57" s="1"/>
  <c r="M9" i="57" s="1"/>
  <c r="M10" i="57" s="1"/>
  <c r="M11" i="57" s="1"/>
  <c r="M12" i="57" s="1"/>
  <c r="M13" i="57" s="1"/>
  <c r="M14" i="57" s="1"/>
  <c r="M15" i="57" s="1"/>
  <c r="M16" i="57" s="1"/>
  <c r="M17" i="57" s="1"/>
  <c r="M18" i="57" s="1"/>
  <c r="M19" i="57" s="1"/>
  <c r="M20" i="57" s="1"/>
  <c r="M21" i="57" s="1"/>
  <c r="M22" i="57" s="1"/>
  <c r="M23" i="57" s="1"/>
  <c r="M24" i="57" s="1"/>
  <c r="M25" i="57" s="1"/>
  <c r="M26" i="57" s="1"/>
  <c r="M27" i="57" s="1"/>
  <c r="M28" i="57" s="1"/>
  <c r="M29" i="57" s="1"/>
  <c r="M30" i="57" s="1"/>
  <c r="M31" i="57" s="1"/>
  <c r="M32" i="57" s="1"/>
  <c r="M33" i="57" s="1"/>
  <c r="M34" i="57" s="1"/>
  <c r="K55" i="22"/>
  <c r="K2" i="56"/>
  <c r="M6" i="26"/>
  <c r="M7" i="26" s="1"/>
  <c r="M8" i="26" s="1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M4" i="50"/>
  <c r="M5" i="16"/>
  <c r="M6" i="16" s="1"/>
  <c r="M7" i="16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K43" i="35"/>
  <c r="L43" i="35"/>
  <c r="J50" i="56" s="1"/>
  <c r="K50" i="56" s="1"/>
  <c r="M4" i="7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5" i="9"/>
  <c r="M6" i="9" s="1"/>
  <c r="M7" i="9" s="1"/>
  <c r="M8" i="9" s="1"/>
  <c r="M9" i="9" s="1"/>
  <c r="M10" i="9" s="1"/>
  <c r="M11" i="9" s="1"/>
  <c r="M12" i="9" s="1"/>
  <c r="K23" i="56"/>
  <c r="M21" i="92" l="1"/>
  <c r="M22" i="92" s="1"/>
  <c r="M23" i="92" s="1"/>
  <c r="M26" i="92" s="1"/>
  <c r="M27" i="92" s="1"/>
  <c r="M28" i="92" s="1"/>
  <c r="M29" i="92" s="1"/>
  <c r="M30" i="92" s="1"/>
  <c r="M31" i="92" s="1"/>
  <c r="M32" i="92" s="1"/>
  <c r="M33" i="92" s="1"/>
  <c r="M34" i="92" s="1"/>
  <c r="M28" i="95"/>
  <c r="M29" i="95" s="1"/>
  <c r="M30" i="95" s="1"/>
  <c r="M31" i="95" s="1"/>
  <c r="M32" i="95" s="1"/>
  <c r="M33" i="95" s="1"/>
  <c r="M34" i="95" s="1"/>
  <c r="M35" i="95" s="1"/>
  <c r="M36" i="95" s="1"/>
  <c r="M27" i="95"/>
  <c r="M5" i="85"/>
  <c r="M6" i="85" s="1"/>
  <c r="M7" i="85" s="1"/>
  <c r="M8" i="85" s="1"/>
  <c r="M9" i="85" s="1"/>
  <c r="M26" i="41"/>
  <c r="M27" i="41" s="1"/>
  <c r="M28" i="41" s="1"/>
  <c r="M29" i="41" s="1"/>
  <c r="P25" i="41"/>
  <c r="M10" i="81"/>
  <c r="M11" i="81" s="1"/>
  <c r="M12" i="81" s="1"/>
  <c r="M13" i="81" s="1"/>
  <c r="M14" i="81" s="1"/>
  <c r="M15" i="81" s="1"/>
  <c r="M16" i="81" s="1"/>
  <c r="M17" i="81" s="1"/>
  <c r="M18" i="81" s="1"/>
  <c r="M19" i="81" s="1"/>
  <c r="M20" i="81" s="1"/>
  <c r="M21" i="81" s="1"/>
  <c r="M22" i="81" s="1"/>
  <c r="M23" i="81" s="1"/>
  <c r="M24" i="81" s="1"/>
  <c r="M25" i="81" s="1"/>
  <c r="M26" i="81" s="1"/>
  <c r="M27" i="81" s="1"/>
  <c r="M28" i="81" s="1"/>
  <c r="M12" i="79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M8" i="44"/>
  <c r="M9" i="44" s="1"/>
  <c r="M10" i="44" s="1"/>
  <c r="M11" i="44" s="1"/>
  <c r="M12" i="44" s="1"/>
  <c r="M13" i="44" s="1"/>
  <c r="M14" i="44" s="1"/>
  <c r="M15" i="44" s="1"/>
  <c r="M16" i="44" s="1"/>
  <c r="M17" i="44" s="1"/>
  <c r="M18" i="44" s="1"/>
  <c r="M19" i="44" s="1"/>
  <c r="M20" i="44" s="1"/>
  <c r="M21" i="44" s="1"/>
  <c r="M22" i="44" s="1"/>
  <c r="M23" i="44" s="1"/>
  <c r="M24" i="44" s="1"/>
  <c r="M25" i="44" s="1"/>
  <c r="M26" i="44" s="1"/>
  <c r="M10" i="68"/>
  <c r="M11" i="68" s="1"/>
  <c r="M12" i="68" s="1"/>
  <c r="M13" i="68" s="1"/>
  <c r="M14" i="68" s="1"/>
  <c r="M15" i="68" s="1"/>
  <c r="M16" i="68" s="1"/>
  <c r="M17" i="68" s="1"/>
  <c r="M18" i="68" s="1"/>
  <c r="M19" i="68" s="1"/>
  <c r="M20" i="68" s="1"/>
  <c r="M21" i="68" s="1"/>
  <c r="M22" i="68" s="1"/>
  <c r="M23" i="68" s="1"/>
  <c r="M24" i="68" s="1"/>
  <c r="M25" i="68" s="1"/>
  <c r="M26" i="68" s="1"/>
  <c r="M27" i="68" s="1"/>
  <c r="M28" i="68" s="1"/>
  <c r="M29" i="68" s="1"/>
  <c r="M30" i="68" s="1"/>
  <c r="M31" i="68" s="1"/>
  <c r="M32" i="68" s="1"/>
  <c r="M33" i="68" s="1"/>
  <c r="M29" i="16"/>
  <c r="M30" i="16" s="1"/>
  <c r="M31" i="16" s="1"/>
  <c r="M32" i="16" s="1"/>
  <c r="M33" i="16" s="1"/>
  <c r="M34" i="16" s="1"/>
  <c r="M35" i="16" s="1"/>
  <c r="M36" i="16" s="1"/>
  <c r="M10" i="87"/>
  <c r="M11" i="87" s="1"/>
  <c r="M12" i="87" s="1"/>
  <c r="M13" i="87" s="1"/>
  <c r="M14" i="87" s="1"/>
  <c r="M15" i="87" s="1"/>
  <c r="M16" i="87" s="1"/>
  <c r="M17" i="87" s="1"/>
  <c r="M18" i="87" s="1"/>
  <c r="M19" i="87" s="1"/>
  <c r="M20" i="87" s="1"/>
  <c r="M21" i="87" s="1"/>
  <c r="M22" i="87" s="1"/>
  <c r="M23" i="87" s="1"/>
  <c r="M24" i="87" s="1"/>
  <c r="M25" i="87" s="1"/>
  <c r="M26" i="87" s="1"/>
  <c r="M27" i="87" s="1"/>
  <c r="M28" i="87" s="1"/>
  <c r="M29" i="87" s="1"/>
  <c r="M30" i="87" s="1"/>
  <c r="M31" i="87" s="1"/>
  <c r="M32" i="87" s="1"/>
  <c r="M33" i="87" s="1"/>
  <c r="M34" i="87" s="1"/>
  <c r="M35" i="87" s="1"/>
  <c r="M7" i="65"/>
  <c r="M8" i="65" s="1"/>
  <c r="M9" i="65" s="1"/>
  <c r="M10" i="65" s="1"/>
  <c r="M11" i="65" s="1"/>
  <c r="M12" i="65" s="1"/>
  <c r="M13" i="65" s="1"/>
  <c r="M14" i="65" s="1"/>
  <c r="M15" i="65" s="1"/>
  <c r="M16" i="65" s="1"/>
  <c r="M16" i="80"/>
  <c r="M17" i="80" s="1"/>
  <c r="M18" i="80" s="1"/>
  <c r="M19" i="80" s="1"/>
  <c r="M20" i="80" s="1"/>
  <c r="M21" i="80" s="1"/>
  <c r="M22" i="80" s="1"/>
  <c r="M23" i="80" s="1"/>
  <c r="M24" i="80" s="1"/>
  <c r="M25" i="80" s="1"/>
  <c r="M26" i="80" s="1"/>
  <c r="M27" i="80" s="1"/>
  <c r="M28" i="80" s="1"/>
  <c r="M29" i="80" s="1"/>
  <c r="M30" i="80" s="1"/>
  <c r="M31" i="80" s="1"/>
  <c r="M32" i="80" s="1"/>
  <c r="M33" i="80" s="1"/>
  <c r="M34" i="80" s="1"/>
  <c r="M35" i="80" s="1"/>
  <c r="M36" i="80" s="1"/>
  <c r="M37" i="80" s="1"/>
  <c r="M10" i="85"/>
  <c r="M11" i="85" s="1"/>
  <c r="M12" i="85" s="1"/>
  <c r="M13" i="85" s="1"/>
  <c r="M14" i="85" s="1"/>
  <c r="M15" i="85" s="1"/>
  <c r="M16" i="85" s="1"/>
  <c r="M17" i="85" s="1"/>
  <c r="M18" i="85" s="1"/>
  <c r="M19" i="85" s="1"/>
  <c r="M20" i="85" s="1"/>
  <c r="M21" i="85" s="1"/>
  <c r="M22" i="85" s="1"/>
  <c r="M23" i="85" s="1"/>
  <c r="M24" i="85" s="1"/>
  <c r="M25" i="85" s="1"/>
  <c r="M26" i="85" s="1"/>
  <c r="M27" i="85" s="1"/>
  <c r="M28" i="85" s="1"/>
  <c r="M29" i="85" s="1"/>
  <c r="M30" i="85" s="1"/>
  <c r="M31" i="85" s="1"/>
  <c r="M32" i="85" s="1"/>
  <c r="M33" i="85" s="1"/>
  <c r="M34" i="85" s="1"/>
  <c r="M35" i="85" s="1"/>
  <c r="M36" i="85" s="1"/>
  <c r="M37" i="85" s="1"/>
  <c r="M38" i="85" s="1"/>
  <c r="M39" i="85" s="1"/>
  <c r="M40" i="85" s="1"/>
  <c r="M41" i="85" s="1"/>
  <c r="M42" i="85" s="1"/>
  <c r="M43" i="85" s="1"/>
  <c r="M44" i="85" s="1"/>
  <c r="M45" i="85" s="1"/>
  <c r="M46" i="85" s="1"/>
  <c r="M47" i="85" s="1"/>
  <c r="M48" i="85" s="1"/>
  <c r="M49" i="85" s="1"/>
  <c r="M50" i="85" s="1"/>
  <c r="M51" i="85" s="1"/>
  <c r="M52" i="85" s="1"/>
  <c r="M53" i="85" s="1"/>
  <c r="M54" i="85" s="1"/>
  <c r="P54" i="85" s="1"/>
  <c r="M27" i="44"/>
  <c r="M28" i="44" s="1"/>
  <c r="M29" i="44" s="1"/>
  <c r="M30" i="44" s="1"/>
  <c r="M31" i="44" s="1"/>
  <c r="M32" i="44" s="1"/>
  <c r="M33" i="44" s="1"/>
  <c r="M34" i="44" s="1"/>
  <c r="M35" i="44" s="1"/>
  <c r="M36" i="44" s="1"/>
  <c r="M37" i="44" s="1"/>
  <c r="M38" i="44" s="1"/>
  <c r="M39" i="44" s="1"/>
  <c r="M40" i="44" s="1"/>
  <c r="M41" i="44" s="1"/>
  <c r="M42" i="44" s="1"/>
  <c r="M43" i="44" s="1"/>
  <c r="J51" i="56"/>
  <c r="K51" i="56" s="1"/>
  <c r="M5" i="82"/>
  <c r="M6" i="82" s="1"/>
  <c r="M7" i="82" s="1"/>
  <c r="M8" i="82" s="1"/>
  <c r="M9" i="82" s="1"/>
  <c r="M10" i="82" s="1"/>
  <c r="M11" i="82" s="1"/>
  <c r="M12" i="82" s="1"/>
  <c r="M13" i="82" s="1"/>
  <c r="M14" i="82" s="1"/>
  <c r="M15" i="82" s="1"/>
  <c r="K29" i="56"/>
  <c r="H54" i="56"/>
  <c r="Q17" i="81"/>
  <c r="K24" i="56"/>
  <c r="K25" i="56"/>
  <c r="M7" i="51"/>
  <c r="M8" i="51" s="1"/>
  <c r="M9" i="51" s="1"/>
  <c r="M10" i="51" s="1"/>
  <c r="M11" i="51" s="1"/>
  <c r="M12" i="51" s="1"/>
  <c r="M13" i="51" s="1"/>
  <c r="M14" i="51" s="1"/>
  <c r="M10" i="69"/>
  <c r="M11" i="69" s="1"/>
  <c r="M12" i="69" s="1"/>
  <c r="M13" i="69" s="1"/>
  <c r="M14" i="69" s="1"/>
  <c r="C63" i="56" a="1"/>
  <c r="C63" i="56" s="1"/>
  <c r="M28" i="14"/>
  <c r="M29" i="14" s="1"/>
  <c r="M30" i="14" s="1"/>
  <c r="M37" i="14" s="1"/>
  <c r="M38" i="14" s="1"/>
  <c r="M5" i="10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3" i="24"/>
  <c r="M18" i="65"/>
  <c r="M19" i="65" s="1"/>
  <c r="M20" i="65" s="1"/>
  <c r="M17" i="65"/>
  <c r="M15" i="3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18" i="10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L36" i="25"/>
  <c r="J32" i="56" s="1"/>
  <c r="M4" i="25"/>
  <c r="M5" i="25" s="1"/>
  <c r="M6" i="25" s="1"/>
  <c r="M7" i="25" s="1"/>
  <c r="M8" i="25" s="1"/>
  <c r="M9" i="25" s="1"/>
  <c r="M10" i="25" s="1"/>
  <c r="M11" i="25" s="1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M35" i="25" s="1"/>
  <c r="O35" i="25" s="1"/>
  <c r="K21" i="56"/>
  <c r="L35" i="60"/>
  <c r="J44" i="56" s="1"/>
  <c r="M4" i="60"/>
  <c r="L44" i="33"/>
  <c r="J48" i="56" s="1"/>
  <c r="M4" i="33"/>
  <c r="K15" i="56"/>
  <c r="L55" i="22"/>
  <c r="J33" i="56" s="1"/>
  <c r="M5" i="50"/>
  <c r="M6" i="50" s="1"/>
  <c r="M7" i="50" s="1"/>
  <c r="M8" i="50" s="1"/>
  <c r="M9" i="50" s="1"/>
  <c r="M11" i="50" s="1"/>
  <c r="M12" i="50" s="1"/>
  <c r="M13" i="50" s="1"/>
  <c r="M13" i="9"/>
  <c r="M14" i="9" s="1"/>
  <c r="L47" i="35"/>
  <c r="K44" i="56" l="1"/>
  <c r="J54" i="56"/>
  <c r="M30" i="41"/>
  <c r="M31" i="41" s="1"/>
  <c r="M32" i="41" s="1"/>
  <c r="M33" i="41" s="1"/>
  <c r="M34" i="41" s="1"/>
  <c r="M35" i="41" s="1"/>
  <c r="M36" i="41" s="1"/>
  <c r="M37" i="41" s="1"/>
  <c r="M38" i="41" s="1"/>
  <c r="M39" i="41" s="1"/>
  <c r="M40" i="41" s="1"/>
  <c r="M41" i="41" s="1"/>
  <c r="O41" i="41" s="1"/>
  <c r="M21" i="65"/>
  <c r="M22" i="65" s="1"/>
  <c r="M23" i="65" s="1"/>
  <c r="M24" i="65" s="1"/>
  <c r="M25" i="65" s="1"/>
  <c r="M26" i="65" s="1"/>
  <c r="M27" i="65" s="1"/>
  <c r="M28" i="65" s="1"/>
  <c r="M37" i="92"/>
  <c r="M38" i="92" s="1"/>
  <c r="M39" i="92" s="1"/>
  <c r="M40" i="92" s="1"/>
  <c r="M41" i="92" s="1"/>
  <c r="M42" i="92" s="1"/>
  <c r="M43" i="92" s="1"/>
  <c r="M44" i="92" s="1"/>
  <c r="M45" i="92" s="1"/>
  <c r="M46" i="92" s="1"/>
  <c r="M47" i="92" s="1"/>
  <c r="M48" i="92" s="1"/>
  <c r="M49" i="92" s="1"/>
  <c r="M50" i="92" s="1"/>
  <c r="M51" i="92" s="1"/>
  <c r="M52" i="92" s="1"/>
  <c r="M53" i="92" s="1"/>
  <c r="M54" i="92" s="1"/>
  <c r="M55" i="92" s="1"/>
  <c r="M56" i="92" s="1"/>
  <c r="M57" i="92" s="1"/>
  <c r="M58" i="92" s="1"/>
  <c r="M59" i="92" s="1"/>
  <c r="M35" i="92"/>
  <c r="M36" i="92" s="1"/>
  <c r="M29" i="81"/>
  <c r="M30" i="81" s="1"/>
  <c r="M31" i="81" s="1"/>
  <c r="M32" i="81" s="1"/>
  <c r="M33" i="81" s="1"/>
  <c r="M15" i="69"/>
  <c r="M16" i="69" s="1"/>
  <c r="M17" i="69" s="1"/>
  <c r="M18" i="69" s="1"/>
  <c r="M19" i="69" s="1"/>
  <c r="M20" i="69" s="1"/>
  <c r="M21" i="69" s="1"/>
  <c r="M22" i="69" s="1"/>
  <c r="M23" i="69" s="1"/>
  <c r="M24" i="69" s="1"/>
  <c r="M25" i="69" s="1"/>
  <c r="M26" i="69" s="1"/>
  <c r="M27" i="69" s="1"/>
  <c r="M28" i="69" s="1"/>
  <c r="M29" i="69" s="1"/>
  <c r="M30" i="69" s="1"/>
  <c r="M31" i="69" s="1"/>
  <c r="M32" i="69" s="1"/>
  <c r="M33" i="69" s="1"/>
  <c r="M34" i="69" s="1"/>
  <c r="M35" i="69" s="1"/>
  <c r="M36" i="69" s="1"/>
  <c r="M37" i="69" s="1"/>
  <c r="M38" i="69" s="1"/>
  <c r="M39" i="69" s="1"/>
  <c r="M40" i="69" s="1"/>
  <c r="M41" i="69" s="1"/>
  <c r="M42" i="69" s="1"/>
  <c r="M43" i="69" s="1"/>
  <c r="M44" i="69" s="1"/>
  <c r="M45" i="69" s="1"/>
  <c r="M46" i="69" s="1"/>
  <c r="M47" i="69" s="1"/>
  <c r="M48" i="69" s="1"/>
  <c r="K49" i="56" s="1"/>
  <c r="M15" i="51"/>
  <c r="M16" i="51" s="1"/>
  <c r="M17" i="51" s="1"/>
  <c r="M18" i="51" s="1"/>
  <c r="M19" i="51" s="1"/>
  <c r="M20" i="51" s="1"/>
  <c r="M21" i="51" s="1"/>
  <c r="M22" i="51" s="1"/>
  <c r="M23" i="51" s="1"/>
  <c r="M24" i="51" s="1"/>
  <c r="M25" i="51" s="1"/>
  <c r="M26" i="51" s="1"/>
  <c r="M27" i="51" s="1"/>
  <c r="M28" i="51" s="1"/>
  <c r="M29" i="51" s="1"/>
  <c r="M30" i="51" s="1"/>
  <c r="M31" i="51" s="1"/>
  <c r="M5" i="60"/>
  <c r="M44" i="44"/>
  <c r="M15" i="9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16" i="82"/>
  <c r="M17" i="82" s="1"/>
  <c r="M18" i="82" s="1"/>
  <c r="M19" i="82" s="1"/>
  <c r="M20" i="82" s="1"/>
  <c r="M21" i="82" s="1"/>
  <c r="M22" i="82" s="1"/>
  <c r="M23" i="82" s="1"/>
  <c r="M24" i="82" s="1"/>
  <c r="M25" i="82" s="1"/>
  <c r="M26" i="82" s="1"/>
  <c r="M27" i="82" s="1"/>
  <c r="M28" i="82" s="1"/>
  <c r="M29" i="82" s="1"/>
  <c r="M30" i="82" s="1"/>
  <c r="M31" i="82" s="1"/>
  <c r="M32" i="82" s="1"/>
  <c r="M33" i="82" s="1"/>
  <c r="M34" i="82" s="1"/>
  <c r="K32" i="56"/>
  <c r="K48" i="56"/>
  <c r="B60" i="56" a="1"/>
  <c r="B60" i="56" s="1"/>
  <c r="M32" i="51"/>
  <c r="M33" i="51" s="1"/>
  <c r="M34" i="51" s="1"/>
  <c r="M35" i="51" s="1"/>
  <c r="M36" i="51" s="1"/>
  <c r="M37" i="51" s="1"/>
  <c r="M38" i="51" s="1"/>
  <c r="M39" i="51" s="1"/>
  <c r="M14" i="24"/>
  <c r="M16" i="60"/>
  <c r="M17" i="60" s="1"/>
  <c r="M18" i="60" s="1"/>
  <c r="M19" i="60" s="1"/>
  <c r="M20" i="60" s="1"/>
  <c r="M21" i="60"/>
  <c r="M22" i="60" s="1"/>
  <c r="M23" i="60" s="1"/>
  <c r="M24" i="60" s="1"/>
  <c r="M25" i="60" s="1"/>
  <c r="M26" i="60" s="1"/>
  <c r="M27" i="60" s="1"/>
  <c r="M28" i="60" s="1"/>
  <c r="M29" i="60" s="1"/>
  <c r="M30" i="60" s="1"/>
  <c r="M31" i="60" s="1"/>
  <c r="M32" i="60" s="1"/>
  <c r="M33" i="60" s="1"/>
  <c r="M34" i="60" s="1"/>
  <c r="M14" i="50"/>
  <c r="M15" i="50" s="1"/>
  <c r="M16" i="50" s="1"/>
  <c r="M17" i="50" s="1"/>
  <c r="M18" i="50" s="1"/>
  <c r="M19" i="50" s="1"/>
  <c r="M20" i="50" s="1"/>
  <c r="M21" i="50" s="1"/>
  <c r="M22" i="50" s="1"/>
  <c r="M23" i="50" s="1"/>
  <c r="M24" i="50" s="1"/>
  <c r="M25" i="50" s="1"/>
  <c r="M26" i="50" s="1"/>
  <c r="M27" i="50" s="1"/>
  <c r="M28" i="50" s="1"/>
  <c r="M29" i="50" s="1"/>
  <c r="M30" i="50" s="1"/>
  <c r="M28" i="9"/>
  <c r="M29" i="9" s="1"/>
  <c r="M30" i="9" s="1"/>
  <c r="M31" i="9" s="1"/>
  <c r="M32" i="9" s="1"/>
  <c r="M33" i="9" s="1"/>
  <c r="M34" i="9" s="1"/>
  <c r="M31" i="50"/>
  <c r="M32" i="50" s="1"/>
  <c r="M5" i="33"/>
  <c r="M6" i="33" s="1"/>
  <c r="M7" i="33" s="1"/>
  <c r="M8" i="33" s="1"/>
  <c r="M9" i="33" s="1"/>
  <c r="M10" i="33" s="1"/>
  <c r="M11" i="33" s="1"/>
  <c r="M12" i="33" s="1"/>
  <c r="M13" i="33" s="1"/>
  <c r="M14" i="33" s="1"/>
  <c r="M15" i="33" s="1"/>
  <c r="M16" i="33" s="1"/>
  <c r="M17" i="33" s="1"/>
  <c r="M18" i="33" s="1"/>
  <c r="M19" i="33" s="1"/>
  <c r="M20" i="33" s="1"/>
  <c r="M21" i="33" s="1"/>
  <c r="M22" i="33" s="1"/>
  <c r="M23" i="33" s="1"/>
  <c r="M24" i="33" s="1"/>
  <c r="M25" i="33" s="1"/>
  <c r="M26" i="33" s="1"/>
  <c r="M27" i="33" s="1"/>
  <c r="M28" i="33" s="1"/>
  <c r="M29" i="33" s="1"/>
  <c r="M30" i="33" s="1"/>
  <c r="M31" i="33" s="1"/>
  <c r="M32" i="33" s="1"/>
  <c r="M33" i="33" s="1"/>
  <c r="M34" i="33" s="1"/>
  <c r="M35" i="33" s="1"/>
  <c r="M36" i="33" s="1"/>
  <c r="M37" i="33" s="1"/>
  <c r="M38" i="33" s="1"/>
  <c r="M39" i="33" s="1"/>
  <c r="M40" i="33" s="1"/>
  <c r="M41" i="33" s="1"/>
  <c r="M42" i="33" s="1"/>
  <c r="M43" i="33" s="1"/>
  <c r="K33" i="56"/>
  <c r="M29" i="65" l="1"/>
  <c r="M30" i="65" s="1"/>
  <c r="M31" i="65" s="1"/>
  <c r="M32" i="65" s="1"/>
  <c r="M33" i="65" s="1"/>
  <c r="M34" i="65" s="1"/>
  <c r="M35" i="65" s="1"/>
  <c r="M35" i="81"/>
  <c r="M36" i="81" s="1"/>
  <c r="M37" i="81" s="1"/>
  <c r="M38" i="81" s="1"/>
  <c r="M39" i="81" s="1"/>
  <c r="M40" i="81" s="1"/>
  <c r="M41" i="81" s="1"/>
  <c r="M34" i="81"/>
  <c r="M45" i="44"/>
  <c r="M46" i="44" s="1"/>
  <c r="M47" i="44" s="1"/>
  <c r="M48" i="44" s="1"/>
  <c r="M49" i="44" s="1"/>
  <c r="M50" i="44" s="1"/>
  <c r="M51" i="44" s="1"/>
  <c r="M52" i="44" s="1"/>
  <c r="M53" i="44" s="1"/>
  <c r="M54" i="44" s="1"/>
  <c r="M55" i="44" s="1"/>
  <c r="M56" i="44" s="1"/>
  <c r="M57" i="44" s="1"/>
  <c r="P44" i="44"/>
  <c r="I54" i="56"/>
  <c r="K54" i="56" s="1"/>
  <c r="O65" i="44"/>
  <c r="M15" i="24"/>
  <c r="M16" i="24" s="1"/>
  <c r="M17" i="24" s="1"/>
  <c r="M54" i="56"/>
  <c r="M33" i="50"/>
  <c r="M34" i="50" s="1"/>
  <c r="M35" i="50" s="1"/>
  <c r="M19" i="35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M35" i="35" s="1"/>
  <c r="M36" i="35" s="1"/>
  <c r="M37" i="35" s="1"/>
  <c r="M38" i="35" s="1"/>
  <c r="M39" i="35" s="1"/>
  <c r="M40" i="35" s="1"/>
  <c r="M41" i="35" s="1"/>
  <c r="M42" i="35" s="1"/>
  <c r="M42" i="81" l="1"/>
  <c r="P41" i="81"/>
  <c r="M18" i="24"/>
  <c r="M19" i="24" l="1"/>
  <c r="M20" i="24" l="1"/>
  <c r="M21" i="24" l="1"/>
  <c r="M22" i="24" l="1"/>
  <c r="M23" i="24" l="1"/>
  <c r="M24" i="24" s="1"/>
  <c r="M25" i="24" s="1"/>
  <c r="M26" i="24" s="1"/>
  <c r="M27" i="24" s="1"/>
  <c r="M28" i="24" s="1"/>
  <c r="M29" i="24" s="1"/>
  <c r="M30" i="24" s="1"/>
  <c r="M31" i="24" l="1"/>
  <c r="M32" i="24" l="1"/>
  <c r="M33" i="24" l="1"/>
  <c r="M34" i="24" s="1"/>
  <c r="M35" i="24"/>
  <c r="K27" i="5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</author>
  </authors>
  <commentList>
    <comment ref="L27" authorId="0" shapeId="0" xr:uid="{91A89A19-6F2B-46C1-AA85-9D4B3C30CC9C}">
      <text>
        <r>
          <rPr>
            <sz val="11"/>
            <color theme="1"/>
            <rFont val="Calibri"/>
            <family val="2"/>
            <scheme val="minor"/>
          </rPr>
          <t>MIS:
Cash Purchase</t>
        </r>
      </text>
    </comment>
    <comment ref="L30" authorId="0" shapeId="0" xr:uid="{688CD65E-EFA1-439D-89CD-B2E7BF75A1F4}">
      <text>
        <r>
          <rPr>
            <sz val="11"/>
            <color theme="1"/>
            <rFont val="Calibri"/>
            <family val="2"/>
            <scheme val="minor"/>
          </rPr>
          <t>MIS:
Cash Payment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tc={D7EB4DB1-E8E5-4A0D-A3B7-4BD37A44A2D1}</author>
    <author>tc={4677E5B5-F1D0-432D-BE36-4BBEE71D7B95}</author>
  </authors>
  <commentList>
    <comment ref="L21" authorId="0" shapeId="0" xr:uid="{D7EB4DB1-E8E5-4A0D-A3B7-4BD37A44A2D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Fuel F/S Records</t>
      </text>
    </comment>
    <comment ref="L22" authorId="1" shapeId="0" xr:uid="{4677E5B5-F1D0-432D-BE36-4BBEE71D7B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round off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</author>
    <author>tc={F247FC72-00A1-4CBF-8785-A8EA57D32845}</author>
  </authors>
  <commentList>
    <comment ref="H14" authorId="0" shapeId="0" xr:uid="{3F52B85D-77EE-4C24-8E94-9D6CE83C4CBC}">
      <text>
        <r>
          <rPr>
            <sz val="11"/>
            <color theme="1"/>
            <rFont val="Calibri"/>
            <family val="2"/>
            <scheme val="minor"/>
          </rPr>
          <t>MIS:
Hydraulic Oil VG 68</t>
        </r>
      </text>
    </comment>
    <comment ref="H21" authorId="0" shapeId="0" xr:uid="{660FDDE0-6435-4201-A9C7-02979AA0B3AB}">
      <text>
        <r>
          <rPr>
            <sz val="11"/>
            <color theme="1"/>
            <rFont val="Calibri"/>
            <family val="2"/>
            <scheme val="minor"/>
          </rPr>
          <t xml:space="preserve">MIS:
Engine Oil 15W40
</t>
        </r>
      </text>
    </comment>
    <comment ref="H33" authorId="1" shapeId="0" xr:uid="{F247FC72-00A1-4CBF-8785-A8EA57D32845}">
      <text>
        <t>[Threaded comment]
Your version of Excel allows you to read this threaded comment; however, any edits to it will get removed if the file is opened in a newer version of Excel. Learn more: https://go.microsoft.com/fwlink/?linkid=870924
Comment:
    D.E.F. Oil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</author>
  </authors>
  <commentList>
    <comment ref="L18" authorId="0" shapeId="0" xr:uid="{A4F5371A-0A76-476D-AD2E-3B8071B7D7F2}">
      <text>
        <r>
          <rPr>
            <sz val="11"/>
            <color theme="1"/>
            <rFont val="Calibri"/>
            <family val="2"/>
            <scheme val="minor"/>
          </rPr>
          <t xml:space="preserve">MIS:
Cash Paid by Site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tc={5F5F9CE8-9ECA-4AC6-B09E-74F516552CA8}</author>
    <author>MIS</author>
  </authors>
  <commentList>
    <comment ref="E16" authorId="0" shapeId="0" xr:uid="{5F5F9CE8-9ECA-4AC6-B09E-74F516552C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Jadcherla to jalgaon OTP BPCL </t>
      </text>
    </comment>
    <comment ref="E70" authorId="1" shapeId="0" xr:uid="{B33B9E3C-FC38-433F-A30F-CD940E4F0296}">
      <text>
        <r>
          <rPr>
            <sz val="11"/>
            <color theme="1"/>
            <rFont val="Calibri"/>
            <family val="2"/>
            <scheme val="minor"/>
          </rPr>
          <t xml:space="preserve">MIS:
dharwad sathyanarayana dandu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<sst xmlns="http://schemas.openxmlformats.org/spreadsheetml/2006/main" count="1998" uniqueCount="380">
  <si>
    <t>S.No</t>
  </si>
  <si>
    <t>NAme</t>
  </si>
  <si>
    <t>Lacation</t>
  </si>
  <si>
    <t>Card Number</t>
  </si>
  <si>
    <t>Category</t>
  </si>
  <si>
    <t>1st Jan</t>
  </si>
  <si>
    <t>2nd Jan</t>
  </si>
  <si>
    <t>3rd Jan</t>
  </si>
  <si>
    <t>4th Jan</t>
  </si>
  <si>
    <t>5th Jan</t>
  </si>
  <si>
    <t>6th Jan</t>
  </si>
  <si>
    <t>7th Jan</t>
  </si>
  <si>
    <t>8th Jan</t>
  </si>
  <si>
    <t>9th Jan</t>
  </si>
  <si>
    <t>10th Jan</t>
  </si>
  <si>
    <t>11th Jan</t>
  </si>
  <si>
    <t>12th Jan</t>
  </si>
  <si>
    <t>13th Jan</t>
  </si>
  <si>
    <t>14th Jan</t>
  </si>
  <si>
    <t>15th Jan</t>
  </si>
  <si>
    <t>16th Jan</t>
  </si>
  <si>
    <t>17th Jan</t>
  </si>
  <si>
    <t>18th Jan</t>
  </si>
  <si>
    <t>19th Jan</t>
  </si>
  <si>
    <t>20th Jan</t>
  </si>
  <si>
    <t>21st Jan</t>
  </si>
  <si>
    <t>22nd Jan</t>
  </si>
  <si>
    <t>23rd Jan</t>
  </si>
  <si>
    <t>24th Jan</t>
  </si>
  <si>
    <t>25th Jan</t>
  </si>
  <si>
    <t>26th Jan</t>
  </si>
  <si>
    <t>27th Jan</t>
  </si>
  <si>
    <t>28th Jan</t>
  </si>
  <si>
    <t>29th Jan</t>
  </si>
  <si>
    <t>30th Jan</t>
  </si>
  <si>
    <t>31st Jan</t>
  </si>
  <si>
    <t>Total</t>
  </si>
  <si>
    <t>Diesel</t>
  </si>
  <si>
    <t>Rambabu</t>
  </si>
  <si>
    <t>HO(Two Wheeler)</t>
  </si>
  <si>
    <t>FC3450563999</t>
  </si>
  <si>
    <t>Petrol</t>
  </si>
  <si>
    <t>Hanumanth Rao</t>
  </si>
  <si>
    <t>HO</t>
  </si>
  <si>
    <t>FC3450676131</t>
  </si>
  <si>
    <t>Radhakrishna</t>
  </si>
  <si>
    <t>FC8000207658</t>
  </si>
  <si>
    <t>VIjay</t>
  </si>
  <si>
    <t>FC3450698859</t>
  </si>
  <si>
    <t>Client</t>
  </si>
  <si>
    <t>Hiriyur</t>
  </si>
  <si>
    <t>FC3450698864</t>
  </si>
  <si>
    <t>Hosadurga</t>
  </si>
  <si>
    <t>FC3450698865</t>
  </si>
  <si>
    <t>Diesel Price</t>
  </si>
  <si>
    <t>S.no</t>
  </si>
  <si>
    <t>Site Name</t>
  </si>
  <si>
    <t xml:space="preserve">Bunk Name </t>
  </si>
  <si>
    <t>Diesel(Liters)</t>
  </si>
  <si>
    <t>Diesel Amount</t>
  </si>
  <si>
    <t>Petrol(Liters)</t>
  </si>
  <si>
    <t>Petrol Amount</t>
  </si>
  <si>
    <t>Total Amount</t>
  </si>
  <si>
    <t>Opening Blance</t>
  </si>
  <si>
    <t>Amount Paid</t>
  </si>
  <si>
    <t>Closing Balances</t>
  </si>
  <si>
    <t>Khammam-1</t>
  </si>
  <si>
    <t xml:space="preserve">Divya laxmi ganapathi </t>
  </si>
  <si>
    <t>Khammam-2</t>
  </si>
  <si>
    <t>Jayasai union bunk</t>
  </si>
  <si>
    <t>Khammam-3</t>
  </si>
  <si>
    <t>JSASFuel Genie India Pvt.Ltd</t>
  </si>
  <si>
    <t>Khammam-4</t>
  </si>
  <si>
    <t xml:space="preserve">Vajra Mahalakshmi filling station </t>
  </si>
  <si>
    <t>Khammam-5</t>
  </si>
  <si>
    <t>SR HP Filling Station</t>
  </si>
  <si>
    <t>Khammam-6</t>
  </si>
  <si>
    <t xml:space="preserve">NA </t>
  </si>
  <si>
    <t>Jadcherla-1</t>
  </si>
  <si>
    <t>Jadcherla-2</t>
  </si>
  <si>
    <t>Shree Poornima F/S</t>
  </si>
  <si>
    <t>Jadcherla-3</t>
  </si>
  <si>
    <t>Sai Baba Filling Station</t>
  </si>
  <si>
    <t>Sangareddy-1</t>
  </si>
  <si>
    <t>Durga Indhan</t>
  </si>
  <si>
    <t>Sangareddy-2</t>
  </si>
  <si>
    <t>Durga Bhavani F/S</t>
  </si>
  <si>
    <t>Sangareddy-3</t>
  </si>
  <si>
    <t xml:space="preserve">Shiva Parvathi Filling Station </t>
  </si>
  <si>
    <t>NarayanKhed</t>
  </si>
  <si>
    <t xml:space="preserve">Sai Shiva Filling Station </t>
  </si>
  <si>
    <t>Dindi</t>
  </si>
  <si>
    <t>Akarapu Balakistamma Fillling</t>
  </si>
  <si>
    <t>Madanapalli</t>
  </si>
  <si>
    <t>NA</t>
  </si>
  <si>
    <t>Kakinada</t>
  </si>
  <si>
    <t>YG Gudda-2</t>
  </si>
  <si>
    <t>Pankaja HP Fuel Center</t>
  </si>
  <si>
    <t>Hosadurga-2</t>
  </si>
  <si>
    <t>Shree Veeraprathap Fuel</t>
  </si>
  <si>
    <t>Malebennuru(KUWSDB)</t>
  </si>
  <si>
    <t>Sri Ramanjuneya Service Station</t>
  </si>
  <si>
    <t>kadur</t>
  </si>
  <si>
    <t>Vishal Service Station</t>
  </si>
  <si>
    <t>Hiriyur(VJNL)</t>
  </si>
  <si>
    <t>Sri Balaji Agencies</t>
  </si>
  <si>
    <t>Chellakere(KUWSDB)</t>
  </si>
  <si>
    <t>Shivaganga Service Station</t>
  </si>
  <si>
    <t>Chellakere(KUWSDB)-09</t>
  </si>
  <si>
    <t>Molakalmuru</t>
  </si>
  <si>
    <t>Sri Lakshmi Venkateshwara Filling Station</t>
  </si>
  <si>
    <t>Chennagiri</t>
  </si>
  <si>
    <t>Khanapur(PKG-3)</t>
  </si>
  <si>
    <t>V.V.Varde</t>
  </si>
  <si>
    <t>Munavalli(PKG-3)-2</t>
  </si>
  <si>
    <t>Shre Shiva Petroleum</t>
  </si>
  <si>
    <t>Borgaon(PKG-3)</t>
  </si>
  <si>
    <t>Aadisagar Petrolium</t>
  </si>
  <si>
    <t>Ugar,Kudichi(PKG-3)</t>
  </si>
  <si>
    <t>Shiri Bhrhmanath Petrolium</t>
  </si>
  <si>
    <t>Kabbur(PKG-3)</t>
  </si>
  <si>
    <t>Shri Jai Hanuman Petrolium</t>
  </si>
  <si>
    <t>Kumta (PKG-1)</t>
  </si>
  <si>
    <t xml:space="preserve">V.M.MIRJANKAR (KUMTA) BHARAT </t>
  </si>
  <si>
    <t>Jalgaon</t>
  </si>
  <si>
    <t>Jai Bajarang Sarvo Senter Bodwad</t>
  </si>
  <si>
    <t>Jalgaon-2</t>
  </si>
  <si>
    <t>Nayara</t>
  </si>
  <si>
    <t>Jalgaon-3</t>
  </si>
  <si>
    <t>T R KAPOOR AND CO</t>
  </si>
  <si>
    <t>Jalgaon-4</t>
  </si>
  <si>
    <t>MKBD</t>
  </si>
  <si>
    <t>Shree Sai Samarth Petroleum</t>
  </si>
  <si>
    <t>Haveri</t>
  </si>
  <si>
    <t>M/s Magavi City Fuels</t>
  </si>
  <si>
    <t>Guttal-2</t>
  </si>
  <si>
    <t>Himagiri Petroleum</t>
  </si>
  <si>
    <t>Rattihali-2</t>
  </si>
  <si>
    <t>Shiva Oil Traders</t>
  </si>
  <si>
    <t>Gajendragada</t>
  </si>
  <si>
    <t>Vanasri Petrol Pump</t>
  </si>
  <si>
    <t>Gokak(PKG-3)</t>
  </si>
  <si>
    <t>AJ Petrolinks</t>
  </si>
  <si>
    <t>Hukkere</t>
  </si>
  <si>
    <t>TR Assocites</t>
  </si>
  <si>
    <t>Ankaligi</t>
  </si>
  <si>
    <t>Shivaganga</t>
  </si>
  <si>
    <t>ShankeshWAR</t>
  </si>
  <si>
    <t>SR Patil</t>
  </si>
  <si>
    <t>Talikote(PKG-1)</t>
  </si>
  <si>
    <t>Raykar Oil Agencies</t>
  </si>
  <si>
    <t>Chadchan(PKG-1)</t>
  </si>
  <si>
    <t>Khavekar Petrolium</t>
  </si>
  <si>
    <t>Sindagi</t>
  </si>
  <si>
    <t>G.P.PORWAL</t>
  </si>
  <si>
    <t>Muddebihal(PKG-1)2</t>
  </si>
  <si>
    <t xml:space="preserve">PS NAGATHAN PETROLIUM </t>
  </si>
  <si>
    <t>Almela(PKG-1)</t>
  </si>
  <si>
    <t>Shiddeshwar Petroleums</t>
  </si>
  <si>
    <t>Nalatwad(PKG-1)</t>
  </si>
  <si>
    <t>Shri Pawad Basaweshwar Petroleums</t>
  </si>
  <si>
    <t>Srirangapatna</t>
  </si>
  <si>
    <t>Anupama F/S</t>
  </si>
  <si>
    <t>HO(DG)</t>
  </si>
  <si>
    <t>Date</t>
  </si>
  <si>
    <t>GRN No</t>
  </si>
  <si>
    <t>Ind No/Bill No</t>
  </si>
  <si>
    <t>Diesel (Lts)</t>
  </si>
  <si>
    <t>Price</t>
  </si>
  <si>
    <t xml:space="preserve">Amount </t>
  </si>
  <si>
    <t>Petrol (Lts)</t>
  </si>
  <si>
    <t xml:space="preserve">Total amount </t>
  </si>
  <si>
    <t>Amount paid</t>
  </si>
  <si>
    <t>As on date</t>
  </si>
  <si>
    <t>Remarks</t>
  </si>
  <si>
    <t>Opening Balance</t>
  </si>
  <si>
    <t>Khammam</t>
  </si>
  <si>
    <t>Jadcherla</t>
  </si>
  <si>
    <t>HPCL</t>
  </si>
  <si>
    <t>Ganga Fuel F/S</t>
  </si>
  <si>
    <t>COCO Hitech City IOCL</t>
  </si>
  <si>
    <t>Venkatadri Fueles</t>
  </si>
  <si>
    <t>As 0n Date</t>
  </si>
  <si>
    <t xml:space="preserve">JSASFuel Genie India Pvt.Ltd													</t>
  </si>
  <si>
    <t xml:space="preserve"> Vajra Mahalakshmi filling station </t>
  </si>
  <si>
    <t>SR HP Filling Station ( Dhamsalapuram)</t>
  </si>
  <si>
    <t xml:space="preserve"> Cash &amp;Carry</t>
  </si>
  <si>
    <t>22.04.2026</t>
  </si>
  <si>
    <t>My Nation Gas Station (Superintendent)</t>
  </si>
  <si>
    <t>Cash</t>
  </si>
  <si>
    <t>23.04.2026</t>
  </si>
  <si>
    <t>Perumalla Filling Station</t>
  </si>
  <si>
    <t>Jai Sreeram Filling Station</t>
  </si>
  <si>
    <t>Sri Sri Sri Filling Station</t>
  </si>
  <si>
    <t>24.04.2026</t>
  </si>
  <si>
    <t>354016 paid  to dted 24.04.2026</t>
  </si>
  <si>
    <t>25.04.2026</t>
  </si>
  <si>
    <t>27.04.2026</t>
  </si>
  <si>
    <t>Laxmi manikanta filling station</t>
  </si>
  <si>
    <t>28.04.2026</t>
  </si>
  <si>
    <t>Sri Sri Sri Filling Station ( HP )</t>
  </si>
  <si>
    <t>Quality Service Station ( IOCL)</t>
  </si>
  <si>
    <t>Laxmi manikanta filling station (BPCL)</t>
  </si>
  <si>
    <t>29.04.2026</t>
  </si>
  <si>
    <t>Stambhadri Fuel Park</t>
  </si>
  <si>
    <t>30.04.2026</t>
  </si>
  <si>
    <t>Jai Sreeram Filling Station BPCL</t>
  </si>
  <si>
    <t xml:space="preserve"> Sai baba F/S</t>
  </si>
  <si>
    <t>Ind no/Bill No</t>
  </si>
  <si>
    <t>As on Date</t>
  </si>
  <si>
    <t>SHIVA PARVATHI FILLING STATION SADASHIVPET</t>
  </si>
  <si>
    <t xml:space="preserve"> </t>
  </si>
  <si>
    <t>BPCL Card</t>
  </si>
  <si>
    <t>BP KakinadaBhanugudi Junction</t>
  </si>
  <si>
    <t> </t>
  </si>
  <si>
    <t>BPCL</t>
  </si>
  <si>
    <t>BP Quarry market BPCL</t>
  </si>
  <si>
    <t>Rajahmundry</t>
  </si>
  <si>
    <t>BP Lalacheruvu BPCL</t>
  </si>
  <si>
    <t>Sri Sathya Datha Aparna Agencies</t>
  </si>
  <si>
    <t>Chendurthi(Gollaprolu)</t>
  </si>
  <si>
    <t>Sri Balaji Agencies BPCL</t>
  </si>
  <si>
    <t xml:space="preserve">SRI BHIMESWARA AGENCIES BHARAT PETROLEUM </t>
  </si>
  <si>
    <t>AMALAPURAM</t>
  </si>
  <si>
    <t>Sri Radha Krishna Agencies</t>
  </si>
  <si>
    <t>IOCL</t>
  </si>
  <si>
    <t>Deepthi Filling Center IOCL</t>
  </si>
  <si>
    <t>Prathipadu</t>
  </si>
  <si>
    <t>JVVR Filling Station</t>
  </si>
  <si>
    <t>Pitapuram</t>
  </si>
  <si>
    <t>Lamu Filling Station</t>
  </si>
  <si>
    <t>Dubacherla</t>
  </si>
  <si>
    <t>Sri Ramanjaneya Petrol&amp;Diesel BPCL</t>
  </si>
  <si>
    <t>Vijayawada</t>
  </si>
  <si>
    <t>Sri Venkateswara Enterorises BPCL</t>
  </si>
  <si>
    <t>Yanam</t>
  </si>
  <si>
    <t>Sri Sai Datta Dhanalakshmi Agencies</t>
  </si>
  <si>
    <t>Block out side</t>
  </si>
  <si>
    <t>Tuni</t>
  </si>
  <si>
    <t>Sri Radha Krishna Agencies IOCL</t>
  </si>
  <si>
    <t>Hand Cash</t>
  </si>
  <si>
    <t>Sree Veerabhadreshwara Service Station</t>
  </si>
  <si>
    <t>Molakamuru</t>
  </si>
  <si>
    <t>Shivaganga Service Station (BPCL)</t>
  </si>
  <si>
    <t>Chellakere-PKG-09</t>
  </si>
  <si>
    <t>Date of payment</t>
  </si>
  <si>
    <t>Shiri Shva Petroluem</t>
  </si>
  <si>
    <t>Start</t>
  </si>
  <si>
    <t>d</t>
  </si>
  <si>
    <t xml:space="preserve"> Nayara</t>
  </si>
  <si>
    <t xml:space="preserve">T R KAPOOR AND CO </t>
  </si>
  <si>
    <t>VASUDEO NIVRUTTI MAHAJAN</t>
  </si>
  <si>
    <t>RAKSHA AUTO FUELS</t>
  </si>
  <si>
    <t>KHANDEWAL PETROLEUM(HP)</t>
  </si>
  <si>
    <t>SAYYED PETROLEUM - IOCL</t>
  </si>
  <si>
    <t>BOHARDI KHURD - IOCL</t>
  </si>
  <si>
    <t>BABA FUELS STATION</t>
  </si>
  <si>
    <t xml:space="preserve">VASUDEO NIVRUTTI MAHAJAN </t>
  </si>
  <si>
    <t xml:space="preserve">RAKSHA AUTO FUELS </t>
  </si>
  <si>
    <t>SHRIKRISHNA PETROLEUM</t>
  </si>
  <si>
    <t>Paid 29.04.2026</t>
  </si>
  <si>
    <t>Lubricant Purchaged</t>
  </si>
  <si>
    <t xml:space="preserve"> Magavi fuel F/S</t>
  </si>
  <si>
    <t>.</t>
  </si>
  <si>
    <t>BPCL OTP</t>
  </si>
  <si>
    <t>`</t>
  </si>
  <si>
    <t>raja bhakshi</t>
  </si>
  <si>
    <t>Shiva ganga</t>
  </si>
  <si>
    <t xml:space="preserve">  TR Associates</t>
  </si>
  <si>
    <t xml:space="preserve"> S R PATIL</t>
  </si>
  <si>
    <t>Talikote</t>
  </si>
  <si>
    <t>IOCL Card</t>
  </si>
  <si>
    <t>01.04.2026</t>
  </si>
  <si>
    <t>02.04.2026</t>
  </si>
  <si>
    <t>04.04.2026</t>
  </si>
  <si>
    <t>06.04.2026</t>
  </si>
  <si>
    <t>10.04.2026</t>
  </si>
  <si>
    <t>13.04.2026</t>
  </si>
  <si>
    <t>17.04.2026</t>
  </si>
  <si>
    <t>07.04.2026</t>
  </si>
  <si>
    <t>08.04.2026</t>
  </si>
  <si>
    <t>11.04.2026</t>
  </si>
  <si>
    <t>14.04.2026</t>
  </si>
  <si>
    <t>15.04.2026</t>
  </si>
  <si>
    <t>16.04.2026</t>
  </si>
  <si>
    <t>19.04.2026</t>
  </si>
  <si>
    <t>BPCL Card Ledger</t>
  </si>
  <si>
    <t>Petrol Bunk Name</t>
  </si>
  <si>
    <t>Card No</t>
  </si>
  <si>
    <t>Recharge Amount</t>
  </si>
  <si>
    <t>Redeem</t>
  </si>
  <si>
    <t>SHIVAGANGA SERVICE STATION BHARAT PETROLEUM DEALERS</t>
  </si>
  <si>
    <t>FC3450698863</t>
  </si>
  <si>
    <t>VASUDEO NIVRUTTI MAHAJAN BHARAT PETROLEUM DEALERS</t>
  </si>
  <si>
    <t>FC3450676132</t>
  </si>
  <si>
    <t>BP-KAKINADA BHARAT PETROLEUM CORPORATION L</t>
  </si>
  <si>
    <t>FC8000207659</t>
  </si>
  <si>
    <t>BP-QUARRY MARKET BHARAT PETROLEUM DEALERS</t>
  </si>
  <si>
    <t>P S NAGATHAN PETROLEUMS BHARAT PETROLEUM DEALERS</t>
  </si>
  <si>
    <t>FC8000207650</t>
  </si>
  <si>
    <t>PRIYANKA PETROLEUM BHARAT PETROLEUM DEALERS</t>
  </si>
  <si>
    <t>RAKSHA AUTO FUELS BHARAT PETROLEUM DEALERS</t>
  </si>
  <si>
    <t>SANDHYA FUEL STATION BHARAT PETROLEUM DEALERS</t>
  </si>
  <si>
    <t>SHREE SAI SAMARTH PETROLEUM BHARAT PETROLEUM DEALERS</t>
  </si>
  <si>
    <t>FC0323247261</t>
  </si>
  <si>
    <t>SHRI BRAHMANATH PETROLEUM BHARAT PETROLEUM DEALERS</t>
  </si>
  <si>
    <t>SHRI MARUTI PETRO FILLING LLP BHARAT PETROLEUM DEALERS</t>
  </si>
  <si>
    <t>SREE VEERABHADRESHWARA SER.STA BHARAT PETROLEUM DEALERS</t>
  </si>
  <si>
    <t>SRI DURGA BHAVANI FILLING STAT BHARAT PETROLEUM DEALERS</t>
  </si>
  <si>
    <t>FC3450698862</t>
  </si>
  <si>
    <t>T. R. ASSOCIATES BHARAT PETROLEUM DEALERS</t>
  </si>
  <si>
    <t>FC3450698868</t>
  </si>
  <si>
    <t>V.M.MIRJANKAR (KUMTA) BHARAT PETROLEUM DEALERS</t>
  </si>
  <si>
    <t>V.V.VARDE BHARAT PETROLEUM DEALERS</t>
  </si>
  <si>
    <t>FC8000207649</t>
  </si>
  <si>
    <t>03.04.2026</t>
  </si>
  <si>
    <t>VAJRA MAHALAKSHMI FILLING STAT BHARAT PETROLEUM DEALERS</t>
  </si>
  <si>
    <t>FC3450563997</t>
  </si>
  <si>
    <t>VIJAYA BHARAT FUEL &amp; SERVICES BHARAT PETROLEUM DEALERS</t>
  </si>
  <si>
    <t>05.04.2026</t>
  </si>
  <si>
    <t>BP-LALLACHERUVU BHARAT PETROLEUM DEALERS</t>
  </si>
  <si>
    <t>SAI SHIVA FILLING STATION BHARAT PETROLEUM DEALERS</t>
  </si>
  <si>
    <t>FC3450676135</t>
  </si>
  <si>
    <t>09.04.2026</t>
  </si>
  <si>
    <t>SRI SATYA DATTHA APARNA AGENCI BHARAT PETROLEUM DEALERS</t>
  </si>
  <si>
    <t>NS FUELLING SERVICES BHARAT PETROLEUM DEALERS</t>
  </si>
  <si>
    <t>RATHNA FUEL STATION BHARAT PETROLEUM DEALERS</t>
  </si>
  <si>
    <t>SRI BALAJI AGENCIES BHARAT PETROLEUM DEALERS</t>
  </si>
  <si>
    <t>SRI MARUTHI FILLING STATION BHARAT PETROLEUM DEALERS</t>
  </si>
  <si>
    <t>12.04.2026</t>
  </si>
  <si>
    <t>MAGAVI CITY FUELS BHARAT PETROLEUM DEALERS</t>
  </si>
  <si>
    <t>SRI BHIMESWARA AGENCIES BHARAT PETROLEUM DEALERS</t>
  </si>
  <si>
    <t>JUBILEE HILLS FILL. STN. BHARAT PETROLEUM DEALERS</t>
  </si>
  <si>
    <t>SANGAM SERVICE STATION BHARAT PETROLEUM DEALERS</t>
  </si>
  <si>
    <t>18.04.2026</t>
  </si>
  <si>
    <t>NIRANJANI FILLING STATION BHARAT PETROLEUM DEALERS</t>
  </si>
  <si>
    <t xml:space="preserve">KOPPALA VENKATASWAMYPETRO PROD KOPPALA </t>
  </si>
  <si>
    <t>HILLTOP FILLING STATION BHARAT PETROLEUM DEALERS</t>
  </si>
  <si>
    <t>20.04.2026</t>
  </si>
  <si>
    <t>21.04.2026</t>
  </si>
  <si>
    <t>SAI BABA FILLING STATION BHARAT PETROLEUM DEALERS</t>
  </si>
  <si>
    <t>FC3450563998</t>
  </si>
  <si>
    <t>EARTH PAVERS (HYD) PRIVATE LIM BHARAT PETROLEUM DEALERS</t>
  </si>
  <si>
    <t>SRI VARA GANAPATHI FUEL STATIO BHARAT PETROLEUM DEALERS</t>
  </si>
  <si>
    <t>LAMU FILLING STATION BHARAT PETROLEUM DEALERS</t>
  </si>
  <si>
    <t>SRI RAMANJANEYA PETROL &amp; DIESE BHARAT PETROLEUM DEALERS</t>
  </si>
  <si>
    <t>SRI VENKATESWARA ENTERPRISES BHARAT PETROLEUM DEALERS</t>
  </si>
  <si>
    <t>26.04.2026</t>
  </si>
  <si>
    <t>W SRINIVAS RAO &amp; SONS BHARAT PETROLEUM DEALERS</t>
  </si>
  <si>
    <t>2,84,905.31</t>
  </si>
  <si>
    <t>HPCL Card Ledger</t>
  </si>
  <si>
    <t>JAMBGI AUTO SERVICE</t>
  </si>
  <si>
    <t>Munnavali</t>
  </si>
  <si>
    <t>8200079005271387</t>
  </si>
  <si>
    <t>POORNIMA FILLING STATION</t>
  </si>
  <si>
    <t>8200079000522040</t>
  </si>
  <si>
    <t>AJ PETROLINKS</t>
  </si>
  <si>
    <t>Dharwad</t>
  </si>
  <si>
    <t>8200079004507062</t>
  </si>
  <si>
    <t>DIVYA LAXMI GANAPATHI AUTO SERVICES</t>
  </si>
  <si>
    <t>MSHSD SHRI HEMAGIRI PETROLEUM</t>
  </si>
  <si>
    <t>Guttal</t>
  </si>
  <si>
    <t>8200079004507121</t>
  </si>
  <si>
    <t>PANKAJA HP FUEL CENTRE</t>
  </si>
  <si>
    <t>YG Gudda</t>
  </si>
  <si>
    <t>8200079004507153</t>
  </si>
  <si>
    <t>SHIVA OIL TRADERS</t>
  </si>
  <si>
    <t>Rettihali</t>
  </si>
  <si>
    <t>8200079004507138</t>
  </si>
  <si>
    <t>SHRI SHIVA PETROLEUM</t>
  </si>
  <si>
    <t>JATPROLE FILLING STATION</t>
  </si>
  <si>
    <t>Venkatadri fuel Point</t>
  </si>
  <si>
    <t>KHANDELWAL PETROLEUM</t>
  </si>
  <si>
    <t>8200079004507112</t>
  </si>
  <si>
    <t>Jadcherala</t>
  </si>
  <si>
    <t>8200079000522041</t>
  </si>
  <si>
    <t>SR HP Filling station</t>
  </si>
  <si>
    <t>8200079000522057</t>
  </si>
  <si>
    <t>23.4.2026</t>
  </si>
  <si>
    <t>FC3450698866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</si>
</sst>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0.00_ "/>
    <numFmt numFmtId="167" formatCode="[$-409]h:mm\ AM/PM;@"/>
    <numFmt numFmtId="168" formatCode="_ * #,##0.0_ ;_ * \-#,##0.0_ ;_ * &quot;-&quot;??_ ;_ @_ "/>
    <numFmt numFmtId="169" formatCode="_ * #,##0_ ;_ * \-#,##0_ ;_ * &quot;-&quot;??_ ;_ @_ "/>
    <numFmt numFmtId="170" formatCode="_(* #,##0_);_(* \(#,##0\);_(* &quot;-&quot;??_);_(@_)"/>
    <numFmt numFmtId="171" formatCode="0.0"/>
    <numFmt numFmtId="172" formatCode="dd/mm/yyyy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2"/>
      <color rgb="FF000000"/>
      <name val="Book Antiqua"/>
      <family val="1"/>
    </font>
    <font>
      <sz val="11"/>
      <color rgb="FF000000"/>
      <name val="Cambria"/>
      <family val="1"/>
    </font>
    <font>
      <b/>
      <sz val="10"/>
      <color theme="1"/>
      <name val="Calibri"/>
    </font>
    <font>
      <sz val="10"/>
      <color theme="1"/>
      <name val="Calibri"/>
    </font>
    <font>
      <sz val="10"/>
      <color theme="0"/>
      <name val="Calibri"/>
    </font>
    <font>
      <sz val="12"/>
      <color rgb="FF000000"/>
      <name val="Calibri"/>
    </font>
    <font>
      <sz val="11"/>
      <color theme="0"/>
      <name val="Calibri"/>
    </font>
    <font>
      <sz val="12"/>
      <color theme="0"/>
      <name val="Calibri"/>
    </font>
    <font>
      <sz val="12"/>
      <color theme="0"/>
      <name val="Calibri"/>
      <family val="2"/>
      <scheme val="minor"/>
    </font>
    <font>
      <sz val="10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charset val="134"/>
    </font>
    <font>
      <sz val="11"/>
      <color rgb="FF242424"/>
      <name val="Aptos Narrow"/>
      <charset val="1"/>
    </font>
    <font>
      <b/>
      <sz val="12"/>
      <color rgb="FF000000"/>
      <name val="Calibri"/>
    </font>
    <font>
      <b/>
      <sz val="12"/>
      <color theme="1"/>
      <name val="Calibri"/>
      <family val="2"/>
      <scheme val="minor"/>
    </font>
    <font>
      <sz val="10"/>
      <color theme="1"/>
      <name val="Cambria"/>
      <family val="1"/>
    </font>
    <font>
      <sz val="11"/>
      <color theme="1"/>
      <name val="Calibri"/>
      <family val="2"/>
    </font>
    <font>
      <b/>
      <sz val="12"/>
      <color theme="0"/>
      <name val="Calibri"/>
    </font>
    <font>
      <sz val="12"/>
      <color theme="1"/>
      <name val="Calibri"/>
    </font>
    <font>
      <b/>
      <sz val="12"/>
      <color theme="1"/>
      <name val="Calibri"/>
    </font>
    <font>
      <u/>
      <sz val="11"/>
      <color theme="10"/>
      <name val="Calibri"/>
      <family val="2"/>
      <scheme val="minor"/>
    </font>
    <font>
      <sz val="11"/>
      <color theme="1"/>
      <name val="Cambria"/>
      <charset val="134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0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Calibri"/>
    </font>
    <font>
      <sz val="8"/>
      <color rgb="FF000000"/>
      <name val="Calibri"/>
    </font>
    <font>
      <sz val="11"/>
      <color rgb="FF000000"/>
      <name val="Calibri"/>
      <scheme val="minor"/>
    </font>
    <font>
      <sz val="11"/>
      <color rgb="FF242424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757171"/>
      </right>
      <top/>
      <bottom style="thin">
        <color rgb="FF75717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531">
    <xf numFmtId="0" fontId="0" fillId="0" borderId="0" xfId="0"/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1" applyFont="1" applyAlignment="1">
      <alignment horizontal="center" vertical="center"/>
    </xf>
    <xf numFmtId="0" fontId="3" fillId="0" borderId="0" xfId="0" applyFont="1"/>
    <xf numFmtId="0" fontId="3" fillId="0" borderId="5" xfId="0" applyFont="1" applyBorder="1"/>
    <xf numFmtId="164" fontId="3" fillId="0" borderId="2" xfId="1" applyFont="1" applyBorder="1" applyAlignment="1">
      <alignment horizontal="center" vertical="center"/>
    </xf>
    <xf numFmtId="164" fontId="3" fillId="0" borderId="5" xfId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3" fillId="0" borderId="2" xfId="1" applyFont="1" applyBorder="1" applyAlignment="1">
      <alignment vertical="center"/>
    </xf>
    <xf numFmtId="164" fontId="3" fillId="0" borderId="6" xfId="1" applyFont="1" applyBorder="1" applyAlignment="1">
      <alignment vertical="center"/>
    </xf>
    <xf numFmtId="164" fontId="3" fillId="0" borderId="2" xfId="1" applyFont="1" applyBorder="1" applyAlignment="1">
      <alignment horizontal="center" vertical="top"/>
    </xf>
    <xf numFmtId="164" fontId="3" fillId="0" borderId="6" xfId="1" applyFont="1" applyBorder="1" applyAlignment="1">
      <alignment horizontal="center" vertical="top"/>
    </xf>
    <xf numFmtId="164" fontId="3" fillId="0" borderId="4" xfId="1" applyFont="1" applyBorder="1" applyAlignment="1">
      <alignment horizontal="center" vertical="center"/>
    </xf>
    <xf numFmtId="0" fontId="0" fillId="0" borderId="5" xfId="0" applyBorder="1"/>
    <xf numFmtId="0" fontId="3" fillId="0" borderId="5" xfId="0" applyFont="1" applyBorder="1" applyAlignment="1">
      <alignment horizontal="center" vertical="center" wrapText="1"/>
    </xf>
    <xf numFmtId="164" fontId="3" fillId="0" borderId="12" xfId="1" applyFont="1" applyBorder="1" applyAlignment="1">
      <alignment horizontal="center" vertical="center"/>
    </xf>
    <xf numFmtId="164" fontId="3" fillId="0" borderId="7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2" fontId="0" fillId="0" borderId="0" xfId="0" applyNumberFormat="1"/>
    <xf numFmtId="0" fontId="7" fillId="0" borderId="2" xfId="3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2" xfId="1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9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164" fontId="10" fillId="0" borderId="5" xfId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4" fontId="10" fillId="0" borderId="0" xfId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2" fontId="0" fillId="0" borderId="5" xfId="0" applyNumberFormat="1" applyBorder="1"/>
    <xf numFmtId="164" fontId="3" fillId="0" borderId="5" xfId="1" applyFont="1" applyBorder="1" applyAlignment="1">
      <alignment vertical="center"/>
    </xf>
    <xf numFmtId="2" fontId="9" fillId="4" borderId="5" xfId="0" applyNumberFormat="1" applyFont="1" applyFill="1" applyBorder="1" applyAlignment="1">
      <alignment horizontal="center" vertical="center"/>
    </xf>
    <xf numFmtId="164" fontId="9" fillId="4" borderId="5" xfId="1" applyFont="1" applyFill="1" applyBorder="1" applyAlignment="1">
      <alignment horizontal="center" vertical="center"/>
    </xf>
    <xf numFmtId="0" fontId="5" fillId="0" borderId="5" xfId="0" applyFont="1" applyBorder="1"/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43" fontId="3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43" fontId="13" fillId="3" borderId="2" xfId="0" applyNumberFormat="1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43" fontId="13" fillId="3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0" fillId="0" borderId="0" xfId="0" applyFont="1"/>
    <xf numFmtId="2" fontId="4" fillId="4" borderId="5" xfId="0" applyNumberFormat="1" applyFont="1" applyFill="1" applyBorder="1" applyAlignment="1">
      <alignment horizontal="center" vertical="center"/>
    </xf>
    <xf numFmtId="164" fontId="4" fillId="4" borderId="5" xfId="1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/>
    </xf>
    <xf numFmtId="2" fontId="3" fillId="0" borderId="5" xfId="0" applyNumberFormat="1" applyFont="1" applyBorder="1"/>
    <xf numFmtId="0" fontId="3" fillId="0" borderId="5" xfId="0" applyFont="1" applyBorder="1" applyAlignment="1">
      <alignment vertical="center"/>
    </xf>
    <xf numFmtId="164" fontId="3" fillId="0" borderId="5" xfId="1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2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164" fontId="3" fillId="0" borderId="0" xfId="1" applyFont="1" applyAlignment="1">
      <alignment vertical="center"/>
    </xf>
    <xf numFmtId="164" fontId="3" fillId="0" borderId="0" xfId="1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4" fontId="3" fillId="0" borderId="5" xfId="1" applyFont="1" applyBorder="1" applyAlignment="1">
      <alignment horizontal="center" indent="1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43" fontId="13" fillId="3" borderId="5" xfId="0" applyNumberFormat="1" applyFont="1" applyFill="1" applyBorder="1" applyAlignment="1">
      <alignment horizontal="center" vertical="center" wrapText="1"/>
    </xf>
    <xf numFmtId="43" fontId="13" fillId="3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2" fontId="13" fillId="3" borderId="5" xfId="0" applyNumberFormat="1" applyFont="1" applyFill="1" applyBorder="1" applyAlignment="1">
      <alignment horizontal="center" vertical="center" wrapText="1"/>
    </xf>
    <xf numFmtId="2" fontId="13" fillId="3" borderId="5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12" xfId="0" applyFont="1" applyBorder="1"/>
    <xf numFmtId="0" fontId="0" fillId="0" borderId="13" xfId="0" applyBorder="1"/>
    <xf numFmtId="0" fontId="17" fillId="0" borderId="5" xfId="0" applyFont="1" applyBorder="1"/>
    <xf numFmtId="2" fontId="17" fillId="0" borderId="5" xfId="0" applyNumberFormat="1" applyFont="1" applyBorder="1"/>
    <xf numFmtId="0" fontId="0" fillId="0" borderId="10" xfId="0" applyBorder="1"/>
    <xf numFmtId="0" fontId="13" fillId="3" borderId="1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11" fillId="3" borderId="5" xfId="0" applyFont="1" applyFill="1" applyBorder="1" applyAlignment="1">
      <alignment horizontal="center" vertical="center"/>
    </xf>
    <xf numFmtId="0" fontId="18" fillId="0" borderId="5" xfId="0" applyFont="1" applyBorder="1"/>
    <xf numFmtId="164" fontId="0" fillId="0" borderId="5" xfId="0" applyNumberFormat="1" applyBorder="1"/>
    <xf numFmtId="0" fontId="11" fillId="3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4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4" fontId="3" fillId="0" borderId="18" xfId="1" applyFont="1" applyFill="1" applyBorder="1" applyAlignment="1">
      <alignment horizontal="center" vertical="center"/>
    </xf>
    <xf numFmtId="43" fontId="11" fillId="3" borderId="17" xfId="0" applyNumberFormat="1" applyFont="1" applyFill="1" applyBorder="1" applyAlignment="1">
      <alignment horizontal="center" vertical="center" wrapText="1"/>
    </xf>
    <xf numFmtId="43" fontId="11" fillId="3" borderId="6" xfId="0" applyNumberFormat="1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/>
    </xf>
    <xf numFmtId="0" fontId="11" fillId="3" borderId="6" xfId="0" applyFont="1" applyFill="1" applyBorder="1" applyAlignment="1">
      <alignment horizontal="center" vertical="center"/>
    </xf>
    <xf numFmtId="43" fontId="11" fillId="3" borderId="6" xfId="0" applyNumberFormat="1" applyFont="1" applyFill="1" applyBorder="1" applyAlignment="1">
      <alignment horizontal="center" vertical="center"/>
    </xf>
    <xf numFmtId="43" fontId="11" fillId="3" borderId="17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12" fillId="0" borderId="7" xfId="3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" fontId="6" fillId="0" borderId="5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4" fontId="6" fillId="0" borderId="12" xfId="0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 wrapText="1"/>
    </xf>
    <xf numFmtId="43" fontId="13" fillId="3" borderId="13" xfId="0" applyNumberFormat="1" applyFont="1" applyFill="1" applyBorder="1" applyAlignment="1">
      <alignment horizontal="center" vertical="center" wrapText="1"/>
    </xf>
    <xf numFmtId="43" fontId="13" fillId="3" borderId="13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164" fontId="3" fillId="0" borderId="12" xfId="0" applyNumberFormat="1" applyFont="1" applyBorder="1" applyAlignment="1">
      <alignment vertical="center"/>
    </xf>
    <xf numFmtId="164" fontId="3" fillId="0" borderId="12" xfId="1" applyFont="1" applyBorder="1" applyAlignment="1">
      <alignment horizontal="center" vertical="top"/>
    </xf>
    <xf numFmtId="164" fontId="9" fillId="0" borderId="5" xfId="1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164" fontId="0" fillId="0" borderId="0" xfId="0" applyNumberFormat="1"/>
    <xf numFmtId="43" fontId="0" fillId="0" borderId="5" xfId="0" applyNumberFormat="1" applyBorder="1"/>
    <xf numFmtId="0" fontId="0" fillId="0" borderId="12" xfId="0" applyBorder="1"/>
    <xf numFmtId="43" fontId="13" fillId="3" borderId="6" xfId="0" applyNumberFormat="1" applyFont="1" applyFill="1" applyBorder="1" applyAlignment="1">
      <alignment horizontal="center" vertical="center" wrapText="1"/>
    </xf>
    <xf numFmtId="43" fontId="13" fillId="3" borderId="6" xfId="0" applyNumberFormat="1" applyFont="1" applyFill="1" applyBorder="1" applyAlignment="1">
      <alignment horizontal="center" vertical="center"/>
    </xf>
    <xf numFmtId="164" fontId="3" fillId="0" borderId="8" xfId="1" applyFont="1" applyBorder="1" applyAlignment="1">
      <alignment horizontal="center" vertical="center"/>
    </xf>
    <xf numFmtId="164" fontId="3" fillId="0" borderId="7" xfId="1" applyFont="1" applyBorder="1" applyAlignment="1">
      <alignment horizontal="center" vertical="top"/>
    </xf>
    <xf numFmtId="164" fontId="3" fillId="0" borderId="7" xfId="1" applyFont="1" applyBorder="1" applyAlignment="1">
      <alignment vertical="center"/>
    </xf>
    <xf numFmtId="43" fontId="13" fillId="3" borderId="17" xfId="0" applyNumberFormat="1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43" fontId="3" fillId="2" borderId="5" xfId="0" applyNumberFormat="1" applyFont="1" applyFill="1" applyBorder="1" applyAlignment="1">
      <alignment horizontal="center" vertical="center" wrapText="1"/>
    </xf>
    <xf numFmtId="43" fontId="3" fillId="2" borderId="5" xfId="0" applyNumberFormat="1" applyFont="1" applyFill="1" applyBorder="1" applyAlignment="1">
      <alignment horizontal="center" vertical="center"/>
    </xf>
    <xf numFmtId="43" fontId="5" fillId="2" borderId="5" xfId="0" applyNumberFormat="1" applyFont="1" applyFill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166" fontId="3" fillId="0" borderId="12" xfId="0" applyNumberFormat="1" applyFont="1" applyBorder="1" applyAlignment="1">
      <alignment horizontal="center"/>
    </xf>
    <xf numFmtId="2" fontId="3" fillId="0" borderId="12" xfId="0" applyNumberFormat="1" applyFont="1" applyBorder="1"/>
    <xf numFmtId="0" fontId="13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43" fontId="13" fillId="2" borderId="5" xfId="0" applyNumberFormat="1" applyFont="1" applyFill="1" applyBorder="1" applyAlignment="1">
      <alignment horizontal="center" vertical="center" wrapText="1"/>
    </xf>
    <xf numFmtId="43" fontId="13" fillId="2" borderId="5" xfId="0" applyNumberFormat="1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vertical="center"/>
    </xf>
    <xf numFmtId="2" fontId="4" fillId="4" borderId="12" xfId="0" applyNumberFormat="1" applyFont="1" applyFill="1" applyBorder="1" applyAlignment="1">
      <alignment horizontal="center" vertical="center"/>
    </xf>
    <xf numFmtId="164" fontId="4" fillId="4" borderId="12" xfId="1" applyFont="1" applyFill="1" applyBorder="1" applyAlignment="1">
      <alignment horizontal="center" vertical="center"/>
    </xf>
    <xf numFmtId="2" fontId="3" fillId="0" borderId="5" xfId="0" applyNumberFormat="1" applyFont="1" applyBorder="1" applyAlignment="1">
      <alignment horizontal="right"/>
    </xf>
    <xf numFmtId="164" fontId="4" fillId="0" borderId="5" xfId="1" applyFont="1" applyBorder="1" applyAlignment="1">
      <alignment horizontal="center" vertical="center" indent="1"/>
    </xf>
    <xf numFmtId="0" fontId="5" fillId="0" borderId="5" xfId="0" applyFont="1" applyBorder="1" applyAlignment="1">
      <alignment vertical="center"/>
    </xf>
    <xf numFmtId="164" fontId="3" fillId="0" borderId="5" xfId="0" applyNumberFormat="1" applyFont="1" applyBorder="1" applyAlignment="1">
      <alignment horizontal="center" vertical="center"/>
    </xf>
    <xf numFmtId="43" fontId="11" fillId="3" borderId="5" xfId="0" applyNumberFormat="1" applyFont="1" applyFill="1" applyBorder="1" applyAlignment="1">
      <alignment horizontal="center" vertical="center"/>
    </xf>
    <xf numFmtId="0" fontId="18" fillId="2" borderId="5" xfId="0" applyFont="1" applyFill="1" applyBorder="1"/>
    <xf numFmtId="0" fontId="10" fillId="0" borderId="17" xfId="0" applyFont="1" applyBorder="1" applyAlignment="1">
      <alignment horizontal="center" vertical="center"/>
    </xf>
    <xf numFmtId="0" fontId="3" fillId="0" borderId="13" xfId="0" applyFont="1" applyBorder="1"/>
    <xf numFmtId="14" fontId="3" fillId="0" borderId="13" xfId="0" applyNumberFormat="1" applyFont="1" applyBorder="1" applyAlignment="1">
      <alignment horizontal="center"/>
    </xf>
    <xf numFmtId="2" fontId="3" fillId="0" borderId="13" xfId="0" applyNumberFormat="1" applyFont="1" applyBorder="1"/>
    <xf numFmtId="2" fontId="3" fillId="0" borderId="13" xfId="0" applyNumberFormat="1" applyFont="1" applyBorder="1" applyAlignment="1">
      <alignment horizontal="right"/>
    </xf>
    <xf numFmtId="43" fontId="5" fillId="2" borderId="13" xfId="0" applyNumberFormat="1" applyFont="1" applyFill="1" applyBorder="1" applyAlignment="1">
      <alignment horizontal="center" vertical="center"/>
    </xf>
    <xf numFmtId="43" fontId="0" fillId="0" borderId="0" xfId="0" applyNumberFormat="1"/>
    <xf numFmtId="2" fontId="13" fillId="3" borderId="13" xfId="0" applyNumberFormat="1" applyFont="1" applyFill="1" applyBorder="1" applyAlignment="1">
      <alignment horizontal="center" vertical="center"/>
    </xf>
    <xf numFmtId="0" fontId="3" fillId="0" borderId="5" xfId="1" applyNumberFormat="1" applyFont="1" applyBorder="1" applyAlignment="1">
      <alignment vertical="center"/>
    </xf>
    <xf numFmtId="0" fontId="3" fillId="0" borderId="11" xfId="0" applyFont="1" applyBorder="1"/>
    <xf numFmtId="2" fontId="4" fillId="0" borderId="0" xfId="0" applyNumberFormat="1" applyFont="1"/>
    <xf numFmtId="2" fontId="0" fillId="0" borderId="12" xfId="0" applyNumberFormat="1" applyBorder="1"/>
    <xf numFmtId="0" fontId="10" fillId="0" borderId="13" xfId="0" applyFont="1" applyBorder="1" applyAlignment="1">
      <alignment horizontal="center" vertical="center"/>
    </xf>
    <xf numFmtId="2" fontId="9" fillId="4" borderId="26" xfId="0" applyNumberFormat="1" applyFont="1" applyFill="1" applyBorder="1" applyAlignment="1">
      <alignment horizontal="center" vertical="center"/>
    </xf>
    <xf numFmtId="164" fontId="3" fillId="0" borderId="13" xfId="1" applyFont="1" applyBorder="1" applyAlignment="1">
      <alignment horizontal="center" vertical="center"/>
    </xf>
    <xf numFmtId="0" fontId="13" fillId="3" borderId="6" xfId="0" applyFont="1" applyFill="1" applyBorder="1" applyAlignment="1">
      <alignment horizontal="right" vertical="center" wrapText="1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43" fontId="13" fillId="3" borderId="6" xfId="0" applyNumberFormat="1" applyFont="1" applyFill="1" applyBorder="1" applyAlignment="1">
      <alignment horizontal="right" vertical="center" wrapText="1"/>
    </xf>
    <xf numFmtId="0" fontId="3" fillId="0" borderId="5" xfId="3" applyNumberFormat="1" applyFont="1" applyBorder="1" applyAlignment="1">
      <alignment vertical="center"/>
    </xf>
    <xf numFmtId="3" fontId="3" fillId="0" borderId="5" xfId="3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13" xfId="0" applyFont="1" applyBorder="1" applyAlignment="1">
      <alignment vertical="center" wrapText="1"/>
    </xf>
    <xf numFmtId="164" fontId="3" fillId="0" borderId="13" xfId="1" applyFont="1" applyBorder="1" applyAlignment="1">
      <alignment vertical="center"/>
    </xf>
    <xf numFmtId="164" fontId="3" fillId="0" borderId="11" xfId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0" borderId="13" xfId="0" applyFont="1" applyBorder="1" applyAlignment="1">
      <alignment vertical="center"/>
    </xf>
    <xf numFmtId="0" fontId="3" fillId="0" borderId="12" xfId="0" applyFont="1" applyBorder="1" applyAlignment="1">
      <alignment horizontal="center"/>
    </xf>
    <xf numFmtId="164" fontId="10" fillId="0" borderId="10" xfId="1" applyFont="1" applyBorder="1" applyAlignment="1">
      <alignment horizontal="center" vertical="center"/>
    </xf>
    <xf numFmtId="164" fontId="10" fillId="0" borderId="11" xfId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right" vertical="center"/>
    </xf>
    <xf numFmtId="164" fontId="10" fillId="0" borderId="5" xfId="1" applyFont="1" applyBorder="1" applyAlignment="1">
      <alignment horizontal="left" vertical="top"/>
    </xf>
    <xf numFmtId="165" fontId="3" fillId="0" borderId="10" xfId="0" applyNumberFormat="1" applyFont="1" applyBorder="1" applyAlignment="1">
      <alignment horizontal="center"/>
    </xf>
    <xf numFmtId="164" fontId="9" fillId="0" borderId="13" xfId="1" applyFont="1" applyBorder="1" applyAlignment="1">
      <alignment horizontal="center" vertical="center"/>
    </xf>
    <xf numFmtId="0" fontId="10" fillId="0" borderId="13" xfId="0" applyFont="1" applyBorder="1"/>
    <xf numFmtId="2" fontId="9" fillId="4" borderId="12" xfId="0" applyNumberFormat="1" applyFont="1" applyFill="1" applyBorder="1" applyAlignment="1">
      <alignment horizontal="center" vertical="center"/>
    </xf>
    <xf numFmtId="164" fontId="9" fillId="4" borderId="12" xfId="1" applyFont="1" applyFill="1" applyBorder="1" applyAlignment="1">
      <alignment horizontal="center" vertical="center"/>
    </xf>
    <xf numFmtId="0" fontId="12" fillId="0" borderId="5" xfId="3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2" fillId="0" borderId="17" xfId="3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3" fillId="0" borderId="12" xfId="1" applyNumberFormat="1" applyFont="1" applyBorder="1" applyAlignment="1">
      <alignment vertical="center"/>
    </xf>
    <xf numFmtId="164" fontId="3" fillId="0" borderId="12" xfId="1" applyFont="1" applyBorder="1" applyAlignment="1">
      <alignment vertical="center"/>
    </xf>
    <xf numFmtId="2" fontId="0" fillId="0" borderId="13" xfId="0" applyNumberFormat="1" applyBorder="1"/>
    <xf numFmtId="2" fontId="13" fillId="3" borderId="13" xfId="0" applyNumberFormat="1" applyFont="1" applyFill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0" fontId="13" fillId="2" borderId="13" xfId="0" applyFont="1" applyFill="1" applyBorder="1" applyAlignment="1">
      <alignment horizontal="center" vertical="center" wrapText="1"/>
    </xf>
    <xf numFmtId="164" fontId="10" fillId="0" borderId="12" xfId="1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165" fontId="3" fillId="0" borderId="27" xfId="0" applyNumberFormat="1" applyFont="1" applyBorder="1" applyAlignment="1">
      <alignment horizontal="center"/>
    </xf>
    <xf numFmtId="0" fontId="0" fillId="0" borderId="21" xfId="0" applyBorder="1"/>
    <xf numFmtId="0" fontId="3" fillId="0" borderId="10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15" fontId="18" fillId="2" borderId="5" xfId="0" applyNumberFormat="1" applyFont="1" applyFill="1" applyBorder="1"/>
    <xf numFmtId="0" fontId="5" fillId="0" borderId="13" xfId="0" applyFont="1" applyBorder="1"/>
    <xf numFmtId="0" fontId="20" fillId="0" borderId="0" xfId="0" applyFont="1"/>
    <xf numFmtId="2" fontId="13" fillId="3" borderId="6" xfId="0" applyNumberFormat="1" applyFont="1" applyFill="1" applyBorder="1" applyAlignment="1">
      <alignment horizontal="center" vertical="center" wrapText="1"/>
    </xf>
    <xf numFmtId="2" fontId="13" fillId="3" borderId="6" xfId="0" applyNumberFormat="1" applyFont="1" applyFill="1" applyBorder="1" applyAlignment="1">
      <alignment horizontal="center" vertical="center"/>
    </xf>
    <xf numFmtId="0" fontId="17" fillId="0" borderId="13" xfId="0" applyFont="1" applyBorder="1"/>
    <xf numFmtId="2" fontId="9" fillId="4" borderId="5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164" fontId="3" fillId="2" borderId="5" xfId="1" applyFont="1" applyFill="1" applyBorder="1" applyAlignment="1">
      <alignment horizontal="center" vertical="center"/>
    </xf>
    <xf numFmtId="164" fontId="9" fillId="0" borderId="10" xfId="1" applyFont="1" applyBorder="1" applyAlignment="1">
      <alignment vertical="center"/>
    </xf>
    <xf numFmtId="0" fontId="0" fillId="0" borderId="11" xfId="0" applyBorder="1"/>
    <xf numFmtId="164" fontId="10" fillId="0" borderId="8" xfId="1" applyFont="1" applyBorder="1" applyAlignment="1">
      <alignment horizontal="center" vertical="center"/>
    </xf>
    <xf numFmtId="164" fontId="10" fillId="0" borderId="4" xfId="1" applyFont="1" applyBorder="1" applyAlignment="1">
      <alignment horizontal="center" vertical="center"/>
    </xf>
    <xf numFmtId="164" fontId="10" fillId="0" borderId="18" xfId="1" applyFont="1" applyBorder="1" applyAlignment="1">
      <alignment horizontal="center" vertical="center"/>
    </xf>
    <xf numFmtId="164" fontId="10" fillId="0" borderId="24" xfId="1" applyFont="1" applyBorder="1" applyAlignment="1">
      <alignment horizontal="center" vertical="center"/>
    </xf>
    <xf numFmtId="167" fontId="0" fillId="0" borderId="0" xfId="0" applyNumberFormat="1"/>
    <xf numFmtId="4" fontId="3" fillId="0" borderId="0" xfId="0" applyNumberFormat="1" applyFont="1" applyAlignment="1">
      <alignment vertical="center" wrapText="1"/>
    </xf>
    <xf numFmtId="43" fontId="3" fillId="0" borderId="0" xfId="0" applyNumberFormat="1" applyFont="1" applyAlignment="1">
      <alignment vertical="center"/>
    </xf>
    <xf numFmtId="4" fontId="0" fillId="0" borderId="0" xfId="0" applyNumberFormat="1"/>
    <xf numFmtId="168" fontId="3" fillId="0" borderId="2" xfId="1" applyNumberFormat="1" applyFont="1" applyBorder="1" applyAlignment="1">
      <alignment horizontal="center" vertical="top"/>
    </xf>
    <xf numFmtId="0" fontId="4" fillId="7" borderId="0" xfId="0" applyFont="1" applyFill="1" applyAlignment="1">
      <alignment vertical="center"/>
    </xf>
    <xf numFmtId="0" fontId="17" fillId="7" borderId="0" xfId="0" applyFont="1" applyFill="1"/>
    <xf numFmtId="0" fontId="0" fillId="0" borderId="12" xfId="0" applyBorder="1" applyAlignment="1">
      <alignment horizontal="center"/>
    </xf>
    <xf numFmtId="0" fontId="14" fillId="5" borderId="5" xfId="0" applyFont="1" applyFill="1" applyBorder="1" applyAlignment="1">
      <alignment horizontal="center" vertical="center"/>
    </xf>
    <xf numFmtId="0" fontId="22" fillId="6" borderId="13" xfId="0" applyFont="1" applyFill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2" fontId="3" fillId="0" borderId="5" xfId="1" applyNumberFormat="1" applyFont="1" applyBorder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4" fontId="5" fillId="0" borderId="5" xfId="0" applyNumberFormat="1" applyFont="1" applyBorder="1"/>
    <xf numFmtId="164" fontId="0" fillId="0" borderId="0" xfId="0" applyNumberFormat="1" applyAlignment="1">
      <alignment horizontal="center"/>
    </xf>
    <xf numFmtId="0" fontId="13" fillId="3" borderId="6" xfId="0" applyFont="1" applyFill="1" applyBorder="1" applyAlignment="1">
      <alignment vertical="center" wrapText="1"/>
    </xf>
    <xf numFmtId="166" fontId="3" fillId="0" borderId="5" xfId="0" applyNumberFormat="1" applyFont="1" applyBorder="1"/>
    <xf numFmtId="164" fontId="4" fillId="4" borderId="5" xfId="1" applyFont="1" applyFill="1" applyBorder="1" applyAlignment="1">
      <alignment vertical="center"/>
    </xf>
    <xf numFmtId="169" fontId="0" fillId="0" borderId="11" xfId="0" applyNumberFormat="1" applyBorder="1"/>
    <xf numFmtId="0" fontId="23" fillId="0" borderId="11" xfId="0" applyFont="1" applyBorder="1" applyAlignment="1">
      <alignment horizontal="center" vertical="center"/>
    </xf>
    <xf numFmtId="1" fontId="17" fillId="0" borderId="20" xfId="0" applyNumberFormat="1" applyFont="1" applyBorder="1" applyAlignment="1">
      <alignment vertical="center"/>
    </xf>
    <xf numFmtId="164" fontId="19" fillId="0" borderId="32" xfId="1" applyFont="1" applyBorder="1" applyAlignment="1">
      <alignment horizontal="center"/>
    </xf>
    <xf numFmtId="1" fontId="3" fillId="2" borderId="5" xfId="0" applyNumberFormat="1" applyFont="1" applyFill="1" applyBorder="1" applyAlignment="1">
      <alignment horizontal="center" vertical="center"/>
    </xf>
    <xf numFmtId="169" fontId="0" fillId="0" borderId="0" xfId="0" applyNumberFormat="1"/>
    <xf numFmtId="0" fontId="8" fillId="0" borderId="5" xfId="0" applyFont="1" applyBorder="1"/>
    <xf numFmtId="166" fontId="24" fillId="0" borderId="5" xfId="0" applyNumberFormat="1" applyFont="1" applyBorder="1" applyAlignment="1">
      <alignment horizontal="center"/>
    </xf>
    <xf numFmtId="166" fontId="23" fillId="0" borderId="5" xfId="0" applyNumberFormat="1" applyFont="1" applyBorder="1" applyAlignment="1">
      <alignment horizontal="center" vertical="center"/>
    </xf>
    <xf numFmtId="0" fontId="25" fillId="8" borderId="28" xfId="0" applyFont="1" applyFill="1" applyBorder="1"/>
    <xf numFmtId="0" fontId="25" fillId="8" borderId="29" xfId="0" applyFont="1" applyFill="1" applyBorder="1"/>
    <xf numFmtId="2" fontId="25" fillId="8" borderId="29" xfId="0" applyNumberFormat="1" applyFont="1" applyFill="1" applyBorder="1"/>
    <xf numFmtId="2" fontId="25" fillId="8" borderId="30" xfId="0" applyNumberFormat="1" applyFont="1" applyFill="1" applyBorder="1"/>
    <xf numFmtId="0" fontId="26" fillId="0" borderId="0" xfId="0" applyFont="1"/>
    <xf numFmtId="0" fontId="26" fillId="0" borderId="5" xfId="0" applyFont="1" applyBorder="1"/>
    <xf numFmtId="1" fontId="26" fillId="2" borderId="5" xfId="0" applyNumberFormat="1" applyFont="1" applyFill="1" applyBorder="1"/>
    <xf numFmtId="0" fontId="26" fillId="0" borderId="5" xfId="0" applyFont="1" applyBorder="1" applyAlignment="1">
      <alignment wrapText="1"/>
    </xf>
    <xf numFmtId="2" fontId="26" fillId="0" borderId="5" xfId="0" applyNumberFormat="1" applyFont="1" applyBorder="1"/>
    <xf numFmtId="2" fontId="26" fillId="0" borderId="0" xfId="0" applyNumberFormat="1" applyFont="1"/>
    <xf numFmtId="1" fontId="26" fillId="0" borderId="0" xfId="0" applyNumberFormat="1" applyFont="1"/>
    <xf numFmtId="164" fontId="28" fillId="0" borderId="5" xfId="4" applyNumberFormat="1" applyBorder="1" applyAlignment="1">
      <alignment horizontal="center" vertical="center"/>
    </xf>
    <xf numFmtId="0" fontId="14" fillId="5" borderId="5" xfId="0" applyFont="1" applyFill="1" applyBorder="1" applyAlignment="1">
      <alignment horizontal="right" vertical="center"/>
    </xf>
    <xf numFmtId="0" fontId="13" fillId="3" borderId="5" xfId="0" applyFont="1" applyFill="1" applyBorder="1" applyAlignment="1">
      <alignment horizontal="right" vertical="center" wrapText="1"/>
    </xf>
    <xf numFmtId="2" fontId="13" fillId="3" borderId="5" xfId="0" applyNumberFormat="1" applyFont="1" applyFill="1" applyBorder="1" applyAlignment="1">
      <alignment horizontal="right" vertical="center" wrapText="1"/>
    </xf>
    <xf numFmtId="0" fontId="13" fillId="3" borderId="5" xfId="0" applyFont="1" applyFill="1" applyBorder="1" applyAlignment="1">
      <alignment horizontal="right" vertical="center"/>
    </xf>
    <xf numFmtId="2" fontId="13" fillId="3" borderId="5" xfId="0" applyNumberFormat="1" applyFont="1" applyFill="1" applyBorder="1" applyAlignment="1">
      <alignment horizontal="right" vertical="center"/>
    </xf>
    <xf numFmtId="43" fontId="13" fillId="3" borderId="5" xfId="0" applyNumberFormat="1" applyFont="1" applyFill="1" applyBorder="1" applyAlignment="1">
      <alignment horizontal="right" vertical="center"/>
    </xf>
    <xf numFmtId="0" fontId="22" fillId="6" borderId="13" xfId="0" applyFont="1" applyFill="1" applyBorder="1" applyAlignment="1">
      <alignment horizontal="right"/>
    </xf>
    <xf numFmtId="2" fontId="21" fillId="6" borderId="21" xfId="0" applyNumberFormat="1" applyFont="1" applyFill="1" applyBorder="1" applyAlignment="1">
      <alignment horizontal="right"/>
    </xf>
    <xf numFmtId="2" fontId="21" fillId="6" borderId="11" xfId="0" applyNumberFormat="1" applyFont="1" applyFill="1" applyBorder="1" applyAlignment="1">
      <alignment horizontal="right"/>
    </xf>
    <xf numFmtId="2" fontId="0" fillId="0" borderId="5" xfId="0" applyNumberFormat="1" applyBorder="1" applyAlignment="1">
      <alignment horizontal="right"/>
    </xf>
    <xf numFmtId="2" fontId="0" fillId="2" borderId="5" xfId="0" applyNumberFormat="1" applyFill="1" applyBorder="1" applyAlignment="1">
      <alignment horizontal="right"/>
    </xf>
    <xf numFmtId="2" fontId="0" fillId="0" borderId="13" xfId="0" applyNumberFormat="1" applyBorder="1" applyAlignment="1">
      <alignment horizontal="right"/>
    </xf>
    <xf numFmtId="2" fontId="0" fillId="0" borderId="11" xfId="0" applyNumberFormat="1" applyBorder="1" applyAlignment="1">
      <alignment horizontal="right"/>
    </xf>
    <xf numFmtId="2" fontId="0" fillId="0" borderId="12" xfId="0" applyNumberFormat="1" applyBorder="1" applyAlignment="1">
      <alignment horizontal="right"/>
    </xf>
    <xf numFmtId="0" fontId="0" fillId="0" borderId="13" xfId="0" applyBorder="1" applyAlignment="1">
      <alignment horizontal="right"/>
    </xf>
    <xf numFmtId="2" fontId="4" fillId="2" borderId="1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vertical="center"/>
    </xf>
    <xf numFmtId="43" fontId="5" fillId="2" borderId="12" xfId="0" applyNumberFormat="1" applyFont="1" applyFill="1" applyBorder="1" applyAlignment="1">
      <alignment horizontal="center" vertical="center"/>
    </xf>
    <xf numFmtId="164" fontId="29" fillId="0" borderId="5" xfId="1" applyFont="1" applyBorder="1" applyAlignment="1"/>
    <xf numFmtId="0" fontId="24" fillId="0" borderId="5" xfId="0" applyFont="1" applyBorder="1"/>
    <xf numFmtId="1" fontId="26" fillId="2" borderId="0" xfId="1" applyNumberFormat="1" applyFont="1" applyFill="1" applyBorder="1" applyAlignment="1">
      <alignment vertical="center"/>
    </xf>
    <xf numFmtId="170" fontId="5" fillId="2" borderId="5" xfId="0" applyNumberFormat="1" applyFont="1" applyFill="1" applyBorder="1" applyAlignment="1">
      <alignment horizontal="center" vertical="center"/>
    </xf>
    <xf numFmtId="170" fontId="0" fillId="0" borderId="11" xfId="0" applyNumberFormat="1" applyBorder="1"/>
    <xf numFmtId="43" fontId="30" fillId="0" borderId="0" xfId="0" applyNumberFormat="1" applyFont="1"/>
    <xf numFmtId="2" fontId="13" fillId="3" borderId="17" xfId="0" applyNumberFormat="1" applyFont="1" applyFill="1" applyBorder="1" applyAlignment="1">
      <alignment horizontal="center" vertical="center"/>
    </xf>
    <xf numFmtId="2" fontId="0" fillId="0" borderId="11" xfId="0" applyNumberFormat="1" applyBorder="1"/>
    <xf numFmtId="2" fontId="0" fillId="2" borderId="11" xfId="0" applyNumberFormat="1" applyFill="1" applyBorder="1" applyAlignment="1">
      <alignment horizontal="right"/>
    </xf>
    <xf numFmtId="0" fontId="0" fillId="2" borderId="10" xfId="0" applyFill="1" applyBorder="1"/>
    <xf numFmtId="0" fontId="18" fillId="0" borderId="12" xfId="0" applyFont="1" applyBorder="1"/>
    <xf numFmtId="2" fontId="21" fillId="6" borderId="25" xfId="0" applyNumberFormat="1" applyFont="1" applyFill="1" applyBorder="1" applyAlignment="1">
      <alignment horizontal="right"/>
    </xf>
    <xf numFmtId="2" fontId="0" fillId="2" borderId="12" xfId="0" applyNumberFormat="1" applyFill="1" applyBorder="1" applyAlignment="1">
      <alignment horizontal="right"/>
    </xf>
    <xf numFmtId="0" fontId="18" fillId="0" borderId="13" xfId="0" applyFont="1" applyBorder="1"/>
    <xf numFmtId="0" fontId="3" fillId="2" borderId="31" xfId="0" applyFont="1" applyFill="1" applyBorder="1"/>
    <xf numFmtId="2" fontId="0" fillId="0" borderId="24" xfId="0" applyNumberFormat="1" applyBorder="1" applyAlignment="1">
      <alignment horizontal="right"/>
    </xf>
    <xf numFmtId="0" fontId="18" fillId="0" borderId="11" xfId="0" applyFont="1" applyBorder="1"/>
    <xf numFmtId="0" fontId="18" fillId="2" borderId="13" xfId="0" applyFont="1" applyFill="1" applyBorder="1"/>
    <xf numFmtId="0" fontId="18" fillId="2" borderId="12" xfId="0" applyFont="1" applyFill="1" applyBorder="1"/>
    <xf numFmtId="166" fontId="29" fillId="0" borderId="5" xfId="0" applyNumberFormat="1" applyFont="1" applyBorder="1" applyAlignment="1">
      <alignment horizontal="center"/>
    </xf>
    <xf numFmtId="2" fontId="3" fillId="0" borderId="3" xfId="1" applyNumberFormat="1" applyFont="1" applyBorder="1" applyAlignment="1">
      <alignment vertical="center"/>
    </xf>
    <xf numFmtId="0" fontId="25" fillId="8" borderId="5" xfId="0" applyFont="1" applyFill="1" applyBorder="1"/>
    <xf numFmtId="2" fontId="25" fillId="8" borderId="5" xfId="0" applyNumberFormat="1" applyFont="1" applyFill="1" applyBorder="1"/>
    <xf numFmtId="0" fontId="26" fillId="10" borderId="5" xfId="0" applyFont="1" applyFill="1" applyBorder="1"/>
    <xf numFmtId="164" fontId="29" fillId="0" borderId="5" xfId="1" applyFont="1" applyBorder="1" applyAlignment="1">
      <alignment vertical="center"/>
    </xf>
    <xf numFmtId="0" fontId="0" fillId="0" borderId="5" xfId="0" applyBorder="1" applyAlignment="1">
      <alignment horizontal="left"/>
    </xf>
    <xf numFmtId="0" fontId="30" fillId="0" borderId="0" xfId="0" applyFont="1"/>
    <xf numFmtId="0" fontId="0" fillId="0" borderId="11" xfId="0" applyBorder="1" applyAlignment="1">
      <alignment horizontal="right"/>
    </xf>
    <xf numFmtId="0" fontId="0" fillId="0" borderId="24" xfId="0" applyBorder="1" applyAlignment="1">
      <alignment horizontal="right"/>
    </xf>
    <xf numFmtId="1" fontId="0" fillId="0" borderId="0" xfId="0" applyNumberFormat="1"/>
    <xf numFmtId="0" fontId="29" fillId="0" borderId="5" xfId="0" applyFont="1" applyBorder="1"/>
    <xf numFmtId="0" fontId="18" fillId="0" borderId="33" xfId="0" applyFont="1" applyBorder="1"/>
    <xf numFmtId="15" fontId="18" fillId="2" borderId="10" xfId="0" applyNumberFormat="1" applyFont="1" applyFill="1" applyBorder="1"/>
    <xf numFmtId="164" fontId="3" fillId="0" borderId="10" xfId="0" applyNumberFormat="1" applyFont="1" applyBorder="1" applyAlignment="1">
      <alignment vertical="center"/>
    </xf>
    <xf numFmtId="166" fontId="3" fillId="0" borderId="13" xfId="0" applyNumberFormat="1" applyFont="1" applyBorder="1"/>
    <xf numFmtId="164" fontId="3" fillId="0" borderId="13" xfId="1" applyFont="1" applyBorder="1" applyAlignment="1">
      <alignment horizontal="center" vertical="top"/>
    </xf>
    <xf numFmtId="164" fontId="10" fillId="2" borderId="5" xfId="1" applyFont="1" applyFill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/>
    </xf>
    <xf numFmtId="0" fontId="3" fillId="0" borderId="12" xfId="0" applyFont="1" applyBorder="1"/>
    <xf numFmtId="164" fontId="19" fillId="0" borderId="2" xfId="1" applyFont="1" applyBorder="1" applyAlignment="1">
      <alignment horizontal="center"/>
    </xf>
    <xf numFmtId="16" fontId="0" fillId="0" borderId="0" xfId="0" applyNumberFormat="1"/>
    <xf numFmtId="0" fontId="26" fillId="10" borderId="0" xfId="0" applyFont="1" applyFill="1"/>
    <xf numFmtId="0" fontId="26" fillId="11" borderId="0" xfId="0" applyFont="1" applyFill="1"/>
    <xf numFmtId="0" fontId="31" fillId="0" borderId="5" xfId="0" applyFont="1" applyBorder="1"/>
    <xf numFmtId="0" fontId="26" fillId="0" borderId="31" xfId="0" applyFont="1" applyBorder="1" applyAlignment="1">
      <alignment horizontal="center"/>
    </xf>
    <xf numFmtId="1" fontId="26" fillId="2" borderId="34" xfId="0" applyNumberFormat="1" applyFont="1" applyFill="1" applyBorder="1"/>
    <xf numFmtId="1" fontId="26" fillId="9" borderId="38" xfId="0" applyNumberFormat="1" applyFont="1" applyFill="1" applyBorder="1"/>
    <xf numFmtId="1" fontId="26" fillId="9" borderId="39" xfId="0" applyNumberFormat="1" applyFont="1" applyFill="1" applyBorder="1"/>
    <xf numFmtId="1" fontId="0" fillId="0" borderId="5" xfId="0" applyNumberFormat="1" applyBorder="1"/>
    <xf numFmtId="171" fontId="0" fillId="0" borderId="0" xfId="0" applyNumberFormat="1"/>
    <xf numFmtId="1" fontId="26" fillId="2" borderId="13" xfId="0" applyNumberFormat="1" applyFont="1" applyFill="1" applyBorder="1"/>
    <xf numFmtId="0" fontId="0" fillId="10" borderId="5" xfId="0" applyFill="1" applyBorder="1"/>
    <xf numFmtId="0" fontId="14" fillId="5" borderId="9" xfId="0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2" fontId="9" fillId="4" borderId="42" xfId="0" applyNumberFormat="1" applyFont="1" applyFill="1" applyBorder="1" applyAlignment="1">
      <alignment horizontal="center" vertical="center"/>
    </xf>
    <xf numFmtId="164" fontId="9" fillId="4" borderId="42" xfId="1" applyFont="1" applyFill="1" applyBorder="1" applyAlignment="1">
      <alignment horizontal="center" vertical="center"/>
    </xf>
    <xf numFmtId="164" fontId="9" fillId="4" borderId="43" xfId="1" applyFont="1" applyFill="1" applyBorder="1" applyAlignment="1">
      <alignment horizontal="center" vertical="center"/>
    </xf>
    <xf numFmtId="164" fontId="9" fillId="4" borderId="44" xfId="1" applyFont="1" applyFill="1" applyBorder="1" applyAlignment="1">
      <alignment horizontal="center" vertical="center"/>
    </xf>
    <xf numFmtId="164" fontId="10" fillId="0" borderId="0" xfId="1" applyFont="1" applyAlignment="1">
      <alignment horizontal="center" vertical="center"/>
    </xf>
    <xf numFmtId="0" fontId="17" fillId="0" borderId="0" xfId="0" applyFont="1"/>
    <xf numFmtId="1" fontId="26" fillId="2" borderId="5" xfId="1" applyNumberFormat="1" applyFont="1" applyFill="1" applyBorder="1" applyAlignment="1">
      <alignment vertical="center"/>
    </xf>
    <xf numFmtId="1" fontId="26" fillId="2" borderId="10" xfId="0" applyNumberFormat="1" applyFont="1" applyFill="1" applyBorder="1"/>
    <xf numFmtId="1" fontId="26" fillId="2" borderId="11" xfId="0" applyNumberFormat="1" applyFont="1" applyFill="1" applyBorder="1"/>
    <xf numFmtId="1" fontId="26" fillId="2" borderId="17" xfId="1" applyNumberFormat="1" applyFont="1" applyFill="1" applyBorder="1" applyAlignment="1">
      <alignment vertical="center"/>
    </xf>
    <xf numFmtId="0" fontId="18" fillId="0" borderId="10" xfId="0" applyFont="1" applyBorder="1"/>
    <xf numFmtId="0" fontId="18" fillId="2" borderId="10" xfId="0" applyFont="1" applyFill="1" applyBorder="1"/>
    <xf numFmtId="0" fontId="18" fillId="0" borderId="27" xfId="0" applyFont="1" applyBorder="1"/>
    <xf numFmtId="0" fontId="0" fillId="2" borderId="0" xfId="0" applyFill="1"/>
    <xf numFmtId="2" fontId="32" fillId="2" borderId="5" xfId="0" applyNumberFormat="1" applyFont="1" applyFill="1" applyBorder="1" applyAlignment="1">
      <alignment horizontal="center" vertical="center"/>
    </xf>
    <xf numFmtId="171" fontId="0" fillId="0" borderId="5" xfId="0" applyNumberFormat="1" applyBorder="1"/>
    <xf numFmtId="0" fontId="32" fillId="12" borderId="5" xfId="0" applyFont="1" applyFill="1" applyBorder="1" applyAlignment="1">
      <alignment horizontal="center" vertical="center" wrapText="1"/>
    </xf>
    <xf numFmtId="2" fontId="32" fillId="12" borderId="5" xfId="0" applyNumberFormat="1" applyFont="1" applyFill="1" applyBorder="1" applyAlignment="1">
      <alignment horizontal="left" vertical="center" wrapText="1"/>
    </xf>
    <xf numFmtId="2" fontId="32" fillId="12" borderId="5" xfId="0" applyNumberFormat="1" applyFont="1" applyFill="1" applyBorder="1" applyAlignment="1">
      <alignment horizontal="center" vertical="center" wrapText="1"/>
    </xf>
    <xf numFmtId="2" fontId="32" fillId="12" borderId="5" xfId="0" applyNumberFormat="1" applyFont="1" applyFill="1" applyBorder="1" applyAlignment="1">
      <alignment horizontal="center" vertical="center"/>
    </xf>
    <xf numFmtId="14" fontId="32" fillId="12" borderId="5" xfId="0" applyNumberFormat="1" applyFont="1" applyFill="1" applyBorder="1" applyAlignment="1">
      <alignment horizontal="center" vertical="center"/>
    </xf>
    <xf numFmtId="0" fontId="32" fillId="2" borderId="5" xfId="0" applyFont="1" applyFill="1" applyBorder="1" applyAlignment="1">
      <alignment horizontal="center" vertical="center" wrapText="1"/>
    </xf>
    <xf numFmtId="2" fontId="32" fillId="2" borderId="5" xfId="0" applyNumberFormat="1" applyFont="1" applyFill="1" applyBorder="1" applyAlignment="1">
      <alignment horizontal="left" vertical="center" wrapText="1"/>
    </xf>
    <xf numFmtId="2" fontId="32" fillId="2" borderId="5" xfId="0" applyNumberFormat="1" applyFont="1" applyFill="1" applyBorder="1" applyAlignment="1">
      <alignment horizontal="center" vertical="center" wrapText="1"/>
    </xf>
    <xf numFmtId="2" fontId="35" fillId="2" borderId="5" xfId="0" applyNumberFormat="1" applyFont="1" applyFill="1" applyBorder="1" applyAlignment="1">
      <alignment horizontal="center" vertical="center" wrapText="1"/>
    </xf>
    <xf numFmtId="14" fontId="32" fillId="2" borderId="5" xfId="0" applyNumberFormat="1" applyFont="1" applyFill="1" applyBorder="1" applyAlignment="1">
      <alignment horizontal="center" vertical="center"/>
    </xf>
    <xf numFmtId="0" fontId="34" fillId="7" borderId="5" xfId="0" applyFont="1" applyFill="1" applyBorder="1"/>
    <xf numFmtId="0" fontId="34" fillId="6" borderId="5" xfId="0" applyFont="1" applyFill="1" applyBorder="1"/>
    <xf numFmtId="171" fontId="18" fillId="0" borderId="5" xfId="0" applyNumberFormat="1" applyFont="1" applyBorder="1"/>
    <xf numFmtId="0" fontId="34" fillId="9" borderId="5" xfId="0" applyFont="1" applyFill="1" applyBorder="1"/>
    <xf numFmtId="0" fontId="18" fillId="0" borderId="21" xfId="0" applyFont="1" applyBorder="1"/>
    <xf numFmtId="4" fontId="0" fillId="0" borderId="5" xfId="0" applyNumberFormat="1" applyBorder="1" applyAlignment="1">
      <alignment horizontal="right"/>
    </xf>
    <xf numFmtId="2" fontId="5" fillId="0" borderId="13" xfId="0" applyNumberFormat="1" applyFont="1" applyBorder="1"/>
    <xf numFmtId="0" fontId="3" fillId="0" borderId="5" xfId="0" quotePrefix="1" applyFont="1" applyBorder="1" applyAlignment="1">
      <alignment horizontal="center"/>
    </xf>
    <xf numFmtId="0" fontId="36" fillId="0" borderId="5" xfId="0" applyFont="1" applyBorder="1"/>
    <xf numFmtId="0" fontId="3" fillId="0" borderId="5" xfId="0" quotePrefix="1" applyFont="1" applyBorder="1"/>
    <xf numFmtId="171" fontId="5" fillId="0" borderId="12" xfId="0" applyNumberFormat="1" applyFont="1" applyBorder="1"/>
    <xf numFmtId="2" fontId="0" fillId="0" borderId="23" xfId="0" applyNumberFormat="1" applyBorder="1" applyAlignment="1">
      <alignment horizontal="right"/>
    </xf>
    <xf numFmtId="2" fontId="0" fillId="0" borderId="40" xfId="0" applyNumberFormat="1" applyBorder="1" applyAlignment="1">
      <alignment horizontal="right"/>
    </xf>
    <xf numFmtId="15" fontId="18" fillId="2" borderId="23" xfId="0" applyNumberFormat="1" applyFont="1" applyFill="1" applyBorder="1"/>
    <xf numFmtId="1" fontId="26" fillId="2" borderId="12" xfId="0" applyNumberFormat="1" applyFont="1" applyFill="1" applyBorder="1"/>
    <xf numFmtId="164" fontId="3" fillId="0" borderId="10" xfId="1" applyFont="1" applyBorder="1" applyAlignment="1">
      <alignment horizontal="center" vertical="top"/>
    </xf>
    <xf numFmtId="0" fontId="18" fillId="0" borderId="5" xfId="0" applyFont="1" applyBorder="1" applyAlignment="1">
      <alignment horizontal="left"/>
    </xf>
    <xf numFmtId="0" fontId="0" fillId="0" borderId="0" xfId="0" applyAlignment="1">
      <alignment horizontal="left"/>
    </xf>
    <xf numFmtId="4" fontId="18" fillId="0" borderId="21" xfId="0" applyNumberFormat="1" applyFont="1" applyBorder="1"/>
    <xf numFmtId="2" fontId="0" fillId="2" borderId="13" xfId="0" applyNumberFormat="1" applyFill="1" applyBorder="1" applyAlignment="1">
      <alignment horizontal="right"/>
    </xf>
    <xf numFmtId="2" fontId="0" fillId="0" borderId="33" xfId="0" applyNumberFormat="1" applyBorder="1" applyAlignment="1">
      <alignment horizontal="right"/>
    </xf>
    <xf numFmtId="2" fontId="0" fillId="0" borderId="27" xfId="0" applyNumberFormat="1" applyBorder="1" applyAlignment="1">
      <alignment horizontal="right"/>
    </xf>
    <xf numFmtId="0" fontId="18" fillId="0" borderId="25" xfId="0" applyFont="1" applyBorder="1"/>
    <xf numFmtId="0" fontId="24" fillId="0" borderId="5" xfId="0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wrapText="1"/>
    </xf>
    <xf numFmtId="3" fontId="0" fillId="0" borderId="0" xfId="0" applyNumberFormat="1"/>
    <xf numFmtId="2" fontId="0" fillId="0" borderId="10" xfId="0" applyNumberFormat="1" applyBorder="1" applyAlignment="1">
      <alignment horizontal="right"/>
    </xf>
    <xf numFmtId="4" fontId="0" fillId="0" borderId="13" xfId="0" applyNumberFormat="1" applyBorder="1" applyAlignment="1">
      <alignment horizontal="right"/>
    </xf>
    <xf numFmtId="4" fontId="18" fillId="0" borderId="5" xfId="0" applyNumberFormat="1" applyFont="1" applyBorder="1"/>
    <xf numFmtId="43" fontId="3" fillId="2" borderId="13" xfId="0" applyNumberFormat="1" applyFont="1" applyFill="1" applyBorder="1" applyAlignment="1">
      <alignment horizontal="center" vertical="center"/>
    </xf>
    <xf numFmtId="164" fontId="4" fillId="4" borderId="12" xfId="1" applyFont="1" applyFill="1" applyBorder="1" applyAlignment="1">
      <alignment vertical="center"/>
    </xf>
    <xf numFmtId="0" fontId="18" fillId="0" borderId="45" xfId="0" applyFont="1" applyBorder="1"/>
    <xf numFmtId="4" fontId="18" fillId="0" borderId="11" xfId="0" applyNumberFormat="1" applyFont="1" applyBorder="1"/>
    <xf numFmtId="1" fontId="37" fillId="2" borderId="5" xfId="0" applyNumberFormat="1" applyFont="1" applyFill="1" applyBorder="1"/>
    <xf numFmtId="0" fontId="6" fillId="0" borderId="5" xfId="0" applyFont="1" applyBorder="1" applyAlignment="1">
      <alignment horizontal="center" vertical="top"/>
    </xf>
    <xf numFmtId="164" fontId="10" fillId="0" borderId="13" xfId="1" applyFont="1" applyBorder="1" applyAlignment="1">
      <alignment horizontal="center" vertical="center"/>
    </xf>
    <xf numFmtId="164" fontId="10" fillId="0" borderId="33" xfId="1" applyFont="1" applyBorder="1" applyAlignment="1">
      <alignment horizontal="center" vertical="center"/>
    </xf>
    <xf numFmtId="0" fontId="18" fillId="2" borderId="23" xfId="0" applyFont="1" applyFill="1" applyBorder="1"/>
    <xf numFmtId="2" fontId="0" fillId="0" borderId="0" xfId="0" applyNumberFormat="1" applyAlignment="1">
      <alignment horizontal="right"/>
    </xf>
    <xf numFmtId="2" fontId="3" fillId="0" borderId="5" xfId="0" applyNumberFormat="1" applyFont="1" applyBorder="1" applyAlignment="1">
      <alignment horizontal="center"/>
    </xf>
    <xf numFmtId="0" fontId="18" fillId="0" borderId="2" xfId="0" applyFont="1" applyBorder="1"/>
    <xf numFmtId="0" fontId="0" fillId="0" borderId="2" xfId="0" applyBorder="1" applyAlignment="1">
      <alignment horizontal="center" vertical="center"/>
    </xf>
    <xf numFmtId="164" fontId="3" fillId="13" borderId="2" xfId="1" applyFont="1" applyFill="1" applyBorder="1" applyAlignment="1">
      <alignment horizontal="center" vertical="center"/>
    </xf>
    <xf numFmtId="164" fontId="19" fillId="13" borderId="2" xfId="1" applyFont="1" applyFill="1" applyBorder="1" applyAlignment="1">
      <alignment horizontal="center"/>
    </xf>
    <xf numFmtId="0" fontId="6" fillId="0" borderId="12" xfId="0" applyFont="1" applyBorder="1" applyAlignment="1">
      <alignment horizontal="center" vertical="top"/>
    </xf>
    <xf numFmtId="0" fontId="6" fillId="0" borderId="5" xfId="0" applyFont="1" applyBorder="1"/>
    <xf numFmtId="0" fontId="18" fillId="0" borderId="4" xfId="0" applyFont="1" applyBorder="1"/>
    <xf numFmtId="0" fontId="18" fillId="0" borderId="7" xfId="0" applyFont="1" applyBorder="1"/>
    <xf numFmtId="0" fontId="18" fillId="0" borderId="8" xfId="0" applyFont="1" applyBorder="1"/>
    <xf numFmtId="4" fontId="18" fillId="0" borderId="33" xfId="0" applyNumberFormat="1" applyFont="1" applyBorder="1"/>
    <xf numFmtId="0" fontId="38" fillId="0" borderId="0" xfId="0" applyFont="1"/>
    <xf numFmtId="2" fontId="24" fillId="0" borderId="5" xfId="0" applyNumberFormat="1" applyFont="1" applyBorder="1" applyAlignment="1">
      <alignment horizontal="center"/>
    </xf>
    <xf numFmtId="1" fontId="18" fillId="0" borderId="5" xfId="0" applyNumberFormat="1" applyFont="1" applyBorder="1"/>
    <xf numFmtId="2" fontId="5" fillId="0" borderId="5" xfId="0" applyNumberFormat="1" applyFont="1" applyBorder="1"/>
    <xf numFmtId="0" fontId="18" fillId="0" borderId="5" xfId="0" applyFont="1" applyBorder="1" applyAlignment="1">
      <alignment wrapText="1"/>
    </xf>
    <xf numFmtId="0" fontId="18" fillId="0" borderId="0" xfId="0" applyFont="1"/>
    <xf numFmtId="2" fontId="24" fillId="0" borderId="5" xfId="0" applyNumberFormat="1" applyFont="1" applyBorder="1" applyAlignment="1">
      <alignment horizontal="left" indent="1"/>
    </xf>
    <xf numFmtId="166" fontId="3" fillId="0" borderId="5" xfId="0" applyNumberFormat="1" applyFont="1" applyBorder="1" applyAlignment="1">
      <alignment horizontal="right"/>
    </xf>
    <xf numFmtId="4" fontId="5" fillId="0" borderId="12" xfId="0" applyNumberFormat="1" applyFont="1" applyBorder="1"/>
    <xf numFmtId="0" fontId="18" fillId="0" borderId="24" xfId="0" applyFont="1" applyBorder="1"/>
    <xf numFmtId="172" fontId="29" fillId="0" borderId="11" xfId="0" applyNumberFormat="1" applyFont="1" applyBorder="1" applyAlignment="1">
      <alignment horizontal="left" vertical="center" wrapText="1"/>
    </xf>
    <xf numFmtId="165" fontId="3" fillId="14" borderId="5" xfId="0" applyNumberFormat="1" applyFont="1" applyFill="1" applyBorder="1" applyAlignment="1">
      <alignment horizontal="center" vertical="center"/>
    </xf>
    <xf numFmtId="0" fontId="0" fillId="14" borderId="5" xfId="0" applyFill="1" applyBorder="1"/>
    <xf numFmtId="2" fontId="0" fillId="14" borderId="5" xfId="0" applyNumberFormat="1" applyFill="1" applyBorder="1"/>
    <xf numFmtId="0" fontId="3" fillId="10" borderId="5" xfId="0" applyFont="1" applyFill="1" applyBorder="1" applyAlignment="1">
      <alignment vertical="center"/>
    </xf>
    <xf numFmtId="164" fontId="3" fillId="10" borderId="5" xfId="0" applyNumberFormat="1" applyFont="1" applyFill="1" applyBorder="1" applyAlignment="1">
      <alignment vertical="center"/>
    </xf>
    <xf numFmtId="0" fontId="18" fillId="10" borderId="5" xfId="0" applyFont="1" applyFill="1" applyBorder="1"/>
    <xf numFmtId="166" fontId="3" fillId="10" borderId="5" xfId="0" applyNumberFormat="1" applyFont="1" applyFill="1" applyBorder="1"/>
    <xf numFmtId="164" fontId="3" fillId="10" borderId="5" xfId="1" applyFont="1" applyFill="1" applyBorder="1" applyAlignment="1">
      <alignment horizontal="center" vertical="center"/>
    </xf>
    <xf numFmtId="165" fontId="3" fillId="15" borderId="5" xfId="0" applyNumberFormat="1" applyFont="1" applyFill="1" applyBorder="1" applyAlignment="1">
      <alignment horizontal="center" vertical="center"/>
    </xf>
    <xf numFmtId="0" fontId="0" fillId="15" borderId="5" xfId="0" applyFill="1" applyBorder="1"/>
    <xf numFmtId="2" fontId="0" fillId="15" borderId="5" xfId="0" applyNumberFormat="1" applyFill="1" applyBorder="1"/>
    <xf numFmtId="165" fontId="3" fillId="0" borderId="12" xfId="0" applyNumberFormat="1" applyFont="1" applyBorder="1" applyAlignment="1">
      <alignment horizontal="center"/>
    </xf>
    <xf numFmtId="166" fontId="3" fillId="0" borderId="12" xfId="0" applyNumberFormat="1" applyFont="1" applyBorder="1"/>
    <xf numFmtId="1" fontId="0" fillId="0" borderId="5" xfId="0" applyNumberFormat="1" applyBorder="1" applyAlignment="1">
      <alignment horizontal="center"/>
    </xf>
    <xf numFmtId="166" fontId="29" fillId="0" borderId="5" xfId="0" applyNumberFormat="1" applyFont="1" applyBorder="1" applyAlignment="1">
      <alignment horizontal="right" vertical="center"/>
    </xf>
    <xf numFmtId="164" fontId="29" fillId="0" borderId="5" xfId="1" applyFont="1" applyBorder="1" applyAlignment="1">
      <alignment horizontal="right" vertical="center"/>
    </xf>
    <xf numFmtId="0" fontId="0" fillId="10" borderId="0" xfId="0" applyFill="1"/>
    <xf numFmtId="43" fontId="0" fillId="0" borderId="10" xfId="0" applyNumberFormat="1" applyBorder="1"/>
    <xf numFmtId="0" fontId="18" fillId="0" borderId="6" xfId="0" applyFont="1" applyBorder="1"/>
    <xf numFmtId="0" fontId="18" fillId="0" borderId="18" xfId="0" applyFont="1" applyBorder="1"/>
    <xf numFmtId="4" fontId="18" fillId="0" borderId="4" xfId="0" applyNumberFormat="1" applyFont="1" applyBorder="1"/>
    <xf numFmtId="166" fontId="29" fillId="0" borderId="5" xfId="0" applyNumberFormat="1" applyFont="1" applyBorder="1" applyAlignment="1">
      <alignment horizontal="center" vertical="center"/>
    </xf>
    <xf numFmtId="0" fontId="26" fillId="0" borderId="5" xfId="0" applyFont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15" fontId="18" fillId="2" borderId="13" xfId="0" applyNumberFormat="1" applyFont="1" applyFill="1" applyBorder="1"/>
    <xf numFmtId="0" fontId="0" fillId="2" borderId="5" xfId="0" applyFill="1" applyBorder="1"/>
    <xf numFmtId="0" fontId="0" fillId="0" borderId="23" xfId="0" applyBorder="1"/>
    <xf numFmtId="0" fontId="0" fillId="0" borderId="12" xfId="0" applyBorder="1" applyAlignment="1">
      <alignment horizontal="right"/>
    </xf>
    <xf numFmtId="0" fontId="18" fillId="2" borderId="27" xfId="0" applyFont="1" applyFill="1" applyBorder="1"/>
    <xf numFmtId="0" fontId="0" fillId="0" borderId="27" xfId="0" applyBorder="1" applyAlignment="1">
      <alignment horizontal="right"/>
    </xf>
    <xf numFmtId="0" fontId="3" fillId="0" borderId="10" xfId="0" applyFont="1" applyBorder="1"/>
    <xf numFmtId="165" fontId="3" fillId="10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5" borderId="9" xfId="0" applyFont="1" applyFill="1" applyBorder="1" applyAlignment="1">
      <alignment horizontal="center"/>
    </xf>
    <xf numFmtId="2" fontId="32" fillId="12" borderId="5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/>
    </xf>
    <xf numFmtId="0" fontId="3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7" fillId="9" borderId="35" xfId="0" applyFont="1" applyFill="1" applyBorder="1" applyAlignment="1">
      <alignment horizontal="center"/>
    </xf>
    <xf numFmtId="0" fontId="27" fillId="9" borderId="36" xfId="0" applyFont="1" applyFill="1" applyBorder="1" applyAlignment="1">
      <alignment horizontal="center"/>
    </xf>
    <xf numFmtId="0" fontId="27" fillId="9" borderId="37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14" fillId="5" borderId="4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7" fillId="0" borderId="24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3" fillId="5" borderId="9" xfId="0" applyFont="1" applyFill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4" fillId="5" borderId="5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/>
    </xf>
    <xf numFmtId="0" fontId="14" fillId="5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14" fillId="5" borderId="0" xfId="0" applyFont="1" applyFill="1" applyAlignment="1">
      <alignment horizontal="center" wrapText="1"/>
    </xf>
    <xf numFmtId="0" fontId="4" fillId="0" borderId="21" xfId="0" applyFont="1" applyBorder="1" applyAlignment="1">
      <alignment horizontal="center"/>
    </xf>
    <xf numFmtId="0" fontId="14" fillId="5" borderId="0" xfId="0" applyFont="1" applyFill="1" applyAlignment="1">
      <alignment horizontal="center"/>
    </xf>
    <xf numFmtId="43" fontId="4" fillId="0" borderId="0" xfId="0" applyNumberFormat="1" applyFont="1" applyAlignment="1">
      <alignment horizontal="center" vertical="center"/>
    </xf>
    <xf numFmtId="2" fontId="14" fillId="5" borderId="10" xfId="0" applyNumberFormat="1" applyFont="1" applyFill="1" applyBorder="1" applyAlignment="1">
      <alignment horizontal="center" vertical="center"/>
    </xf>
    <xf numFmtId="2" fontId="14" fillId="5" borderId="21" xfId="0" applyNumberFormat="1" applyFont="1" applyFill="1" applyBorder="1" applyAlignment="1">
      <alignment horizontal="center" vertical="center"/>
    </xf>
    <xf numFmtId="2" fontId="14" fillId="5" borderId="11" xfId="0" applyNumberFormat="1" applyFont="1" applyFill="1" applyBorder="1" applyAlignment="1">
      <alignment horizontal="center" vertical="center"/>
    </xf>
    <xf numFmtId="2" fontId="4" fillId="2" borderId="10" xfId="0" applyNumberFormat="1" applyFont="1" applyFill="1" applyBorder="1" applyAlignment="1">
      <alignment horizontal="center" vertical="center"/>
    </xf>
    <xf numFmtId="2" fontId="4" fillId="2" borderId="21" xfId="0" applyNumberFormat="1" applyFont="1" applyFill="1" applyBorder="1" applyAlignment="1">
      <alignment horizontal="center" vertical="center"/>
    </xf>
    <xf numFmtId="2" fontId="4" fillId="2" borderId="11" xfId="0" applyNumberFormat="1" applyFont="1" applyFill="1" applyBorder="1" applyAlignment="1">
      <alignment horizontal="center" vertical="center"/>
    </xf>
    <xf numFmtId="2" fontId="14" fillId="5" borderId="5" xfId="0" applyNumberFormat="1" applyFont="1" applyFill="1" applyBorder="1" applyAlignment="1">
      <alignment horizontal="center" vertical="center"/>
    </xf>
    <xf numFmtId="2" fontId="4" fillId="2" borderId="5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43" fontId="4" fillId="2" borderId="10" xfId="0" applyNumberFormat="1" applyFont="1" applyFill="1" applyBorder="1" applyAlignment="1">
      <alignment horizontal="center" vertical="center"/>
    </xf>
    <xf numFmtId="43" fontId="4" fillId="2" borderId="11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64" fontId="19" fillId="0" borderId="5" xfId="1" applyFont="1" applyBorder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164" fontId="3" fillId="0" borderId="18" xfId="1" applyFont="1" applyBorder="1" applyAlignment="1">
      <alignment horizontal="center" vertical="center"/>
    </xf>
    <xf numFmtId="164" fontId="3" fillId="0" borderId="6" xfId="1" applyFont="1" applyBorder="1" applyAlignment="1">
      <alignment horizontal="center" vertical="center"/>
    </xf>
    <xf numFmtId="164" fontId="19" fillId="0" borderId="6" xfId="1" applyFont="1" applyBorder="1" applyAlignment="1">
      <alignment horizontal="center"/>
    </xf>
    <xf numFmtId="164" fontId="3" fillId="0" borderId="46" xfId="1" applyFont="1" applyBorder="1" applyAlignment="1">
      <alignment horizontal="center" vertical="center"/>
    </xf>
  </cellXfs>
  <cellStyles count="5">
    <cellStyle name="Comma" xfId="1" builtinId="3"/>
    <cellStyle name="Comma 3" xfId="2" xr:uid="{00000000-0005-0000-0000-000001000000}"/>
    <cellStyle name="Comma 4" xfId="3" xr:uid="{00000000-0005-0000-0000-000002000000}"/>
    <cellStyle name="Hyperlink" xfId="4" builtinId="8"/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sheetMetadata" Target="metadata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14</xdr:row>
      <xdr:rowOff>0</xdr:rowOff>
    </xdr:from>
    <xdr:to>
      <xdr:col>20</xdr:col>
      <xdr:colOff>142875</xdr:colOff>
      <xdr:row>38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ADAAD6-EC57-4ADB-7C46-DD19323C3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39450" y="2876550"/>
          <a:ext cx="2581275" cy="4572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IS" id="{ECDA2E53-E796-4FA2-B0EA-83016F93297E}" userId="S::mis@civetprojects.com::385d0a88-2879-4baf-a915-f9a0490de5d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1" dT="2026-04-28T06:17:51.20" personId="{ECDA2E53-E796-4FA2-B0EA-83016F93297E}" id="{D7EB4DB1-E8E5-4A0D-A3B7-4BD37A44A2D1}">
    <text>as per Fuel F/S Records</text>
  </threadedComment>
  <threadedComment ref="L22" dT="2026-04-28T06:21:15.64" personId="{ECDA2E53-E796-4FA2-B0EA-83016F93297E}" id="{4677E5B5-F1D0-432D-BE36-4BBEE71D7B95}">
    <text xml:space="preserve">round off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33" dT="2026-05-06T05:38:30.10" personId="{ECDA2E53-E796-4FA2-B0EA-83016F93297E}" id="{F247FC72-00A1-4CBF-8785-A8EA57D32845}">
    <text>D.E.F. Oil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16" dT="2026-04-04T09:51:20.78" personId="{ECDA2E53-E796-4FA2-B0EA-83016F93297E}" id="{5F5F9CE8-9ECA-4AC6-B09E-74F516552CA8}">
    <text xml:space="preserve">Jadcherla to jalgaon OTP BPCL </text>
  </threadedComment>
</ThreadedComment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C797-301E-4D70-B954-BDEBA92A43C0}">
  <dimension ref="A2:AM18"/>
  <sheetViews>
    <sheetView workbookViewId="0">
      <pane xSplit="5" topLeftCell="AW1" activePane="topRight" state="frozen"/>
      <selection pane="topRight" activeCell="AF19" sqref="AF19"/>
    </sheetView>
  </sheetViews>
  <sheetFormatPr defaultRowHeight="15"/>
  <cols>
    <col min="2" max="2" width="16" bestFit="1" customWidth="1"/>
    <col min="3" max="3" width="17.42578125" bestFit="1" customWidth="1"/>
    <col min="4" max="4" width="24.85546875" customWidth="1"/>
    <col min="5" max="5" width="18" customWidth="1"/>
    <col min="7" max="7" width="11.28515625" bestFit="1" customWidth="1"/>
    <col min="8" max="8" width="11.140625" bestFit="1" customWidth="1"/>
  </cols>
  <sheetData>
    <row r="2" spans="1:39">
      <c r="A2" s="369" t="s">
        <v>0</v>
      </c>
      <c r="B2" s="370" t="s">
        <v>1</v>
      </c>
      <c r="C2" s="371" t="s">
        <v>2</v>
      </c>
      <c r="D2" s="371" t="s">
        <v>3</v>
      </c>
      <c r="E2" s="371" t="s">
        <v>3</v>
      </c>
      <c r="F2" s="371" t="s">
        <v>4</v>
      </c>
      <c r="G2" s="474" t="s">
        <v>5</v>
      </c>
      <c r="H2" s="474"/>
      <c r="I2" s="372" t="s">
        <v>6</v>
      </c>
      <c r="J2" s="372" t="s">
        <v>7</v>
      </c>
      <c r="K2" s="372" t="s">
        <v>8</v>
      </c>
      <c r="L2" s="372" t="s">
        <v>9</v>
      </c>
      <c r="M2" s="372" t="s">
        <v>10</v>
      </c>
      <c r="N2" s="372" t="s">
        <v>11</v>
      </c>
      <c r="O2" s="372" t="s">
        <v>12</v>
      </c>
      <c r="P2" s="372" t="s">
        <v>13</v>
      </c>
      <c r="Q2" s="372" t="s">
        <v>14</v>
      </c>
      <c r="R2" s="372" t="s">
        <v>15</v>
      </c>
      <c r="S2" s="372" t="s">
        <v>16</v>
      </c>
      <c r="T2" s="372" t="s">
        <v>17</v>
      </c>
      <c r="U2" s="372" t="s">
        <v>18</v>
      </c>
      <c r="V2" s="372" t="s">
        <v>19</v>
      </c>
      <c r="W2" s="372" t="s">
        <v>20</v>
      </c>
      <c r="X2" s="372" t="s">
        <v>21</v>
      </c>
      <c r="Y2" s="372" t="s">
        <v>22</v>
      </c>
      <c r="Z2" s="372" t="s">
        <v>23</v>
      </c>
      <c r="AA2" s="372" t="s">
        <v>24</v>
      </c>
      <c r="AB2" s="372" t="s">
        <v>25</v>
      </c>
      <c r="AC2" s="372" t="s">
        <v>26</v>
      </c>
      <c r="AD2" s="372" t="s">
        <v>27</v>
      </c>
      <c r="AE2" s="372" t="s">
        <v>28</v>
      </c>
      <c r="AF2" s="372" t="s">
        <v>29</v>
      </c>
      <c r="AG2" s="372" t="s">
        <v>30</v>
      </c>
      <c r="AH2" s="372" t="s">
        <v>31</v>
      </c>
      <c r="AI2" s="372" t="s">
        <v>32</v>
      </c>
      <c r="AJ2" s="372" t="s">
        <v>33</v>
      </c>
      <c r="AK2" s="372" t="s">
        <v>34</v>
      </c>
      <c r="AL2" s="372" t="s">
        <v>35</v>
      </c>
      <c r="AM2" s="373" t="s">
        <v>36</v>
      </c>
    </row>
    <row r="3" spans="1:39" s="366" customFormat="1">
      <c r="A3" s="374"/>
      <c r="B3" s="375"/>
      <c r="C3" s="376"/>
      <c r="D3" s="376"/>
      <c r="E3" s="376"/>
      <c r="F3" s="377" t="s">
        <v>37</v>
      </c>
      <c r="G3" s="367"/>
      <c r="H3" s="367"/>
      <c r="I3" s="367"/>
      <c r="J3" s="367"/>
      <c r="K3" s="367"/>
      <c r="L3" s="367"/>
      <c r="M3" s="367"/>
      <c r="N3" s="367"/>
      <c r="O3" s="367"/>
      <c r="P3" s="367"/>
      <c r="Q3" s="367"/>
      <c r="R3" s="367"/>
      <c r="S3" s="367"/>
      <c r="T3" s="367"/>
      <c r="U3" s="367"/>
      <c r="V3" s="367"/>
      <c r="W3" s="367"/>
      <c r="X3" s="367"/>
      <c r="Y3" s="367"/>
      <c r="Z3" s="367"/>
      <c r="AA3" s="367"/>
      <c r="AB3" s="367"/>
      <c r="AC3" s="367"/>
      <c r="AD3" s="367"/>
      <c r="AE3" s="367"/>
      <c r="AF3" s="367"/>
      <c r="AG3" s="367"/>
      <c r="AH3" s="367"/>
      <c r="AI3" s="367"/>
      <c r="AJ3" s="367"/>
      <c r="AK3" s="367"/>
      <c r="AL3" s="367"/>
      <c r="AM3" s="378"/>
    </row>
    <row r="4" spans="1:39" ht="15.75">
      <c r="A4" s="477">
        <v>1</v>
      </c>
      <c r="B4" s="475" t="s">
        <v>38</v>
      </c>
      <c r="C4" s="475" t="s">
        <v>39</v>
      </c>
      <c r="D4" s="476" t="s">
        <v>40</v>
      </c>
      <c r="E4" s="379" t="s">
        <v>37</v>
      </c>
      <c r="F4" s="368">
        <v>0</v>
      </c>
      <c r="G4" s="368">
        <v>0</v>
      </c>
      <c r="H4" s="368">
        <v>0</v>
      </c>
      <c r="I4" s="368">
        <v>0</v>
      </c>
      <c r="J4" s="368">
        <v>0</v>
      </c>
      <c r="K4" s="368">
        <v>0</v>
      </c>
      <c r="L4" s="368">
        <v>0</v>
      </c>
      <c r="M4" s="368">
        <v>0</v>
      </c>
      <c r="N4" s="368">
        <v>0</v>
      </c>
      <c r="O4" s="368">
        <v>0</v>
      </c>
      <c r="P4" s="368">
        <v>0</v>
      </c>
      <c r="Q4" s="368">
        <v>0</v>
      </c>
      <c r="R4" s="368">
        <v>0</v>
      </c>
      <c r="S4" s="368">
        <v>0</v>
      </c>
      <c r="T4" s="368">
        <v>0</v>
      </c>
      <c r="U4" s="368">
        <v>0</v>
      </c>
      <c r="V4" s="368">
        <v>0</v>
      </c>
      <c r="W4" s="368">
        <v>0</v>
      </c>
      <c r="X4" s="368">
        <v>5.22</v>
      </c>
      <c r="Y4" s="368">
        <v>0</v>
      </c>
      <c r="Z4" s="368">
        <v>0</v>
      </c>
      <c r="AA4" s="368">
        <v>0</v>
      </c>
      <c r="AB4" s="368">
        <v>0</v>
      </c>
      <c r="AC4" s="368">
        <v>0</v>
      </c>
      <c r="AD4" s="368">
        <v>60</v>
      </c>
      <c r="AE4" s="368">
        <v>0</v>
      </c>
      <c r="AF4" s="368">
        <v>0</v>
      </c>
      <c r="AG4" s="368">
        <v>0</v>
      </c>
      <c r="AH4" s="368">
        <v>4.5599999999999996</v>
      </c>
      <c r="AI4" s="368">
        <v>0</v>
      </c>
      <c r="AJ4" s="368">
        <v>0</v>
      </c>
      <c r="AK4" s="368">
        <v>0</v>
      </c>
      <c r="AL4" s="368">
        <v>0</v>
      </c>
      <c r="AM4" s="368">
        <f>SUM(F4:AL4)</f>
        <v>69.78</v>
      </c>
    </row>
    <row r="5" spans="1:39" ht="15.75">
      <c r="A5" s="477"/>
      <c r="B5" s="475"/>
      <c r="C5" s="475"/>
      <c r="D5" s="476"/>
      <c r="E5" s="380" t="s">
        <v>41</v>
      </c>
      <c r="F5" s="368">
        <v>0</v>
      </c>
      <c r="G5" s="368">
        <v>4.6900000000000004</v>
      </c>
      <c r="H5" s="368">
        <v>0</v>
      </c>
      <c r="I5" s="368">
        <v>0</v>
      </c>
      <c r="J5" s="368">
        <v>0</v>
      </c>
      <c r="K5" s="368">
        <v>0</v>
      </c>
      <c r="L5" s="368">
        <v>0</v>
      </c>
      <c r="M5" s="368">
        <v>0</v>
      </c>
      <c r="N5" s="368">
        <v>3.91</v>
      </c>
      <c r="O5" s="368">
        <v>0</v>
      </c>
      <c r="P5" s="368">
        <v>6.98</v>
      </c>
      <c r="Q5" s="368">
        <v>0</v>
      </c>
      <c r="R5" s="368">
        <v>0</v>
      </c>
      <c r="S5" s="368">
        <v>0</v>
      </c>
      <c r="T5" s="368">
        <v>0</v>
      </c>
      <c r="U5" s="368">
        <v>0</v>
      </c>
      <c r="V5" s="368">
        <v>0</v>
      </c>
      <c r="W5" s="368">
        <v>0</v>
      </c>
      <c r="X5" s="368">
        <v>0</v>
      </c>
      <c r="Y5" s="368">
        <v>0</v>
      </c>
      <c r="Z5" s="368">
        <v>0</v>
      </c>
      <c r="AA5" s="368"/>
      <c r="AB5" s="368">
        <v>0</v>
      </c>
      <c r="AC5" s="381">
        <v>0</v>
      </c>
      <c r="AD5" s="368">
        <v>0</v>
      </c>
      <c r="AE5" s="368">
        <v>0</v>
      </c>
      <c r="AF5" s="368">
        <v>0</v>
      </c>
      <c r="AG5" s="368">
        <v>0</v>
      </c>
      <c r="AH5" s="368">
        <v>0</v>
      </c>
      <c r="AI5" s="368">
        <v>0</v>
      </c>
      <c r="AJ5" s="368">
        <v>0</v>
      </c>
      <c r="AK5" s="368">
        <v>0</v>
      </c>
      <c r="AL5" s="368">
        <v>0</v>
      </c>
      <c r="AM5" s="368">
        <f t="shared" ref="AM5:AM15" si="0">SUM(F5:AL5)</f>
        <v>15.580000000000002</v>
      </c>
    </row>
    <row r="6" spans="1:39" ht="15.75">
      <c r="A6" s="477">
        <v>2</v>
      </c>
      <c r="B6" s="475" t="s">
        <v>42</v>
      </c>
      <c r="C6" s="475" t="s">
        <v>43</v>
      </c>
      <c r="D6" s="476" t="s">
        <v>44</v>
      </c>
      <c r="E6" s="382" t="s">
        <v>37</v>
      </c>
      <c r="F6" s="368">
        <v>0</v>
      </c>
      <c r="G6" s="368">
        <v>0</v>
      </c>
      <c r="H6" s="368">
        <v>0</v>
      </c>
      <c r="I6" s="368">
        <v>0</v>
      </c>
      <c r="J6" s="368">
        <v>0</v>
      </c>
      <c r="K6" s="368">
        <v>0</v>
      </c>
      <c r="L6" s="368">
        <v>0</v>
      </c>
      <c r="M6" s="368">
        <v>0</v>
      </c>
      <c r="N6" s="368">
        <v>0</v>
      </c>
      <c r="O6" s="368">
        <v>0</v>
      </c>
      <c r="P6" s="368">
        <v>0</v>
      </c>
      <c r="Q6" s="368">
        <v>0</v>
      </c>
      <c r="R6" s="368">
        <v>0</v>
      </c>
      <c r="S6" s="368">
        <v>0</v>
      </c>
      <c r="T6" s="368">
        <v>0</v>
      </c>
      <c r="U6" s="368">
        <v>0</v>
      </c>
      <c r="V6" s="368">
        <v>0</v>
      </c>
      <c r="W6" s="368">
        <v>0</v>
      </c>
      <c r="X6" s="368">
        <v>0</v>
      </c>
      <c r="Y6" s="368">
        <v>0</v>
      </c>
      <c r="Z6" s="368">
        <v>0</v>
      </c>
      <c r="AA6" s="368">
        <v>0</v>
      </c>
      <c r="AB6" s="368">
        <v>0</v>
      </c>
      <c r="AC6" s="368">
        <v>0</v>
      </c>
      <c r="AD6" s="368">
        <v>0</v>
      </c>
      <c r="AE6" s="368">
        <v>0</v>
      </c>
      <c r="AF6" s="368">
        <v>0</v>
      </c>
      <c r="AG6" s="368">
        <v>0</v>
      </c>
      <c r="AH6" s="368">
        <v>0</v>
      </c>
      <c r="AI6" s="368">
        <v>0</v>
      </c>
      <c r="AJ6" s="368">
        <v>0</v>
      </c>
      <c r="AK6" s="368">
        <v>0</v>
      </c>
      <c r="AL6" s="368">
        <v>0</v>
      </c>
      <c r="AM6" s="368">
        <f t="shared" si="0"/>
        <v>0</v>
      </c>
    </row>
    <row r="7" spans="1:39" ht="15.75">
      <c r="A7" s="477"/>
      <c r="B7" s="475"/>
      <c r="C7" s="475"/>
      <c r="D7" s="476"/>
      <c r="E7" s="380" t="s">
        <v>41</v>
      </c>
      <c r="F7" s="368">
        <v>0</v>
      </c>
      <c r="G7" s="368">
        <v>0</v>
      </c>
      <c r="H7" s="368">
        <v>0</v>
      </c>
      <c r="I7" s="368">
        <v>0</v>
      </c>
      <c r="J7" s="368">
        <v>0</v>
      </c>
      <c r="K7" s="368">
        <v>0</v>
      </c>
      <c r="L7" s="368">
        <v>0</v>
      </c>
      <c r="M7" s="368">
        <v>0</v>
      </c>
      <c r="N7" s="368">
        <v>0</v>
      </c>
      <c r="O7" s="368">
        <v>0</v>
      </c>
      <c r="P7" s="368">
        <v>0</v>
      </c>
      <c r="Q7" s="368">
        <v>0</v>
      </c>
      <c r="R7" s="368">
        <v>0</v>
      </c>
      <c r="S7" s="368">
        <v>0</v>
      </c>
      <c r="T7" s="368">
        <v>0</v>
      </c>
      <c r="U7" s="368">
        <v>0</v>
      </c>
      <c r="V7" s="368">
        <v>0</v>
      </c>
      <c r="W7" s="368">
        <v>0</v>
      </c>
      <c r="X7" s="368">
        <v>0</v>
      </c>
      <c r="Y7" s="368">
        <v>0</v>
      </c>
      <c r="Z7" s="368">
        <v>0</v>
      </c>
      <c r="AA7" s="368"/>
      <c r="AB7" s="368">
        <v>0</v>
      </c>
      <c r="AC7" s="381">
        <v>0</v>
      </c>
      <c r="AD7" s="368">
        <v>0</v>
      </c>
      <c r="AE7" s="368">
        <v>0</v>
      </c>
      <c r="AF7" s="368">
        <v>0</v>
      </c>
      <c r="AG7" s="368">
        <v>0</v>
      </c>
      <c r="AH7" s="368">
        <v>0</v>
      </c>
      <c r="AI7" s="368">
        <v>0</v>
      </c>
      <c r="AJ7" s="368">
        <v>0</v>
      </c>
      <c r="AK7" s="368">
        <v>0</v>
      </c>
      <c r="AL7" s="368">
        <v>0</v>
      </c>
      <c r="AM7" s="368">
        <f t="shared" si="0"/>
        <v>0</v>
      </c>
    </row>
    <row r="8" spans="1:39" ht="15.75">
      <c r="A8" s="477">
        <v>3</v>
      </c>
      <c r="B8" s="475" t="s">
        <v>45</v>
      </c>
      <c r="C8" s="475" t="s">
        <v>43</v>
      </c>
      <c r="D8" s="476" t="s">
        <v>46</v>
      </c>
      <c r="E8" s="382" t="s">
        <v>37</v>
      </c>
      <c r="F8" s="368">
        <v>0</v>
      </c>
      <c r="G8" s="368">
        <v>0</v>
      </c>
      <c r="H8" s="368">
        <v>0</v>
      </c>
      <c r="I8" s="368">
        <v>0</v>
      </c>
      <c r="J8" s="368">
        <v>33.44</v>
      </c>
      <c r="K8" s="368">
        <v>0</v>
      </c>
      <c r="L8" s="368">
        <v>0</v>
      </c>
      <c r="M8" s="368">
        <v>0</v>
      </c>
      <c r="N8" s="368">
        <v>0</v>
      </c>
      <c r="O8" s="368">
        <v>0</v>
      </c>
      <c r="P8" s="368">
        <v>0</v>
      </c>
      <c r="Q8" s="368">
        <v>0</v>
      </c>
      <c r="R8" s="368">
        <v>35.53</v>
      </c>
      <c r="S8" s="368">
        <v>0</v>
      </c>
      <c r="T8" s="368">
        <v>0</v>
      </c>
      <c r="U8" s="368">
        <v>0</v>
      </c>
      <c r="V8" s="368">
        <v>0</v>
      </c>
      <c r="W8" s="368">
        <v>0</v>
      </c>
      <c r="X8" s="368">
        <v>0</v>
      </c>
      <c r="Y8" s="368">
        <v>0</v>
      </c>
      <c r="Z8" s="368">
        <v>0</v>
      </c>
      <c r="AA8" s="368">
        <v>0</v>
      </c>
      <c r="AB8" s="368">
        <v>33.44</v>
      </c>
      <c r="AC8" s="368">
        <v>0</v>
      </c>
      <c r="AD8" s="368">
        <v>0</v>
      </c>
      <c r="AE8" s="368">
        <v>0</v>
      </c>
      <c r="AF8" s="368">
        <v>0</v>
      </c>
      <c r="AG8" s="368">
        <v>0</v>
      </c>
      <c r="AH8" s="368">
        <v>0</v>
      </c>
      <c r="AI8" s="368">
        <v>0</v>
      </c>
      <c r="AJ8" s="368">
        <v>0</v>
      </c>
      <c r="AK8" s="368">
        <v>0</v>
      </c>
      <c r="AL8" s="368">
        <v>0</v>
      </c>
      <c r="AM8" s="368">
        <f t="shared" si="0"/>
        <v>102.41</v>
      </c>
    </row>
    <row r="9" spans="1:39" ht="15.75">
      <c r="A9" s="477"/>
      <c r="B9" s="475"/>
      <c r="C9" s="475"/>
      <c r="D9" s="476"/>
      <c r="E9" s="380" t="s">
        <v>41</v>
      </c>
      <c r="F9" s="368">
        <v>0</v>
      </c>
      <c r="G9" s="368">
        <v>0</v>
      </c>
      <c r="H9" s="368">
        <v>0</v>
      </c>
      <c r="I9" s="368">
        <v>0</v>
      </c>
      <c r="J9" s="368">
        <v>0</v>
      </c>
      <c r="K9" s="368">
        <v>0</v>
      </c>
      <c r="L9" s="368">
        <v>0</v>
      </c>
      <c r="M9" s="368">
        <v>0</v>
      </c>
      <c r="N9" s="368">
        <v>0</v>
      </c>
      <c r="O9" s="368">
        <v>0</v>
      </c>
      <c r="P9" s="368">
        <v>0</v>
      </c>
      <c r="Q9" s="368">
        <v>0</v>
      </c>
      <c r="R9" s="368">
        <v>0</v>
      </c>
      <c r="S9" s="368">
        <v>0</v>
      </c>
      <c r="T9" s="368">
        <v>0</v>
      </c>
      <c r="U9" s="368">
        <v>0</v>
      </c>
      <c r="V9" s="368">
        <v>0</v>
      </c>
      <c r="W9" s="368">
        <v>0</v>
      </c>
      <c r="X9" s="368">
        <v>0</v>
      </c>
      <c r="Y9" s="368">
        <v>0</v>
      </c>
      <c r="Z9" s="368">
        <v>0</v>
      </c>
      <c r="AA9" s="368"/>
      <c r="AB9" s="368">
        <v>0</v>
      </c>
      <c r="AC9" s="381">
        <v>0</v>
      </c>
      <c r="AD9" s="368">
        <v>0</v>
      </c>
      <c r="AE9" s="368">
        <v>0</v>
      </c>
      <c r="AF9" s="368">
        <v>0</v>
      </c>
      <c r="AG9" s="368">
        <v>0</v>
      </c>
      <c r="AH9" s="368">
        <v>0</v>
      </c>
      <c r="AI9" s="368">
        <v>0</v>
      </c>
      <c r="AJ9" s="368">
        <v>0</v>
      </c>
      <c r="AK9" s="368">
        <v>0</v>
      </c>
      <c r="AL9" s="368">
        <v>0</v>
      </c>
      <c r="AM9" s="368">
        <f t="shared" si="0"/>
        <v>0</v>
      </c>
    </row>
    <row r="10" spans="1:39" ht="15.75">
      <c r="A10" s="477">
        <v>4</v>
      </c>
      <c r="B10" s="475" t="s">
        <v>47</v>
      </c>
      <c r="C10" s="475" t="s">
        <v>43</v>
      </c>
      <c r="D10" s="476" t="s">
        <v>48</v>
      </c>
      <c r="E10" s="382" t="s">
        <v>37</v>
      </c>
      <c r="F10" s="368">
        <v>0</v>
      </c>
      <c r="G10" s="368">
        <v>0</v>
      </c>
      <c r="H10" s="368">
        <v>0</v>
      </c>
      <c r="I10" s="368">
        <v>0</v>
      </c>
      <c r="J10" s="368">
        <v>0</v>
      </c>
      <c r="K10" s="368">
        <v>0</v>
      </c>
      <c r="L10" s="368">
        <v>0</v>
      </c>
      <c r="M10" s="368">
        <v>0</v>
      </c>
      <c r="N10" s="368">
        <v>0</v>
      </c>
      <c r="O10" s="368">
        <v>0</v>
      </c>
      <c r="P10" s="368">
        <v>49.22</v>
      </c>
      <c r="Q10" s="368">
        <v>0</v>
      </c>
      <c r="R10" s="368">
        <v>0</v>
      </c>
      <c r="S10" s="368">
        <v>0</v>
      </c>
      <c r="T10" s="368">
        <v>0</v>
      </c>
      <c r="U10" s="368">
        <v>54.57</v>
      </c>
      <c r="V10" s="368">
        <v>0</v>
      </c>
      <c r="W10" s="368">
        <v>0</v>
      </c>
      <c r="X10" s="368">
        <v>0</v>
      </c>
      <c r="Y10" s="368">
        <v>0</v>
      </c>
      <c r="Z10" s="368">
        <v>0</v>
      </c>
      <c r="AA10" s="368">
        <v>0</v>
      </c>
      <c r="AB10" s="368">
        <v>0</v>
      </c>
      <c r="AC10" s="368">
        <v>0</v>
      </c>
      <c r="AD10" s="368">
        <v>49.8</v>
      </c>
      <c r="AE10" s="368">
        <v>0</v>
      </c>
      <c r="AF10" s="368">
        <v>0</v>
      </c>
      <c r="AG10" s="368">
        <v>0</v>
      </c>
      <c r="AH10" s="368">
        <v>0</v>
      </c>
      <c r="AI10" s="368">
        <v>0</v>
      </c>
      <c r="AJ10" s="368">
        <v>0</v>
      </c>
      <c r="AK10" s="368">
        <v>0</v>
      </c>
      <c r="AL10" s="368">
        <v>0</v>
      </c>
      <c r="AM10" s="368">
        <f t="shared" si="0"/>
        <v>153.58999999999997</v>
      </c>
    </row>
    <row r="11" spans="1:39" ht="15.75">
      <c r="A11" s="477"/>
      <c r="B11" s="475"/>
      <c r="C11" s="475"/>
      <c r="D11" s="476"/>
      <c r="E11" s="380" t="s">
        <v>41</v>
      </c>
      <c r="F11" s="368">
        <v>0</v>
      </c>
      <c r="G11" s="368">
        <v>0</v>
      </c>
      <c r="H11" s="368">
        <v>0</v>
      </c>
      <c r="I11" s="368">
        <v>0</v>
      </c>
      <c r="J11" s="368">
        <v>0</v>
      </c>
      <c r="K11" s="368">
        <v>0</v>
      </c>
      <c r="L11" s="368">
        <v>0</v>
      </c>
      <c r="M11" s="368">
        <v>0</v>
      </c>
      <c r="N11" s="368">
        <v>0</v>
      </c>
      <c r="O11" s="368">
        <v>0</v>
      </c>
      <c r="P11" s="368">
        <v>0</v>
      </c>
      <c r="Q11" s="368">
        <v>0</v>
      </c>
      <c r="R11" s="368">
        <v>0</v>
      </c>
      <c r="S11" s="368">
        <v>0</v>
      </c>
      <c r="T11" s="368">
        <v>0</v>
      </c>
      <c r="U11" s="368">
        <v>0</v>
      </c>
      <c r="V11" s="368">
        <v>0</v>
      </c>
      <c r="W11" s="368">
        <v>0</v>
      </c>
      <c r="X11" s="368">
        <v>0</v>
      </c>
      <c r="Y11" s="368">
        <v>0</v>
      </c>
      <c r="Z11" s="368">
        <v>0</v>
      </c>
      <c r="AA11" s="368"/>
      <c r="AB11" s="368">
        <v>0</v>
      </c>
      <c r="AC11" s="381">
        <v>0</v>
      </c>
      <c r="AD11" s="368">
        <v>0</v>
      </c>
      <c r="AE11" s="368">
        <v>0</v>
      </c>
      <c r="AF11" s="368">
        <v>0</v>
      </c>
      <c r="AG11" s="368">
        <v>0</v>
      </c>
      <c r="AH11" s="368">
        <v>0</v>
      </c>
      <c r="AI11" s="368">
        <v>0</v>
      </c>
      <c r="AJ11" s="368">
        <v>0</v>
      </c>
      <c r="AK11" s="368">
        <v>0</v>
      </c>
      <c r="AL11" s="368">
        <v>0</v>
      </c>
      <c r="AM11" s="368">
        <f t="shared" si="0"/>
        <v>0</v>
      </c>
    </row>
    <row r="12" spans="1:39" ht="15.75">
      <c r="A12" s="477">
        <v>5</v>
      </c>
      <c r="B12" s="475" t="s">
        <v>49</v>
      </c>
      <c r="C12" s="475" t="s">
        <v>50</v>
      </c>
      <c r="D12" s="476" t="s">
        <v>51</v>
      </c>
      <c r="E12" s="382" t="s">
        <v>37</v>
      </c>
      <c r="F12" s="368">
        <v>0</v>
      </c>
      <c r="G12" s="368">
        <v>0</v>
      </c>
      <c r="H12" s="368">
        <v>0</v>
      </c>
      <c r="I12" s="368">
        <v>0</v>
      </c>
      <c r="J12" s="368">
        <v>0</v>
      </c>
      <c r="K12" s="368">
        <v>0</v>
      </c>
      <c r="L12" s="368">
        <v>0</v>
      </c>
      <c r="M12" s="368">
        <v>0</v>
      </c>
      <c r="N12" s="368">
        <v>86.29</v>
      </c>
      <c r="O12" s="368">
        <v>0</v>
      </c>
      <c r="P12" s="368">
        <v>0</v>
      </c>
      <c r="Q12" s="368">
        <v>0</v>
      </c>
      <c r="R12" s="368">
        <v>0</v>
      </c>
      <c r="S12" s="368">
        <v>0</v>
      </c>
      <c r="T12" s="368">
        <v>0</v>
      </c>
      <c r="U12" s="368">
        <v>0</v>
      </c>
      <c r="V12" s="368">
        <v>0</v>
      </c>
      <c r="W12" s="368">
        <v>0</v>
      </c>
      <c r="X12" s="368">
        <v>0</v>
      </c>
      <c r="Y12" s="368">
        <v>0</v>
      </c>
      <c r="Z12" s="368">
        <v>0</v>
      </c>
      <c r="AA12" s="368">
        <v>0</v>
      </c>
      <c r="AB12" s="368">
        <v>0</v>
      </c>
      <c r="AC12" s="368">
        <v>0</v>
      </c>
      <c r="AD12" s="368">
        <v>145.61000000000001</v>
      </c>
      <c r="AE12" s="368">
        <v>0</v>
      </c>
      <c r="AF12" s="368">
        <v>0</v>
      </c>
      <c r="AG12" s="368">
        <v>0</v>
      </c>
      <c r="AH12" s="368">
        <v>0</v>
      </c>
      <c r="AI12" s="368">
        <v>0</v>
      </c>
      <c r="AJ12" s="368">
        <v>0</v>
      </c>
      <c r="AK12" s="368">
        <v>0</v>
      </c>
      <c r="AL12" s="368">
        <v>0</v>
      </c>
      <c r="AM12" s="368">
        <f t="shared" si="0"/>
        <v>231.90000000000003</v>
      </c>
    </row>
    <row r="13" spans="1:39" ht="15.75">
      <c r="A13" s="477"/>
      <c r="B13" s="475"/>
      <c r="C13" s="475"/>
      <c r="D13" s="476"/>
      <c r="E13" s="380" t="s">
        <v>41</v>
      </c>
      <c r="F13" s="368">
        <v>0</v>
      </c>
      <c r="G13" s="368">
        <v>0</v>
      </c>
      <c r="H13" s="368">
        <v>0</v>
      </c>
      <c r="I13" s="368">
        <v>0</v>
      </c>
      <c r="J13" s="368">
        <v>0</v>
      </c>
      <c r="K13" s="368">
        <v>0</v>
      </c>
      <c r="L13" s="368">
        <v>0</v>
      </c>
      <c r="M13" s="368">
        <v>0</v>
      </c>
      <c r="N13" s="368">
        <v>0</v>
      </c>
      <c r="O13" s="368">
        <v>0</v>
      </c>
      <c r="P13" s="368">
        <v>0</v>
      </c>
      <c r="Q13" s="368">
        <v>0</v>
      </c>
      <c r="R13" s="368">
        <v>0</v>
      </c>
      <c r="S13" s="368">
        <v>0</v>
      </c>
      <c r="T13" s="368">
        <v>0</v>
      </c>
      <c r="U13" s="368">
        <v>0</v>
      </c>
      <c r="V13" s="368">
        <v>0</v>
      </c>
      <c r="W13" s="368">
        <v>0</v>
      </c>
      <c r="X13" s="368">
        <v>0</v>
      </c>
      <c r="Y13" s="368">
        <v>0</v>
      </c>
      <c r="Z13" s="368">
        <v>0</v>
      </c>
      <c r="AA13" s="368"/>
      <c r="AB13" s="368">
        <v>0</v>
      </c>
      <c r="AC13" s="381">
        <v>0</v>
      </c>
      <c r="AD13" s="368">
        <v>0</v>
      </c>
      <c r="AE13" s="368">
        <v>0</v>
      </c>
      <c r="AF13" s="368">
        <v>0</v>
      </c>
      <c r="AG13" s="368">
        <v>0</v>
      </c>
      <c r="AH13" s="368">
        <v>0</v>
      </c>
      <c r="AI13" s="368">
        <v>0</v>
      </c>
      <c r="AJ13" s="368">
        <v>0</v>
      </c>
      <c r="AK13" s="368">
        <v>0</v>
      </c>
      <c r="AL13" s="368">
        <v>0</v>
      </c>
      <c r="AM13" s="368">
        <f t="shared" si="0"/>
        <v>0</v>
      </c>
    </row>
    <row r="14" spans="1:39" ht="15.75">
      <c r="A14" s="477">
        <v>6</v>
      </c>
      <c r="B14" s="475" t="s">
        <v>49</v>
      </c>
      <c r="C14" s="475" t="s">
        <v>52</v>
      </c>
      <c r="D14" s="476" t="s">
        <v>53</v>
      </c>
      <c r="E14" s="382" t="s">
        <v>37</v>
      </c>
      <c r="F14" s="368">
        <v>0</v>
      </c>
      <c r="G14" s="368">
        <v>0</v>
      </c>
      <c r="H14" s="368">
        <v>0</v>
      </c>
      <c r="I14" s="368">
        <v>0</v>
      </c>
      <c r="J14" s="368">
        <v>0</v>
      </c>
      <c r="K14" s="368">
        <v>0</v>
      </c>
      <c r="L14" s="368">
        <v>40</v>
      </c>
      <c r="M14" s="368">
        <v>40</v>
      </c>
      <c r="N14" s="368">
        <v>0</v>
      </c>
      <c r="O14" s="368">
        <v>36</v>
      </c>
      <c r="P14" s="368">
        <v>35</v>
      </c>
      <c r="Q14" s="368">
        <v>0</v>
      </c>
      <c r="R14" s="368">
        <v>0</v>
      </c>
      <c r="S14" s="368">
        <v>0</v>
      </c>
      <c r="T14" s="368">
        <v>0</v>
      </c>
      <c r="U14" s="368">
        <v>0</v>
      </c>
      <c r="V14" s="368">
        <v>0</v>
      </c>
      <c r="W14" s="368">
        <v>45</v>
      </c>
      <c r="X14" s="368">
        <v>45</v>
      </c>
      <c r="Y14" s="368">
        <v>43.53</v>
      </c>
      <c r="Z14" s="368">
        <v>40</v>
      </c>
      <c r="AA14" s="368">
        <v>43</v>
      </c>
      <c r="AB14" s="368">
        <v>0</v>
      </c>
      <c r="AC14" s="368">
        <v>40</v>
      </c>
      <c r="AD14" s="368">
        <v>0</v>
      </c>
      <c r="AE14" s="368">
        <v>40</v>
      </c>
      <c r="AF14" s="368">
        <v>0</v>
      </c>
      <c r="AG14" s="368">
        <v>0</v>
      </c>
      <c r="AH14" s="368">
        <v>0</v>
      </c>
      <c r="AI14" s="368">
        <v>0</v>
      </c>
      <c r="AJ14" s="368">
        <v>0</v>
      </c>
      <c r="AK14" s="368">
        <v>0</v>
      </c>
      <c r="AL14" s="368">
        <v>0</v>
      </c>
      <c r="AM14" s="368">
        <f t="shared" si="0"/>
        <v>447.53</v>
      </c>
    </row>
    <row r="15" spans="1:39" ht="15.75">
      <c r="A15" s="477"/>
      <c r="B15" s="475"/>
      <c r="C15" s="475"/>
      <c r="D15" s="476"/>
      <c r="E15" s="380" t="s">
        <v>41</v>
      </c>
      <c r="F15" s="368">
        <v>0</v>
      </c>
      <c r="G15" s="368">
        <v>0</v>
      </c>
      <c r="H15" s="368">
        <v>0</v>
      </c>
      <c r="I15" s="368">
        <v>0</v>
      </c>
      <c r="J15" s="368">
        <v>0</v>
      </c>
      <c r="K15" s="368">
        <v>0</v>
      </c>
      <c r="L15" s="368">
        <v>0</v>
      </c>
      <c r="M15" s="368">
        <v>0</v>
      </c>
      <c r="N15" s="368">
        <v>0</v>
      </c>
      <c r="O15" s="368">
        <v>0</v>
      </c>
      <c r="P15" s="368">
        <v>0</v>
      </c>
      <c r="Q15" s="368">
        <v>0</v>
      </c>
      <c r="R15" s="368">
        <v>0</v>
      </c>
      <c r="S15" s="368">
        <v>0</v>
      </c>
      <c r="T15" s="368">
        <v>0</v>
      </c>
      <c r="U15" s="368">
        <v>0</v>
      </c>
      <c r="V15" s="368">
        <v>0</v>
      </c>
      <c r="W15" s="368">
        <v>0</v>
      </c>
      <c r="X15" s="368">
        <v>0</v>
      </c>
      <c r="Y15" s="368">
        <v>0</v>
      </c>
      <c r="Z15" s="368">
        <v>0</v>
      </c>
      <c r="AA15" s="368"/>
      <c r="AB15" s="368">
        <v>0</v>
      </c>
      <c r="AC15" s="381">
        <v>0</v>
      </c>
      <c r="AD15" s="368">
        <v>0</v>
      </c>
      <c r="AE15" s="368">
        <v>0</v>
      </c>
      <c r="AF15" s="368">
        <v>0</v>
      </c>
      <c r="AG15" s="368">
        <v>0</v>
      </c>
      <c r="AH15" s="368">
        <v>0</v>
      </c>
      <c r="AI15" s="368">
        <v>0</v>
      </c>
      <c r="AJ15" s="368">
        <v>0</v>
      </c>
      <c r="AK15" s="368">
        <v>0</v>
      </c>
      <c r="AL15" s="368">
        <v>0</v>
      </c>
      <c r="AM15" s="368">
        <f t="shared" si="0"/>
        <v>0</v>
      </c>
    </row>
    <row r="18" spans="7:7">
      <c r="G18" t="s">
        <v>54</v>
      </c>
    </row>
  </sheetData>
  <mergeCells count="25">
    <mergeCell ref="B14:B15"/>
    <mergeCell ref="C4:C5"/>
    <mergeCell ref="C6:C7"/>
    <mergeCell ref="C8:C9"/>
    <mergeCell ref="A4:A5"/>
    <mergeCell ref="A6:A7"/>
    <mergeCell ref="A8:A9"/>
    <mergeCell ref="A10:A11"/>
    <mergeCell ref="A12:A13"/>
    <mergeCell ref="A14:A15"/>
    <mergeCell ref="B4:B5"/>
    <mergeCell ref="B6:B7"/>
    <mergeCell ref="B8:B9"/>
    <mergeCell ref="B10:B11"/>
    <mergeCell ref="B12:B13"/>
    <mergeCell ref="G2:H2"/>
    <mergeCell ref="C10:C11"/>
    <mergeCell ref="C12:C13"/>
    <mergeCell ref="C14:C15"/>
    <mergeCell ref="D4:D5"/>
    <mergeCell ref="D6:D7"/>
    <mergeCell ref="D8:D9"/>
    <mergeCell ref="D10:D11"/>
    <mergeCell ref="D12:D13"/>
    <mergeCell ref="D14:D15"/>
  </mergeCells>
  <conditionalFormatting sqref="F5:AL5">
    <cfRule type="cellIs" dxfId="11" priority="12" operator="greaterThan">
      <formula>0</formula>
    </cfRule>
  </conditionalFormatting>
  <conditionalFormatting sqref="F7:AL7">
    <cfRule type="cellIs" dxfId="10" priority="11" operator="greaterThan">
      <formula>0</formula>
    </cfRule>
  </conditionalFormatting>
  <conditionalFormatting sqref="F9:AL9">
    <cfRule type="cellIs" dxfId="9" priority="10" operator="greaterThan">
      <formula>0</formula>
    </cfRule>
  </conditionalFormatting>
  <conditionalFormatting sqref="F11:AL11">
    <cfRule type="cellIs" dxfId="8" priority="9" operator="greaterThan">
      <formula>0</formula>
    </cfRule>
  </conditionalFormatting>
  <conditionalFormatting sqref="F13:AL13">
    <cfRule type="cellIs" dxfId="7" priority="8" operator="greaterThan">
      <formula>0</formula>
    </cfRule>
  </conditionalFormatting>
  <conditionalFormatting sqref="F15:AL15">
    <cfRule type="cellIs" dxfId="6" priority="7" operator="greaterThan">
      <formula>0</formula>
    </cfRule>
  </conditionalFormatting>
  <conditionalFormatting sqref="F4:AM4 AM5:AM15">
    <cfRule type="cellIs" dxfId="5" priority="6" operator="greaterThan">
      <formula>0</formula>
    </cfRule>
  </conditionalFormatting>
  <conditionalFormatting sqref="F6:AL6">
    <cfRule type="cellIs" dxfId="4" priority="5" operator="greaterThan">
      <formula>0</formula>
    </cfRule>
  </conditionalFormatting>
  <conditionalFormatting sqref="F8:AL8">
    <cfRule type="cellIs" dxfId="3" priority="4" operator="greaterThan">
      <formula>0</formula>
    </cfRule>
  </conditionalFormatting>
  <conditionalFormatting sqref="F10:AL10">
    <cfRule type="cellIs" dxfId="2" priority="3" operator="greaterThan">
      <formula>0</formula>
    </cfRule>
  </conditionalFormatting>
  <conditionalFormatting sqref="F12:AL12">
    <cfRule type="cellIs" dxfId="1" priority="2" operator="greaterThan">
      <formula>0</formula>
    </cfRule>
  </conditionalFormatting>
  <conditionalFormatting sqref="F14:AL14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0C14-FF28-4670-9BCC-E8E660C202C7}">
  <dimension ref="A1:Q79"/>
  <sheetViews>
    <sheetView topLeftCell="A29" workbookViewId="0">
      <selection sqref="A1:K54"/>
    </sheetView>
  </sheetViews>
  <sheetFormatPr defaultColWidth="8.28515625" defaultRowHeight="15.75"/>
  <cols>
    <col min="1" max="1" width="8.28515625" style="272"/>
    <col min="2" max="2" width="25" style="272" customWidth="1"/>
    <col min="3" max="3" width="34.5703125" style="272" bestFit="1" customWidth="1"/>
    <col min="4" max="4" width="15.140625" style="272" customWidth="1"/>
    <col min="5" max="5" width="15.42578125" style="272" customWidth="1"/>
    <col min="6" max="6" width="14.5703125" style="272" customWidth="1"/>
    <col min="7" max="7" width="16.5703125" style="272" customWidth="1"/>
    <col min="8" max="8" width="23.5703125" style="272" customWidth="1"/>
    <col min="9" max="9" width="17.42578125" style="272" customWidth="1"/>
    <col min="10" max="10" width="18.42578125" style="272" customWidth="1"/>
    <col min="11" max="11" width="20.42578125" style="272" customWidth="1"/>
    <col min="12" max="12" width="22.7109375" style="272" customWidth="1"/>
    <col min="13" max="13" width="16.85546875" style="272" customWidth="1"/>
    <col min="14" max="16384" width="8.28515625" style="272"/>
  </cols>
  <sheetData>
    <row r="1" spans="1:11">
      <c r="A1" s="268" t="s">
        <v>55</v>
      </c>
      <c r="B1" s="269" t="s">
        <v>56</v>
      </c>
      <c r="C1" s="269" t="s">
        <v>57</v>
      </c>
      <c r="D1" s="270" t="s">
        <v>58</v>
      </c>
      <c r="E1" s="270" t="s">
        <v>59</v>
      </c>
      <c r="F1" s="270" t="s">
        <v>60</v>
      </c>
      <c r="G1" s="270" t="s">
        <v>61</v>
      </c>
      <c r="H1" s="270" t="s">
        <v>62</v>
      </c>
      <c r="I1" s="270" t="s">
        <v>63</v>
      </c>
      <c r="J1" s="270" t="s">
        <v>64</v>
      </c>
      <c r="K1" s="271" t="s">
        <v>65</v>
      </c>
    </row>
    <row r="2" spans="1:11">
      <c r="A2" s="342">
        <v>1</v>
      </c>
      <c r="B2" s="273" t="s">
        <v>66</v>
      </c>
      <c r="C2" s="273" t="s">
        <v>67</v>
      </c>
      <c r="D2" s="274">
        <f>+'Khammam-1'!E38</f>
        <v>26600.489999999998</v>
      </c>
      <c r="E2" s="274">
        <f>+'Khammam-1'!G38</f>
        <v>2545134.8832</v>
      </c>
      <c r="F2" s="274">
        <f>+'Khammam-1'!H38</f>
        <v>351.49</v>
      </c>
      <c r="G2" s="274">
        <f>+'Khammam-1'!J38</f>
        <v>37771.115399999995</v>
      </c>
      <c r="H2" s="274">
        <f>E2+G2</f>
        <v>2582905.9986</v>
      </c>
      <c r="I2" s="274">
        <f>+'Khammam-1'!K3</f>
        <v>4176411.6869000001</v>
      </c>
      <c r="J2" s="274">
        <f>+'Khammam-1'!L38</f>
        <v>4989687</v>
      </c>
      <c r="K2" s="343">
        <f>H2+I2-J2</f>
        <v>1769630.6854999997</v>
      </c>
    </row>
    <row r="3" spans="1:11">
      <c r="A3" s="342">
        <v>2</v>
      </c>
      <c r="B3" s="273" t="s">
        <v>68</v>
      </c>
      <c r="C3" s="273" t="s">
        <v>69</v>
      </c>
      <c r="D3" s="274">
        <f>+'Khammam-2'!E35</f>
        <v>39552.559999999998</v>
      </c>
      <c r="E3" s="274">
        <f>+'Khammam-2'!G35</f>
        <v>3785575.5175999999</v>
      </c>
      <c r="F3" s="274">
        <f>+'Khammam-2'!H35</f>
        <v>561</v>
      </c>
      <c r="G3" s="274">
        <f>+'Khammam-2'!J35</f>
        <v>60301.89</v>
      </c>
      <c r="H3" s="274">
        <f>E3+G3</f>
        <v>3845877.4076</v>
      </c>
      <c r="I3" s="274">
        <f>+'Khammam-2'!K3</f>
        <v>8032637.2962299986</v>
      </c>
      <c r="J3" s="274">
        <f>+'Khammam-2'!L35</f>
        <v>8152861.75</v>
      </c>
      <c r="K3" s="343">
        <f>H3+I3-J3</f>
        <v>3725652.9538299982</v>
      </c>
    </row>
    <row r="4" spans="1:11">
      <c r="A4" s="342">
        <v>3</v>
      </c>
      <c r="B4" s="273" t="s">
        <v>70</v>
      </c>
      <c r="C4" s="273" t="s">
        <v>71</v>
      </c>
      <c r="D4" s="274">
        <f>+'Khammam-3'!E35</f>
        <v>48000</v>
      </c>
      <c r="E4" s="274">
        <f>+'Khammam-3'!G35</f>
        <v>4572600</v>
      </c>
      <c r="F4" s="274">
        <f>+'Khammam-3'!H35</f>
        <v>0</v>
      </c>
      <c r="G4" s="274">
        <f>+'Khammam-3'!J35</f>
        <v>0</v>
      </c>
      <c r="H4" s="274">
        <f>E4+G4</f>
        <v>4572600</v>
      </c>
      <c r="I4" s="274">
        <f>+'Khammam-3'!M3</f>
        <v>8227903.2709999997</v>
      </c>
      <c r="J4" s="274">
        <f>+'Khammam-3'!L35</f>
        <v>10227903</v>
      </c>
      <c r="K4" s="343">
        <f>H4+I4-J4</f>
        <v>2572600.2709999997</v>
      </c>
    </row>
    <row r="5" spans="1:11">
      <c r="A5" s="342">
        <v>4</v>
      </c>
      <c r="B5" s="273" t="s">
        <v>72</v>
      </c>
      <c r="C5" s="273" t="s">
        <v>73</v>
      </c>
      <c r="D5" s="274">
        <f>+'Khammam-4'!E38</f>
        <v>0</v>
      </c>
      <c r="E5" s="274">
        <f>+'Khammam-4'!G38</f>
        <v>0</v>
      </c>
      <c r="F5" s="274">
        <f>+'Khammam-4'!H38</f>
        <v>0</v>
      </c>
      <c r="G5" s="274">
        <f>+'Khammam-4'!J38</f>
        <v>0</v>
      </c>
      <c r="H5" s="274">
        <f>E5+G5</f>
        <v>0</v>
      </c>
      <c r="I5" s="274">
        <f>+'Khammam-4'!M3</f>
        <v>330407.08</v>
      </c>
      <c r="J5" s="274">
        <f>+'Khammam-4'!L38</f>
        <v>330407</v>
      </c>
      <c r="K5" s="343">
        <f>H5+I5-J5</f>
        <v>8.0000000016298145E-2</v>
      </c>
    </row>
    <row r="6" spans="1:11">
      <c r="A6" s="342">
        <v>5</v>
      </c>
      <c r="B6" s="273" t="s">
        <v>74</v>
      </c>
      <c r="C6" s="273" t="s">
        <v>75</v>
      </c>
      <c r="D6" s="274">
        <f>+'Khammam-5'!E38</f>
        <v>3135.46</v>
      </c>
      <c r="E6" s="274">
        <f>+'Khammam-5'!G38</f>
        <v>300000.81280000001</v>
      </c>
      <c r="F6" s="274">
        <f>+'Khammam-5'!H38</f>
        <v>0</v>
      </c>
      <c r="G6" s="274">
        <f>+'Khammam-5'!J38</f>
        <v>0</v>
      </c>
      <c r="H6" s="274">
        <f>E6+G6</f>
        <v>300000.81280000001</v>
      </c>
      <c r="I6" s="274">
        <f>+'Khammam-5'!M3</f>
        <v>0</v>
      </c>
      <c r="J6" s="274">
        <f>+'Khammam-5'!L38</f>
        <v>300000.81280000001</v>
      </c>
      <c r="K6" s="343">
        <f>H6+I6-J6</f>
        <v>0</v>
      </c>
    </row>
    <row r="7" spans="1:11">
      <c r="A7" s="342">
        <v>6</v>
      </c>
      <c r="B7" s="273" t="s">
        <v>76</v>
      </c>
      <c r="C7" s="462" t="s">
        <v>77</v>
      </c>
      <c r="D7" s="274">
        <f>+' Khammam&amp;Cash'!E46</f>
        <v>24857.48</v>
      </c>
      <c r="E7" s="274">
        <f>+' Khammam&amp;Cash'!G46</f>
        <v>2378764.7432000004</v>
      </c>
      <c r="F7" s="274">
        <f>+' Khammam&amp;Cash'!H46</f>
        <v>95</v>
      </c>
      <c r="G7" s="274">
        <f>+' Khammam&amp;Cash'!J46</f>
        <v>10208.699999999999</v>
      </c>
      <c r="H7" s="274">
        <f>E7+G7</f>
        <v>2388973.4432000006</v>
      </c>
      <c r="I7" s="274">
        <f>+' Khammam&amp;Cash'!M3</f>
        <v>0</v>
      </c>
      <c r="J7" s="274">
        <f>+' Khammam&amp;Cash'!L46</f>
        <v>2388973.4412000002</v>
      </c>
      <c r="K7" s="343">
        <f>H7+I7-J7</f>
        <v>2.0000003278255463E-3</v>
      </c>
    </row>
    <row r="8" spans="1:11">
      <c r="A8" s="342">
        <v>7</v>
      </c>
      <c r="B8" s="273" t="s">
        <v>78</v>
      </c>
      <c r="C8" s="273" t="s">
        <v>71</v>
      </c>
      <c r="D8" s="274">
        <f>+'Jadcherla-3'!E35</f>
        <v>13690</v>
      </c>
      <c r="E8" s="274">
        <f>+'Jadcherla-3'!G35</f>
        <v>1313281.7</v>
      </c>
      <c r="F8" s="274">
        <f>+'Jadcherla-3'!H35</f>
        <v>0</v>
      </c>
      <c r="G8" s="274">
        <f>+'Jadcherla-3'!J35</f>
        <v>0</v>
      </c>
      <c r="H8" s="274">
        <f>E8+G8</f>
        <v>1313281.7</v>
      </c>
      <c r="I8" s="274">
        <f>+'Jadcherla-3'!M3</f>
        <v>2453209.39</v>
      </c>
      <c r="J8" s="274">
        <f>+'Jadcherla-3'!L35</f>
        <v>2453209.39</v>
      </c>
      <c r="K8" s="343">
        <f>H8+I8-J8</f>
        <v>1313281.6999999997</v>
      </c>
    </row>
    <row r="9" spans="1:11">
      <c r="A9" s="342">
        <v>8</v>
      </c>
      <c r="B9" s="273" t="s">
        <v>79</v>
      </c>
      <c r="C9" s="273" t="s">
        <v>80</v>
      </c>
      <c r="D9" s="274">
        <f>+'Jadcherla-4'!E35</f>
        <v>4020</v>
      </c>
      <c r="E9" s="274">
        <f>+'Jadcherla-4'!G35</f>
        <v>387246</v>
      </c>
      <c r="F9" s="274">
        <f>+'Jadcherla-4'!H35</f>
        <v>80</v>
      </c>
      <c r="G9" s="274">
        <f>+'Jadcherla-4'!J35</f>
        <v>8653.2000000000007</v>
      </c>
      <c r="H9" s="274">
        <f>E9+G9</f>
        <v>395899.2</v>
      </c>
      <c r="I9" s="274">
        <f>+'Jadcherla-4'!M3</f>
        <v>9729</v>
      </c>
      <c r="J9" s="274">
        <f>+'Jadcherla-4'!L35</f>
        <v>402105</v>
      </c>
      <c r="K9" s="343">
        <f>H9+I9-J9</f>
        <v>3523.2000000000116</v>
      </c>
    </row>
    <row r="10" spans="1:11">
      <c r="A10" s="342">
        <v>9</v>
      </c>
      <c r="B10" s="273" t="s">
        <v>81</v>
      </c>
      <c r="C10" s="273" t="s">
        <v>82</v>
      </c>
      <c r="D10" s="274">
        <f>+' Jadcherla'!E35</f>
        <v>3000</v>
      </c>
      <c r="E10" s="274">
        <f>+' Jadcherla'!G35</f>
        <v>289260</v>
      </c>
      <c r="F10" s="274">
        <f>+' Jadcherla'!H35</f>
        <v>0</v>
      </c>
      <c r="G10" s="274">
        <f>+' Jadcherla'!J35</f>
        <v>0</v>
      </c>
      <c r="H10" s="274">
        <f>E10+G10</f>
        <v>289260</v>
      </c>
      <c r="I10" s="274">
        <f>+' Jadcherla'!M3</f>
        <v>0</v>
      </c>
      <c r="J10" s="274">
        <f>+' Jadcherla'!L35</f>
        <v>244630</v>
      </c>
      <c r="K10" s="343">
        <f>H10+I10-J10</f>
        <v>44630</v>
      </c>
    </row>
    <row r="11" spans="1:11">
      <c r="A11" s="342">
        <v>10</v>
      </c>
      <c r="B11" s="273" t="s">
        <v>83</v>
      </c>
      <c r="C11" s="273" t="s">
        <v>84</v>
      </c>
      <c r="D11" s="274">
        <f>+' Sangareeddy-1'!E35</f>
        <v>0</v>
      </c>
      <c r="E11" s="274">
        <f>+' Sangareeddy-1'!G35</f>
        <v>0</v>
      </c>
      <c r="F11" s="274">
        <f>+' Sangareeddy-1'!H35</f>
        <v>0</v>
      </c>
      <c r="G11" s="274">
        <f>+' Sangareeddy-1'!J35</f>
        <v>0</v>
      </c>
      <c r="H11" s="274">
        <f>E11+G11</f>
        <v>0</v>
      </c>
      <c r="I11" s="274">
        <f>+' Sangareeddy-1'!M3</f>
        <v>71161.048000000053</v>
      </c>
      <c r="J11" s="274">
        <f>+' Sangareeddy-1'!L35</f>
        <v>71161.05</v>
      </c>
      <c r="K11" s="343">
        <f>H11+I11-J11</f>
        <v>-1.9999999494757503E-3</v>
      </c>
    </row>
    <row r="12" spans="1:11">
      <c r="A12" s="342">
        <v>11</v>
      </c>
      <c r="B12" s="273" t="s">
        <v>85</v>
      </c>
      <c r="C12" s="273" t="s">
        <v>86</v>
      </c>
      <c r="D12" s="274">
        <f>+' Sangareddy-2'!E35</f>
        <v>18689.160000000003</v>
      </c>
      <c r="E12" s="274">
        <f>+' Sangareddy-2'!G35</f>
        <v>1802382.5903999999</v>
      </c>
      <c r="F12" s="274">
        <f>+' Sangareddy-2'!H35</f>
        <v>315.63</v>
      </c>
      <c r="G12" s="274">
        <f>+' Sangareddy-2'!J35</f>
        <v>34185.885299999994</v>
      </c>
      <c r="H12" s="274">
        <f>E12+G12</f>
        <v>1836568.4756999998</v>
      </c>
      <c r="I12" s="274">
        <f>+' Sangareddy-2'!M3</f>
        <v>324643.91869999986</v>
      </c>
      <c r="J12" s="274">
        <f>+' Sangareddy-2'!L35</f>
        <v>1902217</v>
      </c>
      <c r="K12" s="343">
        <f>H12+I12-J12</f>
        <v>258995.39439999964</v>
      </c>
    </row>
    <row r="13" spans="1:11">
      <c r="A13" s="342">
        <v>12</v>
      </c>
      <c r="B13" s="273" t="s">
        <v>87</v>
      </c>
      <c r="C13" s="273" t="s">
        <v>88</v>
      </c>
      <c r="D13" s="274">
        <f>+' Sangareddy-3'!E35</f>
        <v>5856.17</v>
      </c>
      <c r="E13" s="274">
        <f>+' Sangareddy-3'!G35</f>
        <v>563539.23910000001</v>
      </c>
      <c r="F13" s="274">
        <f>+' Sangareddy-3'!H35</f>
        <v>0</v>
      </c>
      <c r="G13" s="274">
        <f>+' Sangareddy-3'!J35</f>
        <v>0</v>
      </c>
      <c r="H13" s="274">
        <f>E13+G13</f>
        <v>563539.23910000001</v>
      </c>
      <c r="I13" s="274">
        <f>+' Sangareddy-3'!M3</f>
        <v>0</v>
      </c>
      <c r="J13" s="274">
        <f>+' Sangareddy-3'!L35</f>
        <v>400000</v>
      </c>
      <c r="K13" s="343">
        <f>H13+I13-J13</f>
        <v>163539.23910000001</v>
      </c>
    </row>
    <row r="14" spans="1:11">
      <c r="A14" s="342">
        <v>13</v>
      </c>
      <c r="B14" s="273" t="s">
        <v>89</v>
      </c>
      <c r="C14" s="273" t="s">
        <v>90</v>
      </c>
      <c r="D14" s="274">
        <f>+' Narayankhed'!E35</f>
        <v>300</v>
      </c>
      <c r="E14" s="274">
        <f>+' Narayankhed'!G35</f>
        <v>29100</v>
      </c>
      <c r="F14" s="274">
        <f>+' Narayankhed'!H35</f>
        <v>0</v>
      </c>
      <c r="G14" s="274">
        <f>+' Narayankhed'!J35</f>
        <v>0</v>
      </c>
      <c r="H14" s="274">
        <f>E14+G14</f>
        <v>29100</v>
      </c>
      <c r="I14" s="274">
        <f>+' Narayankhed'!M3</f>
        <v>0</v>
      </c>
      <c r="J14" s="274">
        <f>+' Narayankhed'!L35</f>
        <v>29100</v>
      </c>
      <c r="K14" s="343">
        <f>H14+I14-J14</f>
        <v>0</v>
      </c>
    </row>
    <row r="15" spans="1:11">
      <c r="A15" s="342">
        <v>14</v>
      </c>
      <c r="B15" s="273" t="s">
        <v>91</v>
      </c>
      <c r="C15" s="273" t="s">
        <v>92</v>
      </c>
      <c r="D15" s="274">
        <f>+Dindi!E35</f>
        <v>0</v>
      </c>
      <c r="E15" s="274">
        <f>+Dindi!G35</f>
        <v>0</v>
      </c>
      <c r="F15" s="274">
        <f>+Dindi!H35</f>
        <v>0</v>
      </c>
      <c r="G15" s="274">
        <f>+Dindi!J35</f>
        <v>0</v>
      </c>
      <c r="H15" s="274">
        <f>E15+G15</f>
        <v>0</v>
      </c>
      <c r="I15" s="274">
        <f>+Dindi!M3</f>
        <v>0</v>
      </c>
      <c r="J15" s="274">
        <f>+Dindi!L35</f>
        <v>0</v>
      </c>
      <c r="K15" s="343">
        <f t="shared" ref="K15:K53" si="0">H15+I15-J15</f>
        <v>0</v>
      </c>
    </row>
    <row r="16" spans="1:11">
      <c r="A16" s="342">
        <v>15</v>
      </c>
      <c r="B16" s="273" t="s">
        <v>93</v>
      </c>
      <c r="C16" s="462" t="s">
        <v>94</v>
      </c>
      <c r="D16" s="274">
        <f>+'Madana palli'!E36</f>
        <v>0</v>
      </c>
      <c r="E16" s="274">
        <f>+'Madana palli'!G36</f>
        <v>0</v>
      </c>
      <c r="F16" s="274">
        <f>+'Madana palli'!H36</f>
        <v>0</v>
      </c>
      <c r="G16" s="274">
        <f>+'Madana palli'!J36</f>
        <v>0</v>
      </c>
      <c r="H16" s="274">
        <f>E16+G16</f>
        <v>0</v>
      </c>
      <c r="I16" s="274">
        <f>+'Madana palli'!M3</f>
        <v>0</v>
      </c>
      <c r="J16" s="274">
        <f>+'Madana palli'!L36</f>
        <v>0</v>
      </c>
      <c r="K16" s="343">
        <f t="shared" si="0"/>
        <v>0</v>
      </c>
    </row>
    <row r="17" spans="1:11">
      <c r="A17" s="342">
        <v>16</v>
      </c>
      <c r="B17" s="273" t="s">
        <v>95</v>
      </c>
      <c r="C17" s="462" t="s">
        <v>94</v>
      </c>
      <c r="D17" s="274">
        <f>+Amalapuram!E48</f>
        <v>1141.6500000000001</v>
      </c>
      <c r="E17" s="274">
        <f>+Amalapuram!G48</f>
        <v>110749.41139999998</v>
      </c>
      <c r="F17" s="274">
        <f>+Amalapuram!H48</f>
        <v>105</v>
      </c>
      <c r="G17" s="274">
        <f>+Amalapuram!J48</f>
        <v>11422.349999999999</v>
      </c>
      <c r="H17" s="274">
        <f>E17+G17</f>
        <v>122171.76139999999</v>
      </c>
      <c r="I17" s="274">
        <f>+Amalapuram!M3</f>
        <v>0</v>
      </c>
      <c r="J17" s="274">
        <f>+Amalapuram!L48</f>
        <v>122171.33739999999</v>
      </c>
      <c r="K17" s="343">
        <f t="shared" si="0"/>
        <v>0.42399999999906868</v>
      </c>
    </row>
    <row r="18" spans="1:11">
      <c r="A18" s="342">
        <v>17</v>
      </c>
      <c r="B18" s="273" t="s">
        <v>96</v>
      </c>
      <c r="C18" s="273" t="s">
        <v>97</v>
      </c>
      <c r="D18" s="274">
        <f>+'YG Gudda-2'!E37</f>
        <v>7200</v>
      </c>
      <c r="E18" s="274">
        <f>+'YG Gudda-2'!G37</f>
        <v>657576</v>
      </c>
      <c r="F18" s="274">
        <f>+'YG Gudda-2'!H37</f>
        <v>315</v>
      </c>
      <c r="G18" s="274">
        <f>+'YG Gudda-2'!J37</f>
        <v>32530.05</v>
      </c>
      <c r="H18" s="274">
        <f t="shared" ref="H18" si="1">E18+G18</f>
        <v>690106.05</v>
      </c>
      <c r="I18" s="274">
        <f>+'YG Gudda-2'!M3</f>
        <v>250329.90990299993</v>
      </c>
      <c r="J18" s="274">
        <f>+'YG Gudda-2'!L37</f>
        <v>746330</v>
      </c>
      <c r="K18" s="343">
        <f t="shared" si="0"/>
        <v>194105.95990299992</v>
      </c>
    </row>
    <row r="19" spans="1:11">
      <c r="A19" s="342">
        <v>18</v>
      </c>
      <c r="B19" s="273" t="s">
        <v>98</v>
      </c>
      <c r="C19" s="273" t="s">
        <v>99</v>
      </c>
      <c r="D19" s="274">
        <f>+'Hosadurga -2'!E35</f>
        <v>6599.13</v>
      </c>
      <c r="E19" s="274">
        <f>+'Hosadurga -2'!G35</f>
        <v>603734.35149999999</v>
      </c>
      <c r="F19" s="274">
        <f>+'Hosadurga -2'!H35</f>
        <v>210</v>
      </c>
      <c r="G19" s="274">
        <f>+'Hosadurga -2'!J35</f>
        <v>21754.95</v>
      </c>
      <c r="H19" s="274">
        <f>+'Hosadurga -2'!K35</f>
        <v>625489.30150000006</v>
      </c>
      <c r="I19" s="274">
        <f>+'Hosadurga -2'!K3</f>
        <v>198796.9749999998</v>
      </c>
      <c r="J19" s="274">
        <f>+'Hosadurga -2'!L35</f>
        <v>575797</v>
      </c>
      <c r="K19" s="343">
        <f>H19+I19-J19</f>
        <v>248489.27649999992</v>
      </c>
    </row>
    <row r="20" spans="1:11" ht="15.75" customHeight="1">
      <c r="A20" s="342">
        <v>19</v>
      </c>
      <c r="B20" s="275" t="s">
        <v>100</v>
      </c>
      <c r="C20" s="275" t="s">
        <v>101</v>
      </c>
      <c r="D20" s="274">
        <f>+'Malebenur(KUWSDB)'!E37</f>
        <v>3600</v>
      </c>
      <c r="E20" s="274">
        <f>+'Malebenur(KUWSDB)'!G37</f>
        <v>331236</v>
      </c>
      <c r="F20" s="274">
        <f>+'Malebenur(KUWSDB)'!H37</f>
        <v>195</v>
      </c>
      <c r="G20" s="274">
        <f>+'Malebenur(KUWSDB)'!J37</f>
        <v>20233.2</v>
      </c>
      <c r="H20" s="274">
        <f>E20+G20</f>
        <v>351469.2</v>
      </c>
      <c r="I20" s="274">
        <f>+'Malebenur(KUWSDB)'!K3</f>
        <v>79478.009699999966</v>
      </c>
      <c r="J20" s="274">
        <f>+'Malebenur(KUWSDB)'!L37</f>
        <v>237298</v>
      </c>
      <c r="K20" s="343">
        <f>H20+I20-J20</f>
        <v>193649.20970000001</v>
      </c>
    </row>
    <row r="21" spans="1:11">
      <c r="A21" s="342">
        <v>20</v>
      </c>
      <c r="B21" s="273" t="s">
        <v>102</v>
      </c>
      <c r="C21" s="273" t="s">
        <v>103</v>
      </c>
      <c r="D21" s="274">
        <f>+Kadur!E35</f>
        <v>1800</v>
      </c>
      <c r="E21" s="274">
        <f>+Kadur!G35</f>
        <v>171270</v>
      </c>
      <c r="F21" s="274">
        <f>+Kadur!H35</f>
        <v>140</v>
      </c>
      <c r="G21" s="274">
        <f>+Kadur!J35</f>
        <v>15297.8</v>
      </c>
      <c r="H21" s="274">
        <f t="shared" ref="H21:H53" si="2">E21+G21</f>
        <v>186567.8</v>
      </c>
      <c r="I21" s="274">
        <f>+Kadur!K3</f>
        <v>102970.6309999997</v>
      </c>
      <c r="J21" s="274">
        <f>+Kadur!L35</f>
        <v>289538</v>
      </c>
      <c r="K21" s="343">
        <f t="shared" si="0"/>
        <v>0.43099999969126657</v>
      </c>
    </row>
    <row r="22" spans="1:11">
      <c r="A22" s="342">
        <v>21</v>
      </c>
      <c r="B22" s="273" t="s">
        <v>104</v>
      </c>
      <c r="C22" s="273" t="s">
        <v>105</v>
      </c>
      <c r="D22" s="274">
        <f>+'Hiriyur(VJNL)'!E35</f>
        <v>5000</v>
      </c>
      <c r="E22" s="274">
        <f>+'Hiriyur(VJNL)'!G35</f>
        <v>460500</v>
      </c>
      <c r="F22" s="274">
        <f>+'Hiriyur(VJNL)'!H35</f>
        <v>175</v>
      </c>
      <c r="G22" s="274">
        <f>+'Hiriyur(VJNL)'!J35</f>
        <v>18175.5</v>
      </c>
      <c r="H22" s="274">
        <f t="shared" si="2"/>
        <v>478675.5</v>
      </c>
      <c r="I22" s="274">
        <f>+'Hiriyur(VJNL)'!K3</f>
        <v>69.799999999988358</v>
      </c>
      <c r="J22" s="274">
        <f>+'Hiriyur(VJNL)'!L35</f>
        <v>200000</v>
      </c>
      <c r="K22" s="343">
        <f t="shared" si="0"/>
        <v>278745.3</v>
      </c>
    </row>
    <row r="23" spans="1:11">
      <c r="A23" s="342">
        <v>22</v>
      </c>
      <c r="B23" s="273" t="s">
        <v>106</v>
      </c>
      <c r="C23" s="273" t="s">
        <v>107</v>
      </c>
      <c r="D23" s="274">
        <f>+'Chellakere -1'!E35</f>
        <v>4600</v>
      </c>
      <c r="E23" s="274">
        <f>+'Chellakere -1'!G35</f>
        <v>423520.2</v>
      </c>
      <c r="F23" s="274">
        <f>+'Chellakere -1'!H35</f>
        <v>205</v>
      </c>
      <c r="G23" s="274">
        <f>+'Chellakere -1'!J35</f>
        <v>21283.1</v>
      </c>
      <c r="H23" s="274">
        <f t="shared" si="2"/>
        <v>444803.3</v>
      </c>
      <c r="I23" s="274">
        <f>+'Chellakere -1'!K3</f>
        <v>215562.07440000004</v>
      </c>
      <c r="J23" s="274">
        <f>+'Chellakere -1'!L35</f>
        <v>410562</v>
      </c>
      <c r="K23" s="343">
        <f t="shared" si="0"/>
        <v>249803.37440000009</v>
      </c>
    </row>
    <row r="24" spans="1:11">
      <c r="A24" s="342">
        <v>23</v>
      </c>
      <c r="B24" s="273" t="s">
        <v>108</v>
      </c>
      <c r="C24" s="273" t="s">
        <v>107</v>
      </c>
      <c r="D24" s="274">
        <f>+' Chellakere-PKG-9'!E35</f>
        <v>325.38</v>
      </c>
      <c r="E24" s="274">
        <f>+' Chellakere-PKG-9'!G35</f>
        <v>29957.386599999998</v>
      </c>
      <c r="F24" s="274">
        <f>+' Chellakere-PKG-9'!H35</f>
        <v>38</v>
      </c>
      <c r="G24" s="274">
        <f>+' Chellakere-PKG-9'!J35</f>
        <v>3945.16</v>
      </c>
      <c r="H24" s="274">
        <f t="shared" si="2"/>
        <v>33902.546600000001</v>
      </c>
      <c r="I24" s="274">
        <f>+' Chellakere-PKG-9'!M3</f>
        <v>0</v>
      </c>
      <c r="J24" s="274">
        <f>+' Chellakere-PKG-9'!L35</f>
        <v>33902.546599999994</v>
      </c>
      <c r="K24" s="343">
        <f t="shared" si="0"/>
        <v>0</v>
      </c>
    </row>
    <row r="25" spans="1:11">
      <c r="A25" s="342">
        <v>24</v>
      </c>
      <c r="B25" s="273" t="s">
        <v>109</v>
      </c>
      <c r="C25" s="312" t="s">
        <v>110</v>
      </c>
      <c r="D25" s="274">
        <f>+Molakamuru!E35</f>
        <v>1300</v>
      </c>
      <c r="E25" s="274">
        <f>+Molakamuru!G35</f>
        <v>119678</v>
      </c>
      <c r="F25" s="274">
        <f>+Molakamuru!H35</f>
        <v>50</v>
      </c>
      <c r="G25" s="274">
        <f>+Molakamuru!J35</f>
        <v>5190.5</v>
      </c>
      <c r="H25" s="274">
        <f t="shared" si="2"/>
        <v>124868.5</v>
      </c>
      <c r="I25" s="274">
        <f>+Molakamuru!K3</f>
        <v>4179.7151999999796</v>
      </c>
      <c r="J25" s="274">
        <f>+Molakamuru!L35</f>
        <v>72756.399999999994</v>
      </c>
      <c r="K25" s="343">
        <f t="shared" si="0"/>
        <v>56291.815199999983</v>
      </c>
    </row>
    <row r="26" spans="1:11">
      <c r="A26" s="342">
        <v>25</v>
      </c>
      <c r="B26" s="273" t="s">
        <v>111</v>
      </c>
      <c r="C26" s="463" t="s">
        <v>94</v>
      </c>
      <c r="D26" s="274">
        <f>+' Chennagiri'!E35</f>
        <v>360</v>
      </c>
      <c r="E26" s="274">
        <f>+' Chennagiri'!G35</f>
        <v>33084.400000000001</v>
      </c>
      <c r="F26" s="274">
        <f>+' Chennagiri'!H35</f>
        <v>49</v>
      </c>
      <c r="G26" s="274">
        <f>+' Chennagiri'!J35</f>
        <v>5087.8899999999994</v>
      </c>
      <c r="H26" s="274">
        <f t="shared" si="2"/>
        <v>38172.29</v>
      </c>
      <c r="I26" s="274">
        <f>+' Chennagiri'!K3</f>
        <v>0</v>
      </c>
      <c r="J26" s="274">
        <f>+' Chennagiri'!L35</f>
        <v>38172.29</v>
      </c>
      <c r="K26" s="343">
        <f t="shared" si="0"/>
        <v>0</v>
      </c>
    </row>
    <row r="27" spans="1:11">
      <c r="A27" s="342">
        <v>26</v>
      </c>
      <c r="B27" s="273" t="s">
        <v>112</v>
      </c>
      <c r="C27" s="273" t="s">
        <v>113</v>
      </c>
      <c r="D27" s="274">
        <f>+Khanapur!E35</f>
        <v>2008.4899999999998</v>
      </c>
      <c r="E27" s="274">
        <f>+Khanapur!G35</f>
        <v>182531.57120000001</v>
      </c>
      <c r="F27" s="274">
        <f>+Khanapur!H35</f>
        <v>153</v>
      </c>
      <c r="G27" s="274">
        <f>+Khanapur!J35</f>
        <v>15723.809999999998</v>
      </c>
      <c r="H27" s="274">
        <f t="shared" si="2"/>
        <v>198255.3812</v>
      </c>
      <c r="I27" s="274">
        <f>+Khanapur!M3</f>
        <v>153658.74979999999</v>
      </c>
      <c r="J27" s="274">
        <f>+Khanapur!L35</f>
        <v>237619</v>
      </c>
      <c r="K27" s="343">
        <f t="shared" si="0"/>
        <v>114295.13099999999</v>
      </c>
    </row>
    <row r="28" spans="1:11">
      <c r="A28" s="342">
        <v>27</v>
      </c>
      <c r="B28" s="273" t="s">
        <v>114</v>
      </c>
      <c r="C28" s="273" t="s">
        <v>115</v>
      </c>
      <c r="D28" s="274">
        <f>+'Munavali-2'!E38</f>
        <v>12432.9</v>
      </c>
      <c r="E28" s="274">
        <f>+'Munavali-2'!G38</f>
        <v>1138087.1510000001</v>
      </c>
      <c r="F28" s="274">
        <f>+'Munavali-2'!H38</f>
        <v>204.77</v>
      </c>
      <c r="G28" s="274">
        <f>+'Munavali-2'!J38</f>
        <v>21291.851600000002</v>
      </c>
      <c r="H28" s="274">
        <f t="shared" si="2"/>
        <v>1159379.0026</v>
      </c>
      <c r="I28" s="274">
        <f>+'Munavali-2'!M3</f>
        <v>607059.50786000013</v>
      </c>
      <c r="J28" s="274">
        <f>+'Munavali-2'!L38</f>
        <v>1198830.8899999994</v>
      </c>
      <c r="K28" s="343">
        <f t="shared" si="0"/>
        <v>567607.62046000059</v>
      </c>
    </row>
    <row r="29" spans="1:11">
      <c r="A29" s="342">
        <v>28</v>
      </c>
      <c r="B29" s="273" t="s">
        <v>116</v>
      </c>
      <c r="C29" s="273" t="s">
        <v>117</v>
      </c>
      <c r="D29" s="274">
        <f>+Borgaon!E35</f>
        <v>4710.57</v>
      </c>
      <c r="E29" s="274">
        <f>+Borgaon!G35</f>
        <v>432289.00890000007</v>
      </c>
      <c r="F29" s="274">
        <f>+Borgaon!H35</f>
        <v>99.81</v>
      </c>
      <c r="G29" s="274">
        <f>+Borgaon!J35</f>
        <v>10353.291299999999</v>
      </c>
      <c r="H29" s="274">
        <f t="shared" si="2"/>
        <v>442642.30020000006</v>
      </c>
      <c r="I29" s="274">
        <f>+Borgaon!K3</f>
        <v>85513.088199999998</v>
      </c>
      <c r="J29" s="274">
        <f>+Borgaon!L35</f>
        <v>421500</v>
      </c>
      <c r="K29" s="343">
        <f>H29+I29-J29</f>
        <v>106655.38840000005</v>
      </c>
    </row>
    <row r="30" spans="1:11">
      <c r="A30" s="342">
        <v>29</v>
      </c>
      <c r="B30" s="273" t="s">
        <v>118</v>
      </c>
      <c r="C30" s="273" t="s">
        <v>119</v>
      </c>
      <c r="D30" s="274">
        <f>+'Ugar,Khagwad,Kudichi'!E35</f>
        <v>10909.45</v>
      </c>
      <c r="E30" s="274">
        <f>+'Ugar,Khagwad,Kudichi'!G35</f>
        <v>1002905.7385000001</v>
      </c>
      <c r="F30" s="274">
        <f>+'Ugar,Khagwad,Kudichi'!H35</f>
        <v>300</v>
      </c>
      <c r="G30" s="274">
        <f>+'Ugar,Khagwad,Kudichi'!J35</f>
        <v>31543.4</v>
      </c>
      <c r="H30" s="274">
        <f t="shared" si="2"/>
        <v>1034449.1385000001</v>
      </c>
      <c r="I30" s="274">
        <f>+'Ugar,Khagwad,Kudichi'!M3</f>
        <v>434415.6128</v>
      </c>
      <c r="J30" s="274">
        <f>+'Ugar,Khagwad,Kudichi'!L35</f>
        <v>884650</v>
      </c>
      <c r="K30" s="343">
        <f>H30+I30-J30</f>
        <v>584214.75130000012</v>
      </c>
    </row>
    <row r="31" spans="1:11">
      <c r="A31" s="342">
        <v>30</v>
      </c>
      <c r="B31" s="273" t="s">
        <v>120</v>
      </c>
      <c r="C31" s="273" t="s">
        <v>121</v>
      </c>
      <c r="D31" s="274">
        <f>+Kabbur!E35</f>
        <v>436.01</v>
      </c>
      <c r="E31" s="274">
        <f>+Kabbur!G35</f>
        <v>39938.516000000003</v>
      </c>
      <c r="F31" s="274">
        <f>+Kabbur!H35</f>
        <v>20.83</v>
      </c>
      <c r="G31" s="274">
        <f>+Kabbur!J35</f>
        <v>2156.7381999999998</v>
      </c>
      <c r="H31" s="274">
        <f t="shared" si="2"/>
        <v>42095.254200000003</v>
      </c>
      <c r="I31" s="274">
        <v>0</v>
      </c>
      <c r="J31" s="274">
        <f>+Kabbur!L35</f>
        <v>42095.254199999996</v>
      </c>
      <c r="K31" s="343">
        <f t="shared" si="0"/>
        <v>0</v>
      </c>
    </row>
    <row r="32" spans="1:11">
      <c r="A32" s="342">
        <v>31</v>
      </c>
      <c r="B32" s="273" t="s">
        <v>122</v>
      </c>
      <c r="C32" s="273" t="s">
        <v>123</v>
      </c>
      <c r="D32" s="274">
        <f>+kumta!E36</f>
        <v>2145</v>
      </c>
      <c r="E32" s="274">
        <f>+kumta!G36</f>
        <v>197273.15</v>
      </c>
      <c r="F32" s="274">
        <f>+kumta!H36</f>
        <v>177</v>
      </c>
      <c r="G32" s="274">
        <f>+kumta!J36</f>
        <v>18409.769999999993</v>
      </c>
      <c r="H32" s="274">
        <f t="shared" si="2"/>
        <v>215682.91999999998</v>
      </c>
      <c r="I32" s="274">
        <f>kumta!M3</f>
        <v>34759.30000000001</v>
      </c>
      <c r="J32" s="274">
        <f>+kumta!L36</f>
        <v>247835</v>
      </c>
      <c r="K32" s="343">
        <f t="shared" si="0"/>
        <v>2607.2200000000012</v>
      </c>
    </row>
    <row r="33" spans="1:13">
      <c r="A33" s="342">
        <v>32</v>
      </c>
      <c r="B33" s="273" t="s">
        <v>124</v>
      </c>
      <c r="C33" s="273" t="s">
        <v>125</v>
      </c>
      <c r="D33" s="274">
        <f>+Jalgaon!E55</f>
        <v>9000</v>
      </c>
      <c r="E33" s="274">
        <f>+Jalgaon!G55</f>
        <v>825390</v>
      </c>
      <c r="F33" s="274">
        <f>+Jalgaon!H55</f>
        <v>60</v>
      </c>
      <c r="G33" s="274">
        <f>+Jalgaon!J55</f>
        <v>6311.4000000000005</v>
      </c>
      <c r="H33" s="274">
        <f t="shared" si="2"/>
        <v>831701.4</v>
      </c>
      <c r="I33" s="274">
        <f>+Jalgaon!K3</f>
        <v>1651007.8791000003</v>
      </c>
      <c r="J33" s="274">
        <f>+Jalgaon!L55</f>
        <v>2388895.6</v>
      </c>
      <c r="K33" s="343">
        <f t="shared" si="0"/>
        <v>93813.6791000003</v>
      </c>
    </row>
    <row r="34" spans="1:13">
      <c r="A34" s="342">
        <v>33</v>
      </c>
      <c r="B34" s="273" t="s">
        <v>126</v>
      </c>
      <c r="C34" s="273" t="s">
        <v>127</v>
      </c>
      <c r="D34" s="274">
        <f>+'Jalgoan-2'!E55</f>
        <v>64300.61</v>
      </c>
      <c r="E34" s="274">
        <f>'Jalgoan-2'!G55</f>
        <v>6089910.7731000008</v>
      </c>
      <c r="F34" s="274">
        <f>+'Jalgoan-2'!H55</f>
        <v>405</v>
      </c>
      <c r="G34" s="274">
        <f>+'Jalgoan-2'!J55</f>
        <v>44728.2</v>
      </c>
      <c r="H34" s="274">
        <f t="shared" si="2"/>
        <v>6134638.973100001</v>
      </c>
      <c r="I34" s="274">
        <f>+'Jalgoan-2'!M3</f>
        <v>5471844.9830999998</v>
      </c>
      <c r="J34" s="274">
        <f>+'Jalgoan-2'!L55</f>
        <v>8941028</v>
      </c>
      <c r="K34" s="343">
        <f t="shared" si="0"/>
        <v>2665455.9561999999</v>
      </c>
    </row>
    <row r="35" spans="1:13">
      <c r="A35" s="342">
        <v>34</v>
      </c>
      <c r="B35" s="273" t="s">
        <v>128</v>
      </c>
      <c r="C35" s="429" t="s">
        <v>129</v>
      </c>
      <c r="D35" s="274">
        <f>+' Jalgoan-3'!E55</f>
        <v>2500</v>
      </c>
      <c r="E35" s="274">
        <f>+' Jalgoan-3'!G55</f>
        <v>229925</v>
      </c>
      <c r="F35" s="274">
        <f>+' Jalgoan-3'!H55</f>
        <v>0</v>
      </c>
      <c r="G35" s="274">
        <f>+' Jalgoan-3'!J55</f>
        <v>0</v>
      </c>
      <c r="H35" s="274">
        <f t="shared" si="2"/>
        <v>229925</v>
      </c>
      <c r="I35" s="274">
        <f>+' Jalgoan-3'!M3</f>
        <v>0</v>
      </c>
      <c r="J35" s="274">
        <f>+' Jalgoan-3'!L55</f>
        <v>229925</v>
      </c>
      <c r="K35" s="343">
        <f t="shared" si="0"/>
        <v>0</v>
      </c>
    </row>
    <row r="36" spans="1:13">
      <c r="A36" s="342">
        <v>35</v>
      </c>
      <c r="B36" s="273" t="s">
        <v>130</v>
      </c>
      <c r="C36" s="462" t="s">
        <v>77</v>
      </c>
      <c r="D36" s="274">
        <f>+' Jalgoan-4'!E60</f>
        <v>40913.03</v>
      </c>
      <c r="E36" s="274">
        <f>+' Jalgoan-4'!G60</f>
        <v>3753069.6890000002</v>
      </c>
      <c r="F36" s="274">
        <f>+' Jalgoan-4'!H60</f>
        <v>0</v>
      </c>
      <c r="G36" s="274">
        <f>+' Jalgoan-4'!J60</f>
        <v>0</v>
      </c>
      <c r="H36" s="274">
        <f t="shared" si="2"/>
        <v>3753069.6890000002</v>
      </c>
      <c r="I36" s="274">
        <f>+' Jalgoan-4'!M3</f>
        <v>0</v>
      </c>
      <c r="J36" s="274">
        <f>+' Jalgoan-4'!L60</f>
        <v>3753069.6890000002</v>
      </c>
      <c r="K36" s="343">
        <f t="shared" si="0"/>
        <v>0</v>
      </c>
    </row>
    <row r="37" spans="1:13">
      <c r="A37" s="342">
        <v>36</v>
      </c>
      <c r="B37" s="273" t="s">
        <v>131</v>
      </c>
      <c r="C37" s="273" t="s">
        <v>132</v>
      </c>
      <c r="D37" s="274">
        <f>+MKBD!E39</f>
        <v>27000</v>
      </c>
      <c r="E37" s="274">
        <f>+MKBD!G39</f>
        <v>2460780</v>
      </c>
      <c r="F37" s="274">
        <f>+MKBD!H39</f>
        <v>166</v>
      </c>
      <c r="G37" s="274">
        <f>+MKBD!J39</f>
        <v>18928.999999999993</v>
      </c>
      <c r="H37" s="274">
        <f t="shared" si="2"/>
        <v>2479709</v>
      </c>
      <c r="I37" s="274">
        <f>+MKBD!K3</f>
        <v>1463406.5498000004</v>
      </c>
      <c r="J37" s="274">
        <f>+MKBD!L39</f>
        <v>1372840</v>
      </c>
      <c r="K37" s="343">
        <f t="shared" si="0"/>
        <v>2570275.5498000002</v>
      </c>
    </row>
    <row r="38" spans="1:13">
      <c r="A38" s="342">
        <v>37</v>
      </c>
      <c r="B38" s="273" t="s">
        <v>133</v>
      </c>
      <c r="C38" s="273" t="s">
        <v>134</v>
      </c>
      <c r="D38" s="274">
        <f>' Haveri-2'!E38</f>
        <v>2758.1900000000005</v>
      </c>
      <c r="E38" s="274">
        <f>' Haveri-2'!G38</f>
        <v>252346.80309999999</v>
      </c>
      <c r="F38" s="274">
        <f>' Haveri-2'!H38</f>
        <v>101.33</v>
      </c>
      <c r="G38" s="274">
        <f>' Haveri-2'!J38</f>
        <v>10480.561899999999</v>
      </c>
      <c r="H38" s="274">
        <f t="shared" si="2"/>
        <v>262827.36499999999</v>
      </c>
      <c r="I38" s="274">
        <f>' Haveri-2'!M3</f>
        <v>77285.142899999963</v>
      </c>
      <c r="J38" s="274">
        <f>+' Haveri-2'!L38</f>
        <v>280000</v>
      </c>
      <c r="K38" s="343">
        <f t="shared" si="0"/>
        <v>60112.507899999968</v>
      </c>
    </row>
    <row r="39" spans="1:13">
      <c r="A39" s="342">
        <v>38</v>
      </c>
      <c r="B39" s="273" t="s">
        <v>135</v>
      </c>
      <c r="C39" s="273" t="s">
        <v>136</v>
      </c>
      <c r="D39" s="274">
        <f>+' Guttal-2'!E35</f>
        <v>7724.1399999999994</v>
      </c>
      <c r="E39" s="274">
        <f>+' Guttal-2'!G35</f>
        <v>708921.56920000003</v>
      </c>
      <c r="F39" s="274">
        <f>+' Guttal-2'!H35</f>
        <v>180</v>
      </c>
      <c r="G39" s="274">
        <f>+' Guttal-2'!J35</f>
        <v>18673.2</v>
      </c>
      <c r="H39" s="274">
        <f t="shared" si="2"/>
        <v>727594.76919999998</v>
      </c>
      <c r="I39" s="274">
        <f>+' Guttal-2'!M3</f>
        <v>203929.33460000006</v>
      </c>
      <c r="J39" s="274">
        <f>+' Guttal-2'!L35</f>
        <v>730929</v>
      </c>
      <c r="K39" s="343">
        <f t="shared" si="0"/>
        <v>200595.10380000004</v>
      </c>
    </row>
    <row r="40" spans="1:13">
      <c r="A40" s="342">
        <v>39</v>
      </c>
      <c r="B40" s="273" t="s">
        <v>137</v>
      </c>
      <c r="C40" s="273" t="s">
        <v>138</v>
      </c>
      <c r="D40" s="274">
        <f>+'Rattihali-2'!E37</f>
        <v>3860.0299999999997</v>
      </c>
      <c r="E40" s="274">
        <f>+'Rattihali-2'!G37</f>
        <v>354698.15669999999</v>
      </c>
      <c r="F40" s="274">
        <f>+'Rattihali-2'!H37</f>
        <v>109</v>
      </c>
      <c r="G40" s="274">
        <f>+'Rattihali-2'!J37</f>
        <v>11319.65</v>
      </c>
      <c r="H40" s="274">
        <f t="shared" si="2"/>
        <v>366017.80670000002</v>
      </c>
      <c r="I40" s="274">
        <f>+'Rattihali-2'!M3</f>
        <v>263742.09730000002</v>
      </c>
      <c r="J40" s="274">
        <f>+'Rattihali-2'!L37</f>
        <v>363742</v>
      </c>
      <c r="K40" s="343">
        <f t="shared" si="0"/>
        <v>266017.9040000001</v>
      </c>
    </row>
    <row r="41" spans="1:13">
      <c r="A41" s="342">
        <v>40</v>
      </c>
      <c r="B41" s="273" t="s">
        <v>139</v>
      </c>
      <c r="C41" s="273" t="s">
        <v>140</v>
      </c>
      <c r="D41" s="274">
        <f>+Gajendragada!E35</f>
        <v>377</v>
      </c>
      <c r="E41" s="274">
        <f>+Gajendragada!G35</f>
        <v>34619.910000000003</v>
      </c>
      <c r="F41" s="274">
        <f>+Gajendragada!H35</f>
        <v>64</v>
      </c>
      <c r="G41" s="274">
        <f>+Gajendragada!J35</f>
        <v>6643.2</v>
      </c>
      <c r="H41" s="274">
        <f t="shared" si="2"/>
        <v>41263.11</v>
      </c>
      <c r="I41" s="274">
        <f>+Gajendragada!K3</f>
        <v>47365.079499999978</v>
      </c>
      <c r="J41" s="274">
        <f>+Gajendragada!L35</f>
        <v>47365</v>
      </c>
      <c r="K41" s="343">
        <f t="shared" si="0"/>
        <v>41263.189499999979</v>
      </c>
    </row>
    <row r="42" spans="1:13">
      <c r="A42" s="342">
        <v>41</v>
      </c>
      <c r="B42" s="276" t="s">
        <v>141</v>
      </c>
      <c r="C42" s="276" t="s">
        <v>142</v>
      </c>
      <c r="D42" s="274">
        <f>+'Gokak Dharwad PKG 3'!E42</f>
        <v>11958.259999999998</v>
      </c>
      <c r="E42" s="274">
        <f>+'Gokak Dharwad PKG 3'!G42</f>
        <v>1093941.6247999999</v>
      </c>
      <c r="F42" s="274">
        <f>+'Gokak Dharwad PKG 3'!H42</f>
        <v>399</v>
      </c>
      <c r="G42" s="274">
        <f>+'Gokak Dharwad PKG 3'!J42</f>
        <v>42064.920000000006</v>
      </c>
      <c r="H42" s="274">
        <f t="shared" si="2"/>
        <v>1136006.5447999998</v>
      </c>
      <c r="I42" s="362">
        <f>+'Gokak Dharwad PKG 3'!K3</f>
        <v>367936.98660000128</v>
      </c>
      <c r="J42" s="274">
        <f>+'Gokak Dharwad PKG 3'!L42</f>
        <v>1177900</v>
      </c>
      <c r="K42" s="343">
        <f t="shared" si="0"/>
        <v>326043.53140000114</v>
      </c>
      <c r="M42" s="278"/>
    </row>
    <row r="43" spans="1:13">
      <c r="A43" s="342">
        <v>42</v>
      </c>
      <c r="B43" s="276" t="s">
        <v>143</v>
      </c>
      <c r="C43" s="276" t="s">
        <v>144</v>
      </c>
      <c r="D43" s="274">
        <f>+' TR Associates'!E35</f>
        <v>11982.27</v>
      </c>
      <c r="E43" s="274">
        <f>+' TR Associates'!G35</f>
        <v>1094220.8964000002</v>
      </c>
      <c r="F43" s="274">
        <f>+' TR Associates'!H35</f>
        <v>30</v>
      </c>
      <c r="G43" s="274">
        <f>+' TR Associates'!J35</f>
        <v>3096.9</v>
      </c>
      <c r="H43" s="360">
        <f t="shared" si="2"/>
        <v>1097317.7964000001</v>
      </c>
      <c r="I43" s="359">
        <f>+' TR Associates'!M3</f>
        <v>706575.23</v>
      </c>
      <c r="J43" s="361">
        <f>+' TR Associates'!L35</f>
        <v>1306573</v>
      </c>
      <c r="K43" s="343">
        <f t="shared" si="0"/>
        <v>497320.02640000009</v>
      </c>
      <c r="M43" s="278"/>
    </row>
    <row r="44" spans="1:13">
      <c r="A44" s="342">
        <v>43</v>
      </c>
      <c r="B44" s="276" t="s">
        <v>145</v>
      </c>
      <c r="C44" s="276" t="s">
        <v>146</v>
      </c>
      <c r="D44" s="274">
        <f>+Ankalgi!E35</f>
        <v>3023.3199999999997</v>
      </c>
      <c r="E44" s="274">
        <f>+Ankalgi!G35</f>
        <v>276089.58239999996</v>
      </c>
      <c r="F44" s="274">
        <f>+Ankalgi!H35</f>
        <v>50</v>
      </c>
      <c r="G44" s="274">
        <f>+Ankalgi!J35</f>
        <v>5162</v>
      </c>
      <c r="H44" s="274">
        <f t="shared" si="2"/>
        <v>281251.58239999996</v>
      </c>
      <c r="I44" s="300">
        <f>+Ankalgi!M3</f>
        <v>185274.34509999998</v>
      </c>
      <c r="J44" s="274">
        <f>+Ankalgi!L35</f>
        <v>370274</v>
      </c>
      <c r="K44" s="343">
        <f>H44+I44-J44</f>
        <v>96251.927499999932</v>
      </c>
    </row>
    <row r="45" spans="1:13">
      <c r="A45" s="342">
        <v>44</v>
      </c>
      <c r="B45" s="276" t="s">
        <v>147</v>
      </c>
      <c r="C45" s="276" t="s">
        <v>148</v>
      </c>
      <c r="D45" s="274">
        <f>+' Shankeshwar'!E35</f>
        <v>510</v>
      </c>
      <c r="E45" s="274">
        <f>+' Shankeshwar'!G35</f>
        <v>46563</v>
      </c>
      <c r="F45" s="274">
        <f>+' Shankeshwar'!H35</f>
        <v>92</v>
      </c>
      <c r="G45" s="274">
        <f>+' Shankeshwar'!J35</f>
        <v>9496.2899999999991</v>
      </c>
      <c r="H45" s="360">
        <f t="shared" si="2"/>
        <v>56059.29</v>
      </c>
      <c r="I45" s="359">
        <f>' Shankeshwar'!M3</f>
        <v>0</v>
      </c>
      <c r="J45" s="361">
        <f>+' Shankeshwar'!L35</f>
        <v>56059.289999999994</v>
      </c>
      <c r="K45" s="343">
        <f t="shared" si="0"/>
        <v>0</v>
      </c>
    </row>
    <row r="46" spans="1:13">
      <c r="A46" s="342">
        <v>45</v>
      </c>
      <c r="B46" s="276" t="s">
        <v>149</v>
      </c>
      <c r="C46" s="276" t="s">
        <v>150</v>
      </c>
      <c r="D46" s="274">
        <f>+' Talikote'!E46</f>
        <v>404.37</v>
      </c>
      <c r="E46" s="274">
        <f>+' Talikote'!G46</f>
        <v>37008.82</v>
      </c>
      <c r="F46" s="274">
        <f>+' Talikote'!H46</f>
        <v>74.649999999999991</v>
      </c>
      <c r="G46" s="274">
        <f>+' Talikote'!J46</f>
        <v>7721.7960000000012</v>
      </c>
      <c r="H46" s="274">
        <f t="shared" si="2"/>
        <v>44730.616000000002</v>
      </c>
      <c r="I46" s="393">
        <f>+' Talikote'!N3</f>
        <v>2468.2480999999798</v>
      </c>
      <c r="J46" s="274">
        <f>+' Talikote'!L46</f>
        <v>28730</v>
      </c>
      <c r="K46" s="343">
        <f t="shared" si="0"/>
        <v>18468.864099999984</v>
      </c>
    </row>
    <row r="47" spans="1:13">
      <c r="A47" s="342">
        <v>46</v>
      </c>
      <c r="B47" s="276" t="s">
        <v>151</v>
      </c>
      <c r="C47" s="276" t="s">
        <v>152</v>
      </c>
      <c r="D47" s="274">
        <f>+Chadchan!E35</f>
        <v>1158.4799999999996</v>
      </c>
      <c r="E47" s="274">
        <f>+Chadchan!G35</f>
        <v>105688.13040000002</v>
      </c>
      <c r="F47" s="274">
        <f>+Chadchan!H35</f>
        <v>136.26999999999998</v>
      </c>
      <c r="G47" s="274">
        <f>+Chadchan!J35</f>
        <v>14057.6132</v>
      </c>
      <c r="H47" s="274">
        <f t="shared" si="2"/>
        <v>119745.74360000002</v>
      </c>
      <c r="I47" s="274">
        <f>+Chadchan!K3</f>
        <v>57209.664800000064</v>
      </c>
      <c r="J47" s="274">
        <f>+Chadchan!L35</f>
        <v>57247</v>
      </c>
      <c r="K47" s="343">
        <f t="shared" si="0"/>
        <v>119708.40840000007</v>
      </c>
    </row>
    <row r="48" spans="1:13">
      <c r="A48" s="342">
        <v>47</v>
      </c>
      <c r="B48" s="276" t="s">
        <v>153</v>
      </c>
      <c r="C48" s="276" t="s">
        <v>154</v>
      </c>
      <c r="D48" s="274">
        <f>+Sindagi!E44</f>
        <v>318</v>
      </c>
      <c r="E48" s="274">
        <f>+Sindagi!G44</f>
        <v>29017.5</v>
      </c>
      <c r="F48" s="274">
        <f>+Sindagi!H44</f>
        <v>5</v>
      </c>
      <c r="G48" s="274">
        <f>+Sindagi!J44</f>
        <v>515.90000000000009</v>
      </c>
      <c r="H48" s="274">
        <f t="shared" si="2"/>
        <v>29533.4</v>
      </c>
      <c r="I48" s="274">
        <f>+Sindagi!M3</f>
        <v>15584.412700000001</v>
      </c>
      <c r="J48" s="274">
        <f>+Sindagi!L44</f>
        <v>39500</v>
      </c>
      <c r="K48" s="343">
        <f t="shared" si="0"/>
        <v>5617.8127000000022</v>
      </c>
    </row>
    <row r="49" spans="1:17">
      <c r="A49" s="342">
        <v>48</v>
      </c>
      <c r="B49" s="276" t="s">
        <v>155</v>
      </c>
      <c r="C49" s="276" t="s">
        <v>156</v>
      </c>
      <c r="D49" s="274">
        <f>+'Muddebhihal-2'!E49</f>
        <v>1469.31</v>
      </c>
      <c r="E49" s="274">
        <f>+'Muddebhihal-2'!G49</f>
        <v>134324.32020000002</v>
      </c>
      <c r="F49" s="274">
        <f>+'Muddebhihal-2'!H49</f>
        <v>33</v>
      </c>
      <c r="G49" s="274">
        <f>+'Muddebhihal-2'!J49</f>
        <v>3410.5499999999997</v>
      </c>
      <c r="H49" s="274">
        <f>+'Muddebhihal-2'!K49</f>
        <v>137734.8702</v>
      </c>
      <c r="I49" s="274">
        <f>+'Muddebhihal-2'!M3</f>
        <v>59806.35</v>
      </c>
      <c r="J49" s="274">
        <f>+'Muddebhihal-2'!L49</f>
        <v>59770</v>
      </c>
      <c r="K49" s="343">
        <f>+'Muddebhihal-2'!M48</f>
        <v>137771.22020000001</v>
      </c>
    </row>
    <row r="50" spans="1:17">
      <c r="A50" s="342">
        <v>49</v>
      </c>
      <c r="B50" s="276" t="s">
        <v>157</v>
      </c>
      <c r="C50" s="276" t="s">
        <v>158</v>
      </c>
      <c r="D50" s="274">
        <f>+Alemela!E43</f>
        <v>398.08</v>
      </c>
      <c r="E50" s="274">
        <f>+Alemela!G43</f>
        <v>36408.396800000002</v>
      </c>
      <c r="F50" s="274">
        <f>+Alemela!H43</f>
        <v>52.629999999999995</v>
      </c>
      <c r="G50" s="274">
        <f>+Alemela!J43</f>
        <v>5441.942</v>
      </c>
      <c r="H50" s="274">
        <f t="shared" si="2"/>
        <v>41850.338800000005</v>
      </c>
      <c r="I50" s="274">
        <f>+Alemela!M3</f>
        <v>1291.6358999999738</v>
      </c>
      <c r="J50" s="274">
        <f>+Alemela!L43</f>
        <v>27291.635899999972</v>
      </c>
      <c r="K50" s="343">
        <f t="shared" si="0"/>
        <v>15850.338800000005</v>
      </c>
    </row>
    <row r="51" spans="1:17">
      <c r="A51" s="342">
        <v>50</v>
      </c>
      <c r="B51" s="276" t="s">
        <v>159</v>
      </c>
      <c r="C51" s="276" t="s">
        <v>160</v>
      </c>
      <c r="D51" s="274">
        <f>+Nalatwad!E43</f>
        <v>868.19</v>
      </c>
      <c r="E51" s="274">
        <f>+Nalatwad!G43</f>
        <v>79543.56779999999</v>
      </c>
      <c r="F51" s="274">
        <f>+Nalatwad!H43</f>
        <v>32.989999999999995</v>
      </c>
      <c r="G51" s="274">
        <f>+Nalatwad!J43</f>
        <v>3546.3659000000002</v>
      </c>
      <c r="H51" s="274">
        <f>E51+G51</f>
        <v>83089.933699999994</v>
      </c>
      <c r="I51" s="274">
        <f>+Nalatwad!M3</f>
        <v>53172.94170000001</v>
      </c>
      <c r="J51" s="274">
        <f>+Nalatwad!L43</f>
        <v>53172.94170000001</v>
      </c>
      <c r="K51" s="343">
        <f>H51+I51-J51</f>
        <v>83089.933700000009</v>
      </c>
    </row>
    <row r="52" spans="1:17">
      <c r="A52" s="342">
        <v>51</v>
      </c>
      <c r="B52" s="276" t="s">
        <v>161</v>
      </c>
      <c r="C52" s="276" t="s">
        <v>162</v>
      </c>
      <c r="D52" s="274">
        <f>+Srirangapatna!E35</f>
        <v>0</v>
      </c>
      <c r="E52" s="274">
        <f>+Srirangapatna!G35</f>
        <v>0</v>
      </c>
      <c r="F52" s="274">
        <f>+Srirangapatna!H35</f>
        <v>19.89</v>
      </c>
      <c r="G52" s="274">
        <f>+Srirangapatna!J35</f>
        <v>2038.1283000000001</v>
      </c>
      <c r="H52" s="274">
        <f t="shared" si="2"/>
        <v>2038.1283000000001</v>
      </c>
      <c r="I52" s="274">
        <v>0</v>
      </c>
      <c r="J52" s="274">
        <f>+Srirangapatna!L35</f>
        <v>2038.1283000000001</v>
      </c>
      <c r="K52" s="343">
        <f t="shared" si="0"/>
        <v>0</v>
      </c>
    </row>
    <row r="53" spans="1:17">
      <c r="A53" s="342">
        <v>52</v>
      </c>
      <c r="B53" s="276" t="s">
        <v>163</v>
      </c>
      <c r="C53" s="273" t="s">
        <v>71</v>
      </c>
      <c r="D53" s="348">
        <f>+'HO(DG)'!E43</f>
        <v>1583.05</v>
      </c>
      <c r="E53" s="348">
        <f>+'HO(DG)'!G43</f>
        <v>151540.25200000001</v>
      </c>
      <c r="F53" s="348">
        <f>+'HO(DG)'!H43</f>
        <v>0</v>
      </c>
      <c r="G53" s="348">
        <f>+'HO(DG)'!J43</f>
        <v>0</v>
      </c>
      <c r="H53" s="274">
        <f t="shared" si="2"/>
        <v>151540.25200000001</v>
      </c>
      <c r="I53" s="348">
        <f>+'HO(DG)'!M3</f>
        <v>188521.2205</v>
      </c>
      <c r="J53" s="348">
        <f>+'HO(DG)'!L43</f>
        <v>261027.72249999997</v>
      </c>
      <c r="K53" s="343">
        <f t="shared" si="0"/>
        <v>79033.750000000058</v>
      </c>
    </row>
    <row r="54" spans="1:17">
      <c r="A54" s="478" t="s">
        <v>36</v>
      </c>
      <c r="B54" s="479"/>
      <c r="C54" s="480"/>
      <c r="D54" s="344">
        <f>SUM(D2:D53)</f>
        <v>444376.2300000001</v>
      </c>
      <c r="E54" s="344">
        <f>SUM(E2:E53)</f>
        <v>41695224.363299988</v>
      </c>
      <c r="F54" s="344">
        <f>SUM(F2:F53)</f>
        <v>5851.2899999999991</v>
      </c>
      <c r="G54" s="344">
        <f>SUM(G2:G53)</f>
        <v>619157.76910000015</v>
      </c>
      <c r="H54" s="344">
        <f t="shared" ref="H54:J54" si="3">SUM(H2:H53)</f>
        <v>42314382.132400006</v>
      </c>
      <c r="I54" s="344">
        <f t="shared" si="3"/>
        <v>36609318.166392989</v>
      </c>
      <c r="J54" s="344">
        <f>SUM(J2:J53)</f>
        <v>59198691.169599995</v>
      </c>
      <c r="K54" s="345">
        <f>H54+I54-J54</f>
        <v>19725009.129192993</v>
      </c>
      <c r="L54" s="272">
        <v>19634342.544392999</v>
      </c>
      <c r="M54" s="278">
        <f>K54-L54</f>
        <v>90666.584799993783</v>
      </c>
    </row>
    <row r="55" spans="1:17">
      <c r="K55" s="277"/>
      <c r="Q55" s="272">
        <f>2500*92</f>
        <v>230000</v>
      </c>
    </row>
    <row r="57" spans="1:17">
      <c r="K57" s="277"/>
    </row>
    <row r="58" spans="1:17">
      <c r="K58" s="277"/>
    </row>
    <row r="59" spans="1:17">
      <c r="A59" s="319" t="s">
        <v>55</v>
      </c>
      <c r="B59" s="319" t="s">
        <v>56</v>
      </c>
      <c r="C59" s="319" t="s">
        <v>57</v>
      </c>
      <c r="D59" s="320" t="s">
        <v>58</v>
      </c>
      <c r="E59" s="320" t="s">
        <v>59</v>
      </c>
      <c r="F59" s="320" t="s">
        <v>60</v>
      </c>
      <c r="G59" s="320" t="s">
        <v>61</v>
      </c>
      <c r="H59" s="320" t="s">
        <v>62</v>
      </c>
      <c r="I59" s="320" t="s">
        <v>63</v>
      </c>
      <c r="J59" s="320" t="s">
        <v>64</v>
      </c>
      <c r="K59" s="320" t="s">
        <v>65</v>
      </c>
    </row>
    <row r="60" spans="1:17">
      <c r="A60" s="321">
        <v>39</v>
      </c>
      <c r="B60" s="321" t="str" cm="1">
        <f t="array" ref="B60:K60">VLOOKUP(A60,A1:K52,{2,3,4,5,6,7,8,9,10,11},FALSE)</f>
        <v>Rattihali-2</v>
      </c>
      <c r="C60" s="321" t="str">
        <v>Shiva Oil Traders</v>
      </c>
      <c r="D60" s="321">
        <v>3860.0299999999997</v>
      </c>
      <c r="E60" s="321">
        <v>354698.15669999999</v>
      </c>
      <c r="F60" s="321">
        <v>109</v>
      </c>
      <c r="G60" s="321">
        <v>11319.65</v>
      </c>
      <c r="H60" s="321">
        <v>366017.80670000002</v>
      </c>
      <c r="I60" s="321">
        <v>263742.09730000002</v>
      </c>
      <c r="J60" s="321">
        <v>363742</v>
      </c>
      <c r="K60" s="321">
        <v>266017.9040000001</v>
      </c>
    </row>
    <row r="62" spans="1:17">
      <c r="B62" s="319" t="s">
        <v>56</v>
      </c>
      <c r="C62" s="319" t="s">
        <v>57</v>
      </c>
      <c r="D62" s="320" t="s">
        <v>58</v>
      </c>
      <c r="E62" s="320" t="s">
        <v>59</v>
      </c>
      <c r="F62" s="320" t="s">
        <v>60</v>
      </c>
      <c r="G62" s="320" t="s">
        <v>61</v>
      </c>
      <c r="H62" s="320" t="s">
        <v>62</v>
      </c>
      <c r="I62" s="320" t="s">
        <v>63</v>
      </c>
      <c r="J62" s="320" t="s">
        <v>64</v>
      </c>
      <c r="K62" s="320" t="s">
        <v>65</v>
      </c>
    </row>
    <row r="63" spans="1:17">
      <c r="B63" s="6" t="s">
        <v>126</v>
      </c>
      <c r="C63" s="272" t="str" cm="1">
        <f t="array" ref="C63:K63">VLOOKUP(B63,B1:K52,{2,3,4,5,6,7,8,9,10},FALSE)</f>
        <v>Nayara</v>
      </c>
      <c r="D63" s="272">
        <v>64300.61</v>
      </c>
      <c r="E63" s="272">
        <v>6089910.7731000008</v>
      </c>
      <c r="F63" s="272">
        <v>405</v>
      </c>
      <c r="G63" s="272">
        <v>44728.2</v>
      </c>
      <c r="H63" s="272">
        <v>6134638.973100001</v>
      </c>
      <c r="I63" s="272">
        <v>5471844.9830999998</v>
      </c>
      <c r="J63" s="272">
        <v>8941028</v>
      </c>
      <c r="K63" s="272">
        <v>2665455.9561999999</v>
      </c>
    </row>
    <row r="70" spans="2:14">
      <c r="B70" s="272">
        <v>60000</v>
      </c>
    </row>
    <row r="71" spans="2:14">
      <c r="B71" s="272">
        <v>18000</v>
      </c>
    </row>
    <row r="72" spans="2:14">
      <c r="B72" s="272">
        <v>18000</v>
      </c>
    </row>
    <row r="73" spans="2:14">
      <c r="B73" s="272">
        <v>75000</v>
      </c>
    </row>
    <row r="74" spans="2:14">
      <c r="B74" s="272">
        <v>360000</v>
      </c>
    </row>
    <row r="78" spans="2:14">
      <c r="M78" s="340"/>
    </row>
    <row r="79" spans="2:14">
      <c r="M79" s="340"/>
      <c r="N79" s="339"/>
    </row>
  </sheetData>
  <sheetProtection algorithmName="SHA-512" hashValue="XrilyTk32+pC8wCmhNGrxTGXztjSAWxXdjA4uALJT21eD58AYIZVT3xr+nvR+ZWu26xi+OL5N3kNDG6GmgD8iw==" saltValue="/Eg4kNKLPKeb4ka0/Ym5Jw==" spinCount="100000" sheet="1" objects="1" scenarios="1"/>
  <mergeCells count="1">
    <mergeCell ref="A54:C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39FC-1DEE-4D53-95A1-C1F1A0CD88CD}">
  <dimension ref="A1:S54"/>
  <sheetViews>
    <sheetView topLeftCell="A6" workbookViewId="0">
      <selection activeCell="L6" sqref="L6"/>
    </sheetView>
  </sheetViews>
  <sheetFormatPr defaultRowHeight="15"/>
  <cols>
    <col min="2" max="2" width="10.42578125" bestFit="1" customWidth="1"/>
    <col min="4" max="4" width="18.42578125" customWidth="1"/>
    <col min="7" max="7" width="10.42578125" bestFit="1" customWidth="1"/>
    <col min="12" max="12" width="10.42578125" bestFit="1" customWidth="1"/>
    <col min="13" max="13" width="11.42578125" bestFit="1" customWidth="1"/>
    <col min="15" max="15" width="13.5703125" customWidth="1"/>
    <col min="16" max="16" width="13.5703125" bestFit="1" customWidth="1"/>
    <col min="17" max="17" width="15.85546875" customWidth="1"/>
    <col min="18" max="18" width="13.140625" customWidth="1"/>
    <col min="19" max="19" width="11.85546875" customWidth="1"/>
  </cols>
  <sheetData>
    <row r="1" spans="1:19" ht="15.75">
      <c r="A1" s="481" t="s">
        <v>71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</row>
    <row r="2" spans="1:19" ht="27">
      <c r="A2" s="103" t="s">
        <v>0</v>
      </c>
      <c r="B2" s="106" t="s">
        <v>164</v>
      </c>
      <c r="C2" s="106" t="s">
        <v>165</v>
      </c>
      <c r="D2" s="106" t="s">
        <v>166</v>
      </c>
      <c r="E2" s="106" t="s">
        <v>167</v>
      </c>
      <c r="F2" s="106" t="s">
        <v>168</v>
      </c>
      <c r="G2" s="106" t="s">
        <v>169</v>
      </c>
      <c r="H2" s="106" t="s">
        <v>170</v>
      </c>
      <c r="I2" s="106" t="s">
        <v>168</v>
      </c>
      <c r="J2" s="106" t="s">
        <v>169</v>
      </c>
      <c r="K2" s="144" t="s">
        <v>171</v>
      </c>
      <c r="L2" s="144" t="s">
        <v>172</v>
      </c>
      <c r="M2" s="144" t="s">
        <v>173</v>
      </c>
      <c r="N2" s="106" t="s">
        <v>174</v>
      </c>
    </row>
    <row r="3" spans="1:19">
      <c r="A3" s="482" t="s">
        <v>175</v>
      </c>
      <c r="B3" s="483"/>
      <c r="C3" s="483"/>
      <c r="D3" s="483"/>
      <c r="E3" s="483"/>
      <c r="F3" s="483"/>
      <c r="G3" s="483"/>
      <c r="H3" s="483"/>
      <c r="I3" s="483"/>
      <c r="J3" s="484"/>
      <c r="K3" s="131"/>
      <c r="L3" s="232"/>
      <c r="M3" s="327">
        <v>188521.2205</v>
      </c>
      <c r="N3" s="233"/>
      <c r="O3">
        <v>2623243.3616999998</v>
      </c>
    </row>
    <row r="4" spans="1:19">
      <c r="A4" s="26">
        <v>1</v>
      </c>
      <c r="B4" s="27">
        <v>46113</v>
      </c>
      <c r="C4" s="107"/>
      <c r="D4" s="35"/>
      <c r="E4" s="36"/>
      <c r="F4" s="36"/>
      <c r="G4" s="36">
        <f>E4*F4</f>
        <v>0</v>
      </c>
      <c r="H4" s="334">
        <v>0</v>
      </c>
      <c r="I4" s="334">
        <v>0</v>
      </c>
      <c r="J4" s="36">
        <f>H4*I4</f>
        <v>0</v>
      </c>
      <c r="K4" s="36">
        <f t="shared" ref="K4:L42" si="0">G4+J4</f>
        <v>0</v>
      </c>
      <c r="L4" s="197">
        <v>0</v>
      </c>
      <c r="M4" s="36">
        <f>M3+K4-L4</f>
        <v>188521.2205</v>
      </c>
      <c r="N4" s="234"/>
      <c r="P4" s="22"/>
    </row>
    <row r="5" spans="1:19">
      <c r="A5" s="26">
        <v>2</v>
      </c>
      <c r="B5" s="27">
        <v>46114</v>
      </c>
      <c r="C5" s="107"/>
      <c r="D5" s="35"/>
      <c r="E5" s="36"/>
      <c r="F5" s="36"/>
      <c r="G5" s="36">
        <f t="shared" ref="G5:G39" si="1">E5*F5</f>
        <v>0</v>
      </c>
      <c r="H5" s="334">
        <v>0</v>
      </c>
      <c r="I5" s="334">
        <v>0</v>
      </c>
      <c r="J5" s="36">
        <f t="shared" ref="J5:J39" si="2">H5*I5</f>
        <v>0</v>
      </c>
      <c r="K5" s="36">
        <f t="shared" ref="K5:M39" si="3">G5+J5</f>
        <v>0</v>
      </c>
      <c r="L5" s="197">
        <v>0</v>
      </c>
      <c r="M5" s="414">
        <f>M4+K5-L5</f>
        <v>188521.2205</v>
      </c>
      <c r="N5" s="236"/>
      <c r="R5" s="17" t="s">
        <v>43</v>
      </c>
      <c r="S5" s="453">
        <v>188521.2205</v>
      </c>
    </row>
    <row r="6" spans="1:19">
      <c r="A6" s="26">
        <v>3</v>
      </c>
      <c r="B6" s="27">
        <v>46115</v>
      </c>
      <c r="C6" s="107"/>
      <c r="D6" s="35"/>
      <c r="E6" s="36"/>
      <c r="F6" s="36"/>
      <c r="G6" s="36">
        <f t="shared" si="1"/>
        <v>0</v>
      </c>
      <c r="H6" s="334">
        <v>0</v>
      </c>
      <c r="I6" s="334">
        <v>0</v>
      </c>
      <c r="J6" s="36">
        <f t="shared" si="2"/>
        <v>0</v>
      </c>
      <c r="K6" s="36">
        <v>0</v>
      </c>
      <c r="L6" s="197">
        <v>188521.2205</v>
      </c>
      <c r="M6" s="36">
        <f t="shared" ref="M6:M37" si="4">M5+K6-L6</f>
        <v>0</v>
      </c>
      <c r="N6" s="36"/>
      <c r="R6" s="17" t="s">
        <v>176</v>
      </c>
      <c r="S6" s="453">
        <v>8227903</v>
      </c>
    </row>
    <row r="7" spans="1:19">
      <c r="A7" s="26"/>
      <c r="B7" s="27">
        <v>46115</v>
      </c>
      <c r="C7" s="107"/>
      <c r="D7" s="35"/>
      <c r="E7" s="36">
        <v>20.47</v>
      </c>
      <c r="F7" s="36">
        <v>95.64</v>
      </c>
      <c r="G7" s="36">
        <f t="shared" si="1"/>
        <v>1957.7507999999998</v>
      </c>
      <c r="H7" s="334">
        <v>0</v>
      </c>
      <c r="I7" s="334">
        <v>0</v>
      </c>
      <c r="J7" s="36">
        <f t="shared" si="2"/>
        <v>0</v>
      </c>
      <c r="K7" s="36">
        <f t="shared" si="3"/>
        <v>1957.7507999999998</v>
      </c>
      <c r="L7" s="197">
        <f t="shared" si="3"/>
        <v>1957.7507999999998</v>
      </c>
      <c r="M7" s="36">
        <f t="shared" si="4"/>
        <v>0</v>
      </c>
      <c r="N7" s="36"/>
      <c r="R7" s="17" t="s">
        <v>177</v>
      </c>
      <c r="S7" s="453">
        <v>2453209.39</v>
      </c>
    </row>
    <row r="8" spans="1:19">
      <c r="A8" s="26">
        <v>4</v>
      </c>
      <c r="B8" s="27">
        <v>46115</v>
      </c>
      <c r="C8" s="107"/>
      <c r="D8" s="35"/>
      <c r="E8" s="36">
        <v>35</v>
      </c>
      <c r="F8" s="36">
        <v>95.64</v>
      </c>
      <c r="G8" s="36">
        <f t="shared" si="1"/>
        <v>3347.4</v>
      </c>
      <c r="H8" s="334">
        <v>0</v>
      </c>
      <c r="I8" s="334">
        <v>0</v>
      </c>
      <c r="J8" s="36">
        <f t="shared" si="2"/>
        <v>0</v>
      </c>
      <c r="K8" s="36">
        <f t="shared" si="3"/>
        <v>3347.4</v>
      </c>
      <c r="L8" s="197">
        <f t="shared" si="3"/>
        <v>3347.4</v>
      </c>
      <c r="M8" s="36">
        <f t="shared" si="4"/>
        <v>0</v>
      </c>
      <c r="N8" s="36"/>
      <c r="P8">
        <v>5679</v>
      </c>
      <c r="R8" s="17" t="s">
        <v>36</v>
      </c>
      <c r="S8" s="17">
        <f>SUM(S5:S7)</f>
        <v>10869633.6105</v>
      </c>
    </row>
    <row r="9" spans="1:19">
      <c r="A9" s="26">
        <v>5</v>
      </c>
      <c r="B9" s="471">
        <v>46116</v>
      </c>
      <c r="C9" s="34"/>
      <c r="D9" s="35"/>
      <c r="E9" s="36">
        <v>200</v>
      </c>
      <c r="F9" s="36">
        <v>95.83</v>
      </c>
      <c r="G9" s="36">
        <f t="shared" si="1"/>
        <v>19166</v>
      </c>
      <c r="H9" s="334">
        <v>0</v>
      </c>
      <c r="I9" s="334">
        <v>0</v>
      </c>
      <c r="J9" s="36">
        <f t="shared" si="2"/>
        <v>0</v>
      </c>
      <c r="K9" s="36">
        <f t="shared" si="3"/>
        <v>19166</v>
      </c>
      <c r="L9" s="197">
        <v>0</v>
      </c>
      <c r="M9" s="216">
        <f t="shared" si="4"/>
        <v>19166</v>
      </c>
      <c r="N9" s="415"/>
      <c r="S9">
        <v>10869632</v>
      </c>
    </row>
    <row r="10" spans="1:19">
      <c r="A10" s="26"/>
      <c r="B10" s="27">
        <v>46116</v>
      </c>
      <c r="C10" s="34"/>
      <c r="D10" s="35"/>
      <c r="E10" s="36">
        <v>36.590000000000003</v>
      </c>
      <c r="F10" s="36">
        <v>95.64</v>
      </c>
      <c r="G10" s="36">
        <f t="shared" si="1"/>
        <v>3499.4676000000004</v>
      </c>
      <c r="H10" s="334"/>
      <c r="I10" s="334"/>
      <c r="J10" s="36"/>
      <c r="K10" s="36">
        <f t="shared" si="3"/>
        <v>3499.4676000000004</v>
      </c>
      <c r="L10" s="36">
        <f t="shared" si="3"/>
        <v>3499.4676000000004</v>
      </c>
      <c r="M10" s="36">
        <f t="shared" si="4"/>
        <v>19166</v>
      </c>
      <c r="N10" s="198"/>
      <c r="S10" s="327">
        <f>S9-S8</f>
        <v>-1.6105000004172325</v>
      </c>
    </row>
    <row r="11" spans="1:19">
      <c r="A11" s="26">
        <v>6</v>
      </c>
      <c r="B11" s="27">
        <v>46118</v>
      </c>
      <c r="C11" s="34"/>
      <c r="D11" s="35"/>
      <c r="E11" s="36"/>
      <c r="F11" s="36"/>
      <c r="G11" s="36">
        <f t="shared" si="1"/>
        <v>0</v>
      </c>
      <c r="H11" s="334">
        <v>0</v>
      </c>
      <c r="I11" s="334">
        <v>0</v>
      </c>
      <c r="J11" s="36">
        <f t="shared" si="2"/>
        <v>0</v>
      </c>
      <c r="K11" s="36">
        <f t="shared" si="3"/>
        <v>0</v>
      </c>
      <c r="L11" s="197">
        <v>0</v>
      </c>
      <c r="M11" s="36">
        <f t="shared" si="4"/>
        <v>19166</v>
      </c>
      <c r="N11" s="198"/>
    </row>
    <row r="12" spans="1:19">
      <c r="A12" s="26">
        <v>7</v>
      </c>
      <c r="B12" s="27">
        <v>46119</v>
      </c>
      <c r="C12" s="34"/>
      <c r="D12" s="35"/>
      <c r="E12" s="36"/>
      <c r="F12" s="36"/>
      <c r="G12" s="36">
        <f t="shared" si="1"/>
        <v>0</v>
      </c>
      <c r="H12" s="334">
        <v>0</v>
      </c>
      <c r="I12" s="334">
        <v>0</v>
      </c>
      <c r="J12" s="36">
        <f t="shared" si="2"/>
        <v>0</v>
      </c>
      <c r="K12" s="36">
        <f t="shared" si="3"/>
        <v>0</v>
      </c>
      <c r="L12" s="197">
        <v>0</v>
      </c>
      <c r="M12" s="36">
        <f t="shared" si="4"/>
        <v>19166</v>
      </c>
      <c r="N12" s="198"/>
    </row>
    <row r="13" spans="1:19">
      <c r="A13" s="26">
        <v>8</v>
      </c>
      <c r="B13" s="27">
        <v>46120</v>
      </c>
      <c r="C13" s="34"/>
      <c r="D13" s="35"/>
      <c r="E13" s="36"/>
      <c r="F13" s="36"/>
      <c r="G13" s="36">
        <f t="shared" si="1"/>
        <v>0</v>
      </c>
      <c r="H13" s="334">
        <v>0</v>
      </c>
      <c r="I13" s="334">
        <v>0</v>
      </c>
      <c r="J13" s="36">
        <f t="shared" si="2"/>
        <v>0</v>
      </c>
      <c r="K13" s="36">
        <f t="shared" si="3"/>
        <v>0</v>
      </c>
      <c r="L13" s="197">
        <v>0</v>
      </c>
      <c r="M13" s="36">
        <f t="shared" si="4"/>
        <v>19166</v>
      </c>
      <c r="N13" s="198"/>
    </row>
    <row r="14" spans="1:19">
      <c r="A14" s="26">
        <v>9</v>
      </c>
      <c r="B14" s="471">
        <v>46121</v>
      </c>
      <c r="C14" s="34"/>
      <c r="D14" s="35"/>
      <c r="E14" s="36">
        <v>205</v>
      </c>
      <c r="F14" s="36">
        <v>95.83</v>
      </c>
      <c r="G14" s="36">
        <f t="shared" si="1"/>
        <v>19645.150000000001</v>
      </c>
      <c r="H14" s="334">
        <v>0</v>
      </c>
      <c r="I14" s="334">
        <v>0</v>
      </c>
      <c r="J14" s="36">
        <f t="shared" si="2"/>
        <v>0</v>
      </c>
      <c r="K14" s="36">
        <f t="shared" si="3"/>
        <v>19645.150000000001</v>
      </c>
      <c r="L14" s="197">
        <v>0</v>
      </c>
      <c r="M14" s="36">
        <f t="shared" si="4"/>
        <v>38811.15</v>
      </c>
      <c r="N14" s="198"/>
    </row>
    <row r="15" spans="1:19">
      <c r="A15" s="26">
        <v>10</v>
      </c>
      <c r="B15" s="27">
        <v>46122</v>
      </c>
      <c r="C15" s="34"/>
      <c r="D15" s="35"/>
      <c r="E15" s="36"/>
      <c r="F15" s="36"/>
      <c r="G15" s="36">
        <f t="shared" si="1"/>
        <v>0</v>
      </c>
      <c r="H15" s="334">
        <v>0</v>
      </c>
      <c r="I15" s="334">
        <v>0</v>
      </c>
      <c r="J15" s="36">
        <f t="shared" si="2"/>
        <v>0</v>
      </c>
      <c r="K15" s="36">
        <f t="shared" si="3"/>
        <v>0</v>
      </c>
      <c r="L15" s="197">
        <v>0</v>
      </c>
      <c r="M15" s="36">
        <f t="shared" si="4"/>
        <v>38811.15</v>
      </c>
      <c r="N15" s="198"/>
      <c r="R15">
        <v>19166</v>
      </c>
    </row>
    <row r="16" spans="1:19">
      <c r="A16" s="26">
        <v>11</v>
      </c>
      <c r="B16" s="27">
        <v>46123</v>
      </c>
      <c r="C16" s="34"/>
      <c r="D16" s="35"/>
      <c r="E16" s="36"/>
      <c r="F16" s="36"/>
      <c r="G16" s="36">
        <f t="shared" si="1"/>
        <v>0</v>
      </c>
      <c r="H16" s="334">
        <v>0</v>
      </c>
      <c r="I16" s="334">
        <v>0</v>
      </c>
      <c r="J16" s="36">
        <f t="shared" si="2"/>
        <v>0</v>
      </c>
      <c r="K16" s="36">
        <f t="shared" si="3"/>
        <v>0</v>
      </c>
      <c r="L16" s="197">
        <v>0</v>
      </c>
      <c r="M16" s="36">
        <f t="shared" si="4"/>
        <v>38811.15</v>
      </c>
      <c r="N16" s="198"/>
      <c r="R16">
        <v>19645</v>
      </c>
    </row>
    <row r="17" spans="1:19">
      <c r="A17" s="26">
        <v>12</v>
      </c>
      <c r="B17" s="27">
        <v>46124</v>
      </c>
      <c r="C17" s="34"/>
      <c r="D17" s="35"/>
      <c r="E17" s="36"/>
      <c r="F17" s="36"/>
      <c r="G17" s="36">
        <f t="shared" si="1"/>
        <v>0</v>
      </c>
      <c r="H17" s="334">
        <v>0</v>
      </c>
      <c r="I17" s="334">
        <v>0</v>
      </c>
      <c r="J17" s="36">
        <f t="shared" si="2"/>
        <v>0</v>
      </c>
      <c r="K17" s="36">
        <f t="shared" si="3"/>
        <v>0</v>
      </c>
      <c r="L17" s="197">
        <v>0</v>
      </c>
      <c r="M17" s="36">
        <f t="shared" si="4"/>
        <v>38811.15</v>
      </c>
      <c r="N17" s="198"/>
      <c r="P17">
        <v>1905988</v>
      </c>
      <c r="Q17" s="174">
        <f>P17-M17</f>
        <v>1867176.85</v>
      </c>
      <c r="R17">
        <v>21083</v>
      </c>
    </row>
    <row r="18" spans="1:19">
      <c r="A18" s="26">
        <v>13</v>
      </c>
      <c r="B18" s="27">
        <v>46125</v>
      </c>
      <c r="C18" s="34"/>
      <c r="D18" s="35"/>
      <c r="E18" s="36"/>
      <c r="F18" s="36"/>
      <c r="G18" s="36">
        <f t="shared" si="1"/>
        <v>0</v>
      </c>
      <c r="H18" s="334">
        <v>0</v>
      </c>
      <c r="I18" s="334">
        <v>0</v>
      </c>
      <c r="J18" s="36">
        <f t="shared" si="2"/>
        <v>0</v>
      </c>
      <c r="K18" s="36">
        <f t="shared" si="3"/>
        <v>0</v>
      </c>
      <c r="L18" s="197">
        <v>0</v>
      </c>
      <c r="M18" s="36">
        <f t="shared" si="4"/>
        <v>38811.15</v>
      </c>
      <c r="N18" s="198"/>
      <c r="R18">
        <v>19140</v>
      </c>
      <c r="S18">
        <v>220637</v>
      </c>
    </row>
    <row r="19" spans="1:19">
      <c r="A19" s="26">
        <v>14</v>
      </c>
      <c r="B19" s="27">
        <v>46126</v>
      </c>
      <c r="C19" s="34"/>
      <c r="D19" s="35"/>
      <c r="E19" s="36">
        <v>70</v>
      </c>
      <c r="F19" s="36">
        <v>95.64</v>
      </c>
      <c r="G19" s="36">
        <f t="shared" si="1"/>
        <v>6694.8</v>
      </c>
      <c r="H19" s="334">
        <v>0</v>
      </c>
      <c r="I19" s="334">
        <v>0</v>
      </c>
      <c r="J19" s="36">
        <f t="shared" si="2"/>
        <v>0</v>
      </c>
      <c r="K19" s="36">
        <f t="shared" si="3"/>
        <v>6694.8</v>
      </c>
      <c r="L19" s="36">
        <f t="shared" si="3"/>
        <v>6694.8</v>
      </c>
      <c r="M19" s="36">
        <f t="shared" si="4"/>
        <v>38811.15</v>
      </c>
      <c r="N19" s="198" t="s">
        <v>178</v>
      </c>
      <c r="R19">
        <f>SUM(R15:R18)</f>
        <v>79034</v>
      </c>
      <c r="S19">
        <f>S18+R19</f>
        <v>299671</v>
      </c>
    </row>
    <row r="20" spans="1:19">
      <c r="A20" s="26">
        <v>15</v>
      </c>
      <c r="B20" s="27">
        <v>46127</v>
      </c>
      <c r="C20" s="34"/>
      <c r="D20" s="35"/>
      <c r="E20" s="36">
        <v>35</v>
      </c>
      <c r="F20" s="36">
        <v>95.64</v>
      </c>
      <c r="G20" s="36">
        <f t="shared" si="1"/>
        <v>3347.4</v>
      </c>
      <c r="H20" s="334">
        <v>0</v>
      </c>
      <c r="I20" s="334">
        <v>0</v>
      </c>
      <c r="J20" s="36">
        <f t="shared" si="2"/>
        <v>0</v>
      </c>
      <c r="K20" s="36">
        <f t="shared" si="3"/>
        <v>3347.4</v>
      </c>
      <c r="L20" s="36">
        <f t="shared" si="3"/>
        <v>3347.4</v>
      </c>
      <c r="M20" s="36">
        <f t="shared" si="4"/>
        <v>38811.15</v>
      </c>
      <c r="N20" s="198" t="s">
        <v>178</v>
      </c>
    </row>
    <row r="21" spans="1:19">
      <c r="A21" s="26">
        <v>16</v>
      </c>
      <c r="B21" s="27">
        <v>46128</v>
      </c>
      <c r="C21" s="168"/>
      <c r="D21" s="35"/>
      <c r="E21" s="36">
        <v>35</v>
      </c>
      <c r="F21" s="36">
        <v>95.64</v>
      </c>
      <c r="G21" s="36">
        <f t="shared" si="1"/>
        <v>3347.4</v>
      </c>
      <c r="H21" s="334">
        <v>0</v>
      </c>
      <c r="I21" s="334">
        <v>0</v>
      </c>
      <c r="J21" s="36">
        <f t="shared" si="2"/>
        <v>0</v>
      </c>
      <c r="K21" s="36">
        <f t="shared" si="3"/>
        <v>3347.4</v>
      </c>
      <c r="L21" s="36">
        <f t="shared" si="3"/>
        <v>3347.4</v>
      </c>
      <c r="M21" s="36">
        <f t="shared" si="4"/>
        <v>38811.15</v>
      </c>
      <c r="N21" s="237"/>
    </row>
    <row r="22" spans="1:19">
      <c r="A22" s="26">
        <v>16</v>
      </c>
      <c r="B22" s="471">
        <v>46128</v>
      </c>
      <c r="C22" s="168"/>
      <c r="D22" s="35"/>
      <c r="E22" s="36">
        <v>220</v>
      </c>
      <c r="F22" s="36">
        <v>95.83</v>
      </c>
      <c r="G22" s="36">
        <f t="shared" ref="G22" si="5">E22*F22</f>
        <v>21082.6</v>
      </c>
      <c r="H22" s="334">
        <v>0</v>
      </c>
      <c r="I22" s="334">
        <v>0</v>
      </c>
      <c r="J22" s="36">
        <f t="shared" ref="J22" si="6">H22*I22</f>
        <v>0</v>
      </c>
      <c r="K22" s="36">
        <f t="shared" ref="K22" si="7">G22+J22</f>
        <v>21082.6</v>
      </c>
      <c r="L22" s="197">
        <v>0</v>
      </c>
      <c r="M22" s="36">
        <f t="shared" si="4"/>
        <v>59893.75</v>
      </c>
      <c r="N22" s="237"/>
    </row>
    <row r="23" spans="1:19">
      <c r="A23" s="26">
        <v>17</v>
      </c>
      <c r="B23" s="27">
        <v>46129</v>
      </c>
      <c r="C23" s="107"/>
      <c r="D23" s="35"/>
      <c r="E23" s="36"/>
      <c r="F23" s="36"/>
      <c r="G23" s="36">
        <f t="shared" si="1"/>
        <v>0</v>
      </c>
      <c r="H23" s="334">
        <v>0</v>
      </c>
      <c r="I23" s="334">
        <v>0</v>
      </c>
      <c r="J23" s="36">
        <f t="shared" si="2"/>
        <v>0</v>
      </c>
      <c r="K23" s="36">
        <f t="shared" si="3"/>
        <v>0</v>
      </c>
      <c r="L23" s="197">
        <v>0</v>
      </c>
      <c r="M23" s="36">
        <f t="shared" si="4"/>
        <v>59893.75</v>
      </c>
      <c r="N23" s="237"/>
    </row>
    <row r="24" spans="1:19">
      <c r="A24" s="26">
        <v>18</v>
      </c>
      <c r="B24" s="27">
        <v>46130</v>
      </c>
      <c r="C24" s="180"/>
      <c r="D24" s="35"/>
      <c r="E24" s="36"/>
      <c r="F24" s="36"/>
      <c r="G24" s="36">
        <f t="shared" si="1"/>
        <v>0</v>
      </c>
      <c r="H24" s="334">
        <v>0</v>
      </c>
      <c r="I24" s="334">
        <v>0</v>
      </c>
      <c r="J24" s="36">
        <f t="shared" si="2"/>
        <v>0</v>
      </c>
      <c r="K24" s="36">
        <f t="shared" si="3"/>
        <v>0</v>
      </c>
      <c r="L24" s="197">
        <v>0</v>
      </c>
      <c r="M24" s="36">
        <f t="shared" si="4"/>
        <v>59893.75</v>
      </c>
      <c r="N24" s="237"/>
    </row>
    <row r="25" spans="1:19">
      <c r="A25" s="26">
        <v>19</v>
      </c>
      <c r="B25" s="27">
        <v>46131</v>
      </c>
      <c r="C25" s="180"/>
      <c r="D25" s="35"/>
      <c r="E25" s="36"/>
      <c r="F25" s="36"/>
      <c r="G25" s="36">
        <f t="shared" si="1"/>
        <v>0</v>
      </c>
      <c r="H25" s="334">
        <v>0</v>
      </c>
      <c r="I25" s="334">
        <v>0</v>
      </c>
      <c r="J25" s="36">
        <f t="shared" si="2"/>
        <v>0</v>
      </c>
      <c r="K25" s="36">
        <f t="shared" si="3"/>
        <v>0</v>
      </c>
      <c r="L25" s="197">
        <v>0</v>
      </c>
      <c r="M25" s="36">
        <f t="shared" si="4"/>
        <v>59893.75</v>
      </c>
      <c r="N25" s="237"/>
    </row>
    <row r="26" spans="1:19">
      <c r="A26" s="26">
        <v>20</v>
      </c>
      <c r="B26" s="27">
        <v>46132</v>
      </c>
      <c r="C26" s="107"/>
      <c r="D26" s="35"/>
      <c r="E26" s="36"/>
      <c r="F26" s="36"/>
      <c r="G26" s="36">
        <f t="shared" si="1"/>
        <v>0</v>
      </c>
      <c r="H26" s="334">
        <v>0</v>
      </c>
      <c r="I26" s="334">
        <v>0</v>
      </c>
      <c r="J26" s="36">
        <f t="shared" si="2"/>
        <v>0</v>
      </c>
      <c r="K26" s="36">
        <f t="shared" si="3"/>
        <v>0</v>
      </c>
      <c r="L26" s="197">
        <v>0</v>
      </c>
      <c r="M26" s="36">
        <f t="shared" si="4"/>
        <v>59893.75</v>
      </c>
      <c r="N26" s="198"/>
    </row>
    <row r="27" spans="1:19">
      <c r="A27" s="26">
        <v>21</v>
      </c>
      <c r="B27" s="27">
        <v>46133</v>
      </c>
      <c r="C27" s="107"/>
      <c r="D27" s="35"/>
      <c r="E27" s="36">
        <v>59.08</v>
      </c>
      <c r="F27" s="36">
        <v>95.64</v>
      </c>
      <c r="G27" s="36">
        <f t="shared" si="1"/>
        <v>5650.4111999999996</v>
      </c>
      <c r="H27" s="334">
        <v>0</v>
      </c>
      <c r="I27" s="334">
        <v>0</v>
      </c>
      <c r="J27" s="36">
        <f t="shared" si="2"/>
        <v>0</v>
      </c>
      <c r="K27" s="36">
        <f t="shared" si="3"/>
        <v>5650.4111999999996</v>
      </c>
      <c r="L27" s="36">
        <f t="shared" si="3"/>
        <v>5650.4111999999996</v>
      </c>
      <c r="M27" s="36">
        <f t="shared" si="4"/>
        <v>59893.75</v>
      </c>
      <c r="N27" s="198"/>
    </row>
    <row r="28" spans="1:19">
      <c r="A28" s="26">
        <v>22</v>
      </c>
      <c r="B28" s="27">
        <v>46134</v>
      </c>
      <c r="C28" s="107"/>
      <c r="D28" s="35"/>
      <c r="E28" s="36">
        <v>77.73</v>
      </c>
      <c r="F28" s="36">
        <v>95.64</v>
      </c>
      <c r="G28" s="36">
        <f t="shared" si="1"/>
        <v>7434.0972000000002</v>
      </c>
      <c r="H28" s="334">
        <v>0</v>
      </c>
      <c r="I28" s="334">
        <v>0</v>
      </c>
      <c r="J28" s="36">
        <f t="shared" si="2"/>
        <v>0</v>
      </c>
      <c r="K28" s="36">
        <f t="shared" si="3"/>
        <v>7434.0972000000002</v>
      </c>
      <c r="L28" s="36">
        <f t="shared" si="3"/>
        <v>7434.0972000000002</v>
      </c>
      <c r="M28" s="36">
        <f t="shared" si="4"/>
        <v>59893.75</v>
      </c>
      <c r="N28" s="198"/>
    </row>
    <row r="29" spans="1:19">
      <c r="A29" s="26">
        <v>23</v>
      </c>
      <c r="B29" s="471">
        <v>46135</v>
      </c>
      <c r="C29" s="107"/>
      <c r="D29" s="35"/>
      <c r="E29" s="36">
        <v>200</v>
      </c>
      <c r="F29" s="36">
        <v>95.7</v>
      </c>
      <c r="G29" s="36">
        <f>E29*F29</f>
        <v>19140</v>
      </c>
      <c r="H29" s="334">
        <v>0</v>
      </c>
      <c r="I29" s="334">
        <v>0</v>
      </c>
      <c r="J29" s="36">
        <f t="shared" si="2"/>
        <v>0</v>
      </c>
      <c r="K29" s="36">
        <f t="shared" si="3"/>
        <v>19140</v>
      </c>
      <c r="L29" s="197">
        <v>0</v>
      </c>
      <c r="M29" s="36">
        <f t="shared" si="4"/>
        <v>79033.75</v>
      </c>
      <c r="N29" s="198"/>
    </row>
    <row r="30" spans="1:19">
      <c r="A30" s="26">
        <v>24</v>
      </c>
      <c r="B30" s="27">
        <v>46136</v>
      </c>
      <c r="C30" s="107"/>
      <c r="D30" s="35"/>
      <c r="E30" s="36"/>
      <c r="F30" s="36"/>
      <c r="G30" s="36">
        <f t="shared" si="1"/>
        <v>0</v>
      </c>
      <c r="H30" s="334">
        <v>0</v>
      </c>
      <c r="I30" s="334">
        <v>0</v>
      </c>
      <c r="J30" s="36">
        <f t="shared" si="2"/>
        <v>0</v>
      </c>
      <c r="K30" s="36">
        <f t="shared" si="3"/>
        <v>0</v>
      </c>
      <c r="L30" s="197">
        <v>0</v>
      </c>
      <c r="M30" s="36">
        <f t="shared" si="4"/>
        <v>79033.75</v>
      </c>
      <c r="N30" s="198"/>
    </row>
    <row r="31" spans="1:19">
      <c r="A31" s="26"/>
      <c r="B31" s="27">
        <v>46137</v>
      </c>
      <c r="C31" s="107"/>
      <c r="D31" s="35"/>
      <c r="E31" s="36"/>
      <c r="F31" s="36"/>
      <c r="G31" s="36">
        <f t="shared" si="1"/>
        <v>0</v>
      </c>
      <c r="H31" s="334">
        <v>0</v>
      </c>
      <c r="I31" s="334">
        <v>0</v>
      </c>
      <c r="J31" s="36">
        <f t="shared" si="2"/>
        <v>0</v>
      </c>
      <c r="K31" s="36">
        <f t="shared" si="3"/>
        <v>0</v>
      </c>
      <c r="L31" s="197">
        <v>0</v>
      </c>
      <c r="M31" s="36">
        <f t="shared" si="4"/>
        <v>79033.75</v>
      </c>
      <c r="N31" s="198"/>
    </row>
    <row r="32" spans="1:19">
      <c r="A32" s="26">
        <v>25</v>
      </c>
      <c r="B32" s="27">
        <v>46138</v>
      </c>
      <c r="C32" s="107"/>
      <c r="D32" s="35"/>
      <c r="E32" s="36"/>
      <c r="F32" s="36"/>
      <c r="G32" s="36">
        <f t="shared" si="1"/>
        <v>0</v>
      </c>
      <c r="H32" s="334">
        <v>0</v>
      </c>
      <c r="I32" s="334">
        <v>0</v>
      </c>
      <c r="J32" s="36">
        <f t="shared" si="2"/>
        <v>0</v>
      </c>
      <c r="K32" s="36">
        <f t="shared" si="3"/>
        <v>0</v>
      </c>
      <c r="L32" s="197">
        <v>0</v>
      </c>
      <c r="M32" s="36">
        <f t="shared" si="4"/>
        <v>79033.75</v>
      </c>
      <c r="N32" s="198"/>
    </row>
    <row r="33" spans="1:16">
      <c r="A33" s="26">
        <v>26</v>
      </c>
      <c r="B33" s="27">
        <v>46139</v>
      </c>
      <c r="C33" s="107"/>
      <c r="D33" s="35" t="s">
        <v>179</v>
      </c>
      <c r="E33" s="36">
        <v>114.18</v>
      </c>
      <c r="F33" s="36">
        <v>95.64</v>
      </c>
      <c r="G33" s="36">
        <f t="shared" si="1"/>
        <v>10920.175200000001</v>
      </c>
      <c r="H33" s="334">
        <v>0</v>
      </c>
      <c r="I33" s="334">
        <v>0</v>
      </c>
      <c r="J33" s="36">
        <f t="shared" si="2"/>
        <v>0</v>
      </c>
      <c r="K33" s="36">
        <f t="shared" si="3"/>
        <v>10920.175200000001</v>
      </c>
      <c r="L33" s="36">
        <f t="shared" si="3"/>
        <v>10920.175200000001</v>
      </c>
      <c r="M33" s="36">
        <f t="shared" si="4"/>
        <v>79033.75</v>
      </c>
      <c r="N33" s="198"/>
    </row>
    <row r="34" spans="1:16">
      <c r="A34" s="26"/>
      <c r="B34" s="27">
        <v>46139</v>
      </c>
      <c r="C34" s="107"/>
      <c r="D34" s="35" t="s">
        <v>180</v>
      </c>
      <c r="E34" s="36">
        <v>110</v>
      </c>
      <c r="F34" s="36">
        <v>95.7</v>
      </c>
      <c r="G34" s="36">
        <f t="shared" si="1"/>
        <v>10527</v>
      </c>
      <c r="H34" s="334"/>
      <c r="I34" s="334"/>
      <c r="J34" s="36"/>
      <c r="K34" s="36">
        <f t="shared" si="3"/>
        <v>10527</v>
      </c>
      <c r="L34" s="36">
        <f t="shared" si="3"/>
        <v>10527</v>
      </c>
      <c r="M34" s="36">
        <f t="shared" si="4"/>
        <v>79033.75</v>
      </c>
      <c r="N34" s="198"/>
    </row>
    <row r="35" spans="1:16">
      <c r="A35" s="26">
        <v>27</v>
      </c>
      <c r="B35" s="27">
        <v>46140</v>
      </c>
      <c r="C35" s="107"/>
      <c r="D35" s="35"/>
      <c r="E35" s="36"/>
      <c r="F35" s="36"/>
      <c r="G35" s="36">
        <f t="shared" si="1"/>
        <v>0</v>
      </c>
      <c r="H35" s="334">
        <v>0</v>
      </c>
      <c r="I35" s="334">
        <v>0</v>
      </c>
      <c r="J35" s="36">
        <f t="shared" si="2"/>
        <v>0</v>
      </c>
      <c r="K35" s="36">
        <f t="shared" si="3"/>
        <v>0</v>
      </c>
      <c r="L35" s="197">
        <v>0</v>
      </c>
      <c r="M35" s="36">
        <f>M33+K35-L35</f>
        <v>79033.75</v>
      </c>
      <c r="N35" s="198"/>
    </row>
    <row r="36" spans="1:16">
      <c r="A36" s="26">
        <v>28</v>
      </c>
      <c r="B36" s="27">
        <v>46141</v>
      </c>
      <c r="C36" s="107"/>
      <c r="D36" s="35"/>
      <c r="E36" s="36"/>
      <c r="F36" s="36"/>
      <c r="G36" s="36">
        <f t="shared" si="1"/>
        <v>0</v>
      </c>
      <c r="H36" s="334">
        <v>0</v>
      </c>
      <c r="I36" s="334">
        <v>0</v>
      </c>
      <c r="J36" s="36">
        <f t="shared" si="2"/>
        <v>0</v>
      </c>
      <c r="K36" s="36">
        <f t="shared" si="3"/>
        <v>0</v>
      </c>
      <c r="L36" s="197">
        <v>0</v>
      </c>
      <c r="M36" s="36">
        <f t="shared" si="4"/>
        <v>79033.75</v>
      </c>
      <c r="N36" s="198"/>
    </row>
    <row r="37" spans="1:16">
      <c r="A37" s="26">
        <v>29</v>
      </c>
      <c r="B37" s="27">
        <v>46142</v>
      </c>
      <c r="C37" s="107"/>
      <c r="D37" s="35" t="s">
        <v>181</v>
      </c>
      <c r="E37" s="36">
        <v>165</v>
      </c>
      <c r="F37" s="36">
        <v>95.64</v>
      </c>
      <c r="G37" s="36">
        <f t="shared" si="1"/>
        <v>15780.6</v>
      </c>
      <c r="H37" s="334">
        <v>0</v>
      </c>
      <c r="I37" s="334">
        <v>0</v>
      </c>
      <c r="J37" s="36">
        <f t="shared" si="2"/>
        <v>0</v>
      </c>
      <c r="K37" s="36">
        <f t="shared" si="3"/>
        <v>15780.6</v>
      </c>
      <c r="L37" s="36">
        <f t="shared" si="3"/>
        <v>15780.6</v>
      </c>
      <c r="M37" s="36">
        <f t="shared" si="4"/>
        <v>79033.75</v>
      </c>
      <c r="N37" s="198"/>
    </row>
    <row r="38" spans="1:16">
      <c r="A38" s="26">
        <v>30</v>
      </c>
      <c r="B38" s="27"/>
      <c r="C38" s="107"/>
      <c r="D38" s="35"/>
      <c r="E38" s="36">
        <v>0</v>
      </c>
      <c r="F38" s="36"/>
      <c r="G38" s="36">
        <f t="shared" si="1"/>
        <v>0</v>
      </c>
      <c r="H38" s="334">
        <v>0</v>
      </c>
      <c r="I38" s="334">
        <v>0</v>
      </c>
      <c r="J38" s="36">
        <f t="shared" si="2"/>
        <v>0</v>
      </c>
      <c r="K38" s="36">
        <f t="shared" si="3"/>
        <v>0</v>
      </c>
      <c r="L38" s="197">
        <v>0</v>
      </c>
      <c r="M38" s="36">
        <f t="shared" ref="M38:M42" si="8">M37+K38-L38</f>
        <v>79033.75</v>
      </c>
      <c r="N38" s="198"/>
    </row>
    <row r="39" spans="1:16">
      <c r="A39" s="26">
        <v>31</v>
      </c>
      <c r="B39" s="27"/>
      <c r="C39" s="107"/>
      <c r="D39" s="35"/>
      <c r="E39" s="36"/>
      <c r="F39" s="36"/>
      <c r="G39" s="36">
        <f t="shared" si="1"/>
        <v>0</v>
      </c>
      <c r="H39" s="334">
        <v>0</v>
      </c>
      <c r="I39" s="334">
        <v>0</v>
      </c>
      <c r="J39" s="36">
        <f t="shared" si="2"/>
        <v>0</v>
      </c>
      <c r="K39" s="36">
        <f t="shared" si="3"/>
        <v>0</v>
      </c>
      <c r="L39" s="197">
        <v>0</v>
      </c>
      <c r="M39" s="36">
        <f t="shared" si="8"/>
        <v>79033.75</v>
      </c>
      <c r="N39" s="198"/>
    </row>
    <row r="40" spans="1:16">
      <c r="A40" s="26">
        <v>32</v>
      </c>
      <c r="B40" s="27"/>
      <c r="C40" s="107"/>
      <c r="D40" s="35"/>
      <c r="E40" s="36"/>
      <c r="F40" s="36"/>
      <c r="G40" s="36">
        <f t="shared" ref="G40:G41" si="9">E40*F40</f>
        <v>0</v>
      </c>
      <c r="H40" s="334"/>
      <c r="I40" s="334"/>
      <c r="J40" s="36">
        <f t="shared" ref="J40:J41" si="10">H40*I40</f>
        <v>0</v>
      </c>
      <c r="K40" s="36">
        <f t="shared" ref="K40:K41" si="11">G40+J40</f>
        <v>0</v>
      </c>
      <c r="L40" s="197"/>
      <c r="M40" s="36">
        <f t="shared" si="8"/>
        <v>79033.75</v>
      </c>
      <c r="N40" s="198"/>
    </row>
    <row r="41" spans="1:16">
      <c r="A41" s="26">
        <v>33</v>
      </c>
      <c r="B41" s="27"/>
      <c r="C41" s="107"/>
      <c r="D41" s="35"/>
      <c r="E41" s="36"/>
      <c r="F41" s="36"/>
      <c r="G41" s="36">
        <f t="shared" si="9"/>
        <v>0</v>
      </c>
      <c r="H41" s="334"/>
      <c r="I41" s="334"/>
      <c r="J41" s="36">
        <f t="shared" si="10"/>
        <v>0</v>
      </c>
      <c r="K41" s="36">
        <f t="shared" si="11"/>
        <v>0</v>
      </c>
      <c r="L41" s="197">
        <v>0</v>
      </c>
      <c r="M41" s="36">
        <f t="shared" si="8"/>
        <v>79033.75</v>
      </c>
      <c r="N41" s="237"/>
      <c r="O41">
        <v>2669494</v>
      </c>
      <c r="P41" s="174">
        <f>O41-M41</f>
        <v>2590460.25</v>
      </c>
    </row>
    <row r="42" spans="1:16">
      <c r="A42" s="351"/>
      <c r="B42" s="27"/>
      <c r="C42" s="33"/>
      <c r="D42" s="352"/>
      <c r="E42" s="36">
        <v>0</v>
      </c>
      <c r="F42" s="36">
        <v>0</v>
      </c>
      <c r="G42" s="36">
        <f>E42*F42</f>
        <v>0</v>
      </c>
      <c r="H42" s="36"/>
      <c r="I42" s="36"/>
      <c r="J42" s="36">
        <f t="shared" ref="J19:J42" si="12">H42*I42</f>
        <v>0</v>
      </c>
      <c r="K42" s="36">
        <f t="shared" si="0"/>
        <v>0</v>
      </c>
      <c r="L42" s="38"/>
      <c r="M42" s="36">
        <f t="shared" si="8"/>
        <v>79033.75</v>
      </c>
      <c r="N42" s="36"/>
    </row>
    <row r="43" spans="1:16">
      <c r="A43" s="181"/>
      <c r="B43" s="353"/>
      <c r="C43" s="353"/>
      <c r="D43" s="353"/>
      <c r="E43" s="354">
        <f>SUM(E4:E41)</f>
        <v>1583.05</v>
      </c>
      <c r="F43" s="354"/>
      <c r="G43" s="354">
        <f>SUM(G4:G41)</f>
        <v>151540.25200000001</v>
      </c>
      <c r="H43" s="354">
        <f>SUM(H4:H41)</f>
        <v>0</v>
      </c>
      <c r="I43" s="354"/>
      <c r="J43" s="354">
        <f>SUM(J4:J41)</f>
        <v>0</v>
      </c>
      <c r="K43" s="354">
        <f>SUM(K4:K41)</f>
        <v>151540.25200000001</v>
      </c>
      <c r="L43" s="354">
        <f>SUM(L4:L41)</f>
        <v>261027.72249999997</v>
      </c>
      <c r="M43" s="355"/>
      <c r="N43" s="356"/>
    </row>
    <row r="44" spans="1:16">
      <c r="A44" s="37"/>
      <c r="B44" s="37"/>
      <c r="C44" s="37"/>
      <c r="D44" s="37"/>
      <c r="E44" s="357"/>
      <c r="F44" s="357"/>
      <c r="G44" s="357"/>
      <c r="H44" s="357"/>
      <c r="I44" s="357"/>
      <c r="J44" s="357"/>
      <c r="K44" s="357"/>
      <c r="L44" s="357"/>
      <c r="M44" s="357"/>
      <c r="N44" s="357"/>
    </row>
    <row r="45" spans="1:16">
      <c r="A45" s="33"/>
      <c r="B45" s="33"/>
      <c r="C45" s="33"/>
      <c r="D45" s="33"/>
      <c r="E45" s="33"/>
      <c r="F45" s="33"/>
      <c r="G45" s="39"/>
      <c r="H45" s="33"/>
      <c r="I45" s="33"/>
      <c r="J45" s="33"/>
      <c r="K45" s="33"/>
      <c r="L45" s="33"/>
      <c r="M45" s="33"/>
      <c r="N45" s="33"/>
    </row>
    <row r="46" spans="1:1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</row>
    <row r="50" spans="5:13">
      <c r="E50" s="174"/>
    </row>
    <row r="52" spans="5:13">
      <c r="M52">
        <v>2408309</v>
      </c>
    </row>
    <row r="53" spans="5:13">
      <c r="M53">
        <v>5327.86</v>
      </c>
    </row>
    <row r="54" spans="5:13">
      <c r="M54" s="358">
        <f>M52-M53</f>
        <v>2402981.14</v>
      </c>
    </row>
  </sheetData>
  <mergeCells count="2">
    <mergeCell ref="A1:N1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5461-B56A-421B-8409-CCEF1CCB2111}">
  <sheetPr>
    <tabColor rgb="FF00B050"/>
  </sheetPr>
  <dimension ref="A1:R38"/>
  <sheetViews>
    <sheetView workbookViewId="0">
      <selection activeCell="J28" sqref="J28"/>
    </sheetView>
  </sheetViews>
  <sheetFormatPr defaultRowHeight="15"/>
  <cols>
    <col min="2" max="2" width="10.5703125" bestFit="1" customWidth="1"/>
    <col min="4" max="4" width="14" customWidth="1"/>
    <col min="5" max="5" width="16.85546875" customWidth="1"/>
    <col min="7" max="7" width="13.85546875" customWidth="1"/>
    <col min="11" max="11" width="13" customWidth="1"/>
    <col min="12" max="12" width="16.42578125" customWidth="1"/>
    <col min="13" max="13" width="12.28515625" bestFit="1" customWidth="1"/>
    <col min="16" max="16" width="12.140625" bestFit="1" customWidth="1"/>
    <col min="18" max="18" width="13" bestFit="1" customWidth="1"/>
  </cols>
  <sheetData>
    <row r="1" spans="1:18" ht="15.75">
      <c r="A1" s="485" t="s">
        <v>67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</row>
    <row r="2" spans="1:18" ht="30">
      <c r="A2" s="124" t="s">
        <v>0</v>
      </c>
      <c r="B2" s="125" t="s">
        <v>164</v>
      </c>
      <c r="C2" s="125" t="s">
        <v>165</v>
      </c>
      <c r="D2" s="125" t="s">
        <v>166</v>
      </c>
      <c r="E2" s="125" t="s">
        <v>167</v>
      </c>
      <c r="F2" s="125" t="s">
        <v>168</v>
      </c>
      <c r="G2" s="125" t="s">
        <v>169</v>
      </c>
      <c r="H2" s="125" t="s">
        <v>170</v>
      </c>
      <c r="I2" s="125" t="s">
        <v>168</v>
      </c>
      <c r="J2" s="126" t="s">
        <v>169</v>
      </c>
      <c r="K2" s="124" t="s">
        <v>171</v>
      </c>
      <c r="L2" s="127" t="s">
        <v>172</v>
      </c>
      <c r="M2" s="127" t="s">
        <v>182</v>
      </c>
      <c r="N2" s="125" t="s">
        <v>174</v>
      </c>
    </row>
    <row r="3" spans="1:18">
      <c r="A3" s="486" t="s">
        <v>175</v>
      </c>
      <c r="B3" s="486"/>
      <c r="C3" s="486"/>
      <c r="D3" s="486"/>
      <c r="E3" s="486"/>
      <c r="F3" s="486"/>
      <c r="G3" s="486"/>
      <c r="H3" s="486"/>
      <c r="I3" s="486"/>
      <c r="J3" s="486"/>
      <c r="K3" s="212">
        <v>4176411.6869000001</v>
      </c>
      <c r="L3" s="228"/>
      <c r="M3" s="212">
        <v>4176411.6869000001</v>
      </c>
      <c r="N3" s="94"/>
    </row>
    <row r="4" spans="1:18">
      <c r="A4" s="26">
        <v>1</v>
      </c>
      <c r="B4" s="27">
        <v>46113</v>
      </c>
      <c r="C4" s="17"/>
      <c r="D4" s="17"/>
      <c r="E4" s="17"/>
      <c r="F4" s="17"/>
      <c r="G4" s="17">
        <f>E4*F4</f>
        <v>0</v>
      </c>
      <c r="H4" s="323"/>
      <c r="I4" s="17"/>
      <c r="J4" s="17"/>
      <c r="K4" s="17">
        <f>G4+J4</f>
        <v>0</v>
      </c>
      <c r="L4" s="17">
        <v>0</v>
      </c>
      <c r="M4" s="40">
        <f>M3+K4-L4</f>
        <v>4176411.6869000001</v>
      </c>
      <c r="N4" s="17"/>
    </row>
    <row r="5" spans="1:18">
      <c r="A5" s="26">
        <v>2</v>
      </c>
      <c r="B5" s="27">
        <v>46114</v>
      </c>
      <c r="C5" s="17"/>
      <c r="D5" s="17"/>
      <c r="E5" s="17"/>
      <c r="F5" s="17"/>
      <c r="G5" s="17">
        <f t="shared" ref="G5:G33" si="0">E5*F5</f>
        <v>0</v>
      </c>
      <c r="H5" s="323"/>
      <c r="I5" s="17"/>
      <c r="J5" s="17"/>
      <c r="K5" s="17">
        <f t="shared" ref="K5:L33" si="1">G5+J5</f>
        <v>0</v>
      </c>
      <c r="L5" s="17">
        <v>4176407</v>
      </c>
      <c r="M5" s="40">
        <f>M4+K5-L5</f>
        <v>4.6869000000879169</v>
      </c>
      <c r="N5" s="17"/>
    </row>
    <row r="6" spans="1:18">
      <c r="A6" s="26">
        <v>3</v>
      </c>
      <c r="B6" s="27">
        <v>46115</v>
      </c>
      <c r="C6" s="17"/>
      <c r="D6" s="17"/>
      <c r="E6" s="17">
        <v>2700.49</v>
      </c>
      <c r="F6" s="17">
        <v>95.68</v>
      </c>
      <c r="G6" s="17">
        <f t="shared" si="0"/>
        <v>258382.88320000001</v>
      </c>
      <c r="H6" s="323">
        <v>55</v>
      </c>
      <c r="I6" s="17">
        <v>107.46</v>
      </c>
      <c r="J6" s="17">
        <f>H6*I6</f>
        <v>5910.2999999999993</v>
      </c>
      <c r="K6" s="17">
        <f t="shared" si="1"/>
        <v>264293.18320000003</v>
      </c>
      <c r="L6" s="17">
        <v>0</v>
      </c>
      <c r="M6" s="40">
        <f t="shared" ref="M6:M8" si="2">M5+K6-L6</f>
        <v>264297.87010000012</v>
      </c>
      <c r="N6" s="17"/>
    </row>
    <row r="7" spans="1:18">
      <c r="A7" s="26">
        <v>4</v>
      </c>
      <c r="B7" s="27">
        <v>46116</v>
      </c>
      <c r="C7" s="17"/>
      <c r="D7" s="17"/>
      <c r="E7" s="17"/>
      <c r="F7" s="17"/>
      <c r="G7" s="17">
        <f t="shared" si="0"/>
        <v>0</v>
      </c>
      <c r="H7" s="323"/>
      <c r="I7" s="17"/>
      <c r="J7" s="17">
        <f t="shared" ref="J7:J17" si="3">H7*I7</f>
        <v>0</v>
      </c>
      <c r="K7" s="17">
        <f t="shared" si="1"/>
        <v>0</v>
      </c>
      <c r="L7" s="17">
        <v>0</v>
      </c>
      <c r="M7" s="40">
        <f t="shared" si="2"/>
        <v>264297.87010000012</v>
      </c>
      <c r="N7" s="17"/>
    </row>
    <row r="8" spans="1:18">
      <c r="A8" s="26">
        <v>5</v>
      </c>
      <c r="B8" s="27">
        <v>46117</v>
      </c>
      <c r="C8" s="17"/>
      <c r="D8" s="17"/>
      <c r="E8" s="17">
        <v>2700</v>
      </c>
      <c r="F8" s="17">
        <v>95.68</v>
      </c>
      <c r="G8" s="17">
        <f t="shared" si="0"/>
        <v>258336.00000000003</v>
      </c>
      <c r="H8" s="323">
        <v>60</v>
      </c>
      <c r="I8" s="17">
        <v>107.46</v>
      </c>
      <c r="J8" s="17">
        <f t="shared" si="3"/>
        <v>6447.5999999999995</v>
      </c>
      <c r="K8" s="17">
        <f t="shared" si="1"/>
        <v>264783.60000000003</v>
      </c>
      <c r="L8" s="17">
        <v>0</v>
      </c>
      <c r="M8" s="40">
        <f t="shared" si="2"/>
        <v>529081.47010000015</v>
      </c>
      <c r="N8" s="17"/>
    </row>
    <row r="9" spans="1:18">
      <c r="A9" s="26">
        <v>6</v>
      </c>
      <c r="B9" s="27">
        <v>46118</v>
      </c>
      <c r="C9" s="17"/>
      <c r="D9" s="17"/>
      <c r="E9" s="17"/>
      <c r="F9" s="17"/>
      <c r="G9" s="17">
        <f t="shared" si="0"/>
        <v>0</v>
      </c>
      <c r="H9" s="323"/>
      <c r="I9" s="17"/>
      <c r="J9" s="17">
        <f t="shared" si="3"/>
        <v>0</v>
      </c>
      <c r="K9" s="17">
        <f t="shared" si="1"/>
        <v>0</v>
      </c>
      <c r="L9" s="17">
        <v>0</v>
      </c>
      <c r="M9" s="40">
        <f>M8+K9-L9</f>
        <v>529081.47010000015</v>
      </c>
      <c r="N9" s="17"/>
    </row>
    <row r="10" spans="1:18">
      <c r="A10" s="26">
        <v>7</v>
      </c>
      <c r="B10" s="27">
        <v>46119</v>
      </c>
      <c r="C10" s="17"/>
      <c r="D10" s="17"/>
      <c r="E10" s="17">
        <v>2700</v>
      </c>
      <c r="F10" s="17">
        <v>95.68</v>
      </c>
      <c r="G10" s="17">
        <f t="shared" si="0"/>
        <v>258336.00000000003</v>
      </c>
      <c r="H10" s="323">
        <v>60</v>
      </c>
      <c r="I10" s="17">
        <v>107.46</v>
      </c>
      <c r="J10" s="17">
        <f t="shared" si="3"/>
        <v>6447.5999999999995</v>
      </c>
      <c r="K10" s="17">
        <f t="shared" si="1"/>
        <v>264783.60000000003</v>
      </c>
      <c r="L10" s="17">
        <v>0</v>
      </c>
      <c r="M10" s="40">
        <f>M9+K10-L10</f>
        <v>793865.07010000013</v>
      </c>
      <c r="N10" s="17"/>
    </row>
    <row r="11" spans="1:18">
      <c r="A11" s="26">
        <v>8</v>
      </c>
      <c r="B11" s="27">
        <v>46120</v>
      </c>
      <c r="C11" s="17"/>
      <c r="D11" s="17"/>
      <c r="E11" s="17"/>
      <c r="F11" s="17"/>
      <c r="G11" s="17">
        <f t="shared" si="0"/>
        <v>0</v>
      </c>
      <c r="H11" s="323"/>
      <c r="I11" s="17"/>
      <c r="J11" s="17">
        <f t="shared" si="3"/>
        <v>0</v>
      </c>
      <c r="K11" s="17">
        <f t="shared" si="1"/>
        <v>0</v>
      </c>
      <c r="L11" s="17">
        <v>0</v>
      </c>
      <c r="M11" s="40">
        <f>M10+K11-L11</f>
        <v>793865.07010000013</v>
      </c>
      <c r="N11" s="17"/>
    </row>
    <row r="12" spans="1:18">
      <c r="A12" s="26">
        <v>9</v>
      </c>
      <c r="B12" s="27">
        <v>46121</v>
      </c>
      <c r="C12" s="17"/>
      <c r="D12" s="17"/>
      <c r="E12" s="17"/>
      <c r="F12" s="17"/>
      <c r="G12" s="17">
        <f t="shared" si="0"/>
        <v>0</v>
      </c>
      <c r="H12" s="323"/>
      <c r="I12" s="17"/>
      <c r="J12" s="17">
        <f t="shared" si="3"/>
        <v>0</v>
      </c>
      <c r="K12" s="17">
        <f t="shared" si="1"/>
        <v>0</v>
      </c>
      <c r="L12" s="17">
        <v>0</v>
      </c>
      <c r="M12" s="40">
        <f>M11+K12-L12</f>
        <v>793865.07010000013</v>
      </c>
      <c r="N12" s="17"/>
    </row>
    <row r="13" spans="1:18">
      <c r="A13" s="26">
        <v>10</v>
      </c>
      <c r="B13" s="27">
        <v>46122</v>
      </c>
      <c r="C13" s="17"/>
      <c r="D13" s="17"/>
      <c r="E13" s="17">
        <v>2500</v>
      </c>
      <c r="F13" s="17">
        <v>95.68</v>
      </c>
      <c r="G13" s="17">
        <f t="shared" si="0"/>
        <v>239200.00000000003</v>
      </c>
      <c r="H13" s="323">
        <v>95</v>
      </c>
      <c r="I13" s="17">
        <v>107.46</v>
      </c>
      <c r="J13" s="17">
        <f t="shared" si="3"/>
        <v>10208.699999999999</v>
      </c>
      <c r="K13" s="17">
        <f t="shared" si="1"/>
        <v>249408.70000000004</v>
      </c>
      <c r="L13" s="17">
        <v>0</v>
      </c>
      <c r="M13" s="40">
        <f t="shared" ref="M13:M35" si="4">M12+K13-L13</f>
        <v>1043273.7701000002</v>
      </c>
      <c r="N13" s="17"/>
      <c r="P13" s="22"/>
    </row>
    <row r="14" spans="1:18">
      <c r="A14" s="26">
        <v>11</v>
      </c>
      <c r="B14" s="27">
        <v>46123</v>
      </c>
      <c r="C14" s="17"/>
      <c r="D14" s="17"/>
      <c r="E14" s="17"/>
      <c r="F14" s="17"/>
      <c r="G14" s="17">
        <f t="shared" si="0"/>
        <v>0</v>
      </c>
      <c r="H14" s="323"/>
      <c r="I14" s="17"/>
      <c r="J14" s="17">
        <f t="shared" si="3"/>
        <v>0</v>
      </c>
      <c r="K14" s="17">
        <f t="shared" si="1"/>
        <v>0</v>
      </c>
      <c r="L14" s="17">
        <v>0</v>
      </c>
      <c r="M14" s="40">
        <f t="shared" si="4"/>
        <v>1043273.7701000002</v>
      </c>
      <c r="N14" s="17"/>
    </row>
    <row r="15" spans="1:18">
      <c r="A15" s="26">
        <v>12</v>
      </c>
      <c r="B15" s="27">
        <v>46124</v>
      </c>
      <c r="C15" s="17"/>
      <c r="D15" s="17"/>
      <c r="E15" s="17"/>
      <c r="F15" s="17"/>
      <c r="G15" s="17">
        <f t="shared" si="0"/>
        <v>0</v>
      </c>
      <c r="H15" s="323"/>
      <c r="I15" s="17"/>
      <c r="J15" s="17">
        <f t="shared" si="3"/>
        <v>0</v>
      </c>
      <c r="K15" s="17">
        <f t="shared" si="1"/>
        <v>0</v>
      </c>
      <c r="L15" s="17">
        <v>0</v>
      </c>
      <c r="M15" s="40">
        <f t="shared" si="4"/>
        <v>1043273.7701000002</v>
      </c>
      <c r="N15" s="17"/>
      <c r="R15" s="22"/>
    </row>
    <row r="16" spans="1:18">
      <c r="A16" s="26">
        <v>13</v>
      </c>
      <c r="B16" s="27">
        <v>46125</v>
      </c>
      <c r="C16" s="17"/>
      <c r="D16" s="17"/>
      <c r="E16" s="17">
        <v>2500</v>
      </c>
      <c r="F16" s="17">
        <v>95.68</v>
      </c>
      <c r="G16" s="17">
        <f t="shared" si="0"/>
        <v>239200.00000000003</v>
      </c>
      <c r="H16" s="323">
        <v>60</v>
      </c>
      <c r="I16" s="17">
        <v>107.46</v>
      </c>
      <c r="J16" s="17">
        <f t="shared" si="3"/>
        <v>6447.5999999999995</v>
      </c>
      <c r="K16" s="17">
        <f t="shared" si="1"/>
        <v>245647.60000000003</v>
      </c>
      <c r="L16" s="17">
        <v>0</v>
      </c>
      <c r="M16" s="40">
        <f t="shared" si="4"/>
        <v>1288921.3701000002</v>
      </c>
      <c r="N16" s="17"/>
    </row>
    <row r="17" spans="1:16">
      <c r="A17" s="26">
        <v>14</v>
      </c>
      <c r="B17" s="27">
        <v>46126</v>
      </c>
      <c r="C17" s="17"/>
      <c r="D17" s="17"/>
      <c r="E17" s="17">
        <v>1500</v>
      </c>
      <c r="F17" s="17">
        <v>95.68</v>
      </c>
      <c r="G17" s="17">
        <f t="shared" si="0"/>
        <v>143520</v>
      </c>
      <c r="H17" s="323">
        <v>21.49</v>
      </c>
      <c r="I17" s="17">
        <v>107.46</v>
      </c>
      <c r="J17" s="17">
        <f t="shared" si="3"/>
        <v>2309.3153999999995</v>
      </c>
      <c r="K17" s="368">
        <f t="shared" si="1"/>
        <v>145829.31539999999</v>
      </c>
      <c r="L17" s="17">
        <v>0</v>
      </c>
      <c r="M17" s="40">
        <f t="shared" si="4"/>
        <v>1434750.6855000001</v>
      </c>
      <c r="N17" s="17"/>
    </row>
    <row r="18" spans="1:16">
      <c r="A18" s="26">
        <v>15</v>
      </c>
      <c r="B18" s="27">
        <v>46127</v>
      </c>
      <c r="C18" s="17"/>
      <c r="D18" s="17"/>
      <c r="E18" s="17"/>
      <c r="F18" s="17"/>
      <c r="G18" s="17">
        <f t="shared" si="0"/>
        <v>0</v>
      </c>
      <c r="H18" s="323"/>
      <c r="I18" s="17"/>
      <c r="J18" s="17"/>
      <c r="K18" s="17">
        <f t="shared" si="1"/>
        <v>0</v>
      </c>
      <c r="L18" s="17">
        <v>0</v>
      </c>
      <c r="M18" s="40">
        <f t="shared" si="4"/>
        <v>1434750.6855000001</v>
      </c>
      <c r="N18" s="17"/>
    </row>
    <row r="19" spans="1:16">
      <c r="A19" s="26">
        <v>16</v>
      </c>
      <c r="B19" s="27">
        <v>46128</v>
      </c>
      <c r="C19" s="17"/>
      <c r="D19" s="17"/>
      <c r="E19" s="17"/>
      <c r="F19" s="17"/>
      <c r="G19" s="17">
        <f t="shared" si="0"/>
        <v>0</v>
      </c>
      <c r="H19" s="323"/>
      <c r="I19" s="17"/>
      <c r="J19" s="17"/>
      <c r="K19" s="17">
        <f t="shared" si="1"/>
        <v>0</v>
      </c>
      <c r="L19" s="17">
        <v>0</v>
      </c>
      <c r="M19" s="40">
        <f t="shared" si="4"/>
        <v>1434750.6855000001</v>
      </c>
      <c r="N19" s="17"/>
    </row>
    <row r="20" spans="1:16">
      <c r="A20" s="26">
        <v>17</v>
      </c>
      <c r="B20" s="27">
        <v>46129</v>
      </c>
      <c r="C20" s="17"/>
      <c r="D20" s="17"/>
      <c r="E20" s="17"/>
      <c r="F20" s="17"/>
      <c r="G20" s="17">
        <f t="shared" si="0"/>
        <v>0</v>
      </c>
      <c r="H20" s="323"/>
      <c r="I20" s="17"/>
      <c r="J20" s="17"/>
      <c r="K20" s="17">
        <f t="shared" si="1"/>
        <v>0</v>
      </c>
      <c r="L20" s="17">
        <v>0</v>
      </c>
      <c r="M20" s="40">
        <f t="shared" si="4"/>
        <v>1434750.6855000001</v>
      </c>
      <c r="N20" s="17"/>
    </row>
    <row r="21" spans="1:16">
      <c r="A21" s="26">
        <v>18</v>
      </c>
      <c r="B21" s="27">
        <v>46130</v>
      </c>
      <c r="C21" s="17"/>
      <c r="D21" s="17"/>
      <c r="E21" s="17"/>
      <c r="F21" s="17"/>
      <c r="G21" s="17">
        <f t="shared" si="0"/>
        <v>0</v>
      </c>
      <c r="H21" s="323"/>
      <c r="I21" s="17"/>
      <c r="J21" s="17"/>
      <c r="K21" s="17">
        <f t="shared" si="1"/>
        <v>0</v>
      </c>
      <c r="L21" s="17">
        <v>0</v>
      </c>
      <c r="M21" s="40">
        <f t="shared" si="4"/>
        <v>1434750.6855000001</v>
      </c>
      <c r="N21" s="17"/>
    </row>
    <row r="22" spans="1:16">
      <c r="A22" s="26">
        <v>19</v>
      </c>
      <c r="B22" s="27">
        <v>46131</v>
      </c>
      <c r="C22" s="17"/>
      <c r="D22" s="17"/>
      <c r="E22" s="17"/>
      <c r="F22" s="17"/>
      <c r="G22" s="17">
        <f t="shared" si="0"/>
        <v>0</v>
      </c>
      <c r="H22" s="323"/>
      <c r="I22" s="17"/>
      <c r="J22" s="17"/>
      <c r="K22" s="17">
        <f t="shared" si="1"/>
        <v>0</v>
      </c>
      <c r="L22" s="17">
        <v>0</v>
      </c>
      <c r="M22" s="40">
        <f t="shared" si="4"/>
        <v>1434750.6855000001</v>
      </c>
      <c r="N22" s="17"/>
    </row>
    <row r="23" spans="1:16">
      <c r="A23" s="26">
        <v>20</v>
      </c>
      <c r="B23" s="27">
        <v>46132</v>
      </c>
      <c r="C23" s="17"/>
      <c r="D23" s="17"/>
      <c r="E23" s="17"/>
      <c r="F23" s="17"/>
      <c r="G23" s="17">
        <f t="shared" si="0"/>
        <v>0</v>
      </c>
      <c r="H23" s="323"/>
      <c r="I23" s="17"/>
      <c r="J23" s="17"/>
      <c r="K23" s="17">
        <f t="shared" si="1"/>
        <v>0</v>
      </c>
      <c r="L23" s="17">
        <v>0</v>
      </c>
      <c r="M23" s="40">
        <f t="shared" si="4"/>
        <v>1434750.6855000001</v>
      </c>
      <c r="N23" s="17"/>
    </row>
    <row r="24" spans="1:16">
      <c r="A24" s="26">
        <v>21</v>
      </c>
      <c r="B24" s="27">
        <v>46133</v>
      </c>
      <c r="C24" s="17"/>
      <c r="D24" s="17"/>
      <c r="E24" s="17">
        <v>2000</v>
      </c>
      <c r="F24" s="17">
        <v>95.68</v>
      </c>
      <c r="G24" s="17">
        <f t="shared" si="0"/>
        <v>191360</v>
      </c>
      <c r="H24" s="323"/>
      <c r="I24" s="17"/>
      <c r="J24" s="17"/>
      <c r="K24" s="17">
        <f t="shared" si="1"/>
        <v>191360</v>
      </c>
      <c r="L24" s="17">
        <v>0</v>
      </c>
      <c r="M24" s="40">
        <f t="shared" si="4"/>
        <v>1626110.6855000001</v>
      </c>
      <c r="N24" s="17"/>
    </row>
    <row r="25" spans="1:16">
      <c r="A25" s="26">
        <v>22</v>
      </c>
      <c r="B25" s="27">
        <v>46134</v>
      </c>
      <c r="C25" s="17"/>
      <c r="D25" s="17"/>
      <c r="E25" s="17">
        <v>1500</v>
      </c>
      <c r="F25" s="17">
        <v>95.68</v>
      </c>
      <c r="G25" s="17">
        <f t="shared" si="0"/>
        <v>143520</v>
      </c>
      <c r="H25" s="323"/>
      <c r="I25" s="17"/>
      <c r="J25" s="17"/>
      <c r="K25" s="17">
        <f t="shared" si="1"/>
        <v>143520</v>
      </c>
      <c r="L25" s="17">
        <v>0</v>
      </c>
      <c r="M25" s="40">
        <f t="shared" si="4"/>
        <v>1769630.6855000001</v>
      </c>
      <c r="N25" s="17"/>
    </row>
    <row r="26" spans="1:16">
      <c r="A26" s="26">
        <v>23</v>
      </c>
      <c r="B26" s="27">
        <v>46135</v>
      </c>
      <c r="C26" s="17"/>
      <c r="D26" s="17"/>
      <c r="E26" s="17"/>
      <c r="F26" s="17"/>
      <c r="G26" s="17">
        <f t="shared" si="0"/>
        <v>0</v>
      </c>
      <c r="H26" s="323"/>
      <c r="I26" s="17"/>
      <c r="J26" s="17"/>
      <c r="K26" s="17">
        <f t="shared" si="1"/>
        <v>0</v>
      </c>
      <c r="L26" s="17">
        <v>0</v>
      </c>
      <c r="M26" s="40">
        <f t="shared" si="4"/>
        <v>1769630.6855000001</v>
      </c>
      <c r="N26" s="17"/>
    </row>
    <row r="27" spans="1:16">
      <c r="A27" s="26">
        <v>24</v>
      </c>
      <c r="B27" s="27">
        <v>46136</v>
      </c>
      <c r="C27" s="17"/>
      <c r="D27" s="17"/>
      <c r="E27" s="17"/>
      <c r="F27" s="17"/>
      <c r="G27" s="17">
        <f t="shared" si="0"/>
        <v>0</v>
      </c>
      <c r="H27" s="323"/>
      <c r="I27" s="17"/>
      <c r="J27" s="17"/>
      <c r="K27" s="17">
        <f t="shared" si="1"/>
        <v>0</v>
      </c>
      <c r="L27" s="17">
        <v>0</v>
      </c>
      <c r="M27" s="40">
        <f t="shared" si="4"/>
        <v>1769630.6855000001</v>
      </c>
      <c r="N27" s="17"/>
    </row>
    <row r="28" spans="1:16">
      <c r="A28" s="26">
        <v>25</v>
      </c>
      <c r="B28" s="27">
        <v>46137</v>
      </c>
      <c r="C28" s="17"/>
      <c r="D28" s="17"/>
      <c r="E28" s="17"/>
      <c r="F28" s="17"/>
      <c r="G28" s="17">
        <f t="shared" si="0"/>
        <v>0</v>
      </c>
      <c r="H28" s="323"/>
      <c r="I28" s="17"/>
      <c r="J28" s="17"/>
      <c r="K28" s="17">
        <f t="shared" si="1"/>
        <v>0</v>
      </c>
      <c r="L28" s="17">
        <v>0</v>
      </c>
      <c r="M28" s="40">
        <f t="shared" si="4"/>
        <v>1769630.6855000001</v>
      </c>
      <c r="N28" s="17"/>
    </row>
    <row r="29" spans="1:16">
      <c r="A29" s="26">
        <v>26</v>
      </c>
      <c r="B29" s="27">
        <v>46138</v>
      </c>
      <c r="C29" s="17"/>
      <c r="D29" s="17"/>
      <c r="E29" s="17"/>
      <c r="F29" s="17"/>
      <c r="G29" s="17">
        <f t="shared" si="0"/>
        <v>0</v>
      </c>
      <c r="H29" s="323"/>
      <c r="I29" s="17"/>
      <c r="J29" s="17"/>
      <c r="K29" s="17">
        <f t="shared" si="1"/>
        <v>0</v>
      </c>
      <c r="L29" s="17">
        <v>0</v>
      </c>
      <c r="M29" s="40">
        <f t="shared" si="4"/>
        <v>1769630.6855000001</v>
      </c>
      <c r="N29" s="17"/>
    </row>
    <row r="30" spans="1:16">
      <c r="A30" s="26">
        <v>27</v>
      </c>
      <c r="B30" s="27">
        <v>46139</v>
      </c>
      <c r="C30" s="17"/>
      <c r="D30" s="17"/>
      <c r="E30" s="17">
        <v>2000</v>
      </c>
      <c r="F30" s="17">
        <v>95.68</v>
      </c>
      <c r="G30" s="17">
        <f t="shared" si="0"/>
        <v>191360</v>
      </c>
      <c r="H30" s="323"/>
      <c r="I30" s="17"/>
      <c r="J30" s="17"/>
      <c r="K30" s="17">
        <f t="shared" si="1"/>
        <v>191360</v>
      </c>
      <c r="L30" s="17">
        <v>267904</v>
      </c>
      <c r="M30" s="40">
        <f t="shared" si="4"/>
        <v>1693086.6855000001</v>
      </c>
      <c r="N30" s="17"/>
      <c r="P30" s="22"/>
    </row>
    <row r="31" spans="1:16">
      <c r="A31" s="26">
        <v>28</v>
      </c>
      <c r="B31" s="27">
        <v>46140</v>
      </c>
      <c r="C31" s="17"/>
      <c r="D31" s="17"/>
      <c r="E31" s="17">
        <v>2000</v>
      </c>
      <c r="F31" s="17">
        <v>95.68</v>
      </c>
      <c r="G31" s="17">
        <f t="shared" si="0"/>
        <v>191360</v>
      </c>
      <c r="H31" s="323"/>
      <c r="I31" s="17"/>
      <c r="J31" s="17"/>
      <c r="K31" s="17">
        <f t="shared" si="1"/>
        <v>191360</v>
      </c>
      <c r="L31" s="17">
        <v>114816</v>
      </c>
      <c r="M31" s="40">
        <f t="shared" si="4"/>
        <v>1769630.6855000001</v>
      </c>
      <c r="N31" s="17"/>
    </row>
    <row r="32" spans="1:16">
      <c r="A32" s="26">
        <v>29</v>
      </c>
      <c r="B32" s="27">
        <v>46141</v>
      </c>
      <c r="C32" s="17"/>
      <c r="D32" s="17"/>
      <c r="E32" s="17">
        <v>2000</v>
      </c>
      <c r="F32" s="17">
        <v>95.68</v>
      </c>
      <c r="G32" s="17">
        <f t="shared" si="0"/>
        <v>191360</v>
      </c>
      <c r="H32" s="323"/>
      <c r="I32" s="17"/>
      <c r="J32" s="17"/>
      <c r="K32" s="17">
        <f t="shared" si="1"/>
        <v>191360</v>
      </c>
      <c r="L32" s="17">
        <f t="shared" si="1"/>
        <v>191360</v>
      </c>
      <c r="M32" s="40">
        <f t="shared" si="4"/>
        <v>1769630.6855000001</v>
      </c>
      <c r="N32" s="17"/>
      <c r="P32" s="22"/>
    </row>
    <row r="33" spans="1:14">
      <c r="A33" s="26">
        <v>30</v>
      </c>
      <c r="B33" s="27">
        <v>46142</v>
      </c>
      <c r="C33" s="17"/>
      <c r="D33" s="17"/>
      <c r="E33" s="17">
        <v>2500</v>
      </c>
      <c r="F33" s="17">
        <v>95.68</v>
      </c>
      <c r="G33" s="17">
        <f t="shared" si="0"/>
        <v>239200.00000000003</v>
      </c>
      <c r="H33" s="323"/>
      <c r="I33" s="17"/>
      <c r="J33" s="17"/>
      <c r="K33" s="17">
        <f t="shared" si="1"/>
        <v>239200.00000000003</v>
      </c>
      <c r="L33" s="17">
        <f t="shared" si="1"/>
        <v>239200.00000000003</v>
      </c>
      <c r="M33" s="40">
        <f t="shared" si="4"/>
        <v>1769630.6855000001</v>
      </c>
      <c r="N33" s="17"/>
    </row>
    <row r="34" spans="1:14">
      <c r="A34" s="26">
        <v>31</v>
      </c>
      <c r="B34" s="27"/>
      <c r="C34" s="17"/>
      <c r="D34" s="17"/>
      <c r="E34" s="17"/>
      <c r="F34" s="17"/>
      <c r="G34" s="346">
        <f>E34*F34</f>
        <v>0</v>
      </c>
      <c r="H34" s="323"/>
      <c r="I34" s="17"/>
      <c r="J34" s="17"/>
      <c r="K34" s="17">
        <f t="shared" ref="K5:K37" si="5">G34+J34</f>
        <v>0</v>
      </c>
      <c r="L34" s="17">
        <v>0</v>
      </c>
      <c r="M34" s="40">
        <f t="shared" si="4"/>
        <v>1769630.6855000001</v>
      </c>
      <c r="N34" s="17"/>
    </row>
    <row r="35" spans="1:14">
      <c r="A35" s="26">
        <v>32</v>
      </c>
      <c r="B35" s="27"/>
      <c r="C35" s="17"/>
      <c r="D35" s="17"/>
      <c r="E35" s="17"/>
      <c r="F35" s="17"/>
      <c r="G35" s="346">
        <f>E35*F35</f>
        <v>0</v>
      </c>
      <c r="H35" s="323"/>
      <c r="I35" s="17"/>
      <c r="J35" s="17">
        <f t="shared" ref="J5:J37" si="6">H35*I35</f>
        <v>0</v>
      </c>
      <c r="K35" s="17">
        <f t="shared" si="5"/>
        <v>0</v>
      </c>
      <c r="L35" s="17">
        <v>0</v>
      </c>
      <c r="M35" s="40">
        <f t="shared" si="4"/>
        <v>1769630.6855000001</v>
      </c>
      <c r="N35" s="17"/>
    </row>
    <row r="36" spans="1:14">
      <c r="A36" s="26">
        <v>33</v>
      </c>
      <c r="B36" s="27"/>
      <c r="C36" s="17"/>
      <c r="D36" s="17"/>
      <c r="E36" s="17"/>
      <c r="F36" s="17"/>
      <c r="G36" s="346">
        <f>E36*F36</f>
        <v>0</v>
      </c>
      <c r="H36" s="323"/>
      <c r="I36" s="17"/>
      <c r="J36" s="17">
        <f t="shared" si="6"/>
        <v>0</v>
      </c>
      <c r="K36" s="17">
        <f t="shared" si="5"/>
        <v>0</v>
      </c>
      <c r="L36" s="17">
        <v>0</v>
      </c>
      <c r="M36" s="17"/>
      <c r="N36" s="17"/>
    </row>
    <row r="37" spans="1:14">
      <c r="A37" s="26">
        <v>34</v>
      </c>
      <c r="B37" s="27"/>
      <c r="C37" s="17"/>
      <c r="D37" s="17"/>
      <c r="E37" s="17"/>
      <c r="F37" s="17"/>
      <c r="G37" s="346">
        <f>E37*F37</f>
        <v>0</v>
      </c>
      <c r="H37" s="323"/>
      <c r="I37" s="17"/>
      <c r="J37" s="17">
        <f t="shared" si="6"/>
        <v>0</v>
      </c>
      <c r="K37" s="17">
        <f t="shared" si="5"/>
        <v>0</v>
      </c>
      <c r="L37" s="17"/>
      <c r="M37" s="17"/>
      <c r="N37" s="17"/>
    </row>
    <row r="38" spans="1:14">
      <c r="A38" s="42"/>
      <c r="B38" s="42"/>
      <c r="C38" s="42"/>
      <c r="D38" s="42"/>
      <c r="E38" s="229">
        <f>SUM(E3:E37)</f>
        <v>26600.489999999998</v>
      </c>
      <c r="F38" s="229"/>
      <c r="G38" s="229">
        <f>SUM(G3:G37)</f>
        <v>2545134.8832</v>
      </c>
      <c r="H38" s="229">
        <f>SUM(H3:H37)</f>
        <v>351.49</v>
      </c>
      <c r="I38" s="229"/>
      <c r="J38" s="229">
        <f>SUM(J3:J37)</f>
        <v>37771.115399999995</v>
      </c>
      <c r="K38" s="229">
        <f>SUM(K4:K37)</f>
        <v>2582905.9986</v>
      </c>
      <c r="L38" s="229">
        <f>SUM(L3:L37)</f>
        <v>4989687</v>
      </c>
      <c r="M38" s="229"/>
      <c r="N38" s="229"/>
    </row>
  </sheetData>
  <mergeCells count="2">
    <mergeCell ref="A1:N1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0FDB-C841-4265-A23A-57FCCE1432F4}">
  <sheetPr>
    <tabColor rgb="FF00B050"/>
  </sheetPr>
  <dimension ref="A1:P39"/>
  <sheetViews>
    <sheetView workbookViewId="0">
      <selection activeCell="K3" sqref="K3"/>
    </sheetView>
  </sheetViews>
  <sheetFormatPr defaultRowHeight="15"/>
  <cols>
    <col min="2" max="2" width="12.140625" customWidth="1"/>
    <col min="4" max="4" width="20.28515625" bestFit="1" customWidth="1"/>
    <col min="5" max="5" width="23.42578125" customWidth="1"/>
    <col min="7" max="7" width="14.42578125" customWidth="1"/>
    <col min="11" max="11" width="12.85546875" customWidth="1"/>
    <col min="12" max="12" width="13.7109375" customWidth="1"/>
    <col min="13" max="13" width="16" customWidth="1"/>
    <col min="14" max="14" width="34.5703125" customWidth="1"/>
    <col min="15" max="15" width="12.5703125" bestFit="1" customWidth="1"/>
  </cols>
  <sheetData>
    <row r="1" spans="1:16" ht="15.75">
      <c r="A1" s="485" t="s">
        <v>69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</row>
    <row r="2" spans="1:16" ht="30">
      <c r="A2" s="64" t="s">
        <v>0</v>
      </c>
      <c r="B2" s="83" t="s">
        <v>164</v>
      </c>
      <c r="C2" s="83" t="s">
        <v>165</v>
      </c>
      <c r="D2" s="83" t="s">
        <v>166</v>
      </c>
      <c r="E2" s="83" t="s">
        <v>167</v>
      </c>
      <c r="F2" s="83" t="s">
        <v>168</v>
      </c>
      <c r="G2" s="83" t="s">
        <v>169</v>
      </c>
      <c r="H2" s="83" t="s">
        <v>170</v>
      </c>
      <c r="I2" s="83" t="s">
        <v>168</v>
      </c>
      <c r="J2" s="84" t="s">
        <v>169</v>
      </c>
      <c r="K2" s="124" t="s">
        <v>171</v>
      </c>
      <c r="L2" s="127" t="s">
        <v>172</v>
      </c>
      <c r="M2" s="127" t="s">
        <v>182</v>
      </c>
      <c r="N2" s="125" t="s">
        <v>174</v>
      </c>
      <c r="O2" s="324"/>
      <c r="P2" s="22"/>
    </row>
    <row r="3" spans="1:16">
      <c r="A3" s="487" t="s">
        <v>175</v>
      </c>
      <c r="B3" s="488"/>
      <c r="C3" s="488"/>
      <c r="D3" s="488"/>
      <c r="E3" s="488"/>
      <c r="F3" s="488"/>
      <c r="G3" s="488"/>
      <c r="H3" s="488"/>
      <c r="I3" s="488"/>
      <c r="J3" s="488"/>
      <c r="K3" s="22">
        <v>8032637.2962299986</v>
      </c>
      <c r="L3" s="228"/>
      <c r="M3">
        <v>8032637.2962299986</v>
      </c>
      <c r="N3" s="94"/>
    </row>
    <row r="4" spans="1:16">
      <c r="A4" s="26">
        <v>1</v>
      </c>
      <c r="B4" s="27">
        <v>46113</v>
      </c>
      <c r="C4" s="17"/>
      <c r="D4" s="260"/>
      <c r="E4" s="267"/>
      <c r="F4" s="322"/>
      <c r="G4" s="17">
        <f>E4*F4</f>
        <v>0</v>
      </c>
      <c r="H4" s="17"/>
      <c r="I4" s="17"/>
      <c r="J4" s="17">
        <f>H4*I4</f>
        <v>0</v>
      </c>
      <c r="K4" s="17">
        <f>G4+J4</f>
        <v>0</v>
      </c>
      <c r="L4" s="17"/>
      <c r="M4" s="40">
        <f>M3+K4-L4</f>
        <v>8032637.2962299986</v>
      </c>
      <c r="N4" s="17"/>
      <c r="O4" s="40">
        <f t="shared" ref="O4" si="0">O3+M4-N4</f>
        <v>8032637.2962299986</v>
      </c>
    </row>
    <row r="5" spans="1:16">
      <c r="A5" s="26">
        <v>2</v>
      </c>
      <c r="B5" s="27">
        <v>46114</v>
      </c>
      <c r="C5" s="17"/>
      <c r="D5" s="260"/>
      <c r="E5" s="267">
        <v>2800</v>
      </c>
      <c r="F5" s="322">
        <v>95.71</v>
      </c>
      <c r="G5" s="17">
        <f t="shared" ref="G5:G34" si="1">E5*F5</f>
        <v>267988</v>
      </c>
      <c r="H5" s="17">
        <v>80</v>
      </c>
      <c r="I5" s="17">
        <v>107.49</v>
      </c>
      <c r="J5" s="17">
        <f t="shared" ref="J5:J33" si="2">H5*I5</f>
        <v>8599.1999999999989</v>
      </c>
      <c r="K5" s="17">
        <f t="shared" ref="K5:K34" si="3">G5+J5</f>
        <v>276587.2</v>
      </c>
      <c r="L5" s="17">
        <v>8032614</v>
      </c>
      <c r="M5" s="40">
        <f t="shared" ref="M5:M16" si="4">M4+K5-L5</f>
        <v>276610.49622999877</v>
      </c>
      <c r="N5" s="17"/>
    </row>
    <row r="6" spans="1:16">
      <c r="A6" s="26">
        <v>3</v>
      </c>
      <c r="B6" s="27">
        <v>46115</v>
      </c>
      <c r="C6" s="17"/>
      <c r="D6" s="260"/>
      <c r="E6" s="267">
        <v>2800</v>
      </c>
      <c r="F6" s="322">
        <v>95.71</v>
      </c>
      <c r="G6" s="17">
        <f t="shared" ref="G6:G34" si="5">E6*F6</f>
        <v>267988</v>
      </c>
      <c r="H6" s="17">
        <v>20</v>
      </c>
      <c r="I6" s="17">
        <v>107.49</v>
      </c>
      <c r="J6" s="17">
        <f t="shared" ref="J6:J34" si="6">H6*I6</f>
        <v>2149.7999999999997</v>
      </c>
      <c r="K6" s="17">
        <f t="shared" ref="K6:L34" si="7">G6+J6</f>
        <v>270137.8</v>
      </c>
      <c r="L6" s="17"/>
      <c r="M6" s="40">
        <f t="shared" si="4"/>
        <v>546748.29622999881</v>
      </c>
      <c r="N6" s="17"/>
    </row>
    <row r="7" spans="1:16">
      <c r="A7" s="26">
        <v>4</v>
      </c>
      <c r="B7" s="27">
        <v>46116</v>
      </c>
      <c r="C7" s="17"/>
      <c r="D7" s="260"/>
      <c r="E7" s="267"/>
      <c r="F7" s="322"/>
      <c r="G7" s="17">
        <f t="shared" si="5"/>
        <v>0</v>
      </c>
      <c r="H7" s="17"/>
      <c r="I7" s="17"/>
      <c r="J7" s="17">
        <f t="shared" si="6"/>
        <v>0</v>
      </c>
      <c r="K7" s="17">
        <f t="shared" si="7"/>
        <v>0</v>
      </c>
      <c r="L7" s="17"/>
      <c r="M7" s="40">
        <f t="shared" si="4"/>
        <v>546748.29622999881</v>
      </c>
      <c r="N7" s="17"/>
    </row>
    <row r="8" spans="1:16">
      <c r="A8" s="26">
        <v>5</v>
      </c>
      <c r="B8" s="27">
        <v>46117</v>
      </c>
      <c r="C8" s="17"/>
      <c r="D8" s="260"/>
      <c r="E8" s="267"/>
      <c r="F8" s="322"/>
      <c r="G8" s="17">
        <f t="shared" si="5"/>
        <v>0</v>
      </c>
      <c r="H8" s="17"/>
      <c r="I8" s="17"/>
      <c r="J8" s="17">
        <f t="shared" si="6"/>
        <v>0</v>
      </c>
      <c r="K8" s="17">
        <f t="shared" si="7"/>
        <v>0</v>
      </c>
      <c r="L8" s="17"/>
      <c r="M8" s="40">
        <f t="shared" si="4"/>
        <v>546748.29622999881</v>
      </c>
      <c r="N8" s="17"/>
      <c r="O8">
        <v>12802499.148000002</v>
      </c>
    </row>
    <row r="9" spans="1:16">
      <c r="A9" s="26">
        <v>6</v>
      </c>
      <c r="B9" s="27">
        <v>46118</v>
      </c>
      <c r="C9" s="17"/>
      <c r="D9" s="260"/>
      <c r="E9" s="267"/>
      <c r="F9" s="322"/>
      <c r="G9" s="17">
        <f t="shared" si="5"/>
        <v>0</v>
      </c>
      <c r="H9" s="17"/>
      <c r="I9" s="17"/>
      <c r="J9" s="17">
        <f t="shared" si="6"/>
        <v>0</v>
      </c>
      <c r="K9" s="17">
        <f t="shared" si="7"/>
        <v>0</v>
      </c>
      <c r="L9" s="17"/>
      <c r="M9" s="40">
        <f t="shared" si="4"/>
        <v>546748.29622999881</v>
      </c>
      <c r="N9" s="230"/>
    </row>
    <row r="10" spans="1:16">
      <c r="A10" s="26">
        <v>7</v>
      </c>
      <c r="B10" s="27">
        <v>46119</v>
      </c>
      <c r="C10" s="17"/>
      <c r="D10" s="260"/>
      <c r="E10" s="267"/>
      <c r="F10" s="322"/>
      <c r="G10" s="17">
        <f t="shared" si="5"/>
        <v>0</v>
      </c>
      <c r="H10" s="17"/>
      <c r="I10" s="17"/>
      <c r="J10" s="17">
        <f t="shared" si="6"/>
        <v>0</v>
      </c>
      <c r="K10" s="17">
        <f t="shared" si="7"/>
        <v>0</v>
      </c>
      <c r="L10" s="17"/>
      <c r="M10" s="40">
        <f t="shared" si="4"/>
        <v>546748.29622999881</v>
      </c>
      <c r="N10" s="17"/>
    </row>
    <row r="11" spans="1:16">
      <c r="A11" s="26">
        <v>8</v>
      </c>
      <c r="B11" s="27">
        <v>46120</v>
      </c>
      <c r="C11" s="17"/>
      <c r="D11" s="260"/>
      <c r="E11" s="267"/>
      <c r="F11" s="322"/>
      <c r="G11" s="17">
        <f t="shared" si="5"/>
        <v>0</v>
      </c>
      <c r="H11" s="17"/>
      <c r="I11" s="17"/>
      <c r="J11" s="17">
        <f t="shared" si="6"/>
        <v>0</v>
      </c>
      <c r="K11" s="17">
        <f t="shared" si="7"/>
        <v>0</v>
      </c>
      <c r="L11" s="17"/>
      <c r="M11" s="40">
        <f t="shared" si="4"/>
        <v>546748.29622999881</v>
      </c>
      <c r="N11" s="17"/>
    </row>
    <row r="12" spans="1:16">
      <c r="A12" s="26">
        <v>9</v>
      </c>
      <c r="B12" s="27">
        <v>46121</v>
      </c>
      <c r="C12" s="17"/>
      <c r="D12" s="260"/>
      <c r="E12" s="267"/>
      <c r="F12" s="322"/>
      <c r="G12" s="17">
        <f t="shared" si="5"/>
        <v>0</v>
      </c>
      <c r="H12" s="17"/>
      <c r="I12" s="17"/>
      <c r="J12" s="17">
        <f t="shared" si="6"/>
        <v>0</v>
      </c>
      <c r="K12" s="17">
        <f t="shared" si="7"/>
        <v>0</v>
      </c>
      <c r="L12" s="17"/>
      <c r="M12" s="40">
        <f t="shared" si="4"/>
        <v>546748.29622999881</v>
      </c>
      <c r="N12" s="17"/>
    </row>
    <row r="13" spans="1:16">
      <c r="A13" s="26">
        <v>10</v>
      </c>
      <c r="B13" s="27">
        <v>46122</v>
      </c>
      <c r="C13" s="17"/>
      <c r="D13" s="260"/>
      <c r="E13" s="267"/>
      <c r="F13" s="322"/>
      <c r="G13" s="17">
        <f t="shared" si="5"/>
        <v>0</v>
      </c>
      <c r="H13" s="17"/>
      <c r="I13" s="17"/>
      <c r="J13" s="17">
        <f t="shared" si="6"/>
        <v>0</v>
      </c>
      <c r="K13" s="17">
        <f t="shared" si="7"/>
        <v>0</v>
      </c>
      <c r="L13" s="17"/>
      <c r="M13" s="40">
        <f t="shared" si="4"/>
        <v>546748.29622999881</v>
      </c>
      <c r="N13" s="17"/>
    </row>
    <row r="14" spans="1:16">
      <c r="A14" s="26">
        <v>11</v>
      </c>
      <c r="B14" s="27">
        <v>46123</v>
      </c>
      <c r="C14" s="17"/>
      <c r="D14" s="260"/>
      <c r="E14" s="267">
        <v>4550</v>
      </c>
      <c r="F14" s="322">
        <v>95.71</v>
      </c>
      <c r="G14" s="17">
        <f t="shared" si="5"/>
        <v>435480.5</v>
      </c>
      <c r="H14" s="17">
        <v>40</v>
      </c>
      <c r="I14" s="17">
        <v>107.49</v>
      </c>
      <c r="J14" s="17">
        <f t="shared" si="6"/>
        <v>4299.5999999999995</v>
      </c>
      <c r="K14" s="17">
        <f t="shared" si="7"/>
        <v>439780.1</v>
      </c>
      <c r="L14" s="17"/>
      <c r="M14" s="40">
        <f t="shared" si="4"/>
        <v>986528.39622999879</v>
      </c>
      <c r="N14" s="17"/>
    </row>
    <row r="15" spans="1:16">
      <c r="A15" s="26">
        <v>12</v>
      </c>
      <c r="B15" s="27">
        <v>46124</v>
      </c>
      <c r="C15" s="17"/>
      <c r="D15" s="260"/>
      <c r="E15" s="267"/>
      <c r="F15" s="322"/>
      <c r="G15" s="17">
        <f t="shared" si="5"/>
        <v>0</v>
      </c>
      <c r="H15" s="17"/>
      <c r="I15" s="17"/>
      <c r="J15" s="17">
        <f t="shared" si="6"/>
        <v>0</v>
      </c>
      <c r="K15" s="17">
        <f t="shared" si="7"/>
        <v>0</v>
      </c>
      <c r="L15" s="17"/>
      <c r="M15" s="40">
        <f t="shared" si="4"/>
        <v>986528.39622999879</v>
      </c>
      <c r="N15" s="17"/>
    </row>
    <row r="16" spans="1:16">
      <c r="A16" s="26">
        <v>13</v>
      </c>
      <c r="B16" s="27">
        <v>46125</v>
      </c>
      <c r="C16" s="17"/>
      <c r="D16" s="260"/>
      <c r="E16" s="267"/>
      <c r="F16" s="322"/>
      <c r="G16" s="17">
        <f t="shared" si="5"/>
        <v>0</v>
      </c>
      <c r="H16" s="17"/>
      <c r="I16" s="17"/>
      <c r="J16" s="17">
        <f t="shared" si="6"/>
        <v>0</v>
      </c>
      <c r="K16" s="17">
        <f t="shared" si="7"/>
        <v>0</v>
      </c>
      <c r="L16" s="17"/>
      <c r="M16" s="40">
        <f t="shared" si="4"/>
        <v>986528.39622999879</v>
      </c>
      <c r="N16" s="17"/>
    </row>
    <row r="17" spans="1:14">
      <c r="A17" s="26">
        <v>14</v>
      </c>
      <c r="B17" s="27">
        <v>46126</v>
      </c>
      <c r="C17" s="17"/>
      <c r="D17" s="260"/>
      <c r="E17" s="267">
        <v>2500</v>
      </c>
      <c r="F17" s="322">
        <v>95.71</v>
      </c>
      <c r="G17" s="17">
        <f t="shared" si="5"/>
        <v>239274.99999999997</v>
      </c>
      <c r="H17" s="17">
        <v>20</v>
      </c>
      <c r="I17" s="17">
        <v>107.49</v>
      </c>
      <c r="J17" s="17">
        <f t="shared" si="6"/>
        <v>2149.7999999999997</v>
      </c>
      <c r="K17" s="17">
        <f t="shared" si="7"/>
        <v>241424.79999999996</v>
      </c>
      <c r="L17" s="17"/>
      <c r="M17" s="40">
        <f t="shared" ref="M17:M34" si="8">M16+K17-L17</f>
        <v>1227953.1962299987</v>
      </c>
      <c r="N17" s="17"/>
    </row>
    <row r="18" spans="1:14">
      <c r="A18" s="26">
        <v>15</v>
      </c>
      <c r="B18" s="27">
        <v>46127</v>
      </c>
      <c r="C18" s="17"/>
      <c r="D18" s="260"/>
      <c r="E18" s="267">
        <v>5500</v>
      </c>
      <c r="F18" s="322">
        <v>95.71</v>
      </c>
      <c r="G18" s="17">
        <f t="shared" si="5"/>
        <v>526405</v>
      </c>
      <c r="H18" s="17">
        <v>40</v>
      </c>
      <c r="I18" s="17">
        <v>107.49</v>
      </c>
      <c r="J18" s="17">
        <f t="shared" si="6"/>
        <v>4299.5999999999995</v>
      </c>
      <c r="K18" s="17">
        <f t="shared" si="7"/>
        <v>530704.6</v>
      </c>
      <c r="L18" s="17"/>
      <c r="M18" s="40">
        <f t="shared" si="8"/>
        <v>1758657.7962299986</v>
      </c>
      <c r="N18" s="17"/>
    </row>
    <row r="19" spans="1:14">
      <c r="A19" s="26">
        <v>16</v>
      </c>
      <c r="B19" s="27">
        <v>46128</v>
      </c>
      <c r="C19" s="17"/>
      <c r="D19" s="260"/>
      <c r="E19" s="267">
        <v>1800</v>
      </c>
      <c r="F19" s="322">
        <v>95.71</v>
      </c>
      <c r="G19" s="17">
        <f t="shared" si="5"/>
        <v>172278</v>
      </c>
      <c r="H19" s="17">
        <v>40</v>
      </c>
      <c r="I19" s="17">
        <v>107.49</v>
      </c>
      <c r="J19" s="17">
        <f t="shared" si="6"/>
        <v>4299.5999999999995</v>
      </c>
      <c r="K19" s="17">
        <f t="shared" si="7"/>
        <v>176577.6</v>
      </c>
      <c r="L19" s="17"/>
      <c r="M19" s="40">
        <f t="shared" si="8"/>
        <v>1935235.3962299987</v>
      </c>
      <c r="N19" s="17"/>
    </row>
    <row r="20" spans="1:14">
      <c r="A20" s="26">
        <v>17</v>
      </c>
      <c r="B20" s="27">
        <v>46129</v>
      </c>
      <c r="C20" s="17"/>
      <c r="D20" s="260"/>
      <c r="E20" s="267">
        <v>5600</v>
      </c>
      <c r="F20" s="322">
        <v>95.71</v>
      </c>
      <c r="G20" s="17">
        <f t="shared" si="5"/>
        <v>535976</v>
      </c>
      <c r="H20" s="17">
        <v>40</v>
      </c>
      <c r="I20" s="17">
        <v>107.49</v>
      </c>
      <c r="J20" s="17">
        <f t="shared" si="6"/>
        <v>4299.5999999999995</v>
      </c>
      <c r="K20" s="17">
        <f t="shared" si="7"/>
        <v>540275.6</v>
      </c>
      <c r="L20" s="17"/>
      <c r="M20" s="40">
        <f t="shared" si="8"/>
        <v>2475510.9962299988</v>
      </c>
      <c r="N20" s="17"/>
    </row>
    <row r="21" spans="1:14">
      <c r="A21" s="26">
        <v>18</v>
      </c>
      <c r="B21" s="27">
        <v>46130</v>
      </c>
      <c r="C21" s="17"/>
      <c r="D21" s="260"/>
      <c r="E21" s="267">
        <v>2800</v>
      </c>
      <c r="F21" s="322">
        <v>95.71</v>
      </c>
      <c r="G21" s="17">
        <f t="shared" si="5"/>
        <v>267988</v>
      </c>
      <c r="H21" s="17"/>
      <c r="I21" s="17">
        <v>107.49</v>
      </c>
      <c r="J21" s="17">
        <f t="shared" si="6"/>
        <v>0</v>
      </c>
      <c r="K21" s="17">
        <f t="shared" si="7"/>
        <v>267988</v>
      </c>
      <c r="L21" s="17"/>
      <c r="M21" s="40">
        <f t="shared" si="8"/>
        <v>2743498.9962299988</v>
      </c>
      <c r="N21" s="17"/>
    </row>
    <row r="22" spans="1:14">
      <c r="A22" s="26">
        <v>19</v>
      </c>
      <c r="B22" s="27">
        <v>46131</v>
      </c>
      <c r="C22" s="17"/>
      <c r="D22" s="260"/>
      <c r="E22" s="267">
        <v>3900</v>
      </c>
      <c r="F22" s="322">
        <v>95.71</v>
      </c>
      <c r="G22" s="17">
        <f t="shared" si="5"/>
        <v>373269</v>
      </c>
      <c r="H22" s="17">
        <v>60</v>
      </c>
      <c r="I22" s="17">
        <v>107.49</v>
      </c>
      <c r="J22" s="17">
        <f t="shared" si="6"/>
        <v>6449.4</v>
      </c>
      <c r="K22" s="17">
        <f t="shared" si="7"/>
        <v>379718.40000000002</v>
      </c>
      <c r="L22" s="17"/>
      <c r="M22" s="40">
        <f t="shared" si="8"/>
        <v>3123217.3962299987</v>
      </c>
      <c r="N22" s="17"/>
    </row>
    <row r="23" spans="1:14">
      <c r="A23" s="26">
        <v>20</v>
      </c>
      <c r="B23" s="27">
        <v>46132</v>
      </c>
      <c r="C23" s="17"/>
      <c r="D23" s="260"/>
      <c r="E23" s="267">
        <v>4000</v>
      </c>
      <c r="F23" s="322">
        <v>95.71</v>
      </c>
      <c r="G23" s="17">
        <f t="shared" si="5"/>
        <v>382840</v>
      </c>
      <c r="H23" s="17">
        <v>20</v>
      </c>
      <c r="I23" s="17">
        <v>107.49</v>
      </c>
      <c r="J23" s="17">
        <f t="shared" si="6"/>
        <v>2149.7999999999997</v>
      </c>
      <c r="K23" s="17">
        <f t="shared" si="7"/>
        <v>384989.8</v>
      </c>
      <c r="L23" s="17"/>
      <c r="M23" s="40">
        <f t="shared" si="8"/>
        <v>3508207.1962299985</v>
      </c>
      <c r="N23" s="17"/>
    </row>
    <row r="24" spans="1:14">
      <c r="A24" s="26">
        <v>21</v>
      </c>
      <c r="B24" s="27">
        <v>46133</v>
      </c>
      <c r="C24" s="17"/>
      <c r="D24" s="260"/>
      <c r="E24" s="267"/>
      <c r="F24" s="322"/>
      <c r="G24" s="17">
        <f t="shared" si="5"/>
        <v>0</v>
      </c>
      <c r="H24" s="17">
        <v>95</v>
      </c>
      <c r="I24" s="17">
        <v>107.49</v>
      </c>
      <c r="J24" s="17">
        <f t="shared" si="6"/>
        <v>10211.549999999999</v>
      </c>
      <c r="K24" s="17">
        <f t="shared" si="7"/>
        <v>10211.549999999999</v>
      </c>
      <c r="L24" s="17"/>
      <c r="M24" s="40">
        <f t="shared" si="8"/>
        <v>3518418.7462299983</v>
      </c>
      <c r="N24" s="17"/>
    </row>
    <row r="25" spans="1:14">
      <c r="A25" s="26">
        <v>22</v>
      </c>
      <c r="B25" s="27">
        <v>46134</v>
      </c>
      <c r="C25" s="17"/>
      <c r="D25" s="260"/>
      <c r="E25" s="267"/>
      <c r="F25" s="322"/>
      <c r="G25" s="17">
        <f t="shared" si="5"/>
        <v>0</v>
      </c>
      <c r="H25" s="17"/>
      <c r="I25" s="17"/>
      <c r="J25" s="17">
        <f t="shared" si="6"/>
        <v>0</v>
      </c>
      <c r="K25" s="17">
        <f t="shared" si="7"/>
        <v>0</v>
      </c>
      <c r="L25" s="17"/>
      <c r="M25" s="40">
        <f t="shared" si="8"/>
        <v>3518418.7462299983</v>
      </c>
      <c r="N25" s="17"/>
    </row>
    <row r="26" spans="1:14">
      <c r="A26" s="26">
        <v>23</v>
      </c>
      <c r="B26" s="27">
        <v>46135</v>
      </c>
      <c r="C26" s="17"/>
      <c r="D26" s="260"/>
      <c r="E26" s="267"/>
      <c r="F26" s="322"/>
      <c r="G26" s="17">
        <f t="shared" si="5"/>
        <v>0</v>
      </c>
      <c r="H26" s="17"/>
      <c r="I26" s="17"/>
      <c r="J26" s="17">
        <f t="shared" si="6"/>
        <v>0</v>
      </c>
      <c r="K26" s="17">
        <f t="shared" si="7"/>
        <v>0</v>
      </c>
      <c r="L26" s="17"/>
      <c r="M26" s="40">
        <f t="shared" si="8"/>
        <v>3518418.7462299983</v>
      </c>
      <c r="N26" s="17"/>
    </row>
    <row r="27" spans="1:14">
      <c r="A27" s="26">
        <v>24</v>
      </c>
      <c r="B27" s="27">
        <v>46136</v>
      </c>
      <c r="C27" s="17"/>
      <c r="D27" s="260"/>
      <c r="E27" s="267">
        <v>525</v>
      </c>
      <c r="F27" s="322">
        <v>95.71</v>
      </c>
      <c r="G27" s="17">
        <f t="shared" si="5"/>
        <v>50247.75</v>
      </c>
      <c r="H27" s="17"/>
      <c r="I27" s="17"/>
      <c r="J27" s="17">
        <f t="shared" si="6"/>
        <v>0</v>
      </c>
      <c r="K27" s="17">
        <f t="shared" si="7"/>
        <v>50247.75</v>
      </c>
      <c r="L27" s="17">
        <f t="shared" si="7"/>
        <v>50247.75</v>
      </c>
      <c r="M27" s="40">
        <f t="shared" si="8"/>
        <v>3518418.7462299983</v>
      </c>
      <c r="N27" s="17"/>
    </row>
    <row r="28" spans="1:14">
      <c r="A28" s="26">
        <v>25</v>
      </c>
      <c r="B28" s="27">
        <v>46137</v>
      </c>
      <c r="C28" s="17"/>
      <c r="D28" s="260"/>
      <c r="E28" s="267">
        <v>731.37</v>
      </c>
      <c r="F28" s="322">
        <v>95.71</v>
      </c>
      <c r="G28" s="40">
        <f t="shared" si="5"/>
        <v>69999.422699999996</v>
      </c>
      <c r="H28" s="17">
        <v>106</v>
      </c>
      <c r="I28" s="17">
        <v>107.49</v>
      </c>
      <c r="J28" s="17">
        <f t="shared" si="6"/>
        <v>11393.939999999999</v>
      </c>
      <c r="K28" s="346">
        <f t="shared" si="7"/>
        <v>81393.362699999998</v>
      </c>
      <c r="L28" s="17">
        <v>70000</v>
      </c>
      <c r="M28" s="40">
        <f t="shared" si="8"/>
        <v>3529812.1089299982</v>
      </c>
      <c r="N28" s="17"/>
    </row>
    <row r="29" spans="1:14">
      <c r="A29" s="26">
        <v>26</v>
      </c>
      <c r="B29" s="27">
        <v>46138</v>
      </c>
      <c r="C29" s="17"/>
      <c r="D29" s="260"/>
      <c r="E29" s="267"/>
      <c r="F29" s="322"/>
      <c r="G29" s="17">
        <f t="shared" si="5"/>
        <v>0</v>
      </c>
      <c r="H29" s="17"/>
      <c r="I29" s="17"/>
      <c r="J29" s="17">
        <f t="shared" si="6"/>
        <v>0</v>
      </c>
      <c r="K29" s="346">
        <f t="shared" si="7"/>
        <v>0</v>
      </c>
      <c r="L29" s="17"/>
      <c r="M29" s="40">
        <f t="shared" si="8"/>
        <v>3529812.1089299982</v>
      </c>
      <c r="N29" s="17"/>
    </row>
    <row r="30" spans="1:14">
      <c r="A30" s="26">
        <v>27</v>
      </c>
      <c r="B30" s="27">
        <v>46139</v>
      </c>
      <c r="C30" s="17"/>
      <c r="D30" s="260"/>
      <c r="E30" s="267">
        <v>309.38</v>
      </c>
      <c r="F30" s="322">
        <v>95.71</v>
      </c>
      <c r="G30" s="17">
        <f t="shared" si="5"/>
        <v>29610.759799999996</v>
      </c>
      <c r="H30" s="17"/>
      <c r="I30" s="17"/>
      <c r="J30" s="17">
        <f t="shared" si="6"/>
        <v>0</v>
      </c>
      <c r="K30" s="346">
        <f t="shared" si="7"/>
        <v>29610.759799999996</v>
      </c>
      <c r="L30" s="346"/>
      <c r="M30" s="40">
        <f t="shared" si="8"/>
        <v>3559422.8687299984</v>
      </c>
      <c r="N30" s="17"/>
    </row>
    <row r="31" spans="1:14">
      <c r="A31" s="26">
        <v>28</v>
      </c>
      <c r="B31" s="27">
        <v>46140</v>
      </c>
      <c r="C31" s="17"/>
      <c r="D31" s="260"/>
      <c r="E31" s="267">
        <v>200</v>
      </c>
      <c r="F31" s="322">
        <v>95.71</v>
      </c>
      <c r="G31" s="17">
        <f t="shared" si="5"/>
        <v>19142</v>
      </c>
      <c r="H31" s="17"/>
      <c r="I31" s="17"/>
      <c r="J31" s="17">
        <f t="shared" si="6"/>
        <v>0</v>
      </c>
      <c r="K31" s="17">
        <f t="shared" si="7"/>
        <v>19142</v>
      </c>
      <c r="L31" s="17"/>
      <c r="M31" s="40">
        <f t="shared" si="8"/>
        <v>3578564.8687299984</v>
      </c>
      <c r="N31" s="17"/>
    </row>
    <row r="32" spans="1:14">
      <c r="A32" s="26">
        <v>29</v>
      </c>
      <c r="B32" s="27">
        <v>46141</v>
      </c>
      <c r="C32" s="17"/>
      <c r="D32" s="260"/>
      <c r="E32" s="267">
        <v>1536.81</v>
      </c>
      <c r="F32" s="322">
        <v>95.71</v>
      </c>
      <c r="G32" s="40">
        <f t="shared" si="5"/>
        <v>147088.0851</v>
      </c>
      <c r="H32" s="17"/>
      <c r="I32" s="17"/>
      <c r="J32" s="17">
        <f t="shared" si="6"/>
        <v>0</v>
      </c>
      <c r="K32" s="40">
        <f t="shared" si="7"/>
        <v>147088.0851</v>
      </c>
      <c r="L32" s="17"/>
      <c r="M32" s="40">
        <f t="shared" si="8"/>
        <v>3725652.9538299982</v>
      </c>
      <c r="N32" s="17"/>
    </row>
    <row r="33" spans="1:14">
      <c r="A33" s="26">
        <v>30</v>
      </c>
      <c r="B33" s="27">
        <v>46142</v>
      </c>
      <c r="C33" s="17"/>
      <c r="D33" s="260"/>
      <c r="E33" s="267"/>
      <c r="F33" s="322"/>
      <c r="G33" s="17">
        <f t="shared" si="5"/>
        <v>0</v>
      </c>
      <c r="H33" s="17"/>
      <c r="I33" s="17"/>
      <c r="J33" s="17">
        <f t="shared" si="6"/>
        <v>0</v>
      </c>
      <c r="K33" s="17">
        <f t="shared" si="7"/>
        <v>0</v>
      </c>
      <c r="L33" s="17"/>
      <c r="M33" s="40">
        <f t="shared" si="8"/>
        <v>3725652.9538299982</v>
      </c>
      <c r="N33" s="17"/>
    </row>
    <row r="34" spans="1:14">
      <c r="A34" s="26">
        <v>31</v>
      </c>
      <c r="B34" s="27"/>
      <c r="C34" s="17"/>
      <c r="D34" s="260"/>
      <c r="E34" s="267"/>
      <c r="F34" s="322"/>
      <c r="G34" s="17">
        <f t="shared" si="5"/>
        <v>0</v>
      </c>
      <c r="H34" s="17"/>
      <c r="I34" s="17"/>
      <c r="J34" s="17">
        <f t="shared" si="6"/>
        <v>0</v>
      </c>
      <c r="K34" s="17">
        <f t="shared" si="7"/>
        <v>0</v>
      </c>
      <c r="L34" s="17"/>
      <c r="M34" s="40">
        <f t="shared" si="8"/>
        <v>3725652.9538299982</v>
      </c>
      <c r="N34" s="17"/>
    </row>
    <row r="35" spans="1:14">
      <c r="A35" s="42"/>
      <c r="B35" s="42"/>
      <c r="C35" s="42"/>
      <c r="D35" s="42"/>
      <c r="E35" s="43">
        <f>SUM(E4:E34)</f>
        <v>39552.559999999998</v>
      </c>
      <c r="F35" s="43"/>
      <c r="G35" s="43">
        <f>SUM(G4:G34)</f>
        <v>3785575.5175999999</v>
      </c>
      <c r="H35" s="43">
        <f>SUM(H4:H34)</f>
        <v>561</v>
      </c>
      <c r="I35" s="43"/>
      <c r="J35" s="43">
        <f>SUM(J4:J34)</f>
        <v>60301.89</v>
      </c>
      <c r="K35" s="43">
        <f>SUM(K4:K34)</f>
        <v>3845877.4075999996</v>
      </c>
      <c r="L35" s="43">
        <f>SUM(L4:L34)</f>
        <v>8152861.75</v>
      </c>
      <c r="M35" s="43"/>
      <c r="N35" s="43"/>
    </row>
    <row r="39" spans="1:14">
      <c r="M39" s="22"/>
    </row>
  </sheetData>
  <mergeCells count="2">
    <mergeCell ref="A1:N1"/>
    <mergeCell ref="A3:J3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2600-625A-4673-A405-708447C74D8E}">
  <sheetPr>
    <tabColor rgb="FF00B050"/>
  </sheetPr>
  <dimension ref="A1:P39"/>
  <sheetViews>
    <sheetView workbookViewId="0">
      <selection activeCell="P8" sqref="P8:P11"/>
    </sheetView>
  </sheetViews>
  <sheetFormatPr defaultRowHeight="15"/>
  <cols>
    <col min="2" max="2" width="14.140625" customWidth="1"/>
    <col min="5" max="5" width="10.42578125" bestFit="1" customWidth="1"/>
    <col min="6" max="6" width="7.28515625" bestFit="1" customWidth="1"/>
    <col min="7" max="7" width="12.85546875" bestFit="1" customWidth="1"/>
    <col min="11" max="12" width="13.5703125" bestFit="1" customWidth="1"/>
    <col min="13" max="13" width="12.5703125" bestFit="1" customWidth="1"/>
    <col min="14" max="14" width="8.7109375" bestFit="1" customWidth="1"/>
    <col min="15" max="15" width="11.42578125" bestFit="1" customWidth="1"/>
    <col min="16" max="16" width="16.140625" customWidth="1"/>
  </cols>
  <sheetData>
    <row r="1" spans="1:16" ht="15.75">
      <c r="A1" s="485" t="s">
        <v>183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</row>
    <row r="2" spans="1:16" ht="30.75">
      <c r="A2" s="64" t="s">
        <v>0</v>
      </c>
      <c r="B2" s="83" t="s">
        <v>164</v>
      </c>
      <c r="C2" s="83" t="s">
        <v>165</v>
      </c>
      <c r="D2" s="83" t="s">
        <v>166</v>
      </c>
      <c r="E2" s="83" t="s">
        <v>167</v>
      </c>
      <c r="F2" s="83" t="s">
        <v>168</v>
      </c>
      <c r="G2" s="83" t="s">
        <v>169</v>
      </c>
      <c r="H2" s="83" t="s">
        <v>170</v>
      </c>
      <c r="I2" s="83" t="s">
        <v>168</v>
      </c>
      <c r="J2" s="84" t="s">
        <v>169</v>
      </c>
      <c r="K2" s="124" t="s">
        <v>171</v>
      </c>
      <c r="L2" s="127" t="s">
        <v>172</v>
      </c>
      <c r="M2" s="127" t="s">
        <v>182</v>
      </c>
      <c r="N2" s="125" t="s">
        <v>174</v>
      </c>
      <c r="O2" s="324"/>
      <c r="P2" s="22"/>
    </row>
    <row r="3" spans="1:16">
      <c r="A3" s="487" t="s">
        <v>175</v>
      </c>
      <c r="B3" s="488"/>
      <c r="C3" s="488"/>
      <c r="D3" s="488"/>
      <c r="E3" s="488"/>
      <c r="F3" s="488"/>
      <c r="G3" s="488"/>
      <c r="H3" s="488"/>
      <c r="I3" s="488"/>
      <c r="J3" s="488"/>
      <c r="K3" s="22">
        <v>8227903.2709999997</v>
      </c>
      <c r="L3" s="228"/>
      <c r="M3">
        <v>8227903.2709999997</v>
      </c>
      <c r="N3" s="94"/>
    </row>
    <row r="4" spans="1:16">
      <c r="A4" s="26">
        <v>1</v>
      </c>
      <c r="B4" s="27">
        <v>46113</v>
      </c>
      <c r="C4" s="17"/>
      <c r="D4" s="260"/>
      <c r="E4" s="267">
        <v>6000</v>
      </c>
      <c r="F4" s="322">
        <v>95.2</v>
      </c>
      <c r="G4" s="17">
        <f>E4*F4</f>
        <v>571200</v>
      </c>
      <c r="H4" s="17"/>
      <c r="I4" s="17"/>
      <c r="J4" s="17">
        <f>H4*I4</f>
        <v>0</v>
      </c>
      <c r="K4" s="17">
        <f>G4+J4</f>
        <v>571200</v>
      </c>
      <c r="L4" s="17"/>
      <c r="M4" s="40">
        <f>M3+K4-L4</f>
        <v>8799103.2709999997</v>
      </c>
      <c r="N4" s="17"/>
      <c r="O4" s="40"/>
    </row>
    <row r="5" spans="1:16">
      <c r="A5" s="26">
        <v>2</v>
      </c>
      <c r="B5" s="27">
        <v>46114</v>
      </c>
      <c r="C5" s="17"/>
      <c r="D5" s="260"/>
      <c r="E5" s="267"/>
      <c r="F5" s="322"/>
      <c r="G5" s="17">
        <f t="shared" ref="G5:G34" si="0">E5*F5</f>
        <v>0</v>
      </c>
      <c r="H5" s="17"/>
      <c r="I5" s="17"/>
      <c r="J5" s="17">
        <f t="shared" ref="J5:J34" si="1">H5*I5</f>
        <v>0</v>
      </c>
      <c r="K5" s="17">
        <f t="shared" ref="K5:K34" si="2">G5+J5</f>
        <v>0</v>
      </c>
      <c r="L5" s="17"/>
      <c r="M5" s="40">
        <f>M4+K5-L5</f>
        <v>8799103.2709999997</v>
      </c>
      <c r="N5" s="17"/>
    </row>
    <row r="6" spans="1:16">
      <c r="A6" s="26">
        <v>3</v>
      </c>
      <c r="B6" s="27">
        <v>46115</v>
      </c>
      <c r="C6" s="17"/>
      <c r="D6" s="260"/>
      <c r="E6" s="267"/>
      <c r="F6" s="322"/>
      <c r="G6" s="17">
        <f t="shared" si="0"/>
        <v>0</v>
      </c>
      <c r="H6" s="17"/>
      <c r="I6" s="17"/>
      <c r="J6" s="17">
        <f t="shared" si="1"/>
        <v>0</v>
      </c>
      <c r="K6" s="17">
        <f t="shared" si="2"/>
        <v>0</v>
      </c>
      <c r="L6" s="17">
        <v>8227903</v>
      </c>
      <c r="M6" s="40">
        <f t="shared" ref="M6:M34" si="3">M5+K6-L6</f>
        <v>571200.27099999972</v>
      </c>
      <c r="N6" s="17"/>
    </row>
    <row r="7" spans="1:16">
      <c r="A7" s="26">
        <v>4</v>
      </c>
      <c r="B7" s="27">
        <v>46116</v>
      </c>
      <c r="C7" s="17"/>
      <c r="D7" s="260"/>
      <c r="E7" s="267">
        <v>6000</v>
      </c>
      <c r="F7" s="322">
        <v>95.2</v>
      </c>
      <c r="G7" s="17">
        <f t="shared" si="0"/>
        <v>571200</v>
      </c>
      <c r="H7" s="17"/>
      <c r="I7" s="17"/>
      <c r="J7" s="17">
        <f t="shared" si="1"/>
        <v>0</v>
      </c>
      <c r="K7" s="17">
        <f t="shared" si="2"/>
        <v>571200</v>
      </c>
      <c r="L7" s="17"/>
      <c r="M7" s="40">
        <f>M6+K7-L7</f>
        <v>1142400.2709999997</v>
      </c>
      <c r="N7" s="17"/>
    </row>
    <row r="8" spans="1:16">
      <c r="A8" s="26">
        <v>5</v>
      </c>
      <c r="B8" s="27">
        <v>46117</v>
      </c>
      <c r="C8" s="17"/>
      <c r="D8" s="260"/>
      <c r="E8" s="267"/>
      <c r="F8" s="322"/>
      <c r="G8" s="17">
        <f t="shared" si="0"/>
        <v>0</v>
      </c>
      <c r="H8" s="17"/>
      <c r="I8" s="17"/>
      <c r="J8" s="17">
        <f t="shared" si="1"/>
        <v>0</v>
      </c>
      <c r="K8" s="17">
        <f t="shared" si="2"/>
        <v>0</v>
      </c>
      <c r="L8" s="17"/>
      <c r="M8" s="40">
        <f t="shared" si="3"/>
        <v>1142400.2709999997</v>
      </c>
      <c r="N8" s="17"/>
      <c r="P8">
        <v>8227903</v>
      </c>
    </row>
    <row r="9" spans="1:16">
      <c r="A9" s="26">
        <v>6</v>
      </c>
      <c r="B9" s="27">
        <v>46118</v>
      </c>
      <c r="C9" s="17"/>
      <c r="D9" s="260"/>
      <c r="E9" s="267">
        <v>6000</v>
      </c>
      <c r="F9" s="322">
        <v>95.2</v>
      </c>
      <c r="G9" s="17">
        <f t="shared" si="0"/>
        <v>571200</v>
      </c>
      <c r="H9" s="17"/>
      <c r="I9" s="17"/>
      <c r="J9" s="17">
        <f t="shared" si="1"/>
        <v>0</v>
      </c>
      <c r="K9" s="17">
        <f t="shared" si="2"/>
        <v>571200</v>
      </c>
      <c r="L9" s="17"/>
      <c r="M9" s="40">
        <f t="shared" si="3"/>
        <v>1713600.2709999997</v>
      </c>
      <c r="N9" s="230"/>
      <c r="P9">
        <v>188521.2205</v>
      </c>
    </row>
    <row r="10" spans="1:16">
      <c r="A10" s="26">
        <v>7</v>
      </c>
      <c r="B10" s="27">
        <v>46119</v>
      </c>
      <c r="C10" s="17"/>
      <c r="D10" s="260"/>
      <c r="E10" s="267">
        <v>6000</v>
      </c>
      <c r="F10" s="322">
        <v>95.2</v>
      </c>
      <c r="G10" s="17">
        <f t="shared" si="0"/>
        <v>571200</v>
      </c>
      <c r="H10" s="17"/>
      <c r="I10" s="17"/>
      <c r="J10" s="17">
        <f t="shared" si="1"/>
        <v>0</v>
      </c>
      <c r="K10" s="17">
        <f t="shared" si="2"/>
        <v>571200</v>
      </c>
      <c r="L10" s="17"/>
      <c r="M10" s="40">
        <f t="shared" si="3"/>
        <v>2284800.2709999997</v>
      </c>
      <c r="N10" s="17"/>
      <c r="P10">
        <v>2453209.39</v>
      </c>
    </row>
    <row r="11" spans="1:16">
      <c r="A11" s="26">
        <v>8</v>
      </c>
      <c r="B11" s="27">
        <v>46120</v>
      </c>
      <c r="C11" s="17"/>
      <c r="D11" s="260"/>
      <c r="E11" s="267">
        <v>6000</v>
      </c>
      <c r="F11" s="322">
        <v>95.2</v>
      </c>
      <c r="G11" s="17">
        <f t="shared" si="0"/>
        <v>571200</v>
      </c>
      <c r="H11" s="17"/>
      <c r="I11" s="17"/>
      <c r="J11" s="17">
        <f t="shared" si="1"/>
        <v>0</v>
      </c>
      <c r="K11" s="17">
        <f t="shared" si="2"/>
        <v>571200</v>
      </c>
      <c r="L11" s="17"/>
      <c r="M11" s="40">
        <f t="shared" si="3"/>
        <v>2856000.2709999997</v>
      </c>
      <c r="N11" s="17"/>
      <c r="P11">
        <f>SUM(P8:P10)</f>
        <v>10869633.6105</v>
      </c>
    </row>
    <row r="12" spans="1:16">
      <c r="A12" s="26">
        <v>9</v>
      </c>
      <c r="B12" s="27">
        <v>46121</v>
      </c>
      <c r="C12" s="17"/>
      <c r="D12" s="260"/>
      <c r="E12" s="267">
        <v>6000</v>
      </c>
      <c r="F12" s="322">
        <v>95.2</v>
      </c>
      <c r="G12" s="17">
        <f t="shared" si="0"/>
        <v>571200</v>
      </c>
      <c r="H12" s="17"/>
      <c r="I12" s="17"/>
      <c r="J12" s="17">
        <f t="shared" si="1"/>
        <v>0</v>
      </c>
      <c r="K12" s="17">
        <f t="shared" si="2"/>
        <v>571200</v>
      </c>
      <c r="L12" s="17"/>
      <c r="M12" s="40">
        <f t="shared" si="3"/>
        <v>3427200.2709999997</v>
      </c>
      <c r="N12" s="17"/>
    </row>
    <row r="13" spans="1:16">
      <c r="A13" s="26">
        <v>10</v>
      </c>
      <c r="B13" s="27">
        <v>46122</v>
      </c>
      <c r="C13" s="17"/>
      <c r="D13" s="260"/>
      <c r="E13" s="267"/>
      <c r="F13" s="322"/>
      <c r="G13" s="17">
        <f t="shared" si="0"/>
        <v>0</v>
      </c>
      <c r="H13" s="17"/>
      <c r="I13" s="17"/>
      <c r="J13" s="17">
        <f t="shared" si="1"/>
        <v>0</v>
      </c>
      <c r="K13" s="17">
        <f t="shared" si="2"/>
        <v>0</v>
      </c>
      <c r="L13" s="17"/>
      <c r="M13" s="40">
        <f t="shared" si="3"/>
        <v>3427200.2709999997</v>
      </c>
      <c r="N13" s="17"/>
    </row>
    <row r="14" spans="1:16">
      <c r="A14" s="26">
        <v>11</v>
      </c>
      <c r="B14" s="27">
        <v>46123</v>
      </c>
      <c r="C14" s="17"/>
      <c r="D14" s="260"/>
      <c r="E14" s="267"/>
      <c r="F14" s="322"/>
      <c r="G14" s="17">
        <f t="shared" si="0"/>
        <v>0</v>
      </c>
      <c r="H14" s="17"/>
      <c r="I14" s="17"/>
      <c r="J14" s="17">
        <f t="shared" si="1"/>
        <v>0</v>
      </c>
      <c r="K14" s="17">
        <f t="shared" si="2"/>
        <v>0</v>
      </c>
      <c r="L14" s="17">
        <v>2000000</v>
      </c>
      <c r="M14" s="40">
        <f t="shared" si="3"/>
        <v>1427200.2709999997</v>
      </c>
      <c r="N14" s="17"/>
    </row>
    <row r="15" spans="1:16">
      <c r="A15" s="26">
        <v>12</v>
      </c>
      <c r="B15" s="27">
        <v>46124</v>
      </c>
      <c r="C15" s="17"/>
      <c r="D15" s="260"/>
      <c r="E15" s="267">
        <v>6000</v>
      </c>
      <c r="F15" s="322">
        <v>95.2</v>
      </c>
      <c r="G15" s="17">
        <f t="shared" si="0"/>
        <v>571200</v>
      </c>
      <c r="H15" s="17"/>
      <c r="I15" s="17"/>
      <c r="J15" s="17">
        <f t="shared" si="1"/>
        <v>0</v>
      </c>
      <c r="K15" s="17">
        <f t="shared" si="2"/>
        <v>571200</v>
      </c>
      <c r="L15" s="17"/>
      <c r="M15" s="40">
        <f t="shared" si="3"/>
        <v>1998400.2709999997</v>
      </c>
      <c r="N15" s="17"/>
    </row>
    <row r="16" spans="1:16">
      <c r="A16" s="26">
        <v>13</v>
      </c>
      <c r="B16" s="27">
        <v>46125</v>
      </c>
      <c r="C16" s="17"/>
      <c r="D16" s="260"/>
      <c r="E16" s="267"/>
      <c r="F16" s="322"/>
      <c r="G16" s="17">
        <f t="shared" si="0"/>
        <v>0</v>
      </c>
      <c r="H16" s="17"/>
      <c r="I16" s="17"/>
      <c r="J16" s="17">
        <f t="shared" si="1"/>
        <v>0</v>
      </c>
      <c r="K16" s="17">
        <f t="shared" si="2"/>
        <v>0</v>
      </c>
      <c r="L16" s="17"/>
      <c r="M16" s="40">
        <f>M15+K16-L16</f>
        <v>1998400.2709999997</v>
      </c>
      <c r="N16" s="17"/>
    </row>
    <row r="17" spans="1:14">
      <c r="A17" s="26">
        <v>14</v>
      </c>
      <c r="B17" s="27">
        <v>46126</v>
      </c>
      <c r="C17" s="17"/>
      <c r="D17" s="260"/>
      <c r="E17" s="267"/>
      <c r="F17" s="322"/>
      <c r="G17" s="17">
        <f t="shared" si="0"/>
        <v>0</v>
      </c>
      <c r="H17" s="17"/>
      <c r="I17" s="17"/>
      <c r="J17" s="17">
        <f t="shared" si="1"/>
        <v>0</v>
      </c>
      <c r="K17" s="17">
        <f t="shared" si="2"/>
        <v>0</v>
      </c>
      <c r="L17" s="17"/>
      <c r="M17" s="40">
        <f t="shared" si="3"/>
        <v>1998400.2709999997</v>
      </c>
      <c r="N17" s="17"/>
    </row>
    <row r="18" spans="1:14">
      <c r="A18" s="26">
        <v>15</v>
      </c>
      <c r="B18" s="27">
        <v>46127</v>
      </c>
      <c r="C18" s="17"/>
      <c r="D18" s="260"/>
      <c r="E18" s="267"/>
      <c r="F18" s="322"/>
      <c r="G18" s="17">
        <f t="shared" si="0"/>
        <v>0</v>
      </c>
      <c r="H18" s="17"/>
      <c r="I18" s="17"/>
      <c r="J18" s="17">
        <f t="shared" si="1"/>
        <v>0</v>
      </c>
      <c r="K18" s="17">
        <f t="shared" si="2"/>
        <v>0</v>
      </c>
      <c r="L18" s="17"/>
      <c r="M18" s="40">
        <f t="shared" si="3"/>
        <v>1998400.2709999997</v>
      </c>
      <c r="N18" s="17"/>
    </row>
    <row r="19" spans="1:14">
      <c r="A19" s="26">
        <v>16</v>
      </c>
      <c r="B19" s="27">
        <v>46128</v>
      </c>
      <c r="C19" s="17"/>
      <c r="D19" s="260"/>
      <c r="E19" s="267">
        <v>6000</v>
      </c>
      <c r="F19" s="322">
        <v>95.7</v>
      </c>
      <c r="G19" s="17">
        <f t="shared" si="0"/>
        <v>574200</v>
      </c>
      <c r="H19" s="17"/>
      <c r="I19" s="17"/>
      <c r="J19" s="17">
        <f t="shared" si="1"/>
        <v>0</v>
      </c>
      <c r="K19" s="17">
        <f t="shared" si="2"/>
        <v>574200</v>
      </c>
      <c r="L19" s="17"/>
      <c r="M19" s="40">
        <f t="shared" si="3"/>
        <v>2572600.2709999997</v>
      </c>
      <c r="N19" s="17"/>
    </row>
    <row r="20" spans="1:14">
      <c r="A20" s="26">
        <v>17</v>
      </c>
      <c r="B20" s="27">
        <v>46129</v>
      </c>
      <c r="C20" s="17"/>
      <c r="D20" s="260"/>
      <c r="E20" s="267"/>
      <c r="F20" s="322"/>
      <c r="G20" s="17">
        <f t="shared" si="0"/>
        <v>0</v>
      </c>
      <c r="H20" s="17"/>
      <c r="I20" s="17"/>
      <c r="J20" s="17">
        <f t="shared" si="1"/>
        <v>0</v>
      </c>
      <c r="K20" s="17">
        <f t="shared" si="2"/>
        <v>0</v>
      </c>
      <c r="L20" s="17"/>
      <c r="M20" s="40">
        <f t="shared" si="3"/>
        <v>2572600.2709999997</v>
      </c>
      <c r="N20" s="17"/>
    </row>
    <row r="21" spans="1:14">
      <c r="A21" s="26">
        <v>18</v>
      </c>
      <c r="B21" s="27">
        <v>46130</v>
      </c>
      <c r="C21" s="17"/>
      <c r="D21" s="260"/>
      <c r="E21" s="267"/>
      <c r="F21" s="322"/>
      <c r="G21" s="17">
        <f t="shared" si="0"/>
        <v>0</v>
      </c>
      <c r="H21" s="17"/>
      <c r="I21" s="17"/>
      <c r="J21" s="17">
        <f t="shared" si="1"/>
        <v>0</v>
      </c>
      <c r="K21" s="17">
        <f t="shared" si="2"/>
        <v>0</v>
      </c>
      <c r="L21" s="17"/>
      <c r="M21" s="40">
        <f t="shared" si="3"/>
        <v>2572600.2709999997</v>
      </c>
      <c r="N21" s="17"/>
    </row>
    <row r="22" spans="1:14">
      <c r="A22" s="26">
        <v>19</v>
      </c>
      <c r="B22" s="27">
        <v>46131</v>
      </c>
      <c r="C22" s="17"/>
      <c r="D22" s="260"/>
      <c r="E22" s="267"/>
      <c r="F22" s="322"/>
      <c r="G22" s="17">
        <f t="shared" si="0"/>
        <v>0</v>
      </c>
      <c r="H22" s="17"/>
      <c r="I22" s="17"/>
      <c r="J22" s="17">
        <f t="shared" si="1"/>
        <v>0</v>
      </c>
      <c r="K22" s="17">
        <f t="shared" si="2"/>
        <v>0</v>
      </c>
      <c r="L22" s="17"/>
      <c r="M22" s="40">
        <f t="shared" si="3"/>
        <v>2572600.2709999997</v>
      </c>
      <c r="N22" s="17"/>
    </row>
    <row r="23" spans="1:14">
      <c r="A23" s="26">
        <v>20</v>
      </c>
      <c r="B23" s="27">
        <v>46132</v>
      </c>
      <c r="C23" s="17"/>
      <c r="D23" s="260"/>
      <c r="E23" s="267"/>
      <c r="F23" s="322"/>
      <c r="G23" s="17">
        <f t="shared" si="0"/>
        <v>0</v>
      </c>
      <c r="H23" s="17"/>
      <c r="I23" s="17"/>
      <c r="J23" s="17">
        <f t="shared" si="1"/>
        <v>0</v>
      </c>
      <c r="K23" s="17">
        <f t="shared" si="2"/>
        <v>0</v>
      </c>
      <c r="L23" s="17"/>
      <c r="M23" s="40">
        <f t="shared" si="3"/>
        <v>2572600.2709999997</v>
      </c>
      <c r="N23" s="17"/>
    </row>
    <row r="24" spans="1:14">
      <c r="A24" s="26">
        <v>21</v>
      </c>
      <c r="B24" s="27">
        <v>46133</v>
      </c>
      <c r="C24" s="17"/>
      <c r="D24" s="260"/>
      <c r="E24" s="267"/>
      <c r="F24" s="322"/>
      <c r="G24" s="17">
        <f t="shared" si="0"/>
        <v>0</v>
      </c>
      <c r="H24" s="17"/>
      <c r="I24" s="17"/>
      <c r="J24" s="17">
        <f t="shared" si="1"/>
        <v>0</v>
      </c>
      <c r="K24" s="17">
        <f t="shared" si="2"/>
        <v>0</v>
      </c>
      <c r="L24" s="17"/>
      <c r="M24" s="40">
        <f t="shared" si="3"/>
        <v>2572600.2709999997</v>
      </c>
      <c r="N24" s="17"/>
    </row>
    <row r="25" spans="1:14">
      <c r="A25" s="26">
        <v>22</v>
      </c>
      <c r="B25" s="27">
        <v>46134</v>
      </c>
      <c r="C25" s="17"/>
      <c r="D25" s="260"/>
      <c r="E25" s="267"/>
      <c r="F25" s="322"/>
      <c r="G25" s="17">
        <f t="shared" si="0"/>
        <v>0</v>
      </c>
      <c r="H25" s="17"/>
      <c r="I25" s="17"/>
      <c r="J25" s="17">
        <f t="shared" si="1"/>
        <v>0</v>
      </c>
      <c r="K25" s="17">
        <f t="shared" si="2"/>
        <v>0</v>
      </c>
      <c r="L25" s="17"/>
      <c r="M25" s="40">
        <f t="shared" si="3"/>
        <v>2572600.2709999997</v>
      </c>
      <c r="N25" s="17"/>
    </row>
    <row r="26" spans="1:14">
      <c r="A26" s="26">
        <v>23</v>
      </c>
      <c r="B26" s="27">
        <v>46135</v>
      </c>
      <c r="C26" s="17"/>
      <c r="D26" s="260"/>
      <c r="E26" s="267"/>
      <c r="F26" s="322"/>
      <c r="G26" s="17">
        <f t="shared" si="0"/>
        <v>0</v>
      </c>
      <c r="H26" s="17"/>
      <c r="I26" s="17"/>
      <c r="J26" s="17">
        <f t="shared" si="1"/>
        <v>0</v>
      </c>
      <c r="K26" s="17">
        <f t="shared" si="2"/>
        <v>0</v>
      </c>
      <c r="L26" s="17"/>
      <c r="M26" s="40">
        <f t="shared" si="3"/>
        <v>2572600.2709999997</v>
      </c>
      <c r="N26" s="17"/>
    </row>
    <row r="27" spans="1:14">
      <c r="A27" s="26">
        <v>24</v>
      </c>
      <c r="B27" s="27">
        <v>46136</v>
      </c>
      <c r="C27" s="17"/>
      <c r="D27" s="260"/>
      <c r="E27" s="267"/>
      <c r="F27" s="322"/>
      <c r="G27" s="17">
        <f t="shared" si="0"/>
        <v>0</v>
      </c>
      <c r="H27" s="17"/>
      <c r="I27" s="17"/>
      <c r="J27" s="17">
        <f t="shared" si="1"/>
        <v>0</v>
      </c>
      <c r="K27" s="17">
        <f t="shared" si="2"/>
        <v>0</v>
      </c>
      <c r="L27" s="17"/>
      <c r="M27" s="40">
        <f t="shared" si="3"/>
        <v>2572600.2709999997</v>
      </c>
      <c r="N27" s="17"/>
    </row>
    <row r="28" spans="1:14">
      <c r="A28" s="26">
        <v>25</v>
      </c>
      <c r="B28" s="27">
        <v>46137</v>
      </c>
      <c r="C28" s="17"/>
      <c r="D28" s="260"/>
      <c r="E28" s="267"/>
      <c r="F28" s="322"/>
      <c r="G28" s="17">
        <f t="shared" si="0"/>
        <v>0</v>
      </c>
      <c r="H28" s="17"/>
      <c r="I28" s="17"/>
      <c r="J28" s="17">
        <f t="shared" si="1"/>
        <v>0</v>
      </c>
      <c r="K28" s="17">
        <f t="shared" si="2"/>
        <v>0</v>
      </c>
      <c r="L28" s="17"/>
      <c r="M28" s="40">
        <f t="shared" si="3"/>
        <v>2572600.2709999997</v>
      </c>
      <c r="N28" s="17"/>
    </row>
    <row r="29" spans="1:14">
      <c r="A29" s="26">
        <v>26</v>
      </c>
      <c r="B29" s="27">
        <v>46138</v>
      </c>
      <c r="C29" s="17"/>
      <c r="D29" s="260"/>
      <c r="E29" s="267"/>
      <c r="F29" s="322"/>
      <c r="G29" s="17">
        <f t="shared" si="0"/>
        <v>0</v>
      </c>
      <c r="H29" s="17"/>
      <c r="I29" s="17"/>
      <c r="J29" s="17">
        <f t="shared" si="1"/>
        <v>0</v>
      </c>
      <c r="K29" s="17">
        <f t="shared" si="2"/>
        <v>0</v>
      </c>
      <c r="L29" s="17"/>
      <c r="M29" s="40">
        <f t="shared" si="3"/>
        <v>2572600.2709999997</v>
      </c>
      <c r="N29" s="17"/>
    </row>
    <row r="30" spans="1:14">
      <c r="A30" s="26">
        <v>27</v>
      </c>
      <c r="B30" s="27">
        <v>46139</v>
      </c>
      <c r="C30" s="17"/>
      <c r="D30" s="260"/>
      <c r="E30" s="267"/>
      <c r="F30" s="322"/>
      <c r="G30" s="17">
        <f t="shared" si="0"/>
        <v>0</v>
      </c>
      <c r="H30" s="17"/>
      <c r="I30" s="17"/>
      <c r="J30" s="17">
        <f t="shared" si="1"/>
        <v>0</v>
      </c>
      <c r="K30" s="17">
        <f t="shared" si="2"/>
        <v>0</v>
      </c>
      <c r="L30" s="17"/>
      <c r="M30" s="40">
        <f t="shared" si="3"/>
        <v>2572600.2709999997</v>
      </c>
      <c r="N30" s="17"/>
    </row>
    <row r="31" spans="1:14">
      <c r="A31" s="26">
        <v>28</v>
      </c>
      <c r="B31" s="27">
        <v>46140</v>
      </c>
      <c r="C31" s="17"/>
      <c r="D31" s="260"/>
      <c r="E31" s="267"/>
      <c r="F31" s="322"/>
      <c r="G31" s="17">
        <f t="shared" si="0"/>
        <v>0</v>
      </c>
      <c r="H31" s="17"/>
      <c r="I31" s="17"/>
      <c r="J31" s="17">
        <f t="shared" si="1"/>
        <v>0</v>
      </c>
      <c r="K31" s="17">
        <f t="shared" si="2"/>
        <v>0</v>
      </c>
      <c r="L31" s="17"/>
      <c r="M31" s="40">
        <f t="shared" si="3"/>
        <v>2572600.2709999997</v>
      </c>
      <c r="N31" s="17"/>
    </row>
    <row r="32" spans="1:14">
      <c r="A32" s="26">
        <v>29</v>
      </c>
      <c r="B32" s="27">
        <v>46141</v>
      </c>
      <c r="C32" s="17"/>
      <c r="D32" s="260"/>
      <c r="E32" s="267"/>
      <c r="F32" s="322"/>
      <c r="G32" s="17">
        <f t="shared" si="0"/>
        <v>0</v>
      </c>
      <c r="H32" s="17"/>
      <c r="I32" s="17"/>
      <c r="J32" s="17">
        <f t="shared" si="1"/>
        <v>0</v>
      </c>
      <c r="K32" s="17">
        <f t="shared" si="2"/>
        <v>0</v>
      </c>
      <c r="L32" s="17"/>
      <c r="M32" s="40">
        <f t="shared" si="3"/>
        <v>2572600.2709999997</v>
      </c>
      <c r="N32" s="17"/>
    </row>
    <row r="33" spans="1:14">
      <c r="A33" s="26">
        <v>30</v>
      </c>
      <c r="B33" s="27">
        <v>46142</v>
      </c>
      <c r="C33" s="17"/>
      <c r="D33" s="260"/>
      <c r="E33" s="267"/>
      <c r="F33" s="322"/>
      <c r="G33" s="17">
        <f t="shared" si="0"/>
        <v>0</v>
      </c>
      <c r="H33" s="17"/>
      <c r="I33" s="17"/>
      <c r="J33" s="17">
        <f t="shared" si="1"/>
        <v>0</v>
      </c>
      <c r="K33" s="17">
        <f t="shared" si="2"/>
        <v>0</v>
      </c>
      <c r="L33" s="17"/>
      <c r="M33" s="40">
        <f t="shared" si="3"/>
        <v>2572600.2709999997</v>
      </c>
      <c r="N33" s="17"/>
    </row>
    <row r="34" spans="1:14">
      <c r="A34" s="26">
        <v>31</v>
      </c>
      <c r="B34" s="27"/>
      <c r="C34" s="17"/>
      <c r="D34" s="260"/>
      <c r="E34" s="267"/>
      <c r="F34" s="322"/>
      <c r="G34" s="17">
        <f t="shared" si="0"/>
        <v>0</v>
      </c>
      <c r="H34" s="17"/>
      <c r="I34" s="17"/>
      <c r="J34" s="17">
        <f t="shared" si="1"/>
        <v>0</v>
      </c>
      <c r="K34" s="17">
        <f t="shared" si="2"/>
        <v>0</v>
      </c>
      <c r="L34" s="17"/>
      <c r="M34" s="40">
        <f t="shared" si="3"/>
        <v>2572600.2709999997</v>
      </c>
      <c r="N34" s="17"/>
    </row>
    <row r="35" spans="1:14">
      <c r="A35" s="42"/>
      <c r="B35" s="42"/>
      <c r="C35" s="42"/>
      <c r="D35" s="42"/>
      <c r="E35" s="43">
        <f>SUM(E4:E34)</f>
        <v>48000</v>
      </c>
      <c r="F35" s="43"/>
      <c r="G35" s="43">
        <f>SUM(G4:G34)</f>
        <v>4572600</v>
      </c>
      <c r="H35" s="43">
        <f>SUM(H4:H34)</f>
        <v>0</v>
      </c>
      <c r="I35" s="43"/>
      <c r="J35" s="43">
        <f>SUM(J4:J34)</f>
        <v>0</v>
      </c>
      <c r="K35" s="43">
        <f>SUM(K4:K34)</f>
        <v>4572600</v>
      </c>
      <c r="L35" s="43">
        <f>SUM(L4:L34)</f>
        <v>10227903</v>
      </c>
      <c r="M35" s="43"/>
      <c r="N35" s="43"/>
    </row>
    <row r="39" spans="1:14">
      <c r="M39" s="22"/>
    </row>
  </sheetData>
  <mergeCells count="2">
    <mergeCell ref="A1:N1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C0BBC-AF11-4FF3-8EC8-007C6BC504BD}">
  <sheetPr>
    <tabColor rgb="FF00B050"/>
  </sheetPr>
  <dimension ref="A1:R38"/>
  <sheetViews>
    <sheetView workbookViewId="0">
      <selection activeCell="P24" sqref="P24"/>
    </sheetView>
  </sheetViews>
  <sheetFormatPr defaultRowHeight="15"/>
  <cols>
    <col min="2" max="2" width="10.42578125" bestFit="1" customWidth="1"/>
    <col min="7" max="7" width="10.42578125" bestFit="1" customWidth="1"/>
    <col min="11" max="11" width="13.5703125" bestFit="1" customWidth="1"/>
    <col min="13" max="13" width="11.42578125" bestFit="1" customWidth="1"/>
  </cols>
  <sheetData>
    <row r="1" spans="1:18" ht="15.75">
      <c r="A1" s="485" t="s">
        <v>184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</row>
    <row r="2" spans="1:18" ht="30.75">
      <c r="A2" s="124" t="s">
        <v>0</v>
      </c>
      <c r="B2" s="125" t="s">
        <v>164</v>
      </c>
      <c r="C2" s="125" t="s">
        <v>165</v>
      </c>
      <c r="D2" s="125" t="s">
        <v>166</v>
      </c>
      <c r="E2" s="125" t="s">
        <v>167</v>
      </c>
      <c r="F2" s="125" t="s">
        <v>168</v>
      </c>
      <c r="G2" s="125" t="s">
        <v>169</v>
      </c>
      <c r="H2" s="125" t="s">
        <v>170</v>
      </c>
      <c r="I2" s="125" t="s">
        <v>168</v>
      </c>
      <c r="J2" s="126" t="s">
        <v>169</v>
      </c>
      <c r="K2" s="124" t="s">
        <v>171</v>
      </c>
      <c r="L2" s="127" t="s">
        <v>172</v>
      </c>
      <c r="M2" s="127" t="s">
        <v>182</v>
      </c>
      <c r="N2" s="125" t="s">
        <v>174</v>
      </c>
    </row>
    <row r="3" spans="1:18">
      <c r="A3" s="486" t="s">
        <v>175</v>
      </c>
      <c r="B3" s="486"/>
      <c r="C3" s="486"/>
      <c r="D3" s="486"/>
      <c r="E3" s="486"/>
      <c r="F3" s="486"/>
      <c r="G3" s="486"/>
      <c r="H3" s="486"/>
      <c r="I3" s="486"/>
      <c r="J3" s="486"/>
      <c r="K3" s="212">
        <v>330407.08</v>
      </c>
      <c r="L3" s="228"/>
      <c r="M3" s="212">
        <v>330407.08</v>
      </c>
      <c r="N3" s="94"/>
    </row>
    <row r="4" spans="1:18">
      <c r="A4" s="26">
        <v>1</v>
      </c>
      <c r="B4" s="27">
        <v>46113</v>
      </c>
      <c r="C4" s="17"/>
      <c r="D4" s="17"/>
      <c r="E4" s="17"/>
      <c r="F4" s="17"/>
      <c r="G4" s="17">
        <f>E4*F4</f>
        <v>0</v>
      </c>
      <c r="H4" s="323"/>
      <c r="I4" s="17"/>
      <c r="J4" s="17"/>
      <c r="K4" s="17">
        <f>G4+J4</f>
        <v>0</v>
      </c>
      <c r="L4" s="17">
        <v>0</v>
      </c>
      <c r="M4" s="40">
        <f>M3+K4-L4</f>
        <v>330407.08</v>
      </c>
      <c r="N4" s="17"/>
    </row>
    <row r="5" spans="1:18">
      <c r="A5" s="26">
        <v>2</v>
      </c>
      <c r="B5" s="27">
        <v>46114</v>
      </c>
      <c r="C5" s="17"/>
      <c r="D5" s="17"/>
      <c r="E5" s="17">
        <v>0</v>
      </c>
      <c r="F5" s="17">
        <v>0</v>
      </c>
      <c r="G5" s="17">
        <f>E5*F5</f>
        <v>0</v>
      </c>
      <c r="H5" s="323">
        <v>0</v>
      </c>
      <c r="I5" s="17">
        <v>0</v>
      </c>
      <c r="J5" s="17">
        <f>H5*I5</f>
        <v>0</v>
      </c>
      <c r="K5" s="17">
        <f t="shared" ref="K5:K37" si="0">G5+J5</f>
        <v>0</v>
      </c>
      <c r="L5" s="17">
        <v>0</v>
      </c>
      <c r="M5" s="40">
        <f>M4+K5-L5</f>
        <v>330407.08</v>
      </c>
      <c r="N5" s="17"/>
    </row>
    <row r="6" spans="1:18">
      <c r="A6" s="26">
        <v>3</v>
      </c>
      <c r="B6" s="27">
        <v>46115</v>
      </c>
      <c r="C6" s="17"/>
      <c r="D6" s="17"/>
      <c r="E6" s="17">
        <v>0</v>
      </c>
      <c r="F6" s="17">
        <v>0</v>
      </c>
      <c r="G6" s="17">
        <f t="shared" ref="G6:G19" si="1">E6*F6</f>
        <v>0</v>
      </c>
      <c r="H6" s="323">
        <v>0</v>
      </c>
      <c r="I6" s="17">
        <v>0</v>
      </c>
      <c r="J6" s="17">
        <f t="shared" ref="J6:J19" si="2">H6*I6</f>
        <v>0</v>
      </c>
      <c r="K6" s="17">
        <f t="shared" ref="K6:K19" si="3">G6+J6</f>
        <v>0</v>
      </c>
      <c r="L6" s="17">
        <v>330407</v>
      </c>
      <c r="M6" s="40">
        <f t="shared" ref="M6:M8" si="4">M5+K6-L6</f>
        <v>8.0000000016298145E-2</v>
      </c>
      <c r="N6" s="17"/>
    </row>
    <row r="7" spans="1:18">
      <c r="A7" s="26">
        <v>4</v>
      </c>
      <c r="B7" s="27">
        <v>46116</v>
      </c>
      <c r="C7" s="17"/>
      <c r="D7" s="17"/>
      <c r="E7" s="17">
        <v>0</v>
      </c>
      <c r="F7" s="17">
        <v>0</v>
      </c>
      <c r="G7" s="17">
        <f t="shared" si="1"/>
        <v>0</v>
      </c>
      <c r="H7" s="323">
        <v>0</v>
      </c>
      <c r="I7" s="17">
        <v>0</v>
      </c>
      <c r="J7" s="17">
        <f t="shared" si="2"/>
        <v>0</v>
      </c>
      <c r="K7" s="17">
        <f t="shared" si="3"/>
        <v>0</v>
      </c>
      <c r="L7" s="17">
        <v>0</v>
      </c>
      <c r="M7" s="40">
        <f t="shared" si="4"/>
        <v>8.0000000016298145E-2</v>
      </c>
      <c r="N7" s="17"/>
    </row>
    <row r="8" spans="1:18">
      <c r="A8" s="26">
        <v>5</v>
      </c>
      <c r="B8" s="27">
        <v>46117</v>
      </c>
      <c r="C8" s="17"/>
      <c r="D8" s="17"/>
      <c r="E8" s="17">
        <v>0</v>
      </c>
      <c r="F8" s="17">
        <v>0</v>
      </c>
      <c r="G8" s="17">
        <f t="shared" si="1"/>
        <v>0</v>
      </c>
      <c r="H8" s="323">
        <v>0</v>
      </c>
      <c r="I8" s="17">
        <v>0</v>
      </c>
      <c r="J8" s="17">
        <f t="shared" si="2"/>
        <v>0</v>
      </c>
      <c r="K8" s="17">
        <f t="shared" si="3"/>
        <v>0</v>
      </c>
      <c r="L8" s="17">
        <v>0</v>
      </c>
      <c r="M8" s="40">
        <f t="shared" si="4"/>
        <v>8.0000000016298145E-2</v>
      </c>
      <c r="N8" s="17"/>
    </row>
    <row r="9" spans="1:18">
      <c r="A9" s="26">
        <v>6</v>
      </c>
      <c r="B9" s="27">
        <v>46118</v>
      </c>
      <c r="C9" s="17"/>
      <c r="D9" s="17"/>
      <c r="E9" s="17">
        <v>0</v>
      </c>
      <c r="F9" s="17">
        <v>0</v>
      </c>
      <c r="G9" s="17">
        <f t="shared" si="1"/>
        <v>0</v>
      </c>
      <c r="H9" s="323">
        <v>0</v>
      </c>
      <c r="I9" s="17">
        <v>0</v>
      </c>
      <c r="J9" s="17">
        <f t="shared" si="2"/>
        <v>0</v>
      </c>
      <c r="K9" s="17">
        <f t="shared" si="3"/>
        <v>0</v>
      </c>
      <c r="L9" s="17">
        <v>0</v>
      </c>
      <c r="M9" s="40">
        <f>M8+K9-L9</f>
        <v>8.0000000016298145E-2</v>
      </c>
      <c r="N9" s="17"/>
    </row>
    <row r="10" spans="1:18">
      <c r="A10" s="26">
        <v>7</v>
      </c>
      <c r="B10" s="27">
        <v>46119</v>
      </c>
      <c r="C10" s="17"/>
      <c r="D10" s="17"/>
      <c r="E10" s="17">
        <v>0</v>
      </c>
      <c r="F10" s="17">
        <v>0</v>
      </c>
      <c r="G10" s="17">
        <f t="shared" si="1"/>
        <v>0</v>
      </c>
      <c r="H10" s="323">
        <v>0</v>
      </c>
      <c r="I10" s="17">
        <v>0</v>
      </c>
      <c r="J10" s="17">
        <f t="shared" si="2"/>
        <v>0</v>
      </c>
      <c r="K10" s="17">
        <f t="shared" si="3"/>
        <v>0</v>
      </c>
      <c r="L10" s="17">
        <v>0</v>
      </c>
      <c r="M10" s="40">
        <f>M9+K10-L10</f>
        <v>8.0000000016298145E-2</v>
      </c>
      <c r="N10" s="17"/>
    </row>
    <row r="11" spans="1:18">
      <c r="A11" s="26">
        <v>8</v>
      </c>
      <c r="B11" s="27">
        <v>46120</v>
      </c>
      <c r="C11" s="17"/>
      <c r="D11" s="17"/>
      <c r="E11" s="17">
        <v>0</v>
      </c>
      <c r="F11" s="17">
        <v>0</v>
      </c>
      <c r="G11" s="17">
        <f t="shared" si="1"/>
        <v>0</v>
      </c>
      <c r="H11" s="323">
        <v>0</v>
      </c>
      <c r="I11" s="17">
        <v>0</v>
      </c>
      <c r="J11" s="17">
        <f t="shared" si="2"/>
        <v>0</v>
      </c>
      <c r="K11" s="17">
        <f t="shared" si="3"/>
        <v>0</v>
      </c>
      <c r="L11" s="17">
        <v>0</v>
      </c>
      <c r="M11" s="40">
        <f>M10+K11-L11</f>
        <v>8.0000000016298145E-2</v>
      </c>
      <c r="N11" s="17"/>
    </row>
    <row r="12" spans="1:18">
      <c r="A12" s="26">
        <v>9</v>
      </c>
      <c r="B12" s="27">
        <v>46121</v>
      </c>
      <c r="C12" s="17"/>
      <c r="D12" s="17"/>
      <c r="E12" s="17">
        <v>0</v>
      </c>
      <c r="F12" s="17">
        <v>0</v>
      </c>
      <c r="G12" s="17">
        <f t="shared" si="1"/>
        <v>0</v>
      </c>
      <c r="H12" s="323">
        <v>0</v>
      </c>
      <c r="I12" s="17">
        <v>0</v>
      </c>
      <c r="J12" s="17">
        <f t="shared" si="2"/>
        <v>0</v>
      </c>
      <c r="K12" s="17">
        <f t="shared" si="3"/>
        <v>0</v>
      </c>
      <c r="L12" s="17">
        <v>0</v>
      </c>
      <c r="M12" s="40">
        <f>M11+K12-L12</f>
        <v>8.0000000016298145E-2</v>
      </c>
      <c r="N12" s="17"/>
    </row>
    <row r="13" spans="1:18">
      <c r="A13" s="26">
        <v>10</v>
      </c>
      <c r="B13" s="27">
        <v>46122</v>
      </c>
      <c r="C13" s="17"/>
      <c r="D13" s="17"/>
      <c r="E13" s="17">
        <v>0</v>
      </c>
      <c r="F13" s="17">
        <v>0</v>
      </c>
      <c r="G13" s="17">
        <f t="shared" si="1"/>
        <v>0</v>
      </c>
      <c r="H13" s="323">
        <v>0</v>
      </c>
      <c r="I13" s="17">
        <v>0</v>
      </c>
      <c r="J13" s="17">
        <f t="shared" si="2"/>
        <v>0</v>
      </c>
      <c r="K13" s="17">
        <f t="shared" si="3"/>
        <v>0</v>
      </c>
      <c r="L13" s="17">
        <v>0</v>
      </c>
      <c r="M13" s="40">
        <f t="shared" ref="M13:M35" si="5">M12+K13-L13</f>
        <v>8.0000000016298145E-2</v>
      </c>
      <c r="N13" s="17"/>
      <c r="P13" s="22"/>
    </row>
    <row r="14" spans="1:18">
      <c r="A14" s="26">
        <v>11</v>
      </c>
      <c r="B14" s="27">
        <v>46123</v>
      </c>
      <c r="C14" s="17"/>
      <c r="D14" s="17"/>
      <c r="E14" s="17">
        <v>0</v>
      </c>
      <c r="F14" s="17">
        <v>0</v>
      </c>
      <c r="G14" s="17">
        <f t="shared" si="1"/>
        <v>0</v>
      </c>
      <c r="H14" s="323">
        <v>0</v>
      </c>
      <c r="I14" s="17">
        <v>0</v>
      </c>
      <c r="J14" s="17">
        <f t="shared" si="2"/>
        <v>0</v>
      </c>
      <c r="K14" s="17">
        <f t="shared" si="3"/>
        <v>0</v>
      </c>
      <c r="L14" s="17">
        <v>0</v>
      </c>
      <c r="M14" s="40">
        <f t="shared" si="5"/>
        <v>8.0000000016298145E-2</v>
      </c>
      <c r="N14" s="17"/>
    </row>
    <row r="15" spans="1:18">
      <c r="A15" s="26">
        <v>12</v>
      </c>
      <c r="B15" s="27">
        <v>46124</v>
      </c>
      <c r="C15" s="17"/>
      <c r="D15" s="17"/>
      <c r="E15" s="17">
        <v>0</v>
      </c>
      <c r="F15" s="17">
        <v>0</v>
      </c>
      <c r="G15" s="17">
        <f t="shared" si="1"/>
        <v>0</v>
      </c>
      <c r="H15" s="323">
        <v>0</v>
      </c>
      <c r="I15" s="17">
        <v>0</v>
      </c>
      <c r="J15" s="17">
        <f t="shared" si="2"/>
        <v>0</v>
      </c>
      <c r="K15" s="17">
        <f t="shared" si="3"/>
        <v>0</v>
      </c>
      <c r="L15" s="17">
        <v>0</v>
      </c>
      <c r="M15" s="40">
        <f t="shared" si="5"/>
        <v>8.0000000016298145E-2</v>
      </c>
      <c r="N15" s="17"/>
      <c r="R15" s="22"/>
    </row>
    <row r="16" spans="1:18">
      <c r="A16" s="26">
        <v>13</v>
      </c>
      <c r="B16" s="27">
        <v>46125</v>
      </c>
      <c r="C16" s="17"/>
      <c r="D16" s="17"/>
      <c r="E16" s="17">
        <v>0</v>
      </c>
      <c r="F16" s="17">
        <v>0</v>
      </c>
      <c r="G16" s="17">
        <f t="shared" si="1"/>
        <v>0</v>
      </c>
      <c r="H16" s="323">
        <v>0</v>
      </c>
      <c r="I16" s="17">
        <v>0</v>
      </c>
      <c r="J16" s="17">
        <f t="shared" si="2"/>
        <v>0</v>
      </c>
      <c r="K16" s="17">
        <f t="shared" si="3"/>
        <v>0</v>
      </c>
      <c r="L16" s="17">
        <v>0</v>
      </c>
      <c r="M16" s="40">
        <f t="shared" si="5"/>
        <v>8.0000000016298145E-2</v>
      </c>
      <c r="N16" s="17"/>
    </row>
    <row r="17" spans="1:16">
      <c r="A17" s="26">
        <v>14</v>
      </c>
      <c r="B17" s="27">
        <v>46126</v>
      </c>
      <c r="C17" s="17"/>
      <c r="D17" s="17"/>
      <c r="E17" s="17">
        <v>0</v>
      </c>
      <c r="F17" s="17">
        <v>0</v>
      </c>
      <c r="G17" s="17">
        <f t="shared" si="1"/>
        <v>0</v>
      </c>
      <c r="H17" s="323">
        <v>0</v>
      </c>
      <c r="I17" s="17">
        <v>0</v>
      </c>
      <c r="J17" s="17">
        <f t="shared" si="2"/>
        <v>0</v>
      </c>
      <c r="K17" s="17">
        <f t="shared" si="3"/>
        <v>0</v>
      </c>
      <c r="L17" s="17">
        <v>0</v>
      </c>
      <c r="M17" s="40">
        <f t="shared" si="5"/>
        <v>8.0000000016298145E-2</v>
      </c>
      <c r="N17" s="17"/>
    </row>
    <row r="18" spans="1:16">
      <c r="A18" s="26">
        <v>15</v>
      </c>
      <c r="B18" s="27">
        <v>46127</v>
      </c>
      <c r="C18" s="17"/>
      <c r="D18" s="17"/>
      <c r="E18" s="17">
        <v>0</v>
      </c>
      <c r="F18" s="17">
        <v>0</v>
      </c>
      <c r="G18" s="17">
        <f t="shared" si="1"/>
        <v>0</v>
      </c>
      <c r="H18" s="323">
        <v>0</v>
      </c>
      <c r="I18" s="17">
        <v>0</v>
      </c>
      <c r="J18" s="17">
        <f t="shared" si="2"/>
        <v>0</v>
      </c>
      <c r="K18" s="17">
        <f t="shared" si="3"/>
        <v>0</v>
      </c>
      <c r="L18" s="17">
        <v>0</v>
      </c>
      <c r="M18" s="40">
        <f t="shared" si="5"/>
        <v>8.0000000016298145E-2</v>
      </c>
      <c r="N18" s="17"/>
    </row>
    <row r="19" spans="1:16">
      <c r="A19" s="26">
        <v>16</v>
      </c>
      <c r="B19" s="27">
        <v>46128</v>
      </c>
      <c r="C19" s="17"/>
      <c r="D19" s="17"/>
      <c r="E19" s="17">
        <v>0</v>
      </c>
      <c r="F19" s="17">
        <v>0</v>
      </c>
      <c r="G19" s="17">
        <f t="shared" si="1"/>
        <v>0</v>
      </c>
      <c r="H19" s="323">
        <v>0</v>
      </c>
      <c r="I19" s="17">
        <v>0</v>
      </c>
      <c r="J19" s="17">
        <f t="shared" si="2"/>
        <v>0</v>
      </c>
      <c r="K19" s="17">
        <f t="shared" si="3"/>
        <v>0</v>
      </c>
      <c r="L19" s="17">
        <v>0</v>
      </c>
      <c r="M19" s="40">
        <f t="shared" si="5"/>
        <v>8.0000000016298145E-2</v>
      </c>
      <c r="N19" s="17"/>
    </row>
    <row r="20" spans="1:16">
      <c r="A20" s="26">
        <v>17</v>
      </c>
      <c r="B20" s="27">
        <v>46129</v>
      </c>
      <c r="C20" s="17"/>
      <c r="D20" s="17"/>
      <c r="E20" s="17"/>
      <c r="F20" s="17"/>
      <c r="G20" s="40">
        <f>E20*F20</f>
        <v>0</v>
      </c>
      <c r="H20" s="323"/>
      <c r="I20" s="17"/>
      <c r="J20" s="17">
        <f t="shared" ref="J7:J33" si="6">H20*I20</f>
        <v>0</v>
      </c>
      <c r="K20" s="17">
        <f t="shared" si="0"/>
        <v>0</v>
      </c>
      <c r="L20" s="17">
        <v>0</v>
      </c>
      <c r="M20" s="40">
        <f t="shared" si="5"/>
        <v>8.0000000016298145E-2</v>
      </c>
      <c r="N20" s="17"/>
    </row>
    <row r="21" spans="1:16">
      <c r="A21" s="26">
        <v>18</v>
      </c>
      <c r="B21" s="27">
        <v>46130</v>
      </c>
      <c r="C21" s="17"/>
      <c r="D21" s="17"/>
      <c r="E21" s="17"/>
      <c r="F21" s="17"/>
      <c r="G21" s="40">
        <f>E21*F21</f>
        <v>0</v>
      </c>
      <c r="H21" s="323"/>
      <c r="I21" s="17"/>
      <c r="J21" s="17">
        <f t="shared" si="6"/>
        <v>0</v>
      </c>
      <c r="K21" s="17">
        <f t="shared" si="0"/>
        <v>0</v>
      </c>
      <c r="L21" s="17">
        <v>0</v>
      </c>
      <c r="M21" s="40">
        <f t="shared" si="5"/>
        <v>8.0000000016298145E-2</v>
      </c>
      <c r="N21" s="17"/>
    </row>
    <row r="22" spans="1:16">
      <c r="A22" s="26">
        <v>19</v>
      </c>
      <c r="B22" s="27">
        <v>46131</v>
      </c>
      <c r="C22" s="17"/>
      <c r="D22" s="17"/>
      <c r="E22" s="17"/>
      <c r="F22" s="17"/>
      <c r="G22" s="346">
        <f>E22*F22</f>
        <v>0</v>
      </c>
      <c r="H22" s="323"/>
      <c r="I22" s="17"/>
      <c r="J22" s="17">
        <f t="shared" si="6"/>
        <v>0</v>
      </c>
      <c r="K22" s="17">
        <f t="shared" si="0"/>
        <v>0</v>
      </c>
      <c r="L22" s="17">
        <v>0</v>
      </c>
      <c r="M22" s="40">
        <f t="shared" si="5"/>
        <v>8.0000000016298145E-2</v>
      </c>
      <c r="N22" s="17"/>
    </row>
    <row r="23" spans="1:16">
      <c r="A23" s="26">
        <v>20</v>
      </c>
      <c r="B23" s="27">
        <v>46132</v>
      </c>
      <c r="C23" s="17"/>
      <c r="D23" s="17"/>
      <c r="E23" s="17"/>
      <c r="F23" s="17"/>
      <c r="G23" s="346">
        <f>E23*F23</f>
        <v>0</v>
      </c>
      <c r="H23" s="323"/>
      <c r="I23" s="17"/>
      <c r="J23" s="17">
        <f t="shared" si="6"/>
        <v>0</v>
      </c>
      <c r="K23" s="17">
        <f t="shared" si="0"/>
        <v>0</v>
      </c>
      <c r="L23" s="17">
        <v>0</v>
      </c>
      <c r="M23" s="40">
        <f t="shared" si="5"/>
        <v>8.0000000016298145E-2</v>
      </c>
      <c r="N23" s="17"/>
    </row>
    <row r="24" spans="1:16">
      <c r="A24" s="26">
        <v>21</v>
      </c>
      <c r="B24" s="27">
        <v>46133</v>
      </c>
      <c r="C24" s="17"/>
      <c r="D24" s="17"/>
      <c r="E24" s="17"/>
      <c r="F24" s="17"/>
      <c r="G24" s="346">
        <f>E24*F24</f>
        <v>0</v>
      </c>
      <c r="H24" s="323"/>
      <c r="I24" s="17"/>
      <c r="J24" s="17">
        <f t="shared" si="6"/>
        <v>0</v>
      </c>
      <c r="K24" s="17">
        <f t="shared" si="0"/>
        <v>0</v>
      </c>
      <c r="L24" s="17">
        <v>0</v>
      </c>
      <c r="M24" s="40">
        <f t="shared" si="5"/>
        <v>8.0000000016298145E-2</v>
      </c>
      <c r="N24" s="17"/>
    </row>
    <row r="25" spans="1:16">
      <c r="A25" s="26">
        <v>22</v>
      </c>
      <c r="B25" s="27">
        <v>46134</v>
      </c>
      <c r="C25" s="17"/>
      <c r="D25" s="17"/>
      <c r="E25" s="17"/>
      <c r="F25" s="17"/>
      <c r="G25" s="346">
        <f>E25*F25</f>
        <v>0</v>
      </c>
      <c r="H25" s="323"/>
      <c r="I25" s="17"/>
      <c r="J25" s="17">
        <f t="shared" si="6"/>
        <v>0</v>
      </c>
      <c r="K25" s="17">
        <f t="shared" si="0"/>
        <v>0</v>
      </c>
      <c r="L25" s="17">
        <v>0</v>
      </c>
      <c r="M25" s="40">
        <f t="shared" si="5"/>
        <v>8.0000000016298145E-2</v>
      </c>
      <c r="N25" s="17"/>
    </row>
    <row r="26" spans="1:16">
      <c r="A26" s="26">
        <v>23</v>
      </c>
      <c r="B26" s="27">
        <v>46135</v>
      </c>
      <c r="C26" s="17"/>
      <c r="D26" s="17"/>
      <c r="E26" s="17"/>
      <c r="F26" s="17"/>
      <c r="G26" s="346">
        <f>E26*F26</f>
        <v>0</v>
      </c>
      <c r="H26" s="323"/>
      <c r="I26" s="17"/>
      <c r="J26" s="17">
        <f t="shared" si="6"/>
        <v>0</v>
      </c>
      <c r="K26" s="17">
        <f t="shared" si="0"/>
        <v>0</v>
      </c>
      <c r="L26" s="17">
        <v>0</v>
      </c>
      <c r="M26" s="40">
        <f t="shared" si="5"/>
        <v>8.0000000016298145E-2</v>
      </c>
      <c r="N26" s="17"/>
    </row>
    <row r="27" spans="1:16">
      <c r="A27" s="26">
        <v>24</v>
      </c>
      <c r="B27" s="27">
        <v>46136</v>
      </c>
      <c r="C27" s="17"/>
      <c r="D27" s="17"/>
      <c r="E27" s="17"/>
      <c r="F27" s="17"/>
      <c r="G27" s="346">
        <f>E27*F27</f>
        <v>0</v>
      </c>
      <c r="H27" s="323"/>
      <c r="I27" s="17"/>
      <c r="J27" s="17">
        <f t="shared" si="6"/>
        <v>0</v>
      </c>
      <c r="K27" s="17">
        <f t="shared" si="0"/>
        <v>0</v>
      </c>
      <c r="L27" s="17">
        <v>0</v>
      </c>
      <c r="M27" s="40">
        <f t="shared" si="5"/>
        <v>8.0000000016298145E-2</v>
      </c>
      <c r="N27" s="17"/>
    </row>
    <row r="28" spans="1:16">
      <c r="A28" s="26">
        <v>25</v>
      </c>
      <c r="B28" s="27">
        <v>46137</v>
      </c>
      <c r="C28" s="17"/>
      <c r="D28" s="17"/>
      <c r="E28" s="17"/>
      <c r="F28" s="17"/>
      <c r="G28" s="346">
        <f>E28*F28</f>
        <v>0</v>
      </c>
      <c r="H28" s="323"/>
      <c r="I28" s="17"/>
      <c r="J28" s="17">
        <f t="shared" si="6"/>
        <v>0</v>
      </c>
      <c r="K28" s="17">
        <f t="shared" si="0"/>
        <v>0</v>
      </c>
      <c r="L28" s="17">
        <v>0</v>
      </c>
      <c r="M28" s="40">
        <f t="shared" si="5"/>
        <v>8.0000000016298145E-2</v>
      </c>
      <c r="N28" s="17"/>
    </row>
    <row r="29" spans="1:16">
      <c r="A29" s="26">
        <v>26</v>
      </c>
      <c r="B29" s="27">
        <v>46138</v>
      </c>
      <c r="C29" s="17"/>
      <c r="D29" s="17"/>
      <c r="E29" s="17"/>
      <c r="F29" s="17"/>
      <c r="G29" s="346">
        <f>E29*F29</f>
        <v>0</v>
      </c>
      <c r="H29" s="323"/>
      <c r="I29" s="17"/>
      <c r="J29" s="17">
        <f t="shared" si="6"/>
        <v>0</v>
      </c>
      <c r="K29" s="17">
        <f t="shared" si="0"/>
        <v>0</v>
      </c>
      <c r="L29" s="17">
        <v>0</v>
      </c>
      <c r="M29" s="40">
        <f t="shared" si="5"/>
        <v>8.0000000016298145E-2</v>
      </c>
      <c r="N29" s="17"/>
    </row>
    <row r="30" spans="1:16">
      <c r="A30" s="26">
        <v>27</v>
      </c>
      <c r="B30" s="27">
        <v>46139</v>
      </c>
      <c r="C30" s="17"/>
      <c r="D30" s="17"/>
      <c r="E30" s="17"/>
      <c r="F30" s="17"/>
      <c r="G30" s="346">
        <f t="shared" ref="G30" si="7">E30*F30</f>
        <v>0</v>
      </c>
      <c r="H30" s="323"/>
      <c r="I30" s="17"/>
      <c r="J30" s="17">
        <f t="shared" si="6"/>
        <v>0</v>
      </c>
      <c r="K30" s="17">
        <f t="shared" si="0"/>
        <v>0</v>
      </c>
      <c r="L30" s="17">
        <v>0</v>
      </c>
      <c r="M30" s="40">
        <f t="shared" si="5"/>
        <v>8.0000000016298145E-2</v>
      </c>
      <c r="N30" s="17"/>
      <c r="P30" s="22"/>
    </row>
    <row r="31" spans="1:16">
      <c r="A31" s="26">
        <v>28</v>
      </c>
      <c r="B31" s="27">
        <v>46140</v>
      </c>
      <c r="C31" s="17"/>
      <c r="D31" s="17"/>
      <c r="E31" s="17"/>
      <c r="F31" s="17"/>
      <c r="G31" s="346">
        <f>E31*F31</f>
        <v>0</v>
      </c>
      <c r="H31" s="323"/>
      <c r="I31" s="17"/>
      <c r="J31" s="17">
        <f t="shared" si="6"/>
        <v>0</v>
      </c>
      <c r="K31" s="17">
        <f t="shared" si="0"/>
        <v>0</v>
      </c>
      <c r="L31" s="17">
        <v>0</v>
      </c>
      <c r="M31" s="40">
        <f t="shared" si="5"/>
        <v>8.0000000016298145E-2</v>
      </c>
      <c r="N31" s="17"/>
    </row>
    <row r="32" spans="1:16">
      <c r="A32" s="26">
        <v>29</v>
      </c>
      <c r="B32" s="27">
        <v>46141</v>
      </c>
      <c r="C32" s="17"/>
      <c r="D32" s="17"/>
      <c r="E32" s="17"/>
      <c r="F32" s="17"/>
      <c r="G32" s="346">
        <f>E32*F32</f>
        <v>0</v>
      </c>
      <c r="H32" s="323"/>
      <c r="I32" s="17"/>
      <c r="J32" s="17">
        <f t="shared" si="6"/>
        <v>0</v>
      </c>
      <c r="K32" s="17">
        <f t="shared" si="0"/>
        <v>0</v>
      </c>
      <c r="L32" s="17">
        <v>0</v>
      </c>
      <c r="M32" s="40">
        <f t="shared" si="5"/>
        <v>8.0000000016298145E-2</v>
      </c>
      <c r="N32" s="17"/>
      <c r="P32" s="22"/>
    </row>
    <row r="33" spans="1:14">
      <c r="A33" s="26">
        <v>30</v>
      </c>
      <c r="B33" s="27">
        <v>46142</v>
      </c>
      <c r="C33" s="17"/>
      <c r="D33" s="17"/>
      <c r="E33" s="17"/>
      <c r="F33" s="17"/>
      <c r="G33" s="346">
        <f>E33*F33</f>
        <v>0</v>
      </c>
      <c r="H33" s="323"/>
      <c r="I33" s="17"/>
      <c r="J33" s="17">
        <f t="shared" si="6"/>
        <v>0</v>
      </c>
      <c r="K33" s="17">
        <f t="shared" si="0"/>
        <v>0</v>
      </c>
      <c r="L33" s="17">
        <v>0</v>
      </c>
      <c r="M33" s="40">
        <f t="shared" si="5"/>
        <v>8.0000000016298145E-2</v>
      </c>
      <c r="N33" s="17"/>
    </row>
    <row r="34" spans="1:14">
      <c r="A34" s="26">
        <v>31</v>
      </c>
      <c r="B34" s="27"/>
      <c r="C34" s="17"/>
      <c r="D34" s="17"/>
      <c r="E34" s="17"/>
      <c r="F34" s="17"/>
      <c r="G34" s="346">
        <f>E34*F34</f>
        <v>0</v>
      </c>
      <c r="H34" s="323"/>
      <c r="I34" s="17"/>
      <c r="J34" s="17"/>
      <c r="K34" s="17">
        <f t="shared" si="0"/>
        <v>0</v>
      </c>
      <c r="L34" s="17">
        <v>0</v>
      </c>
      <c r="M34" s="40">
        <f t="shared" si="5"/>
        <v>8.0000000016298145E-2</v>
      </c>
      <c r="N34" s="17"/>
    </row>
    <row r="35" spans="1:14">
      <c r="A35" s="26">
        <v>32</v>
      </c>
      <c r="B35" s="27"/>
      <c r="C35" s="17"/>
      <c r="D35" s="17"/>
      <c r="E35" s="17"/>
      <c r="F35" s="17"/>
      <c r="G35" s="346">
        <f>E35*F35</f>
        <v>0</v>
      </c>
      <c r="H35" s="323"/>
      <c r="I35" s="17"/>
      <c r="J35" s="17">
        <f t="shared" ref="J35:J38" si="8">H35*I35</f>
        <v>0</v>
      </c>
      <c r="K35" s="17">
        <f t="shared" si="0"/>
        <v>0</v>
      </c>
      <c r="L35" s="17">
        <v>0</v>
      </c>
      <c r="M35" s="40">
        <f t="shared" si="5"/>
        <v>8.0000000016298145E-2</v>
      </c>
      <c r="N35" s="17"/>
    </row>
    <row r="36" spans="1:14">
      <c r="A36" s="26">
        <v>33</v>
      </c>
      <c r="B36" s="27"/>
      <c r="C36" s="17"/>
      <c r="D36" s="17"/>
      <c r="E36" s="17"/>
      <c r="F36" s="17"/>
      <c r="G36" s="346">
        <f>E36*F36</f>
        <v>0</v>
      </c>
      <c r="H36" s="323"/>
      <c r="I36" s="17"/>
      <c r="J36" s="17">
        <f t="shared" si="8"/>
        <v>0</v>
      </c>
      <c r="K36" s="17">
        <f t="shared" si="0"/>
        <v>0</v>
      </c>
      <c r="L36" s="17">
        <v>0</v>
      </c>
      <c r="M36" s="17"/>
      <c r="N36" s="17"/>
    </row>
    <row r="37" spans="1:14">
      <c r="A37" s="26">
        <v>34</v>
      </c>
      <c r="B37" s="27"/>
      <c r="C37" s="17"/>
      <c r="D37" s="17"/>
      <c r="E37" s="17"/>
      <c r="F37" s="17"/>
      <c r="G37" s="346">
        <f>E37*F37</f>
        <v>0</v>
      </c>
      <c r="H37" s="323"/>
      <c r="I37" s="17"/>
      <c r="J37" s="17">
        <f t="shared" si="8"/>
        <v>0</v>
      </c>
      <c r="K37" s="17">
        <f t="shared" si="0"/>
        <v>0</v>
      </c>
      <c r="L37" s="17"/>
      <c r="M37" s="17"/>
      <c r="N37" s="17"/>
    </row>
    <row r="38" spans="1:14">
      <c r="A38" s="42"/>
      <c r="B38" s="42"/>
      <c r="C38" s="42"/>
      <c r="D38" s="42"/>
      <c r="E38" s="229">
        <f>SUM(E3:E37)</f>
        <v>0</v>
      </c>
      <c r="F38" s="229"/>
      <c r="G38" s="229">
        <f>SUM(G3:G37)</f>
        <v>0</v>
      </c>
      <c r="H38" s="229">
        <f>SUM(H3:H37)</f>
        <v>0</v>
      </c>
      <c r="I38" s="229"/>
      <c r="J38" s="229">
        <f>SUM(J3:J37)</f>
        <v>0</v>
      </c>
      <c r="K38" s="229">
        <f>SUM(K4:K37)</f>
        <v>0</v>
      </c>
      <c r="L38" s="229">
        <f>SUM(L3:L37)</f>
        <v>330407</v>
      </c>
      <c r="M38" s="229"/>
      <c r="N38" s="229"/>
    </row>
  </sheetData>
  <mergeCells count="2">
    <mergeCell ref="A1:N1"/>
    <mergeCell ref="A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7877-8B14-4CE6-B5B8-E55E3F328CE2}">
  <sheetPr>
    <tabColor rgb="FF00B050"/>
  </sheetPr>
  <dimension ref="A1:U38"/>
  <sheetViews>
    <sheetView topLeftCell="A14" workbookViewId="0">
      <selection activeCell="D1" sqref="D1"/>
    </sheetView>
  </sheetViews>
  <sheetFormatPr defaultRowHeight="15"/>
  <cols>
    <col min="2" max="2" width="9.85546875" customWidth="1"/>
    <col min="12" max="12" width="13.5703125" bestFit="1" customWidth="1"/>
    <col min="13" max="13" width="11.42578125" bestFit="1" customWidth="1"/>
  </cols>
  <sheetData>
    <row r="1" spans="1:18" ht="15.75" customHeight="1">
      <c r="A1" s="485" t="s">
        <v>185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</row>
    <row r="2" spans="1:18" ht="30.75">
      <c r="A2" s="124" t="s">
        <v>0</v>
      </c>
      <c r="B2" s="125" t="s">
        <v>164</v>
      </c>
      <c r="C2" s="125" t="s">
        <v>165</v>
      </c>
      <c r="D2" s="125" t="s">
        <v>166</v>
      </c>
      <c r="E2" s="125" t="s">
        <v>167</v>
      </c>
      <c r="F2" s="125" t="s">
        <v>168</v>
      </c>
      <c r="G2" s="125" t="s">
        <v>169</v>
      </c>
      <c r="H2" s="125" t="s">
        <v>170</v>
      </c>
      <c r="I2" s="125" t="s">
        <v>168</v>
      </c>
      <c r="J2" s="126" t="s">
        <v>169</v>
      </c>
      <c r="K2" s="124" t="s">
        <v>171</v>
      </c>
      <c r="L2" s="127" t="s">
        <v>172</v>
      </c>
      <c r="M2" s="127" t="s">
        <v>182</v>
      </c>
      <c r="N2" s="125" t="s">
        <v>174</v>
      </c>
    </row>
    <row r="3" spans="1:18">
      <c r="A3" s="486" t="s">
        <v>175</v>
      </c>
      <c r="B3" s="486"/>
      <c r="C3" s="486"/>
      <c r="D3" s="486"/>
      <c r="E3" s="486"/>
      <c r="F3" s="486"/>
      <c r="G3" s="486"/>
      <c r="H3" s="486"/>
      <c r="I3" s="486"/>
      <c r="J3" s="486"/>
      <c r="K3" s="212">
        <v>0</v>
      </c>
      <c r="L3" s="228"/>
      <c r="M3" s="212">
        <v>0</v>
      </c>
      <c r="N3" s="94"/>
    </row>
    <row r="4" spans="1:18">
      <c r="A4" s="26">
        <v>1</v>
      </c>
      <c r="B4" s="27">
        <v>46113</v>
      </c>
      <c r="C4" s="17"/>
      <c r="D4" s="17"/>
      <c r="E4" s="17"/>
      <c r="F4" s="17"/>
      <c r="G4" s="17">
        <f>E4*F4</f>
        <v>0</v>
      </c>
      <c r="H4" s="323"/>
      <c r="I4" s="17"/>
      <c r="J4" s="17"/>
      <c r="K4" s="17">
        <f>G4+J4</f>
        <v>0</v>
      </c>
      <c r="L4" s="17">
        <v>0</v>
      </c>
      <c r="M4" s="40">
        <f>M3+K4-L4</f>
        <v>0</v>
      </c>
      <c r="N4" s="17"/>
    </row>
    <row r="5" spans="1:18">
      <c r="A5" s="26">
        <v>2</v>
      </c>
      <c r="B5" s="27">
        <v>46114</v>
      </c>
      <c r="C5" s="17"/>
      <c r="D5" s="17"/>
      <c r="E5" s="17"/>
      <c r="F5" s="17"/>
      <c r="G5" s="17">
        <f>E5*F5</f>
        <v>0</v>
      </c>
      <c r="H5" s="323"/>
      <c r="I5" s="17"/>
      <c r="J5" s="17">
        <f>H5*I5</f>
        <v>0</v>
      </c>
      <c r="K5" s="17">
        <f>G5+J5</f>
        <v>0</v>
      </c>
      <c r="L5" s="17">
        <v>0</v>
      </c>
      <c r="M5" s="40">
        <f>M4+K5-L5</f>
        <v>0</v>
      </c>
      <c r="N5" s="17"/>
    </row>
    <row r="6" spans="1:18">
      <c r="A6" s="26">
        <v>3</v>
      </c>
      <c r="B6" s="27">
        <v>46115</v>
      </c>
      <c r="C6" s="17"/>
      <c r="D6" s="17"/>
      <c r="E6" s="17"/>
      <c r="F6" s="17"/>
      <c r="G6" s="17">
        <f>E6*F6</f>
        <v>0</v>
      </c>
      <c r="H6" s="323"/>
      <c r="I6" s="17"/>
      <c r="J6" s="17">
        <f>H6*I6</f>
        <v>0</v>
      </c>
      <c r="K6" s="17">
        <f>G6+J6</f>
        <v>0</v>
      </c>
      <c r="L6" s="17">
        <v>0</v>
      </c>
      <c r="M6" s="40">
        <f>M5+K6-L6</f>
        <v>0</v>
      </c>
      <c r="N6" s="17"/>
    </row>
    <row r="7" spans="1:18">
      <c r="A7" s="26">
        <v>4</v>
      </c>
      <c r="B7" s="27">
        <v>46116</v>
      </c>
      <c r="C7" s="17"/>
      <c r="D7" s="17"/>
      <c r="E7" s="17"/>
      <c r="F7" s="17"/>
      <c r="G7" s="17">
        <f>E7*F7</f>
        <v>0</v>
      </c>
      <c r="H7" s="323"/>
      <c r="I7" s="17"/>
      <c r="J7" s="17">
        <f>H7*I7</f>
        <v>0</v>
      </c>
      <c r="K7" s="17">
        <f>G7+J7</f>
        <v>0</v>
      </c>
      <c r="L7" s="17">
        <v>0</v>
      </c>
      <c r="M7" s="40">
        <f>M6+K7-L7</f>
        <v>0</v>
      </c>
      <c r="N7" s="17"/>
    </row>
    <row r="8" spans="1:18">
      <c r="A8" s="26">
        <v>5</v>
      </c>
      <c r="B8" s="27">
        <v>46117</v>
      </c>
      <c r="C8" s="17"/>
      <c r="D8" s="17"/>
      <c r="E8" s="17"/>
      <c r="F8" s="17"/>
      <c r="G8" s="40">
        <f>E8*F8</f>
        <v>0</v>
      </c>
      <c r="H8" s="323"/>
      <c r="I8" s="17"/>
      <c r="J8" s="17">
        <f>H8*I8</f>
        <v>0</v>
      </c>
      <c r="K8" s="40">
        <f>G8+J8</f>
        <v>0</v>
      </c>
      <c r="L8" s="17">
        <v>0</v>
      </c>
      <c r="M8" s="40">
        <f>M7+K8-L8</f>
        <v>0</v>
      </c>
      <c r="N8" s="17"/>
    </row>
    <row r="9" spans="1:18">
      <c r="A9" s="26">
        <v>6</v>
      </c>
      <c r="B9" s="27">
        <v>46118</v>
      </c>
      <c r="C9" s="17"/>
      <c r="D9" s="17"/>
      <c r="E9" s="17"/>
      <c r="F9" s="17"/>
      <c r="G9" s="40">
        <f>E9*F9</f>
        <v>0</v>
      </c>
      <c r="H9" s="323"/>
      <c r="I9" s="17"/>
      <c r="J9" s="17">
        <f>H9*I9</f>
        <v>0</v>
      </c>
      <c r="K9" s="40">
        <f>G9+J9</f>
        <v>0</v>
      </c>
      <c r="L9" s="17">
        <v>0</v>
      </c>
      <c r="M9" s="40">
        <f>M8+K9-L9</f>
        <v>0</v>
      </c>
      <c r="N9" s="17"/>
    </row>
    <row r="10" spans="1:18">
      <c r="A10" s="26">
        <v>7</v>
      </c>
      <c r="B10" s="27">
        <v>46119</v>
      </c>
      <c r="C10" s="17"/>
      <c r="D10" s="17"/>
      <c r="E10" s="17"/>
      <c r="F10" s="17"/>
      <c r="G10" s="40">
        <f>E10*F10</f>
        <v>0</v>
      </c>
      <c r="H10" s="323"/>
      <c r="I10" s="17"/>
      <c r="J10" s="17">
        <f>H10*I10</f>
        <v>0</v>
      </c>
      <c r="K10" s="40">
        <f>G10+J10</f>
        <v>0</v>
      </c>
      <c r="L10" s="17">
        <v>0</v>
      </c>
      <c r="M10" s="40">
        <f>M9+K10-L10</f>
        <v>0</v>
      </c>
      <c r="N10" s="17"/>
    </row>
    <row r="11" spans="1:18">
      <c r="A11" s="26">
        <v>8</v>
      </c>
      <c r="B11" s="27">
        <v>46120</v>
      </c>
      <c r="C11" s="17"/>
      <c r="D11" s="17"/>
      <c r="E11" s="17"/>
      <c r="F11" s="17"/>
      <c r="G11" s="40">
        <f>E11*F11</f>
        <v>0</v>
      </c>
      <c r="H11" s="323"/>
      <c r="I11" s="17"/>
      <c r="J11" s="17">
        <f>H11*I11</f>
        <v>0</v>
      </c>
      <c r="K11" s="40">
        <f>G11+J11</f>
        <v>0</v>
      </c>
      <c r="L11" s="17">
        <v>0</v>
      </c>
      <c r="M11" s="40">
        <f>M10+K11-L11</f>
        <v>0</v>
      </c>
      <c r="N11" s="17"/>
    </row>
    <row r="12" spans="1:18">
      <c r="A12" s="26">
        <v>9</v>
      </c>
      <c r="B12" s="27">
        <v>46121</v>
      </c>
      <c r="C12" s="17"/>
      <c r="D12" s="17"/>
      <c r="E12" s="17"/>
      <c r="F12" s="17"/>
      <c r="G12" s="40">
        <f>E12*F12</f>
        <v>0</v>
      </c>
      <c r="H12" s="323"/>
      <c r="I12" s="17"/>
      <c r="J12" s="17">
        <f>H12*I12</f>
        <v>0</v>
      </c>
      <c r="K12" s="40">
        <f>G12+J12</f>
        <v>0</v>
      </c>
      <c r="L12" s="17">
        <v>0</v>
      </c>
      <c r="M12" s="40">
        <f>M11+K12-L12</f>
        <v>0</v>
      </c>
      <c r="N12" s="17"/>
    </row>
    <row r="13" spans="1:18">
      <c r="A13" s="26">
        <v>10</v>
      </c>
      <c r="B13" s="27">
        <v>46122</v>
      </c>
      <c r="C13" s="17"/>
      <c r="D13" s="17"/>
      <c r="E13" s="17"/>
      <c r="F13" s="17"/>
      <c r="G13" s="40">
        <f>E13*F13</f>
        <v>0</v>
      </c>
      <c r="H13" s="323"/>
      <c r="I13" s="17"/>
      <c r="J13" s="17">
        <f>H13*I13</f>
        <v>0</v>
      </c>
      <c r="K13" s="40">
        <f>G13+J13</f>
        <v>0</v>
      </c>
      <c r="L13" s="17">
        <v>0</v>
      </c>
      <c r="M13" s="40">
        <f>M12+K13-L13</f>
        <v>0</v>
      </c>
      <c r="N13" s="17"/>
      <c r="P13" s="22"/>
    </row>
    <row r="14" spans="1:18">
      <c r="A14" s="26">
        <v>11</v>
      </c>
      <c r="B14" s="27">
        <v>46123</v>
      </c>
      <c r="C14" s="17"/>
      <c r="D14" s="17"/>
      <c r="E14" s="17"/>
      <c r="F14" s="17"/>
      <c r="G14" s="40">
        <f>E14*F14</f>
        <v>0</v>
      </c>
      <c r="H14" s="323"/>
      <c r="I14" s="17"/>
      <c r="J14" s="17">
        <f>H14*I14</f>
        <v>0</v>
      </c>
      <c r="K14" s="40">
        <f>G14+J14</f>
        <v>0</v>
      </c>
      <c r="L14" s="17">
        <v>0</v>
      </c>
      <c r="M14" s="40">
        <f>M13+K14-L14</f>
        <v>0</v>
      </c>
      <c r="N14" s="17"/>
    </row>
    <row r="15" spans="1:18">
      <c r="A15" s="26">
        <v>12</v>
      </c>
      <c r="B15" s="27">
        <v>46124</v>
      </c>
      <c r="C15" s="17"/>
      <c r="D15" s="17"/>
      <c r="E15" s="17"/>
      <c r="F15" s="17"/>
      <c r="G15" s="40">
        <f>E15*F15</f>
        <v>0</v>
      </c>
      <c r="H15" s="323"/>
      <c r="I15" s="17"/>
      <c r="J15" s="17">
        <f>H15*I15</f>
        <v>0</v>
      </c>
      <c r="K15" s="40">
        <f>G15+J15</f>
        <v>0</v>
      </c>
      <c r="L15" s="17">
        <v>0</v>
      </c>
      <c r="M15" s="40">
        <f>M14+K15-L15</f>
        <v>0</v>
      </c>
      <c r="N15" s="17"/>
      <c r="R15" s="22"/>
    </row>
    <row r="16" spans="1:18">
      <c r="A16" s="26">
        <v>13</v>
      </c>
      <c r="B16" s="27">
        <v>46125</v>
      </c>
      <c r="C16" s="17"/>
      <c r="D16" s="17"/>
      <c r="E16" s="17"/>
      <c r="F16" s="17"/>
      <c r="G16" s="40">
        <f>E16*F16</f>
        <v>0</v>
      </c>
      <c r="H16" s="323"/>
      <c r="I16" s="17"/>
      <c r="J16" s="17">
        <f>H16*I16</f>
        <v>0</v>
      </c>
      <c r="K16" s="40">
        <f>G16+J16</f>
        <v>0</v>
      </c>
      <c r="L16" s="17">
        <v>0</v>
      </c>
      <c r="M16" s="40">
        <f>M15+K16-L16</f>
        <v>0</v>
      </c>
      <c r="N16" s="17"/>
    </row>
    <row r="17" spans="1:21">
      <c r="A17" s="26">
        <v>14</v>
      </c>
      <c r="B17" s="27">
        <v>46126</v>
      </c>
      <c r="C17" s="17"/>
      <c r="D17" s="17"/>
      <c r="E17" s="17"/>
      <c r="F17" s="17"/>
      <c r="G17" s="40">
        <f>E17*F17</f>
        <v>0</v>
      </c>
      <c r="H17" s="323"/>
      <c r="I17" s="17"/>
      <c r="J17" s="17">
        <f>H17*I17</f>
        <v>0</v>
      </c>
      <c r="K17" s="17">
        <f>G17+J17</f>
        <v>0</v>
      </c>
      <c r="L17" s="17">
        <v>0</v>
      </c>
      <c r="M17" s="40">
        <f>M16+K17-L17</f>
        <v>0</v>
      </c>
      <c r="N17" s="17"/>
      <c r="U17" s="404">
        <v>257315</v>
      </c>
    </row>
    <row r="18" spans="1:21">
      <c r="A18" s="26">
        <v>15</v>
      </c>
      <c r="B18" s="27">
        <v>46127</v>
      </c>
      <c r="C18" s="17"/>
      <c r="D18" s="17"/>
      <c r="E18" s="17"/>
      <c r="F18" s="17"/>
      <c r="G18" s="40">
        <f>E18*F18</f>
        <v>0</v>
      </c>
      <c r="H18" s="323"/>
      <c r="I18" s="17"/>
      <c r="J18" s="17">
        <f>H18*I18</f>
        <v>0</v>
      </c>
      <c r="K18" s="17">
        <f>G18+J18</f>
        <v>0</v>
      </c>
      <c r="L18" s="17">
        <v>0</v>
      </c>
      <c r="M18" s="40">
        <f>M17+K18-L18</f>
        <v>0</v>
      </c>
      <c r="N18" s="17"/>
      <c r="U18" s="404">
        <v>22996</v>
      </c>
    </row>
    <row r="19" spans="1:21">
      <c r="A19" s="26">
        <v>16</v>
      </c>
      <c r="B19" s="27">
        <v>46128</v>
      </c>
      <c r="C19" s="17"/>
      <c r="D19" s="17"/>
      <c r="E19" s="17"/>
      <c r="F19" s="17"/>
      <c r="G19" s="40">
        <f>E19*F19</f>
        <v>0</v>
      </c>
      <c r="H19" s="323"/>
      <c r="I19" s="17"/>
      <c r="J19" s="17">
        <f>H19*I19</f>
        <v>0</v>
      </c>
      <c r="K19" s="17">
        <f>G19+J19</f>
        <v>0</v>
      </c>
      <c r="L19" s="17">
        <v>0</v>
      </c>
      <c r="M19" s="40">
        <f>M18+K19-L19</f>
        <v>0</v>
      </c>
      <c r="N19" s="17"/>
      <c r="U19" s="404">
        <f>U17+U18</f>
        <v>280311</v>
      </c>
    </row>
    <row r="20" spans="1:21">
      <c r="A20" s="26">
        <v>17</v>
      </c>
      <c r="B20" s="27">
        <v>46129</v>
      </c>
      <c r="C20" s="17"/>
      <c r="D20" s="17"/>
      <c r="E20" s="17"/>
      <c r="F20" s="17"/>
      <c r="G20" s="40">
        <f>E20*F20</f>
        <v>0</v>
      </c>
      <c r="H20" s="323"/>
      <c r="I20" s="17"/>
      <c r="J20" s="17">
        <f>H20*I20</f>
        <v>0</v>
      </c>
      <c r="K20" s="17">
        <f>G20+J20</f>
        <v>0</v>
      </c>
      <c r="L20" s="17">
        <v>0</v>
      </c>
      <c r="M20" s="40">
        <f>M19+K20-L20</f>
        <v>0</v>
      </c>
      <c r="N20" s="17"/>
      <c r="U20" s="404">
        <f>U19-183340</f>
        <v>96971</v>
      </c>
    </row>
    <row r="21" spans="1:21">
      <c r="A21" s="26">
        <v>18</v>
      </c>
      <c r="B21" s="27">
        <v>46130</v>
      </c>
      <c r="C21" s="17"/>
      <c r="D21" s="17"/>
      <c r="E21" s="17"/>
      <c r="F21" s="17"/>
      <c r="G21" s="40">
        <f>E21*F21</f>
        <v>0</v>
      </c>
      <c r="H21" s="323"/>
      <c r="I21" s="17"/>
      <c r="J21" s="17">
        <f>H21*I21</f>
        <v>0</v>
      </c>
      <c r="K21" s="17">
        <f>G21+J21</f>
        <v>0</v>
      </c>
      <c r="L21" s="17">
        <v>0</v>
      </c>
      <c r="M21" s="40">
        <f>M20+K21-L21</f>
        <v>0</v>
      </c>
      <c r="N21" s="17"/>
    </row>
    <row r="22" spans="1:21">
      <c r="A22" s="26">
        <v>19</v>
      </c>
      <c r="B22" s="27">
        <v>46131</v>
      </c>
      <c r="C22" s="17"/>
      <c r="D22" s="17"/>
      <c r="E22" s="17"/>
      <c r="F22" s="17"/>
      <c r="G22" s="346">
        <f>E22*F22</f>
        <v>0</v>
      </c>
      <c r="H22" s="323"/>
      <c r="I22" s="17"/>
      <c r="J22" s="17">
        <f>H22*I22</f>
        <v>0</v>
      </c>
      <c r="K22" s="17">
        <f>G22+J22</f>
        <v>0</v>
      </c>
      <c r="L22" s="17">
        <v>0</v>
      </c>
      <c r="M22" s="40">
        <f>M21+K22-L22</f>
        <v>0</v>
      </c>
      <c r="N22" s="17"/>
      <c r="R22">
        <v>91.67</v>
      </c>
    </row>
    <row r="23" spans="1:21">
      <c r="A23" s="26">
        <v>20</v>
      </c>
      <c r="B23" s="27">
        <v>46132</v>
      </c>
      <c r="C23" s="17"/>
      <c r="D23" s="17"/>
      <c r="E23" s="17"/>
      <c r="F23" s="17"/>
      <c r="G23" s="346">
        <f>E23*F23</f>
        <v>0</v>
      </c>
      <c r="H23" s="323"/>
      <c r="I23" s="17"/>
      <c r="J23" s="17">
        <f>H23*I23</f>
        <v>0</v>
      </c>
      <c r="K23" s="17">
        <f>G23+J23</f>
        <v>0</v>
      </c>
      <c r="L23" s="17">
        <v>0</v>
      </c>
      <c r="M23" s="40">
        <f>M22+K23-L23</f>
        <v>0</v>
      </c>
      <c r="N23" s="17"/>
      <c r="R23">
        <v>2000</v>
      </c>
      <c r="U23">
        <v>197391.46</v>
      </c>
    </row>
    <row r="24" spans="1:21">
      <c r="A24" s="26">
        <v>21</v>
      </c>
      <c r="B24" s="27">
        <v>46133</v>
      </c>
      <c r="C24" s="17"/>
      <c r="D24" s="17"/>
      <c r="E24" s="17">
        <v>3135.46</v>
      </c>
      <c r="F24" s="17">
        <v>95.68</v>
      </c>
      <c r="G24" s="346">
        <f>E24*F24</f>
        <v>300000.81280000001</v>
      </c>
      <c r="H24" s="323"/>
      <c r="I24" s="17"/>
      <c r="J24" s="17">
        <f>H24*I24</f>
        <v>0</v>
      </c>
      <c r="K24" s="17">
        <f>G24+J24</f>
        <v>300000.81280000001</v>
      </c>
      <c r="L24" s="346">
        <f>H24+K24</f>
        <v>300000.81280000001</v>
      </c>
      <c r="M24" s="40">
        <f>M23+K24-L24</f>
        <v>0</v>
      </c>
      <c r="N24" s="17"/>
      <c r="R24">
        <f>R23*R22</f>
        <v>183340</v>
      </c>
    </row>
    <row r="25" spans="1:21">
      <c r="A25" s="26">
        <v>22</v>
      </c>
      <c r="B25" s="27">
        <v>46134</v>
      </c>
      <c r="C25" s="17"/>
      <c r="D25" s="17"/>
      <c r="E25" s="17"/>
      <c r="F25" s="17"/>
      <c r="G25" s="346">
        <f>E25*F25</f>
        <v>0</v>
      </c>
      <c r="H25" s="323"/>
      <c r="I25" s="17"/>
      <c r="J25" s="17">
        <f>H25*I25</f>
        <v>0</v>
      </c>
      <c r="K25" s="17">
        <f>G25+J25</f>
        <v>0</v>
      </c>
      <c r="L25" s="17">
        <v>0</v>
      </c>
      <c r="M25" s="40">
        <f>M24+K25-L25</f>
        <v>0</v>
      </c>
      <c r="N25" s="17"/>
    </row>
    <row r="26" spans="1:21">
      <c r="A26" s="26">
        <v>23</v>
      </c>
      <c r="B26" s="27">
        <v>46135</v>
      </c>
      <c r="C26" s="17"/>
      <c r="D26" s="17"/>
      <c r="E26" s="17"/>
      <c r="F26" s="17"/>
      <c r="G26" s="346">
        <f>E26*F26</f>
        <v>0</v>
      </c>
      <c r="H26" s="323"/>
      <c r="I26" s="17"/>
      <c r="J26" s="17">
        <f>H26*I26</f>
        <v>0</v>
      </c>
      <c r="K26" s="17">
        <f>G26+J26</f>
        <v>0</v>
      </c>
      <c r="L26" s="17">
        <v>0</v>
      </c>
      <c r="M26" s="40">
        <f>M25+K26-L26</f>
        <v>0</v>
      </c>
      <c r="N26" s="17"/>
    </row>
    <row r="27" spans="1:21">
      <c r="A27" s="26">
        <v>24</v>
      </c>
      <c r="B27" s="27">
        <v>46136</v>
      </c>
      <c r="C27" s="17"/>
      <c r="D27" s="17"/>
      <c r="E27" s="17"/>
      <c r="F27" s="17"/>
      <c r="G27" s="346">
        <f>E27*F27</f>
        <v>0</v>
      </c>
      <c r="H27" s="323"/>
      <c r="I27" s="17"/>
      <c r="J27" s="17">
        <f>H27*I27</f>
        <v>0</v>
      </c>
      <c r="K27" s="17">
        <f>G27+J27</f>
        <v>0</v>
      </c>
      <c r="L27" s="17">
        <v>0</v>
      </c>
      <c r="M27" s="40">
        <f>M26+K27-L27</f>
        <v>0</v>
      </c>
      <c r="N27" s="17"/>
    </row>
    <row r="28" spans="1:21">
      <c r="A28" s="26">
        <v>25</v>
      </c>
      <c r="B28" s="27">
        <v>46137</v>
      </c>
      <c r="C28" s="17"/>
      <c r="D28" s="17"/>
      <c r="E28" s="17"/>
      <c r="F28" s="17"/>
      <c r="G28" s="346">
        <f>E28*F28</f>
        <v>0</v>
      </c>
      <c r="H28" s="323"/>
      <c r="I28" s="17"/>
      <c r="J28" s="17">
        <f>H28*I28</f>
        <v>0</v>
      </c>
      <c r="K28" s="17">
        <f>G28+J28</f>
        <v>0</v>
      </c>
      <c r="L28" s="17">
        <v>0</v>
      </c>
      <c r="M28" s="40">
        <f>M27+K28-L28</f>
        <v>0</v>
      </c>
      <c r="N28" s="17"/>
    </row>
    <row r="29" spans="1:21">
      <c r="A29" s="26">
        <v>26</v>
      </c>
      <c r="B29" s="27">
        <v>46138</v>
      </c>
      <c r="C29" s="17"/>
      <c r="D29" s="17"/>
      <c r="E29" s="17"/>
      <c r="F29" s="17"/>
      <c r="G29" s="346">
        <f>E29*F29</f>
        <v>0</v>
      </c>
      <c r="H29" s="323"/>
      <c r="I29" s="17"/>
      <c r="J29" s="17">
        <f>H29*I29</f>
        <v>0</v>
      </c>
      <c r="K29" s="17">
        <f>G29+J29</f>
        <v>0</v>
      </c>
      <c r="L29" s="17">
        <v>0</v>
      </c>
      <c r="M29" s="40">
        <f>M28+K29-L29</f>
        <v>0</v>
      </c>
      <c r="N29" s="17"/>
    </row>
    <row r="30" spans="1:21">
      <c r="A30" s="26">
        <v>27</v>
      </c>
      <c r="B30" s="27">
        <v>46139</v>
      </c>
      <c r="C30" s="17"/>
      <c r="D30" s="17"/>
      <c r="E30" s="17"/>
      <c r="F30" s="17"/>
      <c r="G30" s="346">
        <f>E30*F30</f>
        <v>0</v>
      </c>
      <c r="H30" s="323"/>
      <c r="I30" s="17"/>
      <c r="J30" s="17">
        <f>H30*I30</f>
        <v>0</v>
      </c>
      <c r="K30" s="17">
        <f>G30+J30</f>
        <v>0</v>
      </c>
      <c r="L30" s="17">
        <v>0</v>
      </c>
      <c r="M30" s="40">
        <f>M29+K30-L30</f>
        <v>0</v>
      </c>
      <c r="N30" s="17"/>
      <c r="P30" s="22"/>
    </row>
    <row r="31" spans="1:21">
      <c r="A31" s="26">
        <v>28</v>
      </c>
      <c r="B31" s="27">
        <v>46140</v>
      </c>
      <c r="C31" s="17"/>
      <c r="D31" s="17"/>
      <c r="E31" s="17"/>
      <c r="F31" s="17"/>
      <c r="G31" s="346">
        <f>E31*F31</f>
        <v>0</v>
      </c>
      <c r="H31" s="323"/>
      <c r="I31" s="17"/>
      <c r="J31" s="17">
        <f>H31*I31</f>
        <v>0</v>
      </c>
      <c r="K31" s="17">
        <f>G31+J31</f>
        <v>0</v>
      </c>
      <c r="L31" s="17">
        <v>0</v>
      </c>
      <c r="M31" s="40">
        <f>M30+K31-L31</f>
        <v>0</v>
      </c>
      <c r="N31" s="17"/>
    </row>
    <row r="32" spans="1:21">
      <c r="A32" s="26">
        <v>29</v>
      </c>
      <c r="B32" s="27">
        <v>46141</v>
      </c>
      <c r="C32" s="17"/>
      <c r="D32" s="17"/>
      <c r="E32" s="17"/>
      <c r="F32" s="17"/>
      <c r="G32" s="346">
        <f>E32*F32</f>
        <v>0</v>
      </c>
      <c r="H32" s="323"/>
      <c r="I32" s="17"/>
      <c r="J32" s="17">
        <f>H32*I32</f>
        <v>0</v>
      </c>
      <c r="K32" s="17">
        <f>G32+J32</f>
        <v>0</v>
      </c>
      <c r="L32" s="17">
        <v>0</v>
      </c>
      <c r="M32" s="40">
        <f>M31+K32-L32</f>
        <v>0</v>
      </c>
      <c r="N32" s="17"/>
      <c r="P32" s="22"/>
    </row>
    <row r="33" spans="1:14">
      <c r="A33" s="26">
        <v>30</v>
      </c>
      <c r="B33" s="27">
        <v>46142</v>
      </c>
      <c r="C33" s="17"/>
      <c r="D33" s="17"/>
      <c r="E33" s="17"/>
      <c r="F33" s="17"/>
      <c r="G33" s="346">
        <f>E33*F33</f>
        <v>0</v>
      </c>
      <c r="H33" s="323"/>
      <c r="I33" s="17"/>
      <c r="J33" s="17">
        <f>H33*I33</f>
        <v>0</v>
      </c>
      <c r="K33" s="17">
        <f>G33+J33</f>
        <v>0</v>
      </c>
      <c r="L33" s="17">
        <v>0</v>
      </c>
      <c r="M33" s="40">
        <f>M32+K33-L33</f>
        <v>0</v>
      </c>
      <c r="N33" s="17"/>
    </row>
    <row r="34" spans="1:14">
      <c r="A34" s="26">
        <v>31</v>
      </c>
      <c r="B34" s="27"/>
      <c r="C34" s="17"/>
      <c r="D34" s="17"/>
      <c r="E34" s="17"/>
      <c r="F34" s="17"/>
      <c r="G34" s="346">
        <f>E34*F34</f>
        <v>0</v>
      </c>
      <c r="H34" s="323"/>
      <c r="I34" s="17"/>
      <c r="J34" s="17"/>
      <c r="K34" s="17">
        <f>G34+J34</f>
        <v>0</v>
      </c>
      <c r="L34" s="17">
        <v>0</v>
      </c>
      <c r="M34" s="40">
        <f>M33+K34-L34</f>
        <v>0</v>
      </c>
      <c r="N34" s="17"/>
    </row>
    <row r="35" spans="1:14">
      <c r="A35" s="26">
        <v>32</v>
      </c>
      <c r="B35" s="27"/>
      <c r="C35" s="17"/>
      <c r="D35" s="17"/>
      <c r="E35" s="17"/>
      <c r="F35" s="17"/>
      <c r="G35" s="346">
        <f>E35*F35</f>
        <v>0</v>
      </c>
      <c r="H35" s="323"/>
      <c r="I35" s="17"/>
      <c r="J35" s="17">
        <f>H35*I35</f>
        <v>0</v>
      </c>
      <c r="K35" s="17">
        <f>G35+J35</f>
        <v>0</v>
      </c>
      <c r="L35" s="17">
        <v>0</v>
      </c>
      <c r="M35" s="40">
        <f>M34+K35-L35</f>
        <v>0</v>
      </c>
      <c r="N35" s="17"/>
    </row>
    <row r="36" spans="1:14">
      <c r="A36" s="26">
        <v>33</v>
      </c>
      <c r="B36" s="27"/>
      <c r="C36" s="17"/>
      <c r="D36" s="17"/>
      <c r="E36" s="17"/>
      <c r="F36" s="17"/>
      <c r="G36" s="346">
        <f>E36*F36</f>
        <v>0</v>
      </c>
      <c r="H36" s="323"/>
      <c r="I36" s="17"/>
      <c r="J36" s="17">
        <f>H36*I36</f>
        <v>0</v>
      </c>
      <c r="K36" s="17">
        <f>G36+J36</f>
        <v>0</v>
      </c>
      <c r="L36" s="17">
        <v>0</v>
      </c>
      <c r="M36" s="17"/>
      <c r="N36" s="17"/>
    </row>
    <row r="37" spans="1:14">
      <c r="A37" s="26">
        <v>34</v>
      </c>
      <c r="B37" s="27"/>
      <c r="C37" s="17"/>
      <c r="D37" s="17"/>
      <c r="E37" s="17"/>
      <c r="F37" s="17"/>
      <c r="G37" s="346">
        <f>E37*F37</f>
        <v>0</v>
      </c>
      <c r="H37" s="323"/>
      <c r="I37" s="17"/>
      <c r="J37" s="17">
        <f>H37*I37</f>
        <v>0</v>
      </c>
      <c r="K37" s="17">
        <f>G37+J37</f>
        <v>0</v>
      </c>
      <c r="L37" s="17"/>
      <c r="M37" s="17"/>
      <c r="N37" s="17"/>
    </row>
    <row r="38" spans="1:14">
      <c r="A38" s="42"/>
      <c r="B38" s="42"/>
      <c r="C38" s="42"/>
      <c r="D38" s="42"/>
      <c r="E38" s="229">
        <f>SUM(E3:E37)</f>
        <v>3135.46</v>
      </c>
      <c r="F38" s="229"/>
      <c r="G38" s="229">
        <f>SUM(G3:G37)</f>
        <v>300000.81280000001</v>
      </c>
      <c r="H38" s="229">
        <f>SUM(H3:H37)</f>
        <v>0</v>
      </c>
      <c r="I38" s="229"/>
      <c r="J38" s="229">
        <f>SUM(J3:J37)</f>
        <v>0</v>
      </c>
      <c r="K38" s="229">
        <f>SUM(K4:K37)</f>
        <v>300000.81280000001</v>
      </c>
      <c r="L38" s="229">
        <f>SUM(L3:L37)</f>
        <v>300000.81280000001</v>
      </c>
      <c r="M38" s="229"/>
      <c r="N38" s="229"/>
    </row>
  </sheetData>
  <mergeCells count="2">
    <mergeCell ref="A1:N1"/>
    <mergeCell ref="A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002E-DF3D-473F-82CE-A339634F7C34}">
  <sheetPr>
    <tabColor rgb="FF00B050"/>
  </sheetPr>
  <dimension ref="A1:U46"/>
  <sheetViews>
    <sheetView topLeftCell="A34" workbookViewId="0">
      <selection activeCell="E52" sqref="E52"/>
    </sheetView>
  </sheetViews>
  <sheetFormatPr defaultRowHeight="15"/>
  <cols>
    <col min="2" max="2" width="16.140625" customWidth="1"/>
    <col min="3" max="3" width="37" bestFit="1" customWidth="1"/>
    <col min="12" max="12" width="13.5703125" bestFit="1" customWidth="1"/>
    <col min="13" max="13" width="11.42578125" bestFit="1" customWidth="1"/>
  </cols>
  <sheetData>
    <row r="1" spans="1:18" ht="15.75">
      <c r="A1" s="485" t="s">
        <v>186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</row>
    <row r="2" spans="1:18" ht="30.75">
      <c r="A2" s="124" t="s">
        <v>0</v>
      </c>
      <c r="B2" s="125" t="s">
        <v>164</v>
      </c>
      <c r="C2" s="125"/>
      <c r="D2" s="125" t="s">
        <v>166</v>
      </c>
      <c r="E2" s="125" t="s">
        <v>167</v>
      </c>
      <c r="F2" s="125" t="s">
        <v>168</v>
      </c>
      <c r="G2" s="125" t="s">
        <v>169</v>
      </c>
      <c r="H2" s="125" t="s">
        <v>170</v>
      </c>
      <c r="I2" s="125" t="s">
        <v>168</v>
      </c>
      <c r="J2" s="126" t="s">
        <v>169</v>
      </c>
      <c r="K2" s="124" t="s">
        <v>171</v>
      </c>
      <c r="L2" s="127" t="s">
        <v>172</v>
      </c>
      <c r="M2" s="127" t="s">
        <v>182</v>
      </c>
      <c r="N2" s="125" t="s">
        <v>174</v>
      </c>
    </row>
    <row r="3" spans="1:18">
      <c r="A3" s="486" t="s">
        <v>175</v>
      </c>
      <c r="B3" s="486"/>
      <c r="C3" s="486"/>
      <c r="D3" s="486"/>
      <c r="E3" s="486"/>
      <c r="F3" s="486"/>
      <c r="G3" s="486"/>
      <c r="H3" s="486"/>
      <c r="I3" s="486"/>
      <c r="J3" s="486"/>
      <c r="K3" s="212">
        <v>0</v>
      </c>
      <c r="L3" s="228"/>
      <c r="M3" s="212">
        <v>0</v>
      </c>
      <c r="N3" s="94"/>
    </row>
    <row r="4" spans="1:18">
      <c r="A4" s="26">
        <v>1</v>
      </c>
      <c r="B4" s="27"/>
      <c r="C4" s="17"/>
      <c r="D4" s="17"/>
      <c r="E4" s="17"/>
      <c r="F4" s="17"/>
      <c r="G4" s="17">
        <f>E4*F4</f>
        <v>0</v>
      </c>
      <c r="H4" s="323"/>
      <c r="I4" s="17"/>
      <c r="J4" s="17"/>
      <c r="K4" s="17">
        <f>G4+J4</f>
        <v>0</v>
      </c>
      <c r="L4" s="17">
        <v>0</v>
      </c>
      <c r="M4" s="40">
        <f>M3+K4-L4</f>
        <v>0</v>
      </c>
      <c r="N4" s="17"/>
    </row>
    <row r="5" spans="1:18">
      <c r="A5" s="26">
        <v>2</v>
      </c>
      <c r="B5" s="27"/>
      <c r="C5" s="17"/>
      <c r="D5" s="17"/>
      <c r="E5" s="17"/>
      <c r="F5" s="17"/>
      <c r="G5" s="17">
        <f>E5*F5</f>
        <v>0</v>
      </c>
      <c r="H5" s="323"/>
      <c r="I5" s="17"/>
      <c r="J5" s="17">
        <f>H5*I5</f>
        <v>0</v>
      </c>
      <c r="K5" s="17">
        <f>G5+J5</f>
        <v>0</v>
      </c>
      <c r="L5" s="17">
        <v>0</v>
      </c>
      <c r="M5" s="40">
        <f>M4+K5-L5</f>
        <v>0</v>
      </c>
      <c r="N5" s="17"/>
    </row>
    <row r="6" spans="1:18">
      <c r="A6" s="26">
        <v>3</v>
      </c>
      <c r="B6" s="27"/>
      <c r="C6" s="17"/>
      <c r="D6" s="17"/>
      <c r="E6" s="17"/>
      <c r="F6" s="17"/>
      <c r="G6" s="17">
        <f>E6*F6</f>
        <v>0</v>
      </c>
      <c r="H6" s="323"/>
      <c r="I6" s="17"/>
      <c r="J6" s="17">
        <f>H6*I6</f>
        <v>0</v>
      </c>
      <c r="K6" s="17">
        <f>G6+J6</f>
        <v>0</v>
      </c>
      <c r="L6" s="17">
        <v>0</v>
      </c>
      <c r="M6" s="40">
        <f>M5+K6-L6</f>
        <v>0</v>
      </c>
      <c r="N6" s="17"/>
    </row>
    <row r="7" spans="1:18">
      <c r="A7" s="26">
        <v>4</v>
      </c>
      <c r="B7" s="27"/>
      <c r="C7" s="17"/>
      <c r="D7" s="17"/>
      <c r="E7" s="17"/>
      <c r="F7" s="17"/>
      <c r="G7" s="17">
        <f>E7*F7</f>
        <v>0</v>
      </c>
      <c r="H7" s="323"/>
      <c r="I7" s="17"/>
      <c r="J7" s="17">
        <f>H7*I7</f>
        <v>0</v>
      </c>
      <c r="K7" s="17">
        <f>G7+J7</f>
        <v>0</v>
      </c>
      <c r="L7" s="17">
        <v>0</v>
      </c>
      <c r="M7" s="40">
        <f>M6+K7-L7</f>
        <v>0</v>
      </c>
      <c r="N7" s="17"/>
    </row>
    <row r="8" spans="1:18">
      <c r="A8" s="26">
        <v>5</v>
      </c>
      <c r="B8" s="27"/>
      <c r="C8" s="17"/>
      <c r="D8" s="17"/>
      <c r="E8" s="17"/>
      <c r="F8" s="17"/>
      <c r="G8" s="40">
        <f>E8*F8</f>
        <v>0</v>
      </c>
      <c r="H8" s="323"/>
      <c r="I8" s="17"/>
      <c r="J8" s="17">
        <f>H8*I8</f>
        <v>0</v>
      </c>
      <c r="K8" s="40">
        <f>G8+J8</f>
        <v>0</v>
      </c>
      <c r="L8" s="17">
        <v>0</v>
      </c>
      <c r="M8" s="40">
        <f>M7+K8-L8</f>
        <v>0</v>
      </c>
      <c r="N8" s="17"/>
    </row>
    <row r="9" spans="1:18">
      <c r="A9" s="26">
        <v>6</v>
      </c>
      <c r="B9" s="27"/>
      <c r="C9" s="17"/>
      <c r="D9" s="17"/>
      <c r="E9" s="17"/>
      <c r="F9" s="17"/>
      <c r="G9" s="40">
        <f>E9*F9</f>
        <v>0</v>
      </c>
      <c r="H9" s="323"/>
      <c r="I9" s="17"/>
      <c r="J9" s="17">
        <f>H9*I9</f>
        <v>0</v>
      </c>
      <c r="K9" s="40">
        <f>G9+J9</f>
        <v>0</v>
      </c>
      <c r="L9" s="17">
        <v>0</v>
      </c>
      <c r="M9" s="40">
        <f>M8+K9-L9</f>
        <v>0</v>
      </c>
      <c r="N9" s="17"/>
    </row>
    <row r="10" spans="1:18">
      <c r="A10" s="26">
        <v>7</v>
      </c>
      <c r="B10" s="27"/>
      <c r="C10" s="17"/>
      <c r="D10" s="17"/>
      <c r="E10" s="17"/>
      <c r="F10" s="17"/>
      <c r="G10" s="40">
        <f>E10*F10</f>
        <v>0</v>
      </c>
      <c r="H10" s="323"/>
      <c r="I10" s="17"/>
      <c r="J10" s="17">
        <f>H10*I10</f>
        <v>0</v>
      </c>
      <c r="K10" s="40">
        <f>G10+J10</f>
        <v>0</v>
      </c>
      <c r="L10" s="17">
        <v>0</v>
      </c>
      <c r="M10" s="40">
        <f>M9+K10-L10</f>
        <v>0</v>
      </c>
      <c r="N10" s="17"/>
    </row>
    <row r="11" spans="1:18">
      <c r="A11" s="26">
        <v>8</v>
      </c>
      <c r="B11" s="27"/>
      <c r="C11" s="17"/>
      <c r="D11" s="17"/>
      <c r="E11" s="17"/>
      <c r="F11" s="17"/>
      <c r="G11" s="40">
        <f>E11*F11</f>
        <v>0</v>
      </c>
      <c r="H11" s="323"/>
      <c r="I11" s="17"/>
      <c r="J11" s="17">
        <f>H11*I11</f>
        <v>0</v>
      </c>
      <c r="K11" s="40">
        <f>G11+J11</f>
        <v>0</v>
      </c>
      <c r="L11" s="17">
        <v>0</v>
      </c>
      <c r="M11" s="40">
        <f>M10+K11-L11</f>
        <v>0</v>
      </c>
      <c r="N11" s="17"/>
    </row>
    <row r="12" spans="1:18">
      <c r="A12" s="26">
        <v>9</v>
      </c>
      <c r="B12" s="27"/>
      <c r="C12" s="17"/>
      <c r="D12" s="17"/>
      <c r="E12" s="17"/>
      <c r="F12" s="17"/>
      <c r="G12" s="40">
        <f>E12*F12</f>
        <v>0</v>
      </c>
      <c r="H12" s="323"/>
      <c r="I12" s="17"/>
      <c r="J12" s="17">
        <f>H12*I12</f>
        <v>0</v>
      </c>
      <c r="K12" s="40">
        <f>G12+J12</f>
        <v>0</v>
      </c>
      <c r="L12" s="17">
        <v>0</v>
      </c>
      <c r="M12" s="40">
        <f>M11+K12-L12</f>
        <v>0</v>
      </c>
      <c r="N12" s="17"/>
    </row>
    <row r="13" spans="1:18">
      <c r="A13" s="26">
        <v>10</v>
      </c>
      <c r="B13" s="27"/>
      <c r="C13" s="17"/>
      <c r="D13" s="17"/>
      <c r="E13" s="17"/>
      <c r="F13" s="17"/>
      <c r="G13" s="40">
        <f>E13*F13</f>
        <v>0</v>
      </c>
      <c r="H13" s="323"/>
      <c r="I13" s="17"/>
      <c r="J13" s="17">
        <f>H13*I13</f>
        <v>0</v>
      </c>
      <c r="K13" s="40">
        <f>G13+J13</f>
        <v>0</v>
      </c>
      <c r="L13" s="17">
        <v>0</v>
      </c>
      <c r="M13" s="40">
        <f>M12+K13-L13</f>
        <v>0</v>
      </c>
      <c r="N13" s="17"/>
      <c r="P13" s="22"/>
    </row>
    <row r="14" spans="1:18">
      <c r="A14" s="26">
        <v>11</v>
      </c>
      <c r="B14" s="27"/>
      <c r="C14" s="17"/>
      <c r="D14" s="17"/>
      <c r="E14" s="17"/>
      <c r="F14" s="17"/>
      <c r="G14" s="40">
        <f>E14*F14</f>
        <v>0</v>
      </c>
      <c r="H14" s="323"/>
      <c r="I14" s="17"/>
      <c r="J14" s="17">
        <f>H14*I14</f>
        <v>0</v>
      </c>
      <c r="K14" s="40">
        <f>G14+J14</f>
        <v>0</v>
      </c>
      <c r="L14" s="17">
        <v>0</v>
      </c>
      <c r="M14" s="40">
        <f>M13+K14-L14</f>
        <v>0</v>
      </c>
      <c r="N14" s="17"/>
    </row>
    <row r="15" spans="1:18">
      <c r="A15" s="26">
        <v>12</v>
      </c>
      <c r="B15" s="27"/>
      <c r="C15" s="17"/>
      <c r="D15" s="17"/>
      <c r="E15" s="17"/>
      <c r="F15" s="17"/>
      <c r="G15" s="40">
        <f>E15*F15</f>
        <v>0</v>
      </c>
      <c r="H15" s="323"/>
      <c r="I15" s="17"/>
      <c r="J15" s="17">
        <f>H15*I15</f>
        <v>0</v>
      </c>
      <c r="K15" s="40">
        <f>G15+J15</f>
        <v>0</v>
      </c>
      <c r="L15" s="17">
        <v>0</v>
      </c>
      <c r="M15" s="40">
        <f>M14+K15-L15</f>
        <v>0</v>
      </c>
      <c r="N15" s="17"/>
      <c r="R15" s="22"/>
    </row>
    <row r="16" spans="1:18">
      <c r="A16" s="26">
        <v>13</v>
      </c>
      <c r="B16" s="27"/>
      <c r="C16" s="17"/>
      <c r="D16" s="17"/>
      <c r="E16" s="17"/>
      <c r="F16" s="17"/>
      <c r="G16" s="40">
        <f>E16*F16</f>
        <v>0</v>
      </c>
      <c r="H16" s="323"/>
      <c r="I16" s="17"/>
      <c r="J16" s="17">
        <f>H16*I16</f>
        <v>0</v>
      </c>
      <c r="K16" s="40">
        <f>G16+J16</f>
        <v>0</v>
      </c>
      <c r="L16" s="17">
        <v>0</v>
      </c>
      <c r="M16" s="40">
        <f>M15+K16-L16</f>
        <v>0</v>
      </c>
      <c r="N16" s="17"/>
    </row>
    <row r="17" spans="1:21">
      <c r="A17" s="26">
        <v>14</v>
      </c>
      <c r="B17" s="27"/>
      <c r="C17" s="17"/>
      <c r="D17" s="17"/>
      <c r="E17" s="17"/>
      <c r="F17" s="17"/>
      <c r="G17" s="40">
        <f>E17*F17</f>
        <v>0</v>
      </c>
      <c r="H17" s="323"/>
      <c r="I17" s="17"/>
      <c r="J17" s="17">
        <f>H17*I17</f>
        <v>0</v>
      </c>
      <c r="K17" s="17">
        <f>G17+J17</f>
        <v>0</v>
      </c>
      <c r="L17" s="17">
        <v>0</v>
      </c>
      <c r="M17" s="40">
        <f>M16+K17-L17</f>
        <v>0</v>
      </c>
      <c r="N17" s="17"/>
      <c r="U17" s="404"/>
    </row>
    <row r="18" spans="1:21">
      <c r="A18" s="26">
        <v>15</v>
      </c>
      <c r="B18" s="27"/>
      <c r="C18" s="17"/>
      <c r="D18" s="17"/>
      <c r="E18" s="17"/>
      <c r="F18" s="17"/>
      <c r="G18" s="40">
        <f>E18*F18</f>
        <v>0</v>
      </c>
      <c r="H18" s="323"/>
      <c r="I18" s="17"/>
      <c r="J18" s="17">
        <f>H18*I18</f>
        <v>0</v>
      </c>
      <c r="K18" s="17">
        <f>G18+J18</f>
        <v>0</v>
      </c>
      <c r="L18" s="17">
        <v>0</v>
      </c>
      <c r="M18" s="40">
        <f>M17+K18-L18</f>
        <v>0</v>
      </c>
      <c r="N18" s="17"/>
      <c r="U18" s="404"/>
    </row>
    <row r="19" spans="1:21">
      <c r="A19" s="26">
        <v>16</v>
      </c>
      <c r="B19" s="27"/>
      <c r="C19" s="17"/>
      <c r="D19" s="17"/>
      <c r="E19" s="17"/>
      <c r="F19" s="17"/>
      <c r="G19" s="40">
        <f>E19*F19</f>
        <v>0</v>
      </c>
      <c r="H19" s="323"/>
      <c r="I19" s="17"/>
      <c r="J19" s="17">
        <f>H19*I19</f>
        <v>0</v>
      </c>
      <c r="K19" s="17">
        <f>G19+J19</f>
        <v>0</v>
      </c>
      <c r="L19" s="17">
        <v>0</v>
      </c>
      <c r="M19" s="40">
        <f>M18+K19-L19</f>
        <v>0</v>
      </c>
      <c r="N19" s="17"/>
      <c r="U19" s="404"/>
    </row>
    <row r="20" spans="1:21">
      <c r="A20" s="26">
        <v>17</v>
      </c>
      <c r="B20" s="27"/>
      <c r="C20" s="17"/>
      <c r="D20" s="17"/>
      <c r="E20" s="17"/>
      <c r="F20" s="17"/>
      <c r="G20" s="40">
        <f>E20*F20</f>
        <v>0</v>
      </c>
      <c r="H20" s="323"/>
      <c r="I20" s="17"/>
      <c r="J20" s="17">
        <f>H20*I20</f>
        <v>0</v>
      </c>
      <c r="K20" s="17">
        <f>G20+J20</f>
        <v>0</v>
      </c>
      <c r="L20" s="17">
        <v>0</v>
      </c>
      <c r="M20" s="40">
        <f>M19+K20-L20</f>
        <v>0</v>
      </c>
      <c r="N20" s="17"/>
      <c r="U20" s="404"/>
    </row>
    <row r="21" spans="1:21">
      <c r="A21" s="26">
        <v>18</v>
      </c>
      <c r="B21" s="27"/>
      <c r="C21" s="17"/>
      <c r="D21" s="17"/>
      <c r="E21" s="17"/>
      <c r="F21" s="17"/>
      <c r="G21" s="40">
        <f>E21*F21</f>
        <v>0</v>
      </c>
      <c r="H21" s="323"/>
      <c r="I21" s="17"/>
      <c r="J21" s="17">
        <f>H21*I21</f>
        <v>0</v>
      </c>
      <c r="K21" s="17">
        <f>G21+J21</f>
        <v>0</v>
      </c>
      <c r="L21" s="17">
        <v>0</v>
      </c>
      <c r="M21" s="40">
        <f>M20+K21-L21</f>
        <v>0</v>
      </c>
      <c r="N21" s="17"/>
    </row>
    <row r="22" spans="1:21">
      <c r="A22" s="26">
        <v>19</v>
      </c>
      <c r="B22" s="27"/>
      <c r="C22" s="17"/>
      <c r="D22" s="17"/>
      <c r="E22" s="17"/>
      <c r="F22" s="17"/>
      <c r="G22" s="346">
        <f>E22*F22</f>
        <v>0</v>
      </c>
      <c r="H22" s="323"/>
      <c r="I22" s="17"/>
      <c r="J22" s="17">
        <f>H22*I22</f>
        <v>0</v>
      </c>
      <c r="K22" s="17">
        <f>G22+J22</f>
        <v>0</v>
      </c>
      <c r="L22" s="17">
        <v>0</v>
      </c>
      <c r="M22" s="40">
        <f>M21+K22-L22</f>
        <v>0</v>
      </c>
      <c r="N22" s="17"/>
    </row>
    <row r="23" spans="1:21">
      <c r="A23" s="26">
        <v>20</v>
      </c>
      <c r="B23" s="27"/>
      <c r="C23" s="17"/>
      <c r="D23" s="17"/>
      <c r="E23" s="17"/>
      <c r="F23" s="17"/>
      <c r="G23" s="346">
        <f>E23*F23</f>
        <v>0</v>
      </c>
      <c r="H23" s="323"/>
      <c r="I23" s="17"/>
      <c r="J23" s="17">
        <f>H23*I23</f>
        <v>0</v>
      </c>
      <c r="K23" s="17">
        <f>G23+J23</f>
        <v>0</v>
      </c>
      <c r="L23" s="17">
        <v>0</v>
      </c>
      <c r="M23" s="40">
        <f>M22+K23-L23</f>
        <v>0</v>
      </c>
      <c r="N23" s="17"/>
    </row>
    <row r="24" spans="1:21">
      <c r="A24" s="26">
        <v>21</v>
      </c>
      <c r="B24" s="27"/>
      <c r="C24" s="17"/>
      <c r="D24" s="17"/>
      <c r="E24" s="17"/>
      <c r="F24" s="17"/>
      <c r="G24" s="346">
        <f>E24*F24</f>
        <v>0</v>
      </c>
      <c r="H24" s="323"/>
      <c r="I24" s="17"/>
      <c r="J24" s="17">
        <f>H24*I24</f>
        <v>0</v>
      </c>
      <c r="K24" s="17">
        <f>G24+J24</f>
        <v>0</v>
      </c>
      <c r="L24" s="346">
        <f>H24+K24</f>
        <v>0</v>
      </c>
      <c r="M24" s="40">
        <f>M23+K24-L24</f>
        <v>0</v>
      </c>
      <c r="N24" s="17"/>
    </row>
    <row r="25" spans="1:21">
      <c r="A25" s="26">
        <v>22</v>
      </c>
      <c r="B25" s="27" t="s">
        <v>187</v>
      </c>
      <c r="C25" s="17" t="s">
        <v>188</v>
      </c>
      <c r="D25" s="17"/>
      <c r="E25" s="184">
        <v>2900</v>
      </c>
      <c r="F25" s="184">
        <v>95.71</v>
      </c>
      <c r="G25" s="346">
        <f>E25*F25</f>
        <v>277559</v>
      </c>
      <c r="H25" s="323"/>
      <c r="I25" s="17"/>
      <c r="J25" s="17">
        <f>H25*I25</f>
        <v>0</v>
      </c>
      <c r="K25" s="17">
        <f>G25+J25</f>
        <v>277559</v>
      </c>
      <c r="L25" s="17">
        <f>H25+K25</f>
        <v>277559</v>
      </c>
      <c r="M25" s="40">
        <f>M24+K25-L25</f>
        <v>0</v>
      </c>
      <c r="N25" s="17" t="s">
        <v>189</v>
      </c>
    </row>
    <row r="26" spans="1:21" ht="16.5">
      <c r="A26" s="26">
        <v>23</v>
      </c>
      <c r="B26" s="27" t="s">
        <v>190</v>
      </c>
      <c r="C26" s="439" t="s">
        <v>191</v>
      </c>
      <c r="D26" s="17"/>
      <c r="E26" s="454">
        <v>2800</v>
      </c>
      <c r="F26" s="455">
        <v>95.68</v>
      </c>
      <c r="G26" s="346">
        <f>E26*F26</f>
        <v>267904</v>
      </c>
      <c r="H26" s="323"/>
      <c r="I26" s="17"/>
      <c r="J26" s="17">
        <f>H26*I26</f>
        <v>0</v>
      </c>
      <c r="K26" s="17">
        <f>G26+J26</f>
        <v>267904</v>
      </c>
      <c r="L26" s="17">
        <f>H26+K26</f>
        <v>267904</v>
      </c>
      <c r="M26" s="40">
        <f>M25+K26-L26</f>
        <v>0</v>
      </c>
      <c r="N26" s="17" t="s">
        <v>178</v>
      </c>
    </row>
    <row r="27" spans="1:21" ht="16.5">
      <c r="A27" s="26">
        <v>24</v>
      </c>
      <c r="B27" s="27" t="s">
        <v>190</v>
      </c>
      <c r="C27" s="439" t="s">
        <v>192</v>
      </c>
      <c r="D27" s="17"/>
      <c r="E27" s="454">
        <v>2200</v>
      </c>
      <c r="F27" s="455">
        <v>95.72</v>
      </c>
      <c r="G27" s="346">
        <f>E27*F27</f>
        <v>210584</v>
      </c>
      <c r="H27" s="323"/>
      <c r="I27" s="17"/>
      <c r="J27" s="17"/>
      <c r="K27" s="17">
        <f>G27+J27</f>
        <v>210584</v>
      </c>
      <c r="L27" s="17">
        <f>H27+K27</f>
        <v>210584</v>
      </c>
      <c r="M27" s="40">
        <f>M26+K27-L27</f>
        <v>0</v>
      </c>
      <c r="N27" s="17" t="s">
        <v>189</v>
      </c>
    </row>
    <row r="28" spans="1:21" ht="16.5">
      <c r="A28" s="26">
        <v>25</v>
      </c>
      <c r="B28" s="27" t="s">
        <v>190</v>
      </c>
      <c r="C28" s="439" t="s">
        <v>193</v>
      </c>
      <c r="D28" s="17"/>
      <c r="E28" s="454">
        <f>170+170+80+80</f>
        <v>500</v>
      </c>
      <c r="F28" s="455">
        <v>95.68</v>
      </c>
      <c r="G28" s="346">
        <f>E28*F28</f>
        <v>47840</v>
      </c>
      <c r="H28" s="323"/>
      <c r="I28" s="17"/>
      <c r="J28" s="17">
        <f>H28*I28</f>
        <v>0</v>
      </c>
      <c r="K28" s="17">
        <f>G28+J28</f>
        <v>47840</v>
      </c>
      <c r="L28" s="17">
        <f>H28+K28</f>
        <v>47840</v>
      </c>
      <c r="M28" s="40">
        <f>M26+K28-L28</f>
        <v>0</v>
      </c>
      <c r="N28" s="17" t="s">
        <v>178</v>
      </c>
    </row>
    <row r="29" spans="1:21" ht="16.5">
      <c r="A29" s="26">
        <v>26</v>
      </c>
      <c r="B29" s="27" t="s">
        <v>194</v>
      </c>
      <c r="C29" s="439" t="s">
        <v>191</v>
      </c>
      <c r="D29" s="17"/>
      <c r="E29" s="454">
        <v>900</v>
      </c>
      <c r="F29" s="455">
        <v>95.68</v>
      </c>
      <c r="G29" s="346">
        <f>E29*F29</f>
        <v>86112</v>
      </c>
      <c r="H29" s="323"/>
      <c r="I29" s="17"/>
      <c r="J29" s="17">
        <f>H29*I29</f>
        <v>0</v>
      </c>
      <c r="K29" s="17">
        <f>G29+J29</f>
        <v>86112</v>
      </c>
      <c r="L29" s="17">
        <f>H29+K29</f>
        <v>86112</v>
      </c>
      <c r="M29" s="40">
        <f>M28+K29-L29</f>
        <v>0</v>
      </c>
      <c r="N29" s="17" t="s">
        <v>178</v>
      </c>
      <c r="O29" s="456" t="s">
        <v>195</v>
      </c>
    </row>
    <row r="30" spans="1:21" ht="16.5">
      <c r="A30" s="26">
        <v>27</v>
      </c>
      <c r="B30" s="27" t="s">
        <v>194</v>
      </c>
      <c r="C30" s="439" t="s">
        <v>75</v>
      </c>
      <c r="D30" s="17"/>
      <c r="E30" s="454">
        <v>2700</v>
      </c>
      <c r="F30" s="455">
        <v>95.68</v>
      </c>
      <c r="G30" s="346">
        <f>E30*F30</f>
        <v>258336.00000000003</v>
      </c>
      <c r="H30" s="323"/>
      <c r="I30" s="17"/>
      <c r="J30" s="17">
        <f>H30*I30</f>
        <v>0</v>
      </c>
      <c r="K30" s="17">
        <f>G30+J30</f>
        <v>258336.00000000003</v>
      </c>
      <c r="L30" s="17">
        <f>H30+K30</f>
        <v>258336.00000000003</v>
      </c>
      <c r="M30" s="40">
        <f>M29+K30-L30</f>
        <v>0</v>
      </c>
      <c r="N30" s="17" t="s">
        <v>178</v>
      </c>
    </row>
    <row r="31" spans="1:21" ht="16.5">
      <c r="A31" s="26">
        <v>28</v>
      </c>
      <c r="B31" s="27" t="s">
        <v>196</v>
      </c>
      <c r="C31" s="439" t="s">
        <v>191</v>
      </c>
      <c r="D31" s="17"/>
      <c r="E31" s="184">
        <v>2200</v>
      </c>
      <c r="F31" s="184">
        <v>95.68</v>
      </c>
      <c r="G31" s="346">
        <f>E31*F31</f>
        <v>210496.00000000003</v>
      </c>
      <c r="H31" s="323"/>
      <c r="I31" s="17"/>
      <c r="J31" s="17">
        <f>H31*I31</f>
        <v>0</v>
      </c>
      <c r="K31" s="17">
        <f>G31+J31</f>
        <v>210496.00000000003</v>
      </c>
      <c r="L31" s="17">
        <f>H31+K31</f>
        <v>210496.00000000003</v>
      </c>
      <c r="M31" s="40">
        <f>M30+K31-L31</f>
        <v>0</v>
      </c>
      <c r="N31" s="17" t="s">
        <v>178</v>
      </c>
      <c r="P31" s="22"/>
    </row>
    <row r="32" spans="1:21" ht="16.5">
      <c r="A32" s="26">
        <v>29</v>
      </c>
      <c r="B32" s="27" t="s">
        <v>197</v>
      </c>
      <c r="C32" s="439" t="s">
        <v>191</v>
      </c>
      <c r="D32" s="17"/>
      <c r="E32" s="184">
        <v>400</v>
      </c>
      <c r="F32" s="184">
        <v>95.68</v>
      </c>
      <c r="G32" s="346">
        <f>E32*F32</f>
        <v>38272</v>
      </c>
      <c r="H32" s="323"/>
      <c r="I32" s="17"/>
      <c r="J32" s="17">
        <f>H32*I32</f>
        <v>0</v>
      </c>
      <c r="K32" s="17">
        <f>G32+J32</f>
        <v>38272</v>
      </c>
      <c r="L32" s="17">
        <f>H32+K32</f>
        <v>38272</v>
      </c>
      <c r="M32" s="40">
        <f>M31+K32-L32</f>
        <v>0</v>
      </c>
      <c r="N32" s="17" t="s">
        <v>178</v>
      </c>
    </row>
    <row r="33" spans="1:16">
      <c r="A33" s="26">
        <v>30</v>
      </c>
      <c r="B33" s="27" t="s">
        <v>197</v>
      </c>
      <c r="C33" s="17" t="s">
        <v>198</v>
      </c>
      <c r="D33" s="17"/>
      <c r="E33" s="184">
        <v>229.85</v>
      </c>
      <c r="F33" s="184">
        <v>95.72</v>
      </c>
      <c r="G33" s="346">
        <f>E33*F33</f>
        <v>22001.241999999998</v>
      </c>
      <c r="H33" s="323"/>
      <c r="I33" s="17"/>
      <c r="J33" s="17">
        <f>H33*I33</f>
        <v>0</v>
      </c>
      <c r="K33" s="17">
        <f>G33+J33</f>
        <v>22001.241999999998</v>
      </c>
      <c r="L33" s="17">
        <v>22001.24</v>
      </c>
      <c r="M33" s="40">
        <f>M32+K33-L33</f>
        <v>1.9999999967694748E-3</v>
      </c>
      <c r="N33" s="17" t="s">
        <v>189</v>
      </c>
      <c r="P33" s="22"/>
    </row>
    <row r="34" spans="1:16">
      <c r="A34" s="26">
        <v>31</v>
      </c>
      <c r="B34" s="27" t="s">
        <v>199</v>
      </c>
      <c r="C34" s="17" t="s">
        <v>200</v>
      </c>
      <c r="D34" s="17"/>
      <c r="E34" s="184">
        <v>200</v>
      </c>
      <c r="F34" s="184">
        <v>95.68</v>
      </c>
      <c r="G34" s="346">
        <f>E34*F34</f>
        <v>19136</v>
      </c>
      <c r="H34" s="323">
        <v>95</v>
      </c>
      <c r="I34" s="17">
        <v>107.46</v>
      </c>
      <c r="J34" s="17">
        <f>H34*I34</f>
        <v>10208.699999999999</v>
      </c>
      <c r="K34" s="17">
        <f>G34+J34</f>
        <v>29344.699999999997</v>
      </c>
      <c r="L34" s="17">
        <v>29344.7</v>
      </c>
      <c r="M34" s="40">
        <f>M33+K34-L34</f>
        <v>1.999999993131496E-3</v>
      </c>
      <c r="N34" s="17" t="s">
        <v>178</v>
      </c>
    </row>
    <row r="35" spans="1:16">
      <c r="A35" s="26">
        <v>32</v>
      </c>
      <c r="B35" s="27" t="s">
        <v>199</v>
      </c>
      <c r="C35" s="17" t="s">
        <v>201</v>
      </c>
      <c r="D35" s="17"/>
      <c r="E35" s="184">
        <v>570</v>
      </c>
      <c r="F35" s="184">
        <v>95.71</v>
      </c>
      <c r="G35" s="346">
        <f>E35*F35</f>
        <v>54554.7</v>
      </c>
      <c r="H35" s="323"/>
      <c r="I35" s="17"/>
      <c r="J35" s="17"/>
      <c r="K35" s="17">
        <f>G35+J35</f>
        <v>54554.7</v>
      </c>
      <c r="L35" s="17">
        <f>H35+K35</f>
        <v>54554.7</v>
      </c>
      <c r="M35" s="40">
        <f>M34+K35-L35</f>
        <v>1.999999993131496E-3</v>
      </c>
      <c r="N35" s="17" t="s">
        <v>189</v>
      </c>
    </row>
    <row r="36" spans="1:16">
      <c r="A36" s="26">
        <v>33</v>
      </c>
      <c r="B36" s="27" t="s">
        <v>199</v>
      </c>
      <c r="C36" s="17" t="s">
        <v>202</v>
      </c>
      <c r="D36" s="17"/>
      <c r="E36" s="184">
        <v>679.11</v>
      </c>
      <c r="F36" s="184">
        <v>95.72</v>
      </c>
      <c r="G36" s="346">
        <f>E36*F36</f>
        <v>65004.409200000002</v>
      </c>
      <c r="H36" s="323"/>
      <c r="I36" s="17"/>
      <c r="J36" s="17">
        <f>H36*I36</f>
        <v>0</v>
      </c>
      <c r="K36" s="17">
        <f>G36+J36</f>
        <v>65004.409200000002</v>
      </c>
      <c r="L36" s="17">
        <f>H36+K36</f>
        <v>65004.409200000002</v>
      </c>
      <c r="M36" s="40">
        <f>M35+K36-L36</f>
        <v>1.999999993131496E-3</v>
      </c>
      <c r="N36" s="17" t="s">
        <v>189</v>
      </c>
    </row>
    <row r="37" spans="1:16">
      <c r="A37" s="26">
        <v>34</v>
      </c>
      <c r="B37" s="27" t="s">
        <v>203</v>
      </c>
      <c r="C37" s="17" t="s">
        <v>200</v>
      </c>
      <c r="D37" s="17"/>
      <c r="E37" s="17">
        <v>1000</v>
      </c>
      <c r="F37" s="17">
        <v>95.68</v>
      </c>
      <c r="G37" s="346">
        <f>E37*F37</f>
        <v>95680</v>
      </c>
      <c r="H37" s="323"/>
      <c r="I37" s="17"/>
      <c r="J37" s="17">
        <f>H37*I37</f>
        <v>0</v>
      </c>
      <c r="K37" s="17">
        <f>G37+J37</f>
        <v>95680</v>
      </c>
      <c r="L37" s="17">
        <f t="shared" ref="L37:L42" si="0">H37+K37</f>
        <v>95680</v>
      </c>
      <c r="M37" s="40">
        <f t="shared" ref="M37:M44" si="1">M36+K37-L37</f>
        <v>1.999999993131496E-3</v>
      </c>
      <c r="N37" s="17" t="s">
        <v>178</v>
      </c>
    </row>
    <row r="38" spans="1:16">
      <c r="A38" s="26">
        <v>35</v>
      </c>
      <c r="B38" s="27" t="s">
        <v>203</v>
      </c>
      <c r="C38" s="17" t="s">
        <v>191</v>
      </c>
      <c r="D38" s="17"/>
      <c r="E38" s="17">
        <v>200</v>
      </c>
      <c r="F38" s="17">
        <v>95.68</v>
      </c>
      <c r="G38" s="346">
        <f t="shared" ref="G38:G44" si="2">E38*F38</f>
        <v>19136</v>
      </c>
      <c r="H38" s="323"/>
      <c r="I38" s="17"/>
      <c r="J38" s="17"/>
      <c r="K38" s="17">
        <f t="shared" ref="K38:L44" si="3">G38+J38</f>
        <v>19136</v>
      </c>
      <c r="L38" s="17">
        <f t="shared" si="0"/>
        <v>19136</v>
      </c>
      <c r="M38" s="40">
        <f t="shared" si="1"/>
        <v>1.999999993131496E-3</v>
      </c>
      <c r="N38" s="17" t="s">
        <v>178</v>
      </c>
    </row>
    <row r="39" spans="1:16">
      <c r="A39" s="26">
        <v>36</v>
      </c>
      <c r="B39" s="27" t="s">
        <v>203</v>
      </c>
      <c r="C39" s="17" t="s">
        <v>204</v>
      </c>
      <c r="D39" s="17"/>
      <c r="E39" s="17">
        <v>1813.56</v>
      </c>
      <c r="F39" s="17">
        <v>95.68</v>
      </c>
      <c r="G39" s="346">
        <f t="shared" si="2"/>
        <v>173521.42080000002</v>
      </c>
      <c r="H39" s="323"/>
      <c r="I39" s="17"/>
      <c r="J39" s="17"/>
      <c r="K39" s="17">
        <f t="shared" si="3"/>
        <v>173521.42080000002</v>
      </c>
      <c r="L39" s="17">
        <f t="shared" si="0"/>
        <v>173521.42080000002</v>
      </c>
      <c r="M39" s="40">
        <f t="shared" si="1"/>
        <v>1.9999999785795808E-3</v>
      </c>
      <c r="N39" s="17" t="s">
        <v>178</v>
      </c>
    </row>
    <row r="40" spans="1:16">
      <c r="A40" s="26">
        <v>37</v>
      </c>
      <c r="B40" s="27" t="s">
        <v>203</v>
      </c>
      <c r="C40" s="17" t="s">
        <v>202</v>
      </c>
      <c r="D40" s="17"/>
      <c r="E40" s="17">
        <v>365.68</v>
      </c>
      <c r="F40" s="17">
        <v>95.72</v>
      </c>
      <c r="G40" s="346">
        <f t="shared" si="2"/>
        <v>35002.889600000002</v>
      </c>
      <c r="H40" s="323"/>
      <c r="I40" s="17"/>
      <c r="J40" s="17"/>
      <c r="K40" s="17">
        <f t="shared" si="3"/>
        <v>35002.889600000002</v>
      </c>
      <c r="L40" s="17">
        <f t="shared" si="0"/>
        <v>35002.889600000002</v>
      </c>
      <c r="M40" s="40">
        <f t="shared" si="1"/>
        <v>1.9999999785795808E-3</v>
      </c>
      <c r="N40" s="17" t="s">
        <v>189</v>
      </c>
    </row>
    <row r="41" spans="1:16">
      <c r="A41" s="26">
        <v>38</v>
      </c>
      <c r="B41" s="27"/>
      <c r="C41" s="17"/>
      <c r="D41" s="17"/>
      <c r="E41" s="17"/>
      <c r="F41" s="17"/>
      <c r="G41" s="346">
        <f t="shared" si="2"/>
        <v>0</v>
      </c>
      <c r="H41" s="323"/>
      <c r="I41" s="17"/>
      <c r="J41" s="17"/>
      <c r="K41" s="17">
        <f t="shared" si="3"/>
        <v>0</v>
      </c>
      <c r="L41" s="17">
        <f t="shared" si="0"/>
        <v>0</v>
      </c>
      <c r="M41" s="40">
        <f t="shared" si="1"/>
        <v>1.9999999785795808E-3</v>
      </c>
      <c r="N41" s="17"/>
    </row>
    <row r="42" spans="1:16">
      <c r="A42" s="26">
        <v>39</v>
      </c>
      <c r="B42" s="27" t="s">
        <v>205</v>
      </c>
      <c r="C42" s="17" t="s">
        <v>204</v>
      </c>
      <c r="D42" s="17"/>
      <c r="E42" s="17">
        <v>1250</v>
      </c>
      <c r="F42" s="17">
        <v>95.68</v>
      </c>
      <c r="G42" s="346">
        <f t="shared" si="2"/>
        <v>119600.00000000001</v>
      </c>
      <c r="H42" s="323"/>
      <c r="I42" s="17"/>
      <c r="J42" s="17"/>
      <c r="K42" s="17">
        <f t="shared" si="3"/>
        <v>119600.00000000001</v>
      </c>
      <c r="L42" s="17">
        <f t="shared" si="0"/>
        <v>119600.00000000001</v>
      </c>
      <c r="M42" s="40">
        <f t="shared" si="1"/>
        <v>1.9999999785795808E-3</v>
      </c>
      <c r="N42" s="17" t="s">
        <v>178</v>
      </c>
    </row>
    <row r="43" spans="1:16">
      <c r="A43" s="26">
        <v>40</v>
      </c>
      <c r="B43" s="27" t="s">
        <v>205</v>
      </c>
      <c r="C43" s="17" t="s">
        <v>206</v>
      </c>
      <c r="D43" s="17"/>
      <c r="E43" s="461">
        <v>2800</v>
      </c>
      <c r="F43" s="322">
        <v>95.72</v>
      </c>
      <c r="G43" s="346">
        <f t="shared" si="2"/>
        <v>268016</v>
      </c>
      <c r="H43" s="323"/>
      <c r="I43" s="17"/>
      <c r="J43" s="17"/>
      <c r="K43" s="17">
        <f t="shared" si="3"/>
        <v>268016</v>
      </c>
      <c r="L43" s="17">
        <f t="shared" si="3"/>
        <v>268016</v>
      </c>
      <c r="M43" s="40">
        <f t="shared" si="1"/>
        <v>1.9999999785795808E-3</v>
      </c>
      <c r="N43" s="17" t="s">
        <v>189</v>
      </c>
    </row>
    <row r="44" spans="1:16">
      <c r="A44" s="26">
        <v>41</v>
      </c>
      <c r="B44" s="27" t="s">
        <v>205</v>
      </c>
      <c r="C44" s="17" t="s">
        <v>202</v>
      </c>
      <c r="D44" s="17"/>
      <c r="E44" s="461">
        <v>1149.28</v>
      </c>
      <c r="F44" s="322">
        <v>95.72</v>
      </c>
      <c r="G44" s="346">
        <f t="shared" si="2"/>
        <v>110009.08159999999</v>
      </c>
      <c r="H44" s="323"/>
      <c r="I44" s="17"/>
      <c r="J44" s="17"/>
      <c r="K44" s="17">
        <f t="shared" si="3"/>
        <v>110009.08159999999</v>
      </c>
      <c r="L44" s="17">
        <f t="shared" si="3"/>
        <v>110009.08159999999</v>
      </c>
      <c r="M44" s="40">
        <f t="shared" si="1"/>
        <v>1.9999999785795808E-3</v>
      </c>
      <c r="N44" s="17" t="s">
        <v>189</v>
      </c>
    </row>
    <row r="45" spans="1:16">
      <c r="A45" s="26">
        <v>42</v>
      </c>
      <c r="B45" s="27"/>
      <c r="C45" s="17"/>
      <c r="D45" s="17"/>
      <c r="E45" s="17"/>
      <c r="F45" s="17"/>
      <c r="G45" s="346">
        <f>E45*F45</f>
        <v>0</v>
      </c>
      <c r="H45" s="323"/>
      <c r="I45" s="17"/>
      <c r="J45" s="17">
        <f>H45*I45</f>
        <v>0</v>
      </c>
      <c r="K45" s="17">
        <f>G45+J45</f>
        <v>0</v>
      </c>
      <c r="L45" s="17"/>
      <c r="M45" s="17"/>
      <c r="N45" s="17"/>
    </row>
    <row r="46" spans="1:16">
      <c r="A46" s="42"/>
      <c r="B46" s="42"/>
      <c r="C46" s="42"/>
      <c r="D46" s="42"/>
      <c r="E46" s="229">
        <f>SUM(E3:E45)</f>
        <v>24857.48</v>
      </c>
      <c r="F46" s="229"/>
      <c r="G46" s="229">
        <f>SUM(G3:G45)</f>
        <v>2378764.7432000004</v>
      </c>
      <c r="H46" s="229">
        <f>SUM(H3:H45)</f>
        <v>95</v>
      </c>
      <c r="I46" s="229"/>
      <c r="J46" s="229">
        <f>SUM(J3:J45)</f>
        <v>10208.699999999999</v>
      </c>
      <c r="K46" s="229">
        <f>SUM(K4:K45)</f>
        <v>2388973.4432000006</v>
      </c>
      <c r="L46" s="229">
        <f>SUM(L3:L45)</f>
        <v>2388973.4412000002</v>
      </c>
      <c r="M46" s="229"/>
      <c r="N46" s="229"/>
    </row>
  </sheetData>
  <mergeCells count="2">
    <mergeCell ref="A1:N1"/>
    <mergeCell ref="A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C2A6-4209-49EA-B5EF-5259614B8C5D}">
  <dimension ref="A1:N35"/>
  <sheetViews>
    <sheetView topLeftCell="A25" workbookViewId="0">
      <selection activeCell="F33" sqref="F33"/>
    </sheetView>
  </sheetViews>
  <sheetFormatPr defaultRowHeight="15"/>
  <cols>
    <col min="7" max="7" width="14" customWidth="1"/>
    <col min="11" max="11" width="16.140625" customWidth="1"/>
    <col min="12" max="12" width="17.28515625" customWidth="1"/>
    <col min="13" max="13" width="10.42578125" bestFit="1" customWidth="1"/>
  </cols>
  <sheetData>
    <row r="1" spans="1:14" ht="15.75">
      <c r="A1" s="489" t="s">
        <v>207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</row>
    <row r="2" spans="1:14" ht="27">
      <c r="A2" s="103" t="s">
        <v>0</v>
      </c>
      <c r="B2" s="106" t="s">
        <v>164</v>
      </c>
      <c r="C2" s="106" t="s">
        <v>165</v>
      </c>
      <c r="D2" s="106" t="s">
        <v>166</v>
      </c>
      <c r="E2" s="106" t="s">
        <v>167</v>
      </c>
      <c r="F2" s="106" t="s">
        <v>168</v>
      </c>
      <c r="G2" s="106" t="s">
        <v>169</v>
      </c>
      <c r="H2" s="106" t="s">
        <v>170</v>
      </c>
      <c r="I2" s="106" t="s">
        <v>168</v>
      </c>
      <c r="J2" s="106" t="s">
        <v>169</v>
      </c>
      <c r="K2" s="144" t="s">
        <v>171</v>
      </c>
      <c r="L2" s="144" t="s">
        <v>172</v>
      </c>
      <c r="M2" s="144" t="s">
        <v>173</v>
      </c>
      <c r="N2" s="106" t="s">
        <v>174</v>
      </c>
    </row>
    <row r="3" spans="1:14">
      <c r="A3" s="482" t="s">
        <v>175</v>
      </c>
      <c r="B3" s="483"/>
      <c r="C3" s="483"/>
      <c r="D3" s="483"/>
      <c r="E3" s="483"/>
      <c r="F3" s="483"/>
      <c r="G3" s="483"/>
      <c r="H3" s="483"/>
      <c r="I3" s="483"/>
      <c r="J3" s="484"/>
      <c r="K3" s="131"/>
      <c r="L3" s="232"/>
      <c r="M3" s="327">
        <v>0</v>
      </c>
      <c r="N3" s="233"/>
    </row>
    <row r="4" spans="1:14">
      <c r="A4" s="26">
        <v>1</v>
      </c>
      <c r="B4" s="27">
        <v>46113</v>
      </c>
      <c r="C4" s="107"/>
      <c r="D4" s="35"/>
      <c r="E4" s="36"/>
      <c r="F4" s="36"/>
      <c r="G4" s="36">
        <f>E4*F4</f>
        <v>0</v>
      </c>
      <c r="H4" s="334"/>
      <c r="I4" s="334"/>
      <c r="J4" s="36">
        <f>H4*I4</f>
        <v>0</v>
      </c>
      <c r="K4" s="36">
        <f t="shared" ref="K4:L34" si="0">G4+J4</f>
        <v>0</v>
      </c>
      <c r="L4" s="197">
        <v>0</v>
      </c>
      <c r="M4" s="36">
        <f>M3+K4-L4</f>
        <v>0</v>
      </c>
      <c r="N4" s="234"/>
    </row>
    <row r="5" spans="1:14">
      <c r="A5" s="26">
        <v>2</v>
      </c>
      <c r="B5" s="27">
        <v>46114</v>
      </c>
      <c r="C5" s="107"/>
      <c r="D5" s="35"/>
      <c r="E5" s="36"/>
      <c r="F5" s="36"/>
      <c r="G5" s="36">
        <f>E5*F5</f>
        <v>0</v>
      </c>
      <c r="H5" s="334"/>
      <c r="I5" s="334"/>
      <c r="J5" s="36">
        <f t="shared" ref="J5:J34" si="1">H5*I5</f>
        <v>0</v>
      </c>
      <c r="K5" s="36">
        <f t="shared" si="0"/>
        <v>0</v>
      </c>
      <c r="L5" s="197">
        <v>0</v>
      </c>
      <c r="M5" s="36">
        <f t="shared" ref="M5:M34" si="2">M4+K5-L5</f>
        <v>0</v>
      </c>
      <c r="N5" s="235"/>
    </row>
    <row r="6" spans="1:14">
      <c r="A6" s="26">
        <v>3</v>
      </c>
      <c r="B6" s="27">
        <v>46115</v>
      </c>
      <c r="C6" s="107"/>
      <c r="D6" s="35"/>
      <c r="E6" s="36"/>
      <c r="F6" s="36"/>
      <c r="G6" s="36">
        <f t="shared" ref="G6:G34" si="3">E6*F6</f>
        <v>0</v>
      </c>
      <c r="H6" s="334"/>
      <c r="I6" s="334"/>
      <c r="J6" s="36">
        <f t="shared" si="1"/>
        <v>0</v>
      </c>
      <c r="K6" s="36">
        <f t="shared" si="0"/>
        <v>0</v>
      </c>
      <c r="L6" s="197">
        <v>0</v>
      </c>
      <c r="M6" s="36">
        <f t="shared" si="2"/>
        <v>0</v>
      </c>
      <c r="N6" s="236"/>
    </row>
    <row r="7" spans="1:14">
      <c r="A7" s="26">
        <v>4</v>
      </c>
      <c r="B7" s="27">
        <v>46116</v>
      </c>
      <c r="C7" s="107"/>
      <c r="D7" s="35"/>
      <c r="E7" s="36"/>
      <c r="F7" s="36"/>
      <c r="G7" s="36">
        <f t="shared" si="3"/>
        <v>0</v>
      </c>
      <c r="H7" s="334"/>
      <c r="I7" s="334"/>
      <c r="J7" s="36">
        <f t="shared" si="1"/>
        <v>0</v>
      </c>
      <c r="K7" s="36">
        <f t="shared" si="0"/>
        <v>0</v>
      </c>
      <c r="L7" s="197">
        <v>0</v>
      </c>
      <c r="M7" s="36">
        <f>M6+K7-L7</f>
        <v>0</v>
      </c>
      <c r="N7" s="198"/>
    </row>
    <row r="8" spans="1:14">
      <c r="A8" s="26">
        <v>5</v>
      </c>
      <c r="B8" s="27">
        <v>46117</v>
      </c>
      <c r="C8" s="34"/>
      <c r="D8" s="35"/>
      <c r="E8" s="36"/>
      <c r="F8" s="36"/>
      <c r="G8" s="36">
        <f t="shared" si="3"/>
        <v>0</v>
      </c>
      <c r="H8" s="334"/>
      <c r="I8" s="334"/>
      <c r="J8" s="36">
        <f t="shared" si="1"/>
        <v>0</v>
      </c>
      <c r="K8" s="36">
        <f t="shared" si="0"/>
        <v>0</v>
      </c>
      <c r="L8" s="197">
        <v>0</v>
      </c>
      <c r="M8" s="36">
        <f>M7+K8-L8</f>
        <v>0</v>
      </c>
      <c r="N8" s="198"/>
    </row>
    <row r="9" spans="1:14">
      <c r="A9" s="26">
        <v>6</v>
      </c>
      <c r="B9" s="27">
        <v>46118</v>
      </c>
      <c r="C9" s="34"/>
      <c r="D9" s="35"/>
      <c r="E9" s="36"/>
      <c r="F9" s="36"/>
      <c r="G9" s="36">
        <f t="shared" si="3"/>
        <v>0</v>
      </c>
      <c r="H9" s="334"/>
      <c r="I9" s="334"/>
      <c r="J9" s="36">
        <f t="shared" si="1"/>
        <v>0</v>
      </c>
      <c r="K9" s="36">
        <f t="shared" si="0"/>
        <v>0</v>
      </c>
      <c r="L9" s="197">
        <v>0</v>
      </c>
      <c r="M9" s="36">
        <f t="shared" si="2"/>
        <v>0</v>
      </c>
      <c r="N9" s="198"/>
    </row>
    <row r="10" spans="1:14">
      <c r="A10" s="26">
        <v>7</v>
      </c>
      <c r="B10" s="27">
        <v>46119</v>
      </c>
      <c r="C10" s="34"/>
      <c r="D10" s="35"/>
      <c r="E10" s="36"/>
      <c r="F10" s="36"/>
      <c r="G10" s="36">
        <f t="shared" si="3"/>
        <v>0</v>
      </c>
      <c r="H10" s="334"/>
      <c r="I10" s="334"/>
      <c r="J10" s="36">
        <f t="shared" si="1"/>
        <v>0</v>
      </c>
      <c r="K10" s="36">
        <f t="shared" si="0"/>
        <v>0</v>
      </c>
      <c r="L10" s="197">
        <v>0</v>
      </c>
      <c r="M10" s="36">
        <f t="shared" si="2"/>
        <v>0</v>
      </c>
      <c r="N10" s="198"/>
    </row>
    <row r="11" spans="1:14">
      <c r="A11" s="26">
        <v>8</v>
      </c>
      <c r="B11" s="27">
        <v>46120</v>
      </c>
      <c r="C11" s="34"/>
      <c r="D11" s="35"/>
      <c r="E11" s="36"/>
      <c r="F11" s="36"/>
      <c r="G11" s="36">
        <f t="shared" si="3"/>
        <v>0</v>
      </c>
      <c r="H11" s="334"/>
      <c r="I11" s="334"/>
      <c r="J11" s="36">
        <f t="shared" si="1"/>
        <v>0</v>
      </c>
      <c r="K11" s="36">
        <f t="shared" si="0"/>
        <v>0</v>
      </c>
      <c r="L11" s="197">
        <v>0</v>
      </c>
      <c r="M11" s="36">
        <f t="shared" si="2"/>
        <v>0</v>
      </c>
      <c r="N11" s="198"/>
    </row>
    <row r="12" spans="1:14">
      <c r="A12" s="26">
        <v>9</v>
      </c>
      <c r="B12" s="27">
        <v>46121</v>
      </c>
      <c r="C12" s="34"/>
      <c r="D12" s="35"/>
      <c r="E12" s="36"/>
      <c r="F12" s="36"/>
      <c r="G12" s="36">
        <f t="shared" si="3"/>
        <v>0</v>
      </c>
      <c r="H12" s="334"/>
      <c r="I12" s="334"/>
      <c r="J12" s="36">
        <f t="shared" si="1"/>
        <v>0</v>
      </c>
      <c r="K12" s="36">
        <f t="shared" si="0"/>
        <v>0</v>
      </c>
      <c r="L12" s="197">
        <v>0</v>
      </c>
      <c r="M12" s="36">
        <f t="shared" si="2"/>
        <v>0</v>
      </c>
      <c r="N12" s="198"/>
    </row>
    <row r="13" spans="1:14">
      <c r="A13" s="26">
        <v>10</v>
      </c>
      <c r="B13" s="27">
        <v>46122</v>
      </c>
      <c r="C13" s="34"/>
      <c r="D13" s="35"/>
      <c r="E13" s="36"/>
      <c r="F13" s="36"/>
      <c r="G13" s="36">
        <f t="shared" si="3"/>
        <v>0</v>
      </c>
      <c r="H13" s="334"/>
      <c r="I13" s="334"/>
      <c r="J13" s="36">
        <f t="shared" si="1"/>
        <v>0</v>
      </c>
      <c r="K13" s="36">
        <f t="shared" si="0"/>
        <v>0</v>
      </c>
      <c r="L13" s="197">
        <v>0</v>
      </c>
      <c r="M13" s="36">
        <f>M12+K13-L13</f>
        <v>0</v>
      </c>
      <c r="N13" s="198"/>
    </row>
    <row r="14" spans="1:14">
      <c r="A14" s="26">
        <v>11</v>
      </c>
      <c r="B14" s="27">
        <v>46123</v>
      </c>
      <c r="C14" s="34"/>
      <c r="D14" s="35"/>
      <c r="E14" s="36"/>
      <c r="F14" s="36"/>
      <c r="G14" s="36">
        <f t="shared" si="3"/>
        <v>0</v>
      </c>
      <c r="H14" s="334"/>
      <c r="I14" s="334"/>
      <c r="J14" s="36">
        <f t="shared" si="1"/>
        <v>0</v>
      </c>
      <c r="K14" s="36">
        <f t="shared" si="0"/>
        <v>0</v>
      </c>
      <c r="L14" s="197">
        <v>0</v>
      </c>
      <c r="M14" s="36">
        <f>M13+K14-L14</f>
        <v>0</v>
      </c>
      <c r="N14" s="198"/>
    </row>
    <row r="15" spans="1:14">
      <c r="A15" s="26">
        <v>12</v>
      </c>
      <c r="B15" s="27">
        <v>46124</v>
      </c>
      <c r="C15" s="34"/>
      <c r="D15" s="35"/>
      <c r="E15" s="36"/>
      <c r="F15" s="36"/>
      <c r="G15" s="36">
        <f t="shared" si="3"/>
        <v>0</v>
      </c>
      <c r="H15" s="334"/>
      <c r="I15" s="334"/>
      <c r="J15" s="36">
        <f t="shared" si="1"/>
        <v>0</v>
      </c>
      <c r="K15" s="36">
        <f>G15+J15</f>
        <v>0</v>
      </c>
      <c r="L15" s="36">
        <f>H15+K15</f>
        <v>0</v>
      </c>
      <c r="M15" s="36">
        <f t="shared" si="2"/>
        <v>0</v>
      </c>
      <c r="N15" s="198"/>
    </row>
    <row r="16" spans="1:14">
      <c r="A16" s="26">
        <v>13</v>
      </c>
      <c r="B16" s="27">
        <v>46125</v>
      </c>
      <c r="C16" s="34"/>
      <c r="D16" s="35"/>
      <c r="E16" s="36"/>
      <c r="F16" s="36"/>
      <c r="G16" s="36">
        <f t="shared" si="3"/>
        <v>0</v>
      </c>
      <c r="H16" s="334"/>
      <c r="I16" s="334"/>
      <c r="J16" s="36">
        <f t="shared" si="1"/>
        <v>0</v>
      </c>
      <c r="K16" s="36">
        <f t="shared" si="0"/>
        <v>0</v>
      </c>
      <c r="L16" s="197">
        <v>0</v>
      </c>
      <c r="M16" s="36">
        <f t="shared" si="2"/>
        <v>0</v>
      </c>
      <c r="N16" s="198"/>
    </row>
    <row r="17" spans="1:14">
      <c r="A17" s="26">
        <v>14</v>
      </c>
      <c r="B17" s="27">
        <v>46126</v>
      </c>
      <c r="C17" s="34"/>
      <c r="D17" s="35"/>
      <c r="E17" s="36"/>
      <c r="F17" s="36"/>
      <c r="G17" s="36">
        <f t="shared" si="3"/>
        <v>0</v>
      </c>
      <c r="H17" s="334"/>
      <c r="I17" s="334"/>
      <c r="J17" s="36">
        <f t="shared" si="1"/>
        <v>0</v>
      </c>
      <c r="K17" s="36">
        <f t="shared" si="0"/>
        <v>0</v>
      </c>
      <c r="L17" s="197">
        <v>0</v>
      </c>
      <c r="M17" s="36">
        <f t="shared" si="2"/>
        <v>0</v>
      </c>
      <c r="N17" s="198"/>
    </row>
    <row r="18" spans="1:14">
      <c r="A18" s="26">
        <v>15</v>
      </c>
      <c r="B18" s="27">
        <v>46127</v>
      </c>
      <c r="C18" s="168"/>
      <c r="D18" s="35"/>
      <c r="E18" s="36"/>
      <c r="F18" s="36"/>
      <c r="G18" s="36">
        <f t="shared" si="3"/>
        <v>0</v>
      </c>
      <c r="H18" s="334"/>
      <c r="I18" s="334"/>
      <c r="J18" s="36">
        <f t="shared" si="1"/>
        <v>0</v>
      </c>
      <c r="K18" s="36">
        <f t="shared" si="0"/>
        <v>0</v>
      </c>
      <c r="L18" s="197">
        <v>0</v>
      </c>
      <c r="M18" s="36">
        <f t="shared" si="2"/>
        <v>0</v>
      </c>
      <c r="N18" s="237"/>
    </row>
    <row r="19" spans="1:14">
      <c r="A19" s="26">
        <v>16</v>
      </c>
      <c r="B19" s="27">
        <v>46128</v>
      </c>
      <c r="C19" s="107"/>
      <c r="D19" s="35"/>
      <c r="E19" s="36"/>
      <c r="F19" s="36"/>
      <c r="G19" s="36">
        <f t="shared" si="3"/>
        <v>0</v>
      </c>
      <c r="H19" s="334"/>
      <c r="I19" s="334"/>
      <c r="J19" s="36">
        <f t="shared" si="1"/>
        <v>0</v>
      </c>
      <c r="K19" s="36">
        <f t="shared" si="0"/>
        <v>0</v>
      </c>
      <c r="L19" s="197">
        <v>0</v>
      </c>
      <c r="M19" s="36">
        <f t="shared" si="2"/>
        <v>0</v>
      </c>
      <c r="N19" s="237"/>
    </row>
    <row r="20" spans="1:14">
      <c r="A20" s="26">
        <v>17</v>
      </c>
      <c r="B20" s="27">
        <v>46129</v>
      </c>
      <c r="C20" s="180"/>
      <c r="D20" s="35"/>
      <c r="E20" s="36"/>
      <c r="F20" s="36"/>
      <c r="G20" s="36">
        <f t="shared" si="3"/>
        <v>0</v>
      </c>
      <c r="H20" s="334"/>
      <c r="I20" s="334"/>
      <c r="J20" s="36">
        <f t="shared" si="1"/>
        <v>0</v>
      </c>
      <c r="K20" s="36">
        <f t="shared" si="0"/>
        <v>0</v>
      </c>
      <c r="L20" s="197">
        <v>0</v>
      </c>
      <c r="M20" s="36">
        <f t="shared" si="2"/>
        <v>0</v>
      </c>
      <c r="N20" s="237"/>
    </row>
    <row r="21" spans="1:14">
      <c r="A21" s="26">
        <v>18</v>
      </c>
      <c r="B21" s="27">
        <v>46130</v>
      </c>
      <c r="C21" s="180"/>
      <c r="D21" s="35"/>
      <c r="E21" s="36"/>
      <c r="F21" s="36"/>
      <c r="G21" s="36">
        <f t="shared" si="3"/>
        <v>0</v>
      </c>
      <c r="H21" s="334"/>
      <c r="I21" s="334"/>
      <c r="J21" s="36">
        <f t="shared" si="1"/>
        <v>0</v>
      </c>
      <c r="K21" s="36">
        <f t="shared" si="0"/>
        <v>0</v>
      </c>
      <c r="L21" s="197">
        <v>0</v>
      </c>
      <c r="M21" s="36">
        <f t="shared" si="2"/>
        <v>0</v>
      </c>
      <c r="N21" s="237"/>
    </row>
    <row r="22" spans="1:14">
      <c r="A22" s="26">
        <v>19</v>
      </c>
      <c r="B22" s="27">
        <v>46131</v>
      </c>
      <c r="C22" s="107"/>
      <c r="D22" s="35"/>
      <c r="E22" s="36"/>
      <c r="F22" s="36"/>
      <c r="G22" s="36">
        <f t="shared" si="3"/>
        <v>0</v>
      </c>
      <c r="H22" s="334"/>
      <c r="I22" s="334"/>
      <c r="J22" s="36">
        <f t="shared" si="1"/>
        <v>0</v>
      </c>
      <c r="K22" s="36">
        <f t="shared" si="0"/>
        <v>0</v>
      </c>
      <c r="L22" s="197">
        <v>0</v>
      </c>
      <c r="M22" s="36">
        <f t="shared" si="2"/>
        <v>0</v>
      </c>
      <c r="N22" s="198"/>
    </row>
    <row r="23" spans="1:14">
      <c r="A23" s="26">
        <v>20</v>
      </c>
      <c r="B23" s="27">
        <v>46132</v>
      </c>
      <c r="C23" s="107"/>
      <c r="D23" s="35"/>
      <c r="E23" s="36"/>
      <c r="F23" s="36"/>
      <c r="G23" s="36">
        <f t="shared" si="3"/>
        <v>0</v>
      </c>
      <c r="H23" s="334"/>
      <c r="I23" s="334"/>
      <c r="J23" s="36">
        <f t="shared" si="1"/>
        <v>0</v>
      </c>
      <c r="K23" s="36">
        <f t="shared" si="0"/>
        <v>0</v>
      </c>
      <c r="L23" s="197">
        <v>0</v>
      </c>
      <c r="M23" s="36">
        <f t="shared" si="2"/>
        <v>0</v>
      </c>
      <c r="N23" s="198"/>
    </row>
    <row r="24" spans="1:14">
      <c r="A24" s="26">
        <v>21</v>
      </c>
      <c r="B24" s="27">
        <v>46133</v>
      </c>
      <c r="C24" s="107"/>
      <c r="D24" s="35"/>
      <c r="E24" s="36"/>
      <c r="F24" s="36"/>
      <c r="G24" s="36">
        <f t="shared" si="3"/>
        <v>0</v>
      </c>
      <c r="H24" s="334"/>
      <c r="I24" s="334"/>
      <c r="J24" s="36">
        <f t="shared" si="1"/>
        <v>0</v>
      </c>
      <c r="K24" s="36">
        <f t="shared" si="0"/>
        <v>0</v>
      </c>
      <c r="L24" s="197">
        <v>0</v>
      </c>
      <c r="M24" s="36">
        <f t="shared" si="2"/>
        <v>0</v>
      </c>
      <c r="N24" s="198"/>
    </row>
    <row r="25" spans="1:14">
      <c r="A25" s="26">
        <v>22</v>
      </c>
      <c r="B25" s="27">
        <v>46134</v>
      </c>
      <c r="C25" s="107"/>
      <c r="D25" s="35"/>
      <c r="E25" s="36"/>
      <c r="F25" s="36"/>
      <c r="G25" s="36">
        <f t="shared" si="3"/>
        <v>0</v>
      </c>
      <c r="H25" s="334"/>
      <c r="I25" s="334"/>
      <c r="J25" s="36">
        <f t="shared" si="1"/>
        <v>0</v>
      </c>
      <c r="K25" s="36">
        <f t="shared" si="0"/>
        <v>0</v>
      </c>
      <c r="L25" s="197">
        <v>0</v>
      </c>
      <c r="M25" s="36">
        <f t="shared" si="2"/>
        <v>0</v>
      </c>
      <c r="N25" s="198"/>
    </row>
    <row r="26" spans="1:14">
      <c r="A26" s="26">
        <v>23</v>
      </c>
      <c r="B26" s="27">
        <v>46135</v>
      </c>
      <c r="C26" s="107"/>
      <c r="D26" s="35"/>
      <c r="E26" s="36">
        <v>1500</v>
      </c>
      <c r="F26" s="36">
        <v>96.42</v>
      </c>
      <c r="G26" s="36">
        <f t="shared" si="3"/>
        <v>144630</v>
      </c>
      <c r="H26" s="334"/>
      <c r="I26" s="334"/>
      <c r="J26" s="36">
        <f t="shared" si="1"/>
        <v>0</v>
      </c>
      <c r="K26" s="36">
        <f t="shared" si="0"/>
        <v>144630</v>
      </c>
      <c r="L26" s="36">
        <f t="shared" si="0"/>
        <v>144630</v>
      </c>
      <c r="M26" s="36">
        <f t="shared" si="2"/>
        <v>0</v>
      </c>
      <c r="N26" s="198"/>
    </row>
    <row r="27" spans="1:14">
      <c r="A27" s="26">
        <v>24</v>
      </c>
      <c r="B27" s="27">
        <v>46136</v>
      </c>
      <c r="C27" s="107"/>
      <c r="D27" s="35"/>
      <c r="E27" s="36"/>
      <c r="F27" s="36"/>
      <c r="G27" s="36">
        <f t="shared" si="3"/>
        <v>0</v>
      </c>
      <c r="H27" s="334"/>
      <c r="I27" s="334"/>
      <c r="J27" s="36">
        <f t="shared" si="1"/>
        <v>0</v>
      </c>
      <c r="K27" s="36">
        <f t="shared" si="0"/>
        <v>0</v>
      </c>
      <c r="L27" s="197">
        <v>0</v>
      </c>
      <c r="M27" s="36">
        <f t="shared" si="2"/>
        <v>0</v>
      </c>
      <c r="N27" s="198"/>
    </row>
    <row r="28" spans="1:14">
      <c r="A28" s="26">
        <v>25</v>
      </c>
      <c r="B28" s="27">
        <v>46137</v>
      </c>
      <c r="C28" s="107"/>
      <c r="D28" s="35"/>
      <c r="E28" s="36"/>
      <c r="F28" s="36"/>
      <c r="G28" s="36">
        <f t="shared" si="3"/>
        <v>0</v>
      </c>
      <c r="H28" s="334"/>
      <c r="I28" s="334"/>
      <c r="J28" s="36">
        <f t="shared" si="1"/>
        <v>0</v>
      </c>
      <c r="K28" s="36">
        <f t="shared" si="0"/>
        <v>0</v>
      </c>
      <c r="L28" s="197">
        <v>0</v>
      </c>
      <c r="M28" s="36">
        <f t="shared" si="2"/>
        <v>0</v>
      </c>
      <c r="N28" s="198"/>
    </row>
    <row r="29" spans="1:14">
      <c r="A29" s="26">
        <v>26</v>
      </c>
      <c r="B29" s="27">
        <v>46138</v>
      </c>
      <c r="C29" s="107"/>
      <c r="D29" s="35"/>
      <c r="E29" s="36"/>
      <c r="F29" s="36"/>
      <c r="G29" s="36">
        <f t="shared" si="3"/>
        <v>0</v>
      </c>
      <c r="H29" s="334"/>
      <c r="I29" s="334"/>
      <c r="J29" s="36">
        <f t="shared" si="1"/>
        <v>0</v>
      </c>
      <c r="K29" s="36">
        <f t="shared" si="0"/>
        <v>0</v>
      </c>
      <c r="L29" s="197">
        <v>0</v>
      </c>
      <c r="M29" s="36">
        <f t="shared" si="2"/>
        <v>0</v>
      </c>
      <c r="N29" s="198"/>
    </row>
    <row r="30" spans="1:14">
      <c r="A30" s="26">
        <v>27</v>
      </c>
      <c r="B30" s="27">
        <v>46139</v>
      </c>
      <c r="C30" s="107"/>
      <c r="D30" s="35"/>
      <c r="E30" s="36"/>
      <c r="F30" s="36"/>
      <c r="G30" s="36">
        <f t="shared" si="3"/>
        <v>0</v>
      </c>
      <c r="H30" s="334"/>
      <c r="I30" s="334"/>
      <c r="J30" s="36">
        <f t="shared" si="1"/>
        <v>0</v>
      </c>
      <c r="K30" s="36">
        <f t="shared" si="0"/>
        <v>0</v>
      </c>
      <c r="L30" s="197">
        <v>0</v>
      </c>
      <c r="M30" s="36">
        <f>M29+K30-L30</f>
        <v>0</v>
      </c>
      <c r="N30" s="198"/>
    </row>
    <row r="31" spans="1:14">
      <c r="A31" s="26">
        <v>28</v>
      </c>
      <c r="B31" s="27">
        <v>46140</v>
      </c>
      <c r="C31" s="107"/>
      <c r="D31" s="35"/>
      <c r="E31" s="36"/>
      <c r="F31" s="36"/>
      <c r="G31" s="36">
        <f t="shared" si="3"/>
        <v>0</v>
      </c>
      <c r="H31" s="334"/>
      <c r="I31" s="334"/>
      <c r="J31" s="36">
        <f t="shared" si="1"/>
        <v>0</v>
      </c>
      <c r="K31" s="36">
        <f t="shared" si="0"/>
        <v>0</v>
      </c>
      <c r="L31" s="197">
        <v>0</v>
      </c>
      <c r="M31" s="36">
        <f t="shared" si="2"/>
        <v>0</v>
      </c>
      <c r="N31" s="198"/>
    </row>
    <row r="32" spans="1:14">
      <c r="A32" s="26">
        <v>29</v>
      </c>
      <c r="B32" s="27">
        <v>46141</v>
      </c>
      <c r="C32" s="107"/>
      <c r="D32" s="35"/>
      <c r="E32" s="36"/>
      <c r="F32" s="36"/>
      <c r="G32" s="36">
        <f t="shared" si="3"/>
        <v>0</v>
      </c>
      <c r="H32" s="334"/>
      <c r="I32" s="334"/>
      <c r="J32" s="36">
        <f t="shared" si="1"/>
        <v>0</v>
      </c>
      <c r="K32" s="36">
        <f t="shared" si="0"/>
        <v>0</v>
      </c>
      <c r="L32" s="197">
        <v>0</v>
      </c>
      <c r="M32" s="36">
        <f t="shared" si="2"/>
        <v>0</v>
      </c>
      <c r="N32" s="198"/>
    </row>
    <row r="33" spans="1:14">
      <c r="A33" s="26">
        <v>30</v>
      </c>
      <c r="B33" s="27">
        <v>46142</v>
      </c>
      <c r="C33" s="107"/>
      <c r="D33" s="35"/>
      <c r="E33" s="36">
        <v>1500</v>
      </c>
      <c r="F33" s="36">
        <v>96.42</v>
      </c>
      <c r="G33" s="36">
        <f t="shared" si="3"/>
        <v>144630</v>
      </c>
      <c r="H33" s="334">
        <v>0</v>
      </c>
      <c r="I33" s="334">
        <v>0</v>
      </c>
      <c r="J33" s="36">
        <f t="shared" si="1"/>
        <v>0</v>
      </c>
      <c r="K33" s="36">
        <f t="shared" si="0"/>
        <v>144630</v>
      </c>
      <c r="L33" s="197">
        <v>100000</v>
      </c>
      <c r="M33" s="36">
        <f t="shared" si="2"/>
        <v>44630</v>
      </c>
      <c r="N33" s="198"/>
    </row>
    <row r="34" spans="1:14">
      <c r="A34" s="26">
        <v>31</v>
      </c>
      <c r="B34" s="27">
        <v>46143</v>
      </c>
      <c r="C34" s="107"/>
      <c r="D34" s="35"/>
      <c r="E34" s="36"/>
      <c r="F34" s="36"/>
      <c r="G34" s="36">
        <f t="shared" si="3"/>
        <v>0</v>
      </c>
      <c r="H34" s="334"/>
      <c r="I34" s="334"/>
      <c r="J34" s="36">
        <f t="shared" si="1"/>
        <v>0</v>
      </c>
      <c r="K34" s="36">
        <f t="shared" si="0"/>
        <v>0</v>
      </c>
      <c r="L34" s="197"/>
      <c r="M34" s="36">
        <f t="shared" si="2"/>
        <v>44630</v>
      </c>
      <c r="N34" s="198"/>
    </row>
    <row r="35" spans="1:14">
      <c r="A35" s="62"/>
      <c r="B35" s="62"/>
      <c r="C35" s="62"/>
      <c r="D35" s="62"/>
      <c r="E35" s="258">
        <f>SUM(E4:E34)</f>
        <v>3000</v>
      </c>
      <c r="F35" s="258"/>
      <c r="G35" s="63">
        <f>SUM(G4:G34)</f>
        <v>289260</v>
      </c>
      <c r="H35" s="63">
        <f>SUM(H4:H34)</f>
        <v>0</v>
      </c>
      <c r="I35" s="63"/>
      <c r="J35" s="63">
        <f>SUM(J4:J34)</f>
        <v>0</v>
      </c>
      <c r="K35" s="63">
        <f>SUM(K4:K34)</f>
        <v>289260</v>
      </c>
      <c r="L35" s="63">
        <f>SUM(L4:L34)</f>
        <v>244630</v>
      </c>
      <c r="M35" s="63"/>
      <c r="N35" s="63"/>
    </row>
  </sheetData>
  <mergeCells count="2">
    <mergeCell ref="A1:N1"/>
    <mergeCell ref="A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4AB8-1190-4CA3-8E20-1BC2619602FD}">
  <dimension ref="A1:S44"/>
  <sheetViews>
    <sheetView workbookViewId="0">
      <selection activeCell="L6" sqref="L6"/>
    </sheetView>
  </sheetViews>
  <sheetFormatPr defaultRowHeight="15"/>
  <cols>
    <col min="2" max="2" width="10.42578125" bestFit="1" customWidth="1"/>
    <col min="3" max="3" width="12.140625" customWidth="1"/>
    <col min="4" max="4" width="15.140625" customWidth="1"/>
    <col min="5" max="5" width="10.85546875" customWidth="1"/>
    <col min="7" max="7" width="13.7109375" bestFit="1" customWidth="1"/>
    <col min="11" max="12" width="13.5703125" bestFit="1" customWidth="1"/>
    <col min="13" max="13" width="13.140625" bestFit="1" customWidth="1"/>
    <col min="14" max="14" width="8.42578125" bestFit="1" customWidth="1"/>
  </cols>
  <sheetData>
    <row r="1" spans="1:19" ht="15.75">
      <c r="A1" s="481" t="s">
        <v>71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82"/>
    </row>
    <row r="2" spans="1:19" ht="30.75">
      <c r="A2" s="98" t="s">
        <v>0</v>
      </c>
      <c r="B2" s="99" t="s">
        <v>164</v>
      </c>
      <c r="C2" s="99" t="s">
        <v>165</v>
      </c>
      <c r="D2" s="99" t="s">
        <v>208</v>
      </c>
      <c r="E2" s="256" t="s">
        <v>167</v>
      </c>
      <c r="F2" s="256" t="s">
        <v>168</v>
      </c>
      <c r="G2" s="99" t="s">
        <v>169</v>
      </c>
      <c r="H2" s="99" t="s">
        <v>170</v>
      </c>
      <c r="I2" s="99" t="s">
        <v>168</v>
      </c>
      <c r="J2" s="138" t="s">
        <v>169</v>
      </c>
      <c r="K2" s="100" t="s">
        <v>171</v>
      </c>
      <c r="L2" s="139" t="s">
        <v>172</v>
      </c>
      <c r="M2" s="143" t="s">
        <v>209</v>
      </c>
      <c r="N2" s="101" t="s">
        <v>174</v>
      </c>
      <c r="O2" s="59"/>
    </row>
    <row r="3" spans="1:19">
      <c r="A3" s="482" t="s">
        <v>175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4"/>
      <c r="M3" s="148">
        <v>2453209.39</v>
      </c>
      <c r="N3" s="156"/>
      <c r="O3" s="59"/>
    </row>
    <row r="4" spans="1:19">
      <c r="A4" s="196">
        <v>1</v>
      </c>
      <c r="B4" s="219">
        <v>46113</v>
      </c>
      <c r="C4" s="67"/>
      <c r="D4" s="159"/>
      <c r="E4" s="257"/>
      <c r="F4" s="257"/>
      <c r="G4" s="8">
        <f t="shared" ref="G4:G34" si="0">E4*F4</f>
        <v>0</v>
      </c>
      <c r="H4" s="65"/>
      <c r="I4" s="66"/>
      <c r="J4" s="8">
        <f>H4*I4</f>
        <v>0</v>
      </c>
      <c r="K4" s="8">
        <f>G4+J4</f>
        <v>0</v>
      </c>
      <c r="L4" s="68">
        <v>0</v>
      </c>
      <c r="M4" s="68">
        <f>+M3+K4-L4</f>
        <v>2453209.39</v>
      </c>
      <c r="N4" s="8"/>
    </row>
    <row r="5" spans="1:19">
      <c r="A5" s="46">
        <v>2</v>
      </c>
      <c r="B5" s="219">
        <v>46114</v>
      </c>
      <c r="C5" s="67"/>
      <c r="D5" s="159"/>
      <c r="E5" s="257"/>
      <c r="F5" s="257"/>
      <c r="G5" s="8">
        <f t="shared" ref="G5:G33" si="1">E5*F5</f>
        <v>0</v>
      </c>
      <c r="H5" s="65"/>
      <c r="I5" s="66"/>
      <c r="J5" s="8">
        <f t="shared" ref="J5:J33" si="2">H5*I5</f>
        <v>0</v>
      </c>
      <c r="K5" s="8">
        <f t="shared" ref="K5:K33" si="3">G5+J5</f>
        <v>0</v>
      </c>
      <c r="L5" s="68">
        <v>0</v>
      </c>
      <c r="M5" s="68">
        <f t="shared" ref="M5:M34" si="4">+M4+K5-L5</f>
        <v>2453209.39</v>
      </c>
      <c r="N5" s="8"/>
    </row>
    <row r="6" spans="1:19">
      <c r="A6" s="46">
        <v>3</v>
      </c>
      <c r="B6" s="219">
        <v>46115</v>
      </c>
      <c r="C6" s="67"/>
      <c r="D6" s="159"/>
      <c r="E6" s="257"/>
      <c r="F6" s="257"/>
      <c r="G6" s="8">
        <f t="shared" si="1"/>
        <v>0</v>
      </c>
      <c r="H6" s="65"/>
      <c r="I6" s="66"/>
      <c r="J6" s="8">
        <f t="shared" si="2"/>
        <v>0</v>
      </c>
      <c r="K6" s="8">
        <f t="shared" si="3"/>
        <v>0</v>
      </c>
      <c r="L6" s="68">
        <v>2453209.39</v>
      </c>
      <c r="M6" s="68">
        <f t="shared" si="4"/>
        <v>0</v>
      </c>
      <c r="N6" s="8"/>
      <c r="O6">
        <v>8032614</v>
      </c>
      <c r="P6">
        <v>2453209.39</v>
      </c>
      <c r="Q6">
        <f>SUM(O6:P6)</f>
        <v>10485823.390000001</v>
      </c>
    </row>
    <row r="7" spans="1:19">
      <c r="A7" s="46">
        <v>4</v>
      </c>
      <c r="B7" s="219">
        <v>46116</v>
      </c>
      <c r="C7" s="67"/>
      <c r="D7" s="159"/>
      <c r="E7" s="257">
        <v>990</v>
      </c>
      <c r="F7" s="257">
        <v>95.93</v>
      </c>
      <c r="G7" s="8">
        <f t="shared" si="1"/>
        <v>94970.700000000012</v>
      </c>
      <c r="H7" s="65"/>
      <c r="I7" s="66"/>
      <c r="J7" s="8">
        <f t="shared" si="2"/>
        <v>0</v>
      </c>
      <c r="K7" s="8">
        <f t="shared" si="3"/>
        <v>94970.700000000012</v>
      </c>
      <c r="L7" s="68">
        <v>0</v>
      </c>
      <c r="M7" s="68">
        <f t="shared" si="4"/>
        <v>94970.700000000012</v>
      </c>
      <c r="N7" s="8"/>
    </row>
    <row r="8" spans="1:19">
      <c r="A8" s="46">
        <v>5</v>
      </c>
      <c r="B8" s="219">
        <v>46117</v>
      </c>
      <c r="C8" s="67"/>
      <c r="D8" s="159"/>
      <c r="E8" s="257"/>
      <c r="F8" s="257"/>
      <c r="G8" s="8">
        <f t="shared" si="1"/>
        <v>0</v>
      </c>
      <c r="H8" s="65"/>
      <c r="I8" s="66"/>
      <c r="J8" s="8">
        <f t="shared" si="2"/>
        <v>0</v>
      </c>
      <c r="K8" s="8">
        <f t="shared" si="3"/>
        <v>0</v>
      </c>
      <c r="L8" s="68">
        <v>0</v>
      </c>
      <c r="M8" s="68">
        <f t="shared" si="4"/>
        <v>94970.700000000012</v>
      </c>
      <c r="N8" s="8"/>
      <c r="O8" s="69"/>
      <c r="R8" s="225"/>
    </row>
    <row r="9" spans="1:19">
      <c r="A9" s="46">
        <v>6</v>
      </c>
      <c r="B9" s="219">
        <v>46118</v>
      </c>
      <c r="C9" s="67"/>
      <c r="D9" s="159"/>
      <c r="E9" s="257"/>
      <c r="F9" s="257"/>
      <c r="G9" s="8">
        <f t="shared" si="1"/>
        <v>0</v>
      </c>
      <c r="H9" s="65"/>
      <c r="I9" s="66"/>
      <c r="J9" s="8">
        <f t="shared" si="2"/>
        <v>0</v>
      </c>
      <c r="K9" s="8">
        <f t="shared" si="3"/>
        <v>0</v>
      </c>
      <c r="L9" s="68">
        <v>0</v>
      </c>
      <c r="M9" s="68">
        <f t="shared" si="4"/>
        <v>94970.700000000012</v>
      </c>
      <c r="N9" s="8"/>
      <c r="O9" s="69"/>
    </row>
    <row r="10" spans="1:19">
      <c r="A10" s="46">
        <v>7</v>
      </c>
      <c r="B10" s="219">
        <v>46119</v>
      </c>
      <c r="C10" s="67"/>
      <c r="D10" s="159"/>
      <c r="E10" s="257">
        <v>1400</v>
      </c>
      <c r="F10" s="257">
        <v>95.93</v>
      </c>
      <c r="G10" s="8">
        <f t="shared" si="1"/>
        <v>134302</v>
      </c>
      <c r="H10" s="65"/>
      <c r="I10" s="66"/>
      <c r="J10" s="8">
        <f t="shared" si="2"/>
        <v>0</v>
      </c>
      <c r="K10" s="8">
        <f t="shared" si="3"/>
        <v>134302</v>
      </c>
      <c r="L10" s="68">
        <v>0</v>
      </c>
      <c r="M10" s="68">
        <f t="shared" si="4"/>
        <v>229272.7</v>
      </c>
      <c r="N10" s="8"/>
      <c r="O10" s="69"/>
      <c r="R10">
        <v>700</v>
      </c>
    </row>
    <row r="11" spans="1:19">
      <c r="A11" s="46">
        <v>8</v>
      </c>
      <c r="B11" s="219">
        <v>46120</v>
      </c>
      <c r="C11" s="67"/>
      <c r="D11" s="159"/>
      <c r="E11" s="257"/>
      <c r="F11" s="257"/>
      <c r="G11" s="8">
        <f t="shared" si="1"/>
        <v>0</v>
      </c>
      <c r="H11" s="65"/>
      <c r="I11" s="66"/>
      <c r="J11" s="8">
        <f t="shared" si="2"/>
        <v>0</v>
      </c>
      <c r="K11" s="8">
        <f t="shared" si="3"/>
        <v>0</v>
      </c>
      <c r="L11" s="68">
        <v>0</v>
      </c>
      <c r="M11" s="68">
        <f t="shared" si="4"/>
        <v>229272.7</v>
      </c>
      <c r="N11" s="8"/>
      <c r="O11" s="69"/>
      <c r="S11">
        <v>5000</v>
      </c>
    </row>
    <row r="12" spans="1:19">
      <c r="A12" s="46">
        <v>9</v>
      </c>
      <c r="B12" s="219">
        <v>46121</v>
      </c>
      <c r="C12" s="67"/>
      <c r="D12" s="159"/>
      <c r="E12" s="257"/>
      <c r="F12" s="257"/>
      <c r="G12" s="8">
        <f t="shared" si="1"/>
        <v>0</v>
      </c>
      <c r="H12" s="65"/>
      <c r="I12" s="66"/>
      <c r="J12" s="8">
        <f t="shared" si="2"/>
        <v>0</v>
      </c>
      <c r="K12" s="8">
        <f t="shared" si="3"/>
        <v>0</v>
      </c>
      <c r="L12" s="68">
        <v>0</v>
      </c>
      <c r="M12" s="68">
        <f t="shared" si="4"/>
        <v>229272.7</v>
      </c>
      <c r="N12" s="8"/>
      <c r="O12" s="69"/>
      <c r="S12">
        <v>1500</v>
      </c>
    </row>
    <row r="13" spans="1:19">
      <c r="A13" s="46">
        <v>10</v>
      </c>
      <c r="B13" s="219">
        <v>46122</v>
      </c>
      <c r="C13" s="67"/>
      <c r="D13" s="159"/>
      <c r="E13" s="257"/>
      <c r="F13" s="257"/>
      <c r="G13" s="8">
        <f t="shared" si="1"/>
        <v>0</v>
      </c>
      <c r="H13" s="65"/>
      <c r="I13" s="66"/>
      <c r="J13" s="8">
        <f t="shared" si="2"/>
        <v>0</v>
      </c>
      <c r="K13" s="8">
        <f t="shared" si="3"/>
        <v>0</v>
      </c>
      <c r="L13" s="68">
        <v>0</v>
      </c>
      <c r="M13" s="68">
        <f t="shared" si="4"/>
        <v>229272.7</v>
      </c>
      <c r="N13" s="8"/>
      <c r="O13" s="69"/>
      <c r="S13">
        <v>500</v>
      </c>
    </row>
    <row r="14" spans="1:19">
      <c r="A14" s="46">
        <v>11</v>
      </c>
      <c r="B14" s="219">
        <v>46123</v>
      </c>
      <c r="C14" s="67"/>
      <c r="D14" s="159"/>
      <c r="E14" s="50">
        <v>1800</v>
      </c>
      <c r="F14" s="424">
        <v>95.93</v>
      </c>
      <c r="G14" s="8">
        <f t="shared" si="1"/>
        <v>172674</v>
      </c>
      <c r="H14" s="65"/>
      <c r="I14" s="66"/>
      <c r="J14" s="8">
        <f t="shared" si="2"/>
        <v>0</v>
      </c>
      <c r="K14" s="8">
        <f t="shared" si="3"/>
        <v>172674</v>
      </c>
      <c r="L14" s="68">
        <v>0</v>
      </c>
      <c r="M14" s="68">
        <f t="shared" si="4"/>
        <v>401946.7</v>
      </c>
      <c r="N14" s="8"/>
      <c r="O14" s="69"/>
    </row>
    <row r="15" spans="1:19">
      <c r="A15" s="46">
        <v>12</v>
      </c>
      <c r="B15" s="219">
        <v>46124</v>
      </c>
      <c r="C15" s="67"/>
      <c r="D15" s="159"/>
      <c r="E15" s="50">
        <v>2000</v>
      </c>
      <c r="F15" s="424">
        <v>95.93</v>
      </c>
      <c r="G15" s="8">
        <f t="shared" si="1"/>
        <v>191860</v>
      </c>
      <c r="H15" s="65"/>
      <c r="I15" s="66"/>
      <c r="J15" s="8">
        <f t="shared" si="2"/>
        <v>0</v>
      </c>
      <c r="K15" s="8">
        <f t="shared" si="3"/>
        <v>191860</v>
      </c>
      <c r="L15" s="68">
        <v>0</v>
      </c>
      <c r="M15" s="68">
        <f t="shared" si="4"/>
        <v>593806.69999999995</v>
      </c>
      <c r="N15" s="8"/>
      <c r="O15" s="69"/>
    </row>
    <row r="16" spans="1:19">
      <c r="A16" s="46">
        <v>13</v>
      </c>
      <c r="B16" s="219">
        <v>46125</v>
      </c>
      <c r="C16" s="67"/>
      <c r="D16" s="159"/>
      <c r="E16" s="257"/>
      <c r="F16" s="257"/>
      <c r="G16" s="8">
        <f t="shared" si="1"/>
        <v>0</v>
      </c>
      <c r="H16" s="65"/>
      <c r="I16" s="66"/>
      <c r="J16" s="8">
        <f t="shared" si="2"/>
        <v>0</v>
      </c>
      <c r="K16" s="8">
        <f t="shared" si="3"/>
        <v>0</v>
      </c>
      <c r="L16" s="68">
        <v>0</v>
      </c>
      <c r="M16" s="68">
        <f t="shared" si="4"/>
        <v>593806.69999999995</v>
      </c>
      <c r="N16" s="8"/>
      <c r="O16" s="69"/>
    </row>
    <row r="17" spans="1:17">
      <c r="A17" s="46">
        <v>14</v>
      </c>
      <c r="B17" s="219">
        <v>46126</v>
      </c>
      <c r="C17" s="67"/>
      <c r="D17" s="159"/>
      <c r="E17" s="257"/>
      <c r="F17" s="257"/>
      <c r="G17" s="8">
        <f t="shared" si="1"/>
        <v>0</v>
      </c>
      <c r="H17" s="65"/>
      <c r="I17" s="66"/>
      <c r="J17" s="8">
        <f t="shared" si="2"/>
        <v>0</v>
      </c>
      <c r="K17" s="8">
        <f t="shared" si="3"/>
        <v>0</v>
      </c>
      <c r="L17" s="68">
        <v>0</v>
      </c>
      <c r="M17" s="68">
        <f t="shared" si="4"/>
        <v>593806.69999999995</v>
      </c>
      <c r="N17" s="8"/>
      <c r="O17" s="69"/>
    </row>
    <row r="18" spans="1:17">
      <c r="A18" s="46">
        <v>15</v>
      </c>
      <c r="B18" s="219">
        <v>46127</v>
      </c>
      <c r="C18" s="67"/>
      <c r="D18" s="159"/>
      <c r="E18" s="50">
        <v>2000</v>
      </c>
      <c r="F18" s="424">
        <v>95.93</v>
      </c>
      <c r="G18" s="8">
        <f t="shared" si="1"/>
        <v>191860</v>
      </c>
      <c r="H18" s="65"/>
      <c r="I18" s="66"/>
      <c r="J18" s="8">
        <f t="shared" si="2"/>
        <v>0</v>
      </c>
      <c r="K18" s="8">
        <f t="shared" si="3"/>
        <v>191860</v>
      </c>
      <c r="L18" s="68">
        <v>0</v>
      </c>
      <c r="M18" s="68">
        <f t="shared" si="4"/>
        <v>785666.7</v>
      </c>
      <c r="N18" s="182"/>
      <c r="O18" s="69"/>
    </row>
    <row r="19" spans="1:17">
      <c r="A19" s="46">
        <v>16</v>
      </c>
      <c r="B19" s="219">
        <v>46128</v>
      </c>
      <c r="C19" s="67"/>
      <c r="D19" s="159"/>
      <c r="E19" s="257"/>
      <c r="F19" s="257"/>
      <c r="G19" s="8">
        <f t="shared" si="1"/>
        <v>0</v>
      </c>
      <c r="H19" s="65"/>
      <c r="I19" s="66"/>
      <c r="J19" s="8">
        <f t="shared" si="2"/>
        <v>0</v>
      </c>
      <c r="K19" s="8">
        <f t="shared" si="3"/>
        <v>0</v>
      </c>
      <c r="L19" s="68">
        <v>0</v>
      </c>
      <c r="M19" s="68">
        <f t="shared" si="4"/>
        <v>785666.7</v>
      </c>
      <c r="N19" s="279"/>
      <c r="O19" s="69"/>
    </row>
    <row r="20" spans="1:17">
      <c r="A20" s="46">
        <v>17</v>
      </c>
      <c r="B20" s="219">
        <v>46129</v>
      </c>
      <c r="C20" s="67"/>
      <c r="D20" s="159"/>
      <c r="E20" s="257"/>
      <c r="F20" s="257"/>
      <c r="G20" s="8">
        <f t="shared" si="1"/>
        <v>0</v>
      </c>
      <c r="H20" s="65"/>
      <c r="I20" s="66"/>
      <c r="J20" s="8">
        <f t="shared" si="2"/>
        <v>0</v>
      </c>
      <c r="K20" s="8">
        <f t="shared" si="3"/>
        <v>0</v>
      </c>
      <c r="L20" s="68">
        <v>0</v>
      </c>
      <c r="M20" s="68">
        <f t="shared" si="4"/>
        <v>785666.7</v>
      </c>
      <c r="N20" s="19"/>
      <c r="O20" s="69"/>
    </row>
    <row r="21" spans="1:17">
      <c r="A21" s="46">
        <v>18</v>
      </c>
      <c r="B21" s="219">
        <v>46130</v>
      </c>
      <c r="C21" s="67"/>
      <c r="D21" s="159"/>
      <c r="E21" s="257">
        <v>2500</v>
      </c>
      <c r="F21" s="257">
        <v>95.93</v>
      </c>
      <c r="G21" s="8">
        <f t="shared" si="1"/>
        <v>239825.00000000003</v>
      </c>
      <c r="H21" s="65"/>
      <c r="I21" s="66"/>
      <c r="J21" s="8">
        <f t="shared" si="2"/>
        <v>0</v>
      </c>
      <c r="K21" s="8">
        <f t="shared" si="3"/>
        <v>239825.00000000003</v>
      </c>
      <c r="L21" s="68">
        <v>0</v>
      </c>
      <c r="M21" s="68">
        <f t="shared" si="4"/>
        <v>1025491.7</v>
      </c>
      <c r="N21" s="8"/>
      <c r="O21" s="69"/>
    </row>
    <row r="22" spans="1:17">
      <c r="A22" s="46">
        <v>19</v>
      </c>
      <c r="B22" s="219">
        <v>46131</v>
      </c>
      <c r="C22" s="67"/>
      <c r="D22" s="159"/>
      <c r="E22" s="257">
        <v>2000</v>
      </c>
      <c r="F22" s="257">
        <v>95.93</v>
      </c>
      <c r="G22" s="8">
        <f t="shared" si="1"/>
        <v>191860</v>
      </c>
      <c r="H22" s="65"/>
      <c r="I22" s="66"/>
      <c r="J22" s="8">
        <f t="shared" si="2"/>
        <v>0</v>
      </c>
      <c r="K22" s="8">
        <f t="shared" si="3"/>
        <v>191860</v>
      </c>
      <c r="L22" s="68">
        <v>0</v>
      </c>
      <c r="M22" s="68">
        <f t="shared" si="4"/>
        <v>1217351.7</v>
      </c>
      <c r="N22" s="8"/>
      <c r="O22" s="69"/>
      <c r="Q22" s="22"/>
    </row>
    <row r="23" spans="1:17">
      <c r="A23" s="46">
        <v>20</v>
      </c>
      <c r="B23" s="219">
        <v>46132</v>
      </c>
      <c r="C23" s="67"/>
      <c r="D23" s="159"/>
      <c r="E23" s="257"/>
      <c r="F23" s="257"/>
      <c r="G23" s="8">
        <f t="shared" si="1"/>
        <v>0</v>
      </c>
      <c r="H23" s="65"/>
      <c r="I23" s="66"/>
      <c r="J23" s="8">
        <f t="shared" si="2"/>
        <v>0</v>
      </c>
      <c r="K23" s="8">
        <f t="shared" si="3"/>
        <v>0</v>
      </c>
      <c r="L23" s="68">
        <v>0</v>
      </c>
      <c r="M23" s="68">
        <f t="shared" si="4"/>
        <v>1217351.7</v>
      </c>
      <c r="N23" s="8"/>
      <c r="O23" s="69"/>
    </row>
    <row r="24" spans="1:17">
      <c r="A24" s="46">
        <v>21</v>
      </c>
      <c r="B24" s="219">
        <v>46133</v>
      </c>
      <c r="C24" s="67"/>
      <c r="D24" s="159"/>
      <c r="E24" s="257"/>
      <c r="F24" s="257"/>
      <c r="G24" s="8">
        <f t="shared" si="1"/>
        <v>0</v>
      </c>
      <c r="H24" s="65"/>
      <c r="I24" s="66"/>
      <c r="J24" s="8">
        <f t="shared" si="2"/>
        <v>0</v>
      </c>
      <c r="K24" s="8">
        <f t="shared" si="3"/>
        <v>0</v>
      </c>
      <c r="L24" s="68">
        <v>0</v>
      </c>
      <c r="M24" s="68">
        <f t="shared" si="4"/>
        <v>1217351.7</v>
      </c>
      <c r="N24" s="8"/>
      <c r="O24" s="69"/>
    </row>
    <row r="25" spans="1:17">
      <c r="A25" s="46">
        <v>22</v>
      </c>
      <c r="B25" s="219">
        <v>46134</v>
      </c>
      <c r="C25" s="67"/>
      <c r="D25" s="159"/>
      <c r="E25" s="257"/>
      <c r="F25" s="257"/>
      <c r="G25" s="8">
        <f t="shared" si="1"/>
        <v>0</v>
      </c>
      <c r="H25" s="65"/>
      <c r="I25" s="66"/>
      <c r="J25" s="8">
        <f t="shared" si="2"/>
        <v>0</v>
      </c>
      <c r="K25" s="8">
        <f t="shared" si="3"/>
        <v>0</v>
      </c>
      <c r="L25" s="68">
        <v>0</v>
      </c>
      <c r="M25" s="68">
        <f t="shared" si="4"/>
        <v>1217351.7</v>
      </c>
      <c r="N25" s="8"/>
      <c r="O25" s="69"/>
    </row>
    <row r="26" spans="1:17">
      <c r="A26" s="46">
        <v>23</v>
      </c>
      <c r="B26" s="219">
        <v>46135</v>
      </c>
      <c r="C26" s="67"/>
      <c r="D26" s="159"/>
      <c r="E26" s="257"/>
      <c r="F26" s="257"/>
      <c r="G26" s="8">
        <f t="shared" si="1"/>
        <v>0</v>
      </c>
      <c r="H26" s="65"/>
      <c r="I26" s="66"/>
      <c r="J26" s="8">
        <f t="shared" si="2"/>
        <v>0</v>
      </c>
      <c r="K26" s="8">
        <f t="shared" si="3"/>
        <v>0</v>
      </c>
      <c r="L26" s="68">
        <v>0</v>
      </c>
      <c r="M26" s="68">
        <f t="shared" si="4"/>
        <v>1217351.7</v>
      </c>
      <c r="N26" s="8"/>
      <c r="O26" s="69"/>
    </row>
    <row r="27" spans="1:17">
      <c r="A27" s="46">
        <v>24</v>
      </c>
      <c r="B27" s="219">
        <v>46136</v>
      </c>
      <c r="C27" s="67"/>
      <c r="D27" s="159"/>
      <c r="E27" s="257">
        <v>1000</v>
      </c>
      <c r="F27" s="257">
        <v>95.93</v>
      </c>
      <c r="G27" s="8">
        <f t="shared" si="1"/>
        <v>95930</v>
      </c>
      <c r="H27" s="65"/>
      <c r="I27" s="66"/>
      <c r="J27" s="8">
        <f t="shared" si="2"/>
        <v>0</v>
      </c>
      <c r="K27" s="8">
        <f t="shared" si="3"/>
        <v>95930</v>
      </c>
      <c r="L27" s="68">
        <v>0</v>
      </c>
      <c r="M27" s="68">
        <f t="shared" si="4"/>
        <v>1313281.7</v>
      </c>
      <c r="N27" s="8"/>
      <c r="O27" s="69"/>
    </row>
    <row r="28" spans="1:17">
      <c r="A28" s="221">
        <v>25</v>
      </c>
      <c r="B28" s="219">
        <v>46137</v>
      </c>
      <c r="C28" s="67"/>
      <c r="D28" s="159"/>
      <c r="E28" s="257"/>
      <c r="F28" s="257"/>
      <c r="G28" s="8">
        <f t="shared" si="1"/>
        <v>0</v>
      </c>
      <c r="H28" s="65"/>
      <c r="I28" s="66"/>
      <c r="J28" s="8">
        <f t="shared" si="2"/>
        <v>0</v>
      </c>
      <c r="K28" s="8">
        <f t="shared" si="3"/>
        <v>0</v>
      </c>
      <c r="L28" s="68">
        <v>0</v>
      </c>
      <c r="M28" s="68">
        <f t="shared" si="4"/>
        <v>1313281.7</v>
      </c>
      <c r="N28" s="8"/>
      <c r="O28" s="69"/>
    </row>
    <row r="29" spans="1:17">
      <c r="A29" s="221">
        <v>26</v>
      </c>
      <c r="B29" s="219">
        <v>46138</v>
      </c>
      <c r="C29" s="67"/>
      <c r="D29" s="159"/>
      <c r="E29" s="257"/>
      <c r="F29" s="257"/>
      <c r="G29" s="8">
        <f t="shared" si="1"/>
        <v>0</v>
      </c>
      <c r="H29" s="65"/>
      <c r="I29" s="66"/>
      <c r="J29" s="8">
        <f t="shared" si="2"/>
        <v>0</v>
      </c>
      <c r="K29" s="8">
        <f t="shared" si="3"/>
        <v>0</v>
      </c>
      <c r="L29" s="68">
        <v>0</v>
      </c>
      <c r="M29" s="68">
        <f t="shared" si="4"/>
        <v>1313281.7</v>
      </c>
      <c r="N29" s="8"/>
      <c r="O29" s="69"/>
    </row>
    <row r="30" spans="1:17">
      <c r="A30" s="221">
        <v>27</v>
      </c>
      <c r="B30" s="219">
        <v>46139</v>
      </c>
      <c r="C30" s="67"/>
      <c r="D30" s="159"/>
      <c r="E30" s="257"/>
      <c r="F30" s="257"/>
      <c r="G30" s="8">
        <f t="shared" si="1"/>
        <v>0</v>
      </c>
      <c r="H30" s="65"/>
      <c r="I30" s="66"/>
      <c r="J30" s="8">
        <f t="shared" si="2"/>
        <v>0</v>
      </c>
      <c r="K30" s="8">
        <f t="shared" si="3"/>
        <v>0</v>
      </c>
      <c r="L30" s="68">
        <v>0</v>
      </c>
      <c r="M30" s="68">
        <f t="shared" si="4"/>
        <v>1313281.7</v>
      </c>
      <c r="N30" s="8"/>
      <c r="O30" s="69"/>
    </row>
    <row r="31" spans="1:17">
      <c r="A31" s="221">
        <v>28</v>
      </c>
      <c r="B31" s="219">
        <v>46140</v>
      </c>
      <c r="C31" s="67"/>
      <c r="D31" s="159"/>
      <c r="E31" s="257"/>
      <c r="F31" s="257"/>
      <c r="G31" s="8">
        <f t="shared" si="1"/>
        <v>0</v>
      </c>
      <c r="H31" s="65"/>
      <c r="I31" s="66"/>
      <c r="J31" s="8">
        <f t="shared" si="2"/>
        <v>0</v>
      </c>
      <c r="K31" s="8">
        <f t="shared" si="3"/>
        <v>0</v>
      </c>
      <c r="L31" s="68">
        <v>0</v>
      </c>
      <c r="M31" s="68">
        <f t="shared" si="4"/>
        <v>1313281.7</v>
      </c>
      <c r="N31" s="8"/>
      <c r="O31" s="69"/>
    </row>
    <row r="32" spans="1:17">
      <c r="A32" s="222">
        <v>29</v>
      </c>
      <c r="B32" s="219">
        <v>46141</v>
      </c>
      <c r="C32" s="67"/>
      <c r="D32" s="159"/>
      <c r="E32" s="257"/>
      <c r="F32" s="257"/>
      <c r="G32" s="8">
        <f t="shared" si="1"/>
        <v>0</v>
      </c>
      <c r="H32" s="65"/>
      <c r="I32" s="66"/>
      <c r="J32" s="8">
        <f t="shared" si="2"/>
        <v>0</v>
      </c>
      <c r="K32" s="8">
        <f t="shared" si="3"/>
        <v>0</v>
      </c>
      <c r="L32" s="68"/>
      <c r="M32" s="68">
        <f t="shared" si="4"/>
        <v>1313281.7</v>
      </c>
      <c r="N32" s="8"/>
      <c r="O32" s="69"/>
    </row>
    <row r="33" spans="1:15">
      <c r="A33" s="222">
        <v>30</v>
      </c>
      <c r="B33" s="219">
        <v>46142</v>
      </c>
      <c r="C33" s="67"/>
      <c r="D33" s="159"/>
      <c r="E33" s="257"/>
      <c r="F33" s="257"/>
      <c r="G33" s="8">
        <f t="shared" si="1"/>
        <v>0</v>
      </c>
      <c r="H33" s="65"/>
      <c r="I33" s="66"/>
      <c r="J33" s="8">
        <f t="shared" si="2"/>
        <v>0</v>
      </c>
      <c r="K33" s="8">
        <f t="shared" si="3"/>
        <v>0</v>
      </c>
      <c r="L33" s="68"/>
      <c r="M33" s="68">
        <f t="shared" si="4"/>
        <v>1313281.7</v>
      </c>
      <c r="N33" s="8"/>
      <c r="O33" s="69"/>
    </row>
    <row r="34" spans="1:15">
      <c r="A34" s="222">
        <v>31</v>
      </c>
      <c r="B34" s="219"/>
      <c r="C34" s="67"/>
      <c r="D34" s="159"/>
      <c r="E34" s="257"/>
      <c r="F34" s="257"/>
      <c r="G34" s="8">
        <f t="shared" si="0"/>
        <v>0</v>
      </c>
      <c r="H34" s="65">
        <v>0</v>
      </c>
      <c r="I34" s="66">
        <v>0</v>
      </c>
      <c r="J34" s="8">
        <f t="shared" ref="J5:J34" si="5">H34*I34</f>
        <v>0</v>
      </c>
      <c r="K34" s="8">
        <f t="shared" ref="K5:K34" si="6">G34+J34</f>
        <v>0</v>
      </c>
      <c r="L34" s="68">
        <v>0</v>
      </c>
      <c r="M34" s="68">
        <f t="shared" si="4"/>
        <v>1313281.7</v>
      </c>
      <c r="N34" s="8"/>
      <c r="O34" s="69"/>
    </row>
    <row r="35" spans="1:15">
      <c r="A35" s="62"/>
      <c r="B35" s="62"/>
      <c r="C35" s="62"/>
      <c r="D35" s="62"/>
      <c r="E35" s="258">
        <f>SUM(E4:E34)</f>
        <v>13690</v>
      </c>
      <c r="F35" s="258"/>
      <c r="G35" s="63">
        <f>SUM(G4:G34)</f>
        <v>1313281.7</v>
      </c>
      <c r="H35" s="63">
        <f>SUM(H4:H34)</f>
        <v>0</v>
      </c>
      <c r="I35" s="63"/>
      <c r="J35" s="63">
        <f>SUM(J4:J34)</f>
        <v>0</v>
      </c>
      <c r="K35" s="63">
        <f>SUM(K4:K34)</f>
        <v>1313281.7</v>
      </c>
      <c r="L35" s="63">
        <f>SUM(L4:L34)</f>
        <v>2453209.39</v>
      </c>
      <c r="M35" s="63"/>
      <c r="N35" s="63"/>
      <c r="O35" s="59"/>
    </row>
    <row r="36" spans="1:15">
      <c r="A36" s="72"/>
      <c r="B36" s="73"/>
      <c r="C36" s="72"/>
      <c r="D36" s="72"/>
      <c r="E36" s="74"/>
      <c r="F36" s="74"/>
      <c r="G36" s="74"/>
      <c r="H36" s="74"/>
      <c r="I36" s="74"/>
      <c r="J36" s="75"/>
      <c r="K36" s="75"/>
      <c r="L36" s="75"/>
      <c r="M36" s="75"/>
      <c r="N36" s="74"/>
      <c r="O36" s="69"/>
    </row>
    <row r="37" spans="1:15">
      <c r="O37" s="69"/>
    </row>
    <row r="38" spans="1:15">
      <c r="O38" s="69"/>
    </row>
    <row r="39" spans="1:15">
      <c r="O39" s="69"/>
    </row>
    <row r="40" spans="1:15">
      <c r="O40" s="69"/>
    </row>
    <row r="41" spans="1:15">
      <c r="O41" s="69"/>
    </row>
    <row r="42" spans="1:15">
      <c r="A42" s="69"/>
      <c r="B42" s="59"/>
      <c r="C42" s="69"/>
      <c r="D42" s="69"/>
      <c r="E42" s="69"/>
      <c r="F42" s="69"/>
      <c r="G42" s="76"/>
      <c r="H42" s="69"/>
      <c r="I42" s="69"/>
      <c r="J42" s="59"/>
      <c r="K42" s="59"/>
      <c r="L42" s="59"/>
      <c r="M42" s="59"/>
      <c r="N42" s="69"/>
      <c r="O42" s="74"/>
    </row>
    <row r="43" spans="1:15">
      <c r="A43" s="69"/>
      <c r="B43" s="490"/>
      <c r="C43" s="490"/>
      <c r="D43" s="490"/>
      <c r="E43" s="490"/>
      <c r="F43" s="69"/>
      <c r="G43" s="69"/>
      <c r="H43" s="69"/>
      <c r="I43" s="490"/>
      <c r="J43" s="490"/>
      <c r="K43" s="490"/>
      <c r="L43" s="490"/>
      <c r="M43" s="490"/>
      <c r="N43" s="490"/>
      <c r="O43" s="74"/>
    </row>
    <row r="44" spans="1:15">
      <c r="A44" s="69"/>
      <c r="B44" s="59"/>
      <c r="C44" s="69"/>
      <c r="D44" s="69"/>
      <c r="E44" s="69"/>
      <c r="F44" s="69"/>
      <c r="G44" s="69"/>
      <c r="H44" s="69"/>
      <c r="I44" s="69"/>
      <c r="J44" s="59"/>
      <c r="K44" s="59"/>
      <c r="L44" s="59"/>
      <c r="M44" s="59"/>
      <c r="N44" s="69"/>
      <c r="O44" s="74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FE56-609E-4DFF-AE6F-57743C385CA3}">
  <dimension ref="A1:N35"/>
  <sheetViews>
    <sheetView topLeftCell="A15" workbookViewId="0">
      <selection activeCell="M34" sqref="M34"/>
    </sheetView>
  </sheetViews>
  <sheetFormatPr defaultRowHeight="15"/>
  <cols>
    <col min="2" max="2" width="10.140625" bestFit="1" customWidth="1"/>
    <col min="7" max="7" width="11.85546875" bestFit="1" customWidth="1"/>
    <col min="10" max="12" width="10.85546875" bestFit="1" customWidth="1"/>
    <col min="13" max="13" width="10.7109375" customWidth="1"/>
  </cols>
  <sheetData>
    <row r="1" spans="1:14" ht="15.75">
      <c r="A1" s="489" t="s">
        <v>80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</row>
    <row r="2" spans="1:14" ht="27">
      <c r="A2" s="103" t="s">
        <v>0</v>
      </c>
      <c r="B2" s="106" t="s">
        <v>164</v>
      </c>
      <c r="C2" s="106" t="s">
        <v>165</v>
      </c>
      <c r="D2" s="106" t="s">
        <v>166</v>
      </c>
      <c r="E2" s="106" t="s">
        <v>167</v>
      </c>
      <c r="F2" s="106" t="s">
        <v>168</v>
      </c>
      <c r="G2" s="106" t="s">
        <v>169</v>
      </c>
      <c r="H2" s="106" t="s">
        <v>170</v>
      </c>
      <c r="I2" s="106" t="s">
        <v>168</v>
      </c>
      <c r="J2" s="106" t="s">
        <v>169</v>
      </c>
      <c r="K2" s="144" t="s">
        <v>171</v>
      </c>
      <c r="L2" s="144" t="s">
        <v>172</v>
      </c>
      <c r="M2" s="144" t="s">
        <v>173</v>
      </c>
      <c r="N2" s="106" t="s">
        <v>174</v>
      </c>
    </row>
    <row r="3" spans="1:14">
      <c r="A3" s="482" t="s">
        <v>175</v>
      </c>
      <c r="B3" s="483"/>
      <c r="C3" s="483"/>
      <c r="D3" s="483"/>
      <c r="E3" s="483"/>
      <c r="F3" s="483"/>
      <c r="G3" s="483"/>
      <c r="H3" s="483"/>
      <c r="I3" s="483"/>
      <c r="J3" s="484"/>
      <c r="K3" s="131"/>
      <c r="L3" s="232"/>
      <c r="M3" s="327">
        <v>9729</v>
      </c>
      <c r="N3" s="233"/>
    </row>
    <row r="4" spans="1:14">
      <c r="A4" s="26">
        <v>1</v>
      </c>
      <c r="B4" s="27">
        <v>46113</v>
      </c>
      <c r="C4" s="107"/>
      <c r="D4" s="35"/>
      <c r="E4" s="36"/>
      <c r="F4" s="36"/>
      <c r="G4" s="36">
        <f>E4*F4</f>
        <v>0</v>
      </c>
      <c r="H4" s="334"/>
      <c r="I4" s="334"/>
      <c r="J4" s="36">
        <f>H4*I4</f>
        <v>0</v>
      </c>
      <c r="K4" s="36">
        <f t="shared" ref="K4:K31" si="0">G4+J4</f>
        <v>0</v>
      </c>
      <c r="L4" s="197">
        <v>0</v>
      </c>
      <c r="M4" s="36">
        <f>M3+K4-L4</f>
        <v>9729</v>
      </c>
      <c r="N4" s="234"/>
    </row>
    <row r="5" spans="1:14">
      <c r="A5" s="26">
        <v>2</v>
      </c>
      <c r="B5" s="27">
        <v>46114</v>
      </c>
      <c r="C5" s="107"/>
      <c r="D5" s="35"/>
      <c r="E5" s="36"/>
      <c r="F5" s="36"/>
      <c r="G5" s="36">
        <f>E5*F5</f>
        <v>0</v>
      </c>
      <c r="H5" s="334"/>
      <c r="I5" s="334"/>
      <c r="J5" s="36">
        <f t="shared" ref="J5:J32" si="1">H5*I5</f>
        <v>0</v>
      </c>
      <c r="K5" s="36">
        <f t="shared" si="0"/>
        <v>0</v>
      </c>
      <c r="L5" s="197">
        <v>9729</v>
      </c>
      <c r="M5" s="36">
        <f t="shared" ref="M5:M31" si="2">M4+K5-L5</f>
        <v>0</v>
      </c>
      <c r="N5" s="235"/>
    </row>
    <row r="6" spans="1:14">
      <c r="A6" s="26">
        <v>3</v>
      </c>
      <c r="B6" s="27">
        <v>46115</v>
      </c>
      <c r="C6" s="107"/>
      <c r="D6" s="35"/>
      <c r="E6" s="36"/>
      <c r="F6" s="36"/>
      <c r="G6" s="36">
        <f t="shared" ref="G6:G31" si="3">E6*F6</f>
        <v>0</v>
      </c>
      <c r="H6" s="334"/>
      <c r="I6" s="334"/>
      <c r="J6" s="36">
        <f t="shared" si="1"/>
        <v>0</v>
      </c>
      <c r="K6" s="36">
        <f t="shared" si="0"/>
        <v>0</v>
      </c>
      <c r="L6" s="197">
        <v>0</v>
      </c>
      <c r="M6" s="36">
        <f t="shared" si="2"/>
        <v>0</v>
      </c>
      <c r="N6" s="236"/>
    </row>
    <row r="7" spans="1:14">
      <c r="A7" s="26">
        <v>4</v>
      </c>
      <c r="B7" s="27">
        <v>46116</v>
      </c>
      <c r="C7" s="107"/>
      <c r="D7" s="35"/>
      <c r="E7" s="36"/>
      <c r="F7" s="36"/>
      <c r="G7" s="36">
        <f t="shared" si="3"/>
        <v>0</v>
      </c>
      <c r="H7" s="334"/>
      <c r="I7" s="334"/>
      <c r="J7" s="36">
        <f t="shared" si="1"/>
        <v>0</v>
      </c>
      <c r="K7" s="36">
        <f t="shared" si="0"/>
        <v>0</v>
      </c>
      <c r="L7" s="197">
        <v>0</v>
      </c>
      <c r="M7" s="36">
        <f>M6+K7-L7</f>
        <v>0</v>
      </c>
      <c r="N7" s="198"/>
    </row>
    <row r="8" spans="1:14">
      <c r="A8" s="26">
        <v>5</v>
      </c>
      <c r="B8" s="27">
        <v>46117</v>
      </c>
      <c r="C8" s="34"/>
      <c r="D8" s="35"/>
      <c r="E8" s="36"/>
      <c r="F8" s="36"/>
      <c r="G8" s="36">
        <f t="shared" si="3"/>
        <v>0</v>
      </c>
      <c r="H8" s="334"/>
      <c r="I8" s="334"/>
      <c r="J8" s="36">
        <f t="shared" si="1"/>
        <v>0</v>
      </c>
      <c r="K8" s="36">
        <f t="shared" si="0"/>
        <v>0</v>
      </c>
      <c r="L8" s="197">
        <v>0</v>
      </c>
      <c r="M8" s="36">
        <f>M7+K8-L8</f>
        <v>0</v>
      </c>
      <c r="N8" s="198"/>
    </row>
    <row r="9" spans="1:14">
      <c r="A9" s="26">
        <v>6</v>
      </c>
      <c r="B9" s="27">
        <v>46118</v>
      </c>
      <c r="C9" s="34"/>
      <c r="D9" s="35"/>
      <c r="E9" s="36"/>
      <c r="F9" s="36"/>
      <c r="G9" s="36">
        <f t="shared" si="3"/>
        <v>0</v>
      </c>
      <c r="H9" s="334"/>
      <c r="I9" s="334"/>
      <c r="J9" s="36">
        <f t="shared" si="1"/>
        <v>0</v>
      </c>
      <c r="K9" s="36">
        <f t="shared" si="0"/>
        <v>0</v>
      </c>
      <c r="L9" s="197">
        <v>0</v>
      </c>
      <c r="M9" s="36">
        <f t="shared" si="2"/>
        <v>0</v>
      </c>
      <c r="N9" s="198"/>
    </row>
    <row r="10" spans="1:14">
      <c r="A10" s="26">
        <v>7</v>
      </c>
      <c r="B10" s="27">
        <v>46119</v>
      </c>
      <c r="C10" s="34"/>
      <c r="D10" s="35"/>
      <c r="E10" s="36"/>
      <c r="F10" s="36"/>
      <c r="G10" s="36">
        <f t="shared" si="3"/>
        <v>0</v>
      </c>
      <c r="H10" s="334"/>
      <c r="I10" s="334"/>
      <c r="J10" s="36">
        <f t="shared" si="1"/>
        <v>0</v>
      </c>
      <c r="K10" s="36">
        <f t="shared" ref="K10:K15" si="4">G10+J10</f>
        <v>0</v>
      </c>
      <c r="L10" s="197">
        <v>0</v>
      </c>
      <c r="M10" s="36">
        <f t="shared" si="2"/>
        <v>0</v>
      </c>
      <c r="N10" s="198"/>
    </row>
    <row r="11" spans="1:14">
      <c r="A11" s="26">
        <v>8</v>
      </c>
      <c r="B11" s="27">
        <v>46120</v>
      </c>
      <c r="C11" s="34"/>
      <c r="D11" s="35"/>
      <c r="E11" s="36"/>
      <c r="F11" s="36"/>
      <c r="G11" s="36">
        <f t="shared" si="3"/>
        <v>0</v>
      </c>
      <c r="H11" s="334"/>
      <c r="I11" s="334"/>
      <c r="J11" s="36">
        <f t="shared" si="1"/>
        <v>0</v>
      </c>
      <c r="K11" s="36">
        <f t="shared" si="4"/>
        <v>0</v>
      </c>
      <c r="L11" s="197">
        <v>0</v>
      </c>
      <c r="M11" s="36">
        <f t="shared" si="2"/>
        <v>0</v>
      </c>
      <c r="N11" s="198"/>
    </row>
    <row r="12" spans="1:14">
      <c r="A12" s="26">
        <v>9</v>
      </c>
      <c r="B12" s="27">
        <v>46121</v>
      </c>
      <c r="C12" s="34"/>
      <c r="D12" s="35"/>
      <c r="E12" s="36"/>
      <c r="F12" s="36"/>
      <c r="G12" s="36">
        <f t="shared" si="3"/>
        <v>0</v>
      </c>
      <c r="H12" s="334"/>
      <c r="I12" s="334"/>
      <c r="J12" s="36">
        <f t="shared" si="1"/>
        <v>0</v>
      </c>
      <c r="K12" s="36">
        <f t="shared" si="4"/>
        <v>0</v>
      </c>
      <c r="L12" s="197">
        <v>0</v>
      </c>
      <c r="M12" s="36">
        <f t="shared" si="2"/>
        <v>0</v>
      </c>
      <c r="N12" s="198"/>
    </row>
    <row r="13" spans="1:14">
      <c r="A13" s="26">
        <v>10</v>
      </c>
      <c r="B13" s="27">
        <v>46122</v>
      </c>
      <c r="C13" s="34"/>
      <c r="D13" s="35"/>
      <c r="E13" s="36"/>
      <c r="F13" s="36"/>
      <c r="G13" s="36">
        <f t="shared" si="3"/>
        <v>0</v>
      </c>
      <c r="H13" s="334"/>
      <c r="I13" s="334"/>
      <c r="J13" s="36">
        <f t="shared" si="1"/>
        <v>0</v>
      </c>
      <c r="K13" s="36">
        <f t="shared" si="4"/>
        <v>0</v>
      </c>
      <c r="L13" s="197">
        <v>0</v>
      </c>
      <c r="M13" s="36">
        <f>M12+K13-L13</f>
        <v>0</v>
      </c>
      <c r="N13" s="198"/>
    </row>
    <row r="14" spans="1:14">
      <c r="A14" s="26">
        <v>11</v>
      </c>
      <c r="B14" s="27">
        <v>46123</v>
      </c>
      <c r="C14" s="34"/>
      <c r="D14" s="35"/>
      <c r="E14" s="36"/>
      <c r="F14" s="36"/>
      <c r="G14" s="36">
        <f t="shared" si="3"/>
        <v>0</v>
      </c>
      <c r="H14" s="334">
        <v>40</v>
      </c>
      <c r="I14" s="334">
        <v>108.1</v>
      </c>
      <c r="J14" s="36">
        <f t="shared" si="1"/>
        <v>4324</v>
      </c>
      <c r="K14" s="36">
        <f t="shared" si="4"/>
        <v>4324</v>
      </c>
      <c r="L14" s="197">
        <v>0</v>
      </c>
      <c r="M14" s="36">
        <f>M13+K14-L14</f>
        <v>4324</v>
      </c>
      <c r="N14" s="198"/>
    </row>
    <row r="15" spans="1:14">
      <c r="A15" s="26">
        <v>12</v>
      </c>
      <c r="B15" s="27">
        <v>46124</v>
      </c>
      <c r="C15" s="34"/>
      <c r="D15" s="35"/>
      <c r="E15" s="36">
        <v>720</v>
      </c>
      <c r="F15" s="36">
        <v>96.3</v>
      </c>
      <c r="G15" s="36">
        <f t="shared" si="3"/>
        <v>69336</v>
      </c>
      <c r="H15" s="334"/>
      <c r="I15" s="334"/>
      <c r="J15" s="36">
        <f t="shared" si="1"/>
        <v>0</v>
      </c>
      <c r="K15" s="36">
        <f>G15+J15</f>
        <v>69336</v>
      </c>
      <c r="L15" s="36">
        <f>H15+K15</f>
        <v>69336</v>
      </c>
      <c r="M15" s="36">
        <f t="shared" si="2"/>
        <v>4324</v>
      </c>
      <c r="N15" s="198"/>
    </row>
    <row r="16" spans="1:14">
      <c r="A16" s="26">
        <v>13</v>
      </c>
      <c r="B16" s="27">
        <v>46125</v>
      </c>
      <c r="C16" s="34"/>
      <c r="D16" s="35"/>
      <c r="E16" s="36"/>
      <c r="F16" s="36"/>
      <c r="G16" s="36">
        <f t="shared" si="3"/>
        <v>0</v>
      </c>
      <c r="H16" s="334"/>
      <c r="I16" s="334"/>
      <c r="J16" s="36">
        <f t="shared" si="1"/>
        <v>0</v>
      </c>
      <c r="K16" s="36">
        <f t="shared" si="0"/>
        <v>0</v>
      </c>
      <c r="L16" s="197">
        <v>0</v>
      </c>
      <c r="M16" s="36">
        <f t="shared" si="2"/>
        <v>4324</v>
      </c>
      <c r="N16" s="198"/>
    </row>
    <row r="17" spans="1:14">
      <c r="A17" s="26">
        <v>14</v>
      </c>
      <c r="B17" s="27">
        <v>46126</v>
      </c>
      <c r="C17" s="34"/>
      <c r="D17" s="35"/>
      <c r="E17" s="36"/>
      <c r="F17" s="36"/>
      <c r="G17" s="36">
        <f t="shared" si="3"/>
        <v>0</v>
      </c>
      <c r="H17" s="334"/>
      <c r="I17" s="334"/>
      <c r="J17" s="36">
        <f t="shared" si="1"/>
        <v>0</v>
      </c>
      <c r="K17" s="36">
        <f t="shared" si="0"/>
        <v>0</v>
      </c>
      <c r="L17" s="197">
        <v>0</v>
      </c>
      <c r="M17" s="36">
        <f t="shared" si="2"/>
        <v>4324</v>
      </c>
      <c r="N17" s="198"/>
    </row>
    <row r="18" spans="1:14">
      <c r="A18" s="26">
        <v>15</v>
      </c>
      <c r="B18" s="27">
        <v>46127</v>
      </c>
      <c r="C18" s="168"/>
      <c r="D18" s="35"/>
      <c r="E18" s="36"/>
      <c r="F18" s="36"/>
      <c r="G18" s="36">
        <f t="shared" si="3"/>
        <v>0</v>
      </c>
      <c r="H18" s="334"/>
      <c r="I18" s="334"/>
      <c r="J18" s="36">
        <f t="shared" si="1"/>
        <v>0</v>
      </c>
      <c r="K18" s="36">
        <f t="shared" si="0"/>
        <v>0</v>
      </c>
      <c r="L18" s="197">
        <v>0</v>
      </c>
      <c r="M18" s="36">
        <f t="shared" si="2"/>
        <v>4324</v>
      </c>
      <c r="N18" s="237"/>
    </row>
    <row r="19" spans="1:14">
      <c r="A19" s="26">
        <v>16</v>
      </c>
      <c r="B19" s="27">
        <v>46128</v>
      </c>
      <c r="C19" s="107"/>
      <c r="D19" s="35"/>
      <c r="E19" s="36"/>
      <c r="F19" s="36"/>
      <c r="G19" s="36">
        <f t="shared" si="3"/>
        <v>0</v>
      </c>
      <c r="H19" s="334"/>
      <c r="I19" s="334"/>
      <c r="J19" s="36">
        <f t="shared" si="1"/>
        <v>0</v>
      </c>
      <c r="K19" s="36">
        <f t="shared" si="0"/>
        <v>0</v>
      </c>
      <c r="L19" s="197">
        <v>0</v>
      </c>
      <c r="M19" s="36">
        <f t="shared" si="2"/>
        <v>4324</v>
      </c>
      <c r="N19" s="237"/>
    </row>
    <row r="20" spans="1:14">
      <c r="A20" s="26">
        <v>17</v>
      </c>
      <c r="B20" s="27">
        <v>46129</v>
      </c>
      <c r="C20" s="180"/>
      <c r="D20" s="35"/>
      <c r="E20" s="36">
        <v>800</v>
      </c>
      <c r="F20" s="36">
        <v>96.3</v>
      </c>
      <c r="G20" s="36">
        <f t="shared" si="3"/>
        <v>77040</v>
      </c>
      <c r="H20" s="334"/>
      <c r="I20" s="334"/>
      <c r="J20" s="36">
        <f t="shared" si="1"/>
        <v>0</v>
      </c>
      <c r="K20" s="36">
        <f t="shared" si="0"/>
        <v>77040</v>
      </c>
      <c r="L20" s="197">
        <v>0</v>
      </c>
      <c r="M20" s="36">
        <f t="shared" si="2"/>
        <v>81364</v>
      </c>
      <c r="N20" s="237"/>
    </row>
    <row r="21" spans="1:14">
      <c r="A21" s="26">
        <v>18</v>
      </c>
      <c r="B21" s="27">
        <v>46130</v>
      </c>
      <c r="C21" s="180"/>
      <c r="D21" s="35"/>
      <c r="E21" s="36">
        <v>1000</v>
      </c>
      <c r="F21" s="36">
        <v>96.42</v>
      </c>
      <c r="G21" s="36">
        <f t="shared" si="3"/>
        <v>96420</v>
      </c>
      <c r="H21" s="334"/>
      <c r="I21" s="334"/>
      <c r="J21" s="36">
        <f t="shared" si="1"/>
        <v>0</v>
      </c>
      <c r="K21" s="36">
        <f t="shared" si="0"/>
        <v>96420</v>
      </c>
      <c r="L21" s="197">
        <v>77040</v>
      </c>
      <c r="M21" s="36">
        <f t="shared" si="2"/>
        <v>100744</v>
      </c>
      <c r="N21" s="237"/>
    </row>
    <row r="22" spans="1:14">
      <c r="A22" s="26">
        <v>19</v>
      </c>
      <c r="B22" s="27">
        <v>46131</v>
      </c>
      <c r="C22" s="107"/>
      <c r="D22" s="35"/>
      <c r="E22" s="36"/>
      <c r="F22" s="36"/>
      <c r="G22" s="36">
        <f t="shared" si="3"/>
        <v>0</v>
      </c>
      <c r="H22" s="334"/>
      <c r="I22" s="334"/>
      <c r="J22" s="36">
        <f t="shared" si="1"/>
        <v>0</v>
      </c>
      <c r="K22" s="36">
        <f t="shared" si="0"/>
        <v>0</v>
      </c>
      <c r="L22" s="197">
        <v>0</v>
      </c>
      <c r="M22" s="36">
        <f t="shared" si="2"/>
        <v>100744</v>
      </c>
      <c r="N22" s="198"/>
    </row>
    <row r="23" spans="1:14">
      <c r="A23" s="26">
        <v>20</v>
      </c>
      <c r="B23" s="27">
        <v>46132</v>
      </c>
      <c r="C23" s="107"/>
      <c r="D23" s="35"/>
      <c r="E23" s="36"/>
      <c r="F23" s="36"/>
      <c r="G23" s="36">
        <f t="shared" si="3"/>
        <v>0</v>
      </c>
      <c r="H23" s="334"/>
      <c r="I23" s="334"/>
      <c r="J23" s="36">
        <f t="shared" si="1"/>
        <v>0</v>
      </c>
      <c r="K23" s="36">
        <f t="shared" si="0"/>
        <v>0</v>
      </c>
      <c r="L23" s="197">
        <v>0</v>
      </c>
      <c r="M23" s="36">
        <f t="shared" si="2"/>
        <v>100744</v>
      </c>
      <c r="N23" s="198"/>
    </row>
    <row r="24" spans="1:14">
      <c r="A24" s="26">
        <v>21</v>
      </c>
      <c r="B24" s="27">
        <v>46133</v>
      </c>
      <c r="C24" s="107"/>
      <c r="D24" s="35"/>
      <c r="E24" s="36">
        <v>0</v>
      </c>
      <c r="F24" s="36">
        <v>0</v>
      </c>
      <c r="G24" s="36">
        <f t="shared" si="3"/>
        <v>0</v>
      </c>
      <c r="H24" s="334">
        <v>0</v>
      </c>
      <c r="I24" s="334">
        <v>108.23</v>
      </c>
      <c r="J24" s="36">
        <f t="shared" si="1"/>
        <v>0</v>
      </c>
      <c r="K24" s="36">
        <f t="shared" si="0"/>
        <v>0</v>
      </c>
      <c r="L24" s="197">
        <v>0</v>
      </c>
      <c r="M24" s="36">
        <f t="shared" si="2"/>
        <v>100744</v>
      </c>
      <c r="N24" s="198"/>
    </row>
    <row r="25" spans="1:14">
      <c r="A25" s="26">
        <v>22</v>
      </c>
      <c r="B25" s="27">
        <v>46134</v>
      </c>
      <c r="C25" s="107"/>
      <c r="D25" s="35"/>
      <c r="E25" s="36">
        <v>0</v>
      </c>
      <c r="F25" s="36">
        <v>0</v>
      </c>
      <c r="G25" s="36">
        <f t="shared" si="3"/>
        <v>0</v>
      </c>
      <c r="H25" s="334">
        <v>40</v>
      </c>
      <c r="I25" s="334">
        <v>108.23</v>
      </c>
      <c r="J25" s="36">
        <f t="shared" si="1"/>
        <v>4329.2</v>
      </c>
      <c r="K25" s="36">
        <f t="shared" si="0"/>
        <v>4329.2</v>
      </c>
      <c r="L25" s="197">
        <v>96000</v>
      </c>
      <c r="M25" s="36">
        <f t="shared" si="2"/>
        <v>9073.1999999999971</v>
      </c>
      <c r="N25" s="198"/>
    </row>
    <row r="26" spans="1:14">
      <c r="A26" s="26">
        <v>23</v>
      </c>
      <c r="B26" s="27">
        <v>46135</v>
      </c>
      <c r="C26" s="107"/>
      <c r="D26" s="35"/>
      <c r="E26" s="36">
        <v>1500</v>
      </c>
      <c r="F26" s="36">
        <v>96.3</v>
      </c>
      <c r="G26" s="36">
        <f t="shared" si="3"/>
        <v>144450</v>
      </c>
      <c r="H26" s="334"/>
      <c r="I26" s="334"/>
      <c r="J26" s="36">
        <f t="shared" si="1"/>
        <v>0</v>
      </c>
      <c r="K26" s="36">
        <f t="shared" si="0"/>
        <v>144450</v>
      </c>
      <c r="L26" s="197">
        <v>100000</v>
      </c>
      <c r="M26" s="36">
        <f t="shared" si="2"/>
        <v>53523.200000000012</v>
      </c>
      <c r="N26" s="198"/>
    </row>
    <row r="27" spans="1:14">
      <c r="A27" s="26">
        <v>24</v>
      </c>
      <c r="B27" s="27">
        <v>46136</v>
      </c>
      <c r="C27" s="107"/>
      <c r="D27" s="35"/>
      <c r="E27" s="36"/>
      <c r="F27" s="36"/>
      <c r="G27" s="36">
        <f t="shared" si="3"/>
        <v>0</v>
      </c>
      <c r="H27" s="334"/>
      <c r="I27" s="334"/>
      <c r="J27" s="36">
        <f t="shared" si="1"/>
        <v>0</v>
      </c>
      <c r="K27" s="36">
        <f t="shared" si="0"/>
        <v>0</v>
      </c>
      <c r="L27" s="197">
        <v>0</v>
      </c>
      <c r="M27" s="36">
        <f t="shared" si="2"/>
        <v>53523.200000000012</v>
      </c>
      <c r="N27" s="198"/>
    </row>
    <row r="28" spans="1:14">
      <c r="A28" s="26">
        <v>25</v>
      </c>
      <c r="B28" s="27">
        <v>46137</v>
      </c>
      <c r="C28" s="107"/>
      <c r="D28" s="35"/>
      <c r="E28" s="36"/>
      <c r="F28" s="36"/>
      <c r="G28" s="36">
        <f t="shared" si="3"/>
        <v>0</v>
      </c>
      <c r="H28" s="334"/>
      <c r="I28" s="334"/>
      <c r="J28" s="36">
        <f t="shared" si="1"/>
        <v>0</v>
      </c>
      <c r="K28" s="36">
        <f t="shared" si="0"/>
        <v>0</v>
      </c>
      <c r="L28" s="197">
        <v>0</v>
      </c>
      <c r="M28" s="36">
        <f t="shared" si="2"/>
        <v>53523.200000000012</v>
      </c>
      <c r="N28" s="198"/>
    </row>
    <row r="29" spans="1:14">
      <c r="A29" s="26">
        <v>26</v>
      </c>
      <c r="B29" s="27">
        <v>46138</v>
      </c>
      <c r="C29" s="107"/>
      <c r="D29" s="35"/>
      <c r="E29" s="36"/>
      <c r="F29" s="36"/>
      <c r="G29" s="36">
        <f t="shared" si="3"/>
        <v>0</v>
      </c>
      <c r="H29" s="334"/>
      <c r="I29" s="334"/>
      <c r="J29" s="36">
        <f t="shared" si="1"/>
        <v>0</v>
      </c>
      <c r="K29" s="36">
        <f t="shared" si="0"/>
        <v>0</v>
      </c>
      <c r="L29" s="197">
        <v>0</v>
      </c>
      <c r="M29" s="36">
        <f t="shared" si="2"/>
        <v>53523.200000000012</v>
      </c>
      <c r="N29" s="198"/>
    </row>
    <row r="30" spans="1:14">
      <c r="A30" s="26">
        <v>27</v>
      </c>
      <c r="B30" s="27">
        <v>46139</v>
      </c>
      <c r="C30" s="107"/>
      <c r="D30" s="35"/>
      <c r="E30" s="36"/>
      <c r="F30" s="36"/>
      <c r="G30" s="36">
        <f t="shared" si="3"/>
        <v>0</v>
      </c>
      <c r="H30" s="334"/>
      <c r="I30" s="334"/>
      <c r="J30" s="36">
        <f t="shared" si="1"/>
        <v>0</v>
      </c>
      <c r="K30" s="36">
        <f t="shared" si="0"/>
        <v>0</v>
      </c>
      <c r="L30" s="197">
        <v>50000</v>
      </c>
      <c r="M30" s="36">
        <f>M29+K30-L30</f>
        <v>3523.2000000000116</v>
      </c>
      <c r="N30" s="198"/>
    </row>
    <row r="31" spans="1:14">
      <c r="A31" s="26">
        <v>28</v>
      </c>
      <c r="B31" s="27">
        <v>46140</v>
      </c>
      <c r="C31" s="107"/>
      <c r="D31" s="35"/>
      <c r="E31" s="36"/>
      <c r="F31" s="36"/>
      <c r="G31" s="36">
        <f t="shared" si="3"/>
        <v>0</v>
      </c>
      <c r="H31" s="334"/>
      <c r="I31" s="334"/>
      <c r="J31" s="36">
        <f t="shared" si="1"/>
        <v>0</v>
      </c>
      <c r="K31" s="36">
        <f t="shared" si="0"/>
        <v>0</v>
      </c>
      <c r="L31" s="197">
        <v>0</v>
      </c>
      <c r="M31" s="36">
        <f t="shared" si="2"/>
        <v>3523.2000000000116</v>
      </c>
      <c r="N31" s="198"/>
    </row>
    <row r="32" spans="1:14">
      <c r="A32" s="26">
        <v>29</v>
      </c>
      <c r="B32" s="27">
        <v>46141</v>
      </c>
      <c r="C32" s="107"/>
      <c r="D32" s="35"/>
      <c r="E32" s="36"/>
      <c r="F32" s="36"/>
      <c r="G32" s="36">
        <f t="shared" ref="G32:G34" si="5">E32*F32</f>
        <v>0</v>
      </c>
      <c r="H32" s="334"/>
      <c r="I32" s="334"/>
      <c r="J32" s="36">
        <f t="shared" si="1"/>
        <v>0</v>
      </c>
      <c r="K32" s="36">
        <f t="shared" ref="K32:K34" si="6">G32+J32</f>
        <v>0</v>
      </c>
      <c r="L32" s="197">
        <v>0</v>
      </c>
      <c r="M32" s="36">
        <f t="shared" ref="M32:M34" si="7">M31+K32-L32</f>
        <v>3523.2000000000116</v>
      </c>
      <c r="N32" s="198"/>
    </row>
    <row r="33" spans="1:14">
      <c r="A33" s="26">
        <v>30</v>
      </c>
      <c r="B33" s="27">
        <v>46142</v>
      </c>
      <c r="C33" s="107"/>
      <c r="D33" s="35"/>
      <c r="E33" s="36"/>
      <c r="F33" s="36"/>
      <c r="G33" s="36">
        <f t="shared" si="5"/>
        <v>0</v>
      </c>
      <c r="H33" s="334">
        <v>0</v>
      </c>
      <c r="I33" s="334">
        <v>0</v>
      </c>
      <c r="J33" s="36">
        <f t="shared" ref="J16:J33" si="8">H33*I33</f>
        <v>0</v>
      </c>
      <c r="K33" s="36">
        <f t="shared" si="6"/>
        <v>0</v>
      </c>
      <c r="L33" s="197">
        <v>0</v>
      </c>
      <c r="M33" s="36">
        <f t="shared" si="7"/>
        <v>3523.2000000000116</v>
      </c>
      <c r="N33" s="198"/>
    </row>
    <row r="34" spans="1:14">
      <c r="A34" s="26">
        <v>31</v>
      </c>
      <c r="B34" s="27">
        <v>46143</v>
      </c>
      <c r="C34" s="107"/>
      <c r="D34" s="35"/>
      <c r="E34" s="36"/>
      <c r="F34" s="36"/>
      <c r="G34" s="36">
        <f t="shared" si="5"/>
        <v>0</v>
      </c>
      <c r="H34" s="334"/>
      <c r="I34" s="334"/>
      <c r="J34" s="36">
        <f t="shared" ref="J32:J34" si="9">H34*I34</f>
        <v>0</v>
      </c>
      <c r="K34" s="36">
        <f t="shared" si="6"/>
        <v>0</v>
      </c>
      <c r="L34" s="197"/>
      <c r="M34" s="36">
        <f t="shared" si="7"/>
        <v>3523.2000000000116</v>
      </c>
      <c r="N34" s="198"/>
    </row>
    <row r="35" spans="1:14">
      <c r="A35" s="62"/>
      <c r="B35" s="62"/>
      <c r="C35" s="62"/>
      <c r="D35" s="62"/>
      <c r="E35" s="258">
        <f>SUM(E4:E34)</f>
        <v>4020</v>
      </c>
      <c r="F35" s="258"/>
      <c r="G35" s="63">
        <f>SUM(G4:G34)</f>
        <v>387246</v>
      </c>
      <c r="H35" s="63">
        <f>SUM(H4:H34)</f>
        <v>80</v>
      </c>
      <c r="I35" s="63"/>
      <c r="J35" s="63">
        <f>SUM(J4:J34)</f>
        <v>8653.2000000000007</v>
      </c>
      <c r="K35" s="63">
        <f>SUM(K4:K34)</f>
        <v>395899.2</v>
      </c>
      <c r="L35" s="63">
        <f>SUM(L4:L34)</f>
        <v>402105</v>
      </c>
      <c r="M35" s="63"/>
      <c r="N35" s="63"/>
    </row>
  </sheetData>
  <mergeCells count="2">
    <mergeCell ref="A1:N1"/>
    <mergeCell ref="A3:J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7F56-11F8-444B-ADE5-EA1B4D8F04F7}">
  <dimension ref="A1:N35"/>
  <sheetViews>
    <sheetView topLeftCell="A22" workbookViewId="0">
      <selection sqref="A1:N35"/>
    </sheetView>
  </sheetViews>
  <sheetFormatPr defaultRowHeight="15"/>
  <cols>
    <col min="2" max="2" width="10.42578125" bestFit="1" customWidth="1"/>
    <col min="7" max="7" width="10.85546875" bestFit="1" customWidth="1"/>
    <col min="10" max="10" width="10.85546875" bestFit="1" customWidth="1"/>
    <col min="11" max="12" width="13.5703125" bestFit="1" customWidth="1"/>
    <col min="13" max="13" width="11.85546875" bestFit="1" customWidth="1"/>
  </cols>
  <sheetData>
    <row r="1" spans="1:14" ht="15.75">
      <c r="A1" s="481" t="s">
        <v>84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</row>
    <row r="2" spans="1:14" ht="30.75">
      <c r="A2" s="98" t="s">
        <v>0</v>
      </c>
      <c r="B2" s="99" t="s">
        <v>164</v>
      </c>
      <c r="C2" s="99" t="s">
        <v>165</v>
      </c>
      <c r="D2" s="99" t="s">
        <v>208</v>
      </c>
      <c r="E2" s="256" t="s">
        <v>167</v>
      </c>
      <c r="F2" s="256" t="s">
        <v>168</v>
      </c>
      <c r="G2" s="99" t="s">
        <v>169</v>
      </c>
      <c r="H2" s="99" t="s">
        <v>170</v>
      </c>
      <c r="I2" s="99" t="s">
        <v>168</v>
      </c>
      <c r="J2" s="138" t="s">
        <v>169</v>
      </c>
      <c r="K2" s="100" t="s">
        <v>171</v>
      </c>
      <c r="L2" s="139" t="s">
        <v>172</v>
      </c>
      <c r="M2" s="143" t="s">
        <v>209</v>
      </c>
      <c r="N2" s="101" t="s">
        <v>174</v>
      </c>
    </row>
    <row r="3" spans="1:14">
      <c r="A3" s="482" t="s">
        <v>175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4"/>
      <c r="M3" s="148">
        <v>71161.048000000053</v>
      </c>
      <c r="N3" s="156"/>
    </row>
    <row r="4" spans="1:14">
      <c r="A4" s="196">
        <v>1</v>
      </c>
      <c r="B4" s="219">
        <v>45748</v>
      </c>
      <c r="C4" s="67"/>
      <c r="D4" s="159"/>
      <c r="E4" s="266"/>
      <c r="F4" s="402"/>
      <c r="G4" s="8">
        <f t="shared" ref="G4:G34" si="0">E4*F4</f>
        <v>0</v>
      </c>
      <c r="H4" s="266"/>
      <c r="I4" s="299"/>
      <c r="J4" s="8">
        <f>H4*I4</f>
        <v>0</v>
      </c>
      <c r="K4" s="8">
        <f>G4+J4</f>
        <v>0</v>
      </c>
      <c r="L4" s="68">
        <v>0</v>
      </c>
      <c r="M4" s="40">
        <f>M3+K4-L4</f>
        <v>71161.048000000053</v>
      </c>
      <c r="N4" s="8"/>
    </row>
    <row r="5" spans="1:14">
      <c r="A5" s="46">
        <v>2</v>
      </c>
      <c r="B5" s="219">
        <v>45749</v>
      </c>
      <c r="C5" s="67"/>
      <c r="D5" s="159"/>
      <c r="E5" s="266"/>
      <c r="F5" s="402"/>
      <c r="G5" s="8">
        <f t="shared" ref="G5:G28" si="1">E5*F5</f>
        <v>0</v>
      </c>
      <c r="H5" s="266"/>
      <c r="I5" s="299"/>
      <c r="J5" s="8">
        <f t="shared" ref="J5:J28" si="2">H5*I5</f>
        <v>0</v>
      </c>
      <c r="K5" s="8">
        <f t="shared" ref="K5:K28" si="3">G5+J5</f>
        <v>0</v>
      </c>
      <c r="L5" s="68">
        <v>0</v>
      </c>
      <c r="M5" s="40">
        <f t="shared" ref="M3:M25" si="4">M4+K5-L5</f>
        <v>71161.048000000053</v>
      </c>
      <c r="N5" s="8"/>
    </row>
    <row r="6" spans="1:14">
      <c r="A6" s="46">
        <v>3</v>
      </c>
      <c r="B6" s="219">
        <v>45750</v>
      </c>
      <c r="C6" s="67"/>
      <c r="D6" s="159"/>
      <c r="E6" s="266"/>
      <c r="F6" s="402"/>
      <c r="G6" s="8">
        <f t="shared" si="1"/>
        <v>0</v>
      </c>
      <c r="H6" s="266"/>
      <c r="I6" s="299"/>
      <c r="J6" s="8">
        <f t="shared" si="2"/>
        <v>0</v>
      </c>
      <c r="K6" s="8">
        <f t="shared" si="3"/>
        <v>0</v>
      </c>
      <c r="L6" s="68">
        <v>0</v>
      </c>
      <c r="M6" s="40">
        <f t="shared" si="4"/>
        <v>71161.048000000053</v>
      </c>
      <c r="N6" s="8"/>
    </row>
    <row r="7" spans="1:14">
      <c r="A7" s="46">
        <v>4</v>
      </c>
      <c r="B7" s="219">
        <v>45751</v>
      </c>
      <c r="C7" s="67"/>
      <c r="D7" s="159"/>
      <c r="E7" s="266"/>
      <c r="F7" s="402"/>
      <c r="G7" s="8">
        <f t="shared" si="1"/>
        <v>0</v>
      </c>
      <c r="H7" s="266"/>
      <c r="I7" s="299"/>
      <c r="J7" s="8">
        <f t="shared" si="2"/>
        <v>0</v>
      </c>
      <c r="K7" s="8">
        <f t="shared" si="3"/>
        <v>0</v>
      </c>
      <c r="L7" s="68">
        <v>0</v>
      </c>
      <c r="M7" s="40">
        <f t="shared" si="4"/>
        <v>71161.048000000053</v>
      </c>
      <c r="N7" s="8"/>
    </row>
    <row r="8" spans="1:14">
      <c r="A8" s="46">
        <v>5</v>
      </c>
      <c r="B8" s="219">
        <v>45752</v>
      </c>
      <c r="C8" s="67"/>
      <c r="D8" s="159"/>
      <c r="E8" s="266"/>
      <c r="F8" s="402"/>
      <c r="G8" s="8">
        <f t="shared" si="1"/>
        <v>0</v>
      </c>
      <c r="H8" s="266"/>
      <c r="I8" s="299"/>
      <c r="J8" s="8">
        <f t="shared" si="2"/>
        <v>0</v>
      </c>
      <c r="K8" s="8">
        <f t="shared" si="3"/>
        <v>0</v>
      </c>
      <c r="L8" s="68">
        <v>0</v>
      </c>
      <c r="M8" s="40">
        <f t="shared" si="4"/>
        <v>71161.048000000053</v>
      </c>
      <c r="N8" s="8"/>
    </row>
    <row r="9" spans="1:14">
      <c r="A9" s="46">
        <v>6</v>
      </c>
      <c r="B9" s="219">
        <v>45753</v>
      </c>
      <c r="C9" s="67"/>
      <c r="D9" s="159"/>
      <c r="E9" s="266"/>
      <c r="F9" s="402"/>
      <c r="G9" s="8">
        <f t="shared" si="1"/>
        <v>0</v>
      </c>
      <c r="H9" s="266"/>
      <c r="I9" s="299"/>
      <c r="J9" s="8">
        <f t="shared" si="2"/>
        <v>0</v>
      </c>
      <c r="K9" s="8">
        <f t="shared" si="3"/>
        <v>0</v>
      </c>
      <c r="L9" s="68">
        <v>0</v>
      </c>
      <c r="M9" s="40">
        <f t="shared" si="4"/>
        <v>71161.048000000053</v>
      </c>
      <c r="N9" s="8"/>
    </row>
    <row r="10" spans="1:14">
      <c r="A10" s="46">
        <v>7</v>
      </c>
      <c r="B10" s="219">
        <v>45754</v>
      </c>
      <c r="C10" s="67"/>
      <c r="D10" s="159"/>
      <c r="E10" s="266"/>
      <c r="F10" s="402"/>
      <c r="G10" s="8">
        <f t="shared" si="1"/>
        <v>0</v>
      </c>
      <c r="H10" s="266"/>
      <c r="I10" s="299"/>
      <c r="J10" s="8">
        <f t="shared" si="2"/>
        <v>0</v>
      </c>
      <c r="K10" s="8">
        <f t="shared" si="3"/>
        <v>0</v>
      </c>
      <c r="L10" s="68">
        <v>0</v>
      </c>
      <c r="M10" s="40">
        <f t="shared" si="4"/>
        <v>71161.048000000053</v>
      </c>
      <c r="N10" s="8"/>
    </row>
    <row r="11" spans="1:14">
      <c r="A11" s="46">
        <v>8</v>
      </c>
      <c r="B11" s="219">
        <v>45755</v>
      </c>
      <c r="C11" s="67"/>
      <c r="D11" s="159"/>
      <c r="E11" s="266"/>
      <c r="F11" s="402"/>
      <c r="G11" s="8">
        <f t="shared" si="1"/>
        <v>0</v>
      </c>
      <c r="H11" s="266"/>
      <c r="I11" s="299"/>
      <c r="J11" s="8">
        <f t="shared" si="2"/>
        <v>0</v>
      </c>
      <c r="K11" s="8">
        <f t="shared" si="3"/>
        <v>0</v>
      </c>
      <c r="L11" s="68">
        <v>0</v>
      </c>
      <c r="M11" s="40">
        <f t="shared" si="4"/>
        <v>71161.048000000053</v>
      </c>
      <c r="N11" s="8"/>
    </row>
    <row r="12" spans="1:14">
      <c r="A12" s="46">
        <v>9</v>
      </c>
      <c r="B12" s="219">
        <v>45756</v>
      </c>
      <c r="C12" s="67"/>
      <c r="D12" s="159"/>
      <c r="E12" s="266"/>
      <c r="F12" s="402"/>
      <c r="G12" s="8">
        <f t="shared" si="1"/>
        <v>0</v>
      </c>
      <c r="H12" s="266"/>
      <c r="I12" s="299"/>
      <c r="J12" s="8">
        <f t="shared" si="2"/>
        <v>0</v>
      </c>
      <c r="K12" s="8">
        <f t="shared" si="3"/>
        <v>0</v>
      </c>
      <c r="L12" s="68">
        <v>0</v>
      </c>
      <c r="M12" s="40">
        <f t="shared" si="4"/>
        <v>71161.048000000053</v>
      </c>
      <c r="N12" s="8"/>
    </row>
    <row r="13" spans="1:14">
      <c r="A13" s="46">
        <v>10</v>
      </c>
      <c r="B13" s="219">
        <v>45757</v>
      </c>
      <c r="C13" s="67"/>
      <c r="D13" s="159"/>
      <c r="E13" s="266"/>
      <c r="F13" s="402"/>
      <c r="G13" s="8">
        <f t="shared" si="1"/>
        <v>0</v>
      </c>
      <c r="H13" s="266"/>
      <c r="I13" s="299"/>
      <c r="J13" s="8">
        <f t="shared" si="2"/>
        <v>0</v>
      </c>
      <c r="K13" s="8">
        <f t="shared" si="3"/>
        <v>0</v>
      </c>
      <c r="L13" s="68">
        <v>0</v>
      </c>
      <c r="M13" s="40">
        <f t="shared" si="4"/>
        <v>71161.048000000053</v>
      </c>
      <c r="N13" s="8"/>
    </row>
    <row r="14" spans="1:14">
      <c r="A14" s="46">
        <v>11</v>
      </c>
      <c r="B14" s="219">
        <v>45758</v>
      </c>
      <c r="C14" s="67"/>
      <c r="D14" s="159"/>
      <c r="E14" s="266"/>
      <c r="F14" s="402"/>
      <c r="G14" s="8">
        <f t="shared" si="1"/>
        <v>0</v>
      </c>
      <c r="H14" s="266"/>
      <c r="I14" s="299"/>
      <c r="J14" s="8">
        <f t="shared" si="2"/>
        <v>0</v>
      </c>
      <c r="K14" s="8">
        <f t="shared" si="3"/>
        <v>0</v>
      </c>
      <c r="L14" s="68">
        <v>0</v>
      </c>
      <c r="M14" s="40">
        <f t="shared" si="4"/>
        <v>71161.048000000053</v>
      </c>
      <c r="N14" s="8"/>
    </row>
    <row r="15" spans="1:14">
      <c r="A15" s="46">
        <v>12</v>
      </c>
      <c r="B15" s="219">
        <v>45759</v>
      </c>
      <c r="C15" s="67"/>
      <c r="D15" s="159"/>
      <c r="E15" s="266"/>
      <c r="F15" s="402"/>
      <c r="G15" s="8">
        <f t="shared" si="1"/>
        <v>0</v>
      </c>
      <c r="H15" s="266"/>
      <c r="I15" s="299"/>
      <c r="J15" s="8">
        <f t="shared" si="2"/>
        <v>0</v>
      </c>
      <c r="K15" s="8">
        <f t="shared" si="3"/>
        <v>0</v>
      </c>
      <c r="L15" s="68">
        <v>0</v>
      </c>
      <c r="M15" s="40">
        <f t="shared" si="4"/>
        <v>71161.048000000053</v>
      </c>
      <c r="N15" s="8"/>
    </row>
    <row r="16" spans="1:14">
      <c r="A16" s="46">
        <v>13</v>
      </c>
      <c r="B16" s="219">
        <v>45760</v>
      </c>
      <c r="C16" s="67"/>
      <c r="D16" s="159"/>
      <c r="E16" s="266"/>
      <c r="F16" s="402"/>
      <c r="G16" s="8">
        <f t="shared" si="1"/>
        <v>0</v>
      </c>
      <c r="H16" s="266"/>
      <c r="I16" s="299"/>
      <c r="J16" s="8">
        <f t="shared" si="2"/>
        <v>0</v>
      </c>
      <c r="K16" s="8">
        <f t="shared" si="3"/>
        <v>0</v>
      </c>
      <c r="L16" s="68">
        <v>0</v>
      </c>
      <c r="M16" s="40">
        <f t="shared" si="4"/>
        <v>71161.048000000053</v>
      </c>
      <c r="N16" s="8"/>
    </row>
    <row r="17" spans="1:14">
      <c r="A17" s="46">
        <v>14</v>
      </c>
      <c r="B17" s="219">
        <v>45761</v>
      </c>
      <c r="C17" s="67"/>
      <c r="D17" s="159"/>
      <c r="E17" s="266"/>
      <c r="F17" s="402"/>
      <c r="G17" s="8">
        <f t="shared" si="1"/>
        <v>0</v>
      </c>
      <c r="H17" s="266"/>
      <c r="I17" s="299"/>
      <c r="J17" s="8">
        <f t="shared" si="2"/>
        <v>0</v>
      </c>
      <c r="K17" s="8">
        <f t="shared" si="3"/>
        <v>0</v>
      </c>
      <c r="L17" s="68"/>
      <c r="M17" s="40">
        <f t="shared" si="4"/>
        <v>71161.048000000053</v>
      </c>
      <c r="N17" s="8"/>
    </row>
    <row r="18" spans="1:14">
      <c r="A18" s="46">
        <v>15</v>
      </c>
      <c r="B18" s="219">
        <v>45762</v>
      </c>
      <c r="C18" s="67"/>
      <c r="D18" s="159"/>
      <c r="E18" s="266"/>
      <c r="F18" s="402"/>
      <c r="G18" s="8">
        <f t="shared" si="1"/>
        <v>0</v>
      </c>
      <c r="H18" s="266"/>
      <c r="I18" s="299"/>
      <c r="J18" s="8">
        <f t="shared" si="2"/>
        <v>0</v>
      </c>
      <c r="K18" s="8">
        <f t="shared" si="3"/>
        <v>0</v>
      </c>
      <c r="L18" s="68">
        <f t="shared" ref="L5:L34" si="5">+K18</f>
        <v>0</v>
      </c>
      <c r="M18" s="40">
        <f t="shared" si="4"/>
        <v>71161.048000000053</v>
      </c>
      <c r="N18" s="8"/>
    </row>
    <row r="19" spans="1:14">
      <c r="A19" s="46">
        <v>16</v>
      </c>
      <c r="B19" s="219">
        <v>45763</v>
      </c>
      <c r="C19" s="67"/>
      <c r="D19" s="159"/>
      <c r="E19" s="266"/>
      <c r="F19" s="402"/>
      <c r="G19" s="8">
        <f t="shared" si="1"/>
        <v>0</v>
      </c>
      <c r="H19" s="266"/>
      <c r="I19" s="299"/>
      <c r="J19" s="8">
        <f t="shared" si="2"/>
        <v>0</v>
      </c>
      <c r="K19" s="8">
        <f t="shared" si="3"/>
        <v>0</v>
      </c>
      <c r="L19" s="68"/>
      <c r="M19" s="40">
        <f t="shared" si="4"/>
        <v>71161.048000000053</v>
      </c>
      <c r="N19" s="8"/>
    </row>
    <row r="20" spans="1:14">
      <c r="A20" s="46">
        <v>17</v>
      </c>
      <c r="B20" s="219">
        <v>45764</v>
      </c>
      <c r="C20" s="67"/>
      <c r="D20" s="159"/>
      <c r="E20" s="266"/>
      <c r="F20" s="402"/>
      <c r="G20" s="8">
        <f t="shared" si="1"/>
        <v>0</v>
      </c>
      <c r="H20" s="266"/>
      <c r="I20" s="299"/>
      <c r="J20" s="8">
        <f t="shared" si="2"/>
        <v>0</v>
      </c>
      <c r="K20" s="8">
        <f t="shared" si="3"/>
        <v>0</v>
      </c>
      <c r="L20" s="68"/>
      <c r="M20" s="40">
        <f t="shared" si="4"/>
        <v>71161.048000000053</v>
      </c>
      <c r="N20" s="8"/>
    </row>
    <row r="21" spans="1:14">
      <c r="A21" s="46">
        <v>18</v>
      </c>
      <c r="B21" s="219">
        <v>45765</v>
      </c>
      <c r="C21" s="67"/>
      <c r="D21" s="159"/>
      <c r="E21" s="266"/>
      <c r="F21" s="402"/>
      <c r="G21" s="8">
        <f t="shared" si="1"/>
        <v>0</v>
      </c>
      <c r="H21" s="266"/>
      <c r="I21" s="299"/>
      <c r="J21" s="8">
        <f t="shared" si="2"/>
        <v>0</v>
      </c>
      <c r="K21" s="8">
        <f t="shared" si="3"/>
        <v>0</v>
      </c>
      <c r="L21" s="68">
        <v>69995</v>
      </c>
      <c r="M21" s="40">
        <f t="shared" si="4"/>
        <v>1166.0480000000534</v>
      </c>
      <c r="N21" s="8"/>
    </row>
    <row r="22" spans="1:14">
      <c r="A22" s="46">
        <v>19</v>
      </c>
      <c r="B22" s="219">
        <v>45766</v>
      </c>
      <c r="C22" s="67"/>
      <c r="D22" s="159"/>
      <c r="E22" s="266"/>
      <c r="F22" s="402"/>
      <c r="G22" s="8">
        <f t="shared" si="1"/>
        <v>0</v>
      </c>
      <c r="H22" s="266"/>
      <c r="I22" s="299"/>
      <c r="J22" s="8">
        <f t="shared" si="2"/>
        <v>0</v>
      </c>
      <c r="K22" s="8">
        <f t="shared" si="3"/>
        <v>0</v>
      </c>
      <c r="L22" s="68">
        <v>1166.05</v>
      </c>
      <c r="M22" s="40">
        <f t="shared" si="4"/>
        <v>-1.9999999465198925E-3</v>
      </c>
      <c r="N22" s="8"/>
    </row>
    <row r="23" spans="1:14">
      <c r="A23" s="46">
        <v>20</v>
      </c>
      <c r="B23" s="219">
        <v>45767</v>
      </c>
      <c r="C23" s="67"/>
      <c r="D23" s="159"/>
      <c r="E23" s="266"/>
      <c r="F23" s="402"/>
      <c r="G23" s="8">
        <f t="shared" si="1"/>
        <v>0</v>
      </c>
      <c r="H23" s="266"/>
      <c r="I23" s="299"/>
      <c r="J23" s="8">
        <f t="shared" si="2"/>
        <v>0</v>
      </c>
      <c r="K23" s="8">
        <f t="shared" si="3"/>
        <v>0</v>
      </c>
      <c r="L23" s="68">
        <f t="shared" si="5"/>
        <v>0</v>
      </c>
      <c r="M23" s="40">
        <f t="shared" si="4"/>
        <v>-1.9999999465198925E-3</v>
      </c>
      <c r="N23" s="8"/>
    </row>
    <row r="24" spans="1:14">
      <c r="A24" s="46">
        <v>21</v>
      </c>
      <c r="B24" s="219">
        <v>45768</v>
      </c>
      <c r="C24" s="67"/>
      <c r="D24" s="159"/>
      <c r="E24" s="266"/>
      <c r="F24" s="402"/>
      <c r="G24" s="8">
        <f t="shared" si="1"/>
        <v>0</v>
      </c>
      <c r="H24" s="266"/>
      <c r="I24" s="299"/>
      <c r="J24" s="8">
        <f t="shared" si="2"/>
        <v>0</v>
      </c>
      <c r="K24" s="8">
        <f t="shared" si="3"/>
        <v>0</v>
      </c>
      <c r="L24" s="68">
        <f t="shared" si="5"/>
        <v>0</v>
      </c>
      <c r="M24" s="40">
        <f t="shared" si="4"/>
        <v>-1.9999999465198925E-3</v>
      </c>
      <c r="N24" s="8"/>
    </row>
    <row r="25" spans="1:14">
      <c r="A25" s="46">
        <v>22</v>
      </c>
      <c r="B25" s="219">
        <v>45769</v>
      </c>
      <c r="C25" s="67"/>
      <c r="D25" s="159"/>
      <c r="E25" s="266"/>
      <c r="F25" s="402"/>
      <c r="G25" s="8">
        <f t="shared" si="1"/>
        <v>0</v>
      </c>
      <c r="H25" s="266"/>
      <c r="I25" s="299"/>
      <c r="J25" s="8">
        <f t="shared" si="2"/>
        <v>0</v>
      </c>
      <c r="K25" s="8">
        <f t="shared" si="3"/>
        <v>0</v>
      </c>
      <c r="L25" s="68">
        <f t="shared" si="5"/>
        <v>0</v>
      </c>
      <c r="M25" s="40">
        <f t="shared" si="4"/>
        <v>-1.9999999465198925E-3</v>
      </c>
      <c r="N25" s="8"/>
    </row>
    <row r="26" spans="1:14">
      <c r="A26" s="46">
        <v>23</v>
      </c>
      <c r="B26" s="219">
        <v>45770</v>
      </c>
      <c r="C26" s="67"/>
      <c r="D26" s="159"/>
      <c r="E26" s="266"/>
      <c r="F26" s="402"/>
      <c r="G26" s="8">
        <f t="shared" si="1"/>
        <v>0</v>
      </c>
      <c r="H26" s="266"/>
      <c r="I26" s="299"/>
      <c r="J26" s="8">
        <f t="shared" si="2"/>
        <v>0</v>
      </c>
      <c r="K26" s="8">
        <f t="shared" si="3"/>
        <v>0</v>
      </c>
      <c r="L26" s="68">
        <f t="shared" si="5"/>
        <v>0</v>
      </c>
      <c r="M26" s="68">
        <v>0</v>
      </c>
      <c r="N26" s="8"/>
    </row>
    <row r="27" spans="1:14">
      <c r="A27" s="46">
        <v>24</v>
      </c>
      <c r="B27" s="219">
        <v>45771</v>
      </c>
      <c r="C27" s="67"/>
      <c r="D27" s="159"/>
      <c r="E27" s="266"/>
      <c r="F27" s="402"/>
      <c r="G27" s="8">
        <f t="shared" si="1"/>
        <v>0</v>
      </c>
      <c r="H27" s="266"/>
      <c r="I27" s="299"/>
      <c r="J27" s="8">
        <f t="shared" si="2"/>
        <v>0</v>
      </c>
      <c r="K27" s="8">
        <f t="shared" si="3"/>
        <v>0</v>
      </c>
      <c r="L27" s="68">
        <f t="shared" si="5"/>
        <v>0</v>
      </c>
      <c r="M27" s="68">
        <v>0</v>
      </c>
      <c r="N27" s="8"/>
    </row>
    <row r="28" spans="1:14">
      <c r="A28" s="221">
        <v>25</v>
      </c>
      <c r="B28" s="219">
        <v>45772</v>
      </c>
      <c r="C28" s="67"/>
      <c r="D28" s="159"/>
      <c r="E28" s="266"/>
      <c r="F28" s="402"/>
      <c r="G28" s="8">
        <f t="shared" si="1"/>
        <v>0</v>
      </c>
      <c r="H28" s="266"/>
      <c r="I28" s="299"/>
      <c r="J28" s="8">
        <f t="shared" si="2"/>
        <v>0</v>
      </c>
      <c r="K28" s="8">
        <f t="shared" si="3"/>
        <v>0</v>
      </c>
      <c r="L28" s="68">
        <f t="shared" si="5"/>
        <v>0</v>
      </c>
      <c r="M28" s="68">
        <v>0</v>
      </c>
      <c r="N28" s="8"/>
    </row>
    <row r="29" spans="1:14">
      <c r="A29" s="221">
        <v>26</v>
      </c>
      <c r="B29" s="219">
        <v>45773</v>
      </c>
      <c r="C29" s="67"/>
      <c r="D29" s="159"/>
      <c r="E29" s="257"/>
      <c r="F29" s="257"/>
      <c r="G29" s="8">
        <f t="shared" si="0"/>
        <v>0</v>
      </c>
      <c r="H29" s="65"/>
      <c r="I29" s="66"/>
      <c r="J29" s="8">
        <f t="shared" ref="J5:J34" si="6">H29*I29</f>
        <v>0</v>
      </c>
      <c r="K29" s="8">
        <f t="shared" ref="K5:K34" si="7">G29+J29</f>
        <v>0</v>
      </c>
      <c r="L29" s="68">
        <f t="shared" si="5"/>
        <v>0</v>
      </c>
      <c r="M29" s="68">
        <v>0</v>
      </c>
      <c r="N29" s="8"/>
    </row>
    <row r="30" spans="1:14">
      <c r="A30" s="221">
        <v>27</v>
      </c>
      <c r="B30" s="219">
        <v>45774</v>
      </c>
      <c r="C30" s="67"/>
      <c r="D30" s="159"/>
      <c r="E30" s="257"/>
      <c r="F30" s="257"/>
      <c r="G30" s="8">
        <f t="shared" si="0"/>
        <v>0</v>
      </c>
      <c r="H30" s="65"/>
      <c r="I30" s="66"/>
      <c r="J30" s="8">
        <f t="shared" si="6"/>
        <v>0</v>
      </c>
      <c r="K30" s="8">
        <f t="shared" si="7"/>
        <v>0</v>
      </c>
      <c r="L30" s="68">
        <f t="shared" si="5"/>
        <v>0</v>
      </c>
      <c r="M30" s="68">
        <v>0</v>
      </c>
      <c r="N30" s="8"/>
    </row>
    <row r="31" spans="1:14">
      <c r="A31" s="221">
        <v>28</v>
      </c>
      <c r="B31" s="219">
        <v>45775</v>
      </c>
      <c r="C31" s="67"/>
      <c r="D31" s="159"/>
      <c r="E31" s="257"/>
      <c r="F31" s="257"/>
      <c r="G31" s="8">
        <f t="shared" si="0"/>
        <v>0</v>
      </c>
      <c r="H31" s="65"/>
      <c r="I31" s="66"/>
      <c r="J31" s="8">
        <f t="shared" si="6"/>
        <v>0</v>
      </c>
      <c r="K31" s="8">
        <f t="shared" si="7"/>
        <v>0</v>
      </c>
      <c r="L31" s="68">
        <f t="shared" si="5"/>
        <v>0</v>
      </c>
      <c r="M31" s="68">
        <v>0</v>
      </c>
      <c r="N31" s="8"/>
    </row>
    <row r="32" spans="1:14">
      <c r="A32" s="222">
        <v>29</v>
      </c>
      <c r="B32" s="219">
        <v>45776</v>
      </c>
      <c r="C32" s="67"/>
      <c r="D32" s="159"/>
      <c r="E32" s="257"/>
      <c r="F32" s="257"/>
      <c r="G32" s="8">
        <f t="shared" si="0"/>
        <v>0</v>
      </c>
      <c r="H32" s="65"/>
      <c r="I32" s="66"/>
      <c r="J32" s="8">
        <f t="shared" si="6"/>
        <v>0</v>
      </c>
      <c r="K32" s="8">
        <f t="shared" si="7"/>
        <v>0</v>
      </c>
      <c r="L32" s="68">
        <f t="shared" si="5"/>
        <v>0</v>
      </c>
      <c r="M32" s="68">
        <v>0</v>
      </c>
      <c r="N32" s="8"/>
    </row>
    <row r="33" spans="1:14">
      <c r="A33" s="222">
        <v>30</v>
      </c>
      <c r="B33" s="219">
        <v>45777</v>
      </c>
      <c r="C33" s="67"/>
      <c r="D33" s="159"/>
      <c r="E33" s="257"/>
      <c r="F33" s="257"/>
      <c r="G33" s="8">
        <f t="shared" si="0"/>
        <v>0</v>
      </c>
      <c r="H33" s="65"/>
      <c r="I33" s="66"/>
      <c r="J33" s="8">
        <f t="shared" si="6"/>
        <v>0</v>
      </c>
      <c r="K33" s="8">
        <f t="shared" si="7"/>
        <v>0</v>
      </c>
      <c r="L33" s="68">
        <f t="shared" si="5"/>
        <v>0</v>
      </c>
      <c r="M33" s="68">
        <v>0</v>
      </c>
      <c r="N33" s="8"/>
    </row>
    <row r="34" spans="1:14">
      <c r="A34" s="222">
        <v>31</v>
      </c>
      <c r="B34" s="219"/>
      <c r="C34" s="67"/>
      <c r="D34" s="159"/>
      <c r="E34" s="257"/>
      <c r="F34" s="257"/>
      <c r="G34" s="8">
        <f t="shared" si="0"/>
        <v>0</v>
      </c>
      <c r="H34" s="65"/>
      <c r="I34" s="66"/>
      <c r="J34" s="8">
        <f t="shared" si="6"/>
        <v>0</v>
      </c>
      <c r="K34" s="8">
        <f t="shared" si="7"/>
        <v>0</v>
      </c>
      <c r="L34" s="68">
        <f t="shared" si="5"/>
        <v>0</v>
      </c>
      <c r="M34" s="68">
        <v>0</v>
      </c>
      <c r="N34" s="8"/>
    </row>
    <row r="35" spans="1:14">
      <c r="A35" s="62"/>
      <c r="B35" s="62"/>
      <c r="C35" s="62"/>
      <c r="D35" s="62"/>
      <c r="E35" s="258">
        <f>SUM(E4:E34)</f>
        <v>0</v>
      </c>
      <c r="F35" s="258"/>
      <c r="G35" s="63">
        <f>SUM(G4:G34)</f>
        <v>0</v>
      </c>
      <c r="H35" s="63">
        <f>SUM(H4:H34)</f>
        <v>0</v>
      </c>
      <c r="I35" s="63"/>
      <c r="J35" s="63">
        <f>SUM(J4:J34)</f>
        <v>0</v>
      </c>
      <c r="K35" s="63">
        <f>SUM(K4:K34)</f>
        <v>0</v>
      </c>
      <c r="L35" s="63">
        <f>SUM(L4:L34)</f>
        <v>71161.05</v>
      </c>
      <c r="M35" s="63"/>
      <c r="N35" s="63"/>
    </row>
  </sheetData>
  <mergeCells count="2">
    <mergeCell ref="A1:N1"/>
    <mergeCell ref="A3:L3"/>
  </mergeCells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CFE9-973B-4F2F-982C-C713DBE1FA46}">
  <dimension ref="A1:Q35"/>
  <sheetViews>
    <sheetView topLeftCell="A18" workbookViewId="0">
      <selection activeCell="L5" sqref="L5:L28"/>
    </sheetView>
  </sheetViews>
  <sheetFormatPr defaultRowHeight="15"/>
  <cols>
    <col min="2" max="2" width="11.85546875" customWidth="1"/>
    <col min="4" max="4" width="12" customWidth="1"/>
    <col min="7" max="7" width="11.85546875" bestFit="1" customWidth="1"/>
    <col min="10" max="10" width="10.85546875" bestFit="1" customWidth="1"/>
    <col min="11" max="11" width="13.5703125" bestFit="1" customWidth="1"/>
    <col min="12" max="12" width="13.7109375" bestFit="1" customWidth="1"/>
    <col min="13" max="13" width="11.85546875" bestFit="1" customWidth="1"/>
  </cols>
  <sheetData>
    <row r="1" spans="1:14" ht="15.75">
      <c r="A1" s="481" t="s">
        <v>86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</row>
    <row r="2" spans="1:14" ht="30.75">
      <c r="A2" s="98" t="s">
        <v>0</v>
      </c>
      <c r="B2" s="99" t="s">
        <v>164</v>
      </c>
      <c r="C2" s="99" t="s">
        <v>165</v>
      </c>
      <c r="D2" s="99" t="s">
        <v>208</v>
      </c>
      <c r="E2" s="256" t="s">
        <v>167</v>
      </c>
      <c r="F2" s="256" t="s">
        <v>168</v>
      </c>
      <c r="G2" s="99" t="s">
        <v>169</v>
      </c>
      <c r="H2" s="99" t="s">
        <v>170</v>
      </c>
      <c r="I2" s="99" t="s">
        <v>168</v>
      </c>
      <c r="J2" s="138" t="s">
        <v>169</v>
      </c>
      <c r="K2" s="100" t="s">
        <v>171</v>
      </c>
      <c r="L2" s="139" t="s">
        <v>172</v>
      </c>
      <c r="M2" s="143" t="s">
        <v>209</v>
      </c>
      <c r="N2" s="101" t="s">
        <v>174</v>
      </c>
    </row>
    <row r="3" spans="1:14">
      <c r="A3" s="482" t="s">
        <v>175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4"/>
      <c r="M3" s="148">
        <v>324643.91869999986</v>
      </c>
      <c r="N3" s="156"/>
    </row>
    <row r="4" spans="1:14">
      <c r="A4" s="196">
        <v>1</v>
      </c>
      <c r="B4" s="219">
        <v>45748</v>
      </c>
      <c r="C4" s="67"/>
      <c r="D4" s="159"/>
      <c r="E4" s="257">
        <v>722.24</v>
      </c>
      <c r="F4" s="257">
        <v>96.44</v>
      </c>
      <c r="G4" s="8">
        <f t="shared" ref="G4:G34" si="0">E4*F4</f>
        <v>69652.825599999996</v>
      </c>
      <c r="H4" s="65">
        <v>5</v>
      </c>
      <c r="I4" s="66">
        <v>108.31</v>
      </c>
      <c r="J4" s="8">
        <f>H4*I4</f>
        <v>541.54999999999995</v>
      </c>
      <c r="K4" s="8">
        <f>G4+J4</f>
        <v>70194.375599999999</v>
      </c>
      <c r="L4" s="68">
        <v>0</v>
      </c>
      <c r="M4" s="40">
        <f t="shared" ref="M4:M34" si="1">M3+K4-L4</f>
        <v>394838.29429999983</v>
      </c>
      <c r="N4" s="8"/>
    </row>
    <row r="5" spans="1:14">
      <c r="A5" s="46">
        <v>2</v>
      </c>
      <c r="B5" s="219">
        <v>45749</v>
      </c>
      <c r="C5" s="67"/>
      <c r="D5" s="159"/>
      <c r="E5" s="257">
        <v>631.32000000000005</v>
      </c>
      <c r="F5" s="257">
        <v>96.44</v>
      </c>
      <c r="G5" s="8">
        <f t="shared" ref="G5:G34" si="2">E5*F5</f>
        <v>60884.500800000002</v>
      </c>
      <c r="H5" s="65"/>
      <c r="I5" s="66"/>
      <c r="J5" s="8">
        <f t="shared" ref="J5:J34" si="3">H5*I5</f>
        <v>0</v>
      </c>
      <c r="K5" s="8">
        <f t="shared" ref="K5:L34" si="4">G5+J5</f>
        <v>60884.500800000002</v>
      </c>
      <c r="L5" s="68">
        <v>324644</v>
      </c>
      <c r="M5" s="40">
        <f t="shared" si="1"/>
        <v>131078.79509999981</v>
      </c>
      <c r="N5" s="8"/>
    </row>
    <row r="6" spans="1:14">
      <c r="A6" s="46">
        <v>3</v>
      </c>
      <c r="B6" s="219">
        <v>45750</v>
      </c>
      <c r="C6" s="67"/>
      <c r="D6" s="159"/>
      <c r="E6" s="257">
        <v>20</v>
      </c>
      <c r="F6" s="257">
        <v>96.44</v>
      </c>
      <c r="G6" s="8">
        <f t="shared" si="2"/>
        <v>1928.8</v>
      </c>
      <c r="H6" s="65">
        <v>66.58</v>
      </c>
      <c r="I6" s="66">
        <v>108.31</v>
      </c>
      <c r="J6" s="8">
        <f t="shared" si="3"/>
        <v>7211.2798000000003</v>
      </c>
      <c r="K6" s="8">
        <f t="shared" si="4"/>
        <v>9140.0797999999995</v>
      </c>
      <c r="L6" s="68"/>
      <c r="M6" s="40">
        <f t="shared" si="1"/>
        <v>140218.87489999982</v>
      </c>
      <c r="N6" s="8"/>
    </row>
    <row r="7" spans="1:14">
      <c r="A7" s="46">
        <v>4</v>
      </c>
      <c r="B7" s="219">
        <v>45751</v>
      </c>
      <c r="C7" s="67"/>
      <c r="D7" s="159"/>
      <c r="E7" s="257">
        <v>1728.07</v>
      </c>
      <c r="F7" s="257">
        <v>96.44</v>
      </c>
      <c r="G7" s="8">
        <f t="shared" si="2"/>
        <v>166655.07079999999</v>
      </c>
      <c r="H7" s="65">
        <v>20</v>
      </c>
      <c r="I7" s="66">
        <v>108.31</v>
      </c>
      <c r="J7" s="8">
        <f t="shared" si="3"/>
        <v>2166.1999999999998</v>
      </c>
      <c r="K7" s="8">
        <f t="shared" si="4"/>
        <v>168821.2708</v>
      </c>
      <c r="L7" s="68"/>
      <c r="M7" s="40">
        <f t="shared" si="1"/>
        <v>309040.14569999982</v>
      </c>
      <c r="N7" s="8"/>
    </row>
    <row r="8" spans="1:14">
      <c r="A8" s="46">
        <v>5</v>
      </c>
      <c r="B8" s="219">
        <v>45752</v>
      </c>
      <c r="C8" s="67"/>
      <c r="D8" s="159"/>
      <c r="E8" s="257">
        <v>1434.96</v>
      </c>
      <c r="F8" s="257">
        <v>96.44</v>
      </c>
      <c r="G8" s="8">
        <f t="shared" si="2"/>
        <v>138387.54240000001</v>
      </c>
      <c r="H8" s="65">
        <v>5</v>
      </c>
      <c r="I8" s="66">
        <v>108.31</v>
      </c>
      <c r="J8" s="8">
        <f t="shared" si="3"/>
        <v>541.54999999999995</v>
      </c>
      <c r="K8" s="8">
        <f t="shared" si="4"/>
        <v>138929.09239999999</v>
      </c>
      <c r="L8" s="68"/>
      <c r="M8" s="40">
        <f t="shared" si="1"/>
        <v>447969.23809999984</v>
      </c>
      <c r="N8" s="8"/>
    </row>
    <row r="9" spans="1:14">
      <c r="A9" s="46">
        <v>6</v>
      </c>
      <c r="B9" s="219">
        <v>45753</v>
      </c>
      <c r="C9" s="67"/>
      <c r="D9" s="159"/>
      <c r="E9" s="257">
        <v>0</v>
      </c>
      <c r="F9" s="257">
        <v>96.44</v>
      </c>
      <c r="G9" s="8">
        <f t="shared" si="2"/>
        <v>0</v>
      </c>
      <c r="H9" s="65">
        <v>0</v>
      </c>
      <c r="I9" s="66">
        <v>108.31</v>
      </c>
      <c r="J9" s="8">
        <f t="shared" si="3"/>
        <v>0</v>
      </c>
      <c r="K9" s="8">
        <f t="shared" si="4"/>
        <v>0</v>
      </c>
      <c r="L9" s="68"/>
      <c r="M9" s="40">
        <f t="shared" si="1"/>
        <v>447969.23809999984</v>
      </c>
      <c r="N9" s="8"/>
    </row>
    <row r="10" spans="1:14">
      <c r="A10" s="46">
        <v>7</v>
      </c>
      <c r="B10" s="219">
        <v>45754</v>
      </c>
      <c r="C10" s="67"/>
      <c r="D10" s="159"/>
      <c r="E10" s="257">
        <v>859.83000000000015</v>
      </c>
      <c r="F10" s="257">
        <v>96.44</v>
      </c>
      <c r="G10" s="8">
        <f t="shared" si="2"/>
        <v>82922.005200000014</v>
      </c>
      <c r="H10" s="65">
        <v>10</v>
      </c>
      <c r="I10" s="66">
        <v>108.31</v>
      </c>
      <c r="J10" s="8">
        <f t="shared" si="3"/>
        <v>1083.0999999999999</v>
      </c>
      <c r="K10" s="8">
        <f t="shared" si="4"/>
        <v>84005.10520000002</v>
      </c>
      <c r="L10" s="68">
        <v>0</v>
      </c>
      <c r="M10" s="40">
        <f t="shared" si="1"/>
        <v>531974.34329999983</v>
      </c>
      <c r="N10" s="8"/>
    </row>
    <row r="11" spans="1:14">
      <c r="A11" s="46">
        <v>8</v>
      </c>
      <c r="B11" s="219">
        <v>45755</v>
      </c>
      <c r="C11" s="67"/>
      <c r="D11" s="159"/>
      <c r="E11" s="257">
        <v>2122.1999999999998</v>
      </c>
      <c r="F11" s="257">
        <v>96.44</v>
      </c>
      <c r="G11" s="8">
        <f t="shared" si="2"/>
        <v>204664.96799999996</v>
      </c>
      <c r="H11" s="65">
        <v>10</v>
      </c>
      <c r="I11" s="66">
        <v>108.31</v>
      </c>
      <c r="J11" s="8">
        <f t="shared" si="3"/>
        <v>1083.0999999999999</v>
      </c>
      <c r="K11" s="8">
        <f t="shared" si="4"/>
        <v>205748.06799999997</v>
      </c>
      <c r="L11" s="68">
        <v>0</v>
      </c>
      <c r="M11" s="40">
        <f t="shared" si="1"/>
        <v>737722.4112999998</v>
      </c>
      <c r="N11" s="8"/>
    </row>
    <row r="12" spans="1:14">
      <c r="A12" s="46">
        <v>9</v>
      </c>
      <c r="B12" s="219">
        <v>45756</v>
      </c>
      <c r="C12" s="67"/>
      <c r="D12" s="159"/>
      <c r="E12" s="257">
        <v>558.83999999999992</v>
      </c>
      <c r="F12" s="257">
        <v>96.44</v>
      </c>
      <c r="G12" s="8">
        <f t="shared" si="2"/>
        <v>53894.529599999994</v>
      </c>
      <c r="H12" s="65">
        <v>5</v>
      </c>
      <c r="I12" s="66">
        <v>108.31</v>
      </c>
      <c r="J12" s="8">
        <f t="shared" si="3"/>
        <v>541.54999999999995</v>
      </c>
      <c r="K12" s="8">
        <f t="shared" si="4"/>
        <v>54436.079599999997</v>
      </c>
      <c r="L12" s="68">
        <v>0</v>
      </c>
      <c r="M12" s="40">
        <f t="shared" si="1"/>
        <v>792158.49089999986</v>
      </c>
      <c r="N12" s="8"/>
    </row>
    <row r="13" spans="1:14">
      <c r="A13" s="46">
        <v>10</v>
      </c>
      <c r="B13" s="219">
        <v>45757</v>
      </c>
      <c r="C13" s="67"/>
      <c r="D13" s="159"/>
      <c r="E13" s="257"/>
      <c r="F13" s="257"/>
      <c r="G13" s="8">
        <f t="shared" si="2"/>
        <v>0</v>
      </c>
      <c r="H13" s="65">
        <v>15</v>
      </c>
      <c r="I13" s="66">
        <v>108.31</v>
      </c>
      <c r="J13" s="8">
        <f t="shared" si="3"/>
        <v>1624.65</v>
      </c>
      <c r="K13" s="8">
        <f t="shared" si="4"/>
        <v>1624.65</v>
      </c>
      <c r="L13" s="68">
        <v>250000</v>
      </c>
      <c r="M13" s="40">
        <f t="shared" si="1"/>
        <v>543783.14089999988</v>
      </c>
      <c r="N13" s="8"/>
    </row>
    <row r="14" spans="1:14">
      <c r="A14" s="46">
        <v>11</v>
      </c>
      <c r="B14" s="219">
        <v>45758</v>
      </c>
      <c r="C14" s="67"/>
      <c r="D14" s="159"/>
      <c r="E14" s="257">
        <v>89.3</v>
      </c>
      <c r="F14" s="257">
        <v>96.44</v>
      </c>
      <c r="G14" s="8">
        <f t="shared" si="2"/>
        <v>8612.0919999999987</v>
      </c>
      <c r="H14" s="65"/>
      <c r="I14" s="66"/>
      <c r="J14" s="8">
        <f t="shared" si="3"/>
        <v>0</v>
      </c>
      <c r="K14" s="8">
        <f t="shared" si="4"/>
        <v>8612.0919999999987</v>
      </c>
      <c r="L14" s="68">
        <v>0</v>
      </c>
      <c r="M14" s="40">
        <f t="shared" si="1"/>
        <v>552395.23289999983</v>
      </c>
      <c r="N14" s="8"/>
    </row>
    <row r="15" spans="1:14">
      <c r="A15" s="46">
        <v>12</v>
      </c>
      <c r="B15" s="219">
        <v>45759</v>
      </c>
      <c r="C15" s="67"/>
      <c r="D15" s="159"/>
      <c r="E15" s="257">
        <v>323.44</v>
      </c>
      <c r="F15" s="257">
        <v>96.44</v>
      </c>
      <c r="G15" s="8">
        <f t="shared" si="2"/>
        <v>31192.553599999999</v>
      </c>
      <c r="H15" s="65">
        <v>5</v>
      </c>
      <c r="I15" s="66">
        <v>108.31</v>
      </c>
      <c r="J15" s="8">
        <f t="shared" si="3"/>
        <v>541.54999999999995</v>
      </c>
      <c r="K15" s="8">
        <f t="shared" si="4"/>
        <v>31734.103599999999</v>
      </c>
      <c r="L15" s="68">
        <v>0</v>
      </c>
      <c r="M15" s="40">
        <f t="shared" si="1"/>
        <v>584129.33649999986</v>
      </c>
      <c r="N15" s="8"/>
    </row>
    <row r="16" spans="1:14">
      <c r="A16" s="46">
        <v>13</v>
      </c>
      <c r="B16" s="219">
        <v>45760</v>
      </c>
      <c r="C16" s="67"/>
      <c r="D16" s="159"/>
      <c r="E16" s="257">
        <v>648.57999999999993</v>
      </c>
      <c r="F16" s="257">
        <v>96.44</v>
      </c>
      <c r="G16" s="8">
        <f t="shared" si="2"/>
        <v>62549.055199999988</v>
      </c>
      <c r="H16" s="65">
        <v>5</v>
      </c>
      <c r="I16" s="66">
        <v>108.31</v>
      </c>
      <c r="J16" s="8">
        <f t="shared" si="3"/>
        <v>541.54999999999995</v>
      </c>
      <c r="K16" s="8">
        <f t="shared" si="4"/>
        <v>63090.605199999991</v>
      </c>
      <c r="L16" s="68">
        <v>300000</v>
      </c>
      <c r="M16" s="40">
        <f t="shared" si="1"/>
        <v>347219.94169999985</v>
      </c>
      <c r="N16" s="8"/>
    </row>
    <row r="17" spans="1:17">
      <c r="A17" s="46">
        <v>14</v>
      </c>
      <c r="B17" s="219">
        <v>45761</v>
      </c>
      <c r="C17" s="67"/>
      <c r="D17" s="159"/>
      <c r="E17" s="257">
        <v>787.9</v>
      </c>
      <c r="F17" s="257">
        <v>96.44</v>
      </c>
      <c r="G17" s="8">
        <f t="shared" si="2"/>
        <v>75985.076000000001</v>
      </c>
      <c r="H17" s="65">
        <v>5</v>
      </c>
      <c r="I17" s="66">
        <v>108.31</v>
      </c>
      <c r="J17" s="8">
        <f t="shared" si="3"/>
        <v>541.54999999999995</v>
      </c>
      <c r="K17" s="8">
        <f t="shared" si="4"/>
        <v>76526.626000000004</v>
      </c>
      <c r="L17" s="68">
        <v>0</v>
      </c>
      <c r="M17" s="40">
        <f t="shared" si="1"/>
        <v>423746.56769999984</v>
      </c>
      <c r="N17" s="8"/>
    </row>
    <row r="18" spans="1:17">
      <c r="A18" s="46">
        <v>15</v>
      </c>
      <c r="B18" s="219">
        <v>45762</v>
      </c>
      <c r="C18" s="67"/>
      <c r="D18" s="159"/>
      <c r="E18" s="436">
        <f>158.76+165.28+285.88+25</f>
        <v>634.91999999999996</v>
      </c>
      <c r="F18" s="257">
        <v>96.44</v>
      </c>
      <c r="G18" s="8">
        <f t="shared" si="2"/>
        <v>61231.684799999995</v>
      </c>
      <c r="H18" s="65">
        <v>5</v>
      </c>
      <c r="I18" s="66">
        <v>108.31</v>
      </c>
      <c r="J18" s="8">
        <f t="shared" si="3"/>
        <v>541.54999999999995</v>
      </c>
      <c r="K18" s="8">
        <f t="shared" si="4"/>
        <v>61773.234799999998</v>
      </c>
      <c r="L18" s="68">
        <v>0</v>
      </c>
      <c r="M18" s="40">
        <f t="shared" si="1"/>
        <v>485519.80249999982</v>
      </c>
      <c r="N18" s="8"/>
    </row>
    <row r="19" spans="1:17">
      <c r="A19" s="46">
        <v>16</v>
      </c>
      <c r="B19" s="219">
        <v>45763</v>
      </c>
      <c r="C19" s="67"/>
      <c r="D19" s="159"/>
      <c r="E19" s="257">
        <v>1185.49</v>
      </c>
      <c r="F19" s="257">
        <v>96.44</v>
      </c>
      <c r="G19" s="8">
        <f t="shared" si="2"/>
        <v>114328.6556</v>
      </c>
      <c r="H19" s="65">
        <v>17</v>
      </c>
      <c r="I19" s="66">
        <v>108.31</v>
      </c>
      <c r="J19" s="8">
        <f t="shared" si="3"/>
        <v>1841.27</v>
      </c>
      <c r="K19" s="8">
        <f t="shared" si="4"/>
        <v>116169.9256</v>
      </c>
      <c r="L19" s="68"/>
      <c r="M19" s="40">
        <f t="shared" si="1"/>
        <v>601689.72809999983</v>
      </c>
      <c r="N19" s="8"/>
    </row>
    <row r="20" spans="1:17">
      <c r="A20" s="46">
        <v>17</v>
      </c>
      <c r="B20" s="219">
        <v>45764</v>
      </c>
      <c r="C20" s="67"/>
      <c r="D20" s="159"/>
      <c r="E20" s="257">
        <v>528.15</v>
      </c>
      <c r="F20" s="257">
        <v>96.44</v>
      </c>
      <c r="G20" s="8">
        <f t="shared" si="2"/>
        <v>50934.786</v>
      </c>
      <c r="H20" s="65"/>
      <c r="I20" s="66"/>
      <c r="J20" s="8">
        <f t="shared" si="3"/>
        <v>0</v>
      </c>
      <c r="K20" s="8">
        <f t="shared" si="4"/>
        <v>50934.786</v>
      </c>
      <c r="L20" s="68"/>
      <c r="M20" s="40">
        <f t="shared" si="1"/>
        <v>652624.5140999998</v>
      </c>
      <c r="N20" s="8"/>
    </row>
    <row r="21" spans="1:17">
      <c r="A21" s="46">
        <v>18</v>
      </c>
      <c r="B21" s="219">
        <v>45765</v>
      </c>
      <c r="C21" s="67"/>
      <c r="D21" s="159"/>
      <c r="E21" s="436">
        <f>31.57+77.47+200+45+155.56+148.28+160+153.49</f>
        <v>971.37</v>
      </c>
      <c r="F21" s="257">
        <v>96.44</v>
      </c>
      <c r="G21" s="8">
        <f t="shared" si="2"/>
        <v>93678.9228</v>
      </c>
      <c r="H21" s="65"/>
      <c r="I21" s="66"/>
      <c r="J21" s="8">
        <f t="shared" si="3"/>
        <v>0</v>
      </c>
      <c r="K21" s="8">
        <f t="shared" si="4"/>
        <v>93678.9228</v>
      </c>
      <c r="L21" s="68">
        <v>300000</v>
      </c>
      <c r="M21" s="40">
        <f t="shared" si="1"/>
        <v>446303.43689999986</v>
      </c>
      <c r="N21" s="8"/>
    </row>
    <row r="22" spans="1:17">
      <c r="A22" s="46">
        <v>19</v>
      </c>
      <c r="B22" s="219">
        <v>45766</v>
      </c>
      <c r="C22" s="67"/>
      <c r="D22" s="159"/>
      <c r="E22" s="65">
        <f>18.14+66.71+64</f>
        <v>148.85</v>
      </c>
      <c r="F22" s="257">
        <v>96.44</v>
      </c>
      <c r="G22" s="8">
        <f t="shared" si="2"/>
        <v>14355.093999999999</v>
      </c>
      <c r="H22" s="65">
        <f>5+51.05</f>
        <v>56.05</v>
      </c>
      <c r="I22" s="66">
        <v>108.31</v>
      </c>
      <c r="J22" s="8">
        <f t="shared" si="3"/>
        <v>6070.7754999999997</v>
      </c>
      <c r="K22" s="8">
        <f t="shared" si="4"/>
        <v>20425.869500000001</v>
      </c>
      <c r="L22" s="68">
        <v>0</v>
      </c>
      <c r="M22" s="40">
        <f t="shared" si="1"/>
        <v>466729.30639999988</v>
      </c>
      <c r="N22" s="8"/>
    </row>
    <row r="23" spans="1:17">
      <c r="A23" s="46">
        <v>20</v>
      </c>
      <c r="B23" s="219">
        <v>45767</v>
      </c>
      <c r="C23" s="67"/>
      <c r="D23" s="159"/>
      <c r="E23" s="257">
        <v>675.43</v>
      </c>
      <c r="F23" s="257">
        <v>96.44</v>
      </c>
      <c r="G23" s="8">
        <f t="shared" si="2"/>
        <v>65138.469199999992</v>
      </c>
      <c r="H23" s="65">
        <v>10</v>
      </c>
      <c r="I23" s="66">
        <v>108.31</v>
      </c>
      <c r="J23" s="8">
        <f t="shared" si="3"/>
        <v>1083.0999999999999</v>
      </c>
      <c r="K23" s="8">
        <f t="shared" si="4"/>
        <v>66221.569199999998</v>
      </c>
      <c r="L23" s="68">
        <v>0</v>
      </c>
      <c r="M23" s="40">
        <f t="shared" si="1"/>
        <v>532950.87559999991</v>
      </c>
      <c r="N23" s="8"/>
      <c r="Q23">
        <v>96.44</v>
      </c>
    </row>
    <row r="24" spans="1:17">
      <c r="A24" s="46">
        <v>21</v>
      </c>
      <c r="B24" s="219">
        <v>45768</v>
      </c>
      <c r="C24" s="67"/>
      <c r="D24" s="159"/>
      <c r="E24" s="257">
        <v>748.92000000000007</v>
      </c>
      <c r="F24" s="257">
        <v>96.44</v>
      </c>
      <c r="G24" s="8">
        <f t="shared" si="2"/>
        <v>72225.844800000006</v>
      </c>
      <c r="H24" s="65">
        <v>15</v>
      </c>
      <c r="I24" s="66">
        <v>108.31</v>
      </c>
      <c r="J24" s="8">
        <f t="shared" si="3"/>
        <v>1624.65</v>
      </c>
      <c r="K24" s="8">
        <f t="shared" si="4"/>
        <v>73850.4948</v>
      </c>
      <c r="L24" s="68">
        <v>227573</v>
      </c>
      <c r="M24" s="40">
        <f t="shared" si="1"/>
        <v>379228.3703999999</v>
      </c>
      <c r="N24" s="8"/>
    </row>
    <row r="25" spans="1:17">
      <c r="A25" s="46">
        <v>22</v>
      </c>
      <c r="B25" s="219">
        <v>45769</v>
      </c>
      <c r="C25" s="67"/>
      <c r="D25" s="159"/>
      <c r="E25" s="257">
        <v>291.25</v>
      </c>
      <c r="F25" s="257">
        <v>96.44</v>
      </c>
      <c r="G25" s="8">
        <f t="shared" si="2"/>
        <v>28088.149999999998</v>
      </c>
      <c r="H25" s="65">
        <v>5</v>
      </c>
      <c r="I25" s="66">
        <v>108.31</v>
      </c>
      <c r="J25" s="8">
        <f t="shared" si="3"/>
        <v>541.54999999999995</v>
      </c>
      <c r="K25" s="8">
        <f t="shared" si="4"/>
        <v>28629.699999999997</v>
      </c>
      <c r="L25" s="68">
        <v>0</v>
      </c>
      <c r="M25" s="40">
        <f t="shared" si="1"/>
        <v>407858.07039999991</v>
      </c>
      <c r="N25" s="8"/>
    </row>
    <row r="26" spans="1:17">
      <c r="A26" s="46">
        <v>23</v>
      </c>
      <c r="B26" s="219">
        <v>45770</v>
      </c>
      <c r="C26" s="67"/>
      <c r="D26" s="159"/>
      <c r="E26" s="257"/>
      <c r="F26" s="257"/>
      <c r="G26" s="8">
        <f t="shared" si="2"/>
        <v>0</v>
      </c>
      <c r="H26" s="65">
        <v>5</v>
      </c>
      <c r="I26" s="66">
        <v>108.31</v>
      </c>
      <c r="J26" s="8">
        <f t="shared" si="3"/>
        <v>541.54999999999995</v>
      </c>
      <c r="K26" s="8">
        <f t="shared" si="4"/>
        <v>541.54999999999995</v>
      </c>
      <c r="L26" s="68">
        <v>0</v>
      </c>
      <c r="M26" s="40">
        <f t="shared" si="1"/>
        <v>408399.6203999999</v>
      </c>
      <c r="N26" s="8"/>
    </row>
    <row r="27" spans="1:17">
      <c r="A27" s="46">
        <v>24</v>
      </c>
      <c r="B27" s="219">
        <v>45771</v>
      </c>
      <c r="C27" s="67"/>
      <c r="D27" s="159"/>
      <c r="E27" s="257">
        <v>1408.13</v>
      </c>
      <c r="F27" s="257">
        <v>96.44</v>
      </c>
      <c r="G27" s="8">
        <f t="shared" si="2"/>
        <v>135800.05720000001</v>
      </c>
      <c r="H27" s="65">
        <v>15</v>
      </c>
      <c r="I27" s="66">
        <v>108.31</v>
      </c>
      <c r="J27" s="8">
        <f t="shared" si="3"/>
        <v>1624.65</v>
      </c>
      <c r="K27" s="8">
        <f t="shared" si="4"/>
        <v>137424.7072</v>
      </c>
      <c r="L27" s="68">
        <v>0</v>
      </c>
      <c r="M27" s="40">
        <f t="shared" si="1"/>
        <v>545824.32759999996</v>
      </c>
      <c r="N27" s="8"/>
    </row>
    <row r="28" spans="1:17">
      <c r="A28" s="221">
        <v>25</v>
      </c>
      <c r="B28" s="219">
        <v>45772</v>
      </c>
      <c r="C28" s="67"/>
      <c r="D28" s="159"/>
      <c r="E28" s="257">
        <v>585.32999999999993</v>
      </c>
      <c r="F28" s="257">
        <v>96.44</v>
      </c>
      <c r="G28" s="8">
        <f t="shared" si="2"/>
        <v>56449.225199999993</v>
      </c>
      <c r="H28" s="65">
        <v>0</v>
      </c>
      <c r="I28" s="66">
        <v>0</v>
      </c>
      <c r="J28" s="8">
        <v>0</v>
      </c>
      <c r="K28" s="8">
        <f t="shared" si="4"/>
        <v>56449.225199999993</v>
      </c>
      <c r="L28" s="68">
        <v>0</v>
      </c>
      <c r="M28" s="40">
        <f>M27+K28-L28</f>
        <v>602273.55279999995</v>
      </c>
      <c r="N28" s="8"/>
    </row>
    <row r="29" spans="1:17">
      <c r="A29" s="221">
        <v>26</v>
      </c>
      <c r="B29" s="219">
        <v>45773</v>
      </c>
      <c r="C29" s="67"/>
      <c r="D29" s="159"/>
      <c r="E29" s="257">
        <v>0</v>
      </c>
      <c r="F29" s="257">
        <v>96.44</v>
      </c>
      <c r="G29" s="8">
        <f t="shared" si="2"/>
        <v>0</v>
      </c>
      <c r="H29" s="65">
        <v>5</v>
      </c>
      <c r="I29" s="66">
        <v>108.31</v>
      </c>
      <c r="J29" s="8">
        <f t="shared" si="3"/>
        <v>541.54999999999995</v>
      </c>
      <c r="K29" s="8">
        <f t="shared" si="4"/>
        <v>541.54999999999995</v>
      </c>
      <c r="L29" s="68">
        <v>0</v>
      </c>
      <c r="M29" s="40">
        <f t="shared" si="1"/>
        <v>602815.10279999999</v>
      </c>
      <c r="N29" s="8"/>
    </row>
    <row r="30" spans="1:17">
      <c r="A30" s="221">
        <v>27</v>
      </c>
      <c r="B30" s="219">
        <v>45774</v>
      </c>
      <c r="C30" s="67"/>
      <c r="D30" s="159"/>
      <c r="E30" s="257">
        <v>137.78</v>
      </c>
      <c r="F30" s="257">
        <v>96.44</v>
      </c>
      <c r="G30" s="8">
        <f t="shared" si="2"/>
        <v>13287.503199999999</v>
      </c>
      <c r="H30" s="65">
        <v>5</v>
      </c>
      <c r="I30" s="66">
        <v>108.31</v>
      </c>
      <c r="J30" s="8">
        <f t="shared" si="3"/>
        <v>541.54999999999995</v>
      </c>
      <c r="K30" s="8">
        <f t="shared" si="4"/>
        <v>13829.053199999998</v>
      </c>
      <c r="L30" s="68">
        <v>500000</v>
      </c>
      <c r="M30" s="40">
        <f t="shared" si="1"/>
        <v>116644.15599999996</v>
      </c>
      <c r="N30" s="8"/>
    </row>
    <row r="31" spans="1:17">
      <c r="A31" s="221">
        <v>28</v>
      </c>
      <c r="B31" s="219">
        <v>45775</v>
      </c>
      <c r="C31" s="67"/>
      <c r="D31" s="159"/>
      <c r="E31" s="257"/>
      <c r="F31" s="257"/>
      <c r="G31" s="8">
        <f t="shared" si="2"/>
        <v>0</v>
      </c>
      <c r="H31" s="65"/>
      <c r="I31" s="66"/>
      <c r="J31" s="8">
        <f t="shared" si="3"/>
        <v>0</v>
      </c>
      <c r="K31" s="8">
        <f t="shared" si="4"/>
        <v>0</v>
      </c>
      <c r="L31" s="68">
        <v>0</v>
      </c>
      <c r="M31" s="40">
        <f t="shared" si="1"/>
        <v>116644.15599999996</v>
      </c>
      <c r="N31" s="8"/>
    </row>
    <row r="32" spans="1:17">
      <c r="A32" s="222">
        <v>29</v>
      </c>
      <c r="B32" s="219">
        <v>45776</v>
      </c>
      <c r="C32" s="67"/>
      <c r="D32" s="159"/>
      <c r="E32" s="257"/>
      <c r="F32" s="257"/>
      <c r="G32" s="8">
        <f t="shared" si="2"/>
        <v>0</v>
      </c>
      <c r="H32" s="65"/>
      <c r="I32" s="66"/>
      <c r="J32" s="8">
        <f t="shared" si="3"/>
        <v>0</v>
      </c>
      <c r="K32" s="8">
        <f t="shared" si="4"/>
        <v>0</v>
      </c>
      <c r="L32" s="68">
        <v>0</v>
      </c>
      <c r="M32" s="40">
        <f t="shared" si="1"/>
        <v>116644.15599999996</v>
      </c>
      <c r="N32" s="8"/>
    </row>
    <row r="33" spans="1:14">
      <c r="A33" s="222">
        <v>30</v>
      </c>
      <c r="B33" s="219">
        <v>45777</v>
      </c>
      <c r="C33" s="67"/>
      <c r="D33" s="159"/>
      <c r="E33" s="257">
        <v>1446.8600000000001</v>
      </c>
      <c r="F33" s="257">
        <v>96.44</v>
      </c>
      <c r="G33" s="8">
        <f t="shared" si="2"/>
        <v>139535.1784</v>
      </c>
      <c r="H33" s="65">
        <v>26</v>
      </c>
      <c r="I33" s="66">
        <v>108.31</v>
      </c>
      <c r="J33" s="8">
        <f t="shared" si="3"/>
        <v>2816.06</v>
      </c>
      <c r="K33" s="8">
        <f t="shared" si="4"/>
        <v>142351.2384</v>
      </c>
      <c r="L33" s="68">
        <v>0</v>
      </c>
      <c r="M33" s="40">
        <f t="shared" si="1"/>
        <v>258995.39439999996</v>
      </c>
      <c r="N33" s="8"/>
    </row>
    <row r="34" spans="1:14">
      <c r="A34" s="222">
        <v>31</v>
      </c>
      <c r="B34" s="219">
        <v>45778</v>
      </c>
      <c r="C34" s="67"/>
      <c r="D34" s="159"/>
      <c r="E34" s="257"/>
      <c r="F34" s="257"/>
      <c r="G34" s="8">
        <f t="shared" si="2"/>
        <v>0</v>
      </c>
      <c r="H34" s="65"/>
      <c r="I34" s="66"/>
      <c r="J34" s="8">
        <f t="shared" si="3"/>
        <v>0</v>
      </c>
      <c r="K34" s="8">
        <f t="shared" si="4"/>
        <v>0</v>
      </c>
      <c r="L34" s="68">
        <v>0</v>
      </c>
      <c r="M34" s="40">
        <f t="shared" si="1"/>
        <v>258995.39439999996</v>
      </c>
      <c r="N34" s="8"/>
    </row>
    <row r="35" spans="1:14">
      <c r="A35" s="62"/>
      <c r="B35" s="62"/>
      <c r="C35" s="62"/>
      <c r="D35" s="62"/>
      <c r="E35" s="258">
        <f>SUM(E4:E34)</f>
        <v>18689.160000000003</v>
      </c>
      <c r="F35" s="258"/>
      <c r="G35" s="63">
        <f>SUM(G4:G34)</f>
        <v>1802382.5903999999</v>
      </c>
      <c r="H35" s="63">
        <f>SUM(H4:H34)</f>
        <v>315.63</v>
      </c>
      <c r="I35" s="63"/>
      <c r="J35" s="63">
        <f>SUM(J4:J34)</f>
        <v>34185.885299999994</v>
      </c>
      <c r="K35" s="63">
        <f>SUM(K4:K34)</f>
        <v>1836568.4757000003</v>
      </c>
      <c r="L35" s="63">
        <f>SUM(L4:L34)</f>
        <v>1902217</v>
      </c>
      <c r="M35" s="63"/>
      <c r="N35" s="63"/>
    </row>
  </sheetData>
  <mergeCells count="2">
    <mergeCell ref="A1:N1"/>
    <mergeCell ref="A3:L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7192-5352-4637-BAE5-2FBCF1C76B46}">
  <dimension ref="A1:N35"/>
  <sheetViews>
    <sheetView workbookViewId="0">
      <selection activeCell="M34" sqref="M34"/>
    </sheetView>
  </sheetViews>
  <sheetFormatPr defaultRowHeight="15"/>
  <cols>
    <col min="7" max="7" width="10.85546875" bestFit="1" customWidth="1"/>
    <col min="11" max="11" width="13.5703125" bestFit="1" customWidth="1"/>
    <col min="12" max="12" width="12.5703125" customWidth="1"/>
    <col min="13" max="13" width="11.5703125" bestFit="1" customWidth="1"/>
  </cols>
  <sheetData>
    <row r="1" spans="1:14" ht="15.75">
      <c r="A1" s="481" t="s">
        <v>210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</row>
    <row r="2" spans="1:14" ht="30.75">
      <c r="A2" s="98" t="s">
        <v>0</v>
      </c>
      <c r="B2" s="99" t="s">
        <v>164</v>
      </c>
      <c r="C2" s="99" t="s">
        <v>165</v>
      </c>
      <c r="D2" s="99" t="s">
        <v>208</v>
      </c>
      <c r="E2" s="256" t="s">
        <v>167</v>
      </c>
      <c r="F2" s="256" t="s">
        <v>168</v>
      </c>
      <c r="G2" s="99" t="s">
        <v>169</v>
      </c>
      <c r="H2" s="99" t="s">
        <v>170</v>
      </c>
      <c r="I2" s="99" t="s">
        <v>168</v>
      </c>
      <c r="J2" s="138" t="s">
        <v>169</v>
      </c>
      <c r="K2" s="100" t="s">
        <v>171</v>
      </c>
      <c r="L2" s="139" t="s">
        <v>172</v>
      </c>
      <c r="M2" s="143" t="s">
        <v>209</v>
      </c>
      <c r="N2" s="101" t="s">
        <v>174</v>
      </c>
    </row>
    <row r="3" spans="1:14">
      <c r="A3" s="482" t="s">
        <v>175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4"/>
      <c r="M3" s="148">
        <v>0</v>
      </c>
      <c r="N3" s="156"/>
    </row>
    <row r="4" spans="1:14">
      <c r="A4" s="196">
        <v>1</v>
      </c>
      <c r="B4" s="219">
        <v>45748</v>
      </c>
      <c r="C4" s="67"/>
      <c r="D4" s="159"/>
      <c r="E4" s="266"/>
      <c r="F4" s="402"/>
      <c r="G4" s="8">
        <f t="shared" ref="G4:G34" si="0">E4*F4</f>
        <v>0</v>
      </c>
      <c r="H4" s="266"/>
      <c r="I4" s="299"/>
      <c r="J4" s="8">
        <f>H4*I4</f>
        <v>0</v>
      </c>
      <c r="K4" s="8">
        <f>G4+J4</f>
        <v>0</v>
      </c>
      <c r="L4" s="68">
        <v>0</v>
      </c>
      <c r="M4" s="40">
        <f>M3+K4-L4</f>
        <v>0</v>
      </c>
      <c r="N4" s="8"/>
    </row>
    <row r="5" spans="1:14">
      <c r="A5" s="46">
        <v>2</v>
      </c>
      <c r="B5" s="219">
        <v>45749</v>
      </c>
      <c r="C5" s="67"/>
      <c r="D5" s="159"/>
      <c r="E5" s="266"/>
      <c r="F5" s="402"/>
      <c r="G5" s="8">
        <f t="shared" si="0"/>
        <v>0</v>
      </c>
      <c r="H5" s="266"/>
      <c r="I5" s="299"/>
      <c r="J5" s="8">
        <f t="shared" ref="J5:J34" si="1">H5*I5</f>
        <v>0</v>
      </c>
      <c r="K5" s="8">
        <f t="shared" ref="K5:K34" si="2">G5+J5</f>
        <v>0</v>
      </c>
      <c r="L5" s="68">
        <v>0</v>
      </c>
      <c r="M5" s="40">
        <f t="shared" ref="M5:M34" si="3">M4+K5-L5</f>
        <v>0</v>
      </c>
      <c r="N5" s="8"/>
    </row>
    <row r="6" spans="1:14">
      <c r="A6" s="46">
        <v>3</v>
      </c>
      <c r="B6" s="219">
        <v>45750</v>
      </c>
      <c r="C6" s="67"/>
      <c r="D6" s="159"/>
      <c r="E6" s="266"/>
      <c r="F6" s="402"/>
      <c r="G6" s="8">
        <f t="shared" si="0"/>
        <v>0</v>
      </c>
      <c r="H6" s="266"/>
      <c r="I6" s="299"/>
      <c r="J6" s="8">
        <f t="shared" si="1"/>
        <v>0</v>
      </c>
      <c r="K6" s="8">
        <f t="shared" si="2"/>
        <v>0</v>
      </c>
      <c r="L6" s="68">
        <v>0</v>
      </c>
      <c r="M6" s="40">
        <f t="shared" si="3"/>
        <v>0</v>
      </c>
      <c r="N6" s="8"/>
    </row>
    <row r="7" spans="1:14">
      <c r="A7" s="46">
        <v>4</v>
      </c>
      <c r="B7" s="219">
        <v>45751</v>
      </c>
      <c r="C7" s="67"/>
      <c r="D7" s="159"/>
      <c r="E7" s="266"/>
      <c r="F7" s="402"/>
      <c r="G7" s="8">
        <f t="shared" si="0"/>
        <v>0</v>
      </c>
      <c r="H7" s="266"/>
      <c r="I7" s="299"/>
      <c r="J7" s="8">
        <f t="shared" si="1"/>
        <v>0</v>
      </c>
      <c r="K7" s="8">
        <f t="shared" si="2"/>
        <v>0</v>
      </c>
      <c r="L7" s="68">
        <v>0</v>
      </c>
      <c r="M7" s="40">
        <f t="shared" si="3"/>
        <v>0</v>
      </c>
      <c r="N7" s="8"/>
    </row>
    <row r="8" spans="1:14">
      <c r="A8" s="46">
        <v>5</v>
      </c>
      <c r="B8" s="219">
        <v>45752</v>
      </c>
      <c r="C8" s="67"/>
      <c r="D8" s="159"/>
      <c r="E8" s="266"/>
      <c r="F8" s="402"/>
      <c r="G8" s="8">
        <f t="shared" si="0"/>
        <v>0</v>
      </c>
      <c r="H8" s="266"/>
      <c r="I8" s="299"/>
      <c r="J8" s="8">
        <f t="shared" si="1"/>
        <v>0</v>
      </c>
      <c r="K8" s="8">
        <f t="shared" si="2"/>
        <v>0</v>
      </c>
      <c r="L8" s="68">
        <v>0</v>
      </c>
      <c r="M8" s="40">
        <f t="shared" si="3"/>
        <v>0</v>
      </c>
      <c r="N8" s="8"/>
    </row>
    <row r="9" spans="1:14">
      <c r="A9" s="46">
        <v>6</v>
      </c>
      <c r="B9" s="219">
        <v>45753</v>
      </c>
      <c r="C9" s="67"/>
      <c r="D9" s="159"/>
      <c r="E9" s="266"/>
      <c r="F9" s="402"/>
      <c r="G9" s="8">
        <f t="shared" si="0"/>
        <v>0</v>
      </c>
      <c r="H9" s="266"/>
      <c r="I9" s="299"/>
      <c r="J9" s="8">
        <f t="shared" si="1"/>
        <v>0</v>
      </c>
      <c r="K9" s="8">
        <f t="shared" si="2"/>
        <v>0</v>
      </c>
      <c r="L9" s="68">
        <v>0</v>
      </c>
      <c r="M9" s="40">
        <f t="shared" si="3"/>
        <v>0</v>
      </c>
      <c r="N9" s="8"/>
    </row>
    <row r="10" spans="1:14">
      <c r="A10" s="46">
        <v>7</v>
      </c>
      <c r="B10" s="219">
        <v>45754</v>
      </c>
      <c r="C10" s="67"/>
      <c r="D10" s="159"/>
      <c r="E10" s="266"/>
      <c r="F10" s="402"/>
      <c r="G10" s="8">
        <f t="shared" si="0"/>
        <v>0</v>
      </c>
      <c r="H10" s="266"/>
      <c r="I10" s="299"/>
      <c r="J10" s="8">
        <f t="shared" si="1"/>
        <v>0</v>
      </c>
      <c r="K10" s="8">
        <f t="shared" si="2"/>
        <v>0</v>
      </c>
      <c r="L10" s="68">
        <v>0</v>
      </c>
      <c r="M10" s="40">
        <f t="shared" si="3"/>
        <v>0</v>
      </c>
      <c r="N10" s="8"/>
    </row>
    <row r="11" spans="1:14">
      <c r="A11" s="46">
        <v>8</v>
      </c>
      <c r="B11" s="219">
        <v>45755</v>
      </c>
      <c r="C11" s="67"/>
      <c r="D11" s="159"/>
      <c r="E11" s="266"/>
      <c r="F11" s="402"/>
      <c r="G11" s="8">
        <f t="shared" si="0"/>
        <v>0</v>
      </c>
      <c r="H11" s="266"/>
      <c r="I11" s="299"/>
      <c r="J11" s="8">
        <f t="shared" si="1"/>
        <v>0</v>
      </c>
      <c r="K11" s="8">
        <f t="shared" si="2"/>
        <v>0</v>
      </c>
      <c r="L11" s="68">
        <v>0</v>
      </c>
      <c r="M11" s="40">
        <f t="shared" si="3"/>
        <v>0</v>
      </c>
      <c r="N11" s="8"/>
    </row>
    <row r="12" spans="1:14">
      <c r="A12" s="46">
        <v>9</v>
      </c>
      <c r="B12" s="219">
        <v>45756</v>
      </c>
      <c r="C12" s="67"/>
      <c r="D12" s="159"/>
      <c r="E12" s="266"/>
      <c r="F12" s="402"/>
      <c r="G12" s="8">
        <f t="shared" si="0"/>
        <v>0</v>
      </c>
      <c r="H12" s="266"/>
      <c r="I12" s="299"/>
      <c r="J12" s="8">
        <f t="shared" si="1"/>
        <v>0</v>
      </c>
      <c r="K12" s="8">
        <f t="shared" si="2"/>
        <v>0</v>
      </c>
      <c r="L12" s="68">
        <v>0</v>
      </c>
      <c r="M12" s="40">
        <f t="shared" si="3"/>
        <v>0</v>
      </c>
      <c r="N12" s="8"/>
    </row>
    <row r="13" spans="1:14">
      <c r="A13" s="46">
        <v>10</v>
      </c>
      <c r="B13" s="219">
        <v>45757</v>
      </c>
      <c r="C13" s="67"/>
      <c r="D13" s="159"/>
      <c r="E13" s="266">
        <v>600</v>
      </c>
      <c r="F13" s="402">
        <v>96.23</v>
      </c>
      <c r="G13" s="8">
        <f t="shared" si="0"/>
        <v>57738</v>
      </c>
      <c r="H13" s="266"/>
      <c r="I13" s="299"/>
      <c r="J13" s="8">
        <f t="shared" si="1"/>
        <v>0</v>
      </c>
      <c r="K13" s="8">
        <f t="shared" si="2"/>
        <v>57738</v>
      </c>
      <c r="L13" s="68">
        <v>0</v>
      </c>
      <c r="M13" s="40">
        <f t="shared" si="3"/>
        <v>57738</v>
      </c>
      <c r="N13" s="8"/>
    </row>
    <row r="14" spans="1:14">
      <c r="A14" s="46">
        <v>11</v>
      </c>
      <c r="B14" s="219">
        <v>45758</v>
      </c>
      <c r="C14" s="67"/>
      <c r="D14" s="159"/>
      <c r="E14" s="266"/>
      <c r="F14" s="402"/>
      <c r="G14" s="8">
        <f t="shared" si="0"/>
        <v>0</v>
      </c>
      <c r="H14" s="266"/>
      <c r="I14" s="299"/>
      <c r="J14" s="8">
        <f t="shared" si="1"/>
        <v>0</v>
      </c>
      <c r="K14" s="8">
        <f t="shared" si="2"/>
        <v>0</v>
      </c>
      <c r="L14" s="68">
        <v>0</v>
      </c>
      <c r="M14" s="40">
        <f t="shared" si="3"/>
        <v>57738</v>
      </c>
      <c r="N14" s="8"/>
    </row>
    <row r="15" spans="1:14">
      <c r="A15" s="46">
        <v>12</v>
      </c>
      <c r="B15" s="219">
        <v>45759</v>
      </c>
      <c r="C15" s="67"/>
      <c r="D15" s="159"/>
      <c r="E15" s="266"/>
      <c r="F15" s="402"/>
      <c r="G15" s="8">
        <f t="shared" si="0"/>
        <v>0</v>
      </c>
      <c r="H15" s="266"/>
      <c r="I15" s="299"/>
      <c r="J15" s="8">
        <f t="shared" si="1"/>
        <v>0</v>
      </c>
      <c r="K15" s="8">
        <f t="shared" si="2"/>
        <v>0</v>
      </c>
      <c r="L15" s="68">
        <v>0</v>
      </c>
      <c r="M15" s="40">
        <f t="shared" si="3"/>
        <v>57738</v>
      </c>
      <c r="N15" s="8"/>
    </row>
    <row r="16" spans="1:14">
      <c r="A16" s="46">
        <v>13</v>
      </c>
      <c r="B16" s="219">
        <v>45760</v>
      </c>
      <c r="C16" s="67"/>
      <c r="D16" s="159"/>
      <c r="E16" s="266"/>
      <c r="F16" s="402"/>
      <c r="G16" s="8">
        <f t="shared" si="0"/>
        <v>0</v>
      </c>
      <c r="H16" s="266"/>
      <c r="I16" s="299"/>
      <c r="J16" s="8">
        <f t="shared" si="1"/>
        <v>0</v>
      </c>
      <c r="K16" s="8">
        <f t="shared" si="2"/>
        <v>0</v>
      </c>
      <c r="L16" s="68">
        <v>0</v>
      </c>
      <c r="M16" s="40">
        <f t="shared" si="3"/>
        <v>57738</v>
      </c>
      <c r="N16" s="8"/>
    </row>
    <row r="17" spans="1:14">
      <c r="A17" s="46">
        <v>14</v>
      </c>
      <c r="B17" s="219">
        <v>45761</v>
      </c>
      <c r="C17" s="67"/>
      <c r="D17" s="159"/>
      <c r="E17" s="266"/>
      <c r="F17" s="402"/>
      <c r="G17" s="8">
        <f t="shared" si="0"/>
        <v>0</v>
      </c>
      <c r="H17" s="266"/>
      <c r="I17" s="299"/>
      <c r="J17" s="8">
        <f t="shared" si="1"/>
        <v>0</v>
      </c>
      <c r="K17" s="8">
        <f t="shared" si="2"/>
        <v>0</v>
      </c>
      <c r="L17" s="68"/>
      <c r="M17" s="40">
        <f t="shared" si="3"/>
        <v>57738</v>
      </c>
      <c r="N17" s="8"/>
    </row>
    <row r="18" spans="1:14">
      <c r="A18" s="46">
        <v>15</v>
      </c>
      <c r="B18" s="219">
        <v>45762</v>
      </c>
      <c r="C18" s="67"/>
      <c r="D18" s="159"/>
      <c r="E18" s="266">
        <v>670</v>
      </c>
      <c r="F18" s="402">
        <v>96.23</v>
      </c>
      <c r="G18" s="8">
        <f t="shared" si="0"/>
        <v>64474.100000000006</v>
      </c>
      <c r="H18" s="266"/>
      <c r="I18" s="299"/>
      <c r="J18" s="8">
        <f t="shared" si="1"/>
        <v>0</v>
      </c>
      <c r="K18" s="8">
        <f t="shared" si="2"/>
        <v>64474.100000000006</v>
      </c>
      <c r="L18" s="68"/>
      <c r="M18" s="40">
        <f t="shared" si="3"/>
        <v>122212.1</v>
      </c>
      <c r="N18" s="8"/>
    </row>
    <row r="19" spans="1:14">
      <c r="A19" s="46">
        <v>16</v>
      </c>
      <c r="B19" s="219">
        <v>45763</v>
      </c>
      <c r="C19" s="67"/>
      <c r="D19" s="159"/>
      <c r="E19" s="266">
        <v>0</v>
      </c>
      <c r="F19" s="402">
        <v>96.23</v>
      </c>
      <c r="G19" s="8">
        <f t="shared" si="0"/>
        <v>0</v>
      </c>
      <c r="H19" s="266"/>
      <c r="I19" s="299"/>
      <c r="J19" s="8">
        <f t="shared" si="1"/>
        <v>0</v>
      </c>
      <c r="K19" s="8">
        <f t="shared" si="2"/>
        <v>0</v>
      </c>
      <c r="L19" s="68"/>
      <c r="M19" s="40">
        <f t="shared" si="3"/>
        <v>122212.1</v>
      </c>
      <c r="N19" s="8"/>
    </row>
    <row r="20" spans="1:14">
      <c r="A20" s="46">
        <v>17</v>
      </c>
      <c r="B20" s="219">
        <v>45764</v>
      </c>
      <c r="C20" s="67"/>
      <c r="D20" s="159"/>
      <c r="E20" s="266"/>
      <c r="F20" s="402"/>
      <c r="G20" s="8">
        <f t="shared" si="0"/>
        <v>0</v>
      </c>
      <c r="H20" s="266"/>
      <c r="I20" s="299"/>
      <c r="J20" s="8">
        <f t="shared" si="1"/>
        <v>0</v>
      </c>
      <c r="K20" s="8">
        <f t="shared" si="2"/>
        <v>0</v>
      </c>
      <c r="L20" s="68"/>
      <c r="M20" s="40">
        <f t="shared" si="3"/>
        <v>122212.1</v>
      </c>
      <c r="N20" s="8"/>
    </row>
    <row r="21" spans="1:14">
      <c r="A21" s="46">
        <v>18</v>
      </c>
      <c r="B21" s="219">
        <v>45765</v>
      </c>
      <c r="C21" s="67"/>
      <c r="D21" s="159"/>
      <c r="E21" s="266"/>
      <c r="F21" s="402"/>
      <c r="G21" s="8">
        <f t="shared" si="0"/>
        <v>0</v>
      </c>
      <c r="H21" s="266"/>
      <c r="I21" s="299"/>
      <c r="J21" s="8">
        <f t="shared" si="1"/>
        <v>0</v>
      </c>
      <c r="K21" s="8">
        <f t="shared" si="2"/>
        <v>0</v>
      </c>
      <c r="L21" s="68">
        <v>0</v>
      </c>
      <c r="M21" s="40">
        <f t="shared" si="3"/>
        <v>122212.1</v>
      </c>
      <c r="N21" s="8"/>
    </row>
    <row r="22" spans="1:14">
      <c r="A22" s="46">
        <v>19</v>
      </c>
      <c r="B22" s="219">
        <v>45766</v>
      </c>
      <c r="C22" s="67"/>
      <c r="D22" s="159"/>
      <c r="E22" s="266"/>
      <c r="F22" s="402"/>
      <c r="G22" s="8">
        <f t="shared" si="0"/>
        <v>0</v>
      </c>
      <c r="H22" s="266"/>
      <c r="I22" s="299"/>
      <c r="J22" s="8">
        <f t="shared" si="1"/>
        <v>0</v>
      </c>
      <c r="K22" s="8">
        <f t="shared" si="2"/>
        <v>0</v>
      </c>
      <c r="L22" s="68">
        <f t="shared" ref="L18:L35" si="4">+K22</f>
        <v>0</v>
      </c>
      <c r="M22" s="40">
        <f t="shared" si="3"/>
        <v>122212.1</v>
      </c>
      <c r="N22" s="8"/>
    </row>
    <row r="23" spans="1:14">
      <c r="A23" s="46">
        <v>20</v>
      </c>
      <c r="B23" s="219">
        <v>45767</v>
      </c>
      <c r="C23" s="67"/>
      <c r="D23" s="159"/>
      <c r="E23" s="266">
        <v>0</v>
      </c>
      <c r="F23" s="402">
        <v>96.23</v>
      </c>
      <c r="G23" s="8">
        <f t="shared" si="0"/>
        <v>0</v>
      </c>
      <c r="H23" s="266"/>
      <c r="I23" s="299"/>
      <c r="J23" s="8">
        <f t="shared" si="1"/>
        <v>0</v>
      </c>
      <c r="K23" s="8">
        <f t="shared" si="2"/>
        <v>0</v>
      </c>
      <c r="L23" s="68">
        <v>0</v>
      </c>
      <c r="M23" s="40">
        <f t="shared" si="3"/>
        <v>122212.1</v>
      </c>
      <c r="N23" s="8"/>
    </row>
    <row r="24" spans="1:14">
      <c r="A24" s="46">
        <v>21</v>
      </c>
      <c r="B24" s="219">
        <v>45768</v>
      </c>
      <c r="C24" s="67"/>
      <c r="D24" s="159"/>
      <c r="E24" s="266">
        <v>635</v>
      </c>
      <c r="F24" s="402">
        <v>96.23</v>
      </c>
      <c r="G24" s="8">
        <f t="shared" si="0"/>
        <v>61106.05</v>
      </c>
      <c r="H24" s="266"/>
      <c r="I24" s="299"/>
      <c r="J24" s="8">
        <f t="shared" si="1"/>
        <v>0</v>
      </c>
      <c r="K24" s="8">
        <f t="shared" si="2"/>
        <v>61106.05</v>
      </c>
      <c r="L24" s="68">
        <v>0</v>
      </c>
      <c r="M24" s="40">
        <f t="shared" si="3"/>
        <v>183318.15000000002</v>
      </c>
      <c r="N24" s="8"/>
    </row>
    <row r="25" spans="1:14">
      <c r="A25" s="46">
        <v>22</v>
      </c>
      <c r="B25" s="219">
        <v>45769</v>
      </c>
      <c r="C25" s="67"/>
      <c r="D25" s="159"/>
      <c r="E25" s="266">
        <v>670</v>
      </c>
      <c r="F25" s="402">
        <v>96.23</v>
      </c>
      <c r="G25" s="8">
        <f t="shared" si="0"/>
        <v>64474.100000000006</v>
      </c>
      <c r="H25" s="266"/>
      <c r="I25" s="299"/>
      <c r="J25" s="8">
        <f t="shared" si="1"/>
        <v>0</v>
      </c>
      <c r="K25" s="8">
        <f t="shared" si="2"/>
        <v>64474.100000000006</v>
      </c>
      <c r="L25" s="68">
        <v>0</v>
      </c>
      <c r="M25" s="40">
        <f t="shared" si="3"/>
        <v>247792.25000000003</v>
      </c>
      <c r="N25" s="8"/>
    </row>
    <row r="26" spans="1:14">
      <c r="A26" s="46">
        <v>23</v>
      </c>
      <c r="B26" s="219">
        <v>45770</v>
      </c>
      <c r="C26" s="67"/>
      <c r="D26" s="159"/>
      <c r="E26" s="266">
        <v>635</v>
      </c>
      <c r="F26" s="402">
        <v>96.23</v>
      </c>
      <c r="G26" s="8">
        <f t="shared" si="0"/>
        <v>61106.05</v>
      </c>
      <c r="H26" s="266"/>
      <c r="I26" s="299"/>
      <c r="J26" s="8">
        <f t="shared" si="1"/>
        <v>0</v>
      </c>
      <c r="K26" s="8">
        <f t="shared" si="2"/>
        <v>61106.05</v>
      </c>
      <c r="L26" s="68">
        <v>0</v>
      </c>
      <c r="M26" s="40">
        <f t="shared" si="3"/>
        <v>308898.30000000005</v>
      </c>
      <c r="N26" s="8"/>
    </row>
    <row r="27" spans="1:14">
      <c r="A27" s="46">
        <v>24</v>
      </c>
      <c r="B27" s="219">
        <v>45771</v>
      </c>
      <c r="C27" s="67"/>
      <c r="D27" s="159"/>
      <c r="E27" s="266">
        <v>0</v>
      </c>
      <c r="F27" s="402">
        <v>96.23</v>
      </c>
      <c r="G27" s="8">
        <f t="shared" si="0"/>
        <v>0</v>
      </c>
      <c r="H27" s="266"/>
      <c r="I27" s="299"/>
      <c r="J27" s="8">
        <f t="shared" si="1"/>
        <v>0</v>
      </c>
      <c r="K27" s="8">
        <f t="shared" si="2"/>
        <v>0</v>
      </c>
      <c r="L27" s="68">
        <f t="shared" si="4"/>
        <v>0</v>
      </c>
      <c r="M27" s="40">
        <f t="shared" si="3"/>
        <v>308898.30000000005</v>
      </c>
      <c r="N27" s="8"/>
    </row>
    <row r="28" spans="1:14">
      <c r="A28" s="221">
        <v>25</v>
      </c>
      <c r="B28" s="219">
        <v>45772</v>
      </c>
      <c r="C28" s="67"/>
      <c r="D28" s="159"/>
      <c r="E28" s="266">
        <v>1235</v>
      </c>
      <c r="F28" s="402">
        <v>96.23</v>
      </c>
      <c r="G28" s="8">
        <f t="shared" si="0"/>
        <v>118844.05</v>
      </c>
      <c r="H28" s="266"/>
      <c r="I28" s="299"/>
      <c r="J28" s="8">
        <f t="shared" si="1"/>
        <v>0</v>
      </c>
      <c r="K28" s="8">
        <f t="shared" si="2"/>
        <v>118844.05</v>
      </c>
      <c r="L28" s="68">
        <v>0</v>
      </c>
      <c r="M28" s="40">
        <f t="shared" si="3"/>
        <v>427742.35000000003</v>
      </c>
      <c r="N28" s="8"/>
    </row>
    <row r="29" spans="1:14">
      <c r="A29" s="221">
        <v>26</v>
      </c>
      <c r="B29" s="219">
        <v>45773</v>
      </c>
      <c r="C29" s="67"/>
      <c r="D29" s="159"/>
      <c r="E29" s="257">
        <v>0</v>
      </c>
      <c r="F29" s="257">
        <v>96.23</v>
      </c>
      <c r="G29" s="8">
        <f t="shared" si="0"/>
        <v>0</v>
      </c>
      <c r="H29" s="65"/>
      <c r="I29" s="66"/>
      <c r="J29" s="8">
        <f t="shared" si="1"/>
        <v>0</v>
      </c>
      <c r="K29" s="8">
        <f t="shared" si="2"/>
        <v>0</v>
      </c>
      <c r="L29" s="68">
        <f t="shared" si="4"/>
        <v>0</v>
      </c>
      <c r="M29" s="40">
        <f t="shared" si="3"/>
        <v>427742.35000000003</v>
      </c>
      <c r="N29" s="8"/>
    </row>
    <row r="30" spans="1:14">
      <c r="A30" s="221">
        <v>27</v>
      </c>
      <c r="B30" s="219">
        <v>45774</v>
      </c>
      <c r="C30" s="67"/>
      <c r="D30" s="159"/>
      <c r="E30" s="257"/>
      <c r="F30" s="257"/>
      <c r="G30" s="8">
        <f t="shared" si="0"/>
        <v>0</v>
      </c>
      <c r="H30" s="65"/>
      <c r="I30" s="66"/>
      <c r="J30" s="8">
        <f t="shared" si="1"/>
        <v>0</v>
      </c>
      <c r="K30" s="8">
        <f t="shared" si="2"/>
        <v>0</v>
      </c>
      <c r="L30" s="68">
        <v>400000</v>
      </c>
      <c r="M30" s="40">
        <f t="shared" si="3"/>
        <v>27742.350000000035</v>
      </c>
      <c r="N30" s="8"/>
    </row>
    <row r="31" spans="1:14">
      <c r="A31" s="221">
        <v>28</v>
      </c>
      <c r="B31" s="219">
        <v>45775</v>
      </c>
      <c r="C31" s="67"/>
      <c r="D31" s="159"/>
      <c r="E31" s="257"/>
      <c r="F31" s="257"/>
      <c r="G31" s="8">
        <f t="shared" si="0"/>
        <v>0</v>
      </c>
      <c r="H31" s="65"/>
      <c r="I31" s="66"/>
      <c r="J31" s="8">
        <f t="shared" si="1"/>
        <v>0</v>
      </c>
      <c r="K31" s="8">
        <f t="shared" si="2"/>
        <v>0</v>
      </c>
      <c r="L31" s="68">
        <f t="shared" si="4"/>
        <v>0</v>
      </c>
      <c r="M31" s="40">
        <f t="shared" si="3"/>
        <v>27742.350000000035</v>
      </c>
      <c r="N31" s="8"/>
    </row>
    <row r="32" spans="1:14">
      <c r="A32" s="222">
        <v>29</v>
      </c>
      <c r="B32" s="219">
        <v>45776</v>
      </c>
      <c r="C32" s="67"/>
      <c r="D32" s="159"/>
      <c r="E32" s="257">
        <v>721.17</v>
      </c>
      <c r="F32" s="257">
        <v>96.23</v>
      </c>
      <c r="G32" s="8">
        <f t="shared" si="0"/>
        <v>69398.189100000003</v>
      </c>
      <c r="H32" s="65"/>
      <c r="I32" s="66"/>
      <c r="J32" s="8">
        <f t="shared" si="1"/>
        <v>0</v>
      </c>
      <c r="K32" s="8">
        <f t="shared" si="2"/>
        <v>69398.189100000003</v>
      </c>
      <c r="L32" s="68">
        <v>0</v>
      </c>
      <c r="M32" s="40">
        <f t="shared" si="3"/>
        <v>97140.539100000038</v>
      </c>
      <c r="N32" s="8"/>
    </row>
    <row r="33" spans="1:14">
      <c r="A33" s="222">
        <v>30</v>
      </c>
      <c r="B33" s="219">
        <v>45777</v>
      </c>
      <c r="C33" s="67"/>
      <c r="D33" s="159"/>
      <c r="E33" s="257">
        <v>690</v>
      </c>
      <c r="F33" s="257">
        <v>96.23</v>
      </c>
      <c r="G33" s="8">
        <f t="shared" si="0"/>
        <v>66398.7</v>
      </c>
      <c r="H33" s="65"/>
      <c r="I33" s="66"/>
      <c r="J33" s="8">
        <f t="shared" si="1"/>
        <v>0</v>
      </c>
      <c r="K33" s="8">
        <f t="shared" si="2"/>
        <v>66398.7</v>
      </c>
      <c r="L33" s="68">
        <v>0</v>
      </c>
      <c r="M33" s="40">
        <f t="shared" si="3"/>
        <v>163539.23910000004</v>
      </c>
      <c r="N33" s="8"/>
    </row>
    <row r="34" spans="1:14">
      <c r="A34" s="222">
        <v>31</v>
      </c>
      <c r="B34" s="219"/>
      <c r="C34" s="67"/>
      <c r="D34" s="159"/>
      <c r="E34" s="257"/>
      <c r="F34" s="257"/>
      <c r="G34" s="8">
        <f t="shared" si="0"/>
        <v>0</v>
      </c>
      <c r="H34" s="65"/>
      <c r="I34" s="66"/>
      <c r="J34" s="8">
        <f t="shared" si="1"/>
        <v>0</v>
      </c>
      <c r="K34" s="8">
        <f t="shared" si="2"/>
        <v>0</v>
      </c>
      <c r="L34" s="68">
        <f t="shared" si="4"/>
        <v>0</v>
      </c>
      <c r="M34" s="40">
        <f t="shared" si="3"/>
        <v>163539.23910000004</v>
      </c>
      <c r="N34" s="8"/>
    </row>
    <row r="35" spans="1:14">
      <c r="A35" s="62"/>
      <c r="B35" s="62"/>
      <c r="C35" s="62"/>
      <c r="D35" s="62"/>
      <c r="E35" s="258">
        <f>SUM(E4:E34)</f>
        <v>5856.17</v>
      </c>
      <c r="F35" s="258"/>
      <c r="G35" s="63">
        <f>SUM(G4:G34)</f>
        <v>563539.23910000001</v>
      </c>
      <c r="H35" s="63">
        <f>SUM(H4:H34)</f>
        <v>0</v>
      </c>
      <c r="I35" s="63"/>
      <c r="J35" s="63">
        <f>SUM(J4:J34)</f>
        <v>0</v>
      </c>
      <c r="K35" s="63">
        <f>SUM(K4:K34)</f>
        <v>563539.23910000001</v>
      </c>
      <c r="L35" s="63">
        <f>SUM(L4:L34)</f>
        <v>400000</v>
      </c>
      <c r="M35" s="63"/>
      <c r="N35" s="63"/>
    </row>
  </sheetData>
  <mergeCells count="2">
    <mergeCell ref="A1:N1"/>
    <mergeCell ref="A3:L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4B5FC-498B-436F-8583-E7EB19A18DD4}">
  <dimension ref="A1:N35"/>
  <sheetViews>
    <sheetView topLeftCell="A24" workbookViewId="0">
      <selection activeCell="N32" sqref="N32"/>
    </sheetView>
  </sheetViews>
  <sheetFormatPr defaultRowHeight="15"/>
  <cols>
    <col min="4" max="4" width="9.28515625" customWidth="1"/>
    <col min="7" max="7" width="12" customWidth="1"/>
    <col min="11" max="11" width="13.28515625" customWidth="1"/>
    <col min="12" max="12" width="12" customWidth="1"/>
  </cols>
  <sheetData>
    <row r="1" spans="1:14" ht="15.75">
      <c r="A1" s="481" t="s">
        <v>211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</row>
    <row r="2" spans="1:14" ht="30.75">
      <c r="A2" s="98" t="s">
        <v>0</v>
      </c>
      <c r="B2" s="99" t="s">
        <v>164</v>
      </c>
      <c r="C2" s="99" t="s">
        <v>165</v>
      </c>
      <c r="D2" s="99" t="s">
        <v>208</v>
      </c>
      <c r="E2" s="256" t="s">
        <v>167</v>
      </c>
      <c r="F2" s="256" t="s">
        <v>168</v>
      </c>
      <c r="G2" s="99" t="s">
        <v>169</v>
      </c>
      <c r="H2" s="99" t="s">
        <v>170</v>
      </c>
      <c r="I2" s="99" t="s">
        <v>168</v>
      </c>
      <c r="J2" s="138" t="s">
        <v>169</v>
      </c>
      <c r="K2" s="100" t="s">
        <v>171</v>
      </c>
      <c r="L2" s="139" t="s">
        <v>172</v>
      </c>
      <c r="M2" s="143" t="s">
        <v>209</v>
      </c>
      <c r="N2" s="101" t="s">
        <v>174</v>
      </c>
    </row>
    <row r="3" spans="1:14">
      <c r="A3" s="482" t="s">
        <v>175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4"/>
      <c r="M3" s="148">
        <v>0</v>
      </c>
      <c r="N3" s="156"/>
    </row>
    <row r="4" spans="1:14">
      <c r="A4" s="196">
        <v>1</v>
      </c>
      <c r="B4" s="219">
        <v>45748</v>
      </c>
      <c r="C4" s="67"/>
      <c r="D4" s="159"/>
      <c r="E4" s="266"/>
      <c r="F4" s="402"/>
      <c r="G4" s="8">
        <f t="shared" ref="G4:G34" si="0">E4*F4</f>
        <v>0</v>
      </c>
      <c r="H4" s="266"/>
      <c r="I4" s="299"/>
      <c r="J4" s="8">
        <f>H4*I4</f>
        <v>0</v>
      </c>
      <c r="K4" s="8">
        <f>G4+J4</f>
        <v>0</v>
      </c>
      <c r="L4" s="68">
        <v>0</v>
      </c>
      <c r="M4" s="40">
        <f>M3+K4-L4</f>
        <v>0</v>
      </c>
      <c r="N4" s="8"/>
    </row>
    <row r="5" spans="1:14">
      <c r="A5" s="46">
        <v>2</v>
      </c>
      <c r="B5" s="219">
        <v>45749</v>
      </c>
      <c r="C5" s="67"/>
      <c r="D5" s="159"/>
      <c r="E5" s="266"/>
      <c r="F5" s="402"/>
      <c r="G5" s="8">
        <f t="shared" si="0"/>
        <v>0</v>
      </c>
      <c r="H5" s="266"/>
      <c r="I5" s="299"/>
      <c r="J5" s="8">
        <f t="shared" ref="J5:J34" si="1">H5*I5</f>
        <v>0</v>
      </c>
      <c r="K5" s="8">
        <f t="shared" ref="K5:K34" si="2">G5+J5</f>
        <v>0</v>
      </c>
      <c r="L5" s="68">
        <v>0</v>
      </c>
      <c r="M5" s="40">
        <f t="shared" ref="M5:M33" si="3">M4+K5-L5</f>
        <v>0</v>
      </c>
      <c r="N5" s="8"/>
    </row>
    <row r="6" spans="1:14">
      <c r="A6" s="46">
        <v>3</v>
      </c>
      <c r="B6" s="219">
        <v>45750</v>
      </c>
      <c r="C6" s="67"/>
      <c r="D6" s="159"/>
      <c r="E6" s="266"/>
      <c r="F6" s="402"/>
      <c r="G6" s="8">
        <f t="shared" si="0"/>
        <v>0</v>
      </c>
      <c r="H6" s="266"/>
      <c r="I6" s="299"/>
      <c r="J6" s="8">
        <f t="shared" si="1"/>
        <v>0</v>
      </c>
      <c r="K6" s="8">
        <f t="shared" si="2"/>
        <v>0</v>
      </c>
      <c r="L6" s="68">
        <v>0</v>
      </c>
      <c r="M6" s="40">
        <f t="shared" si="3"/>
        <v>0</v>
      </c>
      <c r="N6" s="8"/>
    </row>
    <row r="7" spans="1:14">
      <c r="A7" s="46">
        <v>4</v>
      </c>
      <c r="B7" s="219">
        <v>45751</v>
      </c>
      <c r="C7" s="67"/>
      <c r="D7" s="159"/>
      <c r="E7" s="266"/>
      <c r="F7" s="402"/>
      <c r="G7" s="8">
        <f t="shared" si="0"/>
        <v>0</v>
      </c>
      <c r="H7" s="266"/>
      <c r="I7" s="299"/>
      <c r="J7" s="8">
        <f t="shared" si="1"/>
        <v>0</v>
      </c>
      <c r="K7" s="8">
        <f t="shared" si="2"/>
        <v>0</v>
      </c>
      <c r="L7" s="68">
        <v>0</v>
      </c>
      <c r="M7" s="40">
        <f t="shared" si="3"/>
        <v>0</v>
      </c>
      <c r="N7" s="8"/>
    </row>
    <row r="8" spans="1:14">
      <c r="A8" s="46">
        <v>5</v>
      </c>
      <c r="B8" s="219">
        <v>45752</v>
      </c>
      <c r="C8" s="67"/>
      <c r="D8" s="159"/>
      <c r="E8" s="266"/>
      <c r="F8" s="402"/>
      <c r="G8" s="8">
        <f t="shared" si="0"/>
        <v>0</v>
      </c>
      <c r="H8" s="266"/>
      <c r="I8" s="299"/>
      <c r="J8" s="8">
        <f t="shared" si="1"/>
        <v>0</v>
      </c>
      <c r="K8" s="8">
        <f t="shared" si="2"/>
        <v>0</v>
      </c>
      <c r="L8" s="68">
        <v>0</v>
      </c>
      <c r="M8" s="40">
        <f t="shared" si="3"/>
        <v>0</v>
      </c>
      <c r="N8" s="8"/>
    </row>
    <row r="9" spans="1:14">
      <c r="A9" s="46">
        <v>6</v>
      </c>
      <c r="B9" s="219">
        <v>45753</v>
      </c>
      <c r="C9" s="67"/>
      <c r="D9" s="159"/>
      <c r="E9" s="266"/>
      <c r="F9" s="402"/>
      <c r="G9" s="8">
        <f t="shared" si="0"/>
        <v>0</v>
      </c>
      <c r="H9" s="266"/>
      <c r="I9" s="299"/>
      <c r="J9" s="8">
        <f t="shared" si="1"/>
        <v>0</v>
      </c>
      <c r="K9" s="8">
        <f t="shared" si="2"/>
        <v>0</v>
      </c>
      <c r="L9" s="68">
        <v>0</v>
      </c>
      <c r="M9" s="40">
        <f t="shared" si="3"/>
        <v>0</v>
      </c>
      <c r="N9" s="8"/>
    </row>
    <row r="10" spans="1:14">
      <c r="A10" s="46">
        <v>7</v>
      </c>
      <c r="B10" s="219">
        <v>45754</v>
      </c>
      <c r="C10" s="67"/>
      <c r="D10" s="159"/>
      <c r="E10" s="266">
        <v>200</v>
      </c>
      <c r="F10" s="402">
        <v>97</v>
      </c>
      <c r="G10" s="8">
        <f t="shared" si="0"/>
        <v>19400</v>
      </c>
      <c r="H10" s="266"/>
      <c r="I10" s="299"/>
      <c r="J10" s="8">
        <f t="shared" si="1"/>
        <v>0</v>
      </c>
      <c r="K10" s="8">
        <f t="shared" si="2"/>
        <v>19400</v>
      </c>
      <c r="L10" s="68">
        <v>19400</v>
      </c>
      <c r="M10" s="40">
        <f t="shared" si="3"/>
        <v>0</v>
      </c>
      <c r="N10" s="8" t="s">
        <v>212</v>
      </c>
    </row>
    <row r="11" spans="1:14">
      <c r="A11" s="46">
        <v>8</v>
      </c>
      <c r="B11" s="219">
        <v>45755</v>
      </c>
      <c r="C11" s="67"/>
      <c r="D11" s="159"/>
      <c r="E11" s="266"/>
      <c r="F11" s="402"/>
      <c r="G11" s="8">
        <f t="shared" si="0"/>
        <v>0</v>
      </c>
      <c r="H11" s="266"/>
      <c r="I11" s="299"/>
      <c r="J11" s="8">
        <f t="shared" si="1"/>
        <v>0</v>
      </c>
      <c r="K11" s="8">
        <f t="shared" si="2"/>
        <v>0</v>
      </c>
      <c r="L11" s="68">
        <v>0</v>
      </c>
      <c r="M11" s="40">
        <f t="shared" si="3"/>
        <v>0</v>
      </c>
      <c r="N11" s="8"/>
    </row>
    <row r="12" spans="1:14">
      <c r="A12" s="46">
        <v>9</v>
      </c>
      <c r="B12" s="219">
        <v>45756</v>
      </c>
      <c r="C12" s="67"/>
      <c r="D12" s="159"/>
      <c r="E12" s="266"/>
      <c r="F12" s="402"/>
      <c r="G12" s="8">
        <f t="shared" si="0"/>
        <v>0</v>
      </c>
      <c r="H12" s="266"/>
      <c r="I12" s="299"/>
      <c r="J12" s="8">
        <f t="shared" si="1"/>
        <v>0</v>
      </c>
      <c r="K12" s="8">
        <f t="shared" si="2"/>
        <v>0</v>
      </c>
      <c r="L12" s="68">
        <v>0</v>
      </c>
      <c r="M12" s="40">
        <f t="shared" si="3"/>
        <v>0</v>
      </c>
      <c r="N12" s="8"/>
    </row>
    <row r="13" spans="1:14">
      <c r="A13" s="46">
        <v>10</v>
      </c>
      <c r="B13" s="219">
        <v>45757</v>
      </c>
      <c r="C13" s="67"/>
      <c r="D13" s="159"/>
      <c r="E13" s="266"/>
      <c r="F13" s="402"/>
      <c r="G13" s="8">
        <f t="shared" si="0"/>
        <v>0</v>
      </c>
      <c r="H13" s="266"/>
      <c r="I13" s="299"/>
      <c r="J13" s="8">
        <f t="shared" si="1"/>
        <v>0</v>
      </c>
      <c r="K13" s="8">
        <f t="shared" si="2"/>
        <v>0</v>
      </c>
      <c r="L13" s="68">
        <v>0</v>
      </c>
      <c r="M13" s="40">
        <f t="shared" si="3"/>
        <v>0</v>
      </c>
      <c r="N13" s="8"/>
    </row>
    <row r="14" spans="1:14">
      <c r="A14" s="46">
        <v>11</v>
      </c>
      <c r="B14" s="219">
        <v>45758</v>
      </c>
      <c r="C14" s="67"/>
      <c r="D14" s="159"/>
      <c r="E14" s="266"/>
      <c r="F14" s="402"/>
      <c r="G14" s="8">
        <f t="shared" si="0"/>
        <v>0</v>
      </c>
      <c r="H14" s="266"/>
      <c r="I14" s="299"/>
      <c r="J14" s="8">
        <f t="shared" si="1"/>
        <v>0</v>
      </c>
      <c r="K14" s="8">
        <f t="shared" si="2"/>
        <v>0</v>
      </c>
      <c r="L14" s="68">
        <v>0</v>
      </c>
      <c r="M14" s="40">
        <f t="shared" si="3"/>
        <v>0</v>
      </c>
      <c r="N14" s="8"/>
    </row>
    <row r="15" spans="1:14">
      <c r="A15" s="46">
        <v>12</v>
      </c>
      <c r="B15" s="219">
        <v>45759</v>
      </c>
      <c r="C15" s="67"/>
      <c r="D15" s="159"/>
      <c r="E15" s="266"/>
      <c r="F15" s="402"/>
      <c r="G15" s="8">
        <f t="shared" si="0"/>
        <v>0</v>
      </c>
      <c r="H15" s="266"/>
      <c r="I15" s="299"/>
      <c r="J15" s="8">
        <f t="shared" si="1"/>
        <v>0</v>
      </c>
      <c r="K15" s="8">
        <f t="shared" si="2"/>
        <v>0</v>
      </c>
      <c r="L15" s="68">
        <v>0</v>
      </c>
      <c r="M15" s="40">
        <f t="shared" si="3"/>
        <v>0</v>
      </c>
      <c r="N15" s="8"/>
    </row>
    <row r="16" spans="1:14">
      <c r="A16" s="46">
        <v>13</v>
      </c>
      <c r="B16" s="219">
        <v>45760</v>
      </c>
      <c r="C16" s="67"/>
      <c r="D16" s="159"/>
      <c r="E16" s="266"/>
      <c r="F16" s="402"/>
      <c r="G16" s="8">
        <f t="shared" si="0"/>
        <v>0</v>
      </c>
      <c r="H16" s="266"/>
      <c r="I16" s="299"/>
      <c r="J16" s="8">
        <f t="shared" si="1"/>
        <v>0</v>
      </c>
      <c r="K16" s="8">
        <f t="shared" si="2"/>
        <v>0</v>
      </c>
      <c r="L16" s="68">
        <v>0</v>
      </c>
      <c r="M16" s="40">
        <f t="shared" si="3"/>
        <v>0</v>
      </c>
      <c r="N16" s="8"/>
    </row>
    <row r="17" spans="1:14">
      <c r="A17" s="46">
        <v>14</v>
      </c>
      <c r="B17" s="219">
        <v>45761</v>
      </c>
      <c r="C17" s="67"/>
      <c r="D17" s="159"/>
      <c r="E17" s="266"/>
      <c r="F17" s="402"/>
      <c r="G17" s="8">
        <f t="shared" si="0"/>
        <v>0</v>
      </c>
      <c r="H17" s="266"/>
      <c r="I17" s="299"/>
      <c r="J17" s="8">
        <f t="shared" si="1"/>
        <v>0</v>
      </c>
      <c r="K17" s="8">
        <f t="shared" si="2"/>
        <v>0</v>
      </c>
      <c r="L17" s="68"/>
      <c r="M17" s="40">
        <f t="shared" si="3"/>
        <v>0</v>
      </c>
      <c r="N17" s="8"/>
    </row>
    <row r="18" spans="1:14">
      <c r="A18" s="46">
        <v>15</v>
      </c>
      <c r="B18" s="219">
        <v>45762</v>
      </c>
      <c r="C18" s="67"/>
      <c r="D18" s="159"/>
      <c r="E18" s="266"/>
      <c r="F18" s="402"/>
      <c r="G18" s="8">
        <f t="shared" si="0"/>
        <v>0</v>
      </c>
      <c r="H18" s="266"/>
      <c r="I18" s="299"/>
      <c r="J18" s="8">
        <f t="shared" si="1"/>
        <v>0</v>
      </c>
      <c r="K18" s="8">
        <f t="shared" si="2"/>
        <v>0</v>
      </c>
      <c r="L18" s="68">
        <f t="shared" ref="L18:L35" si="4">+K18</f>
        <v>0</v>
      </c>
      <c r="M18" s="40">
        <f t="shared" si="3"/>
        <v>0</v>
      </c>
      <c r="N18" s="8"/>
    </row>
    <row r="19" spans="1:14">
      <c r="A19" s="46">
        <v>16</v>
      </c>
      <c r="B19" s="219">
        <v>45763</v>
      </c>
      <c r="C19" s="67"/>
      <c r="D19" s="159"/>
      <c r="E19" s="266"/>
      <c r="F19" s="402"/>
      <c r="G19" s="8">
        <f t="shared" si="0"/>
        <v>0</v>
      </c>
      <c r="H19" s="266"/>
      <c r="I19" s="299"/>
      <c r="J19" s="8">
        <f t="shared" si="1"/>
        <v>0</v>
      </c>
      <c r="K19" s="8">
        <f t="shared" si="2"/>
        <v>0</v>
      </c>
      <c r="L19" s="68"/>
      <c r="M19" s="40">
        <f t="shared" si="3"/>
        <v>0</v>
      </c>
      <c r="N19" s="8"/>
    </row>
    <row r="20" spans="1:14">
      <c r="A20" s="46">
        <v>17</v>
      </c>
      <c r="B20" s="219">
        <v>45764</v>
      </c>
      <c r="C20" s="67"/>
      <c r="D20" s="159"/>
      <c r="E20" s="266"/>
      <c r="F20" s="402"/>
      <c r="G20" s="8">
        <f t="shared" si="0"/>
        <v>0</v>
      </c>
      <c r="H20" s="266"/>
      <c r="I20" s="299"/>
      <c r="J20" s="8">
        <f t="shared" si="1"/>
        <v>0</v>
      </c>
      <c r="K20" s="8"/>
      <c r="L20" s="68"/>
      <c r="M20" s="40">
        <f t="shared" si="3"/>
        <v>0</v>
      </c>
      <c r="N20" s="8"/>
    </row>
    <row r="21" spans="1:14">
      <c r="A21" s="46">
        <v>18</v>
      </c>
      <c r="B21" s="219">
        <v>45765</v>
      </c>
      <c r="C21" s="67"/>
      <c r="D21" s="159"/>
      <c r="E21" s="266"/>
      <c r="F21" s="402"/>
      <c r="G21" s="8">
        <f t="shared" si="0"/>
        <v>0</v>
      </c>
      <c r="H21" s="266"/>
      <c r="I21" s="299"/>
      <c r="J21" s="8">
        <f t="shared" si="1"/>
        <v>0</v>
      </c>
      <c r="K21" s="8"/>
      <c r="L21" s="68"/>
      <c r="M21" s="40">
        <f t="shared" si="3"/>
        <v>0</v>
      </c>
      <c r="N21" s="8"/>
    </row>
    <row r="22" spans="1:14">
      <c r="A22" s="46">
        <v>19</v>
      </c>
      <c r="B22" s="219">
        <v>45766</v>
      </c>
      <c r="C22" s="67"/>
      <c r="D22" s="159"/>
      <c r="E22" s="266"/>
      <c r="F22" s="402"/>
      <c r="G22" s="8">
        <f t="shared" si="0"/>
        <v>0</v>
      </c>
      <c r="H22" s="266"/>
      <c r="I22" s="299"/>
      <c r="J22" s="8">
        <f t="shared" si="1"/>
        <v>0</v>
      </c>
      <c r="K22" s="8"/>
      <c r="L22" s="68"/>
      <c r="M22" s="40">
        <f t="shared" si="3"/>
        <v>0</v>
      </c>
      <c r="N22" s="8"/>
    </row>
    <row r="23" spans="1:14">
      <c r="A23" s="46">
        <v>20</v>
      </c>
      <c r="B23" s="219">
        <v>45767</v>
      </c>
      <c r="C23" s="67"/>
      <c r="D23" s="159"/>
      <c r="E23" s="266"/>
      <c r="F23" s="402"/>
      <c r="G23" s="8">
        <f t="shared" si="0"/>
        <v>0</v>
      </c>
      <c r="H23" s="266"/>
      <c r="I23" s="299"/>
      <c r="J23" s="8">
        <f t="shared" si="1"/>
        <v>0</v>
      </c>
      <c r="K23" s="8"/>
      <c r="L23" s="68"/>
      <c r="M23" s="40">
        <f t="shared" si="3"/>
        <v>0</v>
      </c>
      <c r="N23" s="8"/>
    </row>
    <row r="24" spans="1:14">
      <c r="A24" s="46">
        <v>21</v>
      </c>
      <c r="B24" s="219">
        <v>45768</v>
      </c>
      <c r="C24" s="67"/>
      <c r="D24" s="159"/>
      <c r="E24" s="266"/>
      <c r="F24" s="402"/>
      <c r="G24" s="8">
        <f t="shared" si="0"/>
        <v>0</v>
      </c>
      <c r="H24" s="266"/>
      <c r="I24" s="299"/>
      <c r="J24" s="8">
        <f t="shared" si="1"/>
        <v>0</v>
      </c>
      <c r="K24" s="8"/>
      <c r="L24" s="68"/>
      <c r="M24" s="40">
        <f t="shared" si="3"/>
        <v>0</v>
      </c>
      <c r="N24" s="8"/>
    </row>
    <row r="25" spans="1:14">
      <c r="A25" s="46">
        <v>22</v>
      </c>
      <c r="B25" s="219">
        <v>45769</v>
      </c>
      <c r="C25" s="67"/>
      <c r="D25" s="159"/>
      <c r="E25" s="266"/>
      <c r="F25" s="402"/>
      <c r="G25" s="8">
        <f t="shared" si="0"/>
        <v>0</v>
      </c>
      <c r="H25" s="266"/>
      <c r="I25" s="299"/>
      <c r="J25" s="8">
        <f t="shared" si="1"/>
        <v>0</v>
      </c>
      <c r="K25" s="8">
        <f t="shared" si="2"/>
        <v>0</v>
      </c>
      <c r="L25" s="68">
        <f t="shared" si="4"/>
        <v>0</v>
      </c>
      <c r="M25" s="40">
        <f t="shared" si="3"/>
        <v>0</v>
      </c>
      <c r="N25" s="8"/>
    </row>
    <row r="26" spans="1:14">
      <c r="A26" s="46">
        <v>23</v>
      </c>
      <c r="B26" s="219">
        <v>45770</v>
      </c>
      <c r="C26" s="67"/>
      <c r="D26" s="159"/>
      <c r="E26" s="266"/>
      <c r="F26" s="402"/>
      <c r="G26" s="8">
        <f t="shared" si="0"/>
        <v>0</v>
      </c>
      <c r="H26" s="266"/>
      <c r="I26" s="299"/>
      <c r="J26" s="8">
        <f t="shared" si="1"/>
        <v>0</v>
      </c>
      <c r="K26" s="8">
        <f t="shared" si="2"/>
        <v>0</v>
      </c>
      <c r="L26" s="68">
        <f t="shared" si="4"/>
        <v>0</v>
      </c>
      <c r="M26" s="40">
        <f t="shared" si="3"/>
        <v>0</v>
      </c>
      <c r="N26" s="8"/>
    </row>
    <row r="27" spans="1:14">
      <c r="A27" s="46">
        <v>24</v>
      </c>
      <c r="B27" s="219">
        <v>45771</v>
      </c>
      <c r="C27" s="67"/>
      <c r="D27" s="159"/>
      <c r="E27" s="266"/>
      <c r="F27" s="402"/>
      <c r="G27" s="8">
        <f t="shared" si="0"/>
        <v>0</v>
      </c>
      <c r="H27" s="266"/>
      <c r="I27" s="299"/>
      <c r="J27" s="8">
        <f t="shared" si="1"/>
        <v>0</v>
      </c>
      <c r="K27" s="8">
        <f t="shared" si="2"/>
        <v>0</v>
      </c>
      <c r="L27" s="68">
        <f t="shared" si="4"/>
        <v>0</v>
      </c>
      <c r="M27" s="40">
        <f t="shared" si="3"/>
        <v>0</v>
      </c>
      <c r="N27" s="8"/>
    </row>
    <row r="28" spans="1:14">
      <c r="A28" s="221">
        <v>25</v>
      </c>
      <c r="B28" s="219">
        <v>45772</v>
      </c>
      <c r="C28" s="67"/>
      <c r="D28" s="159"/>
      <c r="E28" s="266"/>
      <c r="F28" s="402"/>
      <c r="G28" s="8">
        <f t="shared" si="0"/>
        <v>0</v>
      </c>
      <c r="H28" s="266"/>
      <c r="I28" s="299"/>
      <c r="J28" s="8">
        <f t="shared" si="1"/>
        <v>0</v>
      </c>
      <c r="K28" s="8">
        <f t="shared" si="2"/>
        <v>0</v>
      </c>
      <c r="L28" s="68">
        <f t="shared" si="4"/>
        <v>0</v>
      </c>
      <c r="M28" s="40">
        <f t="shared" si="3"/>
        <v>0</v>
      </c>
      <c r="N28" s="8"/>
    </row>
    <row r="29" spans="1:14">
      <c r="A29" s="221">
        <v>26</v>
      </c>
      <c r="B29" s="219">
        <v>45773</v>
      </c>
      <c r="C29" s="67"/>
      <c r="D29" s="159"/>
      <c r="E29" s="257"/>
      <c r="F29" s="257"/>
      <c r="G29" s="8">
        <f t="shared" si="0"/>
        <v>0</v>
      </c>
      <c r="H29" s="65"/>
      <c r="I29" s="66"/>
      <c r="J29" s="8">
        <f t="shared" si="1"/>
        <v>0</v>
      </c>
      <c r="K29" s="8">
        <f t="shared" si="2"/>
        <v>0</v>
      </c>
      <c r="L29" s="68">
        <f t="shared" si="4"/>
        <v>0</v>
      </c>
      <c r="M29" s="40">
        <f t="shared" si="3"/>
        <v>0</v>
      </c>
      <c r="N29" s="8"/>
    </row>
    <row r="30" spans="1:14">
      <c r="A30" s="221">
        <v>27</v>
      </c>
      <c r="B30" s="219">
        <v>45774</v>
      </c>
      <c r="C30" s="67"/>
      <c r="D30" s="159"/>
      <c r="E30" s="257"/>
      <c r="F30" s="257"/>
      <c r="G30" s="8">
        <f t="shared" si="0"/>
        <v>0</v>
      </c>
      <c r="H30" s="65"/>
      <c r="I30" s="66"/>
      <c r="J30" s="8">
        <f t="shared" si="1"/>
        <v>0</v>
      </c>
      <c r="K30" s="8">
        <f t="shared" si="2"/>
        <v>0</v>
      </c>
      <c r="L30" s="68">
        <f t="shared" si="4"/>
        <v>0</v>
      </c>
      <c r="M30" s="40">
        <f t="shared" si="3"/>
        <v>0</v>
      </c>
      <c r="N30" s="8"/>
    </row>
    <row r="31" spans="1:14">
      <c r="A31" s="221">
        <v>28</v>
      </c>
      <c r="B31" s="219">
        <v>45775</v>
      </c>
      <c r="C31" s="67"/>
      <c r="D31" s="159"/>
      <c r="E31" s="257"/>
      <c r="F31" s="257"/>
      <c r="G31" s="8">
        <f t="shared" si="0"/>
        <v>0</v>
      </c>
      <c r="H31" s="65"/>
      <c r="I31" s="66"/>
      <c r="J31" s="8">
        <f t="shared" si="1"/>
        <v>0</v>
      </c>
      <c r="K31" s="8">
        <f t="shared" si="2"/>
        <v>0</v>
      </c>
      <c r="L31" s="68">
        <f t="shared" si="4"/>
        <v>0</v>
      </c>
      <c r="M31" s="40">
        <f t="shared" si="3"/>
        <v>0</v>
      </c>
      <c r="N31" s="8"/>
    </row>
    <row r="32" spans="1:14">
      <c r="A32" s="222">
        <v>29</v>
      </c>
      <c r="B32" s="219">
        <v>45776</v>
      </c>
      <c r="C32" s="67"/>
      <c r="D32" s="159"/>
      <c r="E32" s="257">
        <v>100</v>
      </c>
      <c r="F32" s="257">
        <v>97</v>
      </c>
      <c r="G32" s="8">
        <f t="shared" si="0"/>
        <v>9700</v>
      </c>
      <c r="H32" s="65"/>
      <c r="I32" s="66"/>
      <c r="J32" s="8">
        <f t="shared" si="1"/>
        <v>0</v>
      </c>
      <c r="K32" s="8">
        <f t="shared" si="2"/>
        <v>9700</v>
      </c>
      <c r="L32" s="68">
        <f t="shared" si="4"/>
        <v>9700</v>
      </c>
      <c r="M32" s="40">
        <f t="shared" si="3"/>
        <v>0</v>
      </c>
      <c r="N32" s="8" t="s">
        <v>212</v>
      </c>
    </row>
    <row r="33" spans="1:14">
      <c r="A33" s="222">
        <v>30</v>
      </c>
      <c r="B33" s="219">
        <v>45777</v>
      </c>
      <c r="C33" s="67"/>
      <c r="D33" s="159"/>
      <c r="E33" s="257"/>
      <c r="F33" s="257"/>
      <c r="G33" s="8">
        <f t="shared" si="0"/>
        <v>0</v>
      </c>
      <c r="H33" s="65"/>
      <c r="I33" s="66"/>
      <c r="J33" s="8">
        <f t="shared" si="1"/>
        <v>0</v>
      </c>
      <c r="K33" s="8">
        <f t="shared" si="2"/>
        <v>0</v>
      </c>
      <c r="L33" s="68">
        <f t="shared" si="4"/>
        <v>0</v>
      </c>
      <c r="M33" s="40">
        <f t="shared" si="3"/>
        <v>0</v>
      </c>
      <c r="N33" s="8"/>
    </row>
    <row r="34" spans="1:14">
      <c r="A34" s="222">
        <v>31</v>
      </c>
      <c r="B34" s="219"/>
      <c r="C34" s="67"/>
      <c r="D34" s="159"/>
      <c r="E34" s="257"/>
      <c r="F34" s="257"/>
      <c r="G34" s="8">
        <f t="shared" si="0"/>
        <v>0</v>
      </c>
      <c r="H34" s="65"/>
      <c r="I34" s="66"/>
      <c r="J34" s="8">
        <f t="shared" si="1"/>
        <v>0</v>
      </c>
      <c r="K34" s="8">
        <f t="shared" si="2"/>
        <v>0</v>
      </c>
      <c r="L34" s="68">
        <f t="shared" si="4"/>
        <v>0</v>
      </c>
      <c r="M34" s="68">
        <v>0</v>
      </c>
      <c r="N34" s="8"/>
    </row>
    <row r="35" spans="1:14">
      <c r="A35" s="62"/>
      <c r="B35" s="62"/>
      <c r="C35" s="62"/>
      <c r="D35" s="62"/>
      <c r="E35" s="258">
        <f>SUM(E4:E34)</f>
        <v>300</v>
      </c>
      <c r="F35" s="258"/>
      <c r="G35" s="63">
        <f>SUM(G4:G34)</f>
        <v>29100</v>
      </c>
      <c r="H35" s="63">
        <f>SUM(H4:H34)</f>
        <v>0</v>
      </c>
      <c r="I35" s="63"/>
      <c r="J35" s="63">
        <f>SUM(J4:J34)</f>
        <v>0</v>
      </c>
      <c r="K35" s="63">
        <f>SUM(K4:K34)</f>
        <v>29100</v>
      </c>
      <c r="L35" s="63">
        <f>SUM(L4:L34)</f>
        <v>29100</v>
      </c>
      <c r="M35" s="63"/>
      <c r="N35" s="63"/>
    </row>
  </sheetData>
  <mergeCells count="2">
    <mergeCell ref="A1:N1"/>
    <mergeCell ref="A3:L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13C3-8F2A-43C8-ABCD-FE8AB65C47D7}">
  <dimension ref="A1:R44"/>
  <sheetViews>
    <sheetView topLeftCell="D1" workbookViewId="0">
      <selection activeCell="J33" sqref="J33"/>
    </sheetView>
  </sheetViews>
  <sheetFormatPr defaultRowHeight="15"/>
  <cols>
    <col min="1" max="1" width="5.140625" bestFit="1" customWidth="1"/>
    <col min="2" max="2" width="10.5703125" bestFit="1" customWidth="1"/>
    <col min="3" max="3" width="8" bestFit="1" customWidth="1"/>
    <col min="4" max="4" width="17.85546875" customWidth="1"/>
    <col min="5" max="5" width="15" customWidth="1"/>
    <col min="6" max="6" width="7.5703125" customWidth="1"/>
    <col min="7" max="7" width="10.7109375" customWidth="1"/>
    <col min="8" max="8" width="11.140625" customWidth="1"/>
    <col min="9" max="9" width="8.42578125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481" t="s">
        <v>92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82"/>
    </row>
    <row r="2" spans="1:18">
      <c r="A2" s="98" t="s">
        <v>0</v>
      </c>
      <c r="B2" s="99" t="s">
        <v>164</v>
      </c>
      <c r="C2" s="99" t="s">
        <v>165</v>
      </c>
      <c r="D2" s="99" t="s">
        <v>208</v>
      </c>
      <c r="E2" s="256" t="s">
        <v>167</v>
      </c>
      <c r="F2" s="256" t="s">
        <v>168</v>
      </c>
      <c r="G2" s="99" t="s">
        <v>169</v>
      </c>
      <c r="H2" s="99" t="s">
        <v>170</v>
      </c>
      <c r="I2" s="99" t="s">
        <v>168</v>
      </c>
      <c r="J2" s="138" t="s">
        <v>169</v>
      </c>
      <c r="K2" s="100" t="s">
        <v>171</v>
      </c>
      <c r="L2" s="139" t="s">
        <v>172</v>
      </c>
      <c r="M2" s="143" t="s">
        <v>209</v>
      </c>
      <c r="N2" s="101" t="s">
        <v>174</v>
      </c>
      <c r="O2" s="59"/>
    </row>
    <row r="3" spans="1:18">
      <c r="A3" s="482" t="s">
        <v>175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4"/>
      <c r="M3" s="148">
        <v>0</v>
      </c>
      <c r="N3" s="156"/>
      <c r="O3" s="59"/>
    </row>
    <row r="4" spans="1:18">
      <c r="A4" s="196">
        <v>1</v>
      </c>
      <c r="B4" s="219">
        <v>45748</v>
      </c>
      <c r="C4" s="67"/>
      <c r="D4" s="159"/>
      <c r="E4" s="257"/>
      <c r="F4" s="257"/>
      <c r="G4" s="8">
        <f t="shared" ref="G4" si="0">E4*F4</f>
        <v>0</v>
      </c>
      <c r="H4" s="65">
        <v>0</v>
      </c>
      <c r="I4" s="66">
        <v>0</v>
      </c>
      <c r="J4" s="8">
        <f>H4*I4</f>
        <v>0</v>
      </c>
      <c r="K4" s="8">
        <f>G4+J4</f>
        <v>0</v>
      </c>
      <c r="L4" s="68">
        <f>+K4</f>
        <v>0</v>
      </c>
      <c r="M4" s="68">
        <v>0</v>
      </c>
      <c r="N4" s="8"/>
    </row>
    <row r="5" spans="1:18">
      <c r="A5" s="46">
        <v>2</v>
      </c>
      <c r="B5" s="219">
        <v>45749</v>
      </c>
      <c r="C5" s="67"/>
      <c r="D5" s="159"/>
      <c r="E5" s="257"/>
      <c r="F5" s="257"/>
      <c r="G5" s="8">
        <f t="shared" ref="G5:G33" si="1">E5*F5</f>
        <v>0</v>
      </c>
      <c r="H5" s="65">
        <v>0</v>
      </c>
      <c r="I5" s="66">
        <v>0</v>
      </c>
      <c r="J5" s="8">
        <f t="shared" ref="J5:J33" si="2">H5*I5</f>
        <v>0</v>
      </c>
      <c r="K5" s="8">
        <f t="shared" ref="K5:K33" si="3">G5+J5</f>
        <v>0</v>
      </c>
      <c r="L5" s="68">
        <f t="shared" ref="L5:L33" si="4">+K5</f>
        <v>0</v>
      </c>
      <c r="M5" s="68">
        <v>0</v>
      </c>
      <c r="N5" s="8"/>
    </row>
    <row r="6" spans="1:18">
      <c r="A6" s="46">
        <v>3</v>
      </c>
      <c r="B6" s="219">
        <v>45750</v>
      </c>
      <c r="C6" s="67"/>
      <c r="D6" s="159"/>
      <c r="E6" s="257"/>
      <c r="F6" s="257"/>
      <c r="G6" s="8">
        <f t="shared" si="1"/>
        <v>0</v>
      </c>
      <c r="H6" s="65">
        <v>0</v>
      </c>
      <c r="I6" s="66">
        <v>0</v>
      </c>
      <c r="J6" s="8">
        <f t="shared" si="2"/>
        <v>0</v>
      </c>
      <c r="K6" s="8">
        <f t="shared" si="3"/>
        <v>0</v>
      </c>
      <c r="L6" s="68">
        <f t="shared" si="4"/>
        <v>0</v>
      </c>
      <c r="M6" s="68">
        <v>0</v>
      </c>
      <c r="N6" s="8"/>
    </row>
    <row r="7" spans="1:18">
      <c r="A7" s="46">
        <v>4</v>
      </c>
      <c r="B7" s="219">
        <v>45751</v>
      </c>
      <c r="C7" s="67"/>
      <c r="D7" s="159"/>
      <c r="E7" s="257"/>
      <c r="F7" s="257"/>
      <c r="G7" s="8">
        <f t="shared" si="1"/>
        <v>0</v>
      </c>
      <c r="H7" s="65">
        <v>0</v>
      </c>
      <c r="I7" s="66">
        <v>0</v>
      </c>
      <c r="J7" s="8">
        <f t="shared" si="2"/>
        <v>0</v>
      </c>
      <c r="K7" s="8">
        <f t="shared" si="3"/>
        <v>0</v>
      </c>
      <c r="L7" s="68">
        <f t="shared" si="4"/>
        <v>0</v>
      </c>
      <c r="M7" s="68">
        <v>0</v>
      </c>
      <c r="N7" s="8"/>
    </row>
    <row r="8" spans="1:18">
      <c r="A8" s="46">
        <v>5</v>
      </c>
      <c r="B8" s="219">
        <v>45752</v>
      </c>
      <c r="C8" s="67"/>
      <c r="D8" s="159"/>
      <c r="E8" s="257"/>
      <c r="F8" s="257"/>
      <c r="G8" s="8">
        <f t="shared" si="1"/>
        <v>0</v>
      </c>
      <c r="H8" s="65">
        <v>0</v>
      </c>
      <c r="I8" s="66">
        <v>0</v>
      </c>
      <c r="J8" s="8">
        <f t="shared" si="2"/>
        <v>0</v>
      </c>
      <c r="K8" s="8">
        <f t="shared" si="3"/>
        <v>0</v>
      </c>
      <c r="L8" s="68">
        <f t="shared" si="4"/>
        <v>0</v>
      </c>
      <c r="M8" s="68">
        <v>0</v>
      </c>
      <c r="N8" s="8"/>
      <c r="O8" s="69"/>
      <c r="R8" s="225"/>
    </row>
    <row r="9" spans="1:18">
      <c r="A9" s="46">
        <v>6</v>
      </c>
      <c r="B9" s="219">
        <v>45753</v>
      </c>
      <c r="C9" s="67"/>
      <c r="D9" s="159"/>
      <c r="E9" s="257"/>
      <c r="F9" s="257"/>
      <c r="G9" s="8">
        <f t="shared" si="1"/>
        <v>0</v>
      </c>
      <c r="H9" s="65">
        <v>0</v>
      </c>
      <c r="I9" s="66">
        <v>0</v>
      </c>
      <c r="J9" s="8">
        <f t="shared" si="2"/>
        <v>0</v>
      </c>
      <c r="K9" s="8">
        <f t="shared" si="3"/>
        <v>0</v>
      </c>
      <c r="L9" s="68">
        <f t="shared" si="4"/>
        <v>0</v>
      </c>
      <c r="M9" s="68">
        <v>0</v>
      </c>
      <c r="N9" s="8"/>
      <c r="O9" s="69"/>
    </row>
    <row r="10" spans="1:18">
      <c r="A10" s="46">
        <v>7</v>
      </c>
      <c r="B10" s="219">
        <v>45754</v>
      </c>
      <c r="C10" s="67"/>
      <c r="D10" s="159"/>
      <c r="E10" s="257"/>
      <c r="F10" s="257"/>
      <c r="G10" s="8">
        <f t="shared" si="1"/>
        <v>0</v>
      </c>
      <c r="H10" s="65">
        <v>0</v>
      </c>
      <c r="I10" s="66">
        <v>0</v>
      </c>
      <c r="J10" s="8">
        <f t="shared" si="2"/>
        <v>0</v>
      </c>
      <c r="K10" s="8">
        <f t="shared" si="3"/>
        <v>0</v>
      </c>
      <c r="L10" s="68">
        <f t="shared" si="4"/>
        <v>0</v>
      </c>
      <c r="M10" s="68">
        <v>0</v>
      </c>
      <c r="N10" s="8"/>
      <c r="O10" s="69"/>
    </row>
    <row r="11" spans="1:18">
      <c r="A11" s="46">
        <v>8</v>
      </c>
      <c r="B11" s="219">
        <v>45755</v>
      </c>
      <c r="C11" s="67"/>
      <c r="D11" s="159"/>
      <c r="E11" s="257"/>
      <c r="F11" s="257"/>
      <c r="G11" s="8">
        <f t="shared" si="1"/>
        <v>0</v>
      </c>
      <c r="H11" s="65">
        <v>0</v>
      </c>
      <c r="I11" s="66">
        <v>0</v>
      </c>
      <c r="J11" s="8">
        <f t="shared" si="2"/>
        <v>0</v>
      </c>
      <c r="K11" s="8">
        <f t="shared" si="3"/>
        <v>0</v>
      </c>
      <c r="L11" s="68">
        <f t="shared" si="4"/>
        <v>0</v>
      </c>
      <c r="M11" s="68">
        <v>0</v>
      </c>
      <c r="N11" s="8"/>
      <c r="O11" s="69"/>
    </row>
    <row r="12" spans="1:18">
      <c r="A12" s="46">
        <v>9</v>
      </c>
      <c r="B12" s="219">
        <v>45756</v>
      </c>
      <c r="C12" s="67"/>
      <c r="D12" s="159"/>
      <c r="E12" s="257"/>
      <c r="F12" s="257"/>
      <c r="G12" s="8">
        <f t="shared" si="1"/>
        <v>0</v>
      </c>
      <c r="H12" s="65">
        <v>0</v>
      </c>
      <c r="I12" s="66">
        <v>0</v>
      </c>
      <c r="J12" s="8">
        <f t="shared" si="2"/>
        <v>0</v>
      </c>
      <c r="K12" s="8">
        <f t="shared" ref="K12:K18" si="5">G12+J12</f>
        <v>0</v>
      </c>
      <c r="L12" s="68">
        <f t="shared" ref="L12:L18" si="6">+K12</f>
        <v>0</v>
      </c>
      <c r="M12" s="68">
        <v>0</v>
      </c>
      <c r="N12" s="8"/>
      <c r="O12" s="69"/>
    </row>
    <row r="13" spans="1:18">
      <c r="A13" s="46">
        <v>10</v>
      </c>
      <c r="B13" s="219">
        <v>45757</v>
      </c>
      <c r="C13" s="67"/>
      <c r="D13" s="159"/>
      <c r="E13" s="257"/>
      <c r="F13" s="257"/>
      <c r="G13" s="8">
        <f t="shared" si="1"/>
        <v>0</v>
      </c>
      <c r="H13" s="65">
        <v>0</v>
      </c>
      <c r="I13" s="66">
        <v>0</v>
      </c>
      <c r="J13" s="8">
        <f t="shared" si="2"/>
        <v>0</v>
      </c>
      <c r="K13" s="8">
        <f t="shared" si="5"/>
        <v>0</v>
      </c>
      <c r="L13" s="68">
        <f t="shared" si="6"/>
        <v>0</v>
      </c>
      <c r="M13" s="68">
        <v>0</v>
      </c>
      <c r="N13" s="8"/>
      <c r="O13" s="69"/>
    </row>
    <row r="14" spans="1:18">
      <c r="A14" s="46">
        <v>11</v>
      </c>
      <c r="B14" s="219">
        <v>45758</v>
      </c>
      <c r="C14" s="67"/>
      <c r="D14" s="159"/>
      <c r="E14" s="257"/>
      <c r="F14" s="257"/>
      <c r="G14" s="8">
        <f t="shared" si="1"/>
        <v>0</v>
      </c>
      <c r="H14" s="65">
        <v>0</v>
      </c>
      <c r="I14" s="66">
        <v>0</v>
      </c>
      <c r="J14" s="8">
        <f t="shared" si="2"/>
        <v>0</v>
      </c>
      <c r="K14" s="8">
        <f t="shared" si="5"/>
        <v>0</v>
      </c>
      <c r="L14" s="68">
        <f t="shared" si="6"/>
        <v>0</v>
      </c>
      <c r="M14" s="68">
        <v>0</v>
      </c>
      <c r="N14" s="8"/>
      <c r="O14" s="69"/>
    </row>
    <row r="15" spans="1:18">
      <c r="A15" s="46">
        <v>12</v>
      </c>
      <c r="B15" s="219">
        <v>45759</v>
      </c>
      <c r="C15" s="67"/>
      <c r="D15" s="159"/>
      <c r="E15" s="257"/>
      <c r="F15" s="257"/>
      <c r="G15" s="8">
        <f t="shared" si="1"/>
        <v>0</v>
      </c>
      <c r="H15" s="65">
        <v>0</v>
      </c>
      <c r="I15" s="66">
        <v>0</v>
      </c>
      <c r="J15" s="8">
        <f t="shared" si="2"/>
        <v>0</v>
      </c>
      <c r="K15" s="8">
        <f t="shared" si="5"/>
        <v>0</v>
      </c>
      <c r="L15" s="68">
        <f t="shared" si="6"/>
        <v>0</v>
      </c>
      <c r="M15" s="68">
        <v>0</v>
      </c>
      <c r="N15" s="8"/>
      <c r="O15" s="69"/>
    </row>
    <row r="16" spans="1:18">
      <c r="A16" s="46">
        <v>13</v>
      </c>
      <c r="B16" s="219">
        <v>45760</v>
      </c>
      <c r="C16" s="67"/>
      <c r="D16" s="159"/>
      <c r="E16" s="257"/>
      <c r="F16" s="257"/>
      <c r="G16" s="8">
        <f t="shared" si="1"/>
        <v>0</v>
      </c>
      <c r="H16" s="65">
        <v>0</v>
      </c>
      <c r="I16" s="66">
        <v>0</v>
      </c>
      <c r="J16" s="8">
        <f t="shared" si="2"/>
        <v>0</v>
      </c>
      <c r="K16" s="8">
        <f t="shared" si="5"/>
        <v>0</v>
      </c>
      <c r="L16" s="68">
        <f t="shared" si="6"/>
        <v>0</v>
      </c>
      <c r="M16" s="68">
        <v>0</v>
      </c>
      <c r="N16" s="8"/>
      <c r="O16" s="69"/>
    </row>
    <row r="17" spans="1:15">
      <c r="A17" s="46">
        <v>14</v>
      </c>
      <c r="B17" s="219">
        <v>45761</v>
      </c>
      <c r="C17" s="67"/>
      <c r="D17" s="159"/>
      <c r="E17" s="257"/>
      <c r="F17" s="257"/>
      <c r="G17" s="8">
        <f t="shared" si="1"/>
        <v>0</v>
      </c>
      <c r="H17" s="65">
        <v>0</v>
      </c>
      <c r="I17" s="66">
        <v>0</v>
      </c>
      <c r="J17" s="8">
        <f t="shared" si="2"/>
        <v>0</v>
      </c>
      <c r="K17" s="8">
        <f t="shared" si="5"/>
        <v>0</v>
      </c>
      <c r="L17" s="68">
        <f t="shared" si="6"/>
        <v>0</v>
      </c>
      <c r="M17" s="68">
        <v>0</v>
      </c>
      <c r="N17" s="8"/>
      <c r="O17" s="69"/>
    </row>
    <row r="18" spans="1:15">
      <c r="A18" s="46">
        <v>15</v>
      </c>
      <c r="B18" s="219">
        <v>45762</v>
      </c>
      <c r="C18" s="67"/>
      <c r="D18" s="159"/>
      <c r="E18" s="257"/>
      <c r="F18" s="257"/>
      <c r="G18" s="8">
        <f t="shared" si="1"/>
        <v>0</v>
      </c>
      <c r="H18" s="65">
        <v>0</v>
      </c>
      <c r="I18" s="66">
        <v>0</v>
      </c>
      <c r="J18" s="8">
        <f t="shared" si="2"/>
        <v>0</v>
      </c>
      <c r="K18" s="8">
        <f t="shared" si="5"/>
        <v>0</v>
      </c>
      <c r="L18" s="68">
        <f t="shared" si="6"/>
        <v>0</v>
      </c>
      <c r="M18" s="68">
        <v>0</v>
      </c>
      <c r="N18" s="8"/>
      <c r="O18" s="69"/>
    </row>
    <row r="19" spans="1:15">
      <c r="A19" s="46">
        <v>16</v>
      </c>
      <c r="B19" s="219">
        <v>45763</v>
      </c>
      <c r="C19" s="67"/>
      <c r="D19" s="159"/>
      <c r="E19" s="257"/>
      <c r="F19" s="257"/>
      <c r="G19" s="8">
        <f t="shared" si="1"/>
        <v>0</v>
      </c>
      <c r="H19" s="65">
        <v>0</v>
      </c>
      <c r="I19" s="66">
        <v>0</v>
      </c>
      <c r="J19" s="8">
        <f t="shared" si="2"/>
        <v>0</v>
      </c>
      <c r="K19" s="8">
        <f t="shared" si="3"/>
        <v>0</v>
      </c>
      <c r="L19" s="68">
        <f t="shared" si="4"/>
        <v>0</v>
      </c>
      <c r="M19" s="68">
        <v>0</v>
      </c>
      <c r="N19" s="8"/>
      <c r="O19" s="69"/>
    </row>
    <row r="20" spans="1:15">
      <c r="A20" s="46">
        <v>17</v>
      </c>
      <c r="B20" s="219">
        <v>45764</v>
      </c>
      <c r="C20" s="67"/>
      <c r="D20" s="159"/>
      <c r="E20" s="257"/>
      <c r="F20" s="257"/>
      <c r="G20" s="8">
        <f t="shared" si="1"/>
        <v>0</v>
      </c>
      <c r="H20" s="65">
        <v>0</v>
      </c>
      <c r="I20" s="66">
        <v>0</v>
      </c>
      <c r="J20" s="8">
        <f t="shared" si="2"/>
        <v>0</v>
      </c>
      <c r="K20" s="8">
        <f t="shared" si="3"/>
        <v>0</v>
      </c>
      <c r="L20" s="68">
        <f t="shared" si="4"/>
        <v>0</v>
      </c>
      <c r="M20" s="68">
        <v>0</v>
      </c>
      <c r="N20" s="8"/>
      <c r="O20" s="69"/>
    </row>
    <row r="21" spans="1:15">
      <c r="A21" s="46">
        <v>18</v>
      </c>
      <c r="B21" s="219">
        <v>45765</v>
      </c>
      <c r="C21" s="67"/>
      <c r="D21" s="159"/>
      <c r="E21" s="257"/>
      <c r="F21" s="257"/>
      <c r="G21" s="8">
        <f t="shared" si="1"/>
        <v>0</v>
      </c>
      <c r="H21" s="65">
        <v>0</v>
      </c>
      <c r="I21" s="66">
        <v>0</v>
      </c>
      <c r="J21" s="8">
        <f t="shared" si="2"/>
        <v>0</v>
      </c>
      <c r="K21" s="8">
        <f t="shared" si="3"/>
        <v>0</v>
      </c>
      <c r="L21" s="68">
        <f t="shared" si="4"/>
        <v>0</v>
      </c>
      <c r="M21" s="68">
        <v>0</v>
      </c>
      <c r="N21" s="8"/>
      <c r="O21" s="69"/>
    </row>
    <row r="22" spans="1:15">
      <c r="A22" s="46">
        <v>19</v>
      </c>
      <c r="B22" s="219">
        <v>45766</v>
      </c>
      <c r="C22" s="67"/>
      <c r="D22" s="159"/>
      <c r="E22" s="257"/>
      <c r="F22" s="257"/>
      <c r="G22" s="8">
        <f t="shared" si="1"/>
        <v>0</v>
      </c>
      <c r="H22" s="65">
        <v>0</v>
      </c>
      <c r="I22" s="66">
        <v>0</v>
      </c>
      <c r="J22" s="8">
        <f t="shared" si="2"/>
        <v>0</v>
      </c>
      <c r="K22" s="8">
        <f t="shared" si="3"/>
        <v>0</v>
      </c>
      <c r="L22" s="68">
        <f t="shared" si="4"/>
        <v>0</v>
      </c>
      <c r="M22" s="68">
        <v>0</v>
      </c>
      <c r="N22" s="8"/>
      <c r="O22" s="69"/>
    </row>
    <row r="23" spans="1:15">
      <c r="A23" s="46">
        <v>20</v>
      </c>
      <c r="B23" s="219">
        <v>45767</v>
      </c>
      <c r="C23" s="67"/>
      <c r="D23" s="159"/>
      <c r="E23" s="257"/>
      <c r="F23" s="257"/>
      <c r="G23" s="8">
        <f t="shared" si="1"/>
        <v>0</v>
      </c>
      <c r="H23" s="65">
        <v>0</v>
      </c>
      <c r="I23" s="66">
        <v>0</v>
      </c>
      <c r="J23" s="8">
        <f t="shared" si="2"/>
        <v>0</v>
      </c>
      <c r="K23" s="8">
        <f t="shared" si="3"/>
        <v>0</v>
      </c>
      <c r="L23" s="68">
        <f t="shared" si="4"/>
        <v>0</v>
      </c>
      <c r="M23" s="68">
        <v>0</v>
      </c>
      <c r="N23" s="8"/>
      <c r="O23" s="69"/>
    </row>
    <row r="24" spans="1:15">
      <c r="A24" s="46">
        <v>21</v>
      </c>
      <c r="B24" s="219">
        <v>45768</v>
      </c>
      <c r="C24" s="67"/>
      <c r="D24" s="159"/>
      <c r="E24" s="257"/>
      <c r="F24" s="257"/>
      <c r="G24" s="8">
        <f t="shared" si="1"/>
        <v>0</v>
      </c>
      <c r="H24" s="65">
        <v>0</v>
      </c>
      <c r="I24" s="66">
        <v>0</v>
      </c>
      <c r="J24" s="8">
        <f t="shared" si="2"/>
        <v>0</v>
      </c>
      <c r="K24" s="8">
        <f t="shared" si="3"/>
        <v>0</v>
      </c>
      <c r="L24" s="68">
        <f t="shared" si="4"/>
        <v>0</v>
      </c>
      <c r="M24" s="68">
        <v>0</v>
      </c>
      <c r="N24" s="8"/>
      <c r="O24" s="69"/>
    </row>
    <row r="25" spans="1:15">
      <c r="A25" s="46">
        <v>22</v>
      </c>
      <c r="B25" s="219">
        <v>45769</v>
      </c>
      <c r="C25" s="67"/>
      <c r="D25" s="159"/>
      <c r="E25" s="257"/>
      <c r="F25" s="257"/>
      <c r="G25" s="8">
        <f t="shared" si="1"/>
        <v>0</v>
      </c>
      <c r="H25" s="65">
        <v>0</v>
      </c>
      <c r="I25" s="66">
        <v>0</v>
      </c>
      <c r="J25" s="8">
        <f t="shared" si="2"/>
        <v>0</v>
      </c>
      <c r="K25" s="8">
        <f t="shared" si="3"/>
        <v>0</v>
      </c>
      <c r="L25" s="68">
        <f t="shared" si="4"/>
        <v>0</v>
      </c>
      <c r="M25" s="68">
        <v>0</v>
      </c>
      <c r="N25" s="8"/>
      <c r="O25" s="69"/>
    </row>
    <row r="26" spans="1:15">
      <c r="A26" s="46">
        <v>23</v>
      </c>
      <c r="B26" s="219">
        <v>45770</v>
      </c>
      <c r="C26" s="67"/>
      <c r="D26" s="159"/>
      <c r="E26" s="257"/>
      <c r="F26" s="8"/>
      <c r="G26" s="8">
        <f t="shared" si="1"/>
        <v>0</v>
      </c>
      <c r="H26" s="65">
        <v>0</v>
      </c>
      <c r="I26" s="66">
        <v>0</v>
      </c>
      <c r="J26" s="8">
        <f t="shared" si="2"/>
        <v>0</v>
      </c>
      <c r="K26" s="8">
        <f t="shared" si="3"/>
        <v>0</v>
      </c>
      <c r="L26" s="68">
        <f t="shared" si="4"/>
        <v>0</v>
      </c>
      <c r="M26" s="68">
        <v>0</v>
      </c>
      <c r="N26" s="8"/>
      <c r="O26" s="69"/>
    </row>
    <row r="27" spans="1:15">
      <c r="A27" s="46">
        <v>24</v>
      </c>
      <c r="B27" s="219">
        <v>45771</v>
      </c>
      <c r="C27" s="67"/>
      <c r="D27" s="159"/>
      <c r="E27" s="257"/>
      <c r="F27" s="257"/>
      <c r="G27" s="8">
        <f t="shared" si="1"/>
        <v>0</v>
      </c>
      <c r="H27" s="65">
        <v>0</v>
      </c>
      <c r="I27" s="66">
        <v>0</v>
      </c>
      <c r="J27" s="8">
        <f t="shared" si="2"/>
        <v>0</v>
      </c>
      <c r="K27" s="8">
        <f t="shared" si="3"/>
        <v>0</v>
      </c>
      <c r="L27" s="68">
        <f t="shared" si="4"/>
        <v>0</v>
      </c>
      <c r="M27" s="68">
        <v>0</v>
      </c>
      <c r="N27" s="8"/>
      <c r="O27" s="69"/>
    </row>
    <row r="28" spans="1:15">
      <c r="A28" s="221">
        <v>25</v>
      </c>
      <c r="B28" s="219">
        <v>45772</v>
      </c>
      <c r="C28" s="67"/>
      <c r="D28" s="159"/>
      <c r="E28" s="257"/>
      <c r="F28" s="257"/>
      <c r="G28" s="8"/>
      <c r="H28" s="65">
        <v>0</v>
      </c>
      <c r="I28" s="66">
        <v>0</v>
      </c>
      <c r="J28" s="8">
        <f t="shared" si="2"/>
        <v>0</v>
      </c>
      <c r="K28" s="8">
        <f t="shared" si="3"/>
        <v>0</v>
      </c>
      <c r="L28" s="68">
        <f t="shared" si="4"/>
        <v>0</v>
      </c>
      <c r="M28" s="68">
        <v>0</v>
      </c>
      <c r="N28" s="8"/>
      <c r="O28" s="69"/>
    </row>
    <row r="29" spans="1:15">
      <c r="A29" s="221">
        <v>26</v>
      </c>
      <c r="B29" s="219">
        <v>45773</v>
      </c>
      <c r="C29" s="67"/>
      <c r="D29" s="159"/>
      <c r="E29" s="257"/>
      <c r="F29" s="257"/>
      <c r="G29" s="8">
        <f t="shared" si="1"/>
        <v>0</v>
      </c>
      <c r="H29" s="65">
        <v>0</v>
      </c>
      <c r="I29" s="66">
        <v>0</v>
      </c>
      <c r="J29" s="8">
        <f t="shared" si="2"/>
        <v>0</v>
      </c>
      <c r="K29" s="8">
        <f t="shared" si="3"/>
        <v>0</v>
      </c>
      <c r="L29" s="68">
        <f t="shared" si="4"/>
        <v>0</v>
      </c>
      <c r="M29" s="68">
        <v>0</v>
      </c>
      <c r="N29" s="8"/>
      <c r="O29" s="69"/>
    </row>
    <row r="30" spans="1:15">
      <c r="A30" s="221">
        <v>27</v>
      </c>
      <c r="B30" s="219">
        <v>45774</v>
      </c>
      <c r="C30" s="67"/>
      <c r="D30" s="159"/>
      <c r="E30" s="257"/>
      <c r="F30" s="257"/>
      <c r="G30" s="8">
        <f t="shared" si="1"/>
        <v>0</v>
      </c>
      <c r="H30" s="65">
        <v>0</v>
      </c>
      <c r="I30" s="66">
        <v>0</v>
      </c>
      <c r="J30" s="8">
        <f t="shared" si="2"/>
        <v>0</v>
      </c>
      <c r="K30" s="8">
        <f t="shared" si="3"/>
        <v>0</v>
      </c>
      <c r="L30" s="68">
        <f t="shared" si="4"/>
        <v>0</v>
      </c>
      <c r="M30" s="68">
        <v>0</v>
      </c>
      <c r="N30" s="8"/>
      <c r="O30" s="69"/>
    </row>
    <row r="31" spans="1:15">
      <c r="A31" s="221">
        <v>28</v>
      </c>
      <c r="B31" s="219">
        <v>45775</v>
      </c>
      <c r="C31" s="67"/>
      <c r="D31" s="159"/>
      <c r="E31" s="257"/>
      <c r="F31" s="257"/>
      <c r="G31" s="8">
        <f t="shared" si="1"/>
        <v>0</v>
      </c>
      <c r="H31" s="65">
        <v>0</v>
      </c>
      <c r="I31" s="66">
        <v>0</v>
      </c>
      <c r="J31" s="8">
        <f t="shared" si="2"/>
        <v>0</v>
      </c>
      <c r="K31" s="8">
        <f t="shared" si="3"/>
        <v>0</v>
      </c>
      <c r="L31" s="68">
        <f t="shared" si="4"/>
        <v>0</v>
      </c>
      <c r="M31" s="68">
        <v>0</v>
      </c>
      <c r="N31" s="8"/>
      <c r="O31" s="69"/>
    </row>
    <row r="32" spans="1:15">
      <c r="A32" s="222">
        <v>29</v>
      </c>
      <c r="B32" s="219"/>
      <c r="C32" s="67"/>
      <c r="D32" s="159"/>
      <c r="E32" s="257"/>
      <c r="F32" s="257"/>
      <c r="G32" s="8">
        <f t="shared" si="1"/>
        <v>0</v>
      </c>
      <c r="H32" s="65">
        <v>0</v>
      </c>
      <c r="I32" s="66">
        <v>0</v>
      </c>
      <c r="J32" s="8">
        <f t="shared" si="2"/>
        <v>0</v>
      </c>
      <c r="K32" s="8">
        <f t="shared" si="3"/>
        <v>0</v>
      </c>
      <c r="L32" s="68">
        <f t="shared" si="4"/>
        <v>0</v>
      </c>
      <c r="M32" s="68">
        <v>0</v>
      </c>
      <c r="N32" s="8"/>
      <c r="O32" s="69"/>
    </row>
    <row r="33" spans="1:15">
      <c r="A33" s="222">
        <v>30</v>
      </c>
      <c r="B33" s="219"/>
      <c r="C33" s="67"/>
      <c r="D33" s="159"/>
      <c r="E33" s="257"/>
      <c r="F33" s="257"/>
      <c r="G33" s="8">
        <f t="shared" ref="G33" si="7">E33*F33</f>
        <v>0</v>
      </c>
      <c r="H33" s="65">
        <v>0</v>
      </c>
      <c r="I33" s="66">
        <v>0</v>
      </c>
      <c r="J33" s="8">
        <f t="shared" si="2"/>
        <v>0</v>
      </c>
      <c r="K33" s="8">
        <f t="shared" si="3"/>
        <v>0</v>
      </c>
      <c r="L33" s="68">
        <f t="shared" si="4"/>
        <v>0</v>
      </c>
      <c r="M33" s="68">
        <v>0</v>
      </c>
      <c r="N33" s="8"/>
      <c r="O33" s="69"/>
    </row>
    <row r="34" spans="1:15">
      <c r="A34" s="222">
        <v>31</v>
      </c>
      <c r="B34" s="219"/>
      <c r="C34" s="67"/>
      <c r="D34" s="159"/>
      <c r="E34" s="257"/>
      <c r="F34" s="257"/>
      <c r="G34" s="8">
        <f t="shared" ref="G34" si="8">E34*F34</f>
        <v>0</v>
      </c>
      <c r="H34" s="65">
        <v>0</v>
      </c>
      <c r="I34" s="66">
        <v>0</v>
      </c>
      <c r="J34" s="8">
        <f t="shared" ref="J34" si="9">H34*I34</f>
        <v>0</v>
      </c>
      <c r="K34" s="8">
        <f t="shared" ref="K34" si="10">G34+J34</f>
        <v>0</v>
      </c>
      <c r="L34" s="68">
        <f t="shared" ref="L34" si="11">+K34</f>
        <v>0</v>
      </c>
      <c r="M34" s="68">
        <v>0</v>
      </c>
      <c r="N34" s="8"/>
      <c r="O34" s="69"/>
    </row>
    <row r="35" spans="1:15">
      <c r="A35" s="62"/>
      <c r="B35" s="62"/>
      <c r="C35" s="62"/>
      <c r="D35" s="62"/>
      <c r="E35" s="258">
        <f>SUM(E4:E34)</f>
        <v>0</v>
      </c>
      <c r="F35" s="258"/>
      <c r="G35" s="63">
        <f>SUM(G4:G34)</f>
        <v>0</v>
      </c>
      <c r="H35" s="63">
        <f>SUM(H4:H34)</f>
        <v>0</v>
      </c>
      <c r="I35" s="63"/>
      <c r="J35" s="63">
        <f>SUM(J4:J34)</f>
        <v>0</v>
      </c>
      <c r="K35" s="63">
        <f>SUM(K4:K34)</f>
        <v>0</v>
      </c>
      <c r="L35" s="63">
        <f>SUM(L4:L34)</f>
        <v>0</v>
      </c>
      <c r="M35" s="63"/>
      <c r="N35" s="63"/>
      <c r="O35" s="59"/>
    </row>
    <row r="36" spans="1:15">
      <c r="A36" s="72"/>
      <c r="B36" s="73"/>
      <c r="C36" s="72"/>
      <c r="D36" s="72"/>
      <c r="E36" s="74"/>
      <c r="F36" s="74"/>
      <c r="G36" s="74"/>
      <c r="H36" s="74"/>
      <c r="I36" s="74"/>
      <c r="J36" s="75"/>
      <c r="K36" s="75"/>
      <c r="L36" s="75"/>
      <c r="M36" s="75"/>
      <c r="N36" s="74"/>
      <c r="O36" s="69"/>
    </row>
    <row r="37" spans="1:15">
      <c r="O37" s="69"/>
    </row>
    <row r="38" spans="1:15">
      <c r="O38" s="69"/>
    </row>
    <row r="39" spans="1:15">
      <c r="O39" s="69"/>
    </row>
    <row r="40" spans="1:15">
      <c r="O40" s="69"/>
    </row>
    <row r="41" spans="1:15">
      <c r="O41" s="69"/>
    </row>
    <row r="42" spans="1:15">
      <c r="A42" s="69"/>
      <c r="B42" s="59"/>
      <c r="C42" s="69"/>
      <c r="D42" s="69"/>
      <c r="E42" s="69"/>
      <c r="F42" s="69"/>
      <c r="G42" s="76"/>
      <c r="H42" s="69"/>
      <c r="I42" s="69"/>
      <c r="J42" s="59"/>
      <c r="K42" s="59"/>
      <c r="L42" s="59"/>
      <c r="M42" s="59"/>
      <c r="N42" s="69"/>
      <c r="O42" s="74"/>
    </row>
    <row r="43" spans="1:15">
      <c r="A43" s="69"/>
      <c r="B43" s="490"/>
      <c r="C43" s="490"/>
      <c r="D43" s="490"/>
      <c r="E43" s="490"/>
      <c r="F43" s="69"/>
      <c r="G43" s="69"/>
      <c r="H43" s="69"/>
      <c r="I43" s="490"/>
      <c r="J43" s="490"/>
      <c r="K43" s="490"/>
      <c r="L43" s="490"/>
      <c r="M43" s="490"/>
      <c r="N43" s="490"/>
      <c r="O43" s="74"/>
    </row>
    <row r="44" spans="1:15">
      <c r="A44" s="69"/>
      <c r="B44" s="59"/>
      <c r="C44" s="69"/>
      <c r="D44" s="69"/>
      <c r="E44" s="69"/>
      <c r="F44" s="69"/>
      <c r="G44" s="69"/>
      <c r="H44" s="69"/>
      <c r="I44" s="69"/>
      <c r="J44" s="59"/>
      <c r="K44" s="59"/>
      <c r="L44" s="59"/>
      <c r="M44" s="59"/>
      <c r="N44" s="69"/>
      <c r="O44" s="74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FC41-4E21-4FD6-9FE8-E1AAC5267FD0}">
  <dimension ref="A1:R57"/>
  <sheetViews>
    <sheetView topLeftCell="A29" workbookViewId="0">
      <selection activeCell="G46" sqref="G46"/>
    </sheetView>
  </sheetViews>
  <sheetFormatPr defaultColWidth="18.28515625" defaultRowHeight="15"/>
  <cols>
    <col min="1" max="1" width="13.42578125" customWidth="1"/>
    <col min="3" max="3" width="46.85546875" bestFit="1" customWidth="1"/>
    <col min="4" max="4" width="25" bestFit="1" customWidth="1"/>
    <col min="5" max="5" width="11.5703125" customWidth="1"/>
    <col min="6" max="6" width="11.140625" customWidth="1"/>
    <col min="7" max="7" width="11.28515625" customWidth="1"/>
    <col min="8" max="8" width="9.85546875" customWidth="1"/>
    <col min="10" max="10" width="16.5703125" customWidth="1"/>
  </cols>
  <sheetData>
    <row r="1" spans="1:18" ht="15.75">
      <c r="A1" s="350"/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82"/>
    </row>
    <row r="2" spans="1:18" ht="30.75">
      <c r="A2" s="98" t="s">
        <v>0</v>
      </c>
      <c r="B2" s="99" t="s">
        <v>164</v>
      </c>
      <c r="C2" s="99" t="s">
        <v>165</v>
      </c>
      <c r="D2" s="99" t="s">
        <v>208</v>
      </c>
      <c r="E2" s="256" t="s">
        <v>167</v>
      </c>
      <c r="F2" s="256" t="s">
        <v>168</v>
      </c>
      <c r="G2" s="99" t="s">
        <v>169</v>
      </c>
      <c r="H2" s="99" t="s">
        <v>170</v>
      </c>
      <c r="I2" s="99" t="s">
        <v>168</v>
      </c>
      <c r="J2" s="138" t="s">
        <v>169</v>
      </c>
      <c r="K2" s="100" t="s">
        <v>171</v>
      </c>
      <c r="L2" s="139" t="s">
        <v>172</v>
      </c>
      <c r="M2" s="143" t="s">
        <v>209</v>
      </c>
      <c r="N2" s="101" t="s">
        <v>174</v>
      </c>
      <c r="O2" s="59"/>
    </row>
    <row r="3" spans="1:18">
      <c r="A3" s="482" t="s">
        <v>175</v>
      </c>
      <c r="B3" s="488"/>
      <c r="C3" s="488"/>
      <c r="D3" s="488"/>
      <c r="E3" s="488"/>
      <c r="F3" s="488"/>
      <c r="G3" s="488"/>
      <c r="H3" s="488"/>
      <c r="I3" s="488"/>
      <c r="J3" s="488"/>
      <c r="K3" s="488"/>
      <c r="L3" s="491"/>
      <c r="M3" s="408">
        <v>0</v>
      </c>
      <c r="N3" s="215"/>
      <c r="O3" s="59"/>
    </row>
    <row r="4" spans="1:18">
      <c r="A4" s="222">
        <v>1</v>
      </c>
      <c r="B4" s="335">
        <v>46113</v>
      </c>
      <c r="C4" s="314" t="s">
        <v>213</v>
      </c>
      <c r="D4" s="314" t="s">
        <v>95</v>
      </c>
      <c r="E4" s="314">
        <v>0</v>
      </c>
      <c r="F4" s="314" t="s">
        <v>214</v>
      </c>
      <c r="G4" s="314" t="s">
        <v>214</v>
      </c>
      <c r="H4" s="314">
        <v>15</v>
      </c>
      <c r="I4" s="314">
        <v>109.94</v>
      </c>
      <c r="J4" s="314">
        <v>1649.1</v>
      </c>
      <c r="K4" s="411">
        <v>1649.1</v>
      </c>
      <c r="L4" s="411">
        <v>1649.1</v>
      </c>
      <c r="M4" s="68">
        <f>+M3+K4-L4</f>
        <v>0</v>
      </c>
      <c r="N4" s="8" t="s">
        <v>215</v>
      </c>
    </row>
    <row r="5" spans="1:18">
      <c r="A5" s="221">
        <v>2</v>
      </c>
      <c r="B5" s="335">
        <v>46114</v>
      </c>
      <c r="C5" s="329" t="s">
        <v>216</v>
      </c>
      <c r="D5" s="329" t="s">
        <v>217</v>
      </c>
      <c r="E5" s="329">
        <v>0</v>
      </c>
      <c r="F5" s="329" t="s">
        <v>214</v>
      </c>
      <c r="G5" s="329" t="s">
        <v>214</v>
      </c>
      <c r="H5" s="329">
        <v>5</v>
      </c>
      <c r="I5" s="329">
        <v>108.86</v>
      </c>
      <c r="J5" s="329">
        <v>544.29999999999995</v>
      </c>
      <c r="K5" s="329">
        <v>544.29999999999995</v>
      </c>
      <c r="L5" s="329">
        <v>544.29999999999995</v>
      </c>
      <c r="M5" s="68">
        <f t="shared" ref="M5:M43" si="0">+M4+K5-L5</f>
        <v>0</v>
      </c>
      <c r="N5" s="8" t="s">
        <v>215</v>
      </c>
    </row>
    <row r="6" spans="1:18">
      <c r="A6" s="221">
        <v>3</v>
      </c>
      <c r="B6" s="335"/>
      <c r="C6" s="104"/>
      <c r="D6" s="104"/>
      <c r="E6" s="104"/>
      <c r="F6" s="104"/>
      <c r="G6" s="104"/>
      <c r="H6" s="104"/>
      <c r="I6" s="104"/>
      <c r="J6" s="104"/>
      <c r="K6" s="407"/>
      <c r="L6" s="407"/>
      <c r="M6" s="68">
        <f t="shared" si="0"/>
        <v>0</v>
      </c>
      <c r="N6" s="104"/>
    </row>
    <row r="7" spans="1:18">
      <c r="A7" s="222">
        <v>4</v>
      </c>
      <c r="B7" s="335"/>
      <c r="C7" s="104"/>
      <c r="D7" s="104"/>
      <c r="E7" s="104"/>
      <c r="F7" s="104"/>
      <c r="G7" s="104"/>
      <c r="H7" s="104"/>
      <c r="I7" s="104"/>
      <c r="J7" s="104"/>
      <c r="K7" s="407"/>
      <c r="L7" s="407"/>
      <c r="M7" s="68">
        <f t="shared" si="0"/>
        <v>0</v>
      </c>
      <c r="N7" s="104"/>
      <c r="O7" s="397"/>
    </row>
    <row r="8" spans="1:18">
      <c r="A8" s="221">
        <v>5</v>
      </c>
      <c r="B8" s="335"/>
      <c r="C8" s="67"/>
      <c r="D8" s="159"/>
      <c r="E8" s="104"/>
      <c r="F8" s="257"/>
      <c r="G8" s="104"/>
      <c r="H8" s="104"/>
      <c r="I8" s="104"/>
      <c r="J8" s="104"/>
      <c r="K8" s="407"/>
      <c r="L8" s="407"/>
      <c r="M8" s="68">
        <f t="shared" si="0"/>
        <v>0</v>
      </c>
      <c r="N8" s="8"/>
      <c r="O8" s="69"/>
      <c r="R8" s="225"/>
    </row>
    <row r="9" spans="1:18">
      <c r="A9" s="221">
        <v>6</v>
      </c>
      <c r="B9" s="335">
        <v>46118</v>
      </c>
      <c r="C9" s="104" t="s">
        <v>218</v>
      </c>
      <c r="D9" s="104" t="s">
        <v>217</v>
      </c>
      <c r="E9" s="104">
        <v>47.51</v>
      </c>
      <c r="F9" s="104">
        <v>96.74</v>
      </c>
      <c r="G9" s="104">
        <v>4596.12</v>
      </c>
      <c r="H9" s="104">
        <v>0</v>
      </c>
      <c r="I9" s="104"/>
      <c r="J9" s="104"/>
      <c r="K9" s="407">
        <v>4596.12</v>
      </c>
      <c r="L9" s="407">
        <v>4596.12</v>
      </c>
      <c r="M9" s="68">
        <f t="shared" si="0"/>
        <v>0</v>
      </c>
      <c r="N9" s="8" t="s">
        <v>215</v>
      </c>
      <c r="O9" s="69"/>
    </row>
    <row r="10" spans="1:18">
      <c r="A10" s="222">
        <v>7</v>
      </c>
      <c r="B10" s="335"/>
      <c r="C10" s="104"/>
      <c r="D10" s="104"/>
      <c r="E10" s="104"/>
      <c r="F10" s="104"/>
      <c r="G10" s="104"/>
      <c r="H10" s="104"/>
      <c r="I10" s="104"/>
      <c r="J10" s="104"/>
      <c r="K10" s="407"/>
      <c r="L10" s="407"/>
      <c r="M10" s="68">
        <f t="shared" si="0"/>
        <v>0</v>
      </c>
      <c r="N10" s="8"/>
      <c r="O10" s="69"/>
    </row>
    <row r="11" spans="1:18">
      <c r="A11" s="221">
        <v>8</v>
      </c>
      <c r="B11" s="335">
        <v>46120</v>
      </c>
      <c r="C11" s="67" t="s">
        <v>218</v>
      </c>
      <c r="D11" s="159" t="s">
        <v>217</v>
      </c>
      <c r="E11" s="104">
        <v>108.08</v>
      </c>
      <c r="F11" s="257">
        <v>96.74</v>
      </c>
      <c r="G11" s="104">
        <v>10455.66</v>
      </c>
      <c r="H11" s="104">
        <v>0</v>
      </c>
      <c r="I11" s="104"/>
      <c r="J11" s="104"/>
      <c r="K11" s="407">
        <v>10455.66</v>
      </c>
      <c r="L11" s="407">
        <v>10455.66</v>
      </c>
      <c r="M11" s="68">
        <f t="shared" si="0"/>
        <v>0</v>
      </c>
      <c r="N11" s="8" t="s">
        <v>215</v>
      </c>
      <c r="O11" s="69"/>
    </row>
    <row r="12" spans="1:18">
      <c r="A12" s="221">
        <v>9</v>
      </c>
      <c r="B12" s="335">
        <v>46121</v>
      </c>
      <c r="C12" s="419" t="s">
        <v>219</v>
      </c>
      <c r="D12" s="314" t="s">
        <v>220</v>
      </c>
      <c r="E12" s="314">
        <v>46.04</v>
      </c>
      <c r="F12" s="314">
        <v>97.28</v>
      </c>
      <c r="G12" s="314">
        <v>4478.7700000000004</v>
      </c>
      <c r="H12" s="314">
        <v>10</v>
      </c>
      <c r="I12" s="314">
        <v>109.47</v>
      </c>
      <c r="J12" s="314">
        <v>1094.7</v>
      </c>
      <c r="K12" s="411">
        <v>5573.47</v>
      </c>
      <c r="L12" s="411">
        <v>5573.47</v>
      </c>
      <c r="M12" s="68">
        <f t="shared" si="0"/>
        <v>0</v>
      </c>
      <c r="N12" s="8" t="s">
        <v>215</v>
      </c>
      <c r="O12" s="69"/>
    </row>
    <row r="13" spans="1:18">
      <c r="A13" s="222">
        <v>10</v>
      </c>
      <c r="B13" s="335"/>
      <c r="C13" s="104"/>
      <c r="D13" s="104"/>
      <c r="E13" s="104"/>
      <c r="F13" s="104"/>
      <c r="G13" s="104"/>
      <c r="H13" s="104"/>
      <c r="I13" s="104"/>
      <c r="J13" s="104"/>
      <c r="K13" s="407"/>
      <c r="L13" s="407"/>
      <c r="M13" s="68">
        <f t="shared" si="0"/>
        <v>0</v>
      </c>
      <c r="N13" s="8"/>
      <c r="O13" s="69"/>
    </row>
    <row r="14" spans="1:18">
      <c r="A14" s="221">
        <v>11</v>
      </c>
      <c r="B14" s="335">
        <v>46123</v>
      </c>
      <c r="C14" s="419" t="s">
        <v>221</v>
      </c>
      <c r="D14" s="425" t="s">
        <v>95</v>
      </c>
      <c r="E14" s="314">
        <v>65.89</v>
      </c>
      <c r="F14" s="314">
        <v>97.71</v>
      </c>
      <c r="G14" s="314">
        <v>6438.11</v>
      </c>
      <c r="H14" s="314">
        <v>0</v>
      </c>
      <c r="I14" s="314" t="s">
        <v>214</v>
      </c>
      <c r="J14" s="314" t="s">
        <v>214</v>
      </c>
      <c r="K14" s="411">
        <v>6438.11</v>
      </c>
      <c r="L14" s="411">
        <v>6438.11</v>
      </c>
      <c r="M14" s="68">
        <f t="shared" si="0"/>
        <v>0</v>
      </c>
      <c r="N14" s="8" t="s">
        <v>215</v>
      </c>
      <c r="O14" s="69"/>
    </row>
    <row r="15" spans="1:18">
      <c r="A15" s="221">
        <v>12</v>
      </c>
      <c r="B15" s="335">
        <v>46123</v>
      </c>
      <c r="C15" s="426" t="s">
        <v>213</v>
      </c>
      <c r="D15" s="427" t="s">
        <v>95</v>
      </c>
      <c r="E15" s="329">
        <v>0</v>
      </c>
      <c r="F15" s="329" t="s">
        <v>214</v>
      </c>
      <c r="G15" s="329" t="s">
        <v>214</v>
      </c>
      <c r="H15" s="329">
        <v>15</v>
      </c>
      <c r="I15" s="329">
        <v>109.94</v>
      </c>
      <c r="J15" s="329">
        <v>1649.1</v>
      </c>
      <c r="K15" s="428">
        <v>1649.1</v>
      </c>
      <c r="L15" s="428">
        <v>1649.1</v>
      </c>
      <c r="M15" s="68">
        <f t="shared" si="0"/>
        <v>0</v>
      </c>
      <c r="N15" s="8" t="s">
        <v>215</v>
      </c>
      <c r="O15" s="69"/>
    </row>
    <row r="16" spans="1:18">
      <c r="A16" s="222">
        <v>13</v>
      </c>
      <c r="B16" s="335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68">
        <f t="shared" si="0"/>
        <v>0</v>
      </c>
      <c r="N16" s="8"/>
      <c r="O16" s="69"/>
    </row>
    <row r="17" spans="1:17">
      <c r="A17" s="221">
        <v>14</v>
      </c>
      <c r="B17" s="335">
        <v>46125</v>
      </c>
      <c r="C17" s="67" t="s">
        <v>218</v>
      </c>
      <c r="D17" s="159" t="s">
        <v>217</v>
      </c>
      <c r="E17" s="104">
        <v>78.510000000000005</v>
      </c>
      <c r="F17" s="104">
        <v>96.74</v>
      </c>
      <c r="G17" s="104">
        <f>E17*F17</f>
        <v>7595.0573999999997</v>
      </c>
      <c r="H17" s="104"/>
      <c r="I17" s="104"/>
      <c r="J17" s="104"/>
      <c r="K17" s="431">
        <f>G17+J17</f>
        <v>7595.0573999999997</v>
      </c>
      <c r="L17" s="104">
        <f>G17+J17</f>
        <v>7595.0573999999997</v>
      </c>
      <c r="M17" s="68">
        <f t="shared" si="0"/>
        <v>0</v>
      </c>
      <c r="N17" s="8" t="s">
        <v>215</v>
      </c>
      <c r="O17" s="69"/>
    </row>
    <row r="18" spans="1:17">
      <c r="A18" s="221">
        <v>15</v>
      </c>
      <c r="B18" s="335">
        <v>46125</v>
      </c>
      <c r="C18" s="104" t="s">
        <v>222</v>
      </c>
      <c r="D18" s="104" t="s">
        <v>223</v>
      </c>
      <c r="E18" s="104">
        <v>40</v>
      </c>
      <c r="F18" s="104">
        <v>97.4</v>
      </c>
      <c r="G18" s="104">
        <f>E18*F18</f>
        <v>3896</v>
      </c>
      <c r="H18" s="104"/>
      <c r="I18" s="104"/>
      <c r="J18" s="104"/>
      <c r="K18" s="431">
        <f>G18+J18</f>
        <v>3896</v>
      </c>
      <c r="L18" s="104">
        <f>G18+J18</f>
        <v>3896</v>
      </c>
      <c r="M18" s="68">
        <f>+M16+K18-L18</f>
        <v>0</v>
      </c>
      <c r="N18" s="8" t="s">
        <v>215</v>
      </c>
      <c r="O18" s="69"/>
    </row>
    <row r="19" spans="1:17">
      <c r="A19" s="222">
        <v>16</v>
      </c>
      <c r="B19" s="335">
        <v>46127</v>
      </c>
      <c r="C19" s="419" t="s">
        <v>213</v>
      </c>
      <c r="D19" s="425" t="s">
        <v>95</v>
      </c>
      <c r="E19" s="314">
        <v>40.94</v>
      </c>
      <c r="F19" s="314">
        <v>97.71</v>
      </c>
      <c r="G19" s="314">
        <v>4000</v>
      </c>
      <c r="H19" s="314">
        <v>0</v>
      </c>
      <c r="I19" s="314" t="s">
        <v>214</v>
      </c>
      <c r="J19" s="314" t="s">
        <v>214</v>
      </c>
      <c r="K19" s="411">
        <v>4000</v>
      </c>
      <c r="L19" s="411">
        <v>4000</v>
      </c>
      <c r="M19" s="68">
        <f t="shared" si="0"/>
        <v>0</v>
      </c>
      <c r="N19" s="8" t="s">
        <v>215</v>
      </c>
      <c r="O19" s="69"/>
    </row>
    <row r="20" spans="1:17">
      <c r="A20" s="221">
        <v>17</v>
      </c>
      <c r="B20" s="335">
        <v>46128</v>
      </c>
      <c r="C20" s="104" t="s">
        <v>221</v>
      </c>
      <c r="D20" s="104" t="s">
        <v>95</v>
      </c>
      <c r="E20" s="104">
        <v>46.56</v>
      </c>
      <c r="F20" s="104">
        <v>97.71</v>
      </c>
      <c r="G20" s="104">
        <v>4549.38</v>
      </c>
      <c r="H20" s="104">
        <v>5</v>
      </c>
      <c r="I20" s="104">
        <v>109.94</v>
      </c>
      <c r="J20" s="104">
        <v>549.70000000000005</v>
      </c>
      <c r="K20" s="407">
        <v>5099.08</v>
      </c>
      <c r="L20" s="104">
        <v>5099.08</v>
      </c>
      <c r="M20" s="68">
        <f t="shared" si="0"/>
        <v>0</v>
      </c>
      <c r="N20" s="8" t="s">
        <v>215</v>
      </c>
      <c r="O20" s="69"/>
    </row>
    <row r="21" spans="1:17">
      <c r="A21" s="221">
        <v>18</v>
      </c>
      <c r="B21" s="335">
        <v>46129</v>
      </c>
      <c r="C21" s="67" t="s">
        <v>224</v>
      </c>
      <c r="D21" s="159" t="s">
        <v>95</v>
      </c>
      <c r="E21" s="104">
        <v>50.4</v>
      </c>
      <c r="F21" s="257">
        <v>97.81</v>
      </c>
      <c r="G21" s="8">
        <v>4929.62</v>
      </c>
      <c r="H21" s="104">
        <v>0</v>
      </c>
      <c r="I21" s="257"/>
      <c r="J21" s="8"/>
      <c r="K21" s="407">
        <v>4929.62</v>
      </c>
      <c r="L21" s="407">
        <v>4929.62</v>
      </c>
      <c r="M21" s="68">
        <f t="shared" si="0"/>
        <v>0</v>
      </c>
      <c r="N21" s="8" t="s">
        <v>225</v>
      </c>
      <c r="O21" s="69"/>
    </row>
    <row r="22" spans="1:17">
      <c r="A22" s="222">
        <v>19</v>
      </c>
      <c r="B22" s="335">
        <v>46129</v>
      </c>
      <c r="C22" s="104" t="s">
        <v>218</v>
      </c>
      <c r="D22" s="104" t="s">
        <v>217</v>
      </c>
      <c r="E22" s="104"/>
      <c r="F22" s="104"/>
      <c r="G22" s="104"/>
      <c r="H22" s="104">
        <v>5</v>
      </c>
      <c r="I22" s="104">
        <v>108.86</v>
      </c>
      <c r="J22" s="104">
        <v>544.29999999999995</v>
      </c>
      <c r="K22" s="407">
        <v>544.29999999999995</v>
      </c>
      <c r="L22" s="407">
        <v>544.29999999999995</v>
      </c>
      <c r="M22" s="68">
        <f t="shared" si="0"/>
        <v>0</v>
      </c>
      <c r="N22" s="8" t="s">
        <v>215</v>
      </c>
      <c r="O22" s="69"/>
    </row>
    <row r="23" spans="1:17">
      <c r="A23" s="221">
        <v>20</v>
      </c>
      <c r="B23" s="335">
        <v>46130</v>
      </c>
      <c r="C23" s="104" t="s">
        <v>226</v>
      </c>
      <c r="D23" s="104" t="s">
        <v>227</v>
      </c>
      <c r="E23" s="104">
        <v>46.33</v>
      </c>
      <c r="F23" s="104">
        <v>97.53</v>
      </c>
      <c r="G23" s="104">
        <v>4518.5600000000004</v>
      </c>
      <c r="H23" s="104">
        <v>0</v>
      </c>
      <c r="I23" s="104"/>
      <c r="J23" s="104"/>
      <c r="K23" s="407">
        <v>4518.5600000000004</v>
      </c>
      <c r="L23" s="407">
        <v>4518.5600000000004</v>
      </c>
      <c r="M23" s="68">
        <f t="shared" si="0"/>
        <v>0</v>
      </c>
      <c r="N23" s="104"/>
      <c r="O23" s="69"/>
      <c r="Q23" s="22"/>
    </row>
    <row r="24" spans="1:17">
      <c r="A24" s="221">
        <v>21</v>
      </c>
      <c r="B24" s="335">
        <v>46130</v>
      </c>
      <c r="C24" s="67" t="s">
        <v>221</v>
      </c>
      <c r="D24" s="159" t="s">
        <v>95</v>
      </c>
      <c r="E24" s="104">
        <v>0</v>
      </c>
      <c r="F24" s="257"/>
      <c r="G24" s="8"/>
      <c r="H24" s="104">
        <v>5</v>
      </c>
      <c r="I24" s="257">
        <v>109.94</v>
      </c>
      <c r="J24" s="8">
        <v>549.70000000000005</v>
      </c>
      <c r="K24" s="8">
        <v>549.70000000000005</v>
      </c>
      <c r="L24" s="8">
        <v>549.70000000000005</v>
      </c>
      <c r="M24" s="68">
        <f t="shared" si="0"/>
        <v>0</v>
      </c>
      <c r="N24" s="8"/>
      <c r="O24" s="69"/>
    </row>
    <row r="25" spans="1:17">
      <c r="A25" s="222">
        <v>22</v>
      </c>
      <c r="B25" s="335">
        <v>46133</v>
      </c>
      <c r="C25" s="67"/>
      <c r="D25" s="159"/>
      <c r="E25" s="104"/>
      <c r="F25" s="257"/>
      <c r="G25" s="8"/>
      <c r="H25" s="104">
        <v>5</v>
      </c>
      <c r="I25" s="257">
        <v>109.94</v>
      </c>
      <c r="J25" s="8">
        <v>549.70000000000005</v>
      </c>
      <c r="K25" s="8">
        <v>549.70000000000005</v>
      </c>
      <c r="L25" s="8">
        <v>549.70000000000005</v>
      </c>
      <c r="M25" s="68">
        <f t="shared" si="0"/>
        <v>0</v>
      </c>
      <c r="N25" s="8"/>
      <c r="O25" s="69"/>
    </row>
    <row r="26" spans="1:17">
      <c r="A26" s="221">
        <v>23</v>
      </c>
      <c r="B26" s="335">
        <v>46134</v>
      </c>
      <c r="C26" s="419" t="s">
        <v>226</v>
      </c>
      <c r="D26" s="314" t="s">
        <v>227</v>
      </c>
      <c r="E26" s="314">
        <v>50</v>
      </c>
      <c r="F26" s="314">
        <v>97.53</v>
      </c>
      <c r="G26" s="314">
        <v>4876.5</v>
      </c>
      <c r="H26" s="314">
        <v>0</v>
      </c>
      <c r="I26" s="314" t="s">
        <v>214</v>
      </c>
      <c r="J26" s="314" t="s">
        <v>214</v>
      </c>
      <c r="K26" s="411">
        <v>4876.5</v>
      </c>
      <c r="L26" s="411">
        <v>4876.5</v>
      </c>
      <c r="M26" s="68">
        <f t="shared" si="0"/>
        <v>0</v>
      </c>
      <c r="N26" s="419" t="s">
        <v>225</v>
      </c>
      <c r="O26" s="69"/>
    </row>
    <row r="27" spans="1:17">
      <c r="A27" s="221">
        <v>24</v>
      </c>
      <c r="B27" s="335">
        <v>46134</v>
      </c>
      <c r="C27" s="434" t="s">
        <v>228</v>
      </c>
      <c r="D27" s="329" t="s">
        <v>229</v>
      </c>
      <c r="E27" s="329">
        <v>0</v>
      </c>
      <c r="F27" s="329" t="s">
        <v>214</v>
      </c>
      <c r="G27" s="329" t="s">
        <v>214</v>
      </c>
      <c r="H27" s="329">
        <v>5</v>
      </c>
      <c r="I27" s="329">
        <v>109.68</v>
      </c>
      <c r="J27" s="329">
        <v>548.4</v>
      </c>
      <c r="K27" s="329">
        <v>548.4</v>
      </c>
      <c r="L27" s="329">
        <v>548.4</v>
      </c>
      <c r="M27" s="68">
        <f t="shared" si="0"/>
        <v>0</v>
      </c>
      <c r="N27" s="426" t="s">
        <v>215</v>
      </c>
      <c r="O27" s="69"/>
    </row>
    <row r="28" spans="1:17">
      <c r="A28" s="222">
        <v>25</v>
      </c>
      <c r="B28" s="335">
        <v>46135</v>
      </c>
      <c r="C28" s="314" t="s">
        <v>230</v>
      </c>
      <c r="D28" s="314" t="s">
        <v>231</v>
      </c>
      <c r="E28" s="314">
        <v>46.24</v>
      </c>
      <c r="F28" s="314">
        <v>97.31</v>
      </c>
      <c r="G28" s="314">
        <v>4500</v>
      </c>
      <c r="H28" s="314">
        <v>0</v>
      </c>
      <c r="I28" s="314" t="s">
        <v>214</v>
      </c>
      <c r="J28" s="314" t="s">
        <v>214</v>
      </c>
      <c r="K28" s="411">
        <v>4500</v>
      </c>
      <c r="L28" s="411">
        <v>4500</v>
      </c>
      <c r="M28" s="68">
        <f t="shared" si="0"/>
        <v>0</v>
      </c>
      <c r="N28" s="8"/>
      <c r="O28" s="69"/>
    </row>
    <row r="29" spans="1:17">
      <c r="A29" s="221">
        <v>26</v>
      </c>
      <c r="B29" s="335">
        <v>46135</v>
      </c>
      <c r="C29" s="434" t="s">
        <v>232</v>
      </c>
      <c r="D29" s="329" t="s">
        <v>233</v>
      </c>
      <c r="E29" s="329">
        <v>105.98</v>
      </c>
      <c r="F29" s="329">
        <v>97.11</v>
      </c>
      <c r="G29" s="329">
        <v>10291.719999999999</v>
      </c>
      <c r="H29" s="329">
        <v>0</v>
      </c>
      <c r="I29" s="329" t="s">
        <v>214</v>
      </c>
      <c r="J29" s="329" t="s">
        <v>214</v>
      </c>
      <c r="K29" s="428">
        <v>10291.719999999999</v>
      </c>
      <c r="L29" s="428">
        <v>10291.719999999999</v>
      </c>
      <c r="M29" s="68">
        <f t="shared" si="0"/>
        <v>0</v>
      </c>
      <c r="N29" s="8"/>
      <c r="O29" s="69"/>
    </row>
    <row r="30" spans="1:17">
      <c r="A30" s="221">
        <v>27</v>
      </c>
      <c r="B30" s="335">
        <v>46136</v>
      </c>
      <c r="C30" s="67" t="s">
        <v>234</v>
      </c>
      <c r="D30" s="159" t="s">
        <v>235</v>
      </c>
      <c r="E30" s="257">
        <v>57.64</v>
      </c>
      <c r="F30" s="257">
        <v>86.75</v>
      </c>
      <c r="G30" s="257">
        <v>5000</v>
      </c>
      <c r="H30" s="257">
        <v>10</v>
      </c>
      <c r="I30" s="257">
        <v>96.91</v>
      </c>
      <c r="J30" s="257">
        <v>969.1</v>
      </c>
      <c r="K30" s="257">
        <v>5969.1</v>
      </c>
      <c r="L30" s="257">
        <v>5969.1</v>
      </c>
      <c r="M30" s="68">
        <f t="shared" si="0"/>
        <v>0</v>
      </c>
      <c r="N30" s="8"/>
      <c r="O30" s="69"/>
    </row>
    <row r="31" spans="1:17">
      <c r="A31" s="222">
        <v>28</v>
      </c>
      <c r="B31" s="335">
        <v>46137</v>
      </c>
      <c r="C31" s="67" t="s">
        <v>218</v>
      </c>
      <c r="D31" s="159" t="s">
        <v>217</v>
      </c>
      <c r="E31" s="257">
        <v>10.34</v>
      </c>
      <c r="F31" s="257">
        <v>96.74</v>
      </c>
      <c r="G31" s="257">
        <f>E31*F31</f>
        <v>1000.2915999999999</v>
      </c>
      <c r="H31" s="257">
        <v>0</v>
      </c>
      <c r="I31" s="257">
        <v>0</v>
      </c>
      <c r="J31" s="257">
        <v>0</v>
      </c>
      <c r="K31" s="257">
        <v>1000.29</v>
      </c>
      <c r="L31" s="257">
        <v>1000.29</v>
      </c>
      <c r="M31" s="68">
        <f t="shared" si="0"/>
        <v>0</v>
      </c>
      <c r="N31" s="8"/>
      <c r="O31" s="69"/>
    </row>
    <row r="32" spans="1:17">
      <c r="A32" s="221">
        <v>29</v>
      </c>
      <c r="B32" s="335">
        <v>46137</v>
      </c>
      <c r="C32" s="67" t="s">
        <v>218</v>
      </c>
      <c r="D32" s="159" t="s">
        <v>217</v>
      </c>
      <c r="E32" s="257">
        <v>0</v>
      </c>
      <c r="F32" s="257"/>
      <c r="G32" s="257"/>
      <c r="H32" s="257">
        <v>5</v>
      </c>
      <c r="I32" s="257">
        <v>118.33</v>
      </c>
      <c r="J32" s="257">
        <v>591.65</v>
      </c>
      <c r="K32" s="257">
        <v>591.65</v>
      </c>
      <c r="L32" s="257">
        <v>591.65</v>
      </c>
      <c r="M32" s="68">
        <f t="shared" si="0"/>
        <v>0</v>
      </c>
      <c r="N32" s="8"/>
      <c r="O32" s="69"/>
    </row>
    <row r="33" spans="1:15">
      <c r="A33" s="221">
        <v>30</v>
      </c>
      <c r="B33" s="335">
        <v>46137</v>
      </c>
      <c r="C33" s="104" t="s">
        <v>213</v>
      </c>
      <c r="D33" s="104" t="s">
        <v>95</v>
      </c>
      <c r="E33" s="257">
        <v>0</v>
      </c>
      <c r="F33" s="257"/>
      <c r="G33" s="257"/>
      <c r="H33" s="257">
        <v>5</v>
      </c>
      <c r="I33" s="257">
        <v>109.94</v>
      </c>
      <c r="J33" s="257">
        <v>549.70000000000005</v>
      </c>
      <c r="K33" s="257">
        <v>549.70000000000005</v>
      </c>
      <c r="L33" s="257">
        <v>549.70000000000005</v>
      </c>
      <c r="M33" s="68">
        <f t="shared" si="0"/>
        <v>0</v>
      </c>
      <c r="N33" s="8"/>
      <c r="O33" s="69"/>
    </row>
    <row r="34" spans="1:15">
      <c r="A34" s="221">
        <v>30</v>
      </c>
      <c r="B34" s="335">
        <v>46138</v>
      </c>
      <c r="C34" s="104" t="s">
        <v>236</v>
      </c>
      <c r="D34" s="104" t="s">
        <v>95</v>
      </c>
      <c r="E34" s="104">
        <v>30.72</v>
      </c>
      <c r="F34" s="104">
        <v>97.67</v>
      </c>
      <c r="G34" s="257">
        <f>E34*F34</f>
        <v>3000.4223999999999</v>
      </c>
      <c r="H34" s="104">
        <v>0</v>
      </c>
      <c r="I34" s="104"/>
      <c r="J34" s="104"/>
      <c r="K34" s="407">
        <v>3000</v>
      </c>
      <c r="L34" s="407">
        <v>3000</v>
      </c>
      <c r="M34" s="68">
        <f t="shared" si="0"/>
        <v>0</v>
      </c>
      <c r="N34" s="8"/>
      <c r="O34" s="69"/>
    </row>
    <row r="35" spans="1:15">
      <c r="A35" s="222">
        <v>31</v>
      </c>
      <c r="B35" s="335">
        <v>46138</v>
      </c>
      <c r="C35" s="443" t="s">
        <v>237</v>
      </c>
      <c r="D35" s="444" t="s">
        <v>238</v>
      </c>
      <c r="E35" s="445">
        <v>100</v>
      </c>
      <c r="F35" s="446">
        <v>100</v>
      </c>
      <c r="G35" s="447">
        <v>10000</v>
      </c>
      <c r="H35" s="445">
        <v>0</v>
      </c>
      <c r="I35" s="446"/>
      <c r="J35" s="447"/>
      <c r="K35" s="447">
        <v>10000</v>
      </c>
      <c r="L35" s="447">
        <v>10000</v>
      </c>
      <c r="M35" s="68">
        <f t="shared" si="0"/>
        <v>0</v>
      </c>
      <c r="N35" s="8"/>
      <c r="O35" s="69"/>
    </row>
    <row r="36" spans="1:15">
      <c r="A36" s="221">
        <v>32</v>
      </c>
      <c r="B36" s="335">
        <v>46139</v>
      </c>
      <c r="C36" s="67" t="s">
        <v>218</v>
      </c>
      <c r="D36" s="159" t="s">
        <v>217</v>
      </c>
      <c r="E36" s="104">
        <v>47.79</v>
      </c>
      <c r="F36" s="257">
        <v>96.74</v>
      </c>
      <c r="G36" s="8">
        <v>4623.2</v>
      </c>
      <c r="H36" s="104">
        <v>15</v>
      </c>
      <c r="I36" s="257">
        <v>108.86</v>
      </c>
      <c r="J36" s="8">
        <v>1632.9</v>
      </c>
      <c r="K36" s="8">
        <v>6256.1</v>
      </c>
      <c r="L36" s="8">
        <v>6256.1</v>
      </c>
      <c r="M36" s="68">
        <f t="shared" si="0"/>
        <v>0</v>
      </c>
      <c r="N36" s="426" t="s">
        <v>215</v>
      </c>
      <c r="O36" s="69"/>
    </row>
    <row r="37" spans="1:15">
      <c r="A37" s="221">
        <v>33</v>
      </c>
      <c r="B37" s="335">
        <v>46139</v>
      </c>
      <c r="C37" s="67" t="s">
        <v>239</v>
      </c>
      <c r="D37" s="159" t="s">
        <v>95</v>
      </c>
      <c r="E37" s="104">
        <v>122.68</v>
      </c>
      <c r="F37" s="257">
        <v>97.81</v>
      </c>
      <c r="G37" s="8">
        <v>12000</v>
      </c>
      <c r="H37" s="104">
        <v>0</v>
      </c>
      <c r="I37" s="257"/>
      <c r="J37" s="8"/>
      <c r="K37" s="8">
        <v>12000</v>
      </c>
      <c r="L37" s="8">
        <v>12000</v>
      </c>
      <c r="M37" s="68">
        <f t="shared" si="0"/>
        <v>0</v>
      </c>
      <c r="N37" s="8" t="s">
        <v>240</v>
      </c>
      <c r="O37" s="69"/>
    </row>
    <row r="38" spans="1:15">
      <c r="A38" s="221"/>
      <c r="B38" s="335">
        <v>46140</v>
      </c>
      <c r="C38" s="128" t="s">
        <v>218</v>
      </c>
      <c r="D38" s="129" t="s">
        <v>217</v>
      </c>
      <c r="E38" s="308">
        <v>32.28</v>
      </c>
      <c r="F38" s="452">
        <v>96.74</v>
      </c>
      <c r="G38" s="19">
        <v>3122.77</v>
      </c>
      <c r="H38" s="308">
        <v>0</v>
      </c>
      <c r="I38" s="452"/>
      <c r="J38" s="19"/>
      <c r="K38" s="19">
        <v>3122.77</v>
      </c>
      <c r="L38" s="19">
        <v>3122.77</v>
      </c>
      <c r="M38" s="68">
        <f t="shared" si="0"/>
        <v>0</v>
      </c>
      <c r="N38" s="426" t="s">
        <v>215</v>
      </c>
      <c r="O38" s="69"/>
    </row>
    <row r="39" spans="1:15">
      <c r="A39" s="221"/>
      <c r="B39" s="335">
        <v>46141</v>
      </c>
      <c r="C39" s="419" t="s">
        <v>218</v>
      </c>
      <c r="D39" s="425" t="s">
        <v>217</v>
      </c>
      <c r="E39" s="425">
        <v>38.32</v>
      </c>
      <c r="F39" s="314">
        <v>96.74</v>
      </c>
      <c r="G39" s="314">
        <v>3707.08</v>
      </c>
      <c r="H39" s="314">
        <v>0</v>
      </c>
      <c r="I39" s="314" t="s">
        <v>214</v>
      </c>
      <c r="J39" s="314" t="s">
        <v>214</v>
      </c>
      <c r="K39" s="411">
        <v>3707.08</v>
      </c>
      <c r="L39" s="411">
        <v>3707.08</v>
      </c>
      <c r="M39" s="68">
        <f t="shared" si="0"/>
        <v>0</v>
      </c>
      <c r="N39" s="19"/>
      <c r="O39" s="69"/>
    </row>
    <row r="40" spans="1:15">
      <c r="A40" s="221"/>
      <c r="B40" s="335">
        <v>46142</v>
      </c>
      <c r="C40" s="458" t="s">
        <v>218</v>
      </c>
      <c r="D40" s="459" t="s">
        <v>217</v>
      </c>
      <c r="E40" s="425">
        <v>56.57</v>
      </c>
      <c r="F40" s="425">
        <v>96.74</v>
      </c>
      <c r="G40" s="425">
        <v>5472.58</v>
      </c>
      <c r="H40" s="425" t="s">
        <v>214</v>
      </c>
      <c r="I40" s="425" t="s">
        <v>214</v>
      </c>
      <c r="J40" s="425" t="s">
        <v>214</v>
      </c>
      <c r="K40" s="460">
        <v>5472.58</v>
      </c>
      <c r="L40" s="460">
        <v>5472.58</v>
      </c>
      <c r="M40" s="68">
        <f t="shared" si="0"/>
        <v>0</v>
      </c>
      <c r="N40" s="19"/>
      <c r="O40" s="69"/>
    </row>
    <row r="41" spans="1:15">
      <c r="A41" s="221"/>
      <c r="B41" s="335">
        <v>46142</v>
      </c>
      <c r="C41" s="419" t="s">
        <v>213</v>
      </c>
      <c r="D41" s="425" t="s">
        <v>95</v>
      </c>
      <c r="E41" s="427">
        <v>0</v>
      </c>
      <c r="F41" s="427" t="s">
        <v>214</v>
      </c>
      <c r="G41" s="427" t="s">
        <v>214</v>
      </c>
      <c r="H41" s="427">
        <v>5</v>
      </c>
      <c r="I41" s="427">
        <v>109.94</v>
      </c>
      <c r="J41" s="427">
        <v>549.70000000000005</v>
      </c>
      <c r="K41" s="427">
        <v>549.70000000000005</v>
      </c>
      <c r="L41" s="427">
        <v>549.70000000000005</v>
      </c>
      <c r="M41" s="68">
        <f t="shared" si="0"/>
        <v>0</v>
      </c>
      <c r="N41" s="19"/>
      <c r="O41" s="69"/>
    </row>
    <row r="42" spans="1:15">
      <c r="A42" s="221"/>
      <c r="B42" s="451"/>
      <c r="C42" s="128"/>
      <c r="D42" s="129"/>
      <c r="E42" s="308"/>
      <c r="F42" s="452"/>
      <c r="G42" s="19"/>
      <c r="H42" s="308"/>
      <c r="I42" s="452"/>
      <c r="J42" s="19"/>
      <c r="K42" s="19"/>
      <c r="L42" s="130"/>
      <c r="M42" s="68">
        <f t="shared" si="0"/>
        <v>0</v>
      </c>
      <c r="N42" s="19"/>
      <c r="O42" s="69"/>
    </row>
    <row r="43" spans="1:15">
      <c r="A43" s="221"/>
      <c r="B43" s="451"/>
      <c r="C43" s="128"/>
      <c r="D43" s="129"/>
      <c r="E43" s="308"/>
      <c r="F43" s="452"/>
      <c r="G43" s="19"/>
      <c r="H43" s="308"/>
      <c r="I43" s="452"/>
      <c r="J43" s="19"/>
      <c r="K43" s="19"/>
      <c r="L43" s="130"/>
      <c r="M43" s="68">
        <f t="shared" si="0"/>
        <v>0</v>
      </c>
      <c r="N43" s="19"/>
      <c r="O43" s="69"/>
    </row>
    <row r="44" spans="1:15">
      <c r="A44" s="221"/>
      <c r="B44" s="451"/>
      <c r="C44" s="128"/>
      <c r="D44" s="129"/>
      <c r="E44" s="308"/>
      <c r="F44" s="452"/>
      <c r="G44" s="19"/>
      <c r="H44" s="308"/>
      <c r="I44" s="452"/>
      <c r="J44" s="19"/>
      <c r="K44" s="19"/>
      <c r="L44" s="130"/>
      <c r="M44" s="130"/>
      <c r="N44" s="19"/>
      <c r="O44" s="69"/>
    </row>
    <row r="45" spans="1:15">
      <c r="A45" s="221"/>
      <c r="B45" s="451"/>
      <c r="C45" s="128"/>
      <c r="D45" s="129"/>
      <c r="E45" s="308"/>
      <c r="F45" s="452"/>
      <c r="G45" s="19"/>
      <c r="H45" s="308"/>
      <c r="I45" s="452"/>
      <c r="J45" s="19"/>
      <c r="K45" s="19"/>
      <c r="L45" s="130"/>
      <c r="M45" s="130"/>
      <c r="N45" s="19"/>
      <c r="O45" s="69"/>
    </row>
    <row r="46" spans="1:15">
      <c r="A46" s="221"/>
      <c r="B46" s="451"/>
      <c r="C46" s="128"/>
      <c r="D46" s="129"/>
      <c r="E46" s="308"/>
      <c r="F46" s="452"/>
      <c r="G46" s="19"/>
      <c r="H46" s="308"/>
      <c r="I46" s="452"/>
      <c r="J46" s="19"/>
      <c r="K46" s="19"/>
      <c r="L46" s="130"/>
      <c r="M46" s="130"/>
      <c r="N46" s="19"/>
      <c r="O46" s="69"/>
    </row>
    <row r="47" spans="1:15">
      <c r="A47" s="221"/>
      <c r="B47" s="451"/>
      <c r="C47" s="128"/>
      <c r="D47" s="129"/>
      <c r="E47" s="308"/>
      <c r="F47" s="452"/>
      <c r="G47" s="19"/>
      <c r="H47" s="308"/>
      <c r="I47" s="452"/>
      <c r="J47" s="19"/>
      <c r="K47" s="19"/>
      <c r="L47" s="130"/>
      <c r="M47" s="130"/>
      <c r="N47" s="19"/>
      <c r="O47" s="69"/>
    </row>
    <row r="48" spans="1:15">
      <c r="A48" s="62"/>
      <c r="B48" s="160"/>
      <c r="C48" s="160"/>
      <c r="D48" s="160"/>
      <c r="E48" s="409">
        <f>SUM(E4:E37)</f>
        <v>1141.6500000000001</v>
      </c>
      <c r="F48" s="409"/>
      <c r="G48" s="161">
        <f>SUM(G4:G37)</f>
        <v>110749.41139999998</v>
      </c>
      <c r="H48" s="161">
        <f>SUM(H4:H37)</f>
        <v>105</v>
      </c>
      <c r="I48" s="161"/>
      <c r="J48" s="161">
        <f>SUM(J4:J37)</f>
        <v>11422.349999999999</v>
      </c>
      <c r="K48" s="161">
        <f>SUM(K4:K37)</f>
        <v>122171.33739999999</v>
      </c>
      <c r="L48" s="161">
        <f>SUM(L4:L37)</f>
        <v>122171.33739999999</v>
      </c>
      <c r="M48" s="161"/>
      <c r="N48" s="161"/>
      <c r="O48" s="59"/>
    </row>
    <row r="49" spans="1:15">
      <c r="A49" s="72"/>
      <c r="B49" s="73"/>
      <c r="C49" s="72"/>
      <c r="D49" s="72"/>
      <c r="E49" s="74"/>
      <c r="F49" s="74"/>
      <c r="G49" s="74"/>
      <c r="H49" s="74"/>
      <c r="I49" s="74"/>
      <c r="J49" s="75"/>
      <c r="K49" s="75"/>
      <c r="L49" s="75"/>
      <c r="M49" s="75"/>
      <c r="N49" s="74"/>
      <c r="O49" s="69"/>
    </row>
    <row r="50" spans="1:15">
      <c r="O50" s="69"/>
    </row>
    <row r="51" spans="1:15">
      <c r="O51" s="69"/>
    </row>
    <row r="52" spans="1:15">
      <c r="O52" s="69"/>
    </row>
    <row r="53" spans="1:15">
      <c r="O53" s="69"/>
    </row>
    <row r="54" spans="1:15">
      <c r="O54" s="69"/>
    </row>
    <row r="55" spans="1:15">
      <c r="A55" s="69"/>
      <c r="B55" s="59"/>
      <c r="C55" s="69"/>
      <c r="D55" s="69"/>
      <c r="E55" s="69"/>
      <c r="F55" s="69"/>
      <c r="G55" s="76"/>
      <c r="H55" s="69"/>
      <c r="I55" s="69"/>
      <c r="J55" s="59"/>
      <c r="K55" s="59"/>
      <c r="L55" s="59"/>
      <c r="M55" s="59"/>
      <c r="N55" s="69"/>
      <c r="O55" s="74"/>
    </row>
    <row r="56" spans="1:15">
      <c r="A56" s="69"/>
      <c r="B56" s="490"/>
      <c r="C56" s="490"/>
      <c r="D56" s="490"/>
      <c r="E56" s="490"/>
      <c r="F56" s="69"/>
      <c r="G56" s="69"/>
      <c r="H56" s="69"/>
      <c r="I56" s="490"/>
      <c r="J56" s="490"/>
      <c r="K56" s="490"/>
      <c r="L56" s="490"/>
      <c r="M56" s="490"/>
      <c r="N56" s="490"/>
      <c r="O56" s="74"/>
    </row>
    <row r="57" spans="1:15">
      <c r="A57" s="69"/>
      <c r="B57" s="59"/>
      <c r="C57" s="69"/>
      <c r="D57" s="69"/>
      <c r="E57" s="69"/>
      <c r="F57" s="69"/>
      <c r="G57" s="69"/>
      <c r="H57" s="69"/>
      <c r="I57" s="69"/>
      <c r="J57" s="59"/>
      <c r="K57" s="59"/>
      <c r="L57" s="59"/>
      <c r="M57" s="59"/>
      <c r="N57" s="69"/>
      <c r="O57" s="74"/>
    </row>
  </sheetData>
  <mergeCells count="3">
    <mergeCell ref="A3:L3"/>
    <mergeCell ref="B56:E56"/>
    <mergeCell ref="I56:N5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E42E-2155-45C4-A3B6-7C5C764249F4}">
  <dimension ref="A1:R45"/>
  <sheetViews>
    <sheetView workbookViewId="0">
      <selection activeCell="L13" sqref="L13"/>
    </sheetView>
  </sheetViews>
  <sheetFormatPr defaultColWidth="22.5703125" defaultRowHeight="15"/>
  <cols>
    <col min="1" max="1" width="10.5703125" customWidth="1"/>
    <col min="2" max="2" width="16.5703125" customWidth="1"/>
    <col min="3" max="3" width="11.85546875" customWidth="1"/>
    <col min="4" max="4" width="15.28515625" customWidth="1"/>
    <col min="5" max="5" width="12.7109375" customWidth="1"/>
    <col min="6" max="6" width="14.42578125" customWidth="1"/>
    <col min="7" max="7" width="10.85546875" bestFit="1" customWidth="1"/>
    <col min="8" max="8" width="16.140625" customWidth="1"/>
    <col min="9" max="9" width="15.140625" customWidth="1"/>
    <col min="10" max="10" width="9.7109375" bestFit="1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481" t="s">
        <v>211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82"/>
    </row>
    <row r="2" spans="1:18" ht="30.75">
      <c r="A2" s="98" t="s">
        <v>0</v>
      </c>
      <c r="B2" s="99" t="s">
        <v>164</v>
      </c>
      <c r="C2" s="99" t="s">
        <v>165</v>
      </c>
      <c r="D2" s="99" t="s">
        <v>208</v>
      </c>
      <c r="E2" s="256" t="s">
        <v>167</v>
      </c>
      <c r="F2" s="256" t="s">
        <v>168</v>
      </c>
      <c r="G2" s="99" t="s">
        <v>169</v>
      </c>
      <c r="H2" s="99" t="s">
        <v>170</v>
      </c>
      <c r="I2" s="99" t="s">
        <v>168</v>
      </c>
      <c r="J2" s="138" t="s">
        <v>169</v>
      </c>
      <c r="K2" s="100" t="s">
        <v>171</v>
      </c>
      <c r="L2" s="139" t="s">
        <v>172</v>
      </c>
      <c r="M2" s="143" t="s">
        <v>209</v>
      </c>
      <c r="N2" s="101" t="s">
        <v>174</v>
      </c>
      <c r="O2" s="59"/>
    </row>
    <row r="3" spans="1:18">
      <c r="A3" s="482" t="s">
        <v>175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4"/>
      <c r="M3" s="148">
        <v>0</v>
      </c>
      <c r="N3" s="156"/>
      <c r="O3" s="59"/>
    </row>
    <row r="4" spans="1:18">
      <c r="A4" s="196">
        <v>1</v>
      </c>
      <c r="B4" s="219">
        <v>46113</v>
      </c>
      <c r="C4" s="67"/>
      <c r="D4" s="159"/>
      <c r="E4" s="257"/>
      <c r="F4" s="257"/>
      <c r="G4" s="8">
        <f t="shared" ref="G4:G35" si="0">E4*F4</f>
        <v>0</v>
      </c>
      <c r="H4" s="65"/>
      <c r="I4" s="66"/>
      <c r="J4" s="8">
        <f>H4*I4</f>
        <v>0</v>
      </c>
      <c r="K4" s="8">
        <f>G4+J4</f>
        <v>0</v>
      </c>
      <c r="L4" s="68">
        <f>+K4</f>
        <v>0</v>
      </c>
      <c r="M4" s="68">
        <v>0</v>
      </c>
      <c r="N4" s="8"/>
    </row>
    <row r="5" spans="1:18">
      <c r="A5" s="46">
        <v>2</v>
      </c>
      <c r="B5" s="219">
        <v>46114</v>
      </c>
      <c r="C5" s="67"/>
      <c r="E5" s="257"/>
      <c r="F5" s="257"/>
      <c r="G5" s="8">
        <f t="shared" si="0"/>
        <v>0</v>
      </c>
      <c r="H5" s="65"/>
      <c r="I5" s="66"/>
      <c r="J5" s="8">
        <f t="shared" ref="J5:J35" si="1">H5*I5</f>
        <v>0</v>
      </c>
      <c r="K5" s="8">
        <f t="shared" ref="K5:K35" si="2">G5+J5</f>
        <v>0</v>
      </c>
      <c r="L5" s="68">
        <f t="shared" ref="L5:L35" si="3">+K5</f>
        <v>0</v>
      </c>
      <c r="M5" s="68">
        <v>0</v>
      </c>
      <c r="N5" s="182" t="s">
        <v>225</v>
      </c>
    </row>
    <row r="6" spans="1:18">
      <c r="A6" s="46">
        <v>3</v>
      </c>
      <c r="B6" s="219">
        <v>46115</v>
      </c>
      <c r="C6" s="67"/>
      <c r="D6" s="159"/>
      <c r="E6" s="257"/>
      <c r="F6" s="257"/>
      <c r="G6" s="8">
        <f t="shared" si="0"/>
        <v>0</v>
      </c>
      <c r="H6" s="65"/>
      <c r="I6" s="66"/>
      <c r="J6" s="8">
        <f t="shared" si="1"/>
        <v>0</v>
      </c>
      <c r="K6" s="8">
        <f t="shared" si="2"/>
        <v>0</v>
      </c>
      <c r="L6" s="68">
        <f t="shared" si="3"/>
        <v>0</v>
      </c>
      <c r="M6" s="394">
        <v>0</v>
      </c>
      <c r="N6" s="17"/>
    </row>
    <row r="7" spans="1:18">
      <c r="A7" s="46">
        <v>4</v>
      </c>
      <c r="B7" s="219">
        <v>46116</v>
      </c>
      <c r="C7" s="67"/>
      <c r="D7" s="159"/>
      <c r="E7" s="257"/>
      <c r="F7" s="257"/>
      <c r="G7" s="8">
        <f t="shared" si="0"/>
        <v>0</v>
      </c>
      <c r="H7" s="65"/>
      <c r="I7" s="66"/>
      <c r="J7" s="8">
        <f t="shared" si="1"/>
        <v>0</v>
      </c>
      <c r="K7" s="8">
        <f t="shared" si="2"/>
        <v>0</v>
      </c>
      <c r="L7" s="68">
        <f t="shared" si="3"/>
        <v>0</v>
      </c>
      <c r="M7" s="394">
        <v>0</v>
      </c>
      <c r="N7" s="8"/>
    </row>
    <row r="8" spans="1:18">
      <c r="A8" s="46">
        <v>5</v>
      </c>
      <c r="B8" s="219">
        <v>46117</v>
      </c>
      <c r="C8" s="67"/>
      <c r="D8" s="159"/>
      <c r="E8" s="257"/>
      <c r="F8" s="257"/>
      <c r="G8" s="8">
        <f t="shared" si="0"/>
        <v>0</v>
      </c>
      <c r="H8" s="65"/>
      <c r="I8" s="66"/>
      <c r="J8" s="8">
        <f t="shared" si="1"/>
        <v>0</v>
      </c>
      <c r="K8" s="8">
        <f t="shared" si="2"/>
        <v>0</v>
      </c>
      <c r="L8" s="68">
        <f t="shared" si="3"/>
        <v>0</v>
      </c>
      <c r="M8" s="394">
        <v>0</v>
      </c>
      <c r="N8" s="8"/>
      <c r="O8" s="69"/>
      <c r="R8" s="225"/>
    </row>
    <row r="9" spans="1:18">
      <c r="A9" s="46">
        <v>6</v>
      </c>
      <c r="B9" s="219">
        <v>46118</v>
      </c>
      <c r="C9" s="67"/>
      <c r="D9" s="159"/>
      <c r="E9" s="257"/>
      <c r="F9" s="257"/>
      <c r="G9" s="8">
        <f t="shared" si="0"/>
        <v>0</v>
      </c>
      <c r="H9" s="65"/>
      <c r="I9" s="66"/>
      <c r="J9" s="8">
        <f t="shared" si="1"/>
        <v>0</v>
      </c>
      <c r="K9" s="8">
        <f t="shared" si="2"/>
        <v>0</v>
      </c>
      <c r="L9" s="68">
        <f t="shared" si="3"/>
        <v>0</v>
      </c>
      <c r="M9" s="68">
        <v>0</v>
      </c>
      <c r="N9" s="19" t="s">
        <v>178</v>
      </c>
      <c r="O9" s="69"/>
    </row>
    <row r="10" spans="1:18">
      <c r="A10" s="46">
        <v>7</v>
      </c>
      <c r="B10" s="219">
        <v>46119</v>
      </c>
      <c r="C10" s="67"/>
      <c r="D10" s="159"/>
      <c r="E10" s="257"/>
      <c r="F10" s="257"/>
      <c r="G10" s="8">
        <f t="shared" si="0"/>
        <v>0</v>
      </c>
      <c r="H10" s="65"/>
      <c r="I10" s="66"/>
      <c r="J10" s="8">
        <f t="shared" si="1"/>
        <v>0</v>
      </c>
      <c r="K10" s="8">
        <f t="shared" si="2"/>
        <v>0</v>
      </c>
      <c r="L10" s="68">
        <f t="shared" si="3"/>
        <v>0</v>
      </c>
      <c r="M10" s="68">
        <v>0</v>
      </c>
      <c r="N10" s="8"/>
      <c r="O10" s="69">
        <v>169.99</v>
      </c>
    </row>
    <row r="11" spans="1:18">
      <c r="A11" s="46">
        <v>8</v>
      </c>
      <c r="B11" s="219">
        <v>46120</v>
      </c>
      <c r="C11" s="67"/>
      <c r="D11" s="159"/>
      <c r="E11" s="257"/>
      <c r="F11" s="257"/>
      <c r="G11" s="8">
        <f t="shared" si="0"/>
        <v>0</v>
      </c>
      <c r="H11" s="65"/>
      <c r="I11" s="66"/>
      <c r="J11" s="8">
        <f t="shared" si="1"/>
        <v>0</v>
      </c>
      <c r="K11" s="8">
        <f t="shared" si="2"/>
        <v>0</v>
      </c>
      <c r="L11" s="68">
        <f t="shared" si="3"/>
        <v>0</v>
      </c>
      <c r="M11" s="68">
        <v>0</v>
      </c>
      <c r="N11" s="8"/>
      <c r="O11" s="69">
        <v>80</v>
      </c>
    </row>
    <row r="12" spans="1:18">
      <c r="A12" s="46">
        <v>9</v>
      </c>
      <c r="B12" s="219">
        <v>46121</v>
      </c>
      <c r="C12" s="67"/>
      <c r="D12" s="159"/>
      <c r="E12" s="257"/>
      <c r="F12" s="257"/>
      <c r="G12" s="8">
        <f t="shared" si="0"/>
        <v>0</v>
      </c>
      <c r="H12" s="65"/>
      <c r="I12" s="66"/>
      <c r="J12" s="8">
        <f t="shared" si="1"/>
        <v>0</v>
      </c>
      <c r="K12" s="8">
        <f t="shared" si="2"/>
        <v>0</v>
      </c>
      <c r="L12" s="68">
        <f t="shared" si="3"/>
        <v>0</v>
      </c>
      <c r="M12" s="68">
        <v>0</v>
      </c>
      <c r="N12" s="8"/>
      <c r="O12" s="69">
        <f>SUM(O10:O11)</f>
        <v>249.99</v>
      </c>
      <c r="P12">
        <v>97.76</v>
      </c>
      <c r="Q12">
        <f>O12*P12</f>
        <v>24439.022400000002</v>
      </c>
    </row>
    <row r="13" spans="1:18">
      <c r="A13" s="46">
        <v>10</v>
      </c>
      <c r="B13" s="219">
        <v>46122</v>
      </c>
      <c r="C13" s="67"/>
      <c r="D13" s="159"/>
      <c r="E13" s="257"/>
      <c r="F13" s="257"/>
      <c r="G13" s="8">
        <f t="shared" si="0"/>
        <v>0</v>
      </c>
      <c r="H13" s="65"/>
      <c r="I13" s="66"/>
      <c r="J13" s="8">
        <f t="shared" si="1"/>
        <v>0</v>
      </c>
      <c r="K13" s="8">
        <f t="shared" si="2"/>
        <v>0</v>
      </c>
      <c r="L13" s="68">
        <f t="shared" si="3"/>
        <v>0</v>
      </c>
      <c r="M13" s="68">
        <v>0</v>
      </c>
      <c r="N13" s="8"/>
      <c r="O13" s="69"/>
    </row>
    <row r="14" spans="1:18">
      <c r="A14" s="46">
        <v>11</v>
      </c>
      <c r="B14" s="219">
        <v>46123</v>
      </c>
      <c r="C14" s="67"/>
      <c r="D14" s="159"/>
      <c r="E14" s="257"/>
      <c r="F14" s="257"/>
      <c r="G14" s="8">
        <f t="shared" si="0"/>
        <v>0</v>
      </c>
      <c r="H14" s="65"/>
      <c r="I14" s="66"/>
      <c r="J14" s="8">
        <f t="shared" si="1"/>
        <v>0</v>
      </c>
      <c r="K14" s="8">
        <f>G14+J14</f>
        <v>0</v>
      </c>
      <c r="L14" s="68">
        <f>+K14</f>
        <v>0</v>
      </c>
      <c r="M14" s="68">
        <v>0</v>
      </c>
      <c r="N14" s="8"/>
      <c r="O14" s="69"/>
    </row>
    <row r="15" spans="1:18">
      <c r="A15" s="46">
        <v>12</v>
      </c>
      <c r="B15" s="219">
        <v>46124</v>
      </c>
      <c r="C15" s="67"/>
      <c r="D15" s="159"/>
      <c r="E15" s="257"/>
      <c r="F15" s="257"/>
      <c r="G15" s="8">
        <f t="shared" si="0"/>
        <v>0</v>
      </c>
      <c r="H15" s="65"/>
      <c r="I15" s="66"/>
      <c r="J15" s="8">
        <f t="shared" si="1"/>
        <v>0</v>
      </c>
      <c r="K15" s="8">
        <f t="shared" si="2"/>
        <v>0</v>
      </c>
      <c r="L15" s="68">
        <f t="shared" si="3"/>
        <v>0</v>
      </c>
      <c r="M15" s="68">
        <v>0</v>
      </c>
      <c r="N15" s="8"/>
      <c r="O15" s="69"/>
      <c r="P15">
        <v>7820.8</v>
      </c>
    </row>
    <row r="16" spans="1:18">
      <c r="A16" s="46">
        <v>13</v>
      </c>
      <c r="B16" s="219">
        <v>46125</v>
      </c>
      <c r="C16" s="67"/>
      <c r="D16" s="159"/>
      <c r="E16" s="257"/>
      <c r="F16" s="257"/>
      <c r="G16" s="8">
        <f t="shared" si="0"/>
        <v>0</v>
      </c>
      <c r="H16" s="65"/>
      <c r="I16" s="66"/>
      <c r="J16" s="8">
        <f t="shared" si="1"/>
        <v>0</v>
      </c>
      <c r="K16" s="8">
        <f t="shared" si="2"/>
        <v>0</v>
      </c>
      <c r="L16" s="68">
        <f t="shared" si="3"/>
        <v>0</v>
      </c>
      <c r="M16" s="68">
        <v>0</v>
      </c>
      <c r="N16" s="8"/>
      <c r="O16" s="69"/>
      <c r="P16">
        <v>16619.2</v>
      </c>
    </row>
    <row r="17" spans="1:16">
      <c r="A17" s="46">
        <v>14</v>
      </c>
      <c r="B17" s="219">
        <v>46126</v>
      </c>
      <c r="C17" s="67"/>
      <c r="D17" s="159"/>
      <c r="E17" s="257"/>
      <c r="F17" s="257"/>
      <c r="G17" s="8">
        <f t="shared" si="0"/>
        <v>0</v>
      </c>
      <c r="H17" s="65"/>
      <c r="I17" s="66"/>
      <c r="J17" s="8">
        <f t="shared" si="1"/>
        <v>0</v>
      </c>
      <c r="K17" s="8">
        <f t="shared" si="2"/>
        <v>0</v>
      </c>
      <c r="L17" s="68">
        <f t="shared" si="3"/>
        <v>0</v>
      </c>
      <c r="M17" s="68">
        <v>0</v>
      </c>
      <c r="N17" s="8"/>
      <c r="O17" s="69"/>
      <c r="P17">
        <f>SUM(P15:P16)</f>
        <v>24440</v>
      </c>
    </row>
    <row r="18" spans="1:16">
      <c r="A18" s="46">
        <v>15</v>
      </c>
      <c r="B18" s="219">
        <v>46127</v>
      </c>
      <c r="C18" s="67"/>
      <c r="D18" s="159"/>
      <c r="E18" s="332"/>
      <c r="F18" s="332"/>
      <c r="G18" s="182">
        <f t="shared" si="0"/>
        <v>0</v>
      </c>
      <c r="H18" s="65"/>
      <c r="I18" s="66"/>
      <c r="J18" s="182">
        <f t="shared" si="1"/>
        <v>0</v>
      </c>
      <c r="K18" s="182">
        <f t="shared" si="2"/>
        <v>0</v>
      </c>
      <c r="L18" s="333">
        <f t="shared" si="3"/>
        <v>0</v>
      </c>
      <c r="M18" s="333">
        <v>0</v>
      </c>
      <c r="N18" s="8"/>
      <c r="O18" s="69"/>
    </row>
    <row r="19" spans="1:16">
      <c r="A19" s="46">
        <v>16</v>
      </c>
      <c r="B19" s="219">
        <v>46128</v>
      </c>
      <c r="C19" s="67"/>
      <c r="D19" s="331"/>
      <c r="E19" s="257"/>
      <c r="F19" s="257"/>
      <c r="G19" s="8">
        <f t="shared" si="0"/>
        <v>0</v>
      </c>
      <c r="H19" s="65"/>
      <c r="I19" s="66"/>
      <c r="J19" s="8">
        <f t="shared" si="1"/>
        <v>0</v>
      </c>
      <c r="K19" s="8">
        <f t="shared" si="2"/>
        <v>0</v>
      </c>
      <c r="L19" s="68">
        <f>+K19</f>
        <v>0</v>
      </c>
      <c r="M19" s="68">
        <v>0</v>
      </c>
      <c r="N19" s="193"/>
      <c r="O19" s="69"/>
    </row>
    <row r="20" spans="1:16">
      <c r="A20" s="46">
        <v>17</v>
      </c>
      <c r="B20" s="219">
        <v>46129</v>
      </c>
      <c r="C20" s="67"/>
      <c r="D20" s="331"/>
      <c r="E20" s="257"/>
      <c r="F20" s="257"/>
      <c r="G20" s="8">
        <f t="shared" si="0"/>
        <v>0</v>
      </c>
      <c r="H20" s="65"/>
      <c r="I20" s="66"/>
      <c r="J20" s="8">
        <f t="shared" si="1"/>
        <v>0</v>
      </c>
      <c r="K20" s="8">
        <f t="shared" si="2"/>
        <v>0</v>
      </c>
      <c r="L20" s="68">
        <f t="shared" si="3"/>
        <v>0</v>
      </c>
      <c r="M20" s="68">
        <v>0</v>
      </c>
      <c r="N20" s="193"/>
      <c r="O20" s="69"/>
    </row>
    <row r="21" spans="1:16">
      <c r="A21" s="46">
        <v>18</v>
      </c>
      <c r="B21" s="219">
        <v>46130</v>
      </c>
      <c r="C21" s="67"/>
      <c r="D21" s="331"/>
      <c r="E21" s="17"/>
      <c r="F21" s="17"/>
      <c r="G21" s="8">
        <f t="shared" si="0"/>
        <v>0</v>
      </c>
      <c r="H21" s="65"/>
      <c r="I21" s="66"/>
      <c r="J21" s="8">
        <f t="shared" si="1"/>
        <v>0</v>
      </c>
      <c r="K21" s="8">
        <f t="shared" si="2"/>
        <v>0</v>
      </c>
      <c r="L21" s="68">
        <f t="shared" si="3"/>
        <v>0</v>
      </c>
      <c r="M21" s="68">
        <v>0</v>
      </c>
      <c r="N21" s="193"/>
      <c r="O21" s="69"/>
    </row>
    <row r="22" spans="1:16">
      <c r="A22" s="46">
        <v>19</v>
      </c>
      <c r="B22" s="219">
        <v>46131</v>
      </c>
      <c r="C22" s="67"/>
      <c r="D22" s="331"/>
      <c r="E22" s="17"/>
      <c r="F22" s="17"/>
      <c r="G22" s="8">
        <f t="shared" si="0"/>
        <v>0</v>
      </c>
      <c r="H22" s="65"/>
      <c r="I22" s="66"/>
      <c r="J22" s="8">
        <f t="shared" si="1"/>
        <v>0</v>
      </c>
      <c r="K22" s="8">
        <f t="shared" si="2"/>
        <v>0</v>
      </c>
      <c r="L22" s="68">
        <f t="shared" si="3"/>
        <v>0</v>
      </c>
      <c r="M22" s="68">
        <v>0</v>
      </c>
      <c r="N22" s="193"/>
      <c r="O22" s="69"/>
    </row>
    <row r="23" spans="1:16">
      <c r="A23" s="46">
        <v>20</v>
      </c>
      <c r="B23" s="219">
        <v>46132</v>
      </c>
      <c r="C23" s="67"/>
      <c r="D23" s="331"/>
      <c r="E23" s="17"/>
      <c r="F23" s="17"/>
      <c r="G23" s="8">
        <f t="shared" si="0"/>
        <v>0</v>
      </c>
      <c r="H23" s="65"/>
      <c r="I23" s="66"/>
      <c r="J23" s="8">
        <f t="shared" si="1"/>
        <v>0</v>
      </c>
      <c r="K23" s="8">
        <f t="shared" si="2"/>
        <v>0</v>
      </c>
      <c r="L23" s="68">
        <f t="shared" si="3"/>
        <v>0</v>
      </c>
      <c r="M23" s="68">
        <v>0</v>
      </c>
      <c r="N23" s="193"/>
      <c r="O23" s="69"/>
    </row>
    <row r="24" spans="1:16">
      <c r="A24" s="46">
        <v>21</v>
      </c>
      <c r="B24" s="219">
        <v>46133</v>
      </c>
      <c r="C24" s="67"/>
      <c r="D24" s="331"/>
      <c r="E24" s="17"/>
      <c r="F24" s="17"/>
      <c r="G24" s="8">
        <f t="shared" si="0"/>
        <v>0</v>
      </c>
      <c r="H24" s="65"/>
      <c r="I24" s="66"/>
      <c r="J24" s="8">
        <f t="shared" si="1"/>
        <v>0</v>
      </c>
      <c r="K24" s="8">
        <f t="shared" si="2"/>
        <v>0</v>
      </c>
      <c r="L24" s="68">
        <f t="shared" si="3"/>
        <v>0</v>
      </c>
      <c r="M24" s="68">
        <v>0</v>
      </c>
      <c r="N24" s="193"/>
      <c r="O24" s="69"/>
    </row>
    <row r="25" spans="1:16">
      <c r="A25" s="46">
        <v>22</v>
      </c>
      <c r="B25" s="219">
        <v>46134</v>
      </c>
      <c r="C25" s="67"/>
      <c r="D25" s="331"/>
      <c r="E25" s="17"/>
      <c r="F25" s="17"/>
      <c r="G25" s="8">
        <f t="shared" si="0"/>
        <v>0</v>
      </c>
      <c r="H25" s="65"/>
      <c r="I25" s="66"/>
      <c r="J25" s="8">
        <f t="shared" si="1"/>
        <v>0</v>
      </c>
      <c r="K25" s="8">
        <f t="shared" si="2"/>
        <v>0</v>
      </c>
      <c r="L25" s="68">
        <f t="shared" si="3"/>
        <v>0</v>
      </c>
      <c r="M25" s="68">
        <v>0</v>
      </c>
      <c r="N25" s="193"/>
      <c r="O25" s="69"/>
    </row>
    <row r="26" spans="1:16">
      <c r="A26" s="46">
        <v>23</v>
      </c>
      <c r="B26" s="219">
        <v>46135</v>
      </c>
      <c r="C26" s="67"/>
      <c r="D26" s="331"/>
      <c r="E26" s="17"/>
      <c r="F26" s="17"/>
      <c r="G26" s="8">
        <f t="shared" si="0"/>
        <v>0</v>
      </c>
      <c r="H26" s="65"/>
      <c r="I26" s="66"/>
      <c r="J26" s="8">
        <f t="shared" si="1"/>
        <v>0</v>
      </c>
      <c r="K26" s="8">
        <f t="shared" si="2"/>
        <v>0</v>
      </c>
      <c r="L26" s="68">
        <f t="shared" si="3"/>
        <v>0</v>
      </c>
      <c r="M26" s="68">
        <v>0</v>
      </c>
      <c r="N26" s="193"/>
      <c r="O26" s="69"/>
    </row>
    <row r="27" spans="1:16">
      <c r="A27" s="46">
        <v>24</v>
      </c>
      <c r="B27" s="219">
        <v>46136</v>
      </c>
      <c r="C27" s="67"/>
      <c r="D27" s="331"/>
      <c r="E27" s="17"/>
      <c r="F27" s="17"/>
      <c r="G27" s="8">
        <f t="shared" si="0"/>
        <v>0</v>
      </c>
      <c r="H27" s="65"/>
      <c r="I27" s="66"/>
      <c r="J27" s="8">
        <f t="shared" si="1"/>
        <v>0</v>
      </c>
      <c r="K27" s="8">
        <f t="shared" si="2"/>
        <v>0</v>
      </c>
      <c r="L27" s="68">
        <f t="shared" si="3"/>
        <v>0</v>
      </c>
      <c r="M27" s="68">
        <v>0</v>
      </c>
      <c r="N27" s="193"/>
      <c r="O27" s="69"/>
    </row>
    <row r="28" spans="1:16">
      <c r="A28" s="221">
        <v>25</v>
      </c>
      <c r="B28" s="219">
        <v>46137</v>
      </c>
      <c r="C28" s="67"/>
      <c r="D28" s="331"/>
      <c r="E28" s="17"/>
      <c r="F28" s="17"/>
      <c r="G28" s="8">
        <f t="shared" si="0"/>
        <v>0</v>
      </c>
      <c r="H28" s="65"/>
      <c r="I28" s="66"/>
      <c r="J28" s="8">
        <f t="shared" si="1"/>
        <v>0</v>
      </c>
      <c r="K28" s="8">
        <f t="shared" si="2"/>
        <v>0</v>
      </c>
      <c r="L28" s="68">
        <f t="shared" si="3"/>
        <v>0</v>
      </c>
      <c r="M28" s="68">
        <v>0</v>
      </c>
      <c r="N28" s="193"/>
      <c r="O28" s="69"/>
    </row>
    <row r="29" spans="1:16">
      <c r="A29" s="221"/>
      <c r="B29" s="219">
        <v>46138</v>
      </c>
      <c r="C29" s="67"/>
      <c r="D29" s="331"/>
      <c r="E29" s="17"/>
      <c r="F29" s="17"/>
      <c r="G29" s="19"/>
      <c r="H29" s="65"/>
      <c r="I29" s="66"/>
      <c r="J29" s="8">
        <f t="shared" si="1"/>
        <v>0</v>
      </c>
      <c r="K29" s="8">
        <f t="shared" si="2"/>
        <v>0</v>
      </c>
      <c r="L29" s="68">
        <f t="shared" si="3"/>
        <v>0</v>
      </c>
      <c r="M29" s="130"/>
      <c r="N29" s="193"/>
      <c r="O29" s="69"/>
    </row>
    <row r="30" spans="1:16">
      <c r="A30" s="221">
        <v>26</v>
      </c>
      <c r="B30" s="219">
        <v>46139</v>
      </c>
      <c r="C30" s="67"/>
      <c r="D30" s="159"/>
      <c r="E30" s="17"/>
      <c r="F30" s="17"/>
      <c r="G30" s="19">
        <f t="shared" si="0"/>
        <v>0</v>
      </c>
      <c r="H30" s="65"/>
      <c r="I30" s="66"/>
      <c r="J30" s="19">
        <f t="shared" si="1"/>
        <v>0</v>
      </c>
      <c r="K30" s="19">
        <f t="shared" si="2"/>
        <v>0</v>
      </c>
      <c r="L30" s="130">
        <f t="shared" si="3"/>
        <v>0</v>
      </c>
      <c r="M30" s="130">
        <v>0</v>
      </c>
      <c r="N30" s="8"/>
      <c r="O30" s="69"/>
    </row>
    <row r="31" spans="1:16">
      <c r="A31" s="221">
        <v>27</v>
      </c>
      <c r="B31" s="219">
        <v>46140</v>
      </c>
      <c r="C31" s="67"/>
      <c r="D31" s="159"/>
      <c r="E31" s="17"/>
      <c r="F31" s="17"/>
      <c r="G31" s="8">
        <f t="shared" si="0"/>
        <v>0</v>
      </c>
      <c r="H31" s="65"/>
      <c r="I31" s="66"/>
      <c r="J31" s="8">
        <f t="shared" si="1"/>
        <v>0</v>
      </c>
      <c r="K31" s="8">
        <f t="shared" si="2"/>
        <v>0</v>
      </c>
      <c r="L31" s="68">
        <f t="shared" si="3"/>
        <v>0</v>
      </c>
      <c r="M31" s="68">
        <v>0</v>
      </c>
      <c r="N31" s="8"/>
      <c r="O31" s="69"/>
    </row>
    <row r="32" spans="1:16">
      <c r="A32" s="221">
        <v>28</v>
      </c>
      <c r="B32" s="219">
        <v>46141</v>
      </c>
      <c r="C32" s="67"/>
      <c r="D32" s="159"/>
      <c r="E32" s="17"/>
      <c r="F32" s="17"/>
      <c r="G32" s="8">
        <f t="shared" si="0"/>
        <v>0</v>
      </c>
      <c r="H32" s="65"/>
      <c r="I32" s="66"/>
      <c r="J32" s="8">
        <f t="shared" si="1"/>
        <v>0</v>
      </c>
      <c r="K32" s="8">
        <f t="shared" si="2"/>
        <v>0</v>
      </c>
      <c r="L32" s="68">
        <f t="shared" si="3"/>
        <v>0</v>
      </c>
      <c r="M32" s="68">
        <v>0</v>
      </c>
      <c r="N32" s="8"/>
      <c r="O32" s="69"/>
    </row>
    <row r="33" spans="1:15">
      <c r="A33" s="222">
        <v>29</v>
      </c>
      <c r="B33" s="219">
        <v>46142</v>
      </c>
      <c r="C33" s="67"/>
      <c r="D33" s="159"/>
      <c r="E33" s="17"/>
      <c r="F33" s="17"/>
      <c r="G33" s="8">
        <f t="shared" si="0"/>
        <v>0</v>
      </c>
      <c r="H33" s="65"/>
      <c r="I33" s="66"/>
      <c r="J33" s="8">
        <f t="shared" si="1"/>
        <v>0</v>
      </c>
      <c r="K33" s="8">
        <f t="shared" si="2"/>
        <v>0</v>
      </c>
      <c r="L33" s="68">
        <f t="shared" si="3"/>
        <v>0</v>
      </c>
      <c r="M33" s="68">
        <v>0</v>
      </c>
      <c r="N33" s="8"/>
      <c r="O33" s="69"/>
    </row>
    <row r="34" spans="1:15">
      <c r="A34" s="222">
        <v>30</v>
      </c>
      <c r="B34" s="219"/>
      <c r="C34" s="67"/>
      <c r="D34" s="159"/>
      <c r="E34" s="17"/>
      <c r="F34" s="17"/>
      <c r="G34" s="8">
        <f t="shared" si="0"/>
        <v>0</v>
      </c>
      <c r="H34" s="65"/>
      <c r="I34" s="66"/>
      <c r="J34" s="8">
        <f t="shared" si="1"/>
        <v>0</v>
      </c>
      <c r="K34" s="8">
        <f t="shared" si="2"/>
        <v>0</v>
      </c>
      <c r="L34" s="68">
        <f t="shared" si="3"/>
        <v>0</v>
      </c>
      <c r="M34" s="68">
        <v>0</v>
      </c>
      <c r="N34" s="8"/>
      <c r="O34" s="69"/>
    </row>
    <row r="35" spans="1:15">
      <c r="A35" s="222">
        <v>31</v>
      </c>
      <c r="B35" s="219"/>
      <c r="C35" s="67"/>
      <c r="D35" s="159"/>
      <c r="E35" s="257"/>
      <c r="F35" s="257"/>
      <c r="G35" s="8">
        <f t="shared" si="0"/>
        <v>0</v>
      </c>
      <c r="H35" s="65"/>
      <c r="I35" s="66"/>
      <c r="J35" s="8">
        <f t="shared" si="1"/>
        <v>0</v>
      </c>
      <c r="K35" s="8">
        <f t="shared" si="2"/>
        <v>0</v>
      </c>
      <c r="L35" s="68">
        <f t="shared" si="3"/>
        <v>0</v>
      </c>
      <c r="M35" s="68">
        <v>0</v>
      </c>
      <c r="N35" s="8"/>
      <c r="O35" s="69"/>
    </row>
    <row r="36" spans="1:15">
      <c r="A36" s="62"/>
      <c r="B36" s="62"/>
      <c r="C36" s="62"/>
      <c r="D36" s="62"/>
      <c r="E36" s="258">
        <f>SUM(E4:E35)</f>
        <v>0</v>
      </c>
      <c r="F36" s="258"/>
      <c r="G36" s="63">
        <f>SUM(G4:G35)</f>
        <v>0</v>
      </c>
      <c r="H36" s="63">
        <f>SUM(H4:H35)</f>
        <v>0</v>
      </c>
      <c r="I36" s="63"/>
      <c r="J36" s="63">
        <f>SUM(J4:J35)</f>
        <v>0</v>
      </c>
      <c r="K36" s="63">
        <f>SUM(K4:K35)</f>
        <v>0</v>
      </c>
      <c r="L36" s="63">
        <f>SUM(L4:L35)</f>
        <v>0</v>
      </c>
      <c r="M36" s="63"/>
      <c r="N36" s="63"/>
      <c r="O36" s="59"/>
    </row>
    <row r="37" spans="1:15">
      <c r="A37" s="72"/>
      <c r="B37" s="73"/>
      <c r="C37" s="72"/>
      <c r="D37" s="72"/>
      <c r="E37" s="74"/>
      <c r="F37" s="74"/>
      <c r="G37" s="74"/>
      <c r="H37" s="74"/>
      <c r="I37" s="74"/>
      <c r="J37" s="75"/>
      <c r="K37" s="75"/>
      <c r="L37" s="75"/>
      <c r="M37" s="75"/>
      <c r="N37" s="74"/>
      <c r="O37" s="69"/>
    </row>
    <row r="38" spans="1:15">
      <c r="O38" s="69"/>
    </row>
    <row r="39" spans="1:15">
      <c r="O39" s="69"/>
    </row>
    <row r="40" spans="1:15">
      <c r="O40" s="69"/>
    </row>
    <row r="41" spans="1:15">
      <c r="O41" s="69"/>
    </row>
    <row r="42" spans="1:15">
      <c r="O42" s="69"/>
    </row>
    <row r="43" spans="1:15">
      <c r="A43" s="69"/>
      <c r="B43" s="59"/>
      <c r="C43" s="69"/>
      <c r="D43" s="69"/>
      <c r="E43" s="69"/>
      <c r="F43" s="69"/>
      <c r="G43" s="76"/>
      <c r="H43" s="69"/>
      <c r="I43" s="69"/>
      <c r="J43" s="59"/>
      <c r="K43" s="59"/>
      <c r="L43" s="59"/>
      <c r="M43" s="59"/>
      <c r="N43" s="69"/>
      <c r="O43" s="74"/>
    </row>
    <row r="44" spans="1:15">
      <c r="A44" s="69"/>
      <c r="B44" s="490"/>
      <c r="C44" s="490"/>
      <c r="D44" s="490"/>
      <c r="E44" s="490"/>
      <c r="F44" s="69"/>
      <c r="G44" s="69"/>
      <c r="H44" s="69"/>
      <c r="I44" s="490"/>
      <c r="J44" s="490"/>
      <c r="K44" s="490"/>
      <c r="L44" s="490"/>
      <c r="M44" s="490"/>
      <c r="N44" s="490"/>
      <c r="O44" s="74"/>
    </row>
    <row r="45" spans="1:15">
      <c r="A45" s="69"/>
      <c r="B45" s="59"/>
      <c r="C45" s="69"/>
      <c r="D45" s="69"/>
      <c r="E45" s="69"/>
      <c r="F45" s="69"/>
      <c r="G45" s="69"/>
      <c r="H45" s="69"/>
      <c r="I45" s="69"/>
      <c r="J45" s="59"/>
      <c r="K45" s="59"/>
      <c r="L45" s="59"/>
      <c r="M45" s="59"/>
      <c r="N45" s="69"/>
      <c r="O45" s="74"/>
    </row>
  </sheetData>
  <mergeCells count="4">
    <mergeCell ref="A1:N1"/>
    <mergeCell ref="A3:L3"/>
    <mergeCell ref="B44:E44"/>
    <mergeCell ref="I44:N4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A176-B02F-4D5D-BFBA-88F02F90B0CD}">
  <dimension ref="A1:O39"/>
  <sheetViews>
    <sheetView workbookViewId="0">
      <pane ySplit="2" topLeftCell="A12" activePane="bottomLeft" state="frozen"/>
      <selection pane="bottomLeft" activeCell="L30" sqref="L30"/>
    </sheetView>
  </sheetViews>
  <sheetFormatPr defaultColWidth="12.28515625" defaultRowHeight="12.75"/>
  <cols>
    <col min="1" max="1" width="8.42578125" style="61" customWidth="1"/>
    <col min="2" max="3" width="12.28515625" style="61"/>
    <col min="4" max="4" width="13.5703125" style="61" customWidth="1"/>
    <col min="5" max="5" width="12.28515625" style="61"/>
    <col min="6" max="6" width="13.7109375" style="61" bestFit="1" customWidth="1"/>
    <col min="7" max="16384" width="12.28515625" style="61"/>
  </cols>
  <sheetData>
    <row r="1" spans="1:15" ht="15.75" customHeight="1">
      <c r="A1" s="473" t="s">
        <v>103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60"/>
    </row>
    <row r="2" spans="1:15" ht="15.75" customHeight="1">
      <c r="A2" s="87" t="s">
        <v>0</v>
      </c>
      <c r="B2" s="88" t="s">
        <v>164</v>
      </c>
      <c r="C2" s="88" t="s">
        <v>165</v>
      </c>
      <c r="D2" s="88" t="s">
        <v>166</v>
      </c>
      <c r="E2" s="88" t="s">
        <v>167</v>
      </c>
      <c r="F2" s="88" t="s">
        <v>168</v>
      </c>
      <c r="G2" s="88" t="s">
        <v>169</v>
      </c>
      <c r="H2" s="88" t="s">
        <v>170</v>
      </c>
      <c r="I2" s="88" t="s">
        <v>168</v>
      </c>
      <c r="J2" s="112" t="s">
        <v>169</v>
      </c>
      <c r="K2" s="114" t="s">
        <v>171</v>
      </c>
      <c r="L2" s="115" t="s">
        <v>172</v>
      </c>
      <c r="M2" s="116" t="s">
        <v>209</v>
      </c>
      <c r="N2" s="89" t="s">
        <v>174</v>
      </c>
      <c r="O2" s="33"/>
    </row>
    <row r="3" spans="1:15" ht="15.75" customHeight="1">
      <c r="A3" s="482" t="s">
        <v>175</v>
      </c>
      <c r="B3" s="483"/>
      <c r="C3" s="488"/>
      <c r="D3" s="488"/>
      <c r="E3" s="488"/>
      <c r="F3" s="488"/>
      <c r="G3" s="488"/>
      <c r="H3" s="488"/>
      <c r="I3" s="488"/>
      <c r="J3" s="491"/>
      <c r="K3" s="200">
        <v>102970.6309999997</v>
      </c>
      <c r="L3" s="203"/>
      <c r="M3" s="200">
        <v>102970.6309999997</v>
      </c>
      <c r="N3" s="203"/>
      <c r="O3" s="33">
        <v>207239.43099999998</v>
      </c>
    </row>
    <row r="4" spans="1:15" ht="15">
      <c r="A4" s="26">
        <v>1</v>
      </c>
      <c r="B4" s="27">
        <v>45748</v>
      </c>
      <c r="C4" s="107"/>
      <c r="D4" s="107"/>
      <c r="E4" s="36"/>
      <c r="F4" s="36">
        <v>0</v>
      </c>
      <c r="G4" s="36">
        <f>E4*F4</f>
        <v>0</v>
      </c>
      <c r="H4" s="199">
        <v>0</v>
      </c>
      <c r="I4" s="199">
        <v>0</v>
      </c>
      <c r="J4" s="36">
        <f>H4*I4</f>
        <v>0</v>
      </c>
      <c r="K4" s="36">
        <f>G4+J4</f>
        <v>0</v>
      </c>
      <c r="L4" s="203"/>
      <c r="M4" s="200">
        <f>M3+K4-L4</f>
        <v>102970.6309999997</v>
      </c>
      <c r="N4" s="36"/>
      <c r="O4" s="28"/>
    </row>
    <row r="5" spans="1:15" ht="15">
      <c r="A5" s="26">
        <v>2</v>
      </c>
      <c r="B5" s="27">
        <v>45749</v>
      </c>
      <c r="C5" s="107"/>
      <c r="D5" s="107"/>
      <c r="E5" s="36"/>
      <c r="F5" s="36">
        <v>0</v>
      </c>
      <c r="G5" s="36">
        <f t="shared" ref="G5:G33" si="0">E5*F5</f>
        <v>0</v>
      </c>
      <c r="H5" s="199">
        <v>0</v>
      </c>
      <c r="I5" s="199">
        <v>0</v>
      </c>
      <c r="J5" s="36">
        <f t="shared" ref="J5:J33" si="1">H5*I5</f>
        <v>0</v>
      </c>
      <c r="K5" s="36">
        <f t="shared" ref="K5:K33" si="2">G5+J5</f>
        <v>0</v>
      </c>
      <c r="L5" s="203"/>
      <c r="M5" s="200">
        <f>M4+K5-L5</f>
        <v>102970.6309999997</v>
      </c>
      <c r="N5" s="36"/>
      <c r="O5" s="28"/>
    </row>
    <row r="6" spans="1:15" ht="15">
      <c r="A6" s="26">
        <v>3</v>
      </c>
      <c r="B6" s="27">
        <v>45750</v>
      </c>
      <c r="C6" s="107"/>
      <c r="D6" s="107"/>
      <c r="E6" s="36"/>
      <c r="F6" s="36">
        <v>0</v>
      </c>
      <c r="G6" s="36">
        <f t="shared" si="0"/>
        <v>0</v>
      </c>
      <c r="H6" s="199">
        <v>0</v>
      </c>
      <c r="I6" s="199">
        <v>0</v>
      </c>
      <c r="J6" s="36">
        <f t="shared" si="1"/>
        <v>0</v>
      </c>
      <c r="K6" s="36">
        <f t="shared" si="2"/>
        <v>0</v>
      </c>
      <c r="L6" s="203">
        <v>102971</v>
      </c>
      <c r="M6" s="200">
        <f>M5+K6-L6</f>
        <v>-0.3690000002970919</v>
      </c>
      <c r="N6" s="36"/>
      <c r="O6" s="28"/>
    </row>
    <row r="7" spans="1:15" ht="15">
      <c r="A7" s="26">
        <v>4</v>
      </c>
      <c r="B7" s="27">
        <v>45751</v>
      </c>
      <c r="C7" s="107"/>
      <c r="D7" s="107"/>
      <c r="E7" s="36"/>
      <c r="F7" s="36">
        <v>0</v>
      </c>
      <c r="G7" s="36">
        <f t="shared" si="0"/>
        <v>0</v>
      </c>
      <c r="H7" s="199">
        <v>0</v>
      </c>
      <c r="I7" s="199">
        <v>0</v>
      </c>
      <c r="J7" s="36">
        <f t="shared" si="1"/>
        <v>0</v>
      </c>
      <c r="K7" s="36">
        <f t="shared" si="2"/>
        <v>0</v>
      </c>
      <c r="L7" s="203"/>
      <c r="M7" s="200">
        <f>M6+K7-L7</f>
        <v>-0.3690000002970919</v>
      </c>
      <c r="N7" s="36"/>
      <c r="O7" s="28"/>
    </row>
    <row r="8" spans="1:15" ht="15">
      <c r="A8" s="26">
        <v>5</v>
      </c>
      <c r="B8" s="27">
        <v>45752</v>
      </c>
      <c r="C8" s="107"/>
      <c r="D8" s="107"/>
      <c r="E8" s="36"/>
      <c r="F8" s="36">
        <v>0</v>
      </c>
      <c r="G8" s="36">
        <f t="shared" si="0"/>
        <v>0</v>
      </c>
      <c r="H8" s="199">
        <v>0</v>
      </c>
      <c r="I8" s="199">
        <v>0</v>
      </c>
      <c r="J8" s="36">
        <f t="shared" si="1"/>
        <v>0</v>
      </c>
      <c r="K8" s="36">
        <f t="shared" si="2"/>
        <v>0</v>
      </c>
      <c r="L8" s="203"/>
      <c r="M8" s="200">
        <f>M7+K8-L8</f>
        <v>-0.3690000002970919</v>
      </c>
      <c r="N8" s="36"/>
      <c r="O8" s="28"/>
    </row>
    <row r="9" spans="1:15" ht="15">
      <c r="A9" s="26">
        <v>6</v>
      </c>
      <c r="B9" s="27">
        <v>45753</v>
      </c>
      <c r="C9" s="107"/>
      <c r="D9" s="107"/>
      <c r="E9" s="36"/>
      <c r="F9" s="36">
        <v>0</v>
      </c>
      <c r="G9" s="36">
        <f t="shared" ref="G9:G18" si="3">E9*F9</f>
        <v>0</v>
      </c>
      <c r="H9" s="199">
        <v>0</v>
      </c>
      <c r="I9" s="199">
        <v>0</v>
      </c>
      <c r="J9" s="36">
        <f t="shared" si="1"/>
        <v>0</v>
      </c>
      <c r="K9" s="36">
        <f t="shared" si="2"/>
        <v>0</v>
      </c>
      <c r="L9" s="203"/>
      <c r="M9" s="200">
        <f t="shared" ref="M9:M33" si="4">M8+K9-L9</f>
        <v>-0.3690000002970919</v>
      </c>
      <c r="N9" s="36"/>
      <c r="O9" s="28"/>
    </row>
    <row r="10" spans="1:15" ht="15">
      <c r="A10" s="26">
        <v>7</v>
      </c>
      <c r="B10" s="27">
        <v>45754</v>
      </c>
      <c r="C10" s="107"/>
      <c r="D10" s="107"/>
      <c r="E10" s="36"/>
      <c r="F10" s="36">
        <v>0</v>
      </c>
      <c r="G10" s="36">
        <f t="shared" si="3"/>
        <v>0</v>
      </c>
      <c r="H10" s="199">
        <v>0</v>
      </c>
      <c r="I10" s="199">
        <v>0</v>
      </c>
      <c r="J10" s="36">
        <f t="shared" ref="J10:J17" si="5">H10*I10</f>
        <v>0</v>
      </c>
      <c r="K10" s="36">
        <f t="shared" ref="K10:K17" si="6">G10+J10</f>
        <v>0</v>
      </c>
      <c r="L10" s="203"/>
      <c r="M10" s="200">
        <f t="shared" si="4"/>
        <v>-0.3690000002970919</v>
      </c>
      <c r="N10" s="36"/>
      <c r="O10" s="28"/>
    </row>
    <row r="11" spans="1:15" ht="15">
      <c r="A11" s="26">
        <v>8</v>
      </c>
      <c r="B11" s="27">
        <v>45755</v>
      </c>
      <c r="C11" s="107"/>
      <c r="D11" s="107"/>
      <c r="E11" s="36">
        <v>1800</v>
      </c>
      <c r="F11" s="36">
        <v>95.15</v>
      </c>
      <c r="G11" s="36">
        <f t="shared" si="3"/>
        <v>171270</v>
      </c>
      <c r="H11" s="199">
        <v>140</v>
      </c>
      <c r="I11" s="199">
        <v>109.27</v>
      </c>
      <c r="J11" s="36">
        <f t="shared" si="5"/>
        <v>15297.8</v>
      </c>
      <c r="K11" s="36">
        <f t="shared" si="6"/>
        <v>186567.8</v>
      </c>
      <c r="L11" s="203"/>
      <c r="M11" s="200">
        <f t="shared" si="4"/>
        <v>186567.43099999969</v>
      </c>
      <c r="N11" s="36"/>
      <c r="O11" s="28"/>
    </row>
    <row r="12" spans="1:15" ht="15">
      <c r="A12" s="26">
        <v>9</v>
      </c>
      <c r="B12" s="27">
        <v>45756</v>
      </c>
      <c r="C12" s="107"/>
      <c r="D12" s="107"/>
      <c r="E12" s="36"/>
      <c r="F12" s="36">
        <v>0</v>
      </c>
      <c r="G12" s="36">
        <f t="shared" si="3"/>
        <v>0</v>
      </c>
      <c r="H12" s="199">
        <v>0</v>
      </c>
      <c r="I12" s="199">
        <v>0</v>
      </c>
      <c r="J12" s="36">
        <f t="shared" si="5"/>
        <v>0</v>
      </c>
      <c r="K12" s="36">
        <f t="shared" si="6"/>
        <v>0</v>
      </c>
      <c r="L12" s="203"/>
      <c r="M12" s="200">
        <f t="shared" si="4"/>
        <v>186567.43099999969</v>
      </c>
      <c r="N12" s="36"/>
      <c r="O12" s="28"/>
    </row>
    <row r="13" spans="1:15" ht="15">
      <c r="A13" s="26">
        <v>10</v>
      </c>
      <c r="B13" s="27">
        <v>45757</v>
      </c>
      <c r="C13" s="107"/>
      <c r="D13" s="107"/>
      <c r="E13" s="36"/>
      <c r="F13" s="36">
        <v>0</v>
      </c>
      <c r="G13" s="36">
        <f t="shared" si="3"/>
        <v>0</v>
      </c>
      <c r="H13" s="199">
        <v>0</v>
      </c>
      <c r="I13" s="199">
        <v>0</v>
      </c>
      <c r="J13" s="36">
        <f t="shared" si="5"/>
        <v>0</v>
      </c>
      <c r="K13" s="36">
        <f t="shared" si="6"/>
        <v>0</v>
      </c>
      <c r="L13" s="203"/>
      <c r="M13" s="200">
        <f t="shared" si="4"/>
        <v>186567.43099999969</v>
      </c>
      <c r="N13" s="36"/>
      <c r="O13" s="28"/>
    </row>
    <row r="14" spans="1:15" ht="15">
      <c r="A14" s="26">
        <v>11</v>
      </c>
      <c r="B14" s="27">
        <v>45758</v>
      </c>
      <c r="C14" s="107"/>
      <c r="D14" s="107"/>
      <c r="E14" s="36"/>
      <c r="F14" s="36">
        <v>0</v>
      </c>
      <c r="G14" s="36">
        <f t="shared" si="3"/>
        <v>0</v>
      </c>
      <c r="H14" s="199">
        <v>0</v>
      </c>
      <c r="I14" s="199">
        <v>0</v>
      </c>
      <c r="J14" s="36">
        <f t="shared" si="5"/>
        <v>0</v>
      </c>
      <c r="K14" s="36">
        <f t="shared" si="6"/>
        <v>0</v>
      </c>
      <c r="L14" s="203"/>
      <c r="M14" s="200">
        <f t="shared" si="4"/>
        <v>186567.43099999969</v>
      </c>
      <c r="N14" s="36"/>
      <c r="O14" s="28"/>
    </row>
    <row r="15" spans="1:15" ht="15">
      <c r="A15" s="26">
        <v>12</v>
      </c>
      <c r="B15" s="27">
        <v>45759</v>
      </c>
      <c r="C15" s="107"/>
      <c r="D15" s="107"/>
      <c r="E15" s="36"/>
      <c r="F15" s="36">
        <v>0</v>
      </c>
      <c r="G15" s="36">
        <f t="shared" si="3"/>
        <v>0</v>
      </c>
      <c r="H15" s="199">
        <v>0</v>
      </c>
      <c r="I15" s="199">
        <v>0</v>
      </c>
      <c r="J15" s="36">
        <f t="shared" si="5"/>
        <v>0</v>
      </c>
      <c r="K15" s="36">
        <f t="shared" si="6"/>
        <v>0</v>
      </c>
      <c r="L15" s="203"/>
      <c r="M15" s="200">
        <f t="shared" si="4"/>
        <v>186567.43099999969</v>
      </c>
      <c r="N15" s="36"/>
      <c r="O15" s="28"/>
    </row>
    <row r="16" spans="1:15" ht="15">
      <c r="A16" s="26">
        <v>13</v>
      </c>
      <c r="B16" s="27">
        <v>45760</v>
      </c>
      <c r="C16" s="107"/>
      <c r="D16" s="107"/>
      <c r="E16" s="36"/>
      <c r="F16" s="36">
        <v>0</v>
      </c>
      <c r="G16" s="36">
        <f t="shared" si="3"/>
        <v>0</v>
      </c>
      <c r="H16" s="199">
        <v>0</v>
      </c>
      <c r="I16" s="199">
        <v>0</v>
      </c>
      <c r="J16" s="36">
        <f t="shared" si="5"/>
        <v>0</v>
      </c>
      <c r="K16" s="36">
        <f t="shared" si="6"/>
        <v>0</v>
      </c>
      <c r="L16" s="203"/>
      <c r="M16" s="200">
        <f t="shared" si="4"/>
        <v>186567.43099999969</v>
      </c>
      <c r="N16" s="36"/>
      <c r="O16" s="28"/>
    </row>
    <row r="17" spans="1:15" ht="15">
      <c r="A17" s="26">
        <v>14</v>
      </c>
      <c r="B17" s="27">
        <v>45761</v>
      </c>
      <c r="C17" s="107"/>
      <c r="D17" s="107"/>
      <c r="E17" s="36"/>
      <c r="F17" s="36">
        <v>0</v>
      </c>
      <c r="G17" s="36">
        <f t="shared" si="3"/>
        <v>0</v>
      </c>
      <c r="H17" s="199">
        <v>0</v>
      </c>
      <c r="I17" s="199">
        <v>0</v>
      </c>
      <c r="J17" s="36">
        <f t="shared" si="5"/>
        <v>0</v>
      </c>
      <c r="K17" s="36">
        <f t="shared" si="6"/>
        <v>0</v>
      </c>
      <c r="L17" s="203"/>
      <c r="M17" s="200">
        <f t="shared" si="4"/>
        <v>186567.43099999969</v>
      </c>
      <c r="N17" s="36"/>
      <c r="O17" s="28"/>
    </row>
    <row r="18" spans="1:15" ht="15">
      <c r="A18" s="26">
        <v>15</v>
      </c>
      <c r="B18" s="27">
        <v>45762</v>
      </c>
      <c r="C18" s="107"/>
      <c r="D18" s="107"/>
      <c r="E18" s="36"/>
      <c r="F18" s="36">
        <v>0</v>
      </c>
      <c r="G18" s="36">
        <f t="shared" si="3"/>
        <v>0</v>
      </c>
      <c r="H18" s="199">
        <v>0</v>
      </c>
      <c r="I18" s="199">
        <v>0</v>
      </c>
      <c r="J18" s="36">
        <f t="shared" si="1"/>
        <v>0</v>
      </c>
      <c r="K18" s="36">
        <f t="shared" si="2"/>
        <v>0</v>
      </c>
      <c r="L18" s="203"/>
      <c r="M18" s="200">
        <f t="shared" si="4"/>
        <v>186567.43099999969</v>
      </c>
      <c r="N18" s="36"/>
      <c r="O18" s="28"/>
    </row>
    <row r="19" spans="1:15" ht="15">
      <c r="A19" s="26">
        <v>16</v>
      </c>
      <c r="B19" s="27">
        <v>45763</v>
      </c>
      <c r="C19" s="107"/>
      <c r="D19" s="107"/>
      <c r="E19" s="36"/>
      <c r="F19" s="36">
        <v>0</v>
      </c>
      <c r="G19" s="36">
        <f t="shared" si="0"/>
        <v>0</v>
      </c>
      <c r="H19" s="199">
        <v>0</v>
      </c>
      <c r="I19" s="199">
        <v>0</v>
      </c>
      <c r="J19" s="36">
        <f t="shared" si="1"/>
        <v>0</v>
      </c>
      <c r="K19" s="36">
        <f t="shared" si="2"/>
        <v>0</v>
      </c>
      <c r="L19" s="203"/>
      <c r="M19" s="200">
        <f t="shared" si="4"/>
        <v>186567.43099999969</v>
      </c>
      <c r="N19" s="36"/>
      <c r="O19" s="28"/>
    </row>
    <row r="20" spans="1:15" ht="15">
      <c r="A20" s="26">
        <v>17</v>
      </c>
      <c r="B20" s="27">
        <v>45764</v>
      </c>
      <c r="C20" s="107"/>
      <c r="D20" s="107"/>
      <c r="E20" s="36"/>
      <c r="F20" s="36">
        <v>0</v>
      </c>
      <c r="G20" s="36">
        <f t="shared" si="0"/>
        <v>0</v>
      </c>
      <c r="H20" s="199">
        <v>0</v>
      </c>
      <c r="I20" s="199">
        <v>0</v>
      </c>
      <c r="J20" s="36">
        <f t="shared" si="1"/>
        <v>0</v>
      </c>
      <c r="K20" s="36">
        <f t="shared" si="2"/>
        <v>0</v>
      </c>
      <c r="L20" s="203"/>
      <c r="M20" s="200">
        <f t="shared" si="4"/>
        <v>186567.43099999969</v>
      </c>
      <c r="N20" s="36"/>
      <c r="O20" s="28"/>
    </row>
    <row r="21" spans="1:15" ht="15">
      <c r="A21" s="26">
        <v>18</v>
      </c>
      <c r="B21" s="27">
        <v>45765</v>
      </c>
      <c r="C21" s="107"/>
      <c r="D21" s="107"/>
      <c r="E21" s="36"/>
      <c r="F21" s="36">
        <v>0</v>
      </c>
      <c r="G21" s="36">
        <f t="shared" si="0"/>
        <v>0</v>
      </c>
      <c r="H21" s="199">
        <v>0</v>
      </c>
      <c r="I21" s="199">
        <v>0</v>
      </c>
      <c r="J21" s="36">
        <f t="shared" si="1"/>
        <v>0</v>
      </c>
      <c r="K21" s="36">
        <f t="shared" si="2"/>
        <v>0</v>
      </c>
      <c r="L21" s="203"/>
      <c r="M21" s="200">
        <f t="shared" si="4"/>
        <v>186567.43099999969</v>
      </c>
      <c r="N21" s="36"/>
      <c r="O21" s="28"/>
    </row>
    <row r="22" spans="1:15" ht="15">
      <c r="A22" s="26">
        <v>19</v>
      </c>
      <c r="B22" s="27">
        <v>45766</v>
      </c>
      <c r="C22" s="107"/>
      <c r="D22" s="107"/>
      <c r="E22" s="36"/>
      <c r="F22" s="36">
        <v>0</v>
      </c>
      <c r="G22" s="36"/>
      <c r="H22" s="199">
        <v>0</v>
      </c>
      <c r="I22" s="199">
        <v>0</v>
      </c>
      <c r="J22" s="36">
        <f t="shared" si="1"/>
        <v>0</v>
      </c>
      <c r="K22" s="36">
        <f t="shared" si="2"/>
        <v>0</v>
      </c>
      <c r="L22" s="203"/>
      <c r="M22" s="200">
        <f t="shared" si="4"/>
        <v>186567.43099999969</v>
      </c>
      <c r="N22" s="36"/>
      <c r="O22" s="28"/>
    </row>
    <row r="23" spans="1:15" ht="15">
      <c r="A23" s="26">
        <v>20</v>
      </c>
      <c r="B23" s="27">
        <v>45767</v>
      </c>
      <c r="C23" s="107"/>
      <c r="D23" s="107"/>
      <c r="E23" s="36"/>
      <c r="F23" s="36">
        <v>0</v>
      </c>
      <c r="G23" s="36"/>
      <c r="H23" s="199">
        <v>0</v>
      </c>
      <c r="I23" s="199">
        <v>0</v>
      </c>
      <c r="J23" s="36">
        <f t="shared" ref="J23:J32" si="7">H23*I23</f>
        <v>0</v>
      </c>
      <c r="K23" s="36">
        <f t="shared" ref="K23:K32" si="8">G23+J23</f>
        <v>0</v>
      </c>
      <c r="L23" s="203"/>
      <c r="M23" s="200">
        <f t="shared" si="4"/>
        <v>186567.43099999969</v>
      </c>
      <c r="N23" s="36"/>
      <c r="O23" s="28"/>
    </row>
    <row r="24" spans="1:15" ht="15">
      <c r="A24" s="26">
        <v>21</v>
      </c>
      <c r="B24" s="27">
        <v>45768</v>
      </c>
      <c r="C24" s="107"/>
      <c r="D24" s="107"/>
      <c r="E24" s="36"/>
      <c r="F24" s="36">
        <v>0</v>
      </c>
      <c r="G24" s="36"/>
      <c r="H24" s="199"/>
      <c r="I24" s="199"/>
      <c r="J24" s="36">
        <f t="shared" si="7"/>
        <v>0</v>
      </c>
      <c r="K24" s="36">
        <f t="shared" si="8"/>
        <v>0</v>
      </c>
      <c r="L24" s="203"/>
      <c r="M24" s="200">
        <f t="shared" si="4"/>
        <v>186567.43099999969</v>
      </c>
      <c r="N24" s="36"/>
      <c r="O24" s="28"/>
    </row>
    <row r="25" spans="1:15" ht="15">
      <c r="A25" s="26">
        <v>22</v>
      </c>
      <c r="B25" s="27">
        <v>45769</v>
      </c>
      <c r="C25" s="107"/>
      <c r="D25" s="107"/>
      <c r="E25" s="36"/>
      <c r="F25" s="36">
        <v>0</v>
      </c>
      <c r="G25" s="36"/>
      <c r="H25" s="199"/>
      <c r="I25" s="199"/>
      <c r="J25" s="36">
        <f t="shared" si="7"/>
        <v>0</v>
      </c>
      <c r="K25" s="36">
        <f t="shared" si="8"/>
        <v>0</v>
      </c>
      <c r="L25" s="203"/>
      <c r="M25" s="200">
        <f t="shared" si="4"/>
        <v>186567.43099999969</v>
      </c>
      <c r="N25" s="36"/>
      <c r="O25" s="28"/>
    </row>
    <row r="26" spans="1:15" ht="15">
      <c r="A26" s="26">
        <v>23</v>
      </c>
      <c r="B26" s="27">
        <v>45770</v>
      </c>
      <c r="C26" s="107"/>
      <c r="D26" s="107"/>
      <c r="E26" s="36"/>
      <c r="F26" s="36">
        <v>0</v>
      </c>
      <c r="G26" s="36"/>
      <c r="H26" s="199"/>
      <c r="I26" s="199"/>
      <c r="J26" s="36">
        <f t="shared" si="7"/>
        <v>0</v>
      </c>
      <c r="K26" s="36">
        <f t="shared" si="8"/>
        <v>0</v>
      </c>
      <c r="L26" s="203"/>
      <c r="M26" s="200">
        <f t="shared" si="4"/>
        <v>186567.43099999969</v>
      </c>
      <c r="N26" s="36"/>
      <c r="O26" s="28"/>
    </row>
    <row r="27" spans="1:15" ht="15">
      <c r="A27" s="26">
        <v>24</v>
      </c>
      <c r="B27" s="27">
        <v>45771</v>
      </c>
      <c r="C27" s="107"/>
      <c r="D27" s="107"/>
      <c r="E27" s="36"/>
      <c r="F27" s="36">
        <v>0</v>
      </c>
      <c r="G27" s="36"/>
      <c r="H27" s="199"/>
      <c r="I27" s="199"/>
      <c r="J27" s="36">
        <f t="shared" si="7"/>
        <v>0</v>
      </c>
      <c r="K27" s="36">
        <f t="shared" si="8"/>
        <v>0</v>
      </c>
      <c r="L27" s="203"/>
      <c r="M27" s="200">
        <f t="shared" si="4"/>
        <v>186567.43099999969</v>
      </c>
      <c r="N27" s="36"/>
      <c r="O27" s="28"/>
    </row>
    <row r="28" spans="1:15" ht="15">
      <c r="A28" s="26">
        <v>25</v>
      </c>
      <c r="B28" s="27">
        <v>45772</v>
      </c>
      <c r="C28" s="107"/>
      <c r="D28" s="107"/>
      <c r="E28" s="36"/>
      <c r="F28" s="36">
        <v>0</v>
      </c>
      <c r="G28" s="36"/>
      <c r="H28" s="199"/>
      <c r="I28" s="199"/>
      <c r="J28" s="36">
        <f t="shared" si="7"/>
        <v>0</v>
      </c>
      <c r="K28" s="36">
        <f t="shared" si="8"/>
        <v>0</v>
      </c>
      <c r="L28" s="203"/>
      <c r="M28" s="200">
        <f>M27+K28-L28</f>
        <v>186567.43099999969</v>
      </c>
      <c r="N28" s="36"/>
      <c r="O28" s="28"/>
    </row>
    <row r="29" spans="1:15" ht="15">
      <c r="A29" s="26">
        <v>26</v>
      </c>
      <c r="B29" s="27">
        <v>45773</v>
      </c>
      <c r="C29" s="107"/>
      <c r="D29" s="107"/>
      <c r="E29" s="36"/>
      <c r="F29" s="36">
        <v>0</v>
      </c>
      <c r="G29" s="36"/>
      <c r="H29" s="199"/>
      <c r="I29" s="199"/>
      <c r="J29" s="36">
        <f t="shared" si="7"/>
        <v>0</v>
      </c>
      <c r="K29" s="36">
        <f t="shared" si="8"/>
        <v>0</v>
      </c>
      <c r="L29" s="203"/>
      <c r="M29" s="200">
        <f t="shared" si="4"/>
        <v>186567.43099999969</v>
      </c>
      <c r="N29" s="36"/>
      <c r="O29" s="28"/>
    </row>
    <row r="30" spans="1:15" ht="15">
      <c r="A30" s="26">
        <v>27</v>
      </c>
      <c r="B30" s="27">
        <v>45774</v>
      </c>
      <c r="C30" s="107"/>
      <c r="D30" s="107"/>
      <c r="E30" s="36"/>
      <c r="F30" s="36">
        <v>0</v>
      </c>
      <c r="G30" s="36"/>
      <c r="H30" s="199"/>
      <c r="I30" s="199"/>
      <c r="J30" s="36">
        <f t="shared" si="7"/>
        <v>0</v>
      </c>
      <c r="K30" s="36">
        <f t="shared" si="8"/>
        <v>0</v>
      </c>
      <c r="L30" s="203">
        <v>186567</v>
      </c>
      <c r="M30" s="200">
        <f t="shared" si="4"/>
        <v>0.43099999969126657</v>
      </c>
      <c r="N30" s="36"/>
      <c r="O30" s="28"/>
    </row>
    <row r="31" spans="1:15" ht="15">
      <c r="A31" s="26">
        <v>28</v>
      </c>
      <c r="B31" s="27">
        <v>45775</v>
      </c>
      <c r="C31" s="107"/>
      <c r="D31" s="107"/>
      <c r="E31" s="36"/>
      <c r="F31" s="36">
        <v>0</v>
      </c>
      <c r="G31" s="36"/>
      <c r="H31" s="199"/>
      <c r="I31" s="199"/>
      <c r="J31" s="36">
        <f t="shared" si="7"/>
        <v>0</v>
      </c>
      <c r="K31" s="36">
        <f t="shared" si="8"/>
        <v>0</v>
      </c>
      <c r="L31" s="203"/>
      <c r="M31" s="200">
        <f t="shared" si="4"/>
        <v>0.43099999969126657</v>
      </c>
      <c r="N31" s="36"/>
      <c r="O31" s="28"/>
    </row>
    <row r="32" spans="1:15" ht="15">
      <c r="A32" s="26">
        <v>29</v>
      </c>
      <c r="B32" s="27">
        <v>45776</v>
      </c>
      <c r="C32" s="107"/>
      <c r="D32" s="107"/>
      <c r="E32" s="36"/>
      <c r="F32" s="36">
        <v>0</v>
      </c>
      <c r="G32" s="36">
        <f t="shared" ref="G32" si="9">E32*F32</f>
        <v>0</v>
      </c>
      <c r="H32" s="199">
        <v>0</v>
      </c>
      <c r="I32" s="199">
        <v>0</v>
      </c>
      <c r="J32" s="36">
        <f t="shared" si="7"/>
        <v>0</v>
      </c>
      <c r="K32" s="36">
        <f t="shared" si="8"/>
        <v>0</v>
      </c>
      <c r="L32" s="203"/>
      <c r="M32" s="200">
        <f t="shared" si="4"/>
        <v>0.43099999969126657</v>
      </c>
      <c r="N32" s="216"/>
      <c r="O32" s="28"/>
    </row>
    <row r="33" spans="1:15" ht="15">
      <c r="A33" s="26">
        <v>30</v>
      </c>
      <c r="B33" s="27">
        <v>45777</v>
      </c>
      <c r="C33" s="107"/>
      <c r="D33" s="107"/>
      <c r="E33" s="36"/>
      <c r="F33" s="36">
        <v>0</v>
      </c>
      <c r="G33" s="36">
        <f t="shared" si="0"/>
        <v>0</v>
      </c>
      <c r="H33" s="199">
        <v>0</v>
      </c>
      <c r="I33" s="199">
        <v>0</v>
      </c>
      <c r="J33" s="36">
        <f t="shared" si="1"/>
        <v>0</v>
      </c>
      <c r="K33" s="36">
        <f t="shared" si="2"/>
        <v>0</v>
      </c>
      <c r="L33" s="203"/>
      <c r="M33" s="200">
        <f t="shared" si="4"/>
        <v>0.43099999969126657</v>
      </c>
      <c r="N33" s="216"/>
      <c r="O33" s="28"/>
    </row>
    <row r="34" spans="1:15" ht="15">
      <c r="A34" s="26">
        <v>31</v>
      </c>
      <c r="B34" s="27"/>
      <c r="C34" s="107"/>
      <c r="D34" s="107"/>
      <c r="E34" s="36"/>
      <c r="F34" s="36">
        <v>0</v>
      </c>
      <c r="G34" s="36">
        <f t="shared" ref="G34" si="10">E34*F34</f>
        <v>0</v>
      </c>
      <c r="H34" s="199"/>
      <c r="I34" s="199"/>
      <c r="J34" s="36">
        <f t="shared" ref="J34" si="11">H34*I34</f>
        <v>0</v>
      </c>
      <c r="K34" s="36">
        <f t="shared" ref="K34" si="12">G34+J34</f>
        <v>0</v>
      </c>
      <c r="L34" s="203"/>
      <c r="M34" s="216"/>
      <c r="N34" s="216"/>
      <c r="O34" s="28"/>
    </row>
    <row r="35" spans="1:15">
      <c r="A35" s="42"/>
      <c r="B35" s="42"/>
      <c r="C35" s="204"/>
      <c r="D35" s="204"/>
      <c r="E35" s="205">
        <f>SUM(E4:E34)</f>
        <v>1800</v>
      </c>
      <c r="F35" s="205"/>
      <c r="G35" s="205">
        <f>SUM(G4:G34)</f>
        <v>171270</v>
      </c>
      <c r="H35" s="205">
        <f>SUM(H4:H34)</f>
        <v>140</v>
      </c>
      <c r="I35" s="205"/>
      <c r="J35" s="205">
        <f>SUM(J4:J34)</f>
        <v>15297.8</v>
      </c>
      <c r="K35" s="205">
        <f>SUM(K4:K34)</f>
        <v>186567.8</v>
      </c>
      <c r="L35" s="205">
        <f>SUM(L4:L31)</f>
        <v>289538</v>
      </c>
      <c r="M35" s="205"/>
      <c r="N35" s="205"/>
      <c r="O35" s="33"/>
    </row>
    <row r="36" spans="1:15">
      <c r="A36" s="30"/>
      <c r="B36" s="30"/>
      <c r="C36" s="30"/>
      <c r="D36" s="30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28"/>
    </row>
    <row r="37" spans="1:15">
      <c r="A37" s="28"/>
      <c r="B37" s="28"/>
      <c r="C37" s="28"/>
      <c r="D37" s="28"/>
      <c r="E37" s="28"/>
      <c r="F37" s="28"/>
      <c r="G37" s="31"/>
      <c r="H37" s="28"/>
      <c r="I37" s="28"/>
      <c r="J37" s="28"/>
      <c r="K37" s="28"/>
      <c r="L37" s="28"/>
      <c r="M37" s="28"/>
      <c r="N37" s="28"/>
      <c r="O37" s="32"/>
    </row>
    <row r="38" spans="1:15">
      <c r="A38" s="28"/>
      <c r="B38" s="492"/>
      <c r="C38" s="492"/>
      <c r="D38" s="492"/>
      <c r="E38" s="492"/>
      <c r="F38" s="28"/>
      <c r="G38" s="28"/>
      <c r="H38" s="28"/>
      <c r="I38" s="492"/>
      <c r="J38" s="492"/>
      <c r="K38" s="492"/>
      <c r="L38" s="492"/>
      <c r="M38" s="492"/>
      <c r="N38" s="492"/>
      <c r="O38" s="32"/>
    </row>
    <row r="39" spans="1:1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32"/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DD82-0665-4E64-9AE5-BFA2942961A0}">
  <dimension ref="A1:AH39"/>
  <sheetViews>
    <sheetView topLeftCell="A23" workbookViewId="0">
      <selection activeCell="J42" sqref="J42"/>
    </sheetView>
  </sheetViews>
  <sheetFormatPr defaultRowHeight="15"/>
  <cols>
    <col min="2" max="2" width="10.28515625" customWidth="1"/>
    <col min="5" max="5" width="12.5703125" bestFit="1" customWidth="1"/>
    <col min="7" max="7" width="14.28515625" customWidth="1"/>
    <col min="10" max="10" width="10.85546875" bestFit="1" customWidth="1"/>
    <col min="11" max="11" width="10.42578125" bestFit="1" customWidth="1"/>
    <col min="12" max="13" width="11.85546875" bestFit="1" customWidth="1"/>
    <col min="14" max="14" width="12.7109375" bestFit="1" customWidth="1"/>
  </cols>
  <sheetData>
    <row r="1" spans="1:34">
      <c r="A1" s="493" t="s">
        <v>97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</row>
    <row r="2" spans="1:34" ht="25.5">
      <c r="A2" s="87" t="s">
        <v>0</v>
      </c>
      <c r="B2" s="88" t="s">
        <v>164</v>
      </c>
      <c r="C2" s="88" t="s">
        <v>165</v>
      </c>
      <c r="D2" s="88" t="s">
        <v>166</v>
      </c>
      <c r="E2" s="88" t="s">
        <v>167</v>
      </c>
      <c r="F2" s="88" t="s">
        <v>168</v>
      </c>
      <c r="G2" s="88" t="s">
        <v>169</v>
      </c>
      <c r="H2" s="88" t="s">
        <v>170</v>
      </c>
      <c r="I2" s="88" t="s">
        <v>168</v>
      </c>
      <c r="J2" s="112" t="s">
        <v>169</v>
      </c>
      <c r="K2" s="88" t="s">
        <v>171</v>
      </c>
      <c r="L2" s="112" t="s">
        <v>172</v>
      </c>
      <c r="M2" s="111" t="s">
        <v>209</v>
      </c>
      <c r="N2" s="89" t="s">
        <v>174</v>
      </c>
      <c r="O2" s="33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</row>
    <row r="3" spans="1:34">
      <c r="A3" s="482" t="s">
        <v>175</v>
      </c>
      <c r="B3" s="483"/>
      <c r="C3" s="483"/>
      <c r="D3" s="483"/>
      <c r="E3" s="483"/>
      <c r="F3" s="483"/>
      <c r="G3" s="483"/>
      <c r="H3" s="483"/>
      <c r="I3" s="483"/>
      <c r="J3" s="494"/>
      <c r="K3" s="29">
        <v>250329.90990299993</v>
      </c>
      <c r="L3" s="46"/>
      <c r="M3" s="113">
        <v>250329.90990299993</v>
      </c>
      <c r="N3" s="46"/>
      <c r="O3" s="33"/>
      <c r="P3" s="49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</row>
    <row r="4" spans="1:34">
      <c r="A4" s="26">
        <v>1</v>
      </c>
      <c r="B4" s="27">
        <v>46113</v>
      </c>
      <c r="C4" s="47" t="s">
        <v>214</v>
      </c>
      <c r="D4" s="48" t="s">
        <v>214</v>
      </c>
      <c r="E4" s="47"/>
      <c r="F4" s="47"/>
      <c r="G4" s="46">
        <f t="shared" ref="G4" si="0">E4*F4</f>
        <v>0</v>
      </c>
      <c r="H4" s="47"/>
      <c r="I4" s="47"/>
      <c r="J4" s="49">
        <f t="shared" ref="J4" si="1">H4*I4</f>
        <v>0</v>
      </c>
      <c r="K4" s="46">
        <f t="shared" ref="K4" si="2">G4+J4</f>
        <v>0</v>
      </c>
      <c r="L4" s="46"/>
      <c r="M4" s="49">
        <f>M3+K4-L4</f>
        <v>250329.90990299993</v>
      </c>
      <c r="N4" s="104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</row>
    <row r="5" spans="1:34">
      <c r="A5" s="26">
        <v>2</v>
      </c>
      <c r="B5" s="27">
        <v>46114</v>
      </c>
      <c r="C5" s="47" t="s">
        <v>214</v>
      </c>
      <c r="D5" s="48" t="s">
        <v>214</v>
      </c>
      <c r="E5" s="47">
        <v>600</v>
      </c>
      <c r="F5" s="47">
        <v>91.33</v>
      </c>
      <c r="G5" s="46">
        <f t="shared" ref="G5:G34" si="3">E5*F5</f>
        <v>54798</v>
      </c>
      <c r="H5" s="47">
        <v>35</v>
      </c>
      <c r="I5" s="47">
        <v>103.27</v>
      </c>
      <c r="J5" s="49">
        <f t="shared" ref="J5:J34" si="4">H5*I5</f>
        <v>3614.45</v>
      </c>
      <c r="K5" s="46">
        <f t="shared" ref="K5:L34" si="5">G5+J5</f>
        <v>58412.45</v>
      </c>
      <c r="L5" s="46">
        <v>250330</v>
      </c>
      <c r="M5" s="49">
        <f t="shared" ref="M5:N36" si="6">M4+K5-L5</f>
        <v>58412.359902999946</v>
      </c>
      <c r="N5" s="104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</row>
    <row r="6" spans="1:34">
      <c r="A6" s="26">
        <v>3</v>
      </c>
      <c r="B6" s="27">
        <v>46115</v>
      </c>
      <c r="C6" s="47" t="s">
        <v>214</v>
      </c>
      <c r="D6" s="48" t="s">
        <v>214</v>
      </c>
      <c r="E6" s="47"/>
      <c r="F6" s="47"/>
      <c r="G6" s="46">
        <f t="shared" si="3"/>
        <v>0</v>
      </c>
      <c r="H6" s="47"/>
      <c r="I6" s="47"/>
      <c r="J6" s="49">
        <f t="shared" si="4"/>
        <v>0</v>
      </c>
      <c r="K6" s="46">
        <f t="shared" si="5"/>
        <v>0</v>
      </c>
      <c r="L6" s="46"/>
      <c r="M6" s="49">
        <f t="shared" si="6"/>
        <v>58412.359902999946</v>
      </c>
      <c r="N6" s="110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</row>
    <row r="7" spans="1:34">
      <c r="A7" s="26">
        <v>4</v>
      </c>
      <c r="B7" s="27">
        <v>46116</v>
      </c>
      <c r="C7" s="47" t="s">
        <v>214</v>
      </c>
      <c r="D7" s="48" t="s">
        <v>214</v>
      </c>
      <c r="E7" s="47">
        <v>1000</v>
      </c>
      <c r="F7" s="47">
        <v>91.33</v>
      </c>
      <c r="G7" s="46">
        <f t="shared" ref="G7:G15" si="7">E7*F7</f>
        <v>91330</v>
      </c>
      <c r="H7" s="47"/>
      <c r="I7" s="47"/>
      <c r="J7" s="49">
        <f t="shared" si="4"/>
        <v>0</v>
      </c>
      <c r="K7" s="46">
        <f t="shared" si="5"/>
        <v>91330</v>
      </c>
      <c r="L7" s="46"/>
      <c r="M7" s="49">
        <f t="shared" si="6"/>
        <v>149742.35990299995</v>
      </c>
      <c r="N7" s="110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</row>
    <row r="8" spans="1:34">
      <c r="A8" s="26">
        <v>5</v>
      </c>
      <c r="B8" s="27">
        <v>46117</v>
      </c>
      <c r="C8" s="47" t="s">
        <v>214</v>
      </c>
      <c r="D8" s="48" t="s">
        <v>214</v>
      </c>
      <c r="E8" s="47"/>
      <c r="F8" s="47"/>
      <c r="G8" s="46">
        <f t="shared" ref="G8:G35" si="8">E8*F8</f>
        <v>0</v>
      </c>
      <c r="H8" s="47"/>
      <c r="I8" s="47"/>
      <c r="J8" s="49">
        <f t="shared" si="4"/>
        <v>0</v>
      </c>
      <c r="K8" s="46">
        <f t="shared" si="5"/>
        <v>0</v>
      </c>
      <c r="L8" s="46"/>
      <c r="M8" s="49">
        <f t="shared" si="6"/>
        <v>149742.35990299995</v>
      </c>
      <c r="N8" s="104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</row>
    <row r="9" spans="1:34">
      <c r="A9" s="26">
        <v>6</v>
      </c>
      <c r="B9" s="27">
        <v>46118</v>
      </c>
      <c r="C9" s="47" t="s">
        <v>214</v>
      </c>
      <c r="D9" s="48" t="s">
        <v>214</v>
      </c>
      <c r="E9" s="47"/>
      <c r="F9" s="47"/>
      <c r="G9" s="46">
        <f t="shared" si="8"/>
        <v>0</v>
      </c>
      <c r="H9" s="47"/>
      <c r="I9" s="47"/>
      <c r="J9" s="49">
        <f t="shared" si="4"/>
        <v>0</v>
      </c>
      <c r="K9" s="46">
        <f t="shared" si="5"/>
        <v>0</v>
      </c>
      <c r="L9" s="46"/>
      <c r="M9" s="49">
        <f t="shared" si="6"/>
        <v>149742.35990299995</v>
      </c>
      <c r="N9" s="110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</row>
    <row r="10" spans="1:34">
      <c r="A10" s="26">
        <v>7</v>
      </c>
      <c r="B10" s="27">
        <v>46119</v>
      </c>
      <c r="C10" s="47" t="s">
        <v>214</v>
      </c>
      <c r="D10" s="48" t="s">
        <v>214</v>
      </c>
      <c r="E10" s="47"/>
      <c r="F10" s="47"/>
      <c r="G10" s="46">
        <f t="shared" si="8"/>
        <v>0</v>
      </c>
      <c r="H10" s="47"/>
      <c r="I10" s="47"/>
      <c r="J10" s="49">
        <f t="shared" si="4"/>
        <v>0</v>
      </c>
      <c r="K10" s="46">
        <f t="shared" si="5"/>
        <v>0</v>
      </c>
      <c r="L10" s="46"/>
      <c r="M10" s="49">
        <f t="shared" si="6"/>
        <v>149742.35990299995</v>
      </c>
      <c r="N10" s="104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</row>
    <row r="11" spans="1:34">
      <c r="A11" s="26">
        <v>8</v>
      </c>
      <c r="B11" s="27">
        <v>46120</v>
      </c>
      <c r="C11" s="47" t="s">
        <v>214</v>
      </c>
      <c r="D11" s="48" t="s">
        <v>214</v>
      </c>
      <c r="E11" s="47"/>
      <c r="F11" s="47"/>
      <c r="G11" s="46">
        <f t="shared" si="8"/>
        <v>0</v>
      </c>
      <c r="H11" s="47"/>
      <c r="I11" s="47"/>
      <c r="J11" s="49">
        <f t="shared" si="4"/>
        <v>0</v>
      </c>
      <c r="K11" s="46">
        <f t="shared" si="5"/>
        <v>0</v>
      </c>
      <c r="L11" s="46"/>
      <c r="M11" s="49">
        <f t="shared" si="6"/>
        <v>149742.35990299995</v>
      </c>
      <c r="N11" s="109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</row>
    <row r="12" spans="1:34">
      <c r="A12" s="26">
        <v>9</v>
      </c>
      <c r="B12" s="27">
        <v>46121</v>
      </c>
      <c r="C12" s="47" t="s">
        <v>214</v>
      </c>
      <c r="D12" s="48" t="s">
        <v>214</v>
      </c>
      <c r="E12" s="47">
        <v>1000</v>
      </c>
      <c r="F12" s="47">
        <v>91.33</v>
      </c>
      <c r="G12" s="46">
        <f t="shared" si="8"/>
        <v>91330</v>
      </c>
      <c r="H12" s="47">
        <v>35</v>
      </c>
      <c r="I12" s="47">
        <v>103.27</v>
      </c>
      <c r="J12" s="49">
        <f t="shared" si="4"/>
        <v>3614.45</v>
      </c>
      <c r="K12" s="46">
        <f t="shared" si="5"/>
        <v>94944.45</v>
      </c>
      <c r="L12" s="46"/>
      <c r="M12" s="49">
        <f t="shared" si="6"/>
        <v>244686.80990299996</v>
      </c>
      <c r="N12" s="104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</row>
    <row r="13" spans="1:34">
      <c r="A13" s="26">
        <v>10</v>
      </c>
      <c r="B13" s="27">
        <v>46122</v>
      </c>
      <c r="C13" s="47" t="s">
        <v>214</v>
      </c>
      <c r="D13" s="48" t="s">
        <v>214</v>
      </c>
      <c r="E13" s="47"/>
      <c r="F13" s="47"/>
      <c r="G13" s="46">
        <f t="shared" si="8"/>
        <v>0</v>
      </c>
      <c r="H13" s="47"/>
      <c r="I13" s="47"/>
      <c r="J13" s="49">
        <f t="shared" si="4"/>
        <v>0</v>
      </c>
      <c r="K13" s="46">
        <f t="shared" si="5"/>
        <v>0</v>
      </c>
      <c r="L13" s="46"/>
      <c r="M13" s="49">
        <f t="shared" si="6"/>
        <v>244686.80990299996</v>
      </c>
      <c r="N13" s="104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</row>
    <row r="14" spans="1:34">
      <c r="A14" s="26">
        <v>11</v>
      </c>
      <c r="B14" s="27">
        <v>46123</v>
      </c>
      <c r="C14" s="47" t="s">
        <v>214</v>
      </c>
      <c r="D14" s="48" t="s">
        <v>214</v>
      </c>
      <c r="E14" s="47"/>
      <c r="F14" s="47"/>
      <c r="G14" s="46">
        <f t="shared" si="8"/>
        <v>0</v>
      </c>
      <c r="H14" s="47"/>
      <c r="I14" s="47"/>
      <c r="J14" s="49">
        <f t="shared" si="4"/>
        <v>0</v>
      </c>
      <c r="K14" s="46">
        <f t="shared" si="5"/>
        <v>0</v>
      </c>
      <c r="L14" s="46">
        <v>150000</v>
      </c>
      <c r="M14" s="49">
        <f t="shared" si="6"/>
        <v>94686.809902999958</v>
      </c>
      <c r="N14" s="104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</row>
    <row r="15" spans="1:34">
      <c r="A15" s="26">
        <v>12</v>
      </c>
      <c r="B15" s="27">
        <v>46124</v>
      </c>
      <c r="C15" s="47" t="s">
        <v>214</v>
      </c>
      <c r="D15" s="48" t="s">
        <v>214</v>
      </c>
      <c r="E15" s="47"/>
      <c r="F15" s="47"/>
      <c r="G15" s="46">
        <f t="shared" si="8"/>
        <v>0</v>
      </c>
      <c r="H15" s="47"/>
      <c r="I15" s="47"/>
      <c r="J15" s="49">
        <f t="shared" si="4"/>
        <v>0</v>
      </c>
      <c r="K15" s="46">
        <f t="shared" si="5"/>
        <v>0</v>
      </c>
      <c r="L15" s="46"/>
      <c r="M15" s="49">
        <f t="shared" si="6"/>
        <v>94686.809902999958</v>
      </c>
      <c r="N15" s="104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</row>
    <row r="16" spans="1:34">
      <c r="A16" s="26">
        <v>13</v>
      </c>
      <c r="B16" s="27">
        <v>46125</v>
      </c>
      <c r="C16" s="47" t="s">
        <v>214</v>
      </c>
      <c r="D16" s="48" t="s">
        <v>214</v>
      </c>
      <c r="E16" s="47"/>
      <c r="F16" s="47"/>
      <c r="G16" s="46">
        <f t="shared" si="8"/>
        <v>0</v>
      </c>
      <c r="H16" s="47"/>
      <c r="I16" s="47"/>
      <c r="J16" s="49">
        <f t="shared" si="4"/>
        <v>0</v>
      </c>
      <c r="K16" s="46">
        <f t="shared" si="5"/>
        <v>0</v>
      </c>
      <c r="L16" s="46"/>
      <c r="M16" s="49">
        <f t="shared" si="6"/>
        <v>94686.809902999958</v>
      </c>
      <c r="N16" s="104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</row>
    <row r="17" spans="1:34">
      <c r="A17" s="26">
        <v>14</v>
      </c>
      <c r="B17" s="27">
        <v>46126</v>
      </c>
      <c r="C17" s="47" t="s">
        <v>214</v>
      </c>
      <c r="D17" s="48" t="s">
        <v>214</v>
      </c>
      <c r="E17" s="47">
        <v>1000</v>
      </c>
      <c r="F17" s="47">
        <v>91.33</v>
      </c>
      <c r="G17" s="46">
        <f t="shared" si="8"/>
        <v>91330</v>
      </c>
      <c r="H17" s="47">
        <v>70</v>
      </c>
      <c r="I17" s="47">
        <v>103.27</v>
      </c>
      <c r="J17" s="49">
        <f t="shared" si="4"/>
        <v>7228.9</v>
      </c>
      <c r="K17" s="46">
        <f t="shared" si="5"/>
        <v>98558.9</v>
      </c>
      <c r="L17" s="46"/>
      <c r="M17" s="49">
        <f t="shared" si="6"/>
        <v>193245.70990299995</v>
      </c>
      <c r="N17" s="49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</row>
    <row r="18" spans="1:34">
      <c r="A18" s="26">
        <v>15</v>
      </c>
      <c r="B18" s="27">
        <v>46127</v>
      </c>
      <c r="C18" s="47" t="s">
        <v>214</v>
      </c>
      <c r="D18" s="48" t="s">
        <v>214</v>
      </c>
      <c r="E18" s="47"/>
      <c r="F18" s="47"/>
      <c r="G18" s="46">
        <f t="shared" si="8"/>
        <v>0</v>
      </c>
      <c r="H18" s="47"/>
      <c r="I18" s="47"/>
      <c r="J18" s="49">
        <f t="shared" si="4"/>
        <v>0</v>
      </c>
      <c r="K18" s="46">
        <f t="shared" si="5"/>
        <v>0</v>
      </c>
      <c r="L18" s="46"/>
      <c r="M18" s="49">
        <f t="shared" si="6"/>
        <v>193245.70990299995</v>
      </c>
      <c r="N18" s="104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</row>
    <row r="19" spans="1:34">
      <c r="A19" s="26">
        <v>16</v>
      </c>
      <c r="B19" s="27">
        <v>46128</v>
      </c>
      <c r="C19" s="47" t="s">
        <v>214</v>
      </c>
      <c r="D19" s="48" t="s">
        <v>214</v>
      </c>
      <c r="E19" s="47"/>
      <c r="F19" s="47"/>
      <c r="G19" s="46">
        <f t="shared" si="8"/>
        <v>0</v>
      </c>
      <c r="H19" s="47"/>
      <c r="I19" s="47"/>
      <c r="J19" s="49">
        <f t="shared" si="4"/>
        <v>0</v>
      </c>
      <c r="K19" s="46">
        <f t="shared" si="5"/>
        <v>0</v>
      </c>
      <c r="L19" s="46"/>
      <c r="M19" s="49">
        <f t="shared" si="6"/>
        <v>193245.70990299995</v>
      </c>
      <c r="N19" s="104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</row>
    <row r="20" spans="1:34">
      <c r="A20" s="26">
        <v>17</v>
      </c>
      <c r="B20" s="27">
        <v>46129</v>
      </c>
      <c r="C20" s="47" t="s">
        <v>214</v>
      </c>
      <c r="D20" s="48" t="s">
        <v>214</v>
      </c>
      <c r="E20" s="47"/>
      <c r="F20" s="47"/>
      <c r="G20" s="46">
        <f t="shared" si="8"/>
        <v>0</v>
      </c>
      <c r="H20" s="47"/>
      <c r="I20" s="47"/>
      <c r="J20" s="49">
        <f t="shared" si="4"/>
        <v>0</v>
      </c>
      <c r="K20" s="46">
        <f t="shared" si="5"/>
        <v>0</v>
      </c>
      <c r="L20" s="46"/>
      <c r="M20" s="49">
        <f t="shared" si="6"/>
        <v>193245.70990299995</v>
      </c>
      <c r="N20" s="104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</row>
    <row r="21" spans="1:34">
      <c r="A21" s="26">
        <v>18</v>
      </c>
      <c r="B21" s="27">
        <v>46130</v>
      </c>
      <c r="C21" s="47" t="s">
        <v>214</v>
      </c>
      <c r="D21" s="48" t="s">
        <v>214</v>
      </c>
      <c r="E21" s="47">
        <v>1000</v>
      </c>
      <c r="F21" s="47">
        <v>91.33</v>
      </c>
      <c r="G21" s="46">
        <f t="shared" si="8"/>
        <v>91330</v>
      </c>
      <c r="H21" s="47">
        <v>35</v>
      </c>
      <c r="I21" s="47">
        <v>103.27</v>
      </c>
      <c r="J21" s="49">
        <f t="shared" si="4"/>
        <v>3614.45</v>
      </c>
      <c r="K21" s="46">
        <f t="shared" si="5"/>
        <v>94944.45</v>
      </c>
      <c r="L21" s="46">
        <v>150000</v>
      </c>
      <c r="M21" s="49">
        <f t="shared" si="6"/>
        <v>138190.15990299993</v>
      </c>
      <c r="N21" s="104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</row>
    <row r="22" spans="1:34">
      <c r="A22" s="26">
        <v>19</v>
      </c>
      <c r="B22" s="27">
        <v>46131</v>
      </c>
      <c r="C22" s="47" t="s">
        <v>214</v>
      </c>
      <c r="D22" s="48" t="s">
        <v>214</v>
      </c>
      <c r="E22" s="47"/>
      <c r="F22" s="47"/>
      <c r="G22" s="46">
        <f t="shared" si="8"/>
        <v>0</v>
      </c>
      <c r="H22" s="47"/>
      <c r="I22" s="47"/>
      <c r="J22" s="49">
        <f t="shared" si="4"/>
        <v>0</v>
      </c>
      <c r="K22" s="46">
        <f t="shared" si="5"/>
        <v>0</v>
      </c>
      <c r="L22" s="46"/>
      <c r="M22" s="49">
        <f t="shared" si="6"/>
        <v>138190.15990299993</v>
      </c>
      <c r="N22" s="104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</row>
    <row r="23" spans="1:34">
      <c r="A23" s="26">
        <v>20</v>
      </c>
      <c r="B23" s="27">
        <v>46132</v>
      </c>
      <c r="C23" s="47" t="s">
        <v>214</v>
      </c>
      <c r="D23" s="48" t="s">
        <v>214</v>
      </c>
      <c r="E23" s="47"/>
      <c r="F23" s="47"/>
      <c r="G23" s="46">
        <f t="shared" si="8"/>
        <v>0</v>
      </c>
      <c r="H23" s="47"/>
      <c r="I23" s="47"/>
      <c r="J23" s="49">
        <f t="shared" si="4"/>
        <v>0</v>
      </c>
      <c r="K23" s="46">
        <f t="shared" si="5"/>
        <v>0</v>
      </c>
      <c r="L23" s="46"/>
      <c r="M23" s="49">
        <f t="shared" si="6"/>
        <v>138190.15990299993</v>
      </c>
      <c r="N23" s="104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</row>
    <row r="24" spans="1:34">
      <c r="A24" s="26">
        <v>21</v>
      </c>
      <c r="B24" s="27">
        <v>46133</v>
      </c>
      <c r="C24" s="47" t="s">
        <v>214</v>
      </c>
      <c r="D24" s="48" t="s">
        <v>214</v>
      </c>
      <c r="E24" s="47"/>
      <c r="F24" s="47"/>
      <c r="G24" s="46">
        <f t="shared" si="8"/>
        <v>0</v>
      </c>
      <c r="H24" s="47"/>
      <c r="I24" s="47"/>
      <c r="J24" s="49">
        <f t="shared" si="4"/>
        <v>0</v>
      </c>
      <c r="K24" s="46">
        <f t="shared" si="5"/>
        <v>0</v>
      </c>
      <c r="L24" s="46"/>
      <c r="M24" s="49">
        <f t="shared" si="6"/>
        <v>138190.15990299993</v>
      </c>
      <c r="N24" s="104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</row>
    <row r="25" spans="1:34">
      <c r="A25" s="26">
        <v>22</v>
      </c>
      <c r="B25" s="27">
        <v>46134</v>
      </c>
      <c r="C25" s="47" t="s">
        <v>214</v>
      </c>
      <c r="D25" s="48" t="s">
        <v>214</v>
      </c>
      <c r="E25" s="47">
        <v>600</v>
      </c>
      <c r="F25" s="47">
        <v>91.33</v>
      </c>
      <c r="G25" s="46">
        <f t="shared" si="8"/>
        <v>54798</v>
      </c>
      <c r="H25" s="47">
        <v>35</v>
      </c>
      <c r="I25" s="47">
        <v>103.27</v>
      </c>
      <c r="J25" s="49">
        <f t="shared" si="4"/>
        <v>3614.45</v>
      </c>
      <c r="K25" s="46">
        <f t="shared" si="5"/>
        <v>58412.45</v>
      </c>
      <c r="L25" s="46"/>
      <c r="M25" s="49">
        <f t="shared" si="6"/>
        <v>196602.60990299995</v>
      </c>
      <c r="N25" s="104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</row>
    <row r="26" spans="1:34">
      <c r="A26" s="26">
        <v>23</v>
      </c>
      <c r="B26" s="27">
        <v>46135</v>
      </c>
      <c r="C26" s="47" t="s">
        <v>214</v>
      </c>
      <c r="D26" s="48" t="s">
        <v>214</v>
      </c>
      <c r="E26" s="47"/>
      <c r="F26" s="47"/>
      <c r="G26" s="46">
        <f t="shared" si="8"/>
        <v>0</v>
      </c>
      <c r="H26" s="47"/>
      <c r="I26" s="47"/>
      <c r="J26" s="49">
        <f t="shared" si="4"/>
        <v>0</v>
      </c>
      <c r="K26" s="46">
        <f t="shared" si="5"/>
        <v>0</v>
      </c>
      <c r="L26" s="46"/>
      <c r="M26" s="49">
        <f t="shared" si="6"/>
        <v>196602.60990299995</v>
      </c>
      <c r="N26" s="104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</row>
    <row r="27" spans="1:34">
      <c r="A27" s="26">
        <v>24</v>
      </c>
      <c r="B27" s="27">
        <v>46136</v>
      </c>
      <c r="C27" s="47" t="s">
        <v>214</v>
      </c>
      <c r="D27" s="48" t="s">
        <v>214</v>
      </c>
      <c r="E27" s="47"/>
      <c r="F27" s="47"/>
      <c r="G27" s="46">
        <f t="shared" si="8"/>
        <v>0</v>
      </c>
      <c r="H27" s="47"/>
      <c r="I27" s="47"/>
      <c r="J27" s="49">
        <f t="shared" si="4"/>
        <v>0</v>
      </c>
      <c r="K27" s="46">
        <f t="shared" si="5"/>
        <v>0</v>
      </c>
      <c r="L27" s="46"/>
      <c r="M27" s="49">
        <f t="shared" si="6"/>
        <v>196602.60990299995</v>
      </c>
      <c r="N27" s="104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</row>
    <row r="28" spans="1:34">
      <c r="A28" s="26">
        <v>25</v>
      </c>
      <c r="B28" s="27">
        <v>46137</v>
      </c>
      <c r="C28" s="47"/>
      <c r="D28" s="48"/>
      <c r="E28" s="47">
        <v>1000</v>
      </c>
      <c r="F28" s="47">
        <v>91.33</v>
      </c>
      <c r="G28" s="46">
        <f t="shared" si="8"/>
        <v>91330</v>
      </c>
      <c r="H28" s="47">
        <v>70</v>
      </c>
      <c r="I28" s="47">
        <v>103.27</v>
      </c>
      <c r="J28" s="49">
        <f t="shared" si="4"/>
        <v>7228.9</v>
      </c>
      <c r="K28" s="46">
        <f t="shared" si="5"/>
        <v>98558.9</v>
      </c>
      <c r="L28" s="46">
        <v>196000</v>
      </c>
      <c r="M28" s="49">
        <f t="shared" si="6"/>
        <v>99161.509902999969</v>
      </c>
      <c r="N28" s="104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</row>
    <row r="29" spans="1:34">
      <c r="A29" s="26">
        <v>26</v>
      </c>
      <c r="B29" s="27">
        <v>46138</v>
      </c>
      <c r="C29" s="47"/>
      <c r="D29" s="48"/>
      <c r="E29" s="47"/>
      <c r="F29" s="47"/>
      <c r="G29" s="46">
        <f t="shared" si="8"/>
        <v>0</v>
      </c>
      <c r="H29" s="47"/>
      <c r="I29" s="47"/>
      <c r="J29" s="49">
        <f t="shared" si="4"/>
        <v>0</v>
      </c>
      <c r="K29" s="46">
        <f t="shared" si="5"/>
        <v>0</v>
      </c>
      <c r="L29" s="46"/>
      <c r="M29" s="49">
        <f t="shared" si="6"/>
        <v>99161.509902999969</v>
      </c>
      <c r="N29" s="104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</row>
    <row r="30" spans="1:34">
      <c r="A30" s="26">
        <v>27</v>
      </c>
      <c r="B30" s="27">
        <v>46139</v>
      </c>
      <c r="C30" s="47" t="s">
        <v>214</v>
      </c>
      <c r="D30" s="48" t="s">
        <v>214</v>
      </c>
      <c r="E30" s="47">
        <v>1000</v>
      </c>
      <c r="F30" s="47">
        <v>91.33</v>
      </c>
      <c r="G30" s="46">
        <f t="shared" si="8"/>
        <v>91330</v>
      </c>
      <c r="H30" s="47">
        <v>35</v>
      </c>
      <c r="I30" s="47">
        <v>103.27</v>
      </c>
      <c r="J30" s="49">
        <f t="shared" si="4"/>
        <v>3614.45</v>
      </c>
      <c r="K30" s="46">
        <f t="shared" si="5"/>
        <v>94944.45</v>
      </c>
      <c r="L30" s="46"/>
      <c r="M30" s="49">
        <f t="shared" si="6"/>
        <v>194105.95990299998</v>
      </c>
      <c r="N30" s="104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</row>
    <row r="31" spans="1:34">
      <c r="A31" s="26">
        <v>28</v>
      </c>
      <c r="B31" s="27">
        <v>46140</v>
      </c>
      <c r="C31" s="47" t="s">
        <v>214</v>
      </c>
      <c r="D31" s="48" t="s">
        <v>214</v>
      </c>
      <c r="E31" s="47"/>
      <c r="F31" s="47"/>
      <c r="G31" s="46">
        <f t="shared" si="8"/>
        <v>0</v>
      </c>
      <c r="H31" s="47"/>
      <c r="I31" s="47"/>
      <c r="J31" s="49">
        <f t="shared" si="4"/>
        <v>0</v>
      </c>
      <c r="K31" s="46">
        <f t="shared" si="5"/>
        <v>0</v>
      </c>
      <c r="L31" s="46"/>
      <c r="M31" s="49">
        <f t="shared" si="6"/>
        <v>194105.95990299998</v>
      </c>
      <c r="N31" s="104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</row>
    <row r="32" spans="1:34">
      <c r="A32" s="26">
        <v>29</v>
      </c>
      <c r="B32" s="27">
        <v>46141</v>
      </c>
      <c r="C32" s="47" t="s">
        <v>214</v>
      </c>
      <c r="D32" s="48" t="s">
        <v>214</v>
      </c>
      <c r="E32" s="47"/>
      <c r="F32" s="47"/>
      <c r="G32" s="46">
        <f t="shared" si="8"/>
        <v>0</v>
      </c>
      <c r="H32" s="47"/>
      <c r="I32" s="47"/>
      <c r="J32" s="49">
        <f t="shared" si="4"/>
        <v>0</v>
      </c>
      <c r="K32" s="46">
        <f t="shared" si="5"/>
        <v>0</v>
      </c>
      <c r="L32" s="46"/>
      <c r="M32" s="49">
        <f t="shared" si="6"/>
        <v>194105.95990299998</v>
      </c>
      <c r="N32" s="104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</row>
    <row r="33" spans="1:34">
      <c r="A33" s="26">
        <v>30</v>
      </c>
      <c r="B33" s="27">
        <v>46142</v>
      </c>
      <c r="C33" s="46"/>
      <c r="D33" s="48" t="s">
        <v>214</v>
      </c>
      <c r="E33" s="47"/>
      <c r="F33" s="47"/>
      <c r="G33" s="46">
        <f t="shared" si="8"/>
        <v>0</v>
      </c>
      <c r="H33" s="47"/>
      <c r="I33" s="47"/>
      <c r="J33" s="49">
        <f t="shared" si="4"/>
        <v>0</v>
      </c>
      <c r="K33" s="46">
        <f t="shared" si="5"/>
        <v>0</v>
      </c>
      <c r="L33" s="46"/>
      <c r="M33" s="49">
        <f t="shared" si="6"/>
        <v>194105.95990299998</v>
      </c>
      <c r="N33" s="104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</row>
    <row r="34" spans="1:34">
      <c r="A34" s="26">
        <v>31</v>
      </c>
      <c r="B34" s="27"/>
      <c r="C34" s="46"/>
      <c r="D34" s="48" t="s">
        <v>214</v>
      </c>
      <c r="E34" s="47"/>
      <c r="F34" s="47"/>
      <c r="G34" s="46">
        <f t="shared" si="8"/>
        <v>0</v>
      </c>
      <c r="H34" s="47"/>
      <c r="I34" s="47"/>
      <c r="J34" s="49">
        <f t="shared" si="4"/>
        <v>0</v>
      </c>
      <c r="K34" s="46">
        <f t="shared" si="5"/>
        <v>0</v>
      </c>
      <c r="L34" s="46"/>
      <c r="M34" s="49">
        <f t="shared" si="6"/>
        <v>194105.95990299998</v>
      </c>
      <c r="N34" s="104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</row>
    <row r="35" spans="1:34">
      <c r="A35" s="26">
        <v>32</v>
      </c>
      <c r="B35" s="27"/>
      <c r="C35" s="46"/>
      <c r="D35" s="48" t="s">
        <v>214</v>
      </c>
      <c r="E35" s="47"/>
      <c r="F35" s="47"/>
      <c r="G35" s="46">
        <f t="shared" si="8"/>
        <v>0</v>
      </c>
      <c r="H35" s="47"/>
      <c r="I35" s="47"/>
      <c r="J35" s="49">
        <f t="shared" ref="J5:J35" si="9">H35*I35</f>
        <v>0</v>
      </c>
      <c r="K35" s="46">
        <f t="shared" ref="K5:K36" si="10">G35+J35</f>
        <v>0</v>
      </c>
      <c r="L35" s="46"/>
      <c r="M35" s="49">
        <f t="shared" si="6"/>
        <v>194105.95990299998</v>
      </c>
      <c r="N35" s="104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</row>
    <row r="36" spans="1:34">
      <c r="A36" s="26">
        <v>33</v>
      </c>
      <c r="B36" s="27"/>
      <c r="C36" s="46"/>
      <c r="D36" s="48" t="s">
        <v>214</v>
      </c>
      <c r="E36" s="47"/>
      <c r="F36" s="47"/>
      <c r="G36" s="46">
        <f t="shared" ref="G5:G36" si="11">E36*F36</f>
        <v>0</v>
      </c>
      <c r="H36" s="47">
        <v>0</v>
      </c>
      <c r="I36" s="47">
        <v>0</v>
      </c>
      <c r="J36" s="49">
        <f t="shared" ref="J5:J36" si="12">H36*I36</f>
        <v>0</v>
      </c>
      <c r="K36" s="46">
        <f t="shared" si="10"/>
        <v>0</v>
      </c>
      <c r="L36" s="108"/>
      <c r="M36" s="49">
        <f t="shared" si="6"/>
        <v>194105.95990299998</v>
      </c>
      <c r="N36" s="104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</row>
    <row r="37" spans="1:34">
      <c r="A37" s="42"/>
      <c r="B37" s="42"/>
      <c r="C37" s="42"/>
      <c r="D37" s="42"/>
      <c r="E37" s="43">
        <f>SUM(E4:E36)</f>
        <v>7200</v>
      </c>
      <c r="F37" s="43"/>
      <c r="G37" s="43">
        <f>SUM(G4:G36)</f>
        <v>657576</v>
      </c>
      <c r="H37" s="43">
        <f>SUM(H4:H36)</f>
        <v>315</v>
      </c>
      <c r="I37" s="43"/>
      <c r="J37" s="43">
        <f>SUM(J4:J36)</f>
        <v>32530.05</v>
      </c>
      <c r="K37" s="43">
        <f>SUM(K4:K36)</f>
        <v>690106.05</v>
      </c>
      <c r="L37" s="43">
        <f>SUM(L4:L36)</f>
        <v>746330</v>
      </c>
      <c r="M37" s="43"/>
      <c r="N37" s="43"/>
      <c r="O37" s="33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</row>
    <row r="38" spans="1:34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</row>
    <row r="39" spans="1:34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</row>
  </sheetData>
  <mergeCells count="2">
    <mergeCell ref="A1:N1"/>
    <mergeCell ref="A3:J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E987-7A95-4F93-8189-F0484DA603E1}">
  <dimension ref="A1:N35"/>
  <sheetViews>
    <sheetView workbookViewId="0">
      <selection activeCell="J17" sqref="J17"/>
    </sheetView>
  </sheetViews>
  <sheetFormatPr defaultRowHeight="15"/>
  <cols>
    <col min="2" max="2" width="10.140625" bestFit="1" customWidth="1"/>
    <col min="3" max="3" width="11.7109375" customWidth="1"/>
    <col min="7" max="7" width="10.140625" bestFit="1" customWidth="1"/>
    <col min="11" max="11" width="10.140625" bestFit="1" customWidth="1"/>
    <col min="12" max="12" width="14.42578125" customWidth="1"/>
    <col min="13" max="13" width="10.7109375" bestFit="1" customWidth="1"/>
    <col min="16" max="16" width="10" customWidth="1"/>
  </cols>
  <sheetData>
    <row r="1" spans="1:14" ht="15.75" customHeight="1">
      <c r="A1" s="495" t="s">
        <v>99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</row>
    <row r="2" spans="1:14" ht="25.5">
      <c r="A2" s="103" t="s">
        <v>0</v>
      </c>
      <c r="B2" s="106" t="s">
        <v>164</v>
      </c>
      <c r="C2" s="106" t="s">
        <v>165</v>
      </c>
      <c r="D2" s="106" t="s">
        <v>166</v>
      </c>
      <c r="E2" s="106" t="s">
        <v>167</v>
      </c>
      <c r="F2" s="106" t="s">
        <v>168</v>
      </c>
      <c r="G2" s="106" t="s">
        <v>169</v>
      </c>
      <c r="H2" s="106" t="s">
        <v>170</v>
      </c>
      <c r="I2" s="106" t="s">
        <v>168</v>
      </c>
      <c r="J2" s="106" t="s">
        <v>169</v>
      </c>
      <c r="K2" s="106" t="s">
        <v>171</v>
      </c>
      <c r="L2" s="106" t="s">
        <v>172</v>
      </c>
      <c r="M2" s="106" t="s">
        <v>209</v>
      </c>
      <c r="N2" s="106" t="s">
        <v>174</v>
      </c>
    </row>
    <row r="3" spans="1:14">
      <c r="A3" s="482" t="s">
        <v>175</v>
      </c>
      <c r="B3" s="483"/>
      <c r="C3" s="483"/>
      <c r="D3" s="483"/>
      <c r="E3" s="483"/>
      <c r="F3" s="483"/>
      <c r="G3" s="483"/>
      <c r="H3" s="483"/>
      <c r="I3" s="483"/>
      <c r="J3" s="484"/>
      <c r="K3">
        <v>198796.9749999998</v>
      </c>
      <c r="L3" s="150"/>
      <c r="M3" s="150">
        <v>198796.9749999998</v>
      </c>
      <c r="N3" s="107"/>
    </row>
    <row r="4" spans="1:14">
      <c r="A4" s="26">
        <v>1</v>
      </c>
      <c r="B4" s="27">
        <v>46113</v>
      </c>
      <c r="C4" s="107">
        <v>0</v>
      </c>
      <c r="D4" s="121"/>
      <c r="E4" s="36"/>
      <c r="F4" s="36"/>
      <c r="G4" s="36">
        <f>E4*F4</f>
        <v>0</v>
      </c>
      <c r="H4" s="122"/>
      <c r="I4" s="122"/>
      <c r="J4" s="36">
        <f>H4*I4</f>
        <v>0</v>
      </c>
      <c r="K4" s="36">
        <f>G4+J4</f>
        <v>0</v>
      </c>
      <c r="L4" s="36"/>
      <c r="M4" s="36">
        <f t="shared" ref="M4:M33" si="0">M3+K4-L4</f>
        <v>198796.9749999998</v>
      </c>
      <c r="N4" s="44"/>
    </row>
    <row r="5" spans="1:14">
      <c r="A5" s="26">
        <v>2</v>
      </c>
      <c r="B5" s="27">
        <v>46114</v>
      </c>
      <c r="C5" s="107">
        <v>0</v>
      </c>
      <c r="D5" s="121"/>
      <c r="E5" s="36">
        <v>2000</v>
      </c>
      <c r="F5" s="36">
        <v>91.55</v>
      </c>
      <c r="G5" s="36">
        <f t="shared" ref="G5:G31" si="1">E5*F5</f>
        <v>183100</v>
      </c>
      <c r="H5" s="122">
        <v>35</v>
      </c>
      <c r="I5" s="122">
        <v>103.73</v>
      </c>
      <c r="J5" s="36">
        <f t="shared" ref="J5:J31" si="2">H5*I5</f>
        <v>3630.55</v>
      </c>
      <c r="K5" s="36">
        <f t="shared" ref="K5:K31" si="3">G5+J5</f>
        <v>186730.55</v>
      </c>
      <c r="L5" s="36">
        <v>198797</v>
      </c>
      <c r="M5" s="36">
        <f t="shared" si="0"/>
        <v>186730.52499999979</v>
      </c>
      <c r="N5" s="44"/>
    </row>
    <row r="6" spans="1:14">
      <c r="A6" s="26">
        <v>3</v>
      </c>
      <c r="B6" s="27">
        <v>46115</v>
      </c>
      <c r="C6" s="107">
        <v>0</v>
      </c>
      <c r="D6" s="121"/>
      <c r="E6" s="36"/>
      <c r="F6" s="36"/>
      <c r="G6" s="36">
        <f t="shared" si="1"/>
        <v>0</v>
      </c>
      <c r="H6" s="122"/>
      <c r="I6" s="122"/>
      <c r="J6" s="36">
        <f t="shared" si="2"/>
        <v>0</v>
      </c>
      <c r="K6" s="36">
        <f t="shared" si="3"/>
        <v>0</v>
      </c>
      <c r="L6" s="36"/>
      <c r="M6" s="36">
        <f t="shared" si="0"/>
        <v>186730.52499999979</v>
      </c>
      <c r="N6" s="44"/>
    </row>
    <row r="7" spans="1:14">
      <c r="A7" s="26">
        <v>4</v>
      </c>
      <c r="B7" s="27">
        <v>46116</v>
      </c>
      <c r="C7" s="107">
        <v>0</v>
      </c>
      <c r="D7" s="121"/>
      <c r="E7" s="36"/>
      <c r="F7" s="36"/>
      <c r="G7" s="36">
        <f t="shared" si="1"/>
        <v>0</v>
      </c>
      <c r="H7" s="122"/>
      <c r="I7" s="122"/>
      <c r="J7" s="36">
        <f t="shared" si="2"/>
        <v>0</v>
      </c>
      <c r="K7" s="36">
        <f t="shared" si="3"/>
        <v>0</v>
      </c>
      <c r="L7" s="36"/>
      <c r="M7" s="36">
        <f t="shared" si="0"/>
        <v>186730.52499999979</v>
      </c>
      <c r="N7" s="44"/>
    </row>
    <row r="8" spans="1:14">
      <c r="A8" s="26">
        <v>5</v>
      </c>
      <c r="B8" s="27">
        <v>46117</v>
      </c>
      <c r="C8" s="107">
        <v>0</v>
      </c>
      <c r="D8" s="121"/>
      <c r="E8" s="36"/>
      <c r="F8" s="36"/>
      <c r="G8" s="36">
        <f t="shared" ref="G8:G20" si="4">E8*F8</f>
        <v>0</v>
      </c>
      <c r="H8" s="122"/>
      <c r="I8" s="122"/>
      <c r="J8" s="36">
        <f t="shared" ref="J8:J20" si="5">H8*I8</f>
        <v>0</v>
      </c>
      <c r="K8" s="36">
        <f t="shared" ref="K8:K20" si="6">G8+J8</f>
        <v>0</v>
      </c>
      <c r="L8" s="36"/>
      <c r="M8" s="36">
        <f t="shared" si="0"/>
        <v>186730.52499999979</v>
      </c>
      <c r="N8" s="44"/>
    </row>
    <row r="9" spans="1:14">
      <c r="A9" s="26">
        <v>6</v>
      </c>
      <c r="B9" s="27">
        <v>46118</v>
      </c>
      <c r="C9" s="107">
        <v>0</v>
      </c>
      <c r="D9" s="121"/>
      <c r="E9" s="36"/>
      <c r="F9" s="36"/>
      <c r="G9" s="36">
        <f t="shared" si="4"/>
        <v>0</v>
      </c>
      <c r="H9" s="122"/>
      <c r="I9" s="122"/>
      <c r="J9" s="36">
        <f t="shared" si="5"/>
        <v>0</v>
      </c>
      <c r="K9" s="36">
        <f t="shared" si="6"/>
        <v>0</v>
      </c>
      <c r="L9" s="36"/>
      <c r="M9" s="36">
        <f t="shared" si="0"/>
        <v>186730.52499999979</v>
      </c>
      <c r="N9" s="44"/>
    </row>
    <row r="10" spans="1:14">
      <c r="A10" s="26">
        <v>7</v>
      </c>
      <c r="B10" s="27">
        <v>46119</v>
      </c>
      <c r="C10" s="107">
        <v>0</v>
      </c>
      <c r="D10" s="121"/>
      <c r="E10" s="36"/>
      <c r="F10" s="36"/>
      <c r="G10" s="36">
        <f t="shared" si="4"/>
        <v>0</v>
      </c>
      <c r="H10" s="122"/>
      <c r="I10" s="122"/>
      <c r="J10" s="36">
        <f t="shared" si="5"/>
        <v>0</v>
      </c>
      <c r="K10" s="36">
        <f t="shared" si="6"/>
        <v>0</v>
      </c>
      <c r="L10" s="36"/>
      <c r="M10" s="36">
        <f t="shared" si="0"/>
        <v>186730.52499999979</v>
      </c>
      <c r="N10" s="44"/>
    </row>
    <row r="11" spans="1:14">
      <c r="A11" s="26">
        <v>8</v>
      </c>
      <c r="B11" s="27">
        <v>46120</v>
      </c>
      <c r="C11" s="107">
        <v>0</v>
      </c>
      <c r="D11" s="121"/>
      <c r="E11" s="36">
        <v>1999.13</v>
      </c>
      <c r="F11" s="36">
        <v>91.55</v>
      </c>
      <c r="G11" s="36">
        <f t="shared" si="4"/>
        <v>183020.35149999999</v>
      </c>
      <c r="H11" s="122">
        <v>70</v>
      </c>
      <c r="I11" s="122">
        <v>103.73</v>
      </c>
      <c r="J11" s="36">
        <f t="shared" si="5"/>
        <v>7261.1</v>
      </c>
      <c r="K11" s="36">
        <f t="shared" si="6"/>
        <v>190281.4515</v>
      </c>
      <c r="L11" s="36">
        <v>186000</v>
      </c>
      <c r="M11" s="36">
        <f t="shared" si="0"/>
        <v>191011.97649999976</v>
      </c>
      <c r="N11" s="44"/>
    </row>
    <row r="12" spans="1:14">
      <c r="A12" s="26">
        <v>9</v>
      </c>
      <c r="B12" s="27">
        <v>46121</v>
      </c>
      <c r="C12" s="107">
        <v>0</v>
      </c>
      <c r="D12" s="121"/>
      <c r="E12" s="36"/>
      <c r="F12" s="36"/>
      <c r="G12" s="36">
        <f t="shared" si="4"/>
        <v>0</v>
      </c>
      <c r="H12" s="122"/>
      <c r="I12" s="122"/>
      <c r="J12" s="36">
        <f t="shared" si="5"/>
        <v>0</v>
      </c>
      <c r="K12" s="36">
        <f t="shared" si="6"/>
        <v>0</v>
      </c>
      <c r="L12" s="36"/>
      <c r="M12" s="36">
        <f t="shared" si="0"/>
        <v>191011.97649999976</v>
      </c>
      <c r="N12" s="44"/>
    </row>
    <row r="13" spans="1:14">
      <c r="A13" s="26">
        <v>10</v>
      </c>
      <c r="B13" s="27">
        <v>46122</v>
      </c>
      <c r="C13" s="107">
        <v>0</v>
      </c>
      <c r="D13" s="121"/>
      <c r="E13" s="36"/>
      <c r="F13" s="36"/>
      <c r="G13" s="36">
        <f t="shared" si="4"/>
        <v>0</v>
      </c>
      <c r="H13" s="122"/>
      <c r="I13" s="122"/>
      <c r="J13" s="36">
        <f t="shared" si="5"/>
        <v>0</v>
      </c>
      <c r="K13" s="36">
        <f t="shared" si="6"/>
        <v>0</v>
      </c>
      <c r="L13" s="36"/>
      <c r="M13" s="36">
        <f t="shared" si="0"/>
        <v>191011.97649999976</v>
      </c>
      <c r="N13" s="44"/>
    </row>
    <row r="14" spans="1:14">
      <c r="A14" s="26">
        <v>11</v>
      </c>
      <c r="B14" s="27">
        <v>46123</v>
      </c>
      <c r="C14" s="107">
        <v>0</v>
      </c>
      <c r="D14" s="121"/>
      <c r="E14" s="36"/>
      <c r="F14" s="36"/>
      <c r="G14" s="36">
        <f t="shared" si="4"/>
        <v>0</v>
      </c>
      <c r="H14" s="122"/>
      <c r="I14" s="122"/>
      <c r="J14" s="36">
        <f t="shared" si="5"/>
        <v>0</v>
      </c>
      <c r="K14" s="36">
        <f t="shared" si="6"/>
        <v>0</v>
      </c>
      <c r="L14" s="36"/>
      <c r="M14" s="36">
        <f t="shared" si="0"/>
        <v>191011.97649999976</v>
      </c>
      <c r="N14" s="44"/>
    </row>
    <row r="15" spans="1:14">
      <c r="A15" s="26">
        <v>12</v>
      </c>
      <c r="B15" s="27">
        <v>46124</v>
      </c>
      <c r="C15" s="107">
        <v>0</v>
      </c>
      <c r="D15" s="121"/>
      <c r="E15" s="36"/>
      <c r="F15" s="36"/>
      <c r="G15" s="36">
        <f t="shared" si="4"/>
        <v>0</v>
      </c>
      <c r="H15" s="122"/>
      <c r="I15" s="122"/>
      <c r="J15" s="36">
        <f t="shared" si="5"/>
        <v>0</v>
      </c>
      <c r="K15" s="36">
        <f t="shared" si="6"/>
        <v>0</v>
      </c>
      <c r="L15" s="36"/>
      <c r="M15" s="36">
        <f t="shared" si="0"/>
        <v>191011.97649999976</v>
      </c>
      <c r="N15" s="44"/>
    </row>
    <row r="16" spans="1:14">
      <c r="A16" s="26">
        <v>13</v>
      </c>
      <c r="B16" s="27">
        <v>46125</v>
      </c>
      <c r="C16" s="107">
        <v>0</v>
      </c>
      <c r="D16" s="121"/>
      <c r="E16" s="36"/>
      <c r="F16" s="36"/>
      <c r="G16" s="36">
        <f t="shared" si="4"/>
        <v>0</v>
      </c>
      <c r="H16" s="122"/>
      <c r="I16" s="122"/>
      <c r="J16" s="36">
        <f t="shared" si="5"/>
        <v>0</v>
      </c>
      <c r="K16" s="36">
        <f t="shared" si="6"/>
        <v>0</v>
      </c>
      <c r="L16" s="36"/>
      <c r="M16" s="36">
        <f t="shared" si="0"/>
        <v>191011.97649999976</v>
      </c>
      <c r="N16" s="44"/>
    </row>
    <row r="17" spans="1:14">
      <c r="A17" s="26">
        <v>14</v>
      </c>
      <c r="B17" s="27">
        <v>46126</v>
      </c>
      <c r="C17" s="107">
        <v>0</v>
      </c>
      <c r="D17" s="121"/>
      <c r="E17" s="36"/>
      <c r="F17" s="36"/>
      <c r="G17" s="36">
        <f t="shared" si="4"/>
        <v>0</v>
      </c>
      <c r="H17" s="122"/>
      <c r="I17" s="122"/>
      <c r="J17" s="36">
        <f t="shared" si="5"/>
        <v>0</v>
      </c>
      <c r="K17" s="36">
        <f t="shared" si="6"/>
        <v>0</v>
      </c>
      <c r="L17" s="36"/>
      <c r="M17" s="36">
        <f t="shared" si="0"/>
        <v>191011.97649999976</v>
      </c>
      <c r="N17" s="44"/>
    </row>
    <row r="18" spans="1:14">
      <c r="A18" s="26">
        <v>15</v>
      </c>
      <c r="B18" s="27">
        <v>46127</v>
      </c>
      <c r="C18" s="107">
        <v>0</v>
      </c>
      <c r="D18" s="121"/>
      <c r="E18" s="36"/>
      <c r="F18" s="36"/>
      <c r="G18" s="36">
        <f t="shared" si="4"/>
        <v>0</v>
      </c>
      <c r="H18" s="122"/>
      <c r="I18" s="122"/>
      <c r="J18" s="36">
        <f t="shared" si="5"/>
        <v>0</v>
      </c>
      <c r="K18" s="36">
        <f t="shared" si="6"/>
        <v>0</v>
      </c>
      <c r="L18" s="36"/>
      <c r="M18" s="36">
        <f t="shared" si="0"/>
        <v>191011.97649999976</v>
      </c>
      <c r="N18" s="44"/>
    </row>
    <row r="19" spans="1:14">
      <c r="A19" s="26">
        <v>16</v>
      </c>
      <c r="B19" s="27">
        <v>46128</v>
      </c>
      <c r="C19" s="107">
        <v>0</v>
      </c>
      <c r="D19" s="121"/>
      <c r="E19" s="36"/>
      <c r="F19" s="36"/>
      <c r="G19" s="36">
        <f t="shared" si="4"/>
        <v>0</v>
      </c>
      <c r="H19" s="122"/>
      <c r="I19" s="122"/>
      <c r="J19" s="36">
        <f t="shared" si="5"/>
        <v>0</v>
      </c>
      <c r="K19" s="36">
        <f t="shared" si="6"/>
        <v>0</v>
      </c>
      <c r="L19" s="36"/>
      <c r="M19" s="36">
        <f t="shared" si="0"/>
        <v>191011.97649999976</v>
      </c>
      <c r="N19" s="44"/>
    </row>
    <row r="20" spans="1:14">
      <c r="A20" s="26">
        <v>17</v>
      </c>
      <c r="B20" s="27">
        <v>46129</v>
      </c>
      <c r="C20" s="107">
        <v>0</v>
      </c>
      <c r="D20" s="121"/>
      <c r="E20" s="36"/>
      <c r="F20" s="36"/>
      <c r="G20" s="36">
        <f t="shared" si="4"/>
        <v>0</v>
      </c>
      <c r="H20" s="122"/>
      <c r="I20" s="122"/>
      <c r="J20" s="36">
        <f t="shared" si="5"/>
        <v>0</v>
      </c>
      <c r="K20" s="36">
        <f t="shared" si="6"/>
        <v>0</v>
      </c>
      <c r="L20" s="36"/>
      <c r="M20" s="36">
        <f t="shared" si="0"/>
        <v>191011.97649999976</v>
      </c>
      <c r="N20" s="44"/>
    </row>
    <row r="21" spans="1:14">
      <c r="A21" s="26">
        <v>18</v>
      </c>
      <c r="B21" s="27">
        <v>46130</v>
      </c>
      <c r="C21" s="107">
        <v>0</v>
      </c>
      <c r="D21" s="121"/>
      <c r="E21" s="36"/>
      <c r="F21" s="36"/>
      <c r="G21" s="36">
        <f t="shared" si="1"/>
        <v>0</v>
      </c>
      <c r="H21" s="122"/>
      <c r="I21" s="122"/>
      <c r="J21" s="36">
        <f t="shared" si="2"/>
        <v>0</v>
      </c>
      <c r="K21" s="36">
        <f t="shared" si="3"/>
        <v>0</v>
      </c>
      <c r="L21" s="36"/>
      <c r="M21" s="36">
        <f t="shared" si="0"/>
        <v>191011.97649999976</v>
      </c>
      <c r="N21" s="44"/>
    </row>
    <row r="22" spans="1:14">
      <c r="A22" s="26">
        <v>19</v>
      </c>
      <c r="B22" s="27">
        <v>46131</v>
      </c>
      <c r="C22" s="107">
        <v>0</v>
      </c>
      <c r="D22" s="121"/>
      <c r="E22" s="36"/>
      <c r="F22" s="36"/>
      <c r="G22" s="36">
        <f t="shared" si="1"/>
        <v>0</v>
      </c>
      <c r="H22" s="122"/>
      <c r="I22" s="122"/>
      <c r="J22" s="36">
        <f t="shared" si="2"/>
        <v>0</v>
      </c>
      <c r="K22" s="36">
        <f t="shared" si="3"/>
        <v>0</v>
      </c>
      <c r="L22" s="36"/>
      <c r="M22" s="36">
        <f t="shared" si="0"/>
        <v>191011.97649999976</v>
      </c>
      <c r="N22" s="44"/>
    </row>
    <row r="23" spans="1:14">
      <c r="A23" s="26">
        <v>20</v>
      </c>
      <c r="B23" s="27">
        <v>46132</v>
      </c>
      <c r="C23" s="107">
        <v>0</v>
      </c>
      <c r="D23" s="121"/>
      <c r="E23" s="36"/>
      <c r="F23" s="36"/>
      <c r="G23" s="36">
        <f t="shared" si="1"/>
        <v>0</v>
      </c>
      <c r="H23" s="122"/>
      <c r="I23" s="122"/>
      <c r="J23" s="36">
        <f t="shared" si="2"/>
        <v>0</v>
      </c>
      <c r="K23" s="36">
        <f t="shared" si="3"/>
        <v>0</v>
      </c>
      <c r="L23" s="36"/>
      <c r="M23" s="36">
        <f t="shared" si="0"/>
        <v>191011.97649999976</v>
      </c>
      <c r="N23" s="44"/>
    </row>
    <row r="24" spans="1:14">
      <c r="A24" s="26">
        <v>21</v>
      </c>
      <c r="B24" s="27">
        <v>46133</v>
      </c>
      <c r="C24" s="107">
        <v>0</v>
      </c>
      <c r="D24" s="121"/>
      <c r="E24" s="36"/>
      <c r="F24" s="36"/>
      <c r="G24" s="36">
        <f t="shared" si="1"/>
        <v>0</v>
      </c>
      <c r="H24" s="122"/>
      <c r="I24" s="122"/>
      <c r="J24" s="36">
        <f t="shared" si="2"/>
        <v>0</v>
      </c>
      <c r="K24" s="36">
        <f t="shared" si="3"/>
        <v>0</v>
      </c>
      <c r="L24" s="36"/>
      <c r="M24" s="36">
        <f t="shared" si="0"/>
        <v>191011.97649999976</v>
      </c>
      <c r="N24" s="44"/>
    </row>
    <row r="25" spans="1:14">
      <c r="A25" s="26">
        <v>22</v>
      </c>
      <c r="B25" s="27">
        <v>46134</v>
      </c>
      <c r="C25" s="107">
        <v>0</v>
      </c>
      <c r="D25" s="121"/>
      <c r="E25" s="36"/>
      <c r="F25" s="36"/>
      <c r="G25" s="36">
        <f t="shared" ref="G25:G33" si="7">E25*F25</f>
        <v>0</v>
      </c>
      <c r="H25" s="122"/>
      <c r="I25" s="122"/>
      <c r="J25" s="36">
        <f t="shared" ref="J25:J33" si="8">H25*I25</f>
        <v>0</v>
      </c>
      <c r="K25" s="36">
        <f t="shared" ref="K25:K33" si="9">G25+J25</f>
        <v>0</v>
      </c>
      <c r="L25" s="36"/>
      <c r="M25" s="36">
        <f t="shared" si="0"/>
        <v>191011.97649999976</v>
      </c>
      <c r="N25" s="44"/>
    </row>
    <row r="26" spans="1:14">
      <c r="A26" s="26">
        <v>23</v>
      </c>
      <c r="B26" s="27">
        <v>46135</v>
      </c>
      <c r="C26" s="107">
        <v>0</v>
      </c>
      <c r="D26" s="121"/>
      <c r="E26" s="36"/>
      <c r="F26" s="36"/>
      <c r="G26" s="36">
        <f t="shared" si="7"/>
        <v>0</v>
      </c>
      <c r="H26" s="122"/>
      <c r="I26" s="122"/>
      <c r="J26" s="36">
        <f t="shared" si="8"/>
        <v>0</v>
      </c>
      <c r="K26" s="36">
        <f t="shared" si="9"/>
        <v>0</v>
      </c>
      <c r="L26" s="36"/>
      <c r="M26" s="36">
        <f t="shared" si="0"/>
        <v>191011.97649999976</v>
      </c>
      <c r="N26" s="44"/>
    </row>
    <row r="27" spans="1:14">
      <c r="A27" s="26">
        <v>24</v>
      </c>
      <c r="B27" s="27">
        <v>46136</v>
      </c>
      <c r="C27" s="107">
        <v>0</v>
      </c>
      <c r="D27" s="121"/>
      <c r="E27" s="36"/>
      <c r="F27" s="36"/>
      <c r="G27" s="36">
        <f t="shared" si="7"/>
        <v>0</v>
      </c>
      <c r="H27" s="122"/>
      <c r="I27" s="122"/>
      <c r="J27" s="36">
        <f t="shared" si="8"/>
        <v>0</v>
      </c>
      <c r="K27" s="36">
        <f t="shared" si="9"/>
        <v>0</v>
      </c>
      <c r="L27" s="36"/>
      <c r="M27" s="36">
        <f t="shared" si="0"/>
        <v>191011.97649999976</v>
      </c>
      <c r="N27" s="44"/>
    </row>
    <row r="28" spans="1:14">
      <c r="A28" s="26">
        <v>25</v>
      </c>
      <c r="B28" s="27">
        <v>46137</v>
      </c>
      <c r="C28" s="107">
        <v>0</v>
      </c>
      <c r="D28" s="121"/>
      <c r="E28" s="36"/>
      <c r="F28" s="36"/>
      <c r="G28" s="36">
        <f t="shared" si="7"/>
        <v>0</v>
      </c>
      <c r="H28" s="122"/>
      <c r="I28" s="122"/>
      <c r="J28" s="36">
        <f t="shared" si="8"/>
        <v>0</v>
      </c>
      <c r="K28" s="36">
        <f t="shared" si="9"/>
        <v>0</v>
      </c>
      <c r="L28" s="36"/>
      <c r="M28" s="36">
        <f t="shared" si="0"/>
        <v>191011.97649999976</v>
      </c>
      <c r="N28" s="44"/>
    </row>
    <row r="29" spans="1:14">
      <c r="A29" s="26">
        <v>26</v>
      </c>
      <c r="B29" s="27">
        <v>46138</v>
      </c>
      <c r="C29" s="107">
        <v>0</v>
      </c>
      <c r="D29" s="121"/>
      <c r="E29" s="36"/>
      <c r="F29" s="36"/>
      <c r="G29" s="36">
        <f t="shared" si="7"/>
        <v>0</v>
      </c>
      <c r="H29" s="122"/>
      <c r="I29" s="122"/>
      <c r="J29" s="36">
        <f t="shared" si="8"/>
        <v>0</v>
      </c>
      <c r="K29" s="36">
        <f t="shared" si="9"/>
        <v>0</v>
      </c>
      <c r="L29" s="36"/>
      <c r="M29" s="36">
        <f t="shared" si="0"/>
        <v>191011.97649999976</v>
      </c>
      <c r="N29" s="44"/>
    </row>
    <row r="30" spans="1:14">
      <c r="A30" s="26">
        <v>27</v>
      </c>
      <c r="B30" s="27">
        <v>46139</v>
      </c>
      <c r="C30" s="107">
        <v>0</v>
      </c>
      <c r="D30" s="121"/>
      <c r="E30" s="36">
        <v>1000</v>
      </c>
      <c r="F30" s="36">
        <v>91.39</v>
      </c>
      <c r="G30" s="36">
        <f t="shared" si="7"/>
        <v>91390</v>
      </c>
      <c r="H30" s="122">
        <v>70</v>
      </c>
      <c r="I30" s="122">
        <v>103.46</v>
      </c>
      <c r="J30" s="36">
        <f t="shared" si="8"/>
        <v>7242.2</v>
      </c>
      <c r="K30" s="36">
        <f t="shared" si="9"/>
        <v>98632.2</v>
      </c>
      <c r="L30" s="36">
        <v>191000</v>
      </c>
      <c r="M30" s="36">
        <f t="shared" si="0"/>
        <v>98644.176499999769</v>
      </c>
      <c r="N30" s="44"/>
    </row>
    <row r="31" spans="1:14">
      <c r="A31" s="26">
        <v>28</v>
      </c>
      <c r="B31" s="27">
        <v>46140</v>
      </c>
      <c r="C31" s="107">
        <v>0</v>
      </c>
      <c r="D31" s="121"/>
      <c r="E31" s="36"/>
      <c r="F31" s="36"/>
      <c r="G31" s="36">
        <f t="shared" si="7"/>
        <v>0</v>
      </c>
      <c r="H31" s="122"/>
      <c r="I31" s="122"/>
      <c r="J31" s="36">
        <f t="shared" si="8"/>
        <v>0</v>
      </c>
      <c r="K31" s="36">
        <f t="shared" si="9"/>
        <v>0</v>
      </c>
      <c r="L31" s="36"/>
      <c r="M31" s="36">
        <f t="shared" si="0"/>
        <v>98644.176499999769</v>
      </c>
      <c r="N31" s="44"/>
    </row>
    <row r="32" spans="1:14">
      <c r="A32" s="26">
        <v>29</v>
      </c>
      <c r="B32" s="27">
        <v>46141</v>
      </c>
      <c r="C32" s="107">
        <v>0</v>
      </c>
      <c r="D32" s="121"/>
      <c r="E32" s="36">
        <v>1600</v>
      </c>
      <c r="F32" s="36">
        <v>91.39</v>
      </c>
      <c r="G32" s="36">
        <f t="shared" si="7"/>
        <v>146224</v>
      </c>
      <c r="H32" s="122">
        <v>35</v>
      </c>
      <c r="I32" s="122">
        <v>103.46</v>
      </c>
      <c r="J32" s="36">
        <f t="shared" si="8"/>
        <v>3621.1</v>
      </c>
      <c r="K32" s="36">
        <f t="shared" si="9"/>
        <v>149845.1</v>
      </c>
      <c r="L32" s="36"/>
      <c r="M32" s="36">
        <f t="shared" si="0"/>
        <v>248489.27649999977</v>
      </c>
      <c r="N32" s="44"/>
    </row>
    <row r="33" spans="1:14">
      <c r="A33" s="26">
        <v>30</v>
      </c>
      <c r="B33" s="27">
        <v>46142</v>
      </c>
      <c r="C33" s="107">
        <v>0</v>
      </c>
      <c r="D33" s="121"/>
      <c r="E33" s="36"/>
      <c r="F33" s="36"/>
      <c r="G33" s="36">
        <f t="shared" si="7"/>
        <v>0</v>
      </c>
      <c r="H33" s="122"/>
      <c r="I33" s="122"/>
      <c r="J33" s="36">
        <f t="shared" si="8"/>
        <v>0</v>
      </c>
      <c r="K33" s="36">
        <f t="shared" si="9"/>
        <v>0</v>
      </c>
      <c r="L33" s="36"/>
      <c r="M33" s="36">
        <f t="shared" si="0"/>
        <v>248489.27649999977</v>
      </c>
      <c r="N33" s="44"/>
    </row>
    <row r="34" spans="1:14">
      <c r="A34" s="26">
        <v>31</v>
      </c>
      <c r="B34" s="27"/>
      <c r="C34" s="107"/>
      <c r="D34" s="121"/>
      <c r="E34" s="36"/>
      <c r="F34" s="36"/>
      <c r="G34" s="36"/>
      <c r="H34" s="122"/>
      <c r="I34" s="122"/>
      <c r="J34" s="36"/>
      <c r="K34" s="36"/>
      <c r="L34" s="36"/>
      <c r="M34" s="36"/>
      <c r="N34" s="44"/>
    </row>
    <row r="35" spans="1:14">
      <c r="A35" s="42"/>
      <c r="B35" s="42"/>
      <c r="C35" s="42"/>
      <c r="D35" s="42"/>
      <c r="E35" s="43">
        <f>SUM(E4:E34)</f>
        <v>6599.13</v>
      </c>
      <c r="F35" s="43"/>
      <c r="G35" s="43">
        <f>SUM(G4:G34)</f>
        <v>603734.35149999999</v>
      </c>
      <c r="H35" s="43">
        <f>SUM(H4:H34)</f>
        <v>210</v>
      </c>
      <c r="I35" s="43"/>
      <c r="J35" s="43">
        <f>SUM(J4:J34)</f>
        <v>21754.95</v>
      </c>
      <c r="K35" s="43">
        <f>SUM(K4:K34)</f>
        <v>625489.30150000006</v>
      </c>
      <c r="L35" s="43">
        <f>SUM(L4:L34)</f>
        <v>575797</v>
      </c>
      <c r="M35" s="43"/>
      <c r="N35" s="43"/>
    </row>
  </sheetData>
  <mergeCells count="2">
    <mergeCell ref="A1:N1"/>
    <mergeCell ref="A3:J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574-123A-4F92-95B2-0919D70B5B11}">
  <dimension ref="A1:O37"/>
  <sheetViews>
    <sheetView workbookViewId="0">
      <pane ySplit="2" topLeftCell="A26" activePane="bottomLeft" state="frozen"/>
      <selection pane="bottomLeft" activeCell="M34" sqref="M34"/>
    </sheetView>
  </sheetViews>
  <sheetFormatPr defaultColWidth="9.28515625" defaultRowHeight="15"/>
  <cols>
    <col min="1" max="1" width="5.42578125" style="51" bestFit="1" customWidth="1"/>
    <col min="2" max="2" width="11" style="51" bestFit="1" customWidth="1"/>
    <col min="3" max="3" width="7.140625" style="51" bestFit="1" customWidth="1"/>
    <col min="4" max="4" width="15.140625" style="51" bestFit="1" customWidth="1"/>
    <col min="5" max="5" width="9.28515625" style="51"/>
    <col min="6" max="6" width="9.85546875" style="51" bestFit="1" customWidth="1"/>
    <col min="7" max="7" width="10.42578125" style="51" bestFit="1" customWidth="1"/>
    <col min="8" max="8" width="9.28515625" style="51"/>
    <col min="9" max="9" width="7.140625" style="51" bestFit="1" customWidth="1"/>
    <col min="10" max="10" width="9.5703125" style="51" bestFit="1" customWidth="1"/>
    <col min="11" max="11" width="12.28515625" style="51" customWidth="1"/>
    <col min="12" max="12" width="11.7109375" style="51" bestFit="1" customWidth="1"/>
    <col min="13" max="13" width="11.7109375" style="51" customWidth="1"/>
    <col min="14" max="14" width="17.7109375" style="51" bestFit="1" customWidth="1"/>
    <col min="15" max="16384" width="9.28515625" style="51"/>
  </cols>
  <sheetData>
    <row r="1" spans="1:15" ht="15.75">
      <c r="A1" s="496" t="s">
        <v>105</v>
      </c>
      <c r="B1" s="496"/>
      <c r="C1" s="496"/>
      <c r="D1" s="496"/>
      <c r="E1" s="496"/>
      <c r="F1" s="496"/>
      <c r="G1" s="496"/>
      <c r="H1" s="496"/>
      <c r="I1" s="496"/>
      <c r="J1" s="496"/>
      <c r="K1" s="496"/>
      <c r="L1" s="496"/>
      <c r="M1" s="496"/>
      <c r="N1" s="496"/>
    </row>
    <row r="2" spans="1:15" ht="25.5">
      <c r="A2" s="87" t="s">
        <v>0</v>
      </c>
      <c r="B2" s="88" t="s">
        <v>164</v>
      </c>
      <c r="C2" s="88" t="s">
        <v>165</v>
      </c>
      <c r="D2" s="88" t="s">
        <v>166</v>
      </c>
      <c r="E2" s="88" t="s">
        <v>167</v>
      </c>
      <c r="F2" s="88" t="s">
        <v>168</v>
      </c>
      <c r="G2" s="88" t="s">
        <v>169</v>
      </c>
      <c r="H2" s="88" t="s">
        <v>170</v>
      </c>
      <c r="I2" s="88" t="s">
        <v>168</v>
      </c>
      <c r="J2" s="112" t="s">
        <v>169</v>
      </c>
      <c r="K2" s="114" t="s">
        <v>171</v>
      </c>
      <c r="L2" s="115" t="s">
        <v>172</v>
      </c>
      <c r="M2" s="116" t="s">
        <v>209</v>
      </c>
      <c r="N2" s="89" t="s">
        <v>174</v>
      </c>
      <c r="O2" s="33"/>
    </row>
    <row r="3" spans="1:15" ht="15.75">
      <c r="A3" s="482" t="s">
        <v>175</v>
      </c>
      <c r="B3" s="483"/>
      <c r="C3" s="483"/>
      <c r="D3" s="483"/>
      <c r="E3" s="483"/>
      <c r="F3" s="483"/>
      <c r="G3" s="483"/>
      <c r="H3" s="483"/>
      <c r="I3" s="483"/>
      <c r="J3" s="484"/>
      <c r="K3" s="52">
        <v>69.799999999988358</v>
      </c>
      <c r="L3" s="123"/>
      <c r="M3" s="120">
        <v>69.799999999988358</v>
      </c>
      <c r="N3" s="50"/>
    </row>
    <row r="4" spans="1:15" ht="15.75">
      <c r="A4" s="26">
        <v>1</v>
      </c>
      <c r="B4" s="27">
        <v>46113</v>
      </c>
      <c r="C4" s="118"/>
      <c r="D4" s="119"/>
      <c r="E4" s="79">
        <v>2500</v>
      </c>
      <c r="F4" s="117">
        <v>92.1</v>
      </c>
      <c r="G4" s="117">
        <f>E4*F4</f>
        <v>230250</v>
      </c>
      <c r="H4" s="117"/>
      <c r="I4" s="117"/>
      <c r="J4" s="117">
        <f>H4*I4</f>
        <v>0</v>
      </c>
      <c r="K4" s="117">
        <f>G4+J4</f>
        <v>230250</v>
      </c>
      <c r="L4" s="117"/>
      <c r="M4" s="123">
        <f>M3+K4-L4</f>
        <v>230319.8</v>
      </c>
      <c r="N4" s="117"/>
    </row>
    <row r="5" spans="1:15" ht="15.75">
      <c r="A5" s="26">
        <v>2</v>
      </c>
      <c r="B5" s="27">
        <v>46114</v>
      </c>
      <c r="C5" s="23"/>
      <c r="D5" s="24"/>
      <c r="E5" s="79"/>
      <c r="F5" s="117"/>
      <c r="G5" s="117">
        <f t="shared" ref="G5:G33" si="0">E5*F5</f>
        <v>0</v>
      </c>
      <c r="H5" s="117"/>
      <c r="I5" s="117"/>
      <c r="J5" s="117">
        <f t="shared" ref="J5:J33" si="1">H5*I5</f>
        <v>0</v>
      </c>
      <c r="K5" s="117">
        <f t="shared" ref="K5:K33" si="2">G5+J5</f>
        <v>0</v>
      </c>
      <c r="L5" s="117"/>
      <c r="M5" s="123">
        <f>M4+K5-L5</f>
        <v>230319.8</v>
      </c>
      <c r="N5" s="44"/>
    </row>
    <row r="6" spans="1:15" ht="18.75" customHeight="1">
      <c r="A6" s="26">
        <v>3</v>
      </c>
      <c r="B6" s="27">
        <v>46115</v>
      </c>
      <c r="C6" s="208"/>
      <c r="D6" s="189"/>
      <c r="E6" s="79"/>
      <c r="F6" s="117"/>
      <c r="G6" s="117">
        <f t="shared" si="0"/>
        <v>0</v>
      </c>
      <c r="H6" s="117"/>
      <c r="I6" s="117"/>
      <c r="J6" s="117">
        <f t="shared" si="1"/>
        <v>0</v>
      </c>
      <c r="K6" s="117">
        <f t="shared" si="2"/>
        <v>0</v>
      </c>
      <c r="L6" s="117"/>
      <c r="M6" s="123">
        <f>M5+K6-L6</f>
        <v>230319.8</v>
      </c>
      <c r="N6" s="50"/>
    </row>
    <row r="7" spans="1:15" ht="15.75">
      <c r="A7" s="26">
        <v>4</v>
      </c>
      <c r="B7" s="27">
        <v>46116</v>
      </c>
      <c r="C7" s="206"/>
      <c r="D7" s="207"/>
      <c r="E7" s="79"/>
      <c r="F7" s="117"/>
      <c r="G7" s="117">
        <f t="shared" si="0"/>
        <v>0</v>
      </c>
      <c r="H7" s="117"/>
      <c r="I7" s="117"/>
      <c r="J7" s="117">
        <f t="shared" si="1"/>
        <v>0</v>
      </c>
      <c r="K7" s="117">
        <f t="shared" si="2"/>
        <v>0</v>
      </c>
      <c r="L7" s="117"/>
      <c r="M7" s="123">
        <f>M6+K7-L7</f>
        <v>230319.8</v>
      </c>
      <c r="N7" s="44"/>
    </row>
    <row r="8" spans="1:15" ht="15.75" customHeight="1">
      <c r="A8" s="26">
        <v>5</v>
      </c>
      <c r="B8" s="27">
        <v>46117</v>
      </c>
      <c r="C8" s="117"/>
      <c r="D8" s="117"/>
      <c r="E8" s="79"/>
      <c r="F8" s="117"/>
      <c r="G8" s="117">
        <f t="shared" si="0"/>
        <v>0</v>
      </c>
      <c r="H8" s="117"/>
      <c r="I8" s="117"/>
      <c r="J8" s="117">
        <f t="shared" si="1"/>
        <v>0</v>
      </c>
      <c r="K8" s="117">
        <f t="shared" si="2"/>
        <v>0</v>
      </c>
      <c r="L8" s="117"/>
      <c r="M8" s="123">
        <f t="shared" ref="M8:M34" si="3">M7+K8-L8</f>
        <v>230319.8</v>
      </c>
      <c r="N8" s="50"/>
    </row>
    <row r="9" spans="1:15" ht="15.75" customHeight="1">
      <c r="A9" s="26">
        <v>6</v>
      </c>
      <c r="B9" s="27">
        <v>46118</v>
      </c>
      <c r="C9" s="50"/>
      <c r="D9" s="117"/>
      <c r="E9" s="79"/>
      <c r="F9" s="117"/>
      <c r="G9" s="117">
        <f t="shared" si="0"/>
        <v>0</v>
      </c>
      <c r="H9" s="117"/>
      <c r="I9" s="117"/>
      <c r="J9" s="117">
        <f t="shared" si="1"/>
        <v>0</v>
      </c>
      <c r="K9" s="117">
        <f t="shared" si="2"/>
        <v>0</v>
      </c>
      <c r="L9" s="117"/>
      <c r="M9" s="123">
        <f t="shared" si="3"/>
        <v>230319.8</v>
      </c>
      <c r="N9" s="50"/>
    </row>
    <row r="10" spans="1:15" ht="15.75" customHeight="1">
      <c r="A10" s="26">
        <v>7</v>
      </c>
      <c r="B10" s="27">
        <v>46119</v>
      </c>
      <c r="C10" s="50"/>
      <c r="D10" s="117"/>
      <c r="E10" s="79"/>
      <c r="F10" s="117"/>
      <c r="G10" s="117">
        <f t="shared" si="0"/>
        <v>0</v>
      </c>
      <c r="H10" s="117"/>
      <c r="I10" s="117"/>
      <c r="J10" s="117">
        <f t="shared" si="1"/>
        <v>0</v>
      </c>
      <c r="K10" s="117">
        <f t="shared" si="2"/>
        <v>0</v>
      </c>
      <c r="L10" s="117"/>
      <c r="M10" s="123">
        <f t="shared" si="3"/>
        <v>230319.8</v>
      </c>
      <c r="N10" s="50"/>
    </row>
    <row r="11" spans="1:15" ht="15.75" customHeight="1">
      <c r="A11" s="26">
        <v>8</v>
      </c>
      <c r="B11" s="27">
        <v>46120</v>
      </c>
      <c r="C11" s="50"/>
      <c r="D11" s="117"/>
      <c r="E11" s="79"/>
      <c r="F11" s="117"/>
      <c r="G11" s="117">
        <f t="shared" si="0"/>
        <v>0</v>
      </c>
      <c r="H11" s="117">
        <v>70</v>
      </c>
      <c r="I11" s="117">
        <v>103.86</v>
      </c>
      <c r="J11" s="117">
        <f t="shared" si="1"/>
        <v>7270.2</v>
      </c>
      <c r="K11" s="117">
        <f t="shared" si="2"/>
        <v>7270.2</v>
      </c>
      <c r="L11" s="117"/>
      <c r="M11" s="123">
        <f t="shared" si="3"/>
        <v>237590</v>
      </c>
      <c r="N11" s="50"/>
    </row>
    <row r="12" spans="1:15" ht="15.75" customHeight="1">
      <c r="A12" s="26">
        <v>9</v>
      </c>
      <c r="B12" s="27">
        <v>46121</v>
      </c>
      <c r="C12" s="50"/>
      <c r="D12" s="117"/>
      <c r="E12" s="79"/>
      <c r="F12" s="117"/>
      <c r="G12" s="117">
        <f t="shared" si="0"/>
        <v>0</v>
      </c>
      <c r="H12" s="117"/>
      <c r="I12" s="117"/>
      <c r="J12" s="117">
        <f t="shared" si="1"/>
        <v>0</v>
      </c>
      <c r="K12" s="117">
        <f t="shared" si="2"/>
        <v>0</v>
      </c>
      <c r="L12" s="117"/>
      <c r="M12" s="123">
        <f t="shared" si="3"/>
        <v>237590</v>
      </c>
      <c r="N12" s="50"/>
    </row>
    <row r="13" spans="1:15" ht="15.75" customHeight="1">
      <c r="A13" s="26">
        <v>10</v>
      </c>
      <c r="B13" s="27">
        <v>46122</v>
      </c>
      <c r="C13" s="50"/>
      <c r="D13" s="117"/>
      <c r="E13" s="79"/>
      <c r="F13" s="117"/>
      <c r="G13" s="117">
        <f t="shared" si="0"/>
        <v>0</v>
      </c>
      <c r="H13" s="117"/>
      <c r="I13" s="117"/>
      <c r="J13" s="117">
        <f t="shared" si="1"/>
        <v>0</v>
      </c>
      <c r="K13" s="117">
        <f t="shared" si="2"/>
        <v>0</v>
      </c>
      <c r="L13" s="117"/>
      <c r="M13" s="123">
        <f t="shared" si="3"/>
        <v>237590</v>
      </c>
      <c r="N13" s="50"/>
    </row>
    <row r="14" spans="1:15" ht="15.75" customHeight="1">
      <c r="A14" s="26">
        <v>11</v>
      </c>
      <c r="B14" s="27">
        <v>46123</v>
      </c>
      <c r="C14" s="50"/>
      <c r="D14" s="117"/>
      <c r="E14" s="79"/>
      <c r="F14" s="117"/>
      <c r="G14" s="117">
        <f t="shared" si="0"/>
        <v>0</v>
      </c>
      <c r="H14" s="117"/>
      <c r="I14" s="117"/>
      <c r="J14" s="117">
        <f t="shared" si="1"/>
        <v>0</v>
      </c>
      <c r="K14" s="117">
        <f t="shared" si="2"/>
        <v>0</v>
      </c>
      <c r="L14" s="117"/>
      <c r="M14" s="123">
        <f t="shared" si="3"/>
        <v>237590</v>
      </c>
      <c r="N14" s="50"/>
    </row>
    <row r="15" spans="1:15" ht="15.75" customHeight="1">
      <c r="A15" s="26">
        <v>12</v>
      </c>
      <c r="B15" s="27">
        <v>46124</v>
      </c>
      <c r="C15" s="50"/>
      <c r="D15" s="117"/>
      <c r="E15" s="79"/>
      <c r="F15" s="117"/>
      <c r="G15" s="117">
        <f t="shared" si="0"/>
        <v>0</v>
      </c>
      <c r="H15" s="117"/>
      <c r="I15" s="117"/>
      <c r="J15" s="117">
        <f t="shared" si="1"/>
        <v>0</v>
      </c>
      <c r="K15" s="117">
        <f t="shared" si="2"/>
        <v>0</v>
      </c>
      <c r="L15" s="117"/>
      <c r="M15" s="123">
        <f t="shared" si="3"/>
        <v>237590</v>
      </c>
      <c r="N15" s="50"/>
    </row>
    <row r="16" spans="1:15" ht="15.75" customHeight="1">
      <c r="A16" s="26">
        <v>13</v>
      </c>
      <c r="B16" s="27">
        <v>46125</v>
      </c>
      <c r="C16" s="50"/>
      <c r="D16" s="117"/>
      <c r="E16" s="79"/>
      <c r="F16" s="117"/>
      <c r="G16" s="117">
        <f t="shared" si="0"/>
        <v>0</v>
      </c>
      <c r="H16" s="117"/>
      <c r="I16" s="117"/>
      <c r="J16" s="117">
        <f t="shared" si="1"/>
        <v>0</v>
      </c>
      <c r="K16" s="117">
        <f t="shared" si="2"/>
        <v>0</v>
      </c>
      <c r="L16" s="117"/>
      <c r="M16" s="123">
        <f t="shared" si="3"/>
        <v>237590</v>
      </c>
      <c r="N16" s="50"/>
    </row>
    <row r="17" spans="1:14" ht="15.75" customHeight="1">
      <c r="A17" s="26">
        <v>14</v>
      </c>
      <c r="B17" s="27">
        <v>46126</v>
      </c>
      <c r="C17" s="50"/>
      <c r="D17" s="117"/>
      <c r="E17" s="79"/>
      <c r="F17" s="117"/>
      <c r="G17" s="117">
        <f t="shared" si="0"/>
        <v>0</v>
      </c>
      <c r="H17" s="117"/>
      <c r="I17" s="117"/>
      <c r="J17" s="117">
        <f t="shared" si="1"/>
        <v>0</v>
      </c>
      <c r="K17" s="117">
        <f t="shared" si="2"/>
        <v>0</v>
      </c>
      <c r="L17" s="117"/>
      <c r="M17" s="123">
        <f t="shared" si="3"/>
        <v>237590</v>
      </c>
      <c r="N17" s="50"/>
    </row>
    <row r="18" spans="1:14" ht="15.75" customHeight="1">
      <c r="A18" s="26">
        <v>15</v>
      </c>
      <c r="B18" s="27">
        <v>46127</v>
      </c>
      <c r="C18" s="50"/>
      <c r="D18" s="117"/>
      <c r="E18" s="79"/>
      <c r="F18" s="117"/>
      <c r="G18" s="117">
        <f t="shared" si="0"/>
        <v>0</v>
      </c>
      <c r="H18" s="117"/>
      <c r="I18" s="117"/>
      <c r="J18" s="117">
        <f t="shared" si="1"/>
        <v>0</v>
      </c>
      <c r="K18" s="117">
        <f t="shared" si="2"/>
        <v>0</v>
      </c>
      <c r="L18" s="117"/>
      <c r="M18" s="123">
        <f t="shared" si="3"/>
        <v>237590</v>
      </c>
      <c r="N18" s="50"/>
    </row>
    <row r="19" spans="1:14" ht="15.75" customHeight="1">
      <c r="A19" s="26">
        <v>16</v>
      </c>
      <c r="B19" s="27">
        <v>46128</v>
      </c>
      <c r="C19" s="50"/>
      <c r="D19" s="117"/>
      <c r="E19" s="79"/>
      <c r="F19" s="117"/>
      <c r="G19" s="117">
        <f t="shared" si="0"/>
        <v>0</v>
      </c>
      <c r="H19" s="117"/>
      <c r="I19" s="117"/>
      <c r="J19" s="117">
        <f t="shared" si="1"/>
        <v>0</v>
      </c>
      <c r="K19" s="117">
        <f t="shared" si="2"/>
        <v>0</v>
      </c>
      <c r="L19" s="117"/>
      <c r="M19" s="123">
        <f t="shared" si="3"/>
        <v>237590</v>
      </c>
      <c r="N19" s="50"/>
    </row>
    <row r="20" spans="1:14" ht="15.75" customHeight="1">
      <c r="A20" s="26">
        <v>17</v>
      </c>
      <c r="B20" s="27">
        <v>46129</v>
      </c>
      <c r="C20" s="50"/>
      <c r="D20" s="117"/>
      <c r="E20" s="79"/>
      <c r="F20" s="117"/>
      <c r="G20" s="117">
        <f t="shared" si="0"/>
        <v>0</v>
      </c>
      <c r="H20" s="117"/>
      <c r="I20" s="117"/>
      <c r="J20" s="117">
        <f t="shared" si="1"/>
        <v>0</v>
      </c>
      <c r="K20" s="117">
        <f t="shared" si="2"/>
        <v>0</v>
      </c>
      <c r="L20" s="117"/>
      <c r="M20" s="123">
        <f t="shared" si="3"/>
        <v>237590</v>
      </c>
      <c r="N20" s="50"/>
    </row>
    <row r="21" spans="1:14" ht="15.75" customHeight="1">
      <c r="A21" s="26">
        <v>18</v>
      </c>
      <c r="B21" s="27">
        <v>46130</v>
      </c>
      <c r="C21" s="50"/>
      <c r="D21" s="117"/>
      <c r="E21" s="117">
        <v>1000</v>
      </c>
      <c r="F21" s="117">
        <v>92.1</v>
      </c>
      <c r="G21" s="117">
        <f t="shared" si="0"/>
        <v>92100</v>
      </c>
      <c r="H21" s="117">
        <v>70</v>
      </c>
      <c r="I21" s="117">
        <v>103.86</v>
      </c>
      <c r="J21" s="117">
        <f t="shared" si="1"/>
        <v>7270.2</v>
      </c>
      <c r="K21" s="117">
        <f t="shared" si="2"/>
        <v>99370.2</v>
      </c>
      <c r="L21" s="117"/>
      <c r="M21" s="123">
        <f t="shared" si="3"/>
        <v>336960.2</v>
      </c>
      <c r="N21" s="50"/>
    </row>
    <row r="22" spans="1:14" ht="15.75" customHeight="1">
      <c r="A22" s="26">
        <v>19</v>
      </c>
      <c r="B22" s="27">
        <v>46131</v>
      </c>
      <c r="C22" s="50"/>
      <c r="D22" s="117"/>
      <c r="E22" s="79"/>
      <c r="F22" s="117"/>
      <c r="G22" s="117">
        <f t="shared" si="0"/>
        <v>0</v>
      </c>
      <c r="H22" s="117"/>
      <c r="I22" s="117"/>
      <c r="J22" s="117">
        <f t="shared" si="1"/>
        <v>0</v>
      </c>
      <c r="K22" s="117">
        <f t="shared" si="2"/>
        <v>0</v>
      </c>
      <c r="L22" s="117">
        <v>200000</v>
      </c>
      <c r="M22" s="123">
        <f t="shared" si="3"/>
        <v>136960.20000000001</v>
      </c>
      <c r="N22" s="50"/>
    </row>
    <row r="23" spans="1:14" ht="15.75" customHeight="1">
      <c r="A23" s="26">
        <v>20</v>
      </c>
      <c r="B23" s="27">
        <v>46132</v>
      </c>
      <c r="C23" s="50"/>
      <c r="D23" s="117"/>
      <c r="E23" s="79"/>
      <c r="F23" s="117"/>
      <c r="G23" s="117">
        <f t="shared" si="0"/>
        <v>0</v>
      </c>
      <c r="H23" s="117"/>
      <c r="I23" s="117"/>
      <c r="J23" s="117">
        <f t="shared" si="1"/>
        <v>0</v>
      </c>
      <c r="K23" s="117">
        <f t="shared" si="2"/>
        <v>0</v>
      </c>
      <c r="L23" s="117"/>
      <c r="M23" s="123">
        <f t="shared" si="3"/>
        <v>136960.20000000001</v>
      </c>
      <c r="N23" s="50"/>
    </row>
    <row r="24" spans="1:14" ht="15.75" customHeight="1">
      <c r="A24" s="26">
        <v>21</v>
      </c>
      <c r="B24" s="27">
        <v>46133</v>
      </c>
      <c r="C24" s="50"/>
      <c r="D24" s="117"/>
      <c r="E24" s="79"/>
      <c r="F24" s="117"/>
      <c r="G24" s="117">
        <f t="shared" si="0"/>
        <v>0</v>
      </c>
      <c r="H24" s="117"/>
      <c r="I24" s="117"/>
      <c r="J24" s="117">
        <f t="shared" si="1"/>
        <v>0</v>
      </c>
      <c r="K24" s="117">
        <f t="shared" si="2"/>
        <v>0</v>
      </c>
      <c r="L24" s="117"/>
      <c r="M24" s="123">
        <f t="shared" si="3"/>
        <v>136960.20000000001</v>
      </c>
      <c r="N24" s="50"/>
    </row>
    <row r="25" spans="1:14" ht="15.75" customHeight="1">
      <c r="A25" s="26">
        <v>22</v>
      </c>
      <c r="B25" s="27">
        <v>46134</v>
      </c>
      <c r="C25" s="50"/>
      <c r="D25" s="117"/>
      <c r="E25" s="79"/>
      <c r="F25" s="117"/>
      <c r="G25" s="117">
        <f t="shared" si="0"/>
        <v>0</v>
      </c>
      <c r="H25" s="117"/>
      <c r="I25" s="117"/>
      <c r="J25" s="117">
        <f t="shared" si="1"/>
        <v>0</v>
      </c>
      <c r="K25" s="117">
        <f t="shared" si="2"/>
        <v>0</v>
      </c>
      <c r="L25" s="117"/>
      <c r="M25" s="123">
        <f t="shared" si="3"/>
        <v>136960.20000000001</v>
      </c>
      <c r="N25" s="50"/>
    </row>
    <row r="26" spans="1:14" ht="15.75" customHeight="1">
      <c r="A26" s="26">
        <v>23</v>
      </c>
      <c r="B26" s="27">
        <v>46135</v>
      </c>
      <c r="C26" s="50"/>
      <c r="D26" s="117"/>
      <c r="E26" s="79"/>
      <c r="F26" s="117"/>
      <c r="G26" s="117">
        <f t="shared" si="0"/>
        <v>0</v>
      </c>
      <c r="H26" s="117"/>
      <c r="I26" s="117"/>
      <c r="J26" s="117">
        <f t="shared" si="1"/>
        <v>0</v>
      </c>
      <c r="K26" s="117">
        <f t="shared" si="2"/>
        <v>0</v>
      </c>
      <c r="L26" s="117"/>
      <c r="M26" s="123">
        <f t="shared" si="3"/>
        <v>136960.20000000001</v>
      </c>
      <c r="N26" s="50"/>
    </row>
    <row r="27" spans="1:14" ht="15.75" customHeight="1">
      <c r="A27" s="26">
        <v>24</v>
      </c>
      <c r="B27" s="27">
        <v>46136</v>
      </c>
      <c r="C27" s="50"/>
      <c r="D27" s="117"/>
      <c r="E27" s="79"/>
      <c r="F27" s="117"/>
      <c r="G27" s="117">
        <f t="shared" si="0"/>
        <v>0</v>
      </c>
      <c r="H27" s="117"/>
      <c r="I27" s="117"/>
      <c r="J27" s="117">
        <f t="shared" si="1"/>
        <v>0</v>
      </c>
      <c r="K27" s="117">
        <f t="shared" si="2"/>
        <v>0</v>
      </c>
      <c r="L27" s="117"/>
      <c r="M27" s="123">
        <f t="shared" si="3"/>
        <v>136960.20000000001</v>
      </c>
      <c r="N27" s="50"/>
    </row>
    <row r="28" spans="1:14" ht="15.75" customHeight="1">
      <c r="A28" s="26">
        <v>25</v>
      </c>
      <c r="B28" s="27">
        <v>46137</v>
      </c>
      <c r="C28" s="50"/>
      <c r="D28" s="117"/>
      <c r="E28" s="79"/>
      <c r="F28" s="117"/>
      <c r="G28" s="117">
        <f t="shared" si="0"/>
        <v>0</v>
      </c>
      <c r="H28" s="117"/>
      <c r="I28" s="117"/>
      <c r="J28" s="117">
        <f t="shared" si="1"/>
        <v>0</v>
      </c>
      <c r="K28" s="117">
        <f t="shared" si="2"/>
        <v>0</v>
      </c>
      <c r="L28" s="117"/>
      <c r="M28" s="123">
        <f t="shared" si="3"/>
        <v>136960.20000000001</v>
      </c>
      <c r="N28" s="50"/>
    </row>
    <row r="29" spans="1:14" ht="15.75" customHeight="1">
      <c r="A29" s="26">
        <v>26</v>
      </c>
      <c r="B29" s="27">
        <v>46138</v>
      </c>
      <c r="C29" s="50"/>
      <c r="D29" s="117"/>
      <c r="E29" s="79"/>
      <c r="F29" s="117"/>
      <c r="G29" s="117">
        <f t="shared" si="0"/>
        <v>0</v>
      </c>
      <c r="H29" s="117"/>
      <c r="I29" s="117"/>
      <c r="J29" s="117">
        <f t="shared" si="1"/>
        <v>0</v>
      </c>
      <c r="K29" s="117">
        <f t="shared" si="2"/>
        <v>0</v>
      </c>
      <c r="L29" s="117"/>
      <c r="M29" s="123">
        <f t="shared" si="3"/>
        <v>136960.20000000001</v>
      </c>
      <c r="N29" s="50"/>
    </row>
    <row r="30" spans="1:14" ht="15.75" customHeight="1">
      <c r="A30" s="26">
        <v>27</v>
      </c>
      <c r="B30" s="27">
        <v>46139</v>
      </c>
      <c r="C30" s="50"/>
      <c r="D30" s="117"/>
      <c r="E30" s="79">
        <v>1500</v>
      </c>
      <c r="F30" s="117">
        <v>92.1</v>
      </c>
      <c r="G30" s="117">
        <f t="shared" si="0"/>
        <v>138150</v>
      </c>
      <c r="H30" s="117">
        <v>35</v>
      </c>
      <c r="I30" s="117">
        <v>103.86</v>
      </c>
      <c r="J30" s="117">
        <f t="shared" si="1"/>
        <v>3635.1</v>
      </c>
      <c r="K30" s="117">
        <f t="shared" si="2"/>
        <v>141785.1</v>
      </c>
      <c r="L30" s="117"/>
      <c r="M30" s="123">
        <f t="shared" si="3"/>
        <v>278745.30000000005</v>
      </c>
      <c r="N30" s="50"/>
    </row>
    <row r="31" spans="1:14" ht="15.75" customHeight="1">
      <c r="A31" s="26">
        <v>28</v>
      </c>
      <c r="B31" s="27">
        <v>46140</v>
      </c>
      <c r="C31" s="50"/>
      <c r="D31" s="117"/>
      <c r="E31" s="79"/>
      <c r="F31" s="117"/>
      <c r="G31" s="117">
        <f t="shared" si="0"/>
        <v>0</v>
      </c>
      <c r="H31" s="117"/>
      <c r="I31" s="117"/>
      <c r="J31" s="117">
        <f t="shared" si="1"/>
        <v>0</v>
      </c>
      <c r="K31" s="117">
        <f t="shared" si="2"/>
        <v>0</v>
      </c>
      <c r="L31" s="117"/>
      <c r="M31" s="123">
        <f t="shared" si="3"/>
        <v>278745.30000000005</v>
      </c>
      <c r="N31" s="50"/>
    </row>
    <row r="32" spans="1:14" ht="15.75" customHeight="1">
      <c r="A32" s="26">
        <v>29</v>
      </c>
      <c r="B32" s="27">
        <v>46141</v>
      </c>
      <c r="C32" s="50"/>
      <c r="D32" s="117"/>
      <c r="E32" s="79"/>
      <c r="F32" s="117"/>
      <c r="G32" s="117">
        <f t="shared" si="0"/>
        <v>0</v>
      </c>
      <c r="H32" s="117"/>
      <c r="I32" s="117"/>
      <c r="J32" s="117">
        <f t="shared" si="1"/>
        <v>0</v>
      </c>
      <c r="K32" s="117">
        <f t="shared" si="2"/>
        <v>0</v>
      </c>
      <c r="L32" s="117"/>
      <c r="M32" s="123">
        <f t="shared" si="3"/>
        <v>278745.30000000005</v>
      </c>
      <c r="N32" s="50"/>
    </row>
    <row r="33" spans="1:15" ht="15.75" customHeight="1">
      <c r="A33" s="26">
        <v>30</v>
      </c>
      <c r="B33" s="27">
        <v>46142</v>
      </c>
      <c r="C33" s="50"/>
      <c r="D33" s="117"/>
      <c r="E33" s="79"/>
      <c r="F33" s="117"/>
      <c r="G33" s="117">
        <f t="shared" si="0"/>
        <v>0</v>
      </c>
      <c r="H33" s="117"/>
      <c r="I33" s="117"/>
      <c r="J33" s="117">
        <f t="shared" si="1"/>
        <v>0</v>
      </c>
      <c r="K33" s="117">
        <f t="shared" si="2"/>
        <v>0</v>
      </c>
      <c r="L33" s="117"/>
      <c r="M33" s="123">
        <f t="shared" si="3"/>
        <v>278745.30000000005</v>
      </c>
      <c r="N33" s="50"/>
    </row>
    <row r="34" spans="1:15" ht="15.75" customHeight="1">
      <c r="A34" s="26">
        <v>31</v>
      </c>
      <c r="B34" s="27"/>
      <c r="C34" s="50"/>
      <c r="D34" s="117"/>
      <c r="E34" s="79"/>
      <c r="F34" s="117"/>
      <c r="G34" s="117">
        <f t="shared" ref="G34" si="4">E34*F34</f>
        <v>0</v>
      </c>
      <c r="H34" s="117"/>
      <c r="I34" s="117"/>
      <c r="J34" s="117">
        <f t="shared" ref="J34" si="5">H34*I34</f>
        <v>0</v>
      </c>
      <c r="K34" s="117">
        <f t="shared" ref="K34" si="6">G34+J34</f>
        <v>0</v>
      </c>
      <c r="L34" s="117"/>
      <c r="M34" s="123">
        <f t="shared" si="3"/>
        <v>278745.30000000005</v>
      </c>
      <c r="N34" s="50"/>
    </row>
    <row r="35" spans="1:15">
      <c r="A35" s="42"/>
      <c r="B35" s="42"/>
      <c r="C35" s="42"/>
      <c r="D35" s="42"/>
      <c r="E35" s="43">
        <f>SUM(E4:E34)</f>
        <v>5000</v>
      </c>
      <c r="F35" s="43"/>
      <c r="G35" s="43">
        <f>SUM(G4:G34)</f>
        <v>460500</v>
      </c>
      <c r="H35" s="43">
        <f>SUM(H4:H34)</f>
        <v>175</v>
      </c>
      <c r="I35" s="43"/>
      <c r="J35" s="43">
        <f>SUM(J4:J34)</f>
        <v>18175.5</v>
      </c>
      <c r="K35" s="43">
        <f>SUM(K4:K34)</f>
        <v>478675.5</v>
      </c>
      <c r="L35" s="43">
        <f>SUM(L4:L34)</f>
        <v>200000</v>
      </c>
      <c r="M35" s="43"/>
      <c r="N35" s="43"/>
      <c r="O35" s="33"/>
    </row>
    <row r="37" spans="1:15">
      <c r="D37" s="45"/>
      <c r="E37" s="45"/>
    </row>
  </sheetData>
  <mergeCells count="2">
    <mergeCell ref="A1:N1"/>
    <mergeCell ref="A3:J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2F7-6414-430C-BFEC-3C7DCD1314CE}">
  <dimension ref="A1:S46"/>
  <sheetViews>
    <sheetView workbookViewId="0">
      <pane ySplit="2" topLeftCell="A24" activePane="bottomLeft" state="frozen"/>
      <selection pane="bottomLeft" activeCell="M36" sqref="M36"/>
    </sheetView>
  </sheetViews>
  <sheetFormatPr defaultRowHeight="15"/>
  <cols>
    <col min="1" max="1" width="5.28515625" bestFit="1" customWidth="1"/>
    <col min="2" max="2" width="11.5703125" bestFit="1" customWidth="1"/>
    <col min="3" max="3" width="8.140625" bestFit="1" customWidth="1"/>
    <col min="4" max="4" width="16" bestFit="1" customWidth="1"/>
    <col min="5" max="5" width="10.85546875" bestFit="1" customWidth="1"/>
    <col min="6" max="6" width="14.42578125" customWidth="1"/>
    <col min="7" max="7" width="11.85546875" bestFit="1" customWidth="1"/>
    <col min="8" max="8" width="10.85546875" bestFit="1" customWidth="1"/>
    <col min="9" max="9" width="7.140625" bestFit="1" customWidth="1"/>
    <col min="10" max="10" width="10.85546875" bestFit="1" customWidth="1"/>
    <col min="11" max="11" width="13.85546875" bestFit="1" customWidth="1"/>
    <col min="12" max="12" width="13.5703125" bestFit="1" customWidth="1"/>
    <col min="13" max="13" width="12.7109375" customWidth="1"/>
    <col min="14" max="14" width="19.28515625" bestFit="1" customWidth="1"/>
    <col min="16" max="16" width="12" bestFit="1" customWidth="1"/>
    <col min="19" max="19" width="12" bestFit="1" customWidth="1"/>
  </cols>
  <sheetData>
    <row r="1" spans="1:15">
      <c r="A1" s="497" t="s">
        <v>241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82"/>
    </row>
    <row r="2" spans="1:15">
      <c r="A2" s="124" t="s">
        <v>0</v>
      </c>
      <c r="B2" s="125" t="s">
        <v>164</v>
      </c>
      <c r="C2" s="125" t="s">
        <v>165</v>
      </c>
      <c r="D2" s="125" t="s">
        <v>166</v>
      </c>
      <c r="E2" s="125" t="s">
        <v>167</v>
      </c>
      <c r="F2" s="125" t="s">
        <v>168</v>
      </c>
      <c r="G2" s="125" t="s">
        <v>169</v>
      </c>
      <c r="H2" s="125" t="s">
        <v>170</v>
      </c>
      <c r="I2" s="125" t="s">
        <v>168</v>
      </c>
      <c r="J2" s="126" t="s">
        <v>169</v>
      </c>
      <c r="K2" s="124" t="s">
        <v>171</v>
      </c>
      <c r="L2" s="127" t="s">
        <v>172</v>
      </c>
      <c r="M2" s="127" t="s">
        <v>209</v>
      </c>
      <c r="N2" s="125" t="s">
        <v>174</v>
      </c>
      <c r="O2" s="59"/>
    </row>
    <row r="3" spans="1:15">
      <c r="A3" s="482" t="s">
        <v>175</v>
      </c>
      <c r="B3" s="483"/>
      <c r="C3" s="483"/>
      <c r="D3" s="483"/>
      <c r="E3" s="483"/>
      <c r="F3" s="483"/>
      <c r="G3" s="483"/>
      <c r="H3" s="483"/>
      <c r="I3" s="483"/>
      <c r="J3" s="484"/>
      <c r="K3" s="96">
        <v>79478.009699999966</v>
      </c>
      <c r="L3" s="40"/>
      <c r="M3" s="40">
        <f>+K3</f>
        <v>79478.009699999966</v>
      </c>
      <c r="N3" s="17"/>
      <c r="O3" s="59">
        <v>46138.763999999966</v>
      </c>
    </row>
    <row r="4" spans="1:15">
      <c r="A4" s="26">
        <v>1</v>
      </c>
      <c r="B4" s="27">
        <v>45748</v>
      </c>
      <c r="C4" s="128"/>
      <c r="D4" s="129"/>
      <c r="E4" s="93">
        <v>0</v>
      </c>
      <c r="F4" s="93">
        <v>0</v>
      </c>
      <c r="G4" s="19">
        <f>E4*F4</f>
        <v>0</v>
      </c>
      <c r="H4" s="93">
        <v>0</v>
      </c>
      <c r="I4" s="341">
        <v>0</v>
      </c>
      <c r="J4" s="19">
        <f>H4*I4</f>
        <v>0</v>
      </c>
      <c r="K4" s="19">
        <f>G4+J4</f>
        <v>0</v>
      </c>
      <c r="L4" s="130">
        <v>0</v>
      </c>
      <c r="M4" s="130">
        <f>M3+K4-L4</f>
        <v>79478.009699999966</v>
      </c>
      <c r="N4" s="44"/>
    </row>
    <row r="5" spans="1:15">
      <c r="A5" s="26">
        <v>2</v>
      </c>
      <c r="B5" s="27">
        <v>45749</v>
      </c>
      <c r="C5" s="128"/>
      <c r="D5" s="129"/>
      <c r="E5" s="93">
        <v>0</v>
      </c>
      <c r="F5" s="93">
        <v>0</v>
      </c>
      <c r="G5" s="19">
        <f t="shared" ref="G5:G35" si="0">E5*F5</f>
        <v>0</v>
      </c>
      <c r="H5" s="93">
        <v>0</v>
      </c>
      <c r="I5" s="341">
        <v>0</v>
      </c>
      <c r="J5" s="19">
        <f t="shared" ref="J5:J35" si="1">H5*I5</f>
        <v>0</v>
      </c>
      <c r="K5" s="19">
        <f t="shared" ref="K5:K35" si="2">G5+J5</f>
        <v>0</v>
      </c>
      <c r="L5" s="130">
        <v>79161</v>
      </c>
      <c r="M5" s="130">
        <f>M4+K5-L5</f>
        <v>317.00969999996596</v>
      </c>
      <c r="N5" s="44"/>
    </row>
    <row r="6" spans="1:15">
      <c r="A6" s="26">
        <v>3</v>
      </c>
      <c r="B6" s="27">
        <v>45750</v>
      </c>
      <c r="C6" s="128"/>
      <c r="D6" s="129"/>
      <c r="E6" s="93">
        <v>0</v>
      </c>
      <c r="F6" s="93">
        <v>0</v>
      </c>
      <c r="G6" s="19">
        <f t="shared" si="0"/>
        <v>0</v>
      </c>
      <c r="H6" s="93">
        <v>0</v>
      </c>
      <c r="I6" s="341">
        <v>0</v>
      </c>
      <c r="J6" s="19">
        <f t="shared" si="1"/>
        <v>0</v>
      </c>
      <c r="K6" s="19">
        <f t="shared" si="2"/>
        <v>0</v>
      </c>
      <c r="L6" s="130">
        <v>0</v>
      </c>
      <c r="M6" s="130">
        <f>M5+K6-L6</f>
        <v>317.00969999996596</v>
      </c>
      <c r="N6" s="44"/>
    </row>
    <row r="7" spans="1:15">
      <c r="A7" s="26">
        <v>4</v>
      </c>
      <c r="B7" s="27">
        <v>45751</v>
      </c>
      <c r="C7" s="128"/>
      <c r="D7" s="129"/>
      <c r="E7" s="93">
        <v>0</v>
      </c>
      <c r="F7" s="93">
        <v>0</v>
      </c>
      <c r="G7" s="19">
        <f t="shared" si="0"/>
        <v>0</v>
      </c>
      <c r="H7" s="93">
        <v>0</v>
      </c>
      <c r="I7" s="341">
        <v>0</v>
      </c>
      <c r="J7" s="19">
        <f t="shared" si="1"/>
        <v>0</v>
      </c>
      <c r="K7" s="19">
        <f t="shared" si="2"/>
        <v>0</v>
      </c>
      <c r="L7" s="130">
        <v>0</v>
      </c>
      <c r="M7" s="130">
        <f>M6+K7-L7</f>
        <v>317.00969999996596</v>
      </c>
      <c r="N7" s="44"/>
    </row>
    <row r="8" spans="1:15">
      <c r="A8" s="26">
        <v>5</v>
      </c>
      <c r="B8" s="27">
        <v>45752</v>
      </c>
      <c r="C8" s="128"/>
      <c r="D8" s="129"/>
      <c r="E8" s="93">
        <v>0</v>
      </c>
      <c r="F8" s="93">
        <v>0</v>
      </c>
      <c r="G8" s="19">
        <f t="shared" si="0"/>
        <v>0</v>
      </c>
      <c r="H8" s="93">
        <v>0</v>
      </c>
      <c r="I8" s="341">
        <v>0</v>
      </c>
      <c r="J8" s="19">
        <f t="shared" si="1"/>
        <v>0</v>
      </c>
      <c r="K8" s="19">
        <f t="shared" si="2"/>
        <v>0</v>
      </c>
      <c r="L8" s="130">
        <v>0</v>
      </c>
      <c r="M8" s="130">
        <f t="shared" ref="M8:M36" si="3">M7+K8-L8</f>
        <v>317.00969999996596</v>
      </c>
      <c r="N8" s="44"/>
      <c r="O8" s="69"/>
    </row>
    <row r="9" spans="1:15">
      <c r="A9" s="26">
        <v>6</v>
      </c>
      <c r="B9" s="27">
        <v>45753</v>
      </c>
      <c r="C9" s="128"/>
      <c r="D9" s="129"/>
      <c r="E9" s="93">
        <v>600</v>
      </c>
      <c r="F9" s="93">
        <v>92.01</v>
      </c>
      <c r="G9" s="19">
        <f t="shared" si="0"/>
        <v>55206</v>
      </c>
      <c r="H9" s="93">
        <v>35</v>
      </c>
      <c r="I9" s="341">
        <v>103.76</v>
      </c>
      <c r="J9" s="19">
        <f t="shared" si="1"/>
        <v>3631.6000000000004</v>
      </c>
      <c r="K9" s="19">
        <f t="shared" si="2"/>
        <v>58837.599999999999</v>
      </c>
      <c r="L9" s="130">
        <v>0</v>
      </c>
      <c r="M9" s="130">
        <f t="shared" si="3"/>
        <v>59154.609699999965</v>
      </c>
      <c r="N9" s="44"/>
      <c r="O9" s="69"/>
    </row>
    <row r="10" spans="1:15">
      <c r="A10" s="26">
        <v>7</v>
      </c>
      <c r="B10" s="27">
        <v>45754</v>
      </c>
      <c r="C10" s="128"/>
      <c r="D10" s="129"/>
      <c r="E10" s="93">
        <v>0</v>
      </c>
      <c r="F10" s="93">
        <v>0</v>
      </c>
      <c r="G10" s="19">
        <f t="shared" si="0"/>
        <v>0</v>
      </c>
      <c r="H10" s="93">
        <v>0</v>
      </c>
      <c r="I10" s="341">
        <v>0</v>
      </c>
      <c r="J10" s="19">
        <f t="shared" si="1"/>
        <v>0</v>
      </c>
      <c r="K10" s="19">
        <f t="shared" si="2"/>
        <v>0</v>
      </c>
      <c r="L10" s="130">
        <v>0</v>
      </c>
      <c r="M10" s="130">
        <f t="shared" si="3"/>
        <v>59154.609699999965</v>
      </c>
      <c r="N10" s="44"/>
      <c r="O10" s="69"/>
    </row>
    <row r="11" spans="1:15">
      <c r="A11" s="26">
        <v>8</v>
      </c>
      <c r="B11" s="27">
        <v>45755</v>
      </c>
      <c r="C11" s="128"/>
      <c r="D11" s="129"/>
      <c r="E11" s="93">
        <v>0</v>
      </c>
      <c r="F11" s="93">
        <v>0</v>
      </c>
      <c r="G11" s="19">
        <f t="shared" si="0"/>
        <v>0</v>
      </c>
      <c r="H11" s="93">
        <v>0</v>
      </c>
      <c r="I11" s="341">
        <v>0</v>
      </c>
      <c r="J11" s="19">
        <f t="shared" si="1"/>
        <v>0</v>
      </c>
      <c r="K11" s="19">
        <f t="shared" si="2"/>
        <v>0</v>
      </c>
      <c r="L11" s="130">
        <v>0</v>
      </c>
      <c r="M11" s="130">
        <f t="shared" si="3"/>
        <v>59154.609699999965</v>
      </c>
      <c r="N11" s="44"/>
      <c r="O11" s="69"/>
    </row>
    <row r="12" spans="1:15">
      <c r="A12" s="26">
        <v>9</v>
      </c>
      <c r="B12" s="27">
        <v>45756</v>
      </c>
      <c r="C12" s="128"/>
      <c r="D12" s="129"/>
      <c r="E12" s="93">
        <v>0</v>
      </c>
      <c r="F12" s="93">
        <v>0</v>
      </c>
      <c r="G12" s="19">
        <f t="shared" si="0"/>
        <v>0</v>
      </c>
      <c r="H12" s="93">
        <v>0</v>
      </c>
      <c r="I12" s="341">
        <v>0</v>
      </c>
      <c r="J12" s="19">
        <f t="shared" si="1"/>
        <v>0</v>
      </c>
      <c r="K12" s="19">
        <f t="shared" si="2"/>
        <v>0</v>
      </c>
      <c r="L12" s="130">
        <v>0</v>
      </c>
      <c r="M12" s="130">
        <f t="shared" si="3"/>
        <v>59154.609699999965</v>
      </c>
      <c r="N12" s="44"/>
      <c r="O12" s="69"/>
    </row>
    <row r="13" spans="1:15">
      <c r="A13" s="26">
        <v>10</v>
      </c>
      <c r="B13" s="27">
        <v>45757</v>
      </c>
      <c r="C13" s="128"/>
      <c r="D13" s="129"/>
      <c r="E13" s="93">
        <v>0</v>
      </c>
      <c r="F13" s="93">
        <v>0</v>
      </c>
      <c r="G13" s="19">
        <f t="shared" si="0"/>
        <v>0</v>
      </c>
      <c r="H13" s="93">
        <v>0</v>
      </c>
      <c r="I13" s="341">
        <v>0</v>
      </c>
      <c r="J13" s="19">
        <f t="shared" si="1"/>
        <v>0</v>
      </c>
      <c r="K13" s="19">
        <f t="shared" si="2"/>
        <v>0</v>
      </c>
      <c r="L13" s="130">
        <v>0</v>
      </c>
      <c r="M13" s="130">
        <f t="shared" si="3"/>
        <v>59154.609699999965</v>
      </c>
      <c r="N13" s="44"/>
      <c r="O13" s="69"/>
    </row>
    <row r="14" spans="1:15">
      <c r="A14" s="26">
        <v>11</v>
      </c>
      <c r="B14" s="27">
        <v>45758</v>
      </c>
      <c r="C14" s="128"/>
      <c r="D14" s="129"/>
      <c r="E14" s="93">
        <v>0</v>
      </c>
      <c r="F14" s="93">
        <v>0</v>
      </c>
      <c r="G14" s="19">
        <f t="shared" si="0"/>
        <v>0</v>
      </c>
      <c r="H14" s="93">
        <v>35</v>
      </c>
      <c r="I14" s="341">
        <v>103.76</v>
      </c>
      <c r="J14" s="19">
        <f t="shared" si="1"/>
        <v>3631.6000000000004</v>
      </c>
      <c r="K14" s="19">
        <f t="shared" si="2"/>
        <v>3631.6000000000004</v>
      </c>
      <c r="L14" s="130">
        <v>0</v>
      </c>
      <c r="M14" s="130">
        <f t="shared" si="3"/>
        <v>62786.209699999963</v>
      </c>
      <c r="N14" s="44"/>
      <c r="O14" s="69"/>
    </row>
    <row r="15" spans="1:15">
      <c r="A15" s="26">
        <v>12</v>
      </c>
      <c r="B15" s="27">
        <v>45759</v>
      </c>
      <c r="C15" s="128"/>
      <c r="D15" s="129"/>
      <c r="E15" s="93">
        <v>0</v>
      </c>
      <c r="F15" s="93">
        <v>0</v>
      </c>
      <c r="G15" s="19">
        <f t="shared" si="0"/>
        <v>0</v>
      </c>
      <c r="H15" s="93">
        <v>0</v>
      </c>
      <c r="I15" s="341">
        <v>0</v>
      </c>
      <c r="J15" s="19">
        <f t="shared" si="1"/>
        <v>0</v>
      </c>
      <c r="K15" s="19">
        <f t="shared" si="2"/>
        <v>0</v>
      </c>
      <c r="L15" s="130">
        <v>0</v>
      </c>
      <c r="M15" s="130">
        <f t="shared" si="3"/>
        <v>62786.209699999963</v>
      </c>
      <c r="N15" s="44"/>
      <c r="O15" s="69"/>
    </row>
    <row r="16" spans="1:15">
      <c r="A16" s="26">
        <v>13</v>
      </c>
      <c r="B16" s="27">
        <v>45760</v>
      </c>
      <c r="C16" s="128"/>
      <c r="D16" s="129"/>
      <c r="E16" s="93">
        <v>0</v>
      </c>
      <c r="F16" s="93">
        <v>0</v>
      </c>
      <c r="G16" s="19">
        <f t="shared" si="0"/>
        <v>0</v>
      </c>
      <c r="H16" s="93">
        <v>0</v>
      </c>
      <c r="I16" s="341">
        <v>0</v>
      </c>
      <c r="J16" s="19">
        <f t="shared" si="1"/>
        <v>0</v>
      </c>
      <c r="K16" s="19">
        <f t="shared" si="2"/>
        <v>0</v>
      </c>
      <c r="L16" s="130">
        <v>59137</v>
      </c>
      <c r="M16" s="130">
        <f t="shared" si="3"/>
        <v>3649.209699999963</v>
      </c>
      <c r="N16" s="44"/>
      <c r="O16" s="69"/>
    </row>
    <row r="17" spans="1:19">
      <c r="A17" s="26">
        <v>14</v>
      </c>
      <c r="B17" s="27">
        <v>45761</v>
      </c>
      <c r="C17" s="128"/>
      <c r="D17" s="129"/>
      <c r="E17" s="93">
        <v>600</v>
      </c>
      <c r="F17" s="93">
        <v>92.01</v>
      </c>
      <c r="G17" s="19">
        <f t="shared" si="0"/>
        <v>55206</v>
      </c>
      <c r="H17" s="93">
        <v>0</v>
      </c>
      <c r="I17" s="341">
        <v>0</v>
      </c>
      <c r="J17" s="19">
        <f t="shared" si="1"/>
        <v>0</v>
      </c>
      <c r="K17" s="19">
        <f t="shared" si="2"/>
        <v>55206</v>
      </c>
      <c r="L17" s="130">
        <v>0</v>
      </c>
      <c r="M17" s="130">
        <f t="shared" si="3"/>
        <v>58855.209699999963</v>
      </c>
      <c r="N17" s="44"/>
      <c r="O17" s="69"/>
    </row>
    <row r="18" spans="1:19">
      <c r="A18" s="26">
        <v>15</v>
      </c>
      <c r="B18" s="27">
        <v>45762</v>
      </c>
      <c r="C18" s="128"/>
      <c r="D18" s="129"/>
      <c r="E18" s="93">
        <v>0</v>
      </c>
      <c r="F18" s="93">
        <v>0</v>
      </c>
      <c r="G18" s="19">
        <f t="shared" si="0"/>
        <v>0</v>
      </c>
      <c r="H18" s="93">
        <v>0</v>
      </c>
      <c r="I18" s="341">
        <v>0</v>
      </c>
      <c r="J18" s="19">
        <f t="shared" si="1"/>
        <v>0</v>
      </c>
      <c r="K18" s="19">
        <f t="shared" si="2"/>
        <v>0</v>
      </c>
      <c r="L18" s="130">
        <v>0</v>
      </c>
      <c r="M18" s="130">
        <f t="shared" si="3"/>
        <v>58855.209699999963</v>
      </c>
      <c r="N18" s="44"/>
      <c r="O18" s="69"/>
      <c r="Q18" s="241"/>
      <c r="S18" s="174"/>
    </row>
    <row r="19" spans="1:19">
      <c r="A19" s="26">
        <v>16</v>
      </c>
      <c r="B19" s="27">
        <v>45763</v>
      </c>
      <c r="C19" s="128"/>
      <c r="D19" s="129"/>
      <c r="E19" s="93">
        <v>0</v>
      </c>
      <c r="F19" s="93">
        <v>0</v>
      </c>
      <c r="G19" s="19">
        <f t="shared" si="0"/>
        <v>0</v>
      </c>
      <c r="H19" s="93">
        <v>35</v>
      </c>
      <c r="I19" s="341">
        <v>103.76</v>
      </c>
      <c r="J19" s="19">
        <f t="shared" si="1"/>
        <v>3631.6000000000004</v>
      </c>
      <c r="K19" s="19">
        <f t="shared" si="2"/>
        <v>3631.6000000000004</v>
      </c>
      <c r="L19" s="130">
        <v>0</v>
      </c>
      <c r="M19" s="130">
        <f t="shared" si="3"/>
        <v>62486.809699999962</v>
      </c>
      <c r="N19" s="44"/>
      <c r="O19" s="69"/>
    </row>
    <row r="20" spans="1:19">
      <c r="A20" s="26">
        <v>17</v>
      </c>
      <c r="B20" s="27">
        <v>45764</v>
      </c>
      <c r="C20" s="128"/>
      <c r="D20" s="129"/>
      <c r="E20" s="93">
        <v>400</v>
      </c>
      <c r="F20" s="93">
        <v>92.01</v>
      </c>
      <c r="G20" s="19">
        <f t="shared" si="0"/>
        <v>36804</v>
      </c>
      <c r="H20" s="93">
        <v>0</v>
      </c>
      <c r="I20" s="341">
        <v>0</v>
      </c>
      <c r="J20" s="19">
        <f t="shared" si="1"/>
        <v>0</v>
      </c>
      <c r="K20" s="19">
        <f t="shared" si="2"/>
        <v>36804</v>
      </c>
      <c r="L20" s="130">
        <v>0</v>
      </c>
      <c r="M20" s="130">
        <f t="shared" si="3"/>
        <v>99290.809699999954</v>
      </c>
      <c r="N20" s="44"/>
      <c r="O20" s="69"/>
    </row>
    <row r="21" spans="1:19">
      <c r="A21" s="26">
        <v>18</v>
      </c>
      <c r="B21" s="27">
        <v>45765</v>
      </c>
      <c r="C21" s="128"/>
      <c r="D21" s="129"/>
      <c r="E21" s="93">
        <v>0</v>
      </c>
      <c r="F21" s="93">
        <v>0</v>
      </c>
      <c r="G21" s="19">
        <f t="shared" si="0"/>
        <v>0</v>
      </c>
      <c r="H21" s="93">
        <v>0</v>
      </c>
      <c r="I21" s="341">
        <v>0</v>
      </c>
      <c r="J21" s="19">
        <f t="shared" si="1"/>
        <v>0</v>
      </c>
      <c r="K21" s="19">
        <f t="shared" si="2"/>
        <v>0</v>
      </c>
      <c r="L21" s="130">
        <v>0</v>
      </c>
      <c r="M21" s="130">
        <f t="shared" si="3"/>
        <v>99290.809699999954</v>
      </c>
      <c r="N21" s="44"/>
      <c r="O21" s="69"/>
    </row>
    <row r="22" spans="1:19">
      <c r="A22" s="26">
        <v>19</v>
      </c>
      <c r="B22" s="27">
        <v>45766</v>
      </c>
      <c r="C22" s="128"/>
      <c r="D22" s="129"/>
      <c r="E22" s="93">
        <v>0</v>
      </c>
      <c r="F22" s="93">
        <v>0</v>
      </c>
      <c r="G22" s="19">
        <f t="shared" si="0"/>
        <v>0</v>
      </c>
      <c r="H22" s="93">
        <v>0</v>
      </c>
      <c r="I22" s="341">
        <v>0</v>
      </c>
      <c r="J22" s="19">
        <f t="shared" si="1"/>
        <v>0</v>
      </c>
      <c r="K22" s="19">
        <f t="shared" si="2"/>
        <v>0</v>
      </c>
      <c r="L22" s="130">
        <v>0</v>
      </c>
      <c r="M22" s="130">
        <f t="shared" si="3"/>
        <v>99290.809699999954</v>
      </c>
      <c r="N22" s="44"/>
      <c r="O22" s="69"/>
    </row>
    <row r="23" spans="1:19">
      <c r="A23" s="26">
        <v>20</v>
      </c>
      <c r="B23" s="27">
        <v>45767</v>
      </c>
      <c r="C23" s="128"/>
      <c r="D23" s="129"/>
      <c r="E23" s="93">
        <v>0</v>
      </c>
      <c r="F23" s="93">
        <v>0</v>
      </c>
      <c r="G23" s="19">
        <f t="shared" si="0"/>
        <v>0</v>
      </c>
      <c r="H23" s="93">
        <v>0</v>
      </c>
      <c r="I23" s="341">
        <v>0</v>
      </c>
      <c r="J23" s="19">
        <f t="shared" si="1"/>
        <v>0</v>
      </c>
      <c r="K23" s="19">
        <f t="shared" si="2"/>
        <v>0</v>
      </c>
      <c r="L23" s="130">
        <v>0</v>
      </c>
      <c r="M23" s="130">
        <f t="shared" si="3"/>
        <v>99290.809699999954</v>
      </c>
      <c r="N23" s="44"/>
      <c r="O23" s="69"/>
    </row>
    <row r="24" spans="1:19">
      <c r="A24" s="26">
        <v>21</v>
      </c>
      <c r="B24" s="27">
        <v>45768</v>
      </c>
      <c r="C24" s="128"/>
      <c r="D24" s="129"/>
      <c r="E24" s="437">
        <v>1000</v>
      </c>
      <c r="F24" s="93">
        <v>92.01</v>
      </c>
      <c r="G24" s="19">
        <f t="shared" si="0"/>
        <v>92010</v>
      </c>
      <c r="H24" s="93">
        <v>30</v>
      </c>
      <c r="I24" s="341">
        <v>103.76</v>
      </c>
      <c r="J24" s="19">
        <f t="shared" si="1"/>
        <v>3112.8</v>
      </c>
      <c r="K24" s="19">
        <f t="shared" si="2"/>
        <v>95122.8</v>
      </c>
      <c r="L24" s="130">
        <v>0</v>
      </c>
      <c r="M24" s="130">
        <f t="shared" si="3"/>
        <v>194413.60969999997</v>
      </c>
      <c r="N24" s="254"/>
      <c r="O24" s="240"/>
    </row>
    <row r="25" spans="1:19">
      <c r="A25" s="26">
        <v>22</v>
      </c>
      <c r="B25" s="27">
        <v>45769</v>
      </c>
      <c r="C25" s="128"/>
      <c r="D25" s="129"/>
      <c r="E25" s="93">
        <v>0</v>
      </c>
      <c r="F25" s="93">
        <v>0</v>
      </c>
      <c r="G25" s="19">
        <f t="shared" si="0"/>
        <v>0</v>
      </c>
      <c r="H25" s="93">
        <v>0</v>
      </c>
      <c r="I25" s="341">
        <v>0</v>
      </c>
      <c r="J25" s="19">
        <f t="shared" si="1"/>
        <v>0</v>
      </c>
      <c r="K25" s="19">
        <f t="shared" si="2"/>
        <v>0</v>
      </c>
      <c r="L25" s="130">
        <v>0</v>
      </c>
      <c r="M25" s="130">
        <f t="shared" si="3"/>
        <v>194413.60969999997</v>
      </c>
      <c r="N25" s="44"/>
      <c r="O25" s="69"/>
    </row>
    <row r="26" spans="1:19">
      <c r="A26" s="26">
        <v>23</v>
      </c>
      <c r="B26" s="27">
        <v>45770</v>
      </c>
      <c r="C26" s="128"/>
      <c r="D26" s="129"/>
      <c r="E26" s="93">
        <v>0</v>
      </c>
      <c r="F26" s="93">
        <v>0</v>
      </c>
      <c r="G26" s="19">
        <f t="shared" si="0"/>
        <v>0</v>
      </c>
      <c r="H26" s="93">
        <v>0</v>
      </c>
      <c r="I26" s="341">
        <v>0</v>
      </c>
      <c r="J26" s="19">
        <f t="shared" si="1"/>
        <v>0</v>
      </c>
      <c r="K26" s="19">
        <f t="shared" si="2"/>
        <v>0</v>
      </c>
      <c r="L26" s="130">
        <v>99000</v>
      </c>
      <c r="M26" s="130">
        <f t="shared" si="3"/>
        <v>95413.609699999972</v>
      </c>
      <c r="N26" s="44"/>
      <c r="O26" s="69"/>
    </row>
    <row r="27" spans="1:19">
      <c r="A27" s="26">
        <v>24</v>
      </c>
      <c r="B27" s="27">
        <v>45771</v>
      </c>
      <c r="C27" s="128"/>
      <c r="D27" s="129"/>
      <c r="E27" s="93">
        <v>0</v>
      </c>
      <c r="F27" s="93">
        <v>0</v>
      </c>
      <c r="G27" s="19">
        <f t="shared" si="0"/>
        <v>0</v>
      </c>
      <c r="H27" s="93">
        <v>0</v>
      </c>
      <c r="I27" s="341">
        <v>0</v>
      </c>
      <c r="J27" s="19">
        <f t="shared" si="1"/>
        <v>0</v>
      </c>
      <c r="K27" s="19">
        <f t="shared" si="2"/>
        <v>0</v>
      </c>
      <c r="L27" s="130">
        <v>0</v>
      </c>
      <c r="M27" s="130">
        <f t="shared" si="3"/>
        <v>95413.609699999972</v>
      </c>
      <c r="N27" s="44"/>
      <c r="O27" s="69"/>
    </row>
    <row r="28" spans="1:19">
      <c r="A28" s="26">
        <v>25</v>
      </c>
      <c r="B28" s="27">
        <v>45772</v>
      </c>
      <c r="C28" s="128"/>
      <c r="D28" s="129"/>
      <c r="E28" s="93">
        <v>600</v>
      </c>
      <c r="F28" s="93">
        <v>92.01</v>
      </c>
      <c r="G28" s="19">
        <f t="shared" si="0"/>
        <v>55206</v>
      </c>
      <c r="H28" s="93">
        <v>30</v>
      </c>
      <c r="I28" s="341">
        <v>103.76</v>
      </c>
      <c r="J28" s="19">
        <f t="shared" si="1"/>
        <v>3112.8</v>
      </c>
      <c r="K28" s="19">
        <f t="shared" si="2"/>
        <v>58318.8</v>
      </c>
      <c r="L28" s="130">
        <v>0</v>
      </c>
      <c r="M28" s="130">
        <f t="shared" si="3"/>
        <v>153732.40969999996</v>
      </c>
      <c r="N28" s="44"/>
      <c r="O28" s="69"/>
    </row>
    <row r="29" spans="1:19">
      <c r="A29" s="26">
        <v>26</v>
      </c>
      <c r="B29" s="27">
        <v>45773</v>
      </c>
      <c r="C29" s="128"/>
      <c r="D29" s="129"/>
      <c r="E29" s="93">
        <v>0</v>
      </c>
      <c r="F29" s="93">
        <v>0</v>
      </c>
      <c r="G29" s="19">
        <f t="shared" si="0"/>
        <v>0</v>
      </c>
      <c r="H29" s="93">
        <v>0</v>
      </c>
      <c r="I29" s="341">
        <v>0</v>
      </c>
      <c r="J29" s="19">
        <f t="shared" si="1"/>
        <v>0</v>
      </c>
      <c r="K29" s="19">
        <f t="shared" si="2"/>
        <v>0</v>
      </c>
      <c r="L29" s="130">
        <v>0</v>
      </c>
      <c r="M29" s="130">
        <f>M28+K29-L29</f>
        <v>153732.40969999996</v>
      </c>
      <c r="N29" s="44"/>
      <c r="O29" s="69"/>
    </row>
    <row r="30" spans="1:19">
      <c r="A30" s="26">
        <v>27</v>
      </c>
      <c r="B30" s="27">
        <v>45774</v>
      </c>
      <c r="C30" s="128"/>
      <c r="D30" s="129"/>
      <c r="E30" s="93">
        <v>0</v>
      </c>
      <c r="F30" s="93">
        <v>0</v>
      </c>
      <c r="G30" s="19">
        <f t="shared" si="0"/>
        <v>0</v>
      </c>
      <c r="H30" s="93">
        <v>0</v>
      </c>
      <c r="I30" s="341">
        <v>0</v>
      </c>
      <c r="J30" s="19">
        <f t="shared" si="1"/>
        <v>0</v>
      </c>
      <c r="K30" s="19">
        <f t="shared" si="2"/>
        <v>0</v>
      </c>
      <c r="L30" s="130">
        <v>0</v>
      </c>
      <c r="M30" s="130">
        <f t="shared" si="3"/>
        <v>153732.40969999996</v>
      </c>
      <c r="N30" s="44"/>
      <c r="O30" s="69"/>
    </row>
    <row r="31" spans="1:19">
      <c r="A31" s="26">
        <v>28</v>
      </c>
      <c r="B31" s="27">
        <v>45775</v>
      </c>
      <c r="C31" s="128"/>
      <c r="D31" s="129"/>
      <c r="E31" s="93">
        <v>0</v>
      </c>
      <c r="F31" s="93">
        <v>0</v>
      </c>
      <c r="G31" s="19">
        <f t="shared" si="0"/>
        <v>0</v>
      </c>
      <c r="H31" s="93">
        <v>0</v>
      </c>
      <c r="I31" s="341">
        <v>0</v>
      </c>
      <c r="J31" s="19">
        <f t="shared" si="1"/>
        <v>0</v>
      </c>
      <c r="K31" s="19">
        <f t="shared" si="2"/>
        <v>0</v>
      </c>
      <c r="L31" s="130">
        <v>0</v>
      </c>
      <c r="M31" s="130">
        <f t="shared" si="3"/>
        <v>153732.40969999996</v>
      </c>
      <c r="N31" s="44"/>
      <c r="O31" s="69"/>
      <c r="P31" s="241"/>
    </row>
    <row r="32" spans="1:19">
      <c r="A32" s="26">
        <v>29</v>
      </c>
      <c r="B32" s="27">
        <v>45776</v>
      </c>
      <c r="C32" s="128"/>
      <c r="D32" s="129"/>
      <c r="E32" s="93">
        <v>400</v>
      </c>
      <c r="F32" s="93">
        <v>92.01</v>
      </c>
      <c r="G32" s="19">
        <f t="shared" si="0"/>
        <v>36804</v>
      </c>
      <c r="H32" s="93">
        <v>30</v>
      </c>
      <c r="I32" s="341">
        <v>103.76</v>
      </c>
      <c r="J32" s="19">
        <f t="shared" si="1"/>
        <v>3112.8</v>
      </c>
      <c r="K32" s="19">
        <f t="shared" si="2"/>
        <v>39916.800000000003</v>
      </c>
      <c r="L32" s="130">
        <v>0</v>
      </c>
      <c r="M32" s="130">
        <f t="shared" si="3"/>
        <v>193649.20969999995</v>
      </c>
      <c r="N32" s="44"/>
      <c r="O32" s="69"/>
    </row>
    <row r="33" spans="1:19">
      <c r="A33" s="26">
        <v>30</v>
      </c>
      <c r="B33" s="27">
        <v>45777</v>
      </c>
      <c r="C33" s="128"/>
      <c r="D33" s="129"/>
      <c r="E33" s="93">
        <v>0</v>
      </c>
      <c r="F33" s="93">
        <v>0</v>
      </c>
      <c r="G33" s="19">
        <f t="shared" si="0"/>
        <v>0</v>
      </c>
      <c r="H33" s="93">
        <v>0</v>
      </c>
      <c r="I33" s="341">
        <v>0</v>
      </c>
      <c r="J33" s="19">
        <f t="shared" si="1"/>
        <v>0</v>
      </c>
      <c r="K33" s="19">
        <f t="shared" si="2"/>
        <v>0</v>
      </c>
      <c r="L33" s="130">
        <v>0</v>
      </c>
      <c r="M33" s="130">
        <f t="shared" si="3"/>
        <v>193649.20969999995</v>
      </c>
      <c r="N33" s="44"/>
      <c r="O33" s="69"/>
      <c r="P33" s="241"/>
    </row>
    <row r="34" spans="1:19">
      <c r="A34" s="26">
        <v>31</v>
      </c>
      <c r="B34" s="27">
        <v>45778</v>
      </c>
      <c r="C34" s="128"/>
      <c r="D34" s="129"/>
      <c r="E34" s="93">
        <v>0</v>
      </c>
      <c r="F34" s="93">
        <v>0</v>
      </c>
      <c r="G34" s="19">
        <f t="shared" si="0"/>
        <v>0</v>
      </c>
      <c r="H34" s="93">
        <v>0</v>
      </c>
      <c r="I34" s="341">
        <v>0</v>
      </c>
      <c r="J34" s="19">
        <f t="shared" si="1"/>
        <v>0</v>
      </c>
      <c r="K34" s="19">
        <f t="shared" si="2"/>
        <v>0</v>
      </c>
      <c r="L34" s="130">
        <v>0</v>
      </c>
      <c r="M34" s="130">
        <f t="shared" si="3"/>
        <v>193649.20969999995</v>
      </c>
      <c r="N34" s="44"/>
      <c r="O34" s="69"/>
    </row>
    <row r="35" spans="1:19">
      <c r="A35" s="26"/>
      <c r="B35" s="27"/>
      <c r="C35" s="128"/>
      <c r="D35" s="129"/>
      <c r="E35" s="93">
        <v>0</v>
      </c>
      <c r="F35" s="93">
        <v>0</v>
      </c>
      <c r="G35" s="19">
        <f t="shared" si="0"/>
        <v>0</v>
      </c>
      <c r="H35" s="93">
        <v>0</v>
      </c>
      <c r="I35" s="341">
        <v>0</v>
      </c>
      <c r="J35" s="19">
        <f t="shared" si="1"/>
        <v>0</v>
      </c>
      <c r="K35" s="19">
        <f t="shared" si="2"/>
        <v>0</v>
      </c>
      <c r="L35" s="130">
        <v>0</v>
      </c>
      <c r="M35" s="130">
        <f t="shared" si="3"/>
        <v>193649.20969999995</v>
      </c>
      <c r="N35" s="44"/>
      <c r="O35" s="69"/>
    </row>
    <row r="36" spans="1:19">
      <c r="A36" s="26"/>
      <c r="B36" s="27"/>
      <c r="C36" s="128"/>
      <c r="D36" s="129"/>
      <c r="E36" s="93">
        <v>0</v>
      </c>
      <c r="F36" s="93">
        <v>0</v>
      </c>
      <c r="G36" s="19">
        <f t="shared" ref="G36" si="4">E36*F36</f>
        <v>0</v>
      </c>
      <c r="H36" s="93">
        <v>0</v>
      </c>
      <c r="I36" s="341">
        <v>0</v>
      </c>
      <c r="J36" s="19">
        <f t="shared" ref="J36" si="5">H36*I36</f>
        <v>0</v>
      </c>
      <c r="K36" s="19">
        <f t="shared" ref="K36" si="6">G36+J36</f>
        <v>0</v>
      </c>
      <c r="L36" s="130">
        <v>0</v>
      </c>
      <c r="M36" s="130">
        <f t="shared" si="3"/>
        <v>193649.20969999995</v>
      </c>
      <c r="N36" s="44"/>
      <c r="O36" s="69"/>
    </row>
    <row r="37" spans="1:19">
      <c r="A37" s="42"/>
      <c r="B37" s="42"/>
      <c r="C37" s="42"/>
      <c r="D37" s="42"/>
      <c r="E37" s="43">
        <f>SUM(E4:E35)</f>
        <v>3600</v>
      </c>
      <c r="F37" s="43"/>
      <c r="G37" s="43">
        <f>SUM(G4:G35)</f>
        <v>331236</v>
      </c>
      <c r="H37" s="43">
        <f>SUM(H4:H35)</f>
        <v>195</v>
      </c>
      <c r="I37" s="43"/>
      <c r="J37" s="43">
        <f>SUM(J4:J35)</f>
        <v>20233.2</v>
      </c>
      <c r="K37" s="43">
        <f>SUM(K4:K35)</f>
        <v>351469.19999999995</v>
      </c>
      <c r="L37" s="43">
        <f>SUM(L4:L35)</f>
        <v>237298</v>
      </c>
      <c r="M37" s="43"/>
      <c r="N37" s="43"/>
      <c r="O37" s="33"/>
    </row>
    <row r="38" spans="1:19">
      <c r="A38" s="72"/>
      <c r="B38" s="73"/>
      <c r="C38" s="72"/>
      <c r="D38" s="72"/>
      <c r="E38" s="74">
        <v>0</v>
      </c>
      <c r="F38" s="74"/>
      <c r="G38" s="74">
        <v>0</v>
      </c>
      <c r="H38" s="74">
        <v>0</v>
      </c>
      <c r="I38" s="74"/>
      <c r="J38" s="75">
        <v>0</v>
      </c>
      <c r="K38" s="75">
        <f>G38+J38</f>
        <v>0</v>
      </c>
      <c r="L38" s="75">
        <v>0</v>
      </c>
      <c r="M38" s="75"/>
      <c r="N38" s="74"/>
      <c r="O38" s="69"/>
    </row>
    <row r="39" spans="1:19">
      <c r="E39" s="135"/>
      <c r="F39" s="135"/>
      <c r="G39" s="135"/>
      <c r="H39" s="135"/>
      <c r="I39" s="135"/>
      <c r="J39" s="135"/>
      <c r="K39" s="135"/>
      <c r="L39" s="135"/>
      <c r="M39" s="241"/>
      <c r="O39" s="69"/>
    </row>
    <row r="40" spans="1:19">
      <c r="O40" s="69"/>
    </row>
    <row r="41" spans="1:19">
      <c r="M41" s="174"/>
      <c r="O41" s="69"/>
    </row>
    <row r="42" spans="1:19">
      <c r="O42" s="69"/>
    </row>
    <row r="43" spans="1:19">
      <c r="O43" s="69"/>
      <c r="S43">
        <v>9052944708</v>
      </c>
    </row>
    <row r="44" spans="1:19">
      <c r="A44" s="69"/>
      <c r="B44" s="59"/>
      <c r="C44" s="69"/>
      <c r="D44" s="69"/>
      <c r="E44" s="69"/>
      <c r="F44" s="69"/>
      <c r="G44" s="76"/>
      <c r="H44" s="69"/>
      <c r="I44" s="69"/>
      <c r="J44" s="59"/>
      <c r="K44" s="59"/>
      <c r="L44" s="59"/>
      <c r="M44" s="59"/>
      <c r="N44" s="69"/>
      <c r="O44" s="74"/>
    </row>
    <row r="45" spans="1:19">
      <c r="A45" s="69"/>
      <c r="B45" s="490"/>
      <c r="C45" s="490"/>
      <c r="D45" s="490"/>
      <c r="E45" s="490"/>
      <c r="F45" s="69"/>
      <c r="G45" s="69"/>
      <c r="H45" s="69"/>
      <c r="I45" s="490"/>
      <c r="J45" s="490"/>
      <c r="K45" s="490"/>
      <c r="L45" s="490"/>
      <c r="M45" s="490"/>
      <c r="N45" s="490"/>
      <c r="O45" s="74"/>
    </row>
    <row r="46" spans="1:19">
      <c r="A46" s="69"/>
      <c r="B46" s="59"/>
      <c r="C46" s="69"/>
      <c r="D46" s="69"/>
      <c r="E46" s="69"/>
      <c r="F46" s="69"/>
      <c r="G46" s="69"/>
      <c r="H46" s="69"/>
      <c r="I46" s="69"/>
      <c r="J46" s="59"/>
      <c r="K46" s="59"/>
      <c r="L46" s="59"/>
      <c r="M46" s="59"/>
      <c r="N46" s="69"/>
      <c r="O46" s="74"/>
    </row>
  </sheetData>
  <mergeCells count="4">
    <mergeCell ref="A1:N1"/>
    <mergeCell ref="B45:E45"/>
    <mergeCell ref="I45:N45"/>
    <mergeCell ref="A3:J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77E2-69A2-4E6F-A5F1-5787B5613988}">
  <sheetPr>
    <tabColor rgb="FF00B050"/>
  </sheetPr>
  <dimension ref="A1:N35"/>
  <sheetViews>
    <sheetView topLeftCell="A2" workbookViewId="0">
      <selection activeCell="M34" sqref="M34"/>
    </sheetView>
  </sheetViews>
  <sheetFormatPr defaultRowHeight="15"/>
  <cols>
    <col min="2" max="2" width="10.140625" bestFit="1" customWidth="1"/>
    <col min="4" max="4" width="24.85546875" bestFit="1" customWidth="1"/>
    <col min="12" max="12" width="9.28515625" bestFit="1" customWidth="1"/>
  </cols>
  <sheetData>
    <row r="1" spans="1:14" ht="15.75">
      <c r="A1" s="495" t="s">
        <v>242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</row>
    <row r="2" spans="1:14" ht="25.5">
      <c r="A2" s="103" t="s">
        <v>0</v>
      </c>
      <c r="B2" s="106" t="s">
        <v>164</v>
      </c>
      <c r="C2" s="106" t="s">
        <v>165</v>
      </c>
      <c r="D2" s="106" t="s">
        <v>166</v>
      </c>
      <c r="E2" s="106" t="s">
        <v>167</v>
      </c>
      <c r="F2" s="106" t="s">
        <v>168</v>
      </c>
      <c r="G2" s="106" t="s">
        <v>169</v>
      </c>
      <c r="H2" s="106" t="s">
        <v>170</v>
      </c>
      <c r="I2" s="106" t="s">
        <v>168</v>
      </c>
      <c r="J2" s="106" t="s">
        <v>169</v>
      </c>
      <c r="K2" s="106" t="s">
        <v>171</v>
      </c>
      <c r="L2" s="106" t="s">
        <v>172</v>
      </c>
      <c r="M2" s="106" t="s">
        <v>209</v>
      </c>
      <c r="N2" s="106" t="s">
        <v>174</v>
      </c>
    </row>
    <row r="3" spans="1:14">
      <c r="A3" s="498" t="s">
        <v>175</v>
      </c>
      <c r="B3" s="498"/>
      <c r="C3" s="498"/>
      <c r="D3" s="498"/>
      <c r="E3" s="498"/>
      <c r="F3" s="498"/>
      <c r="G3" s="498"/>
      <c r="H3" s="498"/>
      <c r="I3" s="498"/>
      <c r="J3" s="498"/>
      <c r="K3" s="95">
        <v>4179.7151999999796</v>
      </c>
      <c r="L3" s="95">
        <v>0</v>
      </c>
      <c r="M3" s="95">
        <v>4179.7151999999796</v>
      </c>
      <c r="N3" s="17"/>
    </row>
    <row r="4" spans="1:14">
      <c r="A4" s="26">
        <v>1</v>
      </c>
      <c r="B4" s="27">
        <v>46113</v>
      </c>
      <c r="C4" s="17"/>
      <c r="D4" s="17"/>
      <c r="E4" s="86">
        <v>400</v>
      </c>
      <c r="F4" s="86">
        <v>92.06</v>
      </c>
      <c r="G4" s="17">
        <f>E4*F4</f>
        <v>36824</v>
      </c>
      <c r="H4" s="86">
        <v>20</v>
      </c>
      <c r="I4" s="86">
        <v>103.81</v>
      </c>
      <c r="J4" s="17">
        <f>H4*I4</f>
        <v>2076.1999999999998</v>
      </c>
      <c r="K4" s="17">
        <f>G4+J4</f>
        <v>38900.199999999997</v>
      </c>
      <c r="L4" s="17"/>
      <c r="M4" s="17">
        <f>M3+K4-L4</f>
        <v>43079.915199999974</v>
      </c>
      <c r="N4" s="44"/>
    </row>
    <row r="5" spans="1:14">
      <c r="A5" s="26">
        <v>2</v>
      </c>
      <c r="B5" s="27">
        <v>46114</v>
      </c>
      <c r="C5" s="17"/>
      <c r="D5" s="17"/>
      <c r="E5" s="86"/>
      <c r="F5" s="86"/>
      <c r="G5" s="17">
        <f t="shared" ref="G5:G32" si="0">E5*F5</f>
        <v>0</v>
      </c>
      <c r="H5" s="86"/>
      <c r="I5" s="86"/>
      <c r="J5" s="17">
        <f t="shared" ref="J5:J32" si="1">H5*I5</f>
        <v>0</v>
      </c>
      <c r="K5" s="17">
        <f t="shared" ref="K5:K32" si="2">G5+J5</f>
        <v>0</v>
      </c>
      <c r="L5" s="17">
        <v>4162</v>
      </c>
      <c r="M5" s="17">
        <f t="shared" ref="M5:M34" si="3">M4+K5-L5</f>
        <v>38917.915199999974</v>
      </c>
      <c r="N5" s="44"/>
    </row>
    <row r="6" spans="1:14">
      <c r="A6" s="26">
        <v>3</v>
      </c>
      <c r="B6" s="27">
        <v>46115</v>
      </c>
      <c r="C6" s="17"/>
      <c r="D6" s="17"/>
      <c r="E6" s="86"/>
      <c r="F6" s="86"/>
      <c r="G6" s="17">
        <f t="shared" ref="G6:G33" si="4">E6*F6</f>
        <v>0</v>
      </c>
      <c r="H6" s="86"/>
      <c r="I6" s="86"/>
      <c r="J6" s="17">
        <f t="shared" ref="J6:J33" si="5">H6*I6</f>
        <v>0</v>
      </c>
      <c r="K6" s="17">
        <f t="shared" ref="K6:K33" si="6">G6+J6</f>
        <v>0</v>
      </c>
      <c r="L6" s="17"/>
      <c r="M6" s="17">
        <f t="shared" si="3"/>
        <v>38917.915199999974</v>
      </c>
      <c r="N6" s="44"/>
    </row>
    <row r="7" spans="1:14">
      <c r="A7" s="26">
        <v>4</v>
      </c>
      <c r="B7" s="27">
        <v>46116</v>
      </c>
      <c r="C7" s="17"/>
      <c r="D7" s="17"/>
      <c r="E7" s="86"/>
      <c r="F7" s="86"/>
      <c r="G7" s="17">
        <f t="shared" si="4"/>
        <v>0</v>
      </c>
      <c r="H7" s="86">
        <v>20</v>
      </c>
      <c r="I7" s="86">
        <v>103.81</v>
      </c>
      <c r="J7" s="17">
        <f t="shared" si="5"/>
        <v>2076.1999999999998</v>
      </c>
      <c r="K7" s="17">
        <f t="shared" si="6"/>
        <v>2076.1999999999998</v>
      </c>
      <c r="L7" s="17"/>
      <c r="M7" s="17">
        <f t="shared" si="3"/>
        <v>40994.115199999971</v>
      </c>
    </row>
    <row r="8" spans="1:14">
      <c r="A8" s="26">
        <v>5</v>
      </c>
      <c r="B8" s="27">
        <v>46117</v>
      </c>
      <c r="C8" s="17"/>
      <c r="D8" s="17"/>
      <c r="E8" s="86"/>
      <c r="F8" s="86"/>
      <c r="G8" s="17">
        <f t="shared" si="4"/>
        <v>0</v>
      </c>
      <c r="H8" s="86"/>
      <c r="I8" s="86"/>
      <c r="J8" s="17">
        <f t="shared" si="5"/>
        <v>0</v>
      </c>
      <c r="K8" s="17">
        <f t="shared" si="6"/>
        <v>0</v>
      </c>
      <c r="L8" s="17"/>
      <c r="M8" s="17">
        <f t="shared" si="3"/>
        <v>40994.115199999971</v>
      </c>
      <c r="N8" s="44"/>
    </row>
    <row r="9" spans="1:14">
      <c r="A9" s="26">
        <v>6</v>
      </c>
      <c r="B9" s="27">
        <v>46118</v>
      </c>
      <c r="C9" s="17"/>
      <c r="D9" s="17"/>
      <c r="E9" s="86"/>
      <c r="F9" s="86"/>
      <c r="G9" s="17">
        <f t="shared" si="4"/>
        <v>0</v>
      </c>
      <c r="H9" s="86"/>
      <c r="I9" s="86"/>
      <c r="J9" s="17">
        <f t="shared" si="5"/>
        <v>0</v>
      </c>
      <c r="K9" s="17">
        <f t="shared" si="6"/>
        <v>0</v>
      </c>
      <c r="L9" s="17"/>
      <c r="M9" s="17">
        <f t="shared" si="3"/>
        <v>40994.115199999971</v>
      </c>
      <c r="N9" s="44"/>
    </row>
    <row r="10" spans="1:14">
      <c r="A10" s="26">
        <v>7</v>
      </c>
      <c r="B10" s="27">
        <v>46119</v>
      </c>
      <c r="C10" s="17"/>
      <c r="D10" s="17"/>
      <c r="E10" s="86"/>
      <c r="F10" s="86"/>
      <c r="G10" s="17">
        <f t="shared" si="4"/>
        <v>0</v>
      </c>
      <c r="H10" s="86"/>
      <c r="I10" s="86"/>
      <c r="J10" s="17">
        <f t="shared" si="5"/>
        <v>0</v>
      </c>
      <c r="K10" s="17">
        <f t="shared" si="6"/>
        <v>0</v>
      </c>
      <c r="L10" s="17"/>
      <c r="M10" s="17">
        <f t="shared" si="3"/>
        <v>40994.115199999971</v>
      </c>
      <c r="N10" s="44"/>
    </row>
    <row r="11" spans="1:14">
      <c r="A11" s="26">
        <v>8</v>
      </c>
      <c r="B11" s="27">
        <v>46120</v>
      </c>
      <c r="C11" s="17"/>
      <c r="D11" s="17"/>
      <c r="E11" s="86"/>
      <c r="F11" s="86"/>
      <c r="G11" s="17">
        <f t="shared" si="4"/>
        <v>0</v>
      </c>
      <c r="H11" s="86"/>
      <c r="I11" s="86"/>
      <c r="J11" s="17">
        <f t="shared" si="5"/>
        <v>0</v>
      </c>
      <c r="K11" s="17">
        <f t="shared" si="6"/>
        <v>0</v>
      </c>
      <c r="L11" s="17"/>
      <c r="M11" s="17">
        <f t="shared" si="3"/>
        <v>40994.115199999971</v>
      </c>
      <c r="N11" s="44"/>
    </row>
    <row r="12" spans="1:14">
      <c r="A12" s="26">
        <v>9</v>
      </c>
      <c r="B12" s="27">
        <v>46121</v>
      </c>
      <c r="C12" s="17"/>
      <c r="D12" s="17"/>
      <c r="E12" s="86"/>
      <c r="F12" s="86"/>
      <c r="G12" s="17">
        <f t="shared" si="4"/>
        <v>0</v>
      </c>
      <c r="H12" s="86"/>
      <c r="I12" s="86"/>
      <c r="J12" s="17">
        <f t="shared" si="5"/>
        <v>0</v>
      </c>
      <c r="K12" s="17">
        <f t="shared" si="6"/>
        <v>0</v>
      </c>
      <c r="L12" s="17"/>
      <c r="M12" s="17">
        <f t="shared" si="3"/>
        <v>40994.115199999971</v>
      </c>
      <c r="N12" s="44"/>
    </row>
    <row r="13" spans="1:14">
      <c r="A13" s="26">
        <v>10</v>
      </c>
      <c r="B13" s="27">
        <v>46122</v>
      </c>
      <c r="C13" s="17"/>
      <c r="D13" s="17"/>
      <c r="E13" s="86"/>
      <c r="F13" s="86"/>
      <c r="G13" s="17">
        <f t="shared" si="4"/>
        <v>0</v>
      </c>
      <c r="H13" s="86"/>
      <c r="I13" s="86"/>
      <c r="J13" s="17">
        <f t="shared" si="5"/>
        <v>0</v>
      </c>
      <c r="K13" s="17">
        <f t="shared" si="6"/>
        <v>0</v>
      </c>
      <c r="L13" s="17"/>
      <c r="M13" s="17">
        <f t="shared" si="3"/>
        <v>40994.115199999971</v>
      </c>
      <c r="N13" s="44"/>
    </row>
    <row r="14" spans="1:14">
      <c r="A14" s="26">
        <v>11</v>
      </c>
      <c r="B14" s="27">
        <v>46123</v>
      </c>
      <c r="C14" s="17"/>
      <c r="D14" s="17"/>
      <c r="E14" s="86">
        <v>300</v>
      </c>
      <c r="F14" s="86">
        <v>92.06</v>
      </c>
      <c r="G14" s="17">
        <f t="shared" si="4"/>
        <v>27618</v>
      </c>
      <c r="H14" s="86"/>
      <c r="I14" s="86"/>
      <c r="J14" s="17">
        <f t="shared" si="5"/>
        <v>0</v>
      </c>
      <c r="K14" s="17">
        <f t="shared" si="6"/>
        <v>27618</v>
      </c>
      <c r="L14" s="17"/>
      <c r="M14" s="17">
        <f t="shared" si="3"/>
        <v>68612.115199999971</v>
      </c>
      <c r="N14" s="44"/>
    </row>
    <row r="15" spans="1:14">
      <c r="A15" s="26">
        <v>12</v>
      </c>
      <c r="B15" s="27">
        <v>46124</v>
      </c>
      <c r="C15" s="17"/>
      <c r="D15" s="17"/>
      <c r="E15" s="86"/>
      <c r="F15" s="86"/>
      <c r="G15" s="17">
        <f t="shared" si="4"/>
        <v>0</v>
      </c>
      <c r="H15" s="86"/>
      <c r="I15" s="86"/>
      <c r="J15" s="17">
        <f t="shared" si="5"/>
        <v>0</v>
      </c>
      <c r="K15" s="17">
        <f t="shared" si="6"/>
        <v>0</v>
      </c>
      <c r="L15" s="17"/>
      <c r="M15" s="40">
        <f t="shared" si="3"/>
        <v>68612.115199999971</v>
      </c>
      <c r="N15" s="44"/>
    </row>
    <row r="16" spans="1:14">
      <c r="A16" s="26">
        <v>13</v>
      </c>
      <c r="B16" s="27">
        <v>46125</v>
      </c>
      <c r="C16" s="17"/>
      <c r="D16" s="17"/>
      <c r="E16" s="86"/>
      <c r="F16" s="86"/>
      <c r="G16" s="17">
        <f t="shared" si="4"/>
        <v>0</v>
      </c>
      <c r="H16" s="86"/>
      <c r="I16" s="86"/>
      <c r="J16" s="17">
        <f t="shared" si="5"/>
        <v>0</v>
      </c>
      <c r="K16" s="17">
        <f t="shared" si="6"/>
        <v>0</v>
      </c>
      <c r="L16" s="17">
        <v>68594.399999999994</v>
      </c>
      <c r="M16" s="40">
        <f t="shared" si="3"/>
        <v>17.715199999976903</v>
      </c>
      <c r="N16" s="44"/>
    </row>
    <row r="17" spans="1:14">
      <c r="A17" s="26">
        <v>14</v>
      </c>
      <c r="B17" s="27">
        <v>46126</v>
      </c>
      <c r="C17" s="17"/>
      <c r="D17" s="17"/>
      <c r="E17" s="86"/>
      <c r="F17" s="86"/>
      <c r="G17" s="17">
        <f t="shared" si="4"/>
        <v>0</v>
      </c>
      <c r="H17" s="86"/>
      <c r="I17" s="86"/>
      <c r="J17" s="17">
        <f t="shared" si="5"/>
        <v>0</v>
      </c>
      <c r="K17" s="17">
        <f t="shared" si="6"/>
        <v>0</v>
      </c>
      <c r="L17" s="17"/>
      <c r="M17" s="40">
        <f t="shared" si="3"/>
        <v>17.715199999976903</v>
      </c>
      <c r="N17" s="44"/>
    </row>
    <row r="18" spans="1:14">
      <c r="A18" s="26">
        <v>15</v>
      </c>
      <c r="B18" s="27">
        <v>46127</v>
      </c>
      <c r="C18" s="17"/>
      <c r="D18" s="17"/>
      <c r="E18" s="86"/>
      <c r="F18" s="86"/>
      <c r="G18" s="17">
        <f t="shared" si="4"/>
        <v>0</v>
      </c>
      <c r="H18" s="86"/>
      <c r="I18" s="86"/>
      <c r="J18" s="17">
        <f t="shared" si="5"/>
        <v>0</v>
      </c>
      <c r="K18" s="17">
        <f t="shared" si="6"/>
        <v>0</v>
      </c>
      <c r="L18" s="17"/>
      <c r="M18" s="40">
        <f t="shared" si="3"/>
        <v>17.715199999976903</v>
      </c>
      <c r="N18" s="44"/>
    </row>
    <row r="19" spans="1:14">
      <c r="A19" s="26">
        <v>16</v>
      </c>
      <c r="B19" s="27">
        <v>46128</v>
      </c>
      <c r="C19" s="17"/>
      <c r="D19" s="17"/>
      <c r="E19" s="86"/>
      <c r="F19" s="86"/>
      <c r="G19" s="17">
        <f t="shared" si="4"/>
        <v>0</v>
      </c>
      <c r="H19" s="86"/>
      <c r="I19" s="86"/>
      <c r="J19" s="17">
        <f t="shared" si="5"/>
        <v>0</v>
      </c>
      <c r="K19" s="17">
        <f t="shared" si="6"/>
        <v>0</v>
      </c>
      <c r="L19" s="17"/>
      <c r="M19" s="40">
        <f t="shared" si="3"/>
        <v>17.715199999976903</v>
      </c>
      <c r="N19" s="44"/>
    </row>
    <row r="20" spans="1:14">
      <c r="A20" s="26">
        <v>17</v>
      </c>
      <c r="B20" s="27">
        <v>46129</v>
      </c>
      <c r="C20" s="17"/>
      <c r="D20" s="17"/>
      <c r="E20" s="86"/>
      <c r="F20" s="86"/>
      <c r="G20" s="17">
        <f t="shared" si="4"/>
        <v>0</v>
      </c>
      <c r="H20" s="86"/>
      <c r="I20" s="86"/>
      <c r="J20" s="17">
        <f t="shared" si="5"/>
        <v>0</v>
      </c>
      <c r="K20" s="17">
        <f t="shared" si="6"/>
        <v>0</v>
      </c>
      <c r="L20" s="17"/>
      <c r="M20" s="40">
        <f t="shared" si="3"/>
        <v>17.715199999976903</v>
      </c>
      <c r="N20" s="44"/>
    </row>
    <row r="21" spans="1:14">
      <c r="A21" s="26">
        <v>18</v>
      </c>
      <c r="B21" s="27">
        <v>46130</v>
      </c>
      <c r="C21" s="17"/>
      <c r="D21" s="17"/>
      <c r="E21" s="86"/>
      <c r="F21" s="86"/>
      <c r="G21" s="17">
        <f t="shared" si="4"/>
        <v>0</v>
      </c>
      <c r="H21" s="86"/>
      <c r="I21" s="86"/>
      <c r="J21" s="17">
        <f t="shared" si="5"/>
        <v>0</v>
      </c>
      <c r="K21" s="17">
        <f t="shared" si="6"/>
        <v>0</v>
      </c>
      <c r="L21" s="17"/>
      <c r="M21" s="40">
        <f t="shared" si="3"/>
        <v>17.715199999976903</v>
      </c>
      <c r="N21" s="44"/>
    </row>
    <row r="22" spans="1:14">
      <c r="A22" s="26">
        <v>19</v>
      </c>
      <c r="B22" s="27">
        <v>46131</v>
      </c>
      <c r="C22" s="17"/>
      <c r="D22" s="17"/>
      <c r="E22" s="86"/>
      <c r="F22" s="86"/>
      <c r="G22" s="17">
        <f t="shared" si="4"/>
        <v>0</v>
      </c>
      <c r="H22" s="86"/>
      <c r="I22" s="86"/>
      <c r="J22" s="17">
        <f t="shared" si="5"/>
        <v>0</v>
      </c>
      <c r="K22" s="17">
        <f t="shared" si="6"/>
        <v>0</v>
      </c>
      <c r="L22" s="17"/>
      <c r="M22" s="40">
        <f t="shared" si="3"/>
        <v>17.715199999976903</v>
      </c>
      <c r="N22" s="44"/>
    </row>
    <row r="23" spans="1:14">
      <c r="A23" s="26">
        <v>20</v>
      </c>
      <c r="B23" s="27">
        <v>46132</v>
      </c>
      <c r="C23" s="17"/>
      <c r="D23" s="17"/>
      <c r="E23" s="86"/>
      <c r="F23" s="86"/>
      <c r="G23" s="17">
        <f t="shared" si="4"/>
        <v>0</v>
      </c>
      <c r="H23" s="86"/>
      <c r="I23" s="86"/>
      <c r="J23" s="17">
        <f t="shared" si="5"/>
        <v>0</v>
      </c>
      <c r="K23" s="17">
        <f t="shared" si="6"/>
        <v>0</v>
      </c>
      <c r="L23" s="17"/>
      <c r="M23" s="40">
        <f t="shared" si="3"/>
        <v>17.715199999976903</v>
      </c>
      <c r="N23" s="44"/>
    </row>
    <row r="24" spans="1:14">
      <c r="A24" s="26">
        <v>21</v>
      </c>
      <c r="B24" s="27">
        <v>46133</v>
      </c>
      <c r="C24" s="17"/>
      <c r="D24" s="17"/>
      <c r="E24" s="86">
        <v>300</v>
      </c>
      <c r="F24" s="86">
        <v>92.06</v>
      </c>
      <c r="G24" s="17">
        <f t="shared" si="4"/>
        <v>27618</v>
      </c>
      <c r="H24" s="86"/>
      <c r="I24" s="86"/>
      <c r="J24" s="17">
        <f t="shared" si="5"/>
        <v>0</v>
      </c>
      <c r="K24" s="17">
        <f t="shared" si="6"/>
        <v>27618</v>
      </c>
      <c r="L24" s="17"/>
      <c r="M24" s="40">
        <f t="shared" si="3"/>
        <v>27635.715199999977</v>
      </c>
      <c r="N24" s="44"/>
    </row>
    <row r="25" spans="1:14">
      <c r="A25" s="26">
        <v>22</v>
      </c>
      <c r="B25" s="27">
        <v>46134</v>
      </c>
      <c r="C25" s="17"/>
      <c r="D25" s="17"/>
      <c r="E25" s="86"/>
      <c r="F25" s="86"/>
      <c r="G25" s="17">
        <f t="shared" si="4"/>
        <v>0</v>
      </c>
      <c r="H25" s="86"/>
      <c r="I25" s="86"/>
      <c r="J25" s="17">
        <f t="shared" si="5"/>
        <v>0</v>
      </c>
      <c r="K25" s="17">
        <f t="shared" si="6"/>
        <v>0</v>
      </c>
      <c r="L25" s="17"/>
      <c r="M25" s="40">
        <f t="shared" si="3"/>
        <v>27635.715199999977</v>
      </c>
      <c r="N25" s="44"/>
    </row>
    <row r="26" spans="1:14">
      <c r="A26" s="26">
        <v>23</v>
      </c>
      <c r="B26" s="27">
        <v>46135</v>
      </c>
      <c r="C26" s="17"/>
      <c r="D26" s="17"/>
      <c r="E26" s="86"/>
      <c r="F26" s="86"/>
      <c r="G26" s="17">
        <f t="shared" si="4"/>
        <v>0</v>
      </c>
      <c r="H26" s="86"/>
      <c r="I26" s="86"/>
      <c r="J26" s="17">
        <f t="shared" si="5"/>
        <v>0</v>
      </c>
      <c r="K26" s="17">
        <f t="shared" si="6"/>
        <v>0</v>
      </c>
      <c r="L26" s="17"/>
      <c r="M26" s="40">
        <f t="shared" si="3"/>
        <v>27635.715199999977</v>
      </c>
      <c r="N26" s="44"/>
    </row>
    <row r="27" spans="1:14">
      <c r="A27" s="26">
        <v>24</v>
      </c>
      <c r="B27" s="27">
        <v>46136</v>
      </c>
      <c r="C27" s="17"/>
      <c r="D27" s="17"/>
      <c r="E27" s="86">
        <v>300</v>
      </c>
      <c r="F27" s="86">
        <v>92.06</v>
      </c>
      <c r="G27" s="17">
        <f t="shared" si="4"/>
        <v>27618</v>
      </c>
      <c r="H27" s="86">
        <v>10</v>
      </c>
      <c r="I27" s="86">
        <v>103.81</v>
      </c>
      <c r="J27" s="17">
        <f t="shared" si="5"/>
        <v>1038.0999999999999</v>
      </c>
      <c r="K27" s="17">
        <f t="shared" si="6"/>
        <v>28656.1</v>
      </c>
      <c r="L27" s="17"/>
      <c r="M27" s="40">
        <f t="shared" si="3"/>
        <v>56291.815199999975</v>
      </c>
      <c r="N27" s="44"/>
    </row>
    <row r="28" spans="1:14">
      <c r="A28" s="26">
        <v>25</v>
      </c>
      <c r="B28" s="27">
        <v>46137</v>
      </c>
      <c r="C28" s="17"/>
      <c r="D28" s="17"/>
      <c r="E28" s="86"/>
      <c r="F28" s="86"/>
      <c r="G28" s="17">
        <f t="shared" si="4"/>
        <v>0</v>
      </c>
      <c r="H28" s="86"/>
      <c r="I28" s="86"/>
      <c r="J28" s="17">
        <f t="shared" si="5"/>
        <v>0</v>
      </c>
      <c r="K28" s="17">
        <f t="shared" si="6"/>
        <v>0</v>
      </c>
      <c r="L28" s="17"/>
      <c r="M28" s="40">
        <f t="shared" si="3"/>
        <v>56291.815199999975</v>
      </c>
      <c r="N28" s="44"/>
    </row>
    <row r="29" spans="1:14">
      <c r="A29" s="26">
        <v>26</v>
      </c>
      <c r="B29" s="27">
        <v>46138</v>
      </c>
      <c r="C29" s="17"/>
      <c r="D29" s="17"/>
      <c r="E29" s="86"/>
      <c r="F29" s="86"/>
      <c r="G29" s="17">
        <f t="shared" si="4"/>
        <v>0</v>
      </c>
      <c r="H29" s="86"/>
      <c r="I29" s="86"/>
      <c r="J29" s="17">
        <f t="shared" si="5"/>
        <v>0</v>
      </c>
      <c r="K29" s="17">
        <f t="shared" si="6"/>
        <v>0</v>
      </c>
      <c r="L29" s="17"/>
      <c r="M29" s="40">
        <f t="shared" si="3"/>
        <v>56291.815199999975</v>
      </c>
      <c r="N29" s="44"/>
    </row>
    <row r="30" spans="1:14">
      <c r="A30" s="26">
        <v>27</v>
      </c>
      <c r="B30" s="27">
        <v>46139</v>
      </c>
      <c r="C30" s="17"/>
      <c r="D30" s="17"/>
      <c r="E30" s="86"/>
      <c r="F30" s="86"/>
      <c r="G30" s="17">
        <f t="shared" si="4"/>
        <v>0</v>
      </c>
      <c r="H30" s="86"/>
      <c r="I30" s="86"/>
      <c r="J30" s="17">
        <f t="shared" si="5"/>
        <v>0</v>
      </c>
      <c r="K30" s="17">
        <f t="shared" si="6"/>
        <v>0</v>
      </c>
      <c r="L30" s="17"/>
      <c r="M30" s="40">
        <f t="shared" si="3"/>
        <v>56291.815199999975</v>
      </c>
      <c r="N30" s="44"/>
    </row>
    <row r="31" spans="1:14">
      <c r="A31" s="26">
        <v>28</v>
      </c>
      <c r="B31" s="27">
        <v>46140</v>
      </c>
      <c r="C31" s="17"/>
      <c r="D31" s="17"/>
      <c r="E31" s="86"/>
      <c r="F31" s="86"/>
      <c r="G31" s="17">
        <f t="shared" si="4"/>
        <v>0</v>
      </c>
      <c r="H31" s="86"/>
      <c r="I31" s="86"/>
      <c r="J31" s="17">
        <f t="shared" si="5"/>
        <v>0</v>
      </c>
      <c r="K31" s="17">
        <f t="shared" si="6"/>
        <v>0</v>
      </c>
      <c r="L31" s="17"/>
      <c r="M31" s="40">
        <f t="shared" si="3"/>
        <v>56291.815199999975</v>
      </c>
      <c r="N31" s="44"/>
    </row>
    <row r="32" spans="1:14">
      <c r="A32" s="26">
        <v>29</v>
      </c>
      <c r="B32" s="27">
        <v>46141</v>
      </c>
      <c r="C32" s="17"/>
      <c r="D32" s="17"/>
      <c r="E32" s="86"/>
      <c r="F32" s="86"/>
      <c r="G32" s="17">
        <f t="shared" si="4"/>
        <v>0</v>
      </c>
      <c r="H32" s="86"/>
      <c r="I32" s="86"/>
      <c r="J32" s="17">
        <f t="shared" si="5"/>
        <v>0</v>
      </c>
      <c r="K32" s="17">
        <f t="shared" si="6"/>
        <v>0</v>
      </c>
      <c r="L32" s="17"/>
      <c r="M32" s="40">
        <f t="shared" si="3"/>
        <v>56291.815199999975</v>
      </c>
      <c r="N32" s="44"/>
    </row>
    <row r="33" spans="1:14">
      <c r="A33" s="26">
        <v>30</v>
      </c>
      <c r="B33" s="27">
        <v>46142</v>
      </c>
      <c r="C33" s="17"/>
      <c r="D33" s="17"/>
      <c r="E33" s="86"/>
      <c r="F33" s="86"/>
      <c r="G33" s="17">
        <f t="shared" si="4"/>
        <v>0</v>
      </c>
      <c r="H33" s="86"/>
      <c r="I33" s="86"/>
      <c r="J33" s="17">
        <f t="shared" si="5"/>
        <v>0</v>
      </c>
      <c r="K33" s="17">
        <f t="shared" si="6"/>
        <v>0</v>
      </c>
      <c r="L33" s="17"/>
      <c r="M33" s="40">
        <f t="shared" si="3"/>
        <v>56291.815199999975</v>
      </c>
      <c r="N33" s="44"/>
    </row>
    <row r="34" spans="1:14">
      <c r="A34" s="26">
        <v>31</v>
      </c>
      <c r="B34" s="27">
        <v>46143</v>
      </c>
      <c r="C34" s="17"/>
      <c r="D34" s="17"/>
      <c r="E34" s="86"/>
      <c r="F34" s="86"/>
      <c r="G34" s="17">
        <f t="shared" ref="G5:G34" si="7">E34*F34</f>
        <v>0</v>
      </c>
      <c r="H34" s="86"/>
      <c r="I34" s="86"/>
      <c r="J34" s="17"/>
      <c r="K34" s="17">
        <f>G34+J34</f>
        <v>0</v>
      </c>
      <c r="L34" s="17">
        <v>0</v>
      </c>
      <c r="M34" s="40">
        <f t="shared" si="3"/>
        <v>56291.815199999975</v>
      </c>
      <c r="N34" s="44"/>
    </row>
    <row r="35" spans="1:14">
      <c r="A35" s="42"/>
      <c r="B35" s="42"/>
      <c r="C35" s="42"/>
      <c r="D35" s="42"/>
      <c r="E35" s="42">
        <f>SUM(E4:E34)</f>
        <v>1300</v>
      </c>
      <c r="F35" s="42"/>
      <c r="G35" s="42">
        <f>SUM(G4:G34)</f>
        <v>119678</v>
      </c>
      <c r="H35" s="42">
        <f>SUM(H4:H34)</f>
        <v>50</v>
      </c>
      <c r="I35" s="42"/>
      <c r="J35" s="42">
        <f>SUM(J4:J34)</f>
        <v>5190.5</v>
      </c>
      <c r="K35" s="42">
        <f>SUM(K4:K34)</f>
        <v>124868.5</v>
      </c>
      <c r="L35" s="42">
        <f>SUM(L4:L34)</f>
        <v>72756.399999999994</v>
      </c>
      <c r="M35" s="42"/>
      <c r="N35" s="42"/>
    </row>
  </sheetData>
  <mergeCells count="2">
    <mergeCell ref="A1:N1"/>
    <mergeCell ref="A3:J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EDE9-F31F-4F91-B0A6-7048B469F70C}">
  <dimension ref="A1:N35"/>
  <sheetViews>
    <sheetView topLeftCell="A18" workbookViewId="0">
      <selection activeCell="M30" sqref="M30"/>
    </sheetView>
  </sheetViews>
  <sheetFormatPr defaultRowHeight="15"/>
  <cols>
    <col min="2" max="2" width="18.42578125" customWidth="1"/>
    <col min="5" max="5" width="9.28515625" bestFit="1" customWidth="1"/>
    <col min="7" max="7" width="9.28515625" bestFit="1" customWidth="1"/>
    <col min="12" max="12" width="16.85546875" customWidth="1"/>
  </cols>
  <sheetData>
    <row r="1" spans="1:14" ht="15.75">
      <c r="A1" s="495" t="s">
        <v>243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</row>
    <row r="2" spans="1:14" ht="25.5">
      <c r="A2" s="103" t="s">
        <v>0</v>
      </c>
      <c r="B2" s="106" t="s">
        <v>164</v>
      </c>
      <c r="C2" s="106" t="s">
        <v>165</v>
      </c>
      <c r="D2" s="106" t="s">
        <v>166</v>
      </c>
      <c r="E2" s="106" t="s">
        <v>167</v>
      </c>
      <c r="F2" s="106" t="s">
        <v>168</v>
      </c>
      <c r="G2" s="106" t="s">
        <v>169</v>
      </c>
      <c r="H2" s="106" t="s">
        <v>170</v>
      </c>
      <c r="I2" s="106" t="s">
        <v>168</v>
      </c>
      <c r="J2" s="106" t="s">
        <v>169</v>
      </c>
      <c r="K2" s="106" t="s">
        <v>171</v>
      </c>
      <c r="L2" s="106" t="s">
        <v>172</v>
      </c>
      <c r="M2" s="106" t="s">
        <v>209</v>
      </c>
      <c r="N2" s="106" t="s">
        <v>174</v>
      </c>
    </row>
    <row r="3" spans="1:14">
      <c r="A3" s="498" t="s">
        <v>175</v>
      </c>
      <c r="B3" s="498"/>
      <c r="C3" s="498"/>
      <c r="D3" s="498"/>
      <c r="E3" s="498"/>
      <c r="F3" s="498"/>
      <c r="G3" s="498"/>
      <c r="H3" s="498"/>
      <c r="I3" s="498"/>
      <c r="J3" s="498"/>
      <c r="K3" s="95">
        <v>215562.07440000004</v>
      </c>
      <c r="L3" s="95">
        <v>215562.07440000004</v>
      </c>
      <c r="M3" s="95">
        <v>215562.07440000004</v>
      </c>
      <c r="N3" s="17"/>
    </row>
    <row r="4" spans="1:14">
      <c r="A4" s="26">
        <v>1</v>
      </c>
      <c r="B4" s="27">
        <v>46113</v>
      </c>
      <c r="C4" s="17"/>
      <c r="D4" s="17"/>
      <c r="E4" s="410">
        <v>600</v>
      </c>
      <c r="F4" s="410">
        <v>92.07</v>
      </c>
      <c r="G4" s="17">
        <f>E4*F4</f>
        <v>55241.999999999993</v>
      </c>
      <c r="H4" s="86">
        <v>35</v>
      </c>
      <c r="I4" s="86">
        <v>103.82</v>
      </c>
      <c r="J4" s="17">
        <f>H4*I4</f>
        <v>3633.7</v>
      </c>
      <c r="K4" s="17">
        <f>G4+J4</f>
        <v>58875.69999999999</v>
      </c>
      <c r="L4" s="17"/>
      <c r="M4" s="17">
        <f>M3+K4-L4</f>
        <v>274437.77440000005</v>
      </c>
      <c r="N4" s="44"/>
    </row>
    <row r="5" spans="1:14">
      <c r="A5" s="26">
        <v>2</v>
      </c>
      <c r="B5" s="27">
        <v>46114</v>
      </c>
      <c r="C5" s="17"/>
      <c r="D5" s="17"/>
      <c r="E5" s="86"/>
      <c r="F5" s="86"/>
      <c r="G5" s="17">
        <f t="shared" ref="G5:G34" si="0">E5*F5</f>
        <v>0</v>
      </c>
      <c r="H5" s="86">
        <v>0</v>
      </c>
      <c r="I5" s="86">
        <v>0</v>
      </c>
      <c r="J5" s="17">
        <f t="shared" ref="J5:J34" si="1">H5*I5</f>
        <v>0</v>
      </c>
      <c r="K5" s="17">
        <f t="shared" ref="K5:K34" si="2">G5+J5</f>
        <v>0</v>
      </c>
      <c r="L5" s="17">
        <v>215562</v>
      </c>
      <c r="M5" s="17">
        <f t="shared" ref="M5:M33" si="3">M4+K5-L5</f>
        <v>58875.774400000053</v>
      </c>
      <c r="N5" s="44"/>
    </row>
    <row r="6" spans="1:14">
      <c r="A6" s="26">
        <v>3</v>
      </c>
      <c r="B6" s="27">
        <v>46115</v>
      </c>
      <c r="C6" s="17"/>
      <c r="D6" s="17"/>
      <c r="E6" s="86"/>
      <c r="F6" s="86"/>
      <c r="G6" s="17">
        <f t="shared" si="0"/>
        <v>0</v>
      </c>
      <c r="H6" s="86">
        <v>0</v>
      </c>
      <c r="I6" s="86">
        <v>0</v>
      </c>
      <c r="J6" s="17">
        <f t="shared" si="1"/>
        <v>0</v>
      </c>
      <c r="K6" s="17">
        <f t="shared" si="2"/>
        <v>0</v>
      </c>
      <c r="L6" s="17"/>
      <c r="M6" s="17">
        <f t="shared" si="3"/>
        <v>58875.774400000053</v>
      </c>
      <c r="N6" s="44"/>
    </row>
    <row r="7" spans="1:14">
      <c r="A7" s="26">
        <v>4</v>
      </c>
      <c r="B7" s="27">
        <v>46116</v>
      </c>
      <c r="C7" s="17"/>
      <c r="D7" s="17"/>
      <c r="E7" s="86"/>
      <c r="F7" s="86"/>
      <c r="G7" s="17">
        <f t="shared" si="0"/>
        <v>0</v>
      </c>
      <c r="H7" s="86">
        <v>0</v>
      </c>
      <c r="I7" s="86">
        <v>0</v>
      </c>
      <c r="J7" s="17">
        <f t="shared" si="1"/>
        <v>0</v>
      </c>
      <c r="K7" s="17">
        <f t="shared" si="2"/>
        <v>0</v>
      </c>
      <c r="L7" s="17"/>
      <c r="M7" s="17">
        <f t="shared" si="3"/>
        <v>58875.774400000053</v>
      </c>
      <c r="N7" s="44"/>
    </row>
    <row r="8" spans="1:14">
      <c r="A8" s="26">
        <v>5</v>
      </c>
      <c r="B8" s="27">
        <v>46117</v>
      </c>
      <c r="C8" s="17"/>
      <c r="D8" s="17"/>
      <c r="E8" s="86"/>
      <c r="F8" s="86"/>
      <c r="G8" s="17">
        <f t="shared" si="0"/>
        <v>0</v>
      </c>
      <c r="H8" s="86">
        <v>0</v>
      </c>
      <c r="I8" s="86">
        <v>0</v>
      </c>
      <c r="J8" s="17">
        <f t="shared" si="1"/>
        <v>0</v>
      </c>
      <c r="K8" s="17">
        <f t="shared" si="2"/>
        <v>0</v>
      </c>
      <c r="L8" s="17"/>
      <c r="M8" s="17">
        <f t="shared" si="3"/>
        <v>58875.774400000053</v>
      </c>
      <c r="N8" s="44"/>
    </row>
    <row r="9" spans="1:14">
      <c r="A9" s="26">
        <v>6</v>
      </c>
      <c r="B9" s="27">
        <v>46118</v>
      </c>
      <c r="C9" s="17"/>
      <c r="D9" s="17"/>
      <c r="E9" s="86"/>
      <c r="F9" s="86"/>
      <c r="G9" s="17">
        <f t="shared" si="0"/>
        <v>0</v>
      </c>
      <c r="H9" s="86">
        <v>0</v>
      </c>
      <c r="I9" s="86">
        <v>0</v>
      </c>
      <c r="J9" s="17">
        <f t="shared" si="1"/>
        <v>0</v>
      </c>
      <c r="K9" s="17">
        <f t="shared" si="2"/>
        <v>0</v>
      </c>
      <c r="L9" s="17"/>
      <c r="M9" s="17">
        <f t="shared" si="3"/>
        <v>58875.774400000053</v>
      </c>
      <c r="N9" s="44"/>
    </row>
    <row r="10" spans="1:14">
      <c r="A10" s="26">
        <v>7</v>
      </c>
      <c r="B10" s="27">
        <v>46119</v>
      </c>
      <c r="C10" s="17"/>
      <c r="D10" s="17"/>
      <c r="E10" s="86"/>
      <c r="F10" s="86"/>
      <c r="G10" s="17">
        <f t="shared" si="0"/>
        <v>0</v>
      </c>
      <c r="H10" s="86">
        <v>0</v>
      </c>
      <c r="I10" s="86">
        <v>0</v>
      </c>
      <c r="J10" s="17">
        <f t="shared" si="1"/>
        <v>0</v>
      </c>
      <c r="K10" s="17">
        <f t="shared" si="2"/>
        <v>0</v>
      </c>
      <c r="L10" s="17"/>
      <c r="M10" s="17">
        <f>M9+K10-L10</f>
        <v>58875.774400000053</v>
      </c>
      <c r="N10" s="44"/>
    </row>
    <row r="11" spans="1:14">
      <c r="A11" s="26">
        <v>8</v>
      </c>
      <c r="B11" s="27">
        <v>46120</v>
      </c>
      <c r="C11" s="17"/>
      <c r="D11" s="17"/>
      <c r="E11" s="86">
        <v>400</v>
      </c>
      <c r="F11" s="86">
        <v>92.07</v>
      </c>
      <c r="G11" s="17">
        <f t="shared" si="0"/>
        <v>36828</v>
      </c>
      <c r="H11" s="86">
        <v>35</v>
      </c>
      <c r="I11" s="86">
        <v>103.82</v>
      </c>
      <c r="J11" s="17">
        <f t="shared" si="1"/>
        <v>3633.7</v>
      </c>
      <c r="K11" s="17">
        <f t="shared" si="2"/>
        <v>40461.699999999997</v>
      </c>
      <c r="L11" s="17"/>
      <c r="M11" s="17">
        <f t="shared" si="3"/>
        <v>99337.47440000005</v>
      </c>
      <c r="N11" s="44"/>
    </row>
    <row r="12" spans="1:14">
      <c r="A12" s="26">
        <v>9</v>
      </c>
      <c r="B12" s="27">
        <v>46121</v>
      </c>
      <c r="C12" s="17"/>
      <c r="D12" s="17"/>
      <c r="E12" s="86"/>
      <c r="F12" s="86"/>
      <c r="G12" s="17">
        <f t="shared" si="0"/>
        <v>0</v>
      </c>
      <c r="H12" s="86">
        <v>0</v>
      </c>
      <c r="I12" s="86">
        <v>0</v>
      </c>
      <c r="J12" s="17">
        <f t="shared" si="1"/>
        <v>0</v>
      </c>
      <c r="K12" s="17">
        <f t="shared" si="2"/>
        <v>0</v>
      </c>
      <c r="L12" s="17"/>
      <c r="M12" s="17">
        <f t="shared" si="3"/>
        <v>99337.47440000005</v>
      </c>
      <c r="N12" s="44"/>
    </row>
    <row r="13" spans="1:14">
      <c r="A13" s="26">
        <v>10</v>
      </c>
      <c r="B13" s="27">
        <v>46122</v>
      </c>
      <c r="C13" s="17"/>
      <c r="D13" s="17"/>
      <c r="E13" s="86"/>
      <c r="F13" s="86"/>
      <c r="G13" s="17">
        <f t="shared" si="0"/>
        <v>0</v>
      </c>
      <c r="H13" s="86">
        <v>0</v>
      </c>
      <c r="I13" s="86">
        <v>0</v>
      </c>
      <c r="J13" s="17">
        <f t="shared" si="1"/>
        <v>0</v>
      </c>
      <c r="K13" s="17">
        <f t="shared" si="2"/>
        <v>0</v>
      </c>
      <c r="L13" s="17"/>
      <c r="M13" s="17">
        <f t="shared" si="3"/>
        <v>99337.47440000005</v>
      </c>
      <c r="N13" s="44"/>
    </row>
    <row r="14" spans="1:14">
      <c r="A14" s="26">
        <v>11</v>
      </c>
      <c r="B14" s="27">
        <v>46123</v>
      </c>
      <c r="C14" s="17"/>
      <c r="D14" s="17"/>
      <c r="E14" s="86">
        <v>400</v>
      </c>
      <c r="F14" s="86">
        <v>92.07</v>
      </c>
      <c r="G14" s="17">
        <f t="shared" ref="G14" si="4">E14*F14</f>
        <v>36828</v>
      </c>
      <c r="H14" s="86">
        <v>35</v>
      </c>
      <c r="I14" s="86">
        <v>103.82</v>
      </c>
      <c r="J14" s="17">
        <f t="shared" si="1"/>
        <v>3633.7</v>
      </c>
      <c r="K14" s="17">
        <f t="shared" si="2"/>
        <v>40461.699999999997</v>
      </c>
      <c r="L14" s="17"/>
      <c r="M14" s="17">
        <f t="shared" si="3"/>
        <v>139799.17440000005</v>
      </c>
      <c r="N14" s="44"/>
    </row>
    <row r="15" spans="1:14">
      <c r="A15" s="26">
        <v>12</v>
      </c>
      <c r="B15" s="27">
        <v>46124</v>
      </c>
      <c r="C15" s="17"/>
      <c r="D15" s="17"/>
      <c r="E15" s="86"/>
      <c r="F15" s="86"/>
      <c r="G15" s="17">
        <f t="shared" si="0"/>
        <v>0</v>
      </c>
      <c r="H15" s="86">
        <v>0</v>
      </c>
      <c r="I15" s="86">
        <v>0</v>
      </c>
      <c r="J15" s="17">
        <f t="shared" si="1"/>
        <v>0</v>
      </c>
      <c r="K15" s="17">
        <f t="shared" si="2"/>
        <v>0</v>
      </c>
      <c r="L15" s="17"/>
      <c r="M15" s="17">
        <f t="shared" si="3"/>
        <v>139799.17440000005</v>
      </c>
      <c r="N15" s="44"/>
    </row>
    <row r="16" spans="1:14">
      <c r="A16" s="26">
        <v>13</v>
      </c>
      <c r="B16" s="27">
        <v>46125</v>
      </c>
      <c r="C16" s="17"/>
      <c r="D16" s="17"/>
      <c r="E16" s="86"/>
      <c r="F16" s="86"/>
      <c r="G16" s="17">
        <f t="shared" si="0"/>
        <v>0</v>
      </c>
      <c r="H16" s="86">
        <v>0</v>
      </c>
      <c r="I16" s="86">
        <v>0</v>
      </c>
      <c r="J16" s="17">
        <f t="shared" si="1"/>
        <v>0</v>
      </c>
      <c r="K16" s="17">
        <f t="shared" si="2"/>
        <v>0</v>
      </c>
      <c r="L16" s="17"/>
      <c r="M16" s="17">
        <f t="shared" si="3"/>
        <v>139799.17440000005</v>
      </c>
      <c r="N16" s="44"/>
    </row>
    <row r="17" spans="1:14">
      <c r="A17" s="26">
        <v>14</v>
      </c>
      <c r="B17" s="27">
        <v>46126</v>
      </c>
      <c r="C17" s="17"/>
      <c r="D17" s="17"/>
      <c r="E17" s="86">
        <v>600</v>
      </c>
      <c r="F17" s="86">
        <v>92.07</v>
      </c>
      <c r="G17" s="17">
        <f t="shared" si="0"/>
        <v>55241.999999999993</v>
      </c>
      <c r="H17" s="86">
        <v>0</v>
      </c>
      <c r="I17" s="86">
        <v>0</v>
      </c>
      <c r="J17" s="17">
        <f t="shared" si="1"/>
        <v>0</v>
      </c>
      <c r="K17" s="17">
        <f t="shared" si="2"/>
        <v>55241.999999999993</v>
      </c>
      <c r="L17" s="17"/>
      <c r="M17" s="17">
        <f t="shared" si="3"/>
        <v>195041.17440000005</v>
      </c>
      <c r="N17" s="44"/>
    </row>
    <row r="18" spans="1:14">
      <c r="A18" s="26">
        <v>15</v>
      </c>
      <c r="B18" s="27">
        <v>46127</v>
      </c>
      <c r="C18" s="17"/>
      <c r="D18" s="17"/>
      <c r="E18" s="86"/>
      <c r="F18" s="86"/>
      <c r="G18" s="17">
        <f t="shared" si="0"/>
        <v>0</v>
      </c>
      <c r="H18" s="86">
        <v>0</v>
      </c>
      <c r="I18" s="86">
        <v>0</v>
      </c>
      <c r="J18" s="17">
        <f t="shared" si="1"/>
        <v>0</v>
      </c>
      <c r="K18" s="17">
        <f t="shared" si="2"/>
        <v>0</v>
      </c>
      <c r="L18" s="17"/>
      <c r="M18" s="17">
        <f t="shared" si="3"/>
        <v>195041.17440000005</v>
      </c>
      <c r="N18" s="44"/>
    </row>
    <row r="19" spans="1:14">
      <c r="A19" s="26">
        <v>16</v>
      </c>
      <c r="B19" s="27">
        <v>46128</v>
      </c>
      <c r="C19" s="17"/>
      <c r="D19" s="17"/>
      <c r="E19" s="86"/>
      <c r="F19" s="86"/>
      <c r="G19" s="17">
        <f t="shared" si="0"/>
        <v>0</v>
      </c>
      <c r="H19" s="86">
        <v>0</v>
      </c>
      <c r="I19" s="86">
        <v>0</v>
      </c>
      <c r="J19" s="17">
        <f t="shared" si="1"/>
        <v>0</v>
      </c>
      <c r="K19" s="17">
        <f t="shared" si="2"/>
        <v>0</v>
      </c>
      <c r="L19" s="17"/>
      <c r="M19" s="17">
        <f t="shared" si="3"/>
        <v>195041.17440000005</v>
      </c>
      <c r="N19" s="44"/>
    </row>
    <row r="20" spans="1:14">
      <c r="A20" s="26">
        <v>17</v>
      </c>
      <c r="B20" s="27">
        <v>46129</v>
      </c>
      <c r="C20" s="17"/>
      <c r="D20" s="17"/>
      <c r="E20" s="86"/>
      <c r="F20" s="86"/>
      <c r="G20" s="17">
        <f t="shared" si="0"/>
        <v>0</v>
      </c>
      <c r="H20" s="86">
        <v>0</v>
      </c>
      <c r="I20" s="86">
        <v>0</v>
      </c>
      <c r="J20" s="17">
        <f t="shared" si="1"/>
        <v>0</v>
      </c>
      <c r="K20" s="17">
        <f t="shared" si="2"/>
        <v>0</v>
      </c>
      <c r="L20" s="17"/>
      <c r="M20" s="17">
        <f t="shared" si="3"/>
        <v>195041.17440000005</v>
      </c>
      <c r="N20" s="44"/>
    </row>
    <row r="21" spans="1:14">
      <c r="A21" s="26">
        <v>18</v>
      </c>
      <c r="B21" s="27">
        <v>46130</v>
      </c>
      <c r="C21" s="17"/>
      <c r="D21" s="17"/>
      <c r="E21" s="86">
        <v>600</v>
      </c>
      <c r="F21" s="86">
        <v>92.066999999999993</v>
      </c>
      <c r="G21" s="17">
        <f t="shared" si="0"/>
        <v>55240.2</v>
      </c>
      <c r="H21" s="86">
        <v>30</v>
      </c>
      <c r="I21" s="86">
        <v>103.82</v>
      </c>
      <c r="J21" s="17">
        <f t="shared" si="1"/>
        <v>3114.6</v>
      </c>
      <c r="K21" s="17">
        <f t="shared" si="2"/>
        <v>58354.799999999996</v>
      </c>
      <c r="L21" s="17"/>
      <c r="M21" s="17">
        <f t="shared" si="3"/>
        <v>253395.97440000004</v>
      </c>
      <c r="N21" s="44"/>
    </row>
    <row r="22" spans="1:14">
      <c r="A22" s="26">
        <v>19</v>
      </c>
      <c r="B22" s="27">
        <v>46131</v>
      </c>
      <c r="C22" s="17"/>
      <c r="D22" s="17"/>
      <c r="E22" s="86"/>
      <c r="F22" s="86"/>
      <c r="G22" s="17">
        <f t="shared" si="0"/>
        <v>0</v>
      </c>
      <c r="H22" s="86">
        <v>0</v>
      </c>
      <c r="I22" s="86">
        <v>0</v>
      </c>
      <c r="J22" s="17">
        <f t="shared" si="1"/>
        <v>0</v>
      </c>
      <c r="K22" s="17">
        <f t="shared" si="2"/>
        <v>0</v>
      </c>
      <c r="L22" s="17">
        <v>195000</v>
      </c>
      <c r="M22" s="17">
        <f t="shared" si="3"/>
        <v>58395.974400000036</v>
      </c>
      <c r="N22" s="44"/>
    </row>
    <row r="23" spans="1:14">
      <c r="A23" s="26">
        <v>20</v>
      </c>
      <c r="B23" s="27">
        <v>46132</v>
      </c>
      <c r="C23" s="17"/>
      <c r="D23" s="17"/>
      <c r="E23" s="86"/>
      <c r="F23" s="86"/>
      <c r="G23" s="17">
        <f t="shared" si="0"/>
        <v>0</v>
      </c>
      <c r="H23" s="86">
        <v>0</v>
      </c>
      <c r="I23" s="86">
        <v>0</v>
      </c>
      <c r="J23" s="17">
        <f t="shared" si="1"/>
        <v>0</v>
      </c>
      <c r="K23" s="17">
        <f t="shared" si="2"/>
        <v>0</v>
      </c>
      <c r="L23" s="17"/>
      <c r="M23" s="17">
        <f t="shared" si="3"/>
        <v>58395.974400000036</v>
      </c>
      <c r="N23" s="44"/>
    </row>
    <row r="24" spans="1:14">
      <c r="A24" s="26">
        <v>21</v>
      </c>
      <c r="B24" s="27">
        <v>46133</v>
      </c>
      <c r="C24" s="17"/>
      <c r="D24" s="17"/>
      <c r="E24" s="86"/>
      <c r="F24" s="86"/>
      <c r="G24" s="17">
        <f t="shared" si="0"/>
        <v>0</v>
      </c>
      <c r="H24" s="86">
        <v>0</v>
      </c>
      <c r="I24" s="86">
        <v>0</v>
      </c>
      <c r="J24" s="17">
        <f t="shared" si="1"/>
        <v>0</v>
      </c>
      <c r="K24" s="17">
        <f t="shared" si="2"/>
        <v>0</v>
      </c>
      <c r="L24" s="17"/>
      <c r="M24" s="17">
        <f t="shared" si="3"/>
        <v>58395.974400000036</v>
      </c>
      <c r="N24" s="44"/>
    </row>
    <row r="25" spans="1:14">
      <c r="A25" s="26">
        <v>22</v>
      </c>
      <c r="B25" s="27">
        <v>46134</v>
      </c>
      <c r="C25" s="17"/>
      <c r="D25" s="17"/>
      <c r="E25" s="86">
        <v>800</v>
      </c>
      <c r="F25" s="86">
        <v>92.07</v>
      </c>
      <c r="G25" s="17">
        <f t="shared" si="0"/>
        <v>73656</v>
      </c>
      <c r="H25" s="86">
        <v>35</v>
      </c>
      <c r="I25" s="86">
        <v>103.82</v>
      </c>
      <c r="J25" s="17">
        <f t="shared" si="1"/>
        <v>3633.7</v>
      </c>
      <c r="K25" s="17">
        <f t="shared" si="2"/>
        <v>77289.7</v>
      </c>
      <c r="L25" s="17"/>
      <c r="M25" s="17">
        <f t="shared" si="3"/>
        <v>135685.67440000002</v>
      </c>
      <c r="N25" s="44"/>
    </row>
    <row r="26" spans="1:14">
      <c r="A26" s="26">
        <v>23</v>
      </c>
      <c r="B26" s="27">
        <v>46135</v>
      </c>
      <c r="C26" s="17"/>
      <c r="D26" s="17"/>
      <c r="E26" s="86"/>
      <c r="F26" s="86"/>
      <c r="G26" s="17">
        <f t="shared" si="0"/>
        <v>0</v>
      </c>
      <c r="H26" s="86">
        <v>0</v>
      </c>
      <c r="I26" s="86">
        <v>0</v>
      </c>
      <c r="J26" s="17">
        <f t="shared" si="1"/>
        <v>0</v>
      </c>
      <c r="K26" s="17">
        <f t="shared" si="2"/>
        <v>0</v>
      </c>
      <c r="L26" s="17"/>
      <c r="M26" s="17">
        <f t="shared" si="3"/>
        <v>135685.67440000002</v>
      </c>
      <c r="N26" s="44"/>
    </row>
    <row r="27" spans="1:14">
      <c r="A27" s="26">
        <v>24</v>
      </c>
      <c r="B27" s="27">
        <v>46136</v>
      </c>
      <c r="C27" s="17"/>
      <c r="D27" s="17"/>
      <c r="E27" s="86"/>
      <c r="F27" s="86"/>
      <c r="G27" s="17">
        <f t="shared" si="0"/>
        <v>0</v>
      </c>
      <c r="H27" s="86">
        <v>0</v>
      </c>
      <c r="I27" s="86">
        <v>0</v>
      </c>
      <c r="J27" s="17">
        <f t="shared" si="1"/>
        <v>0</v>
      </c>
      <c r="K27" s="17">
        <f t="shared" si="2"/>
        <v>0</v>
      </c>
      <c r="L27" s="17"/>
      <c r="M27" s="17">
        <f t="shared" si="3"/>
        <v>135685.67440000002</v>
      </c>
      <c r="N27" s="44"/>
    </row>
    <row r="28" spans="1:14">
      <c r="A28" s="26">
        <v>25</v>
      </c>
      <c r="B28" s="27">
        <v>46137</v>
      </c>
      <c r="C28" s="17"/>
      <c r="D28" s="17"/>
      <c r="E28" s="86"/>
      <c r="F28" s="86"/>
      <c r="G28" s="17">
        <f t="shared" si="0"/>
        <v>0</v>
      </c>
      <c r="H28" s="86">
        <v>0</v>
      </c>
      <c r="I28" s="86">
        <v>0</v>
      </c>
      <c r="J28" s="17">
        <f t="shared" si="1"/>
        <v>0</v>
      </c>
      <c r="K28" s="17">
        <f t="shared" si="2"/>
        <v>0</v>
      </c>
      <c r="L28" s="17"/>
      <c r="M28" s="17">
        <f t="shared" si="3"/>
        <v>135685.67440000002</v>
      </c>
      <c r="N28" s="44"/>
    </row>
    <row r="29" spans="1:14">
      <c r="A29" s="26">
        <v>26</v>
      </c>
      <c r="B29" s="27">
        <v>46138</v>
      </c>
      <c r="C29" s="17"/>
      <c r="D29" s="17"/>
      <c r="E29" s="86"/>
      <c r="F29" s="86"/>
      <c r="G29" s="17">
        <f t="shared" si="0"/>
        <v>0</v>
      </c>
      <c r="H29" s="86">
        <v>0</v>
      </c>
      <c r="I29" s="86">
        <v>0</v>
      </c>
      <c r="J29" s="17">
        <f t="shared" si="1"/>
        <v>0</v>
      </c>
      <c r="K29" s="17">
        <f t="shared" si="2"/>
        <v>0</v>
      </c>
      <c r="L29" s="17"/>
      <c r="M29" s="17">
        <f t="shared" si="3"/>
        <v>135685.67440000002</v>
      </c>
      <c r="N29" s="44"/>
    </row>
    <row r="30" spans="1:14">
      <c r="A30" s="26">
        <v>27</v>
      </c>
      <c r="B30" s="27">
        <v>46139</v>
      </c>
      <c r="C30" s="17"/>
      <c r="D30" s="17"/>
      <c r="E30" s="86">
        <v>600</v>
      </c>
      <c r="F30" s="86">
        <v>92.07</v>
      </c>
      <c r="G30" s="17">
        <f t="shared" si="0"/>
        <v>55241.999999999993</v>
      </c>
      <c r="H30" s="86">
        <v>0</v>
      </c>
      <c r="I30" s="86">
        <v>0</v>
      </c>
      <c r="J30" s="17">
        <f t="shared" si="1"/>
        <v>0</v>
      </c>
      <c r="K30" s="17">
        <f t="shared" si="2"/>
        <v>55241.999999999993</v>
      </c>
      <c r="L30" s="17"/>
      <c r="M30" s="17">
        <f t="shared" si="3"/>
        <v>190927.67440000002</v>
      </c>
      <c r="N30" s="44"/>
    </row>
    <row r="31" spans="1:14">
      <c r="A31" s="26">
        <v>28</v>
      </c>
      <c r="B31" s="27">
        <v>46140</v>
      </c>
      <c r="C31" s="17"/>
      <c r="D31" s="17"/>
      <c r="E31" s="86"/>
      <c r="F31" s="86"/>
      <c r="G31" s="17">
        <f t="shared" si="0"/>
        <v>0</v>
      </c>
      <c r="H31" s="86">
        <v>0</v>
      </c>
      <c r="I31" s="86">
        <v>0</v>
      </c>
      <c r="J31" s="17">
        <f t="shared" si="1"/>
        <v>0</v>
      </c>
      <c r="K31" s="17">
        <f t="shared" si="2"/>
        <v>0</v>
      </c>
      <c r="L31" s="17"/>
      <c r="M31" s="17">
        <f t="shared" si="3"/>
        <v>190927.67440000002</v>
      </c>
      <c r="N31" s="44"/>
    </row>
    <row r="32" spans="1:14">
      <c r="A32" s="26">
        <v>29</v>
      </c>
      <c r="B32" s="27">
        <v>46141</v>
      </c>
      <c r="C32" s="17"/>
      <c r="D32" s="17"/>
      <c r="E32" s="86"/>
      <c r="F32" s="86"/>
      <c r="G32" s="17">
        <f t="shared" si="0"/>
        <v>0</v>
      </c>
      <c r="H32" s="86">
        <v>0</v>
      </c>
      <c r="I32" s="86">
        <v>0</v>
      </c>
      <c r="J32" s="17">
        <f t="shared" si="1"/>
        <v>0</v>
      </c>
      <c r="K32" s="17">
        <f t="shared" si="2"/>
        <v>0</v>
      </c>
      <c r="L32" s="17"/>
      <c r="M32" s="17">
        <f t="shared" si="3"/>
        <v>190927.67440000002</v>
      </c>
      <c r="N32" s="44"/>
    </row>
    <row r="33" spans="1:14">
      <c r="A33" s="26">
        <v>30</v>
      </c>
      <c r="B33" s="27">
        <v>46142</v>
      </c>
      <c r="C33" s="17"/>
      <c r="D33" s="17"/>
      <c r="E33" s="86">
        <v>600</v>
      </c>
      <c r="F33" s="86">
        <v>92.07</v>
      </c>
      <c r="G33" s="17">
        <f t="shared" si="0"/>
        <v>55241.999999999993</v>
      </c>
      <c r="H33" s="86">
        <v>35</v>
      </c>
      <c r="I33" s="86">
        <v>103.82</v>
      </c>
      <c r="J33" s="17">
        <f t="shared" si="1"/>
        <v>3633.7</v>
      </c>
      <c r="K33" s="17">
        <f t="shared" si="2"/>
        <v>58875.69999999999</v>
      </c>
      <c r="L33" s="17"/>
      <c r="M33" s="17">
        <f t="shared" si="3"/>
        <v>249803.3744</v>
      </c>
      <c r="N33" s="44"/>
    </row>
    <row r="34" spans="1:14">
      <c r="A34" s="26">
        <v>31</v>
      </c>
      <c r="B34" s="27"/>
      <c r="C34" s="17"/>
      <c r="D34" s="17"/>
      <c r="E34" s="86"/>
      <c r="F34" s="86"/>
      <c r="G34" s="17">
        <f t="shared" si="0"/>
        <v>0</v>
      </c>
      <c r="H34" s="86">
        <v>0</v>
      </c>
      <c r="I34" s="86">
        <v>0</v>
      </c>
      <c r="J34" s="17">
        <f t="shared" si="1"/>
        <v>0</v>
      </c>
      <c r="K34" s="17">
        <f t="shared" si="2"/>
        <v>0</v>
      </c>
      <c r="L34" s="17"/>
      <c r="M34" s="17"/>
      <c r="N34" s="44"/>
    </row>
    <row r="35" spans="1:14">
      <c r="A35" s="42"/>
      <c r="B35" s="42"/>
      <c r="C35" s="42"/>
      <c r="D35" s="42"/>
      <c r="E35" s="42">
        <f>SUM(E4:E34)</f>
        <v>4600</v>
      </c>
      <c r="F35" s="42"/>
      <c r="G35" s="42">
        <f>SUM(G4:G34)</f>
        <v>423520.2</v>
      </c>
      <c r="H35" s="42">
        <f>SUM(H4:H34)</f>
        <v>205</v>
      </c>
      <c r="I35" s="42"/>
      <c r="J35" s="42">
        <f>SUM(J4:J34)</f>
        <v>21283.1</v>
      </c>
      <c r="K35" s="42">
        <f>SUM(K4:K34)</f>
        <v>444803.3</v>
      </c>
      <c r="L35" s="42">
        <f>SUM(L4:L34)</f>
        <v>410562</v>
      </c>
      <c r="M35" s="42"/>
      <c r="N35" s="42"/>
    </row>
  </sheetData>
  <mergeCells count="2">
    <mergeCell ref="A1:N1"/>
    <mergeCell ref="A3:J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6C1B-2052-4EFC-AB89-74369C91C58E}">
  <dimension ref="A1:T35"/>
  <sheetViews>
    <sheetView topLeftCell="A15" workbookViewId="0">
      <selection activeCell="P26" sqref="P26"/>
    </sheetView>
  </sheetViews>
  <sheetFormatPr defaultRowHeight="15"/>
  <cols>
    <col min="2" max="2" width="10.140625" bestFit="1" customWidth="1"/>
    <col min="3" max="3" width="15.42578125" customWidth="1"/>
    <col min="4" max="4" width="19.140625" customWidth="1"/>
  </cols>
  <sheetData>
    <row r="1" spans="1:14" ht="15.75">
      <c r="A1" s="495" t="s">
        <v>244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</row>
    <row r="2" spans="1:14" ht="27">
      <c r="A2" s="103" t="s">
        <v>0</v>
      </c>
      <c r="B2" s="106" t="s">
        <v>164</v>
      </c>
      <c r="C2" s="106" t="s">
        <v>165</v>
      </c>
      <c r="D2" s="106" t="s">
        <v>166</v>
      </c>
      <c r="E2" s="106" t="s">
        <v>167</v>
      </c>
      <c r="F2" s="106" t="s">
        <v>168</v>
      </c>
      <c r="G2" s="106" t="s">
        <v>169</v>
      </c>
      <c r="H2" s="106" t="s">
        <v>170</v>
      </c>
      <c r="I2" s="106" t="s">
        <v>168</v>
      </c>
      <c r="J2" s="106" t="s">
        <v>169</v>
      </c>
      <c r="K2" s="106" t="s">
        <v>171</v>
      </c>
      <c r="L2" s="106" t="s">
        <v>172</v>
      </c>
      <c r="M2" s="106" t="s">
        <v>209</v>
      </c>
      <c r="N2" s="106" t="s">
        <v>174</v>
      </c>
    </row>
    <row r="3" spans="1:14">
      <c r="A3" s="498" t="s">
        <v>175</v>
      </c>
      <c r="B3" s="498"/>
      <c r="C3" s="498"/>
      <c r="D3" s="498"/>
      <c r="E3" s="498"/>
      <c r="F3" s="498"/>
      <c r="G3" s="498"/>
      <c r="H3" s="498"/>
      <c r="I3" s="498"/>
      <c r="J3" s="498"/>
      <c r="K3" s="95">
        <v>0</v>
      </c>
      <c r="L3" s="95">
        <v>0</v>
      </c>
      <c r="M3" s="95">
        <v>0</v>
      </c>
      <c r="N3" s="17"/>
    </row>
    <row r="4" spans="1:14">
      <c r="A4" s="26">
        <v>1</v>
      </c>
      <c r="B4" s="27">
        <v>46113</v>
      </c>
      <c r="C4" s="17"/>
      <c r="D4" s="17"/>
      <c r="E4" s="86">
        <v>30</v>
      </c>
      <c r="F4" s="86">
        <v>92.07</v>
      </c>
      <c r="G4" s="17">
        <f>E4*F4</f>
        <v>2762.1</v>
      </c>
      <c r="H4" s="86"/>
      <c r="I4" s="86"/>
      <c r="J4" s="17">
        <f>H4*I4</f>
        <v>0</v>
      </c>
      <c r="K4" s="17">
        <f>G4+J4</f>
        <v>2762.1</v>
      </c>
      <c r="L4" s="17">
        <f>K4</f>
        <v>2762.1</v>
      </c>
      <c r="M4" s="17">
        <f>M3+K4-L4</f>
        <v>0</v>
      </c>
      <c r="N4" s="44"/>
    </row>
    <row r="5" spans="1:14">
      <c r="A5" s="26">
        <v>2</v>
      </c>
      <c r="B5" s="27">
        <v>46114</v>
      </c>
      <c r="C5" s="17"/>
      <c r="D5" s="17"/>
      <c r="E5" s="86"/>
      <c r="F5" s="86"/>
      <c r="G5" s="17">
        <f t="shared" ref="G5:G33" si="0">E5*F5</f>
        <v>0</v>
      </c>
      <c r="H5" s="86"/>
      <c r="I5" s="86"/>
      <c r="J5" s="17">
        <f t="shared" ref="J5:J33" si="1">H5*I5</f>
        <v>0</v>
      </c>
      <c r="K5" s="17">
        <f>G5+J5</f>
        <v>0</v>
      </c>
      <c r="L5" s="17">
        <f t="shared" ref="L5:L34" si="2">K5</f>
        <v>0</v>
      </c>
      <c r="M5" s="17">
        <f t="shared" ref="M5:M27" si="3">M4+K5-L5</f>
        <v>0</v>
      </c>
      <c r="N5" s="44"/>
    </row>
    <row r="6" spans="1:14">
      <c r="A6" s="26">
        <v>3</v>
      </c>
      <c r="B6" s="27">
        <v>46115</v>
      </c>
      <c r="C6" s="17"/>
      <c r="D6" s="17"/>
      <c r="E6" s="86"/>
      <c r="F6" s="86"/>
      <c r="G6" s="17">
        <f t="shared" si="0"/>
        <v>0</v>
      </c>
      <c r="H6" s="86">
        <v>10</v>
      </c>
      <c r="I6" s="86">
        <v>103.82</v>
      </c>
      <c r="J6" s="17">
        <f t="shared" si="1"/>
        <v>1038.1999999999998</v>
      </c>
      <c r="K6" s="17">
        <f t="shared" ref="K6:K34" si="4">G6+J6</f>
        <v>1038.1999999999998</v>
      </c>
      <c r="L6" s="17">
        <f t="shared" si="2"/>
        <v>1038.1999999999998</v>
      </c>
      <c r="M6" s="17">
        <f t="shared" si="3"/>
        <v>0</v>
      </c>
      <c r="N6" s="44"/>
    </row>
    <row r="7" spans="1:14">
      <c r="A7" s="26">
        <v>4</v>
      </c>
      <c r="B7" s="27">
        <v>46116</v>
      </c>
      <c r="C7" s="17"/>
      <c r="D7" s="17"/>
      <c r="E7" s="86"/>
      <c r="F7" s="86"/>
      <c r="G7" s="17">
        <f t="shared" si="0"/>
        <v>0</v>
      </c>
      <c r="H7" s="86"/>
      <c r="I7" s="86"/>
      <c r="J7" s="17">
        <f t="shared" si="1"/>
        <v>0</v>
      </c>
      <c r="K7" s="17">
        <f t="shared" si="4"/>
        <v>0</v>
      </c>
      <c r="L7" s="17">
        <f t="shared" si="2"/>
        <v>0</v>
      </c>
      <c r="M7" s="17">
        <f t="shared" si="3"/>
        <v>0</v>
      </c>
      <c r="N7" s="44"/>
    </row>
    <row r="8" spans="1:14">
      <c r="A8" s="26">
        <v>5</v>
      </c>
      <c r="B8" s="27">
        <v>46117</v>
      </c>
      <c r="C8" s="17"/>
      <c r="D8" s="17"/>
      <c r="E8" s="86"/>
      <c r="F8" s="86"/>
      <c r="G8" s="17">
        <f t="shared" si="0"/>
        <v>0</v>
      </c>
      <c r="H8" s="86"/>
      <c r="I8" s="86"/>
      <c r="J8" s="17">
        <f t="shared" si="1"/>
        <v>0</v>
      </c>
      <c r="K8" s="17">
        <f t="shared" si="4"/>
        <v>0</v>
      </c>
      <c r="L8" s="17">
        <f t="shared" si="2"/>
        <v>0</v>
      </c>
      <c r="M8" s="17">
        <f t="shared" si="3"/>
        <v>0</v>
      </c>
      <c r="N8" s="44"/>
    </row>
    <row r="9" spans="1:14">
      <c r="A9" s="26">
        <v>6</v>
      </c>
      <c r="B9" s="27">
        <v>46118</v>
      </c>
      <c r="C9" s="17"/>
      <c r="D9" s="17"/>
      <c r="E9" s="86"/>
      <c r="F9" s="86"/>
      <c r="G9" s="17">
        <f t="shared" si="0"/>
        <v>0</v>
      </c>
      <c r="H9" s="86"/>
      <c r="I9" s="86"/>
      <c r="J9" s="17">
        <f t="shared" si="1"/>
        <v>0</v>
      </c>
      <c r="K9" s="17">
        <f t="shared" si="4"/>
        <v>0</v>
      </c>
      <c r="L9" s="17">
        <f t="shared" si="2"/>
        <v>0</v>
      </c>
      <c r="M9" s="17">
        <f t="shared" si="3"/>
        <v>0</v>
      </c>
      <c r="N9" s="44"/>
    </row>
    <row r="10" spans="1:14">
      <c r="A10" s="26">
        <v>7</v>
      </c>
      <c r="B10" s="27">
        <v>46119</v>
      </c>
      <c r="C10" s="17"/>
      <c r="D10" s="17"/>
      <c r="E10" s="86"/>
      <c r="F10" s="86"/>
      <c r="G10" s="17">
        <f t="shared" si="0"/>
        <v>0</v>
      </c>
      <c r="H10" s="86"/>
      <c r="I10" s="86"/>
      <c r="J10" s="17">
        <f t="shared" si="1"/>
        <v>0</v>
      </c>
      <c r="K10" s="17">
        <f t="shared" si="4"/>
        <v>0</v>
      </c>
      <c r="L10" s="17">
        <f t="shared" si="2"/>
        <v>0</v>
      </c>
      <c r="M10" s="17">
        <f t="shared" si="3"/>
        <v>0</v>
      </c>
      <c r="N10" s="44"/>
    </row>
    <row r="11" spans="1:14">
      <c r="A11" s="26">
        <v>8</v>
      </c>
      <c r="B11" s="27">
        <v>46120</v>
      </c>
      <c r="C11" s="17"/>
      <c r="D11" s="17"/>
      <c r="E11" s="86"/>
      <c r="F11" s="86"/>
      <c r="G11" s="17">
        <f t="shared" si="0"/>
        <v>0</v>
      </c>
      <c r="H11" s="86"/>
      <c r="I11" s="86"/>
      <c r="J11" s="17">
        <f t="shared" si="1"/>
        <v>0</v>
      </c>
      <c r="K11" s="17">
        <f t="shared" si="4"/>
        <v>0</v>
      </c>
      <c r="L11" s="17">
        <f t="shared" si="2"/>
        <v>0</v>
      </c>
      <c r="M11" s="17">
        <f t="shared" si="3"/>
        <v>0</v>
      </c>
      <c r="N11" s="44"/>
    </row>
    <row r="12" spans="1:14">
      <c r="A12" s="26">
        <v>9</v>
      </c>
      <c r="B12" s="27">
        <v>46121</v>
      </c>
      <c r="C12" s="17"/>
      <c r="D12" s="17"/>
      <c r="E12" s="86"/>
      <c r="F12" s="86"/>
      <c r="G12" s="17">
        <f t="shared" si="0"/>
        <v>0</v>
      </c>
      <c r="H12" s="86">
        <v>6</v>
      </c>
      <c r="I12" s="420">
        <v>103.82</v>
      </c>
      <c r="J12" s="17">
        <f t="shared" si="1"/>
        <v>622.91999999999996</v>
      </c>
      <c r="K12" s="17">
        <f t="shared" si="4"/>
        <v>622.91999999999996</v>
      </c>
      <c r="L12" s="17">
        <f t="shared" si="2"/>
        <v>622.91999999999996</v>
      </c>
      <c r="M12" s="17">
        <f t="shared" si="3"/>
        <v>0</v>
      </c>
      <c r="N12" s="44"/>
    </row>
    <row r="13" spans="1:14">
      <c r="A13" s="26">
        <v>10</v>
      </c>
      <c r="B13" s="27">
        <v>46122</v>
      </c>
      <c r="C13" s="17"/>
      <c r="D13" s="17"/>
      <c r="E13" s="86"/>
      <c r="F13" s="86"/>
      <c r="G13" s="17">
        <f t="shared" si="0"/>
        <v>0</v>
      </c>
      <c r="H13" s="86"/>
      <c r="I13" s="86"/>
      <c r="J13" s="17">
        <f t="shared" si="1"/>
        <v>0</v>
      </c>
      <c r="K13" s="17">
        <f t="shared" si="4"/>
        <v>0</v>
      </c>
      <c r="L13" s="17">
        <f t="shared" si="2"/>
        <v>0</v>
      </c>
      <c r="M13" s="17">
        <f t="shared" si="3"/>
        <v>0</v>
      </c>
      <c r="N13" s="44"/>
    </row>
    <row r="14" spans="1:14">
      <c r="A14" s="26">
        <v>11</v>
      </c>
      <c r="B14" s="27">
        <v>46123</v>
      </c>
      <c r="C14" s="17"/>
      <c r="D14" s="17"/>
      <c r="E14" s="86">
        <v>35</v>
      </c>
      <c r="F14" s="86">
        <v>92.06</v>
      </c>
      <c r="G14" s="17">
        <f t="shared" si="0"/>
        <v>3222.1</v>
      </c>
      <c r="H14" s="86"/>
      <c r="I14" s="86"/>
      <c r="J14" s="17">
        <f t="shared" si="1"/>
        <v>0</v>
      </c>
      <c r="K14" s="17">
        <f t="shared" si="4"/>
        <v>3222.1</v>
      </c>
      <c r="L14" s="17">
        <f t="shared" si="2"/>
        <v>3222.1</v>
      </c>
      <c r="M14" s="17">
        <f t="shared" si="3"/>
        <v>0</v>
      </c>
      <c r="N14" s="44"/>
    </row>
    <row r="15" spans="1:14">
      <c r="A15" s="26">
        <v>12</v>
      </c>
      <c r="B15" s="27">
        <v>46124</v>
      </c>
      <c r="C15" s="17"/>
      <c r="D15" s="17"/>
      <c r="E15" s="86">
        <v>60</v>
      </c>
      <c r="F15" s="86">
        <v>92.07</v>
      </c>
      <c r="G15" s="17">
        <f t="shared" si="0"/>
        <v>5524.2</v>
      </c>
      <c r="H15" s="86"/>
      <c r="I15" s="86"/>
      <c r="J15" s="17">
        <f t="shared" si="1"/>
        <v>0</v>
      </c>
      <c r="K15" s="17">
        <f t="shared" si="4"/>
        <v>5524.2</v>
      </c>
      <c r="L15" s="17">
        <f t="shared" si="2"/>
        <v>5524.2</v>
      </c>
      <c r="M15" s="17">
        <f t="shared" si="3"/>
        <v>0</v>
      </c>
      <c r="N15" s="44"/>
    </row>
    <row r="16" spans="1:14">
      <c r="A16" s="26">
        <v>13</v>
      </c>
      <c r="B16" s="27">
        <v>46125</v>
      </c>
      <c r="C16" s="17"/>
      <c r="D16" s="17"/>
      <c r="E16" s="86"/>
      <c r="F16" s="86"/>
      <c r="G16" s="17">
        <f t="shared" si="0"/>
        <v>0</v>
      </c>
      <c r="H16" s="86"/>
      <c r="I16" s="86"/>
      <c r="J16" s="17">
        <f t="shared" si="1"/>
        <v>0</v>
      </c>
      <c r="K16" s="17">
        <f t="shared" si="4"/>
        <v>0</v>
      </c>
      <c r="L16" s="17">
        <f t="shared" si="2"/>
        <v>0</v>
      </c>
      <c r="M16" s="17">
        <f t="shared" si="3"/>
        <v>0</v>
      </c>
      <c r="N16" s="44"/>
    </row>
    <row r="17" spans="1:20">
      <c r="A17" s="26">
        <v>14</v>
      </c>
      <c r="B17" s="27">
        <v>46126</v>
      </c>
      <c r="C17" s="17"/>
      <c r="D17" s="17"/>
      <c r="E17" s="86"/>
      <c r="F17" s="86"/>
      <c r="G17" s="17">
        <f t="shared" si="0"/>
        <v>0</v>
      </c>
      <c r="H17" s="86">
        <v>6</v>
      </c>
      <c r="I17" s="86">
        <v>103.82</v>
      </c>
      <c r="J17" s="17">
        <f t="shared" si="1"/>
        <v>622.91999999999996</v>
      </c>
      <c r="K17" s="17">
        <f t="shared" si="4"/>
        <v>622.91999999999996</v>
      </c>
      <c r="L17" s="17">
        <f t="shared" si="2"/>
        <v>622.91999999999996</v>
      </c>
      <c r="M17" s="17">
        <f t="shared" si="3"/>
        <v>0</v>
      </c>
      <c r="N17" s="44"/>
    </row>
    <row r="18" spans="1:20">
      <c r="A18" s="26">
        <v>15</v>
      </c>
      <c r="B18" s="27">
        <v>46127</v>
      </c>
      <c r="C18" s="17"/>
      <c r="D18" s="17"/>
      <c r="E18" s="86"/>
      <c r="F18" s="86"/>
      <c r="G18" s="17">
        <f t="shared" si="0"/>
        <v>0</v>
      </c>
      <c r="H18" s="86"/>
      <c r="I18" s="86"/>
      <c r="J18" s="17">
        <f t="shared" si="1"/>
        <v>0</v>
      </c>
      <c r="K18" s="17">
        <f t="shared" si="4"/>
        <v>0</v>
      </c>
      <c r="L18" s="17">
        <f t="shared" si="2"/>
        <v>0</v>
      </c>
      <c r="M18" s="17">
        <f t="shared" si="3"/>
        <v>0</v>
      </c>
      <c r="N18" s="44"/>
    </row>
    <row r="19" spans="1:20">
      <c r="A19" s="26">
        <v>16</v>
      </c>
      <c r="B19" s="27">
        <v>46128</v>
      </c>
      <c r="C19" s="17"/>
      <c r="D19" s="17"/>
      <c r="E19" s="86"/>
      <c r="F19" s="86"/>
      <c r="G19" s="17">
        <f t="shared" si="0"/>
        <v>0</v>
      </c>
      <c r="H19" s="86"/>
      <c r="I19" s="86"/>
      <c r="J19" s="17">
        <f t="shared" si="1"/>
        <v>0</v>
      </c>
      <c r="K19" s="17">
        <f t="shared" si="4"/>
        <v>0</v>
      </c>
      <c r="L19" s="17">
        <f t="shared" si="2"/>
        <v>0</v>
      </c>
      <c r="M19" s="17">
        <f t="shared" si="3"/>
        <v>0</v>
      </c>
      <c r="N19" s="44"/>
    </row>
    <row r="20" spans="1:20">
      <c r="A20" s="26">
        <v>17</v>
      </c>
      <c r="B20" s="27">
        <v>46129</v>
      </c>
      <c r="C20" s="17"/>
      <c r="D20" s="17"/>
      <c r="E20" s="86">
        <v>55.38</v>
      </c>
      <c r="F20" s="86">
        <v>92.07</v>
      </c>
      <c r="G20" s="17">
        <f t="shared" si="0"/>
        <v>5098.8365999999996</v>
      </c>
      <c r="H20" s="86">
        <v>6</v>
      </c>
      <c r="I20" s="86">
        <v>103.82</v>
      </c>
      <c r="J20" s="17">
        <f t="shared" si="1"/>
        <v>622.91999999999996</v>
      </c>
      <c r="K20" s="17">
        <f t="shared" si="4"/>
        <v>5721.7565999999997</v>
      </c>
      <c r="L20" s="17">
        <f t="shared" si="2"/>
        <v>5721.7565999999997</v>
      </c>
      <c r="M20" s="17">
        <f t="shared" si="3"/>
        <v>0</v>
      </c>
      <c r="N20" s="44"/>
      <c r="T20">
        <v>54.83</v>
      </c>
    </row>
    <row r="21" spans="1:20">
      <c r="A21" s="26">
        <v>18</v>
      </c>
      <c r="B21" s="27">
        <v>46130</v>
      </c>
      <c r="C21" s="17"/>
      <c r="D21" s="17"/>
      <c r="E21" s="86"/>
      <c r="F21" s="86"/>
      <c r="G21" s="17">
        <f t="shared" si="0"/>
        <v>0</v>
      </c>
      <c r="H21" s="86"/>
      <c r="I21" s="86"/>
      <c r="J21" s="17">
        <f t="shared" si="1"/>
        <v>0</v>
      </c>
      <c r="K21" s="17">
        <f t="shared" si="4"/>
        <v>0</v>
      </c>
      <c r="L21" s="17">
        <f t="shared" si="2"/>
        <v>0</v>
      </c>
      <c r="M21" s="17">
        <f t="shared" si="3"/>
        <v>0</v>
      </c>
      <c r="N21" s="44"/>
      <c r="T21">
        <v>0.55000000000000004</v>
      </c>
    </row>
    <row r="22" spans="1:20">
      <c r="A22" s="26">
        <v>19</v>
      </c>
      <c r="B22" s="27">
        <v>46131</v>
      </c>
      <c r="C22" s="17"/>
      <c r="D22" s="17"/>
      <c r="E22" s="86"/>
      <c r="F22" s="86"/>
      <c r="G22" s="17">
        <f t="shared" si="0"/>
        <v>0</v>
      </c>
      <c r="H22" s="86"/>
      <c r="I22" s="86"/>
      <c r="J22" s="17">
        <f t="shared" si="1"/>
        <v>0</v>
      </c>
      <c r="K22" s="17">
        <f t="shared" si="4"/>
        <v>0</v>
      </c>
      <c r="L22" s="17">
        <f t="shared" si="2"/>
        <v>0</v>
      </c>
      <c r="M22" s="17">
        <f t="shared" si="3"/>
        <v>0</v>
      </c>
      <c r="N22" s="44"/>
    </row>
    <row r="23" spans="1:20">
      <c r="A23" s="26">
        <v>20</v>
      </c>
      <c r="B23" s="27">
        <v>46132</v>
      </c>
      <c r="C23" s="17"/>
      <c r="D23" s="17"/>
      <c r="E23" s="86"/>
      <c r="F23" s="86"/>
      <c r="G23" s="17">
        <f t="shared" si="0"/>
        <v>0</v>
      </c>
      <c r="H23" s="86"/>
      <c r="I23" s="86"/>
      <c r="J23" s="17">
        <f t="shared" si="1"/>
        <v>0</v>
      </c>
      <c r="K23" s="17">
        <f t="shared" si="4"/>
        <v>0</v>
      </c>
      <c r="L23" s="17">
        <f t="shared" si="2"/>
        <v>0</v>
      </c>
      <c r="M23" s="17">
        <f t="shared" si="3"/>
        <v>0</v>
      </c>
      <c r="N23" s="44"/>
    </row>
    <row r="24" spans="1:20">
      <c r="A24" s="26">
        <v>21</v>
      </c>
      <c r="B24" s="27">
        <v>46133</v>
      </c>
      <c r="C24" s="17"/>
      <c r="D24" s="17"/>
      <c r="E24" s="86">
        <v>40</v>
      </c>
      <c r="F24" s="86">
        <v>92.07</v>
      </c>
      <c r="G24" s="17">
        <f t="shared" si="0"/>
        <v>3682.7999999999997</v>
      </c>
      <c r="H24" s="86">
        <v>5</v>
      </c>
      <c r="I24" s="86">
        <v>103.82</v>
      </c>
      <c r="J24" s="17">
        <f t="shared" si="1"/>
        <v>519.09999999999991</v>
      </c>
      <c r="K24" s="17">
        <f t="shared" si="4"/>
        <v>4201.8999999999996</v>
      </c>
      <c r="L24" s="17">
        <f t="shared" si="2"/>
        <v>4201.8999999999996</v>
      </c>
      <c r="M24" s="17">
        <f t="shared" si="3"/>
        <v>0</v>
      </c>
      <c r="N24" s="44"/>
    </row>
    <row r="25" spans="1:20">
      <c r="A25" s="26">
        <v>22</v>
      </c>
      <c r="B25" s="27">
        <v>46134</v>
      </c>
      <c r="C25" s="17"/>
      <c r="D25" s="17"/>
      <c r="E25" s="86"/>
      <c r="F25" s="86"/>
      <c r="G25" s="17">
        <f t="shared" si="0"/>
        <v>0</v>
      </c>
      <c r="H25" s="86"/>
      <c r="I25" s="86"/>
      <c r="J25" s="17">
        <f t="shared" si="1"/>
        <v>0</v>
      </c>
      <c r="K25" s="17">
        <f t="shared" si="4"/>
        <v>0</v>
      </c>
      <c r="L25" s="17">
        <f t="shared" si="2"/>
        <v>0</v>
      </c>
      <c r="M25" s="17">
        <f t="shared" si="3"/>
        <v>0</v>
      </c>
      <c r="N25" s="44"/>
    </row>
    <row r="26" spans="1:20">
      <c r="A26" s="26">
        <v>23</v>
      </c>
      <c r="B26" s="27">
        <v>46135</v>
      </c>
      <c r="C26" s="17"/>
      <c r="D26" s="17"/>
      <c r="E26" s="86"/>
      <c r="F26" s="86"/>
      <c r="G26" s="17">
        <f t="shared" si="0"/>
        <v>0</v>
      </c>
      <c r="H26" s="86"/>
      <c r="I26" s="86"/>
      <c r="J26" s="17">
        <f t="shared" si="1"/>
        <v>0</v>
      </c>
      <c r="K26" s="17">
        <f t="shared" si="4"/>
        <v>0</v>
      </c>
      <c r="L26" s="17">
        <f t="shared" si="2"/>
        <v>0</v>
      </c>
      <c r="M26" s="17">
        <f t="shared" si="3"/>
        <v>0</v>
      </c>
      <c r="N26" s="44"/>
    </row>
    <row r="27" spans="1:20">
      <c r="A27" s="26">
        <v>24</v>
      </c>
      <c r="B27" s="27">
        <v>46136</v>
      </c>
      <c r="C27" s="17"/>
      <c r="D27" s="17"/>
      <c r="E27" s="86">
        <v>25</v>
      </c>
      <c r="F27" s="86">
        <v>92.07</v>
      </c>
      <c r="G27" s="17">
        <f t="shared" si="0"/>
        <v>2301.75</v>
      </c>
      <c r="H27" s="86">
        <v>5</v>
      </c>
      <c r="I27" s="86">
        <v>103.82</v>
      </c>
      <c r="J27" s="17">
        <f t="shared" si="1"/>
        <v>519.09999999999991</v>
      </c>
      <c r="K27" s="17">
        <f t="shared" si="4"/>
        <v>2820.85</v>
      </c>
      <c r="L27" s="17">
        <f t="shared" si="2"/>
        <v>2820.85</v>
      </c>
      <c r="M27" s="17">
        <f t="shared" si="3"/>
        <v>0</v>
      </c>
      <c r="N27" s="44"/>
    </row>
    <row r="28" spans="1:20">
      <c r="A28" s="26">
        <v>25</v>
      </c>
      <c r="B28" s="27">
        <v>46137</v>
      </c>
      <c r="C28" s="17"/>
      <c r="D28" s="17"/>
      <c r="E28" s="86"/>
      <c r="F28" s="86"/>
      <c r="G28" s="17">
        <f t="shared" si="0"/>
        <v>0</v>
      </c>
      <c r="H28" s="86"/>
      <c r="I28" s="86"/>
      <c r="J28" s="17">
        <f t="shared" si="1"/>
        <v>0</v>
      </c>
      <c r="K28" s="17">
        <f>G28+J28</f>
        <v>0</v>
      </c>
      <c r="L28" s="17">
        <f t="shared" si="2"/>
        <v>0</v>
      </c>
      <c r="M28" s="17">
        <v>0</v>
      </c>
      <c r="N28" s="44"/>
    </row>
    <row r="29" spans="1:20">
      <c r="A29" s="26">
        <v>26</v>
      </c>
      <c r="B29" s="27">
        <v>46138</v>
      </c>
      <c r="C29" s="17"/>
      <c r="D29" s="17"/>
      <c r="E29" s="86">
        <v>40</v>
      </c>
      <c r="F29" s="86">
        <v>92.07</v>
      </c>
      <c r="G29" s="17">
        <f t="shared" si="0"/>
        <v>3682.7999999999997</v>
      </c>
      <c r="H29" s="86"/>
      <c r="I29" s="86"/>
      <c r="J29" s="17">
        <f t="shared" si="1"/>
        <v>0</v>
      </c>
      <c r="K29" s="17">
        <f t="shared" si="4"/>
        <v>3682.7999999999997</v>
      </c>
      <c r="L29" s="17">
        <f t="shared" si="2"/>
        <v>3682.7999999999997</v>
      </c>
      <c r="M29" s="17">
        <v>0</v>
      </c>
      <c r="N29" s="44"/>
    </row>
    <row r="30" spans="1:20">
      <c r="A30" s="26">
        <v>27</v>
      </c>
      <c r="B30" s="27">
        <v>46139</v>
      </c>
      <c r="C30" s="17"/>
      <c r="D30" s="17"/>
      <c r="E30" s="86"/>
      <c r="F30" s="86"/>
      <c r="G30" s="17">
        <f t="shared" si="0"/>
        <v>0</v>
      </c>
      <c r="H30" s="86"/>
      <c r="I30" s="86"/>
      <c r="J30" s="17">
        <f t="shared" si="1"/>
        <v>0</v>
      </c>
      <c r="K30" s="17">
        <f t="shared" si="4"/>
        <v>0</v>
      </c>
      <c r="L30" s="17">
        <f t="shared" si="2"/>
        <v>0</v>
      </c>
      <c r="M30" s="17">
        <v>0</v>
      </c>
      <c r="N30" s="44"/>
    </row>
    <row r="31" spans="1:20">
      <c r="A31" s="26">
        <v>28</v>
      </c>
      <c r="B31" s="27">
        <v>46140</v>
      </c>
      <c r="C31" s="17"/>
      <c r="D31" s="17"/>
      <c r="E31" s="86">
        <v>40</v>
      </c>
      <c r="F31" s="86">
        <v>92.07</v>
      </c>
      <c r="G31" s="17">
        <f t="shared" si="0"/>
        <v>3682.7999999999997</v>
      </c>
      <c r="H31" s="86"/>
      <c r="I31" s="86"/>
      <c r="J31" s="17">
        <f t="shared" si="1"/>
        <v>0</v>
      </c>
      <c r="K31" s="17">
        <f t="shared" si="4"/>
        <v>3682.7999999999997</v>
      </c>
      <c r="L31" s="17">
        <f t="shared" si="2"/>
        <v>3682.7999999999997</v>
      </c>
      <c r="M31" s="17">
        <v>0</v>
      </c>
      <c r="N31" s="44"/>
    </row>
    <row r="32" spans="1:20">
      <c r="A32" s="26">
        <v>29</v>
      </c>
      <c r="B32" s="27">
        <v>46141</v>
      </c>
      <c r="C32" s="17"/>
      <c r="D32" s="17"/>
      <c r="E32" s="86"/>
      <c r="F32" s="86"/>
      <c r="G32" s="17">
        <f t="shared" si="0"/>
        <v>0</v>
      </c>
      <c r="H32" s="86"/>
      <c r="I32" s="86"/>
      <c r="J32" s="17">
        <f t="shared" si="1"/>
        <v>0</v>
      </c>
      <c r="K32" s="17">
        <f t="shared" si="4"/>
        <v>0</v>
      </c>
      <c r="L32" s="17">
        <f t="shared" si="2"/>
        <v>0</v>
      </c>
      <c r="M32" s="17"/>
      <c r="N32" s="44"/>
    </row>
    <row r="33" spans="1:14">
      <c r="A33" s="26">
        <v>30</v>
      </c>
      <c r="B33" s="27">
        <v>46142</v>
      </c>
      <c r="C33" s="17"/>
      <c r="D33" s="17"/>
      <c r="E33" s="86"/>
      <c r="F33" s="86"/>
      <c r="G33" s="17">
        <f t="shared" si="0"/>
        <v>0</v>
      </c>
      <c r="H33" s="86"/>
      <c r="I33" s="86"/>
      <c r="J33" s="17">
        <f t="shared" si="1"/>
        <v>0</v>
      </c>
      <c r="K33" s="17">
        <f t="shared" si="4"/>
        <v>0</v>
      </c>
      <c r="L33" s="17">
        <f t="shared" si="2"/>
        <v>0</v>
      </c>
      <c r="M33" s="17"/>
      <c r="N33" s="44"/>
    </row>
    <row r="34" spans="1:14">
      <c r="A34" s="26">
        <v>31</v>
      </c>
      <c r="B34" s="27"/>
      <c r="C34" s="17"/>
      <c r="D34" s="17"/>
      <c r="E34" s="86"/>
      <c r="F34" s="86"/>
      <c r="G34" s="17">
        <f t="shared" ref="G5:G34" si="5">E34*F34</f>
        <v>0</v>
      </c>
      <c r="H34" s="86"/>
      <c r="I34" s="86"/>
      <c r="J34" s="17">
        <f t="shared" ref="J5:J34" si="6">H34*I34</f>
        <v>0</v>
      </c>
      <c r="K34" s="17">
        <f t="shared" si="4"/>
        <v>0</v>
      </c>
      <c r="L34" s="17">
        <f t="shared" si="2"/>
        <v>0</v>
      </c>
      <c r="M34" s="17"/>
      <c r="N34" s="44"/>
    </row>
    <row r="35" spans="1:14">
      <c r="A35" s="42"/>
      <c r="B35" s="42"/>
      <c r="C35" s="42"/>
      <c r="D35" s="42"/>
      <c r="E35" s="42">
        <f>SUM(E4:E34)</f>
        <v>325.38</v>
      </c>
      <c r="F35" s="42"/>
      <c r="G35" s="42">
        <f>SUM(G4:G34)</f>
        <v>29957.386599999998</v>
      </c>
      <c r="H35" s="42">
        <f>SUM(H4:H34)</f>
        <v>38</v>
      </c>
      <c r="I35" s="42"/>
      <c r="J35" s="42">
        <f>SUM(J4:J34)</f>
        <v>3945.16</v>
      </c>
      <c r="K35" s="42">
        <f>SUM(K4:K34)</f>
        <v>33902.546599999994</v>
      </c>
      <c r="L35" s="42">
        <f>SUM(L4:L34)</f>
        <v>33902.546599999994</v>
      </c>
      <c r="M35" s="42"/>
      <c r="N35" s="42"/>
    </row>
  </sheetData>
  <mergeCells count="2">
    <mergeCell ref="A1:N1"/>
    <mergeCell ref="A3:J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E46A-CC6F-4EF6-BB30-60E9EE9B0804}">
  <dimension ref="A1:N35"/>
  <sheetViews>
    <sheetView topLeftCell="A14" workbookViewId="0">
      <selection activeCell="L30" sqref="L30"/>
    </sheetView>
  </sheetViews>
  <sheetFormatPr defaultRowHeight="15"/>
  <cols>
    <col min="2" max="2" width="10.140625" bestFit="1" customWidth="1"/>
  </cols>
  <sheetData>
    <row r="1" spans="1:14" ht="15.75">
      <c r="A1" s="495" t="s">
        <v>111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</row>
    <row r="2" spans="1:14" ht="27">
      <c r="A2" s="103" t="s">
        <v>0</v>
      </c>
      <c r="B2" s="106" t="s">
        <v>164</v>
      </c>
      <c r="C2" s="106" t="s">
        <v>165</v>
      </c>
      <c r="D2" s="106" t="s">
        <v>166</v>
      </c>
      <c r="E2" s="106" t="s">
        <v>167</v>
      </c>
      <c r="F2" s="106" t="s">
        <v>168</v>
      </c>
      <c r="G2" s="106" t="s">
        <v>169</v>
      </c>
      <c r="H2" s="106" t="s">
        <v>170</v>
      </c>
      <c r="I2" s="106" t="s">
        <v>168</v>
      </c>
      <c r="J2" s="106" t="s">
        <v>169</v>
      </c>
      <c r="K2" s="106" t="s">
        <v>171</v>
      </c>
      <c r="L2" s="106" t="s">
        <v>172</v>
      </c>
      <c r="M2" s="106" t="s">
        <v>209</v>
      </c>
      <c r="N2" s="106" t="s">
        <v>174</v>
      </c>
    </row>
    <row r="3" spans="1:14">
      <c r="A3" s="498" t="s">
        <v>175</v>
      </c>
      <c r="B3" s="498"/>
      <c r="C3" s="498"/>
      <c r="D3" s="498"/>
      <c r="E3" s="498"/>
      <c r="F3" s="498"/>
      <c r="G3" s="498"/>
      <c r="H3" s="498"/>
      <c r="I3" s="498"/>
      <c r="J3" s="498"/>
      <c r="K3" s="95">
        <v>0</v>
      </c>
      <c r="L3" s="95">
        <v>0</v>
      </c>
      <c r="M3" s="95">
        <f>+K3</f>
        <v>0</v>
      </c>
      <c r="N3" s="17"/>
    </row>
    <row r="4" spans="1:14">
      <c r="A4" s="26">
        <v>1</v>
      </c>
      <c r="B4" s="27">
        <v>46113</v>
      </c>
      <c r="C4" s="17"/>
      <c r="D4" s="17"/>
      <c r="E4" s="86"/>
      <c r="F4" s="86"/>
      <c r="G4" s="17">
        <f>E4*F4</f>
        <v>0</v>
      </c>
      <c r="H4" s="86"/>
      <c r="I4" s="86"/>
      <c r="J4" s="17">
        <f>H4*I4</f>
        <v>0</v>
      </c>
      <c r="K4" s="17">
        <f>G4+J4</f>
        <v>0</v>
      </c>
      <c r="L4" s="17">
        <f>K4</f>
        <v>0</v>
      </c>
      <c r="M4" s="17">
        <f>M3+K4-L4</f>
        <v>0</v>
      </c>
      <c r="N4" s="44"/>
    </row>
    <row r="5" spans="1:14">
      <c r="A5" s="26">
        <v>2</v>
      </c>
      <c r="B5" s="27">
        <v>46114</v>
      </c>
      <c r="C5" s="17"/>
      <c r="D5" s="17"/>
      <c r="E5" s="86"/>
      <c r="F5" s="86"/>
      <c r="G5" s="17">
        <f t="shared" ref="G5:G34" si="0">E5*F5</f>
        <v>0</v>
      </c>
      <c r="H5" s="86"/>
      <c r="I5" s="86"/>
      <c r="J5" s="17">
        <f t="shared" ref="J5:J33" si="1">H5*I5</f>
        <v>0</v>
      </c>
      <c r="K5" s="17">
        <f>G5+J5</f>
        <v>0</v>
      </c>
      <c r="L5" s="17">
        <f t="shared" ref="L5:L34" si="2">K5</f>
        <v>0</v>
      </c>
      <c r="M5" s="17">
        <f t="shared" ref="M5:M27" si="3">M4+K5-L5</f>
        <v>0</v>
      </c>
      <c r="N5" s="44"/>
    </row>
    <row r="6" spans="1:14">
      <c r="A6" s="26">
        <v>3</v>
      </c>
      <c r="B6" s="27">
        <v>46115</v>
      </c>
      <c r="C6" s="17"/>
      <c r="D6" s="17"/>
      <c r="E6" s="86"/>
      <c r="F6" s="86"/>
      <c r="G6" s="17">
        <f t="shared" ref="G6:G33" si="4">E6*F6</f>
        <v>0</v>
      </c>
      <c r="H6" s="86"/>
      <c r="I6" s="86"/>
      <c r="J6" s="17">
        <f t="shared" ref="J6:J33" si="5">H6*I6</f>
        <v>0</v>
      </c>
      <c r="K6" s="17">
        <f t="shared" ref="K6:K34" si="6">G6+J6</f>
        <v>0</v>
      </c>
      <c r="L6" s="17">
        <f t="shared" si="2"/>
        <v>0</v>
      </c>
      <c r="M6" s="17">
        <f t="shared" si="3"/>
        <v>0</v>
      </c>
      <c r="N6" s="44"/>
    </row>
    <row r="7" spans="1:14">
      <c r="A7" s="26">
        <v>4</v>
      </c>
      <c r="B7" s="27">
        <v>46116</v>
      </c>
      <c r="C7" s="17"/>
      <c r="D7" s="17"/>
      <c r="E7" s="86"/>
      <c r="F7" s="86"/>
      <c r="G7" s="17">
        <f t="shared" si="4"/>
        <v>0</v>
      </c>
      <c r="H7" s="86"/>
      <c r="I7" s="86"/>
      <c r="J7" s="17">
        <f t="shared" si="5"/>
        <v>0</v>
      </c>
      <c r="K7" s="17">
        <f t="shared" si="6"/>
        <v>0</v>
      </c>
      <c r="L7" s="17">
        <f t="shared" si="2"/>
        <v>0</v>
      </c>
      <c r="M7" s="17">
        <f t="shared" si="3"/>
        <v>0</v>
      </c>
      <c r="N7" s="44"/>
    </row>
    <row r="8" spans="1:14">
      <c r="A8" s="26">
        <v>5</v>
      </c>
      <c r="B8" s="27">
        <v>46117</v>
      </c>
      <c r="C8" s="17"/>
      <c r="D8" s="17"/>
      <c r="E8" s="86"/>
      <c r="F8" s="86"/>
      <c r="G8" s="17">
        <f t="shared" si="4"/>
        <v>0</v>
      </c>
      <c r="H8" s="86"/>
      <c r="I8" s="86"/>
      <c r="J8" s="17">
        <f t="shared" si="5"/>
        <v>0</v>
      </c>
      <c r="K8" s="17">
        <f t="shared" si="6"/>
        <v>0</v>
      </c>
      <c r="L8" s="17">
        <f t="shared" si="2"/>
        <v>0</v>
      </c>
      <c r="M8" s="17">
        <f t="shared" si="3"/>
        <v>0</v>
      </c>
      <c r="N8" s="44"/>
    </row>
    <row r="9" spans="1:14">
      <c r="A9" s="26">
        <v>6</v>
      </c>
      <c r="B9" s="27">
        <v>46118</v>
      </c>
      <c r="C9" s="17"/>
      <c r="D9" s="17"/>
      <c r="E9" s="86"/>
      <c r="F9" s="86"/>
      <c r="G9" s="17">
        <f t="shared" si="4"/>
        <v>0</v>
      </c>
      <c r="H9" s="86"/>
      <c r="I9" s="86"/>
      <c r="J9" s="17">
        <f t="shared" si="5"/>
        <v>0</v>
      </c>
      <c r="K9" s="17">
        <f t="shared" si="6"/>
        <v>0</v>
      </c>
      <c r="L9" s="17">
        <f t="shared" si="2"/>
        <v>0</v>
      </c>
      <c r="M9" s="17">
        <f t="shared" si="3"/>
        <v>0</v>
      </c>
      <c r="N9" s="44"/>
    </row>
    <row r="10" spans="1:14">
      <c r="A10" s="26">
        <v>7</v>
      </c>
      <c r="B10" s="27">
        <v>46119</v>
      </c>
      <c r="C10" s="17"/>
      <c r="D10" s="17"/>
      <c r="E10" s="86"/>
      <c r="F10" s="86"/>
      <c r="G10" s="17">
        <f t="shared" si="4"/>
        <v>0</v>
      </c>
      <c r="H10" s="86">
        <v>24</v>
      </c>
      <c r="I10" s="86">
        <v>103.86</v>
      </c>
      <c r="J10" s="17">
        <f t="shared" si="5"/>
        <v>2492.64</v>
      </c>
      <c r="K10" s="17">
        <f t="shared" si="6"/>
        <v>2492.64</v>
      </c>
      <c r="L10" s="17">
        <f t="shared" si="2"/>
        <v>2492.64</v>
      </c>
      <c r="M10" s="17">
        <f t="shared" si="3"/>
        <v>0</v>
      </c>
      <c r="N10" s="44"/>
    </row>
    <row r="11" spans="1:14">
      <c r="A11" s="26">
        <v>8</v>
      </c>
      <c r="B11" s="27">
        <v>46120</v>
      </c>
      <c r="C11" s="17"/>
      <c r="D11" s="17"/>
      <c r="E11" s="86">
        <v>100</v>
      </c>
      <c r="F11" s="86">
        <v>91.91</v>
      </c>
      <c r="G11" s="17">
        <f t="shared" si="4"/>
        <v>9191</v>
      </c>
      <c r="H11" s="86"/>
      <c r="I11" s="86"/>
      <c r="J11" s="17">
        <f t="shared" si="5"/>
        <v>0</v>
      </c>
      <c r="K11" s="17">
        <f t="shared" si="6"/>
        <v>9191</v>
      </c>
      <c r="L11" s="17">
        <f t="shared" si="2"/>
        <v>9191</v>
      </c>
      <c r="M11" s="17">
        <f t="shared" si="3"/>
        <v>0</v>
      </c>
      <c r="N11" s="44"/>
    </row>
    <row r="12" spans="1:14">
      <c r="A12" s="26">
        <v>9</v>
      </c>
      <c r="B12" s="27">
        <v>46121</v>
      </c>
      <c r="C12" s="17"/>
      <c r="D12" s="17"/>
      <c r="E12" s="86"/>
      <c r="F12" s="86"/>
      <c r="G12" s="17">
        <f t="shared" si="4"/>
        <v>0</v>
      </c>
      <c r="H12" s="86"/>
      <c r="I12" s="86"/>
      <c r="J12" s="17">
        <f t="shared" si="5"/>
        <v>0</v>
      </c>
      <c r="K12" s="17">
        <f t="shared" si="6"/>
        <v>0</v>
      </c>
      <c r="L12" s="17">
        <f t="shared" si="2"/>
        <v>0</v>
      </c>
      <c r="M12" s="17">
        <f t="shared" si="3"/>
        <v>0</v>
      </c>
      <c r="N12" s="44"/>
    </row>
    <row r="13" spans="1:14">
      <c r="A13" s="26">
        <v>10</v>
      </c>
      <c r="B13" s="27">
        <v>46122</v>
      </c>
      <c r="C13" s="17"/>
      <c r="D13" s="17"/>
      <c r="E13" s="86"/>
      <c r="F13" s="86"/>
      <c r="G13" s="17">
        <f t="shared" si="4"/>
        <v>0</v>
      </c>
      <c r="H13" s="86"/>
      <c r="I13" s="86"/>
      <c r="J13" s="17">
        <f t="shared" si="5"/>
        <v>0</v>
      </c>
      <c r="K13" s="17">
        <f t="shared" si="6"/>
        <v>0</v>
      </c>
      <c r="L13" s="17">
        <f t="shared" si="2"/>
        <v>0</v>
      </c>
      <c r="M13" s="17">
        <f t="shared" si="3"/>
        <v>0</v>
      </c>
      <c r="N13" s="44"/>
    </row>
    <row r="14" spans="1:14">
      <c r="A14" s="26">
        <v>11</v>
      </c>
      <c r="B14" s="27">
        <v>46123</v>
      </c>
      <c r="C14" s="17"/>
      <c r="D14" s="17"/>
      <c r="E14" s="86"/>
      <c r="F14" s="86"/>
      <c r="G14" s="17">
        <f t="shared" si="4"/>
        <v>0</v>
      </c>
      <c r="H14" s="86"/>
      <c r="I14" s="86"/>
      <c r="J14" s="17">
        <f t="shared" si="5"/>
        <v>0</v>
      </c>
      <c r="K14" s="17">
        <f t="shared" si="6"/>
        <v>0</v>
      </c>
      <c r="L14" s="17">
        <f t="shared" si="2"/>
        <v>0</v>
      </c>
      <c r="M14" s="17">
        <f t="shared" si="3"/>
        <v>0</v>
      </c>
      <c r="N14" s="44"/>
    </row>
    <row r="15" spans="1:14">
      <c r="A15" s="26">
        <v>12</v>
      </c>
      <c r="B15" s="27">
        <v>46124</v>
      </c>
      <c r="C15" s="17"/>
      <c r="D15" s="17"/>
      <c r="E15" s="86"/>
      <c r="F15" s="86"/>
      <c r="G15" s="17">
        <f t="shared" si="4"/>
        <v>0</v>
      </c>
      <c r="H15" s="86"/>
      <c r="I15" s="86"/>
      <c r="J15" s="17">
        <f t="shared" si="5"/>
        <v>0</v>
      </c>
      <c r="K15" s="17">
        <f t="shared" si="6"/>
        <v>0</v>
      </c>
      <c r="L15" s="17">
        <f t="shared" si="2"/>
        <v>0</v>
      </c>
      <c r="M15" s="17">
        <f t="shared" si="3"/>
        <v>0</v>
      </c>
      <c r="N15" s="44"/>
    </row>
    <row r="16" spans="1:14">
      <c r="A16" s="26">
        <v>13</v>
      </c>
      <c r="B16" s="27">
        <v>46125</v>
      </c>
      <c r="C16" s="17"/>
      <c r="D16" s="17"/>
      <c r="E16" s="86"/>
      <c r="F16" s="86"/>
      <c r="G16" s="17">
        <f t="shared" si="4"/>
        <v>0</v>
      </c>
      <c r="H16" s="86"/>
      <c r="I16" s="86"/>
      <c r="J16" s="17">
        <f t="shared" si="5"/>
        <v>0</v>
      </c>
      <c r="K16" s="17">
        <f t="shared" si="6"/>
        <v>0</v>
      </c>
      <c r="L16" s="17">
        <f t="shared" si="2"/>
        <v>0</v>
      </c>
      <c r="M16" s="17">
        <f t="shared" si="3"/>
        <v>0</v>
      </c>
      <c r="N16" s="44"/>
    </row>
    <row r="17" spans="1:14">
      <c r="A17" s="26">
        <v>14</v>
      </c>
      <c r="B17" s="27">
        <v>46126</v>
      </c>
      <c r="C17" s="17"/>
      <c r="D17" s="17"/>
      <c r="E17" s="86"/>
      <c r="F17" s="86"/>
      <c r="G17" s="17">
        <f t="shared" si="4"/>
        <v>0</v>
      </c>
      <c r="H17" s="86"/>
      <c r="I17" s="86"/>
      <c r="J17" s="17">
        <f t="shared" si="5"/>
        <v>0</v>
      </c>
      <c r="K17" s="17">
        <f t="shared" si="6"/>
        <v>0</v>
      </c>
      <c r="L17" s="17">
        <f t="shared" si="2"/>
        <v>0</v>
      </c>
      <c r="M17" s="17">
        <f t="shared" si="3"/>
        <v>0</v>
      </c>
      <c r="N17" s="44"/>
    </row>
    <row r="18" spans="1:14">
      <c r="A18" s="26">
        <v>15</v>
      </c>
      <c r="B18" s="27">
        <v>46127</v>
      </c>
      <c r="C18" s="17"/>
      <c r="D18" s="17"/>
      <c r="E18" s="86"/>
      <c r="F18" s="86"/>
      <c r="G18" s="17">
        <f t="shared" si="4"/>
        <v>0</v>
      </c>
      <c r="H18" s="86"/>
      <c r="I18" s="86"/>
      <c r="J18" s="17">
        <f t="shared" si="5"/>
        <v>0</v>
      </c>
      <c r="K18" s="17">
        <f t="shared" si="6"/>
        <v>0</v>
      </c>
      <c r="L18" s="17">
        <f t="shared" si="2"/>
        <v>0</v>
      </c>
      <c r="M18" s="17">
        <f t="shared" si="3"/>
        <v>0</v>
      </c>
      <c r="N18" s="44"/>
    </row>
    <row r="19" spans="1:14">
      <c r="A19" s="26">
        <v>16</v>
      </c>
      <c r="B19" s="27">
        <v>46128</v>
      </c>
      <c r="C19" s="17"/>
      <c r="D19" s="17"/>
      <c r="E19" s="86"/>
      <c r="F19" s="86"/>
      <c r="G19" s="17">
        <f t="shared" si="4"/>
        <v>0</v>
      </c>
      <c r="H19" s="86"/>
      <c r="I19" s="86"/>
      <c r="J19" s="17">
        <f t="shared" si="5"/>
        <v>0</v>
      </c>
      <c r="K19" s="17">
        <f t="shared" si="6"/>
        <v>0</v>
      </c>
      <c r="L19" s="17">
        <f t="shared" si="2"/>
        <v>0</v>
      </c>
      <c r="M19" s="17">
        <f t="shared" si="3"/>
        <v>0</v>
      </c>
      <c r="N19" s="44"/>
    </row>
    <row r="20" spans="1:14">
      <c r="A20" s="26">
        <v>17</v>
      </c>
      <c r="B20" s="27">
        <v>46129</v>
      </c>
      <c r="C20" s="17"/>
      <c r="D20" s="17"/>
      <c r="E20" s="86"/>
      <c r="F20" s="86"/>
      <c r="G20" s="17">
        <f t="shared" si="4"/>
        <v>0</v>
      </c>
      <c r="H20" s="86"/>
      <c r="I20" s="86"/>
      <c r="J20" s="17">
        <f t="shared" si="5"/>
        <v>0</v>
      </c>
      <c r="K20" s="17">
        <f t="shared" si="6"/>
        <v>0</v>
      </c>
      <c r="L20" s="17">
        <f t="shared" si="2"/>
        <v>0</v>
      </c>
      <c r="M20" s="17">
        <f t="shared" si="3"/>
        <v>0</v>
      </c>
      <c r="N20" s="44"/>
    </row>
    <row r="21" spans="1:14">
      <c r="A21" s="26">
        <v>18</v>
      </c>
      <c r="B21" s="27">
        <v>46130</v>
      </c>
      <c r="C21" s="17"/>
      <c r="D21" s="17"/>
      <c r="E21" s="86"/>
      <c r="F21" s="86"/>
      <c r="G21" s="17">
        <f t="shared" si="4"/>
        <v>0</v>
      </c>
      <c r="H21" s="86"/>
      <c r="I21" s="86"/>
      <c r="J21" s="17">
        <f t="shared" si="5"/>
        <v>0</v>
      </c>
      <c r="K21" s="17">
        <f t="shared" si="6"/>
        <v>0</v>
      </c>
      <c r="L21" s="17">
        <f t="shared" si="2"/>
        <v>0</v>
      </c>
      <c r="M21" s="17">
        <f t="shared" si="3"/>
        <v>0</v>
      </c>
      <c r="N21" s="44"/>
    </row>
    <row r="22" spans="1:14">
      <c r="A22" s="26">
        <v>19</v>
      </c>
      <c r="B22" s="27">
        <v>46131</v>
      </c>
      <c r="C22" s="17"/>
      <c r="D22" s="17"/>
      <c r="E22" s="86"/>
      <c r="F22" s="86"/>
      <c r="G22" s="17">
        <f t="shared" si="4"/>
        <v>0</v>
      </c>
      <c r="H22" s="86"/>
      <c r="I22" s="86"/>
      <c r="J22" s="17">
        <f t="shared" si="5"/>
        <v>0</v>
      </c>
      <c r="K22" s="17">
        <f t="shared" si="6"/>
        <v>0</v>
      </c>
      <c r="L22" s="17">
        <f t="shared" si="2"/>
        <v>0</v>
      </c>
      <c r="M22" s="17">
        <f t="shared" si="3"/>
        <v>0</v>
      </c>
      <c r="N22" s="44"/>
    </row>
    <row r="23" spans="1:14">
      <c r="A23" s="26">
        <v>20</v>
      </c>
      <c r="B23" s="27">
        <v>46132</v>
      </c>
      <c r="C23" s="17"/>
      <c r="D23" s="17"/>
      <c r="E23" s="86"/>
      <c r="F23" s="86"/>
      <c r="G23" s="17">
        <f t="shared" si="4"/>
        <v>0</v>
      </c>
      <c r="H23" s="86"/>
      <c r="I23" s="86"/>
      <c r="J23" s="17">
        <f t="shared" si="5"/>
        <v>0</v>
      </c>
      <c r="K23" s="17">
        <f t="shared" si="6"/>
        <v>0</v>
      </c>
      <c r="L23" s="17">
        <f t="shared" si="2"/>
        <v>0</v>
      </c>
      <c r="M23" s="17">
        <f t="shared" si="3"/>
        <v>0</v>
      </c>
      <c r="N23" s="44"/>
    </row>
    <row r="24" spans="1:14">
      <c r="A24" s="26">
        <v>21</v>
      </c>
      <c r="B24" s="27">
        <v>46133</v>
      </c>
      <c r="C24" s="17"/>
      <c r="D24" s="17"/>
      <c r="E24" s="86"/>
      <c r="F24" s="86"/>
      <c r="G24" s="17">
        <f t="shared" si="4"/>
        <v>0</v>
      </c>
      <c r="H24" s="86"/>
      <c r="I24" s="86"/>
      <c r="J24" s="17">
        <f t="shared" si="5"/>
        <v>0</v>
      </c>
      <c r="K24" s="17">
        <f t="shared" si="6"/>
        <v>0</v>
      </c>
      <c r="L24" s="17">
        <f t="shared" si="2"/>
        <v>0</v>
      </c>
      <c r="M24" s="17">
        <f t="shared" si="3"/>
        <v>0</v>
      </c>
      <c r="N24" s="44"/>
    </row>
    <row r="25" spans="1:14">
      <c r="A25" s="26">
        <v>22</v>
      </c>
      <c r="B25" s="27">
        <v>46134</v>
      </c>
      <c r="C25" s="17"/>
      <c r="D25" s="17"/>
      <c r="E25" s="86">
        <v>100</v>
      </c>
      <c r="F25" s="86">
        <v>91.91</v>
      </c>
      <c r="G25" s="17">
        <f t="shared" si="4"/>
        <v>9191</v>
      </c>
      <c r="H25" s="86"/>
      <c r="I25" s="86"/>
      <c r="J25" s="17">
        <f t="shared" si="5"/>
        <v>0</v>
      </c>
      <c r="K25" s="17">
        <f t="shared" si="6"/>
        <v>9191</v>
      </c>
      <c r="L25" s="17">
        <f t="shared" si="2"/>
        <v>9191</v>
      </c>
      <c r="M25" s="17">
        <f t="shared" si="3"/>
        <v>0</v>
      </c>
      <c r="N25" s="44"/>
    </row>
    <row r="26" spans="1:14">
      <c r="A26" s="26">
        <v>23</v>
      </c>
      <c r="B26" s="27">
        <v>46135</v>
      </c>
      <c r="C26" s="17"/>
      <c r="D26" s="17"/>
      <c r="E26" s="86"/>
      <c r="F26" s="86"/>
      <c r="G26" s="17">
        <f t="shared" si="4"/>
        <v>0</v>
      </c>
      <c r="H26" s="86"/>
      <c r="I26" s="86"/>
      <c r="J26" s="17">
        <f t="shared" si="5"/>
        <v>0</v>
      </c>
      <c r="K26" s="17">
        <f t="shared" si="6"/>
        <v>0</v>
      </c>
      <c r="L26" s="17">
        <f t="shared" si="2"/>
        <v>0</v>
      </c>
      <c r="M26" s="17">
        <f t="shared" si="3"/>
        <v>0</v>
      </c>
      <c r="N26" s="44"/>
    </row>
    <row r="27" spans="1:14">
      <c r="A27" s="26">
        <v>24</v>
      </c>
      <c r="B27" s="27">
        <v>46136</v>
      </c>
      <c r="C27" s="17"/>
      <c r="D27" s="17"/>
      <c r="E27" s="86"/>
      <c r="F27" s="86"/>
      <c r="G27" s="17">
        <f t="shared" si="4"/>
        <v>0</v>
      </c>
      <c r="H27" s="86">
        <v>25</v>
      </c>
      <c r="I27" s="86">
        <v>103.81</v>
      </c>
      <c r="J27" s="17">
        <f t="shared" si="5"/>
        <v>2595.25</v>
      </c>
      <c r="K27" s="17">
        <f t="shared" si="6"/>
        <v>2595.25</v>
      </c>
      <c r="L27" s="17">
        <f t="shared" si="2"/>
        <v>2595.25</v>
      </c>
      <c r="M27" s="17">
        <f t="shared" si="3"/>
        <v>0</v>
      </c>
      <c r="N27" s="44"/>
    </row>
    <row r="28" spans="1:14">
      <c r="A28" s="26">
        <v>25</v>
      </c>
      <c r="B28" s="27">
        <v>46137</v>
      </c>
      <c r="C28" s="17"/>
      <c r="D28" s="17"/>
      <c r="E28" s="86"/>
      <c r="F28" s="86"/>
      <c r="G28" s="17">
        <f t="shared" si="4"/>
        <v>0</v>
      </c>
      <c r="H28" s="86"/>
      <c r="I28" s="86"/>
      <c r="J28" s="17">
        <f t="shared" si="5"/>
        <v>0</v>
      </c>
      <c r="K28" s="17">
        <f>G28+J28</f>
        <v>0</v>
      </c>
      <c r="L28" s="17">
        <f t="shared" si="2"/>
        <v>0</v>
      </c>
      <c r="M28" s="17">
        <v>0</v>
      </c>
      <c r="N28" s="44"/>
    </row>
    <row r="29" spans="1:14">
      <c r="A29" s="26">
        <v>26</v>
      </c>
      <c r="B29" s="27">
        <v>46138</v>
      </c>
      <c r="C29" s="17"/>
      <c r="D29" s="17"/>
      <c r="E29" s="86"/>
      <c r="F29" s="86"/>
      <c r="G29" s="17">
        <f t="shared" si="4"/>
        <v>0</v>
      </c>
      <c r="H29" s="86"/>
      <c r="I29" s="86"/>
      <c r="J29" s="17">
        <f t="shared" si="5"/>
        <v>0</v>
      </c>
      <c r="K29" s="17">
        <f t="shared" si="6"/>
        <v>0</v>
      </c>
      <c r="L29" s="17">
        <f t="shared" si="2"/>
        <v>0</v>
      </c>
      <c r="M29" s="17">
        <v>0</v>
      </c>
      <c r="N29" s="44"/>
    </row>
    <row r="30" spans="1:14">
      <c r="A30" s="26">
        <v>27</v>
      </c>
      <c r="B30" s="27">
        <v>46139</v>
      </c>
      <c r="C30" s="17"/>
      <c r="D30" s="17"/>
      <c r="E30" s="86">
        <v>160</v>
      </c>
      <c r="F30" s="86">
        <v>91.89</v>
      </c>
      <c r="G30" s="17">
        <f t="shared" si="4"/>
        <v>14702.4</v>
      </c>
      <c r="H30" s="86"/>
      <c r="I30" s="86"/>
      <c r="J30" s="17">
        <f t="shared" si="5"/>
        <v>0</v>
      </c>
      <c r="K30" s="17">
        <f t="shared" si="6"/>
        <v>14702.4</v>
      </c>
      <c r="L30" s="17">
        <f t="shared" si="2"/>
        <v>14702.4</v>
      </c>
      <c r="M30" s="17">
        <v>0</v>
      </c>
      <c r="N30" s="44" t="s">
        <v>178</v>
      </c>
    </row>
    <row r="31" spans="1:14">
      <c r="A31" s="26">
        <v>28</v>
      </c>
      <c r="B31" s="27">
        <v>46140</v>
      </c>
      <c r="C31" s="17"/>
      <c r="D31" s="17"/>
      <c r="E31" s="86"/>
      <c r="F31" s="86"/>
      <c r="G31" s="17">
        <f t="shared" si="4"/>
        <v>0</v>
      </c>
      <c r="H31" s="86"/>
      <c r="I31" s="86"/>
      <c r="J31" s="17">
        <f t="shared" si="5"/>
        <v>0</v>
      </c>
      <c r="K31" s="17">
        <f t="shared" si="6"/>
        <v>0</v>
      </c>
      <c r="L31" s="17">
        <f t="shared" si="2"/>
        <v>0</v>
      </c>
      <c r="M31" s="17">
        <v>0</v>
      </c>
      <c r="N31" s="44"/>
    </row>
    <row r="32" spans="1:14">
      <c r="A32" s="26">
        <v>29</v>
      </c>
      <c r="B32" s="27">
        <v>46141</v>
      </c>
      <c r="C32" s="17"/>
      <c r="D32" s="17"/>
      <c r="E32" s="86"/>
      <c r="F32" s="86"/>
      <c r="G32" s="17">
        <f t="shared" si="4"/>
        <v>0</v>
      </c>
      <c r="H32" s="86"/>
      <c r="I32" s="86"/>
      <c r="J32" s="17">
        <f t="shared" si="5"/>
        <v>0</v>
      </c>
      <c r="K32" s="17">
        <f t="shared" si="6"/>
        <v>0</v>
      </c>
      <c r="L32" s="17">
        <f t="shared" si="2"/>
        <v>0</v>
      </c>
      <c r="M32" s="17"/>
      <c r="N32" s="44"/>
    </row>
    <row r="33" spans="1:14">
      <c r="A33" s="26">
        <v>30</v>
      </c>
      <c r="B33" s="27">
        <v>46142</v>
      </c>
      <c r="C33" s="17"/>
      <c r="D33" s="17"/>
      <c r="E33" s="86"/>
      <c r="F33" s="86"/>
      <c r="G33" s="17">
        <f t="shared" si="4"/>
        <v>0</v>
      </c>
      <c r="H33" s="86"/>
      <c r="I33" s="86"/>
      <c r="J33" s="17">
        <f t="shared" si="5"/>
        <v>0</v>
      </c>
      <c r="K33" s="17">
        <f t="shared" si="6"/>
        <v>0</v>
      </c>
      <c r="L33" s="17">
        <f t="shared" si="2"/>
        <v>0</v>
      </c>
      <c r="M33" s="17"/>
      <c r="N33" s="44"/>
    </row>
    <row r="34" spans="1:14">
      <c r="A34" s="26">
        <v>31</v>
      </c>
      <c r="B34" s="27">
        <v>46143</v>
      </c>
      <c r="C34" s="17"/>
      <c r="D34" s="17"/>
      <c r="E34" s="86"/>
      <c r="F34" s="86"/>
      <c r="G34" s="17">
        <f t="shared" si="0"/>
        <v>0</v>
      </c>
      <c r="H34" s="86"/>
      <c r="I34" s="86"/>
      <c r="J34" s="17"/>
      <c r="K34" s="17">
        <f t="shared" si="6"/>
        <v>0</v>
      </c>
      <c r="L34" s="17">
        <f t="shared" si="2"/>
        <v>0</v>
      </c>
      <c r="M34" s="17"/>
      <c r="N34" s="44"/>
    </row>
    <row r="35" spans="1:14">
      <c r="A35" s="42"/>
      <c r="B35" s="42"/>
      <c r="C35" s="42"/>
      <c r="D35" s="42"/>
      <c r="E35" s="42">
        <f>SUM(E4:E34)</f>
        <v>360</v>
      </c>
      <c r="F35" s="42"/>
      <c r="G35" s="42">
        <f>SUM(G4:G34)</f>
        <v>33084.400000000001</v>
      </c>
      <c r="H35" s="42">
        <f>SUM(H4:H34)</f>
        <v>49</v>
      </c>
      <c r="I35" s="42"/>
      <c r="J35" s="42">
        <f>SUM(J4:J34)</f>
        <v>5087.8899999999994</v>
      </c>
      <c r="K35" s="42">
        <f>SUM(K4:K34)</f>
        <v>38172.29</v>
      </c>
      <c r="L35" s="42">
        <f>SUM(L4:L34)</f>
        <v>38172.29</v>
      </c>
      <c r="M35" s="42"/>
      <c r="N35" s="42"/>
    </row>
  </sheetData>
  <mergeCells count="2">
    <mergeCell ref="A1:N1"/>
    <mergeCell ref="A3:J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221C-1691-4B0D-B03E-610E76253615}">
  <sheetPr>
    <tabColor theme="0"/>
  </sheetPr>
  <dimension ref="A1:T37"/>
  <sheetViews>
    <sheetView workbookViewId="0">
      <selection activeCell="G17" sqref="G17:G20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16" bestFit="1" customWidth="1"/>
    <col min="5" max="5" width="10.7109375" bestFit="1" customWidth="1"/>
    <col min="6" max="6" width="13.42578125" customWidth="1"/>
    <col min="7" max="7" width="9.28515625" bestFit="1" customWidth="1"/>
    <col min="8" max="8" width="10.7109375" bestFit="1" customWidth="1"/>
    <col min="9" max="9" width="7.140625" bestFit="1" customWidth="1"/>
    <col min="10" max="10" width="9.28515625" customWidth="1"/>
    <col min="11" max="11" width="13.5703125" bestFit="1" customWidth="1"/>
    <col min="12" max="12" width="15.85546875" bestFit="1" customWidth="1"/>
    <col min="13" max="13" width="13.5703125" bestFit="1" customWidth="1"/>
    <col min="14" max="14" width="8.7109375" bestFit="1" customWidth="1"/>
    <col min="16" max="16" width="12.28515625" customWidth="1"/>
  </cols>
  <sheetData>
    <row r="1" spans="1:20" ht="15.75" customHeight="1">
      <c r="A1" s="499" t="s">
        <v>113</v>
      </c>
      <c r="B1" s="499"/>
      <c r="C1" s="499"/>
      <c r="D1" s="499"/>
      <c r="E1" s="499"/>
      <c r="F1" s="499"/>
      <c r="G1" s="499"/>
      <c r="H1" s="499"/>
      <c r="I1" s="499"/>
      <c r="J1" s="499"/>
      <c r="K1" s="499"/>
      <c r="L1" s="499"/>
      <c r="M1" s="499"/>
      <c r="N1" s="499"/>
    </row>
    <row r="2" spans="1:20">
      <c r="A2" s="124" t="s">
        <v>0</v>
      </c>
      <c r="B2" s="124" t="s">
        <v>164</v>
      </c>
      <c r="C2" s="124" t="s">
        <v>165</v>
      </c>
      <c r="D2" s="124" t="s">
        <v>166</v>
      </c>
      <c r="E2" s="175" t="s">
        <v>167</v>
      </c>
      <c r="F2" s="175" t="s">
        <v>168</v>
      </c>
      <c r="G2" s="175" t="s">
        <v>169</v>
      </c>
      <c r="H2" s="175" t="s">
        <v>170</v>
      </c>
      <c r="I2" s="175" t="s">
        <v>168</v>
      </c>
      <c r="J2" s="175" t="s">
        <v>169</v>
      </c>
      <c r="K2" s="175" t="s">
        <v>171</v>
      </c>
      <c r="L2" s="124" t="s">
        <v>245</v>
      </c>
      <c r="M2" s="127" t="s">
        <v>172</v>
      </c>
      <c r="N2" s="124" t="s">
        <v>174</v>
      </c>
    </row>
    <row r="3" spans="1:20">
      <c r="A3" s="17"/>
      <c r="B3" s="17"/>
      <c r="C3" s="17"/>
      <c r="D3" s="17" t="s">
        <v>175</v>
      </c>
      <c r="E3" s="17"/>
      <c r="F3" s="17"/>
      <c r="G3" s="17"/>
      <c r="H3" s="17"/>
      <c r="I3" s="17"/>
      <c r="J3" s="17"/>
      <c r="K3" s="179">
        <v>153658.74979999999</v>
      </c>
      <c r="L3" s="17"/>
      <c r="M3" s="179">
        <v>153658.74979999999</v>
      </c>
      <c r="N3" s="17"/>
    </row>
    <row r="4" spans="1:20">
      <c r="A4" s="26">
        <v>1</v>
      </c>
      <c r="B4" s="27">
        <v>46113</v>
      </c>
      <c r="C4" s="137"/>
      <c r="D4" s="137"/>
      <c r="E4" s="93">
        <v>111</v>
      </c>
      <c r="F4" s="93">
        <v>90.88</v>
      </c>
      <c r="G4" s="179">
        <v>10087.68</v>
      </c>
      <c r="H4" s="93">
        <v>10</v>
      </c>
      <c r="I4" s="93">
        <v>102.77</v>
      </c>
      <c r="J4" s="179">
        <v>1027.7</v>
      </c>
      <c r="K4" s="179">
        <f>G4+J4</f>
        <v>11115.380000000001</v>
      </c>
      <c r="L4" s="179"/>
      <c r="M4" s="179">
        <f>M3+K4-L4</f>
        <v>164774.1298</v>
      </c>
      <c r="N4" s="137"/>
    </row>
    <row r="5" spans="1:20">
      <c r="A5" s="26">
        <v>2</v>
      </c>
      <c r="B5" s="27">
        <v>46114</v>
      </c>
      <c r="C5" s="17"/>
      <c r="D5" s="137"/>
      <c r="E5" s="93">
        <v>52</v>
      </c>
      <c r="F5" s="93">
        <v>90.88</v>
      </c>
      <c r="G5" s="179">
        <f t="shared" ref="G5:G34" si="0">F5*E5</f>
        <v>4725.76</v>
      </c>
      <c r="H5" s="93">
        <v>5</v>
      </c>
      <c r="I5" s="93">
        <v>102.77</v>
      </c>
      <c r="J5" s="179">
        <f t="shared" ref="J5:J34" si="1">H5*I5</f>
        <v>513.85</v>
      </c>
      <c r="K5" s="179">
        <f t="shared" ref="K5:K34" si="2">G5+J5</f>
        <v>5239.6100000000006</v>
      </c>
      <c r="L5" s="179">
        <v>153659</v>
      </c>
      <c r="M5" s="179">
        <f t="shared" ref="M5:M34" si="3">M4+K5-L5</f>
        <v>16354.739799999981</v>
      </c>
      <c r="N5" s="17"/>
      <c r="S5">
        <v>90.88</v>
      </c>
      <c r="T5">
        <v>102.77</v>
      </c>
    </row>
    <row r="6" spans="1:20">
      <c r="A6" s="26">
        <v>3</v>
      </c>
      <c r="B6" s="27">
        <v>46115</v>
      </c>
      <c r="C6" s="17"/>
      <c r="D6" s="137"/>
      <c r="E6" s="93">
        <v>30</v>
      </c>
      <c r="F6" s="93">
        <v>90.88</v>
      </c>
      <c r="G6" s="179">
        <f t="shared" si="0"/>
        <v>2726.3999999999996</v>
      </c>
      <c r="H6" s="93"/>
      <c r="I6" s="93"/>
      <c r="J6" s="179">
        <f t="shared" si="1"/>
        <v>0</v>
      </c>
      <c r="K6" s="179">
        <f t="shared" si="2"/>
        <v>2726.3999999999996</v>
      </c>
      <c r="L6" s="179"/>
      <c r="M6" s="179">
        <f t="shared" si="3"/>
        <v>19081.139799999983</v>
      </c>
      <c r="N6" s="17"/>
    </row>
    <row r="7" spans="1:20">
      <c r="A7" s="26">
        <v>4</v>
      </c>
      <c r="B7" s="27">
        <v>46116</v>
      </c>
      <c r="C7" s="17"/>
      <c r="D7" s="137"/>
      <c r="E7" s="93"/>
      <c r="F7" s="93"/>
      <c r="G7" s="179">
        <f t="shared" si="0"/>
        <v>0</v>
      </c>
      <c r="H7" s="93"/>
      <c r="I7" s="93"/>
      <c r="J7" s="179">
        <f t="shared" si="1"/>
        <v>0</v>
      </c>
      <c r="K7" s="179">
        <f t="shared" si="2"/>
        <v>0</v>
      </c>
      <c r="L7" s="179"/>
      <c r="M7" s="179">
        <f t="shared" si="3"/>
        <v>19081.139799999983</v>
      </c>
      <c r="N7" s="17"/>
    </row>
    <row r="8" spans="1:20">
      <c r="A8" s="26">
        <v>5</v>
      </c>
      <c r="B8" s="27">
        <v>46117</v>
      </c>
      <c r="C8" s="17"/>
      <c r="D8" s="137"/>
      <c r="E8" s="93">
        <v>100</v>
      </c>
      <c r="F8" s="93">
        <v>90.88</v>
      </c>
      <c r="G8" s="179">
        <f t="shared" si="0"/>
        <v>9088</v>
      </c>
      <c r="H8" s="93"/>
      <c r="I8" s="93"/>
      <c r="J8" s="179">
        <f t="shared" si="1"/>
        <v>0</v>
      </c>
      <c r="K8" s="179">
        <f t="shared" si="2"/>
        <v>9088</v>
      </c>
      <c r="L8" s="179"/>
      <c r="M8" s="179">
        <f t="shared" si="3"/>
        <v>28169.139799999983</v>
      </c>
      <c r="N8" s="17"/>
    </row>
    <row r="9" spans="1:20">
      <c r="A9" s="26">
        <v>6</v>
      </c>
      <c r="B9" s="27">
        <v>46118</v>
      </c>
      <c r="C9" s="17"/>
      <c r="D9" s="137"/>
      <c r="E9" s="93">
        <v>35</v>
      </c>
      <c r="F9" s="93">
        <v>90.88</v>
      </c>
      <c r="G9" s="179">
        <v>3180.7999999999997</v>
      </c>
      <c r="H9" s="93">
        <v>5</v>
      </c>
      <c r="I9" s="93">
        <v>102.77</v>
      </c>
      <c r="J9" s="179">
        <f t="shared" si="1"/>
        <v>513.85</v>
      </c>
      <c r="K9" s="179">
        <f t="shared" si="2"/>
        <v>3694.6499999999996</v>
      </c>
      <c r="L9" s="179"/>
      <c r="M9" s="179">
        <f t="shared" si="3"/>
        <v>31863.789799999984</v>
      </c>
      <c r="N9" s="17"/>
    </row>
    <row r="10" spans="1:20">
      <c r="A10" s="26">
        <v>7</v>
      </c>
      <c r="B10" s="27">
        <v>46119</v>
      </c>
      <c r="C10" s="17"/>
      <c r="D10" s="137"/>
      <c r="E10" s="93">
        <v>142</v>
      </c>
      <c r="F10" s="93">
        <v>90.88</v>
      </c>
      <c r="G10" s="179">
        <f t="shared" si="0"/>
        <v>12904.96</v>
      </c>
      <c r="H10" s="93">
        <v>10</v>
      </c>
      <c r="I10" s="93">
        <v>102.77</v>
      </c>
      <c r="J10" s="179">
        <f t="shared" si="1"/>
        <v>1027.7</v>
      </c>
      <c r="K10" s="179">
        <f t="shared" si="2"/>
        <v>13932.66</v>
      </c>
      <c r="L10" s="179"/>
      <c r="M10" s="179">
        <f t="shared" si="3"/>
        <v>45796.449799999988</v>
      </c>
      <c r="N10" s="17"/>
    </row>
    <row r="11" spans="1:20">
      <c r="A11" s="26">
        <v>8</v>
      </c>
      <c r="B11" s="27">
        <v>46120</v>
      </c>
      <c r="C11" s="17"/>
      <c r="D11" s="137"/>
      <c r="E11" s="93"/>
      <c r="F11" s="93"/>
      <c r="G11" s="179">
        <f t="shared" si="0"/>
        <v>0</v>
      </c>
      <c r="H11" s="93">
        <v>10</v>
      </c>
      <c r="I11" s="93">
        <v>102.77</v>
      </c>
      <c r="J11" s="179">
        <f t="shared" si="1"/>
        <v>1027.7</v>
      </c>
      <c r="K11" s="179">
        <f t="shared" si="2"/>
        <v>1027.7</v>
      </c>
      <c r="L11" s="179"/>
      <c r="M11" s="179">
        <f t="shared" si="3"/>
        <v>46824.149799999985</v>
      </c>
      <c r="N11" s="17"/>
    </row>
    <row r="12" spans="1:20">
      <c r="A12" s="26">
        <v>9</v>
      </c>
      <c r="B12" s="27">
        <v>46121</v>
      </c>
      <c r="C12" s="17"/>
      <c r="D12" s="137"/>
      <c r="E12" s="93">
        <v>106.41</v>
      </c>
      <c r="F12" s="93">
        <v>90.88</v>
      </c>
      <c r="G12" s="179">
        <f t="shared" si="0"/>
        <v>9670.5407999999989</v>
      </c>
      <c r="H12" s="93"/>
      <c r="I12" s="93"/>
      <c r="J12" s="179">
        <f t="shared" si="1"/>
        <v>0</v>
      </c>
      <c r="K12" s="179">
        <f t="shared" si="2"/>
        <v>9670.5407999999989</v>
      </c>
      <c r="L12" s="179"/>
      <c r="M12" s="179">
        <f t="shared" si="3"/>
        <v>56494.690599999987</v>
      </c>
      <c r="N12" s="17"/>
    </row>
    <row r="13" spans="1:20">
      <c r="A13" s="26">
        <v>10</v>
      </c>
      <c r="B13" s="27">
        <v>46122</v>
      </c>
      <c r="C13" s="17"/>
      <c r="D13" s="137"/>
      <c r="E13" s="93"/>
      <c r="F13" s="93"/>
      <c r="G13" s="179">
        <f t="shared" si="0"/>
        <v>0</v>
      </c>
      <c r="H13" s="93">
        <v>5</v>
      </c>
      <c r="I13" s="93">
        <v>102.77</v>
      </c>
      <c r="J13" s="179">
        <f t="shared" si="1"/>
        <v>513.85</v>
      </c>
      <c r="K13" s="179">
        <f t="shared" si="2"/>
        <v>513.85</v>
      </c>
      <c r="L13" s="179"/>
      <c r="M13" s="179">
        <f>M12+K13-L13</f>
        <v>57008.540599999986</v>
      </c>
      <c r="N13" s="17"/>
    </row>
    <row r="14" spans="1:20">
      <c r="A14" s="26">
        <v>11</v>
      </c>
      <c r="B14" s="27">
        <v>46123</v>
      </c>
      <c r="C14" s="17"/>
      <c r="D14" s="137"/>
      <c r="E14" s="93">
        <v>20</v>
      </c>
      <c r="F14" s="93">
        <v>90.88</v>
      </c>
      <c r="G14" s="179">
        <f t="shared" si="0"/>
        <v>1817.6</v>
      </c>
      <c r="H14" s="93"/>
      <c r="I14" s="93"/>
      <c r="J14" s="179">
        <f t="shared" si="1"/>
        <v>0</v>
      </c>
      <c r="K14" s="179">
        <f t="shared" si="2"/>
        <v>1817.6</v>
      </c>
      <c r="L14" s="179"/>
      <c r="M14" s="179">
        <f t="shared" si="3"/>
        <v>58826.140599999984</v>
      </c>
      <c r="N14" s="17"/>
    </row>
    <row r="15" spans="1:20">
      <c r="A15" s="26">
        <v>12</v>
      </c>
      <c r="B15" s="27">
        <v>46124</v>
      </c>
      <c r="C15" s="17"/>
      <c r="D15" s="137"/>
      <c r="E15" s="93">
        <v>61.58</v>
      </c>
      <c r="F15" s="93">
        <v>90.88</v>
      </c>
      <c r="G15" s="179">
        <f t="shared" si="0"/>
        <v>5596.3903999999993</v>
      </c>
      <c r="H15" s="93"/>
      <c r="I15" s="93"/>
      <c r="J15" s="179">
        <f t="shared" si="1"/>
        <v>0</v>
      </c>
      <c r="K15" s="179">
        <f t="shared" si="2"/>
        <v>5596.3903999999993</v>
      </c>
      <c r="L15" s="179"/>
      <c r="M15" s="179">
        <f t="shared" si="3"/>
        <v>64422.530999999981</v>
      </c>
      <c r="N15" s="17"/>
    </row>
    <row r="16" spans="1:20">
      <c r="A16" s="26">
        <v>13</v>
      </c>
      <c r="B16" s="27">
        <v>46125</v>
      </c>
      <c r="C16" s="17"/>
      <c r="D16" s="137"/>
      <c r="E16" s="93">
        <v>100</v>
      </c>
      <c r="F16" s="93">
        <v>90.88</v>
      </c>
      <c r="G16" s="179">
        <f t="shared" si="0"/>
        <v>9088</v>
      </c>
      <c r="H16" s="93"/>
      <c r="I16" s="93"/>
      <c r="J16" s="179">
        <f t="shared" si="1"/>
        <v>0</v>
      </c>
      <c r="K16" s="179">
        <f t="shared" si="2"/>
        <v>9088</v>
      </c>
      <c r="L16" s="179"/>
      <c r="M16" s="179">
        <f t="shared" si="3"/>
        <v>73510.530999999988</v>
      </c>
      <c r="N16" s="17"/>
    </row>
    <row r="17" spans="1:15">
      <c r="A17" s="26">
        <v>14</v>
      </c>
      <c r="B17" s="27">
        <v>46126</v>
      </c>
      <c r="C17" s="17"/>
      <c r="D17" s="137"/>
      <c r="E17" s="93">
        <v>103.5</v>
      </c>
      <c r="F17" s="93">
        <v>90.88</v>
      </c>
      <c r="G17" s="179">
        <f t="shared" si="0"/>
        <v>9406.08</v>
      </c>
      <c r="H17" s="93"/>
      <c r="I17" s="93"/>
      <c r="J17" s="179">
        <f t="shared" si="1"/>
        <v>0</v>
      </c>
      <c r="K17" s="179">
        <f t="shared" si="2"/>
        <v>9406.08</v>
      </c>
      <c r="L17" s="179"/>
      <c r="M17" s="179">
        <f t="shared" si="3"/>
        <v>82916.61099999999</v>
      </c>
      <c r="N17" s="17"/>
    </row>
    <row r="18" spans="1:15">
      <c r="A18" s="26">
        <v>15</v>
      </c>
      <c r="B18" s="27">
        <v>46127</v>
      </c>
      <c r="C18" s="17"/>
      <c r="D18" s="137"/>
      <c r="E18" s="93"/>
      <c r="F18" s="93"/>
      <c r="G18" s="179">
        <f t="shared" si="0"/>
        <v>0</v>
      </c>
      <c r="H18" s="93"/>
      <c r="I18" s="93">
        <v>102.77</v>
      </c>
      <c r="J18" s="179">
        <f t="shared" si="1"/>
        <v>0</v>
      </c>
      <c r="K18" s="179">
        <f t="shared" si="2"/>
        <v>0</v>
      </c>
      <c r="L18" s="179"/>
      <c r="M18" s="179">
        <f>M17+K18-L18</f>
        <v>82916.61099999999</v>
      </c>
      <c r="N18" s="17"/>
    </row>
    <row r="19" spans="1:15">
      <c r="A19" s="26">
        <v>16</v>
      </c>
      <c r="B19" s="27">
        <v>46128</v>
      </c>
      <c r="C19" s="17"/>
      <c r="D19" s="137"/>
      <c r="E19" s="93"/>
      <c r="F19" s="93"/>
      <c r="G19" s="179">
        <f t="shared" si="0"/>
        <v>0</v>
      </c>
      <c r="H19" s="93">
        <v>10</v>
      </c>
      <c r="I19" s="93">
        <v>102.77</v>
      </c>
      <c r="J19" s="179">
        <f t="shared" si="1"/>
        <v>1027.7</v>
      </c>
      <c r="K19" s="179">
        <f t="shared" si="2"/>
        <v>1027.7</v>
      </c>
      <c r="L19" s="179"/>
      <c r="M19" s="179">
        <f t="shared" si="3"/>
        <v>83944.310999999987</v>
      </c>
      <c r="N19" s="17"/>
    </row>
    <row r="20" spans="1:15">
      <c r="A20" s="26">
        <v>17</v>
      </c>
      <c r="B20" s="27">
        <v>46129</v>
      </c>
      <c r="C20" s="17"/>
      <c r="D20" s="137"/>
      <c r="E20" s="93">
        <v>125.99</v>
      </c>
      <c r="F20" s="93">
        <v>90.88</v>
      </c>
      <c r="G20" s="179">
        <f t="shared" si="0"/>
        <v>11449.971199999998</v>
      </c>
      <c r="H20" s="93">
        <v>15</v>
      </c>
      <c r="I20" s="93">
        <v>102.77</v>
      </c>
      <c r="J20" s="179">
        <f t="shared" si="1"/>
        <v>1541.55</v>
      </c>
      <c r="K20" s="179">
        <f>G20+J20</f>
        <v>12991.521199999997</v>
      </c>
      <c r="L20" s="179"/>
      <c r="M20" s="179">
        <f t="shared" si="3"/>
        <v>96935.83219999999</v>
      </c>
      <c r="N20" s="17"/>
      <c r="O20">
        <v>16.68</v>
      </c>
    </row>
    <row r="21" spans="1:15">
      <c r="A21" s="26">
        <v>18</v>
      </c>
      <c r="B21" s="27">
        <v>46130</v>
      </c>
      <c r="C21" s="17"/>
      <c r="D21" s="137"/>
      <c r="E21" s="93">
        <v>30</v>
      </c>
      <c r="F21" s="93">
        <v>90.88</v>
      </c>
      <c r="G21" s="179">
        <f t="shared" si="0"/>
        <v>2726.3999999999996</v>
      </c>
      <c r="H21" s="93">
        <v>13</v>
      </c>
      <c r="I21" s="93">
        <v>102.77</v>
      </c>
      <c r="J21" s="179">
        <f t="shared" si="1"/>
        <v>1336.01</v>
      </c>
      <c r="K21" s="179">
        <f t="shared" si="2"/>
        <v>4062.41</v>
      </c>
      <c r="L21" s="179"/>
      <c r="M21" s="179">
        <f>M20+K21-L21</f>
        <v>100998.24219999999</v>
      </c>
      <c r="N21" s="17"/>
    </row>
    <row r="22" spans="1:15">
      <c r="A22" s="26">
        <v>19</v>
      </c>
      <c r="B22" s="27">
        <v>46131</v>
      </c>
      <c r="C22" s="17"/>
      <c r="D22" s="137"/>
      <c r="E22" s="93"/>
      <c r="F22" s="93"/>
      <c r="G22" s="179">
        <f t="shared" si="0"/>
        <v>0</v>
      </c>
      <c r="H22" s="93"/>
      <c r="I22" s="93"/>
      <c r="J22" s="179">
        <f t="shared" si="1"/>
        <v>0</v>
      </c>
      <c r="K22" s="179">
        <f t="shared" si="2"/>
        <v>0</v>
      </c>
      <c r="L22" s="179"/>
      <c r="M22" s="179">
        <f t="shared" si="3"/>
        <v>100998.24219999999</v>
      </c>
      <c r="N22" s="17"/>
    </row>
    <row r="23" spans="1:15">
      <c r="A23" s="26">
        <v>20</v>
      </c>
      <c r="B23" s="27">
        <v>46132</v>
      </c>
      <c r="C23" s="17"/>
      <c r="D23" s="137"/>
      <c r="E23" s="93"/>
      <c r="F23" s="93"/>
      <c r="G23" s="179">
        <f t="shared" si="0"/>
        <v>0</v>
      </c>
      <c r="H23" s="93"/>
      <c r="I23" s="93"/>
      <c r="J23" s="179">
        <f t="shared" si="1"/>
        <v>0</v>
      </c>
      <c r="K23" s="179">
        <f t="shared" si="2"/>
        <v>0</v>
      </c>
      <c r="L23" s="179"/>
      <c r="M23" s="179">
        <f t="shared" si="3"/>
        <v>100998.24219999999</v>
      </c>
      <c r="N23" s="17">
        <v>0</v>
      </c>
    </row>
    <row r="24" spans="1:15">
      <c r="A24" s="26">
        <v>21</v>
      </c>
      <c r="B24" s="27">
        <v>46133</v>
      </c>
      <c r="C24" s="17"/>
      <c r="D24" s="137"/>
      <c r="E24" s="93">
        <v>60</v>
      </c>
      <c r="F24" s="93">
        <v>90.88</v>
      </c>
      <c r="G24" s="179">
        <f t="shared" si="0"/>
        <v>5452.7999999999993</v>
      </c>
      <c r="H24" s="93"/>
      <c r="I24" s="93"/>
      <c r="J24" s="179">
        <f t="shared" si="1"/>
        <v>0</v>
      </c>
      <c r="K24" s="179">
        <f t="shared" si="2"/>
        <v>5452.7999999999993</v>
      </c>
      <c r="L24" s="179">
        <v>83960</v>
      </c>
      <c r="M24" s="179">
        <f t="shared" si="3"/>
        <v>22491.042199999996</v>
      </c>
      <c r="N24" s="17"/>
    </row>
    <row r="25" spans="1:15">
      <c r="A25" s="26">
        <v>22</v>
      </c>
      <c r="B25" s="27">
        <v>46134</v>
      </c>
      <c r="C25" s="17"/>
      <c r="D25" s="137"/>
      <c r="E25" s="93"/>
      <c r="F25" s="93"/>
      <c r="G25" s="179">
        <f t="shared" si="0"/>
        <v>0</v>
      </c>
      <c r="H25" s="93"/>
      <c r="I25" s="93"/>
      <c r="J25" s="179">
        <f t="shared" si="1"/>
        <v>0</v>
      </c>
      <c r="K25" s="179">
        <f t="shared" si="2"/>
        <v>0</v>
      </c>
      <c r="L25" s="179"/>
      <c r="M25" s="179">
        <f t="shared" si="3"/>
        <v>22491.042199999996</v>
      </c>
      <c r="N25" s="17"/>
    </row>
    <row r="26" spans="1:15">
      <c r="A26" s="26">
        <v>23</v>
      </c>
      <c r="B26" s="27">
        <v>46135</v>
      </c>
      <c r="C26" s="17"/>
      <c r="D26" s="137"/>
      <c r="E26" s="93">
        <v>132.85</v>
      </c>
      <c r="F26" s="93">
        <v>90.88</v>
      </c>
      <c r="G26" s="179">
        <f t="shared" si="0"/>
        <v>12073.407999999999</v>
      </c>
      <c r="H26" s="93">
        <v>5</v>
      </c>
      <c r="I26" s="93">
        <v>102.77</v>
      </c>
      <c r="J26" s="179">
        <f t="shared" si="1"/>
        <v>513.85</v>
      </c>
      <c r="K26" s="179">
        <f t="shared" si="2"/>
        <v>12587.258</v>
      </c>
      <c r="L26" s="179"/>
      <c r="M26" s="179">
        <f t="shared" si="3"/>
        <v>35078.300199999998</v>
      </c>
      <c r="N26" s="17"/>
    </row>
    <row r="27" spans="1:15">
      <c r="A27" s="26">
        <v>24</v>
      </c>
      <c r="B27" s="27">
        <v>46136</v>
      </c>
      <c r="C27" s="17"/>
      <c r="D27" s="137"/>
      <c r="E27" s="93"/>
      <c r="F27" s="93"/>
      <c r="G27" s="179">
        <f t="shared" si="0"/>
        <v>0</v>
      </c>
      <c r="H27" s="93"/>
      <c r="I27" s="93"/>
      <c r="J27" s="179">
        <f t="shared" si="1"/>
        <v>0</v>
      </c>
      <c r="K27" s="179">
        <f t="shared" si="2"/>
        <v>0</v>
      </c>
      <c r="L27" s="179"/>
      <c r="M27" s="179">
        <f t="shared" si="3"/>
        <v>35078.300199999998</v>
      </c>
      <c r="N27" s="17"/>
    </row>
    <row r="28" spans="1:15">
      <c r="A28" s="26">
        <v>25</v>
      </c>
      <c r="B28" s="27">
        <v>46137</v>
      </c>
      <c r="C28" s="17"/>
      <c r="D28" s="137"/>
      <c r="E28" s="93"/>
      <c r="F28" s="93"/>
      <c r="G28" s="179">
        <f t="shared" si="0"/>
        <v>0</v>
      </c>
      <c r="H28" s="93">
        <v>35</v>
      </c>
      <c r="I28" s="93">
        <v>102.77</v>
      </c>
      <c r="J28" s="179">
        <f t="shared" si="1"/>
        <v>3596.95</v>
      </c>
      <c r="K28" s="179">
        <f t="shared" si="2"/>
        <v>3596.95</v>
      </c>
      <c r="L28" s="179"/>
      <c r="M28" s="179">
        <f t="shared" si="3"/>
        <v>38675.250199999995</v>
      </c>
      <c r="N28" s="17"/>
    </row>
    <row r="29" spans="1:15">
      <c r="A29" s="26">
        <v>26</v>
      </c>
      <c r="B29" s="27">
        <v>46138</v>
      </c>
      <c r="C29" s="17"/>
      <c r="D29" s="137"/>
      <c r="E29" s="93">
        <v>89.8</v>
      </c>
      <c r="F29" s="93">
        <v>90.88</v>
      </c>
      <c r="G29" s="179">
        <f t="shared" si="0"/>
        <v>8161.0239999999994</v>
      </c>
      <c r="H29" s="93"/>
      <c r="I29" s="93"/>
      <c r="J29" s="179">
        <f t="shared" si="1"/>
        <v>0</v>
      </c>
      <c r="K29" s="179">
        <f t="shared" si="2"/>
        <v>8161.0239999999994</v>
      </c>
      <c r="L29" s="179"/>
      <c r="M29" s="179">
        <f t="shared" si="3"/>
        <v>46836.274199999993</v>
      </c>
      <c r="N29" s="17"/>
    </row>
    <row r="30" spans="1:15">
      <c r="A30" s="26">
        <v>27</v>
      </c>
      <c r="B30" s="27">
        <v>46139</v>
      </c>
      <c r="C30" s="17"/>
      <c r="D30" s="137"/>
      <c r="E30" s="93">
        <v>335.3</v>
      </c>
      <c r="F30" s="93">
        <v>90.88</v>
      </c>
      <c r="G30" s="179">
        <f t="shared" si="0"/>
        <v>30472.063999999998</v>
      </c>
      <c r="H30" s="93">
        <v>15</v>
      </c>
      <c r="I30" s="93">
        <v>102.77</v>
      </c>
      <c r="J30" s="179">
        <f t="shared" si="1"/>
        <v>1541.55</v>
      </c>
      <c r="K30" s="179">
        <f t="shared" si="2"/>
        <v>32013.613999999998</v>
      </c>
      <c r="L30" s="179"/>
      <c r="M30" s="179">
        <f t="shared" si="3"/>
        <v>78849.888199999987</v>
      </c>
      <c r="N30" s="17"/>
    </row>
    <row r="31" spans="1:15">
      <c r="A31" s="26">
        <v>28</v>
      </c>
      <c r="B31" s="27">
        <v>46140</v>
      </c>
      <c r="C31" s="17"/>
      <c r="D31" s="137"/>
      <c r="E31" s="93">
        <v>20</v>
      </c>
      <c r="F31" s="93">
        <v>90.88</v>
      </c>
      <c r="G31" s="179">
        <f t="shared" si="0"/>
        <v>1817.6</v>
      </c>
      <c r="H31" s="93"/>
      <c r="I31" s="93"/>
      <c r="J31" s="179">
        <f t="shared" si="1"/>
        <v>0</v>
      </c>
      <c r="K31" s="179">
        <f t="shared" si="2"/>
        <v>1817.6</v>
      </c>
      <c r="L31" s="179"/>
      <c r="M31" s="179">
        <f>M30+K31-L31</f>
        <v>80667.488199999993</v>
      </c>
      <c r="N31" s="17"/>
    </row>
    <row r="32" spans="1:15">
      <c r="A32" s="26">
        <v>29</v>
      </c>
      <c r="B32" s="27">
        <v>46141</v>
      </c>
      <c r="C32" s="17"/>
      <c r="D32" s="137"/>
      <c r="E32" s="93">
        <v>236.45</v>
      </c>
      <c r="F32" s="93">
        <v>90.88</v>
      </c>
      <c r="G32" s="179">
        <f t="shared" si="0"/>
        <v>21488.575999999997</v>
      </c>
      <c r="H32" s="93">
        <v>15</v>
      </c>
      <c r="I32" s="93">
        <v>102.77</v>
      </c>
      <c r="J32" s="179">
        <f t="shared" si="1"/>
        <v>1541.55</v>
      </c>
      <c r="K32" s="179">
        <f t="shared" si="2"/>
        <v>23030.125999999997</v>
      </c>
      <c r="L32" s="179"/>
      <c r="M32" s="179">
        <f t="shared" si="3"/>
        <v>103697.61419999998</v>
      </c>
      <c r="N32" s="17"/>
    </row>
    <row r="33" spans="1:14">
      <c r="A33" s="26">
        <v>30</v>
      </c>
      <c r="B33" s="27">
        <v>46142</v>
      </c>
      <c r="C33" s="17"/>
      <c r="D33" s="137"/>
      <c r="E33" s="93">
        <v>116.61</v>
      </c>
      <c r="F33" s="93">
        <v>90.88</v>
      </c>
      <c r="G33" s="179">
        <f t="shared" si="0"/>
        <v>10597.516799999999</v>
      </c>
      <c r="H33" s="93"/>
      <c r="I33" s="93"/>
      <c r="J33" s="179">
        <f t="shared" si="1"/>
        <v>0</v>
      </c>
      <c r="K33" s="179">
        <f t="shared" si="2"/>
        <v>10597.516799999999</v>
      </c>
      <c r="L33" s="179"/>
      <c r="M33" s="179">
        <f t="shared" si="3"/>
        <v>114295.13099999998</v>
      </c>
      <c r="N33" s="17"/>
    </row>
    <row r="34" spans="1:14">
      <c r="A34" s="26">
        <v>31</v>
      </c>
      <c r="B34" s="27">
        <v>46143</v>
      </c>
      <c r="C34" s="17"/>
      <c r="D34" s="17"/>
      <c r="E34" s="93"/>
      <c r="F34" s="93"/>
      <c r="G34" s="179">
        <f t="shared" si="0"/>
        <v>0</v>
      </c>
      <c r="H34" s="93"/>
      <c r="I34" s="93"/>
      <c r="J34" s="179">
        <f t="shared" si="1"/>
        <v>0</v>
      </c>
      <c r="K34" s="179">
        <f t="shared" si="2"/>
        <v>0</v>
      </c>
      <c r="L34" s="137"/>
      <c r="M34" s="179">
        <f t="shared" si="3"/>
        <v>114295.13099999998</v>
      </c>
      <c r="N34" s="17"/>
    </row>
    <row r="35" spans="1:14">
      <c r="A35" s="42"/>
      <c r="B35" s="42"/>
      <c r="C35" s="42"/>
      <c r="D35" s="42"/>
      <c r="E35" s="42">
        <f>SUM(E4:E34)</f>
        <v>2008.4899999999998</v>
      </c>
      <c r="F35" s="42"/>
      <c r="G35" s="42">
        <f>SUM(G4:G34)</f>
        <v>182531.57120000001</v>
      </c>
      <c r="H35" s="42">
        <f>SUM(H4:H34)</f>
        <v>153</v>
      </c>
      <c r="I35" s="42"/>
      <c r="J35" s="42">
        <f>SUM(J4:J34)</f>
        <v>15723.809999999998</v>
      </c>
      <c r="K35" s="42">
        <f>SUM(K4:K34)</f>
        <v>198255.3812</v>
      </c>
      <c r="L35" s="42">
        <f>SUM(L4:L34)</f>
        <v>237619</v>
      </c>
      <c r="M35" s="42">
        <f>SUM(M4:M34)</f>
        <v>2024370.6657999996</v>
      </c>
      <c r="N35" s="42"/>
    </row>
    <row r="37" spans="1:14">
      <c r="K37" s="22"/>
    </row>
  </sheetData>
  <mergeCells count="1">
    <mergeCell ref="A1:N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425B-F20E-4178-950E-FB51E0DEDA4F}">
  <dimension ref="A1:Q41"/>
  <sheetViews>
    <sheetView topLeftCell="A25" workbookViewId="0">
      <selection activeCell="M42" sqref="M42"/>
    </sheetView>
  </sheetViews>
  <sheetFormatPr defaultRowHeight="15"/>
  <cols>
    <col min="2" max="2" width="14.42578125" customWidth="1"/>
    <col min="5" max="5" width="10.7109375" bestFit="1" customWidth="1"/>
    <col min="7" max="7" width="10.42578125" bestFit="1" customWidth="1"/>
    <col min="11" max="12" width="13.5703125" bestFit="1" customWidth="1"/>
    <col min="13" max="13" width="11.28515625" bestFit="1" customWidth="1"/>
  </cols>
  <sheetData>
    <row r="1" spans="1:17" ht="15.75">
      <c r="A1" s="499" t="s">
        <v>246</v>
      </c>
      <c r="B1" s="499"/>
      <c r="C1" s="499"/>
      <c r="D1" s="499"/>
      <c r="E1" s="499"/>
      <c r="F1" s="499"/>
      <c r="G1" s="499"/>
      <c r="H1" s="499"/>
      <c r="I1" s="499"/>
      <c r="J1" s="499"/>
      <c r="K1" s="499"/>
      <c r="L1" s="499"/>
      <c r="M1" s="499"/>
      <c r="N1" s="499"/>
      <c r="O1" s="92"/>
      <c r="P1" s="92"/>
      <c r="Q1" s="92"/>
    </row>
    <row r="2" spans="1:17">
      <c r="A2" s="64" t="s">
        <v>0</v>
      </c>
      <c r="B2" s="64" t="s">
        <v>164</v>
      </c>
      <c r="C2" s="64" t="s">
        <v>165</v>
      </c>
      <c r="D2" s="64" t="s">
        <v>166</v>
      </c>
      <c r="E2" s="91" t="s">
        <v>167</v>
      </c>
      <c r="F2" s="91" t="s">
        <v>168</v>
      </c>
      <c r="G2" s="91" t="s">
        <v>169</v>
      </c>
      <c r="H2" s="91" t="s">
        <v>170</v>
      </c>
      <c r="I2" s="91" t="s">
        <v>168</v>
      </c>
      <c r="J2" s="91" t="s">
        <v>169</v>
      </c>
      <c r="K2" s="91" t="s">
        <v>171</v>
      </c>
      <c r="L2" s="85" t="s">
        <v>172</v>
      </c>
      <c r="M2" s="85" t="s">
        <v>173</v>
      </c>
      <c r="N2" s="64" t="s">
        <v>174</v>
      </c>
    </row>
    <row r="3" spans="1:17">
      <c r="A3" s="17"/>
      <c r="B3" s="17"/>
      <c r="C3" s="17"/>
      <c r="D3" s="17" t="s">
        <v>175</v>
      </c>
      <c r="E3" s="17"/>
      <c r="F3" s="17"/>
      <c r="G3" s="17"/>
      <c r="H3" s="17"/>
      <c r="I3" s="17"/>
      <c r="J3" s="17"/>
      <c r="K3" s="40">
        <v>607059.50786000013</v>
      </c>
      <c r="L3" s="17"/>
      <c r="M3" s="40">
        <v>607059.50786000013</v>
      </c>
      <c r="N3" s="17"/>
      <c r="O3" s="40">
        <v>26506.399999999994</v>
      </c>
    </row>
    <row r="4" spans="1:17">
      <c r="A4" s="26">
        <v>1</v>
      </c>
      <c r="B4" s="27">
        <v>46113</v>
      </c>
      <c r="C4" s="17"/>
      <c r="D4" s="17"/>
      <c r="E4" s="389"/>
      <c r="F4" s="93"/>
      <c r="G4" s="40">
        <f t="shared" ref="G4" si="0">E4*F4</f>
        <v>0</v>
      </c>
      <c r="H4" s="44"/>
      <c r="I4" s="44"/>
      <c r="J4" s="40">
        <f t="shared" ref="J4" si="1">H4*I4</f>
        <v>0</v>
      </c>
      <c r="K4" s="40">
        <f>G4+J4</f>
        <v>0</v>
      </c>
      <c r="L4" s="40"/>
      <c r="M4" s="40">
        <f>M3+K4-L4</f>
        <v>607059.50786000013</v>
      </c>
      <c r="N4" s="17"/>
    </row>
    <row r="5" spans="1:17">
      <c r="A5" s="26">
        <v>2</v>
      </c>
      <c r="B5" s="27">
        <v>46114</v>
      </c>
      <c r="C5" s="349" t="s">
        <v>247</v>
      </c>
      <c r="D5" s="17"/>
      <c r="E5" s="389"/>
      <c r="F5" s="93"/>
      <c r="G5" s="40">
        <f t="shared" ref="G5:G36" si="2">E5*F5</f>
        <v>0</v>
      </c>
      <c r="H5" s="413">
        <v>4.83</v>
      </c>
      <c r="I5" s="413">
        <v>103.44</v>
      </c>
      <c r="J5" s="40">
        <f t="shared" ref="J5:J36" si="3">H5*I5</f>
        <v>499.61520000000002</v>
      </c>
      <c r="K5" s="40">
        <f t="shared" ref="K5:L37" si="4">G5+J5</f>
        <v>499.61520000000002</v>
      </c>
      <c r="L5" s="40">
        <v>607499.62</v>
      </c>
      <c r="M5" s="40">
        <f>M4+K5-L5</f>
        <v>59.503060000133701</v>
      </c>
      <c r="N5" s="17"/>
    </row>
    <row r="6" spans="1:17">
      <c r="A6" s="26">
        <v>3</v>
      </c>
      <c r="B6" s="27">
        <v>46115</v>
      </c>
      <c r="C6" s="17"/>
      <c r="D6" s="17"/>
      <c r="E6" s="389">
        <v>800</v>
      </c>
      <c r="F6" s="93">
        <v>91.54</v>
      </c>
      <c r="G6" s="40">
        <f t="shared" si="2"/>
        <v>73232</v>
      </c>
      <c r="H6" s="413">
        <v>4.83</v>
      </c>
      <c r="I6" s="413">
        <v>103.44</v>
      </c>
      <c r="J6" s="40">
        <f t="shared" si="3"/>
        <v>499.61520000000002</v>
      </c>
      <c r="K6" s="40">
        <f t="shared" si="4"/>
        <v>73731.6152</v>
      </c>
      <c r="L6" s="40">
        <v>499.62</v>
      </c>
      <c r="M6" s="40">
        <f>M5+K6-L6</f>
        <v>73291.498260000139</v>
      </c>
      <c r="N6" s="17"/>
    </row>
    <row r="7" spans="1:17">
      <c r="A7" s="26">
        <v>4</v>
      </c>
      <c r="B7" s="27">
        <v>46116</v>
      </c>
      <c r="C7" s="17"/>
      <c r="D7" s="17"/>
      <c r="E7" s="389"/>
      <c r="F7" s="93"/>
      <c r="G7" s="40">
        <f t="shared" si="2"/>
        <v>0</v>
      </c>
      <c r="H7" s="44"/>
      <c r="I7" s="44"/>
      <c r="J7" s="40">
        <f t="shared" si="3"/>
        <v>0</v>
      </c>
      <c r="K7" s="40">
        <f t="shared" si="4"/>
        <v>0</v>
      </c>
      <c r="L7" s="40"/>
      <c r="M7" s="40">
        <f>M6+K7-L7</f>
        <v>73291.498260000139</v>
      </c>
      <c r="N7" s="17"/>
    </row>
    <row r="8" spans="1:17">
      <c r="A8" s="26">
        <v>5</v>
      </c>
      <c r="B8" s="27">
        <v>46117</v>
      </c>
      <c r="C8" s="17"/>
      <c r="D8" s="17"/>
      <c r="E8" s="389"/>
      <c r="F8" s="93"/>
      <c r="G8" s="40">
        <f t="shared" si="2"/>
        <v>0</v>
      </c>
      <c r="H8" s="44"/>
      <c r="I8" s="44"/>
      <c r="J8" s="40">
        <f t="shared" si="3"/>
        <v>0</v>
      </c>
      <c r="K8" s="40">
        <f t="shared" si="4"/>
        <v>0</v>
      </c>
      <c r="L8" s="40"/>
      <c r="M8" s="40">
        <f>M7+K8-L8</f>
        <v>73291.498260000139</v>
      </c>
      <c r="N8" s="17"/>
    </row>
    <row r="9" spans="1:17">
      <c r="A9" s="26">
        <v>6</v>
      </c>
      <c r="B9" s="27">
        <v>46118</v>
      </c>
      <c r="C9" s="17"/>
      <c r="D9" s="17"/>
      <c r="E9" s="389">
        <v>1000</v>
      </c>
      <c r="F9" s="93">
        <v>91.54</v>
      </c>
      <c r="G9" s="40">
        <f t="shared" si="2"/>
        <v>91540</v>
      </c>
      <c r="H9" s="44">
        <v>19.32</v>
      </c>
      <c r="I9" s="44">
        <v>103.44</v>
      </c>
      <c r="J9" s="40">
        <f t="shared" si="3"/>
        <v>1998.4608000000001</v>
      </c>
      <c r="K9" s="40">
        <f t="shared" si="4"/>
        <v>93538.460800000001</v>
      </c>
      <c r="L9" s="40">
        <v>1998.4608000000001</v>
      </c>
      <c r="M9" s="40">
        <f t="shared" ref="M9:M37" si="5">M8+K9-L9</f>
        <v>164831.49826000014</v>
      </c>
      <c r="N9" s="17"/>
    </row>
    <row r="10" spans="1:17">
      <c r="A10" s="26">
        <v>7</v>
      </c>
      <c r="B10" s="27">
        <v>46119</v>
      </c>
      <c r="C10" s="17"/>
      <c r="D10" s="17"/>
      <c r="E10" s="389">
        <v>800</v>
      </c>
      <c r="F10" s="93">
        <v>91.54</v>
      </c>
      <c r="G10" s="40">
        <f t="shared" si="2"/>
        <v>73232</v>
      </c>
      <c r="H10" s="44">
        <v>11</v>
      </c>
      <c r="I10" s="44">
        <v>113.41</v>
      </c>
      <c r="J10" s="40">
        <f t="shared" si="3"/>
        <v>1247.51</v>
      </c>
      <c r="K10" s="40">
        <f t="shared" si="4"/>
        <v>74479.509999999995</v>
      </c>
      <c r="L10" s="40"/>
      <c r="M10" s="40">
        <f t="shared" si="5"/>
        <v>239311.00826000015</v>
      </c>
      <c r="N10" s="17"/>
    </row>
    <row r="11" spans="1:17">
      <c r="A11" s="26"/>
      <c r="B11" s="27">
        <v>46119</v>
      </c>
      <c r="C11" s="17"/>
      <c r="D11" s="17"/>
      <c r="E11" s="389"/>
      <c r="F11" s="93"/>
      <c r="G11" s="40">
        <f t="shared" si="2"/>
        <v>0</v>
      </c>
      <c r="H11" s="44">
        <v>4.83</v>
      </c>
      <c r="I11" s="44">
        <v>103.44</v>
      </c>
      <c r="J11" s="40">
        <f t="shared" si="3"/>
        <v>499.61520000000002</v>
      </c>
      <c r="K11" s="40">
        <f t="shared" si="4"/>
        <v>499.61520000000002</v>
      </c>
      <c r="L11" s="40">
        <v>500</v>
      </c>
      <c r="M11" s="40">
        <f t="shared" si="5"/>
        <v>239310.62346000015</v>
      </c>
      <c r="N11" s="17"/>
    </row>
    <row r="12" spans="1:17">
      <c r="A12" s="26">
        <v>8</v>
      </c>
      <c r="B12" s="27">
        <v>46120</v>
      </c>
      <c r="C12" s="17"/>
      <c r="D12" s="17"/>
      <c r="E12" s="389">
        <v>1000</v>
      </c>
      <c r="F12" s="93">
        <v>91.54</v>
      </c>
      <c r="G12" s="40">
        <f t="shared" si="2"/>
        <v>91540</v>
      </c>
      <c r="H12" s="44"/>
      <c r="I12" s="44"/>
      <c r="J12" s="40">
        <f t="shared" si="3"/>
        <v>0</v>
      </c>
      <c r="K12" s="40">
        <f t="shared" si="4"/>
        <v>91540</v>
      </c>
      <c r="L12" s="40"/>
      <c r="M12" s="40">
        <f>M10+K12-L12</f>
        <v>330851.00826000015</v>
      </c>
      <c r="N12" s="17"/>
    </row>
    <row r="13" spans="1:17">
      <c r="A13" s="26">
        <v>9</v>
      </c>
      <c r="B13" s="27">
        <v>46121</v>
      </c>
      <c r="C13" s="17"/>
      <c r="D13" s="17"/>
      <c r="E13" s="389">
        <v>800</v>
      </c>
      <c r="F13" s="93">
        <v>91.54</v>
      </c>
      <c r="G13" s="40">
        <f t="shared" si="2"/>
        <v>73232</v>
      </c>
      <c r="H13" s="44">
        <v>14.55</v>
      </c>
      <c r="I13" s="44">
        <v>103.44</v>
      </c>
      <c r="J13" s="40">
        <f t="shared" si="3"/>
        <v>1505.0520000000001</v>
      </c>
      <c r="K13" s="40">
        <f t="shared" si="4"/>
        <v>74737.051999999996</v>
      </c>
      <c r="L13" s="40">
        <v>1505.0520000000001</v>
      </c>
      <c r="M13" s="40">
        <f>M12+K13-L13</f>
        <v>404083.00826000015</v>
      </c>
      <c r="N13" s="17"/>
    </row>
    <row r="14" spans="1:17">
      <c r="A14" s="26">
        <v>10</v>
      </c>
      <c r="B14" s="27">
        <v>46122</v>
      </c>
      <c r="C14" s="17"/>
      <c r="D14" s="17"/>
      <c r="E14" s="389"/>
      <c r="F14" s="93"/>
      <c r="G14" s="40">
        <f t="shared" si="2"/>
        <v>0</v>
      </c>
      <c r="H14" s="44"/>
      <c r="I14" s="44"/>
      <c r="J14" s="40">
        <f t="shared" si="3"/>
        <v>0</v>
      </c>
      <c r="K14" s="40">
        <f t="shared" si="4"/>
        <v>0</v>
      </c>
      <c r="L14" s="40"/>
      <c r="M14" s="40">
        <f t="shared" si="5"/>
        <v>404083.00826000015</v>
      </c>
      <c r="N14" s="17"/>
    </row>
    <row r="15" spans="1:17">
      <c r="A15" s="26">
        <v>11</v>
      </c>
      <c r="B15" s="27">
        <v>46123</v>
      </c>
      <c r="C15" s="17"/>
      <c r="D15" s="17"/>
      <c r="E15" s="423">
        <v>800</v>
      </c>
      <c r="F15" s="423">
        <v>91.54</v>
      </c>
      <c r="G15" s="40">
        <f t="shared" si="2"/>
        <v>73232</v>
      </c>
      <c r="H15" s="44">
        <v>9.66</v>
      </c>
      <c r="I15" s="44">
        <v>103.44</v>
      </c>
      <c r="J15" s="40">
        <f t="shared" si="3"/>
        <v>999.23040000000003</v>
      </c>
      <c r="K15" s="40">
        <f t="shared" si="4"/>
        <v>74231.2304</v>
      </c>
      <c r="L15" s="40">
        <v>999.23040000000003</v>
      </c>
      <c r="M15" s="40">
        <f>M14+K15-L15</f>
        <v>477315.00826000015</v>
      </c>
      <c r="N15" s="17"/>
    </row>
    <row r="16" spans="1:17">
      <c r="A16" s="26">
        <v>12</v>
      </c>
      <c r="B16" s="27">
        <v>46124</v>
      </c>
      <c r="C16" s="17"/>
      <c r="D16" s="93"/>
      <c r="E16" s="423">
        <v>400</v>
      </c>
      <c r="F16" s="423">
        <v>91.54</v>
      </c>
      <c r="G16" s="40">
        <f t="shared" si="2"/>
        <v>36616</v>
      </c>
      <c r="H16" s="44"/>
      <c r="I16" s="44"/>
      <c r="J16" s="40">
        <f t="shared" si="3"/>
        <v>0</v>
      </c>
      <c r="K16" s="40">
        <f t="shared" si="4"/>
        <v>36616</v>
      </c>
      <c r="L16" s="40"/>
      <c r="M16" s="40">
        <f>M15+K16-L16</f>
        <v>513931.00826000015</v>
      </c>
      <c r="N16" s="17"/>
    </row>
    <row r="17" spans="1:17">
      <c r="A17" s="26">
        <v>13</v>
      </c>
      <c r="B17" s="27">
        <v>46125</v>
      </c>
      <c r="C17" s="17"/>
      <c r="D17" s="17">
        <v>0</v>
      </c>
      <c r="E17" s="389">
        <v>200</v>
      </c>
      <c r="F17" s="93">
        <v>91.54</v>
      </c>
      <c r="G17" s="40">
        <f t="shared" si="2"/>
        <v>18308</v>
      </c>
      <c r="H17" s="44">
        <v>9.66</v>
      </c>
      <c r="I17" s="44">
        <v>103.44</v>
      </c>
      <c r="J17" s="40">
        <f t="shared" si="3"/>
        <v>999.23040000000003</v>
      </c>
      <c r="K17" s="40">
        <f t="shared" si="4"/>
        <v>19307.2304</v>
      </c>
      <c r="L17" s="40">
        <v>999.23040000000003</v>
      </c>
      <c r="M17" s="40">
        <f t="shared" si="5"/>
        <v>532239.00826000015</v>
      </c>
      <c r="N17" s="17"/>
      <c r="Q17" s="338"/>
    </row>
    <row r="18" spans="1:17">
      <c r="A18" s="26">
        <v>14</v>
      </c>
      <c r="B18" s="27">
        <v>46126</v>
      </c>
      <c r="C18" s="17"/>
      <c r="D18" s="17"/>
      <c r="E18" s="389"/>
      <c r="F18" s="93"/>
      <c r="G18" s="40">
        <f t="shared" si="2"/>
        <v>0</v>
      </c>
      <c r="H18" s="44">
        <v>4.83</v>
      </c>
      <c r="I18" s="44">
        <v>103.44</v>
      </c>
      <c r="J18" s="40">
        <f t="shared" si="3"/>
        <v>499.61520000000002</v>
      </c>
      <c r="K18" s="40">
        <f t="shared" si="4"/>
        <v>499.61520000000002</v>
      </c>
      <c r="L18" s="40">
        <v>499.62</v>
      </c>
      <c r="M18" s="40">
        <f t="shared" si="5"/>
        <v>532239.00346000015</v>
      </c>
      <c r="N18" s="17"/>
    </row>
    <row r="19" spans="1:17">
      <c r="A19" s="26">
        <v>15</v>
      </c>
      <c r="B19" s="27">
        <v>46127</v>
      </c>
      <c r="C19" s="17"/>
      <c r="D19" s="17"/>
      <c r="E19" s="389">
        <v>100</v>
      </c>
      <c r="F19" s="93">
        <v>91.54</v>
      </c>
      <c r="G19" s="40">
        <f t="shared" si="2"/>
        <v>9154</v>
      </c>
      <c r="H19" s="44"/>
      <c r="I19" s="44"/>
      <c r="J19" s="40">
        <f t="shared" si="3"/>
        <v>0</v>
      </c>
      <c r="K19" s="40">
        <f t="shared" si="4"/>
        <v>9154</v>
      </c>
      <c r="L19" s="40"/>
      <c r="M19" s="40">
        <f t="shared" si="5"/>
        <v>541393.00346000015</v>
      </c>
      <c r="N19" s="17"/>
    </row>
    <row r="20" spans="1:17">
      <c r="A20" s="26">
        <v>16</v>
      </c>
      <c r="B20" s="27">
        <v>46127</v>
      </c>
      <c r="C20" s="17"/>
      <c r="D20" s="17"/>
      <c r="E20" s="389">
        <v>32.9</v>
      </c>
      <c r="F20" s="93">
        <v>91.19</v>
      </c>
      <c r="G20" s="40">
        <f t="shared" si="2"/>
        <v>3000.1509999999998</v>
      </c>
      <c r="H20" s="44">
        <v>19.32</v>
      </c>
      <c r="I20" s="44">
        <v>103.44</v>
      </c>
      <c r="J20" s="40">
        <f t="shared" si="3"/>
        <v>1998.4608000000001</v>
      </c>
      <c r="K20" s="40">
        <f t="shared" si="4"/>
        <v>4998.6117999999997</v>
      </c>
      <c r="L20" s="40">
        <v>4998.6099999999997</v>
      </c>
      <c r="M20" s="40">
        <f t="shared" si="5"/>
        <v>541393.00526000012</v>
      </c>
      <c r="N20" s="17"/>
    </row>
    <row r="21" spans="1:17">
      <c r="A21" s="26">
        <v>17</v>
      </c>
      <c r="B21" s="27">
        <v>46128</v>
      </c>
      <c r="C21" s="17"/>
      <c r="D21" s="17"/>
      <c r="E21" s="389">
        <v>300</v>
      </c>
      <c r="F21" s="93">
        <v>91.51</v>
      </c>
      <c r="G21" s="40">
        <f t="shared" si="2"/>
        <v>27453</v>
      </c>
      <c r="H21" s="44"/>
      <c r="I21" s="44"/>
      <c r="J21" s="40">
        <f t="shared" si="3"/>
        <v>0</v>
      </c>
      <c r="K21" s="40">
        <f t="shared" si="4"/>
        <v>27453</v>
      </c>
      <c r="L21" s="40">
        <v>27453</v>
      </c>
      <c r="M21" s="40">
        <f t="shared" si="5"/>
        <v>541393.00526000012</v>
      </c>
      <c r="N21" s="17"/>
    </row>
    <row r="22" spans="1:17">
      <c r="A22" s="26">
        <v>18</v>
      </c>
      <c r="B22" s="27">
        <v>46128</v>
      </c>
      <c r="C22" s="17"/>
      <c r="D22" s="17"/>
      <c r="E22" s="389">
        <v>500</v>
      </c>
      <c r="F22" s="93">
        <v>91.54</v>
      </c>
      <c r="G22" s="40">
        <f t="shared" si="2"/>
        <v>45770</v>
      </c>
      <c r="H22" s="44"/>
      <c r="I22" s="44"/>
      <c r="J22" s="40">
        <f t="shared" si="3"/>
        <v>0</v>
      </c>
      <c r="K22" s="40">
        <f t="shared" si="4"/>
        <v>45770</v>
      </c>
      <c r="L22" s="40"/>
      <c r="M22" s="40">
        <f t="shared" si="5"/>
        <v>587163.00526000012</v>
      </c>
      <c r="N22" s="17"/>
      <c r="P22" s="22"/>
    </row>
    <row r="23" spans="1:17">
      <c r="A23" s="26">
        <v>19</v>
      </c>
      <c r="B23" s="27">
        <v>46129</v>
      </c>
      <c r="C23" s="17"/>
      <c r="D23" s="17"/>
      <c r="E23" s="389">
        <v>500</v>
      </c>
      <c r="F23" s="93">
        <v>91.54</v>
      </c>
      <c r="G23" s="40">
        <f t="shared" si="2"/>
        <v>45770</v>
      </c>
      <c r="H23" s="44">
        <v>9.66</v>
      </c>
      <c r="I23" s="44">
        <v>103.44</v>
      </c>
      <c r="J23" s="40">
        <f t="shared" si="3"/>
        <v>999.23040000000003</v>
      </c>
      <c r="K23" s="40">
        <f t="shared" si="4"/>
        <v>46769.2304</v>
      </c>
      <c r="L23" s="40">
        <v>999.23040000000003</v>
      </c>
      <c r="M23" s="40">
        <f t="shared" si="5"/>
        <v>632933.00526000012</v>
      </c>
      <c r="N23" s="17"/>
    </row>
    <row r="24" spans="1:17">
      <c r="A24" s="26">
        <v>20</v>
      </c>
      <c r="B24" s="27">
        <v>46130</v>
      </c>
      <c r="C24" s="17"/>
      <c r="D24" s="17"/>
      <c r="E24" s="389">
        <v>500</v>
      </c>
      <c r="F24" s="93">
        <v>91.54</v>
      </c>
      <c r="G24" s="40">
        <f t="shared" si="2"/>
        <v>45770</v>
      </c>
      <c r="H24" s="44"/>
      <c r="I24" s="44"/>
      <c r="J24" s="40">
        <f t="shared" si="3"/>
        <v>0</v>
      </c>
      <c r="K24" s="40">
        <f t="shared" si="4"/>
        <v>45770</v>
      </c>
      <c r="L24" s="40">
        <v>300000</v>
      </c>
      <c r="M24" s="40">
        <f t="shared" si="5"/>
        <v>378703.00526000012</v>
      </c>
      <c r="N24" s="17"/>
    </row>
    <row r="25" spans="1:17">
      <c r="A25" s="26">
        <v>21</v>
      </c>
      <c r="B25" s="27">
        <v>46131</v>
      </c>
      <c r="C25" s="17"/>
      <c r="D25" s="17"/>
      <c r="E25" s="389">
        <v>600</v>
      </c>
      <c r="F25" s="93">
        <v>91.54</v>
      </c>
      <c r="G25" s="40">
        <f t="shared" si="2"/>
        <v>54924.000000000007</v>
      </c>
      <c r="H25" s="44"/>
      <c r="I25" s="44"/>
      <c r="J25" s="40">
        <f t="shared" si="3"/>
        <v>0</v>
      </c>
      <c r="K25" s="40">
        <f t="shared" si="4"/>
        <v>54924.000000000007</v>
      </c>
      <c r="L25" s="40"/>
      <c r="M25" s="40">
        <f t="shared" si="5"/>
        <v>433627.00526000012</v>
      </c>
      <c r="N25" s="17"/>
    </row>
    <row r="26" spans="1:17">
      <c r="A26" s="26">
        <v>22</v>
      </c>
      <c r="B26" s="27">
        <v>46132</v>
      </c>
      <c r="C26" s="17"/>
      <c r="D26" s="17"/>
      <c r="E26" s="389">
        <v>300</v>
      </c>
      <c r="F26" s="93">
        <v>91.54</v>
      </c>
      <c r="G26" s="40">
        <f t="shared" si="2"/>
        <v>27462.000000000004</v>
      </c>
      <c r="H26" s="44">
        <v>4.83</v>
      </c>
      <c r="I26" s="44">
        <v>103.44</v>
      </c>
      <c r="J26" s="40">
        <f t="shared" si="3"/>
        <v>499.61520000000002</v>
      </c>
      <c r="K26" s="40">
        <f t="shared" si="4"/>
        <v>27961.615200000004</v>
      </c>
      <c r="L26" s="40">
        <v>499.61520000000002</v>
      </c>
      <c r="M26" s="40">
        <f t="shared" si="5"/>
        <v>461089.00526000012</v>
      </c>
      <c r="N26" s="17"/>
    </row>
    <row r="27" spans="1:17">
      <c r="A27" s="26">
        <v>23</v>
      </c>
      <c r="B27" s="27">
        <v>46133</v>
      </c>
      <c r="C27" s="17"/>
      <c r="D27" s="17"/>
      <c r="E27" s="389">
        <v>300</v>
      </c>
      <c r="F27" s="93">
        <v>91.54</v>
      </c>
      <c r="G27" s="40">
        <f t="shared" si="2"/>
        <v>27462.000000000004</v>
      </c>
      <c r="H27" s="44"/>
      <c r="I27" s="44"/>
      <c r="J27" s="40">
        <f t="shared" si="3"/>
        <v>0</v>
      </c>
      <c r="K27" s="40">
        <f t="shared" si="4"/>
        <v>27462.000000000004</v>
      </c>
      <c r="L27" s="40">
        <v>241333</v>
      </c>
      <c r="M27" s="40">
        <f t="shared" si="5"/>
        <v>247218.00526000012</v>
      </c>
      <c r="N27" s="17"/>
    </row>
    <row r="28" spans="1:17">
      <c r="A28" s="26">
        <v>24</v>
      </c>
      <c r="B28" s="27">
        <v>46134</v>
      </c>
      <c r="C28" s="17"/>
      <c r="D28" s="17"/>
      <c r="E28" s="389"/>
      <c r="F28" s="93"/>
      <c r="G28" s="40">
        <f t="shared" si="2"/>
        <v>0</v>
      </c>
      <c r="H28" s="44">
        <v>14.49</v>
      </c>
      <c r="I28" s="44">
        <v>103.44</v>
      </c>
      <c r="J28" s="40">
        <f t="shared" si="3"/>
        <v>1498.8455999999999</v>
      </c>
      <c r="K28" s="40">
        <f t="shared" si="4"/>
        <v>1498.8455999999999</v>
      </c>
      <c r="L28" s="40">
        <v>1498.8455999999999</v>
      </c>
      <c r="M28" s="40">
        <f t="shared" si="5"/>
        <v>247218.00526000012</v>
      </c>
      <c r="N28" s="17"/>
      <c r="P28" s="22"/>
    </row>
    <row r="29" spans="1:17">
      <c r="A29" s="26">
        <v>25</v>
      </c>
      <c r="B29" s="27">
        <v>46135</v>
      </c>
      <c r="C29" s="17"/>
      <c r="D29" s="17"/>
      <c r="E29" s="389">
        <v>1000</v>
      </c>
      <c r="F29" s="93">
        <v>91.54</v>
      </c>
      <c r="G29" s="40">
        <f t="shared" si="2"/>
        <v>91540</v>
      </c>
      <c r="H29" s="44"/>
      <c r="I29" s="44"/>
      <c r="J29" s="40">
        <f t="shared" si="3"/>
        <v>0</v>
      </c>
      <c r="K29" s="40">
        <f t="shared" si="4"/>
        <v>91540</v>
      </c>
      <c r="L29" s="40"/>
      <c r="M29" s="40">
        <f t="shared" si="5"/>
        <v>338758.00526000012</v>
      </c>
      <c r="N29" s="17"/>
    </row>
    <row r="30" spans="1:17">
      <c r="A30" s="26">
        <v>26</v>
      </c>
      <c r="B30" s="27">
        <v>46136</v>
      </c>
      <c r="C30" s="17"/>
      <c r="D30" s="230"/>
      <c r="E30" s="389">
        <v>300</v>
      </c>
      <c r="F30" s="93">
        <v>91.54</v>
      </c>
      <c r="G30" s="40">
        <f t="shared" si="2"/>
        <v>27462.000000000004</v>
      </c>
      <c r="H30" s="44">
        <v>19.32</v>
      </c>
      <c r="I30" s="44">
        <v>103.48</v>
      </c>
      <c r="J30" s="40">
        <f t="shared" si="3"/>
        <v>1999.2336</v>
      </c>
      <c r="K30" s="40">
        <f t="shared" si="4"/>
        <v>29461.233600000003</v>
      </c>
      <c r="L30" s="40">
        <v>1999.2336</v>
      </c>
      <c r="M30" s="40">
        <f t="shared" si="5"/>
        <v>366220.00526000012</v>
      </c>
      <c r="N30" s="17"/>
      <c r="Q30">
        <v>166834</v>
      </c>
    </row>
    <row r="31" spans="1:17">
      <c r="A31" s="26">
        <v>27</v>
      </c>
      <c r="B31" s="27">
        <v>46137</v>
      </c>
      <c r="C31" s="17"/>
      <c r="D31" s="17"/>
      <c r="E31" s="389">
        <v>1000</v>
      </c>
      <c r="F31" s="93">
        <v>91.54</v>
      </c>
      <c r="G31" s="40">
        <f t="shared" si="2"/>
        <v>91540</v>
      </c>
      <c r="H31" s="44">
        <v>9.66</v>
      </c>
      <c r="I31" s="44">
        <v>103.44</v>
      </c>
      <c r="J31" s="40">
        <f t="shared" si="3"/>
        <v>999.23040000000003</v>
      </c>
      <c r="K31" s="40">
        <f t="shared" si="4"/>
        <v>92539.2304</v>
      </c>
      <c r="L31" s="40">
        <v>999.23040000000003</v>
      </c>
      <c r="M31" s="40">
        <f t="shared" si="5"/>
        <v>457760.00526000012</v>
      </c>
      <c r="N31" s="17"/>
    </row>
    <row r="32" spans="1:17">
      <c r="A32" s="26">
        <v>28</v>
      </c>
      <c r="B32" s="27">
        <v>46138</v>
      </c>
      <c r="C32" s="17"/>
      <c r="D32" s="17"/>
      <c r="E32" s="389"/>
      <c r="F32" s="93"/>
      <c r="G32" s="40">
        <f t="shared" si="2"/>
        <v>0</v>
      </c>
      <c r="H32" s="44"/>
      <c r="I32" s="44"/>
      <c r="J32" s="40">
        <f t="shared" si="3"/>
        <v>0</v>
      </c>
      <c r="K32" s="40">
        <f t="shared" si="4"/>
        <v>0</v>
      </c>
      <c r="L32" s="40"/>
      <c r="M32" s="40">
        <f t="shared" si="5"/>
        <v>457760.00526000012</v>
      </c>
      <c r="N32" s="17"/>
    </row>
    <row r="33" spans="1:17">
      <c r="A33" s="26">
        <v>29</v>
      </c>
      <c r="B33" s="27">
        <v>46139</v>
      </c>
      <c r="C33" s="17"/>
      <c r="D33" s="17"/>
      <c r="E33" s="389">
        <v>300</v>
      </c>
      <c r="F33" s="93">
        <v>91.54</v>
      </c>
      <c r="G33" s="40">
        <f t="shared" si="2"/>
        <v>27462.000000000004</v>
      </c>
      <c r="H33" s="44">
        <v>4.83</v>
      </c>
      <c r="I33" s="44">
        <v>103.44</v>
      </c>
      <c r="J33" s="40">
        <f t="shared" si="3"/>
        <v>499.61520000000002</v>
      </c>
      <c r="K33" s="40">
        <f t="shared" si="4"/>
        <v>27961.615200000004</v>
      </c>
      <c r="L33" s="40">
        <v>499.61520000000002</v>
      </c>
      <c r="M33" s="40">
        <f t="shared" si="5"/>
        <v>485222.00526000012</v>
      </c>
      <c r="N33" s="17"/>
    </row>
    <row r="34" spans="1:17">
      <c r="A34" s="26">
        <v>30</v>
      </c>
      <c r="B34" s="27">
        <v>46140</v>
      </c>
      <c r="C34" s="17"/>
      <c r="D34" s="17"/>
      <c r="E34" s="389">
        <v>300</v>
      </c>
      <c r="F34" s="93">
        <v>91.54</v>
      </c>
      <c r="G34" s="40">
        <f t="shared" si="2"/>
        <v>27462.000000000004</v>
      </c>
      <c r="H34" s="44">
        <v>19.829999999999998</v>
      </c>
      <c r="I34" s="44">
        <v>103.44</v>
      </c>
      <c r="J34" s="40">
        <f t="shared" si="3"/>
        <v>2051.2151999999996</v>
      </c>
      <c r="K34" s="40">
        <f t="shared" si="4"/>
        <v>29513.215200000002</v>
      </c>
      <c r="L34" s="40">
        <v>2051.2151999999996</v>
      </c>
      <c r="M34" s="40">
        <f t="shared" si="5"/>
        <v>512684.00526000012</v>
      </c>
      <c r="N34" s="17"/>
    </row>
    <row r="35" spans="1:17">
      <c r="A35" s="26">
        <v>31</v>
      </c>
      <c r="B35" s="27">
        <v>46141</v>
      </c>
      <c r="C35" s="17"/>
      <c r="D35" s="17"/>
      <c r="E35" s="389">
        <v>300</v>
      </c>
      <c r="F35" s="93">
        <v>91.54</v>
      </c>
      <c r="G35" s="40">
        <f t="shared" si="2"/>
        <v>27462.000000000004</v>
      </c>
      <c r="H35" s="44">
        <v>4.83</v>
      </c>
      <c r="I35" s="44">
        <v>103.44</v>
      </c>
      <c r="J35" s="40">
        <f t="shared" si="3"/>
        <v>499.61520000000002</v>
      </c>
      <c r="K35" s="40">
        <f t="shared" si="4"/>
        <v>27961.615200000004</v>
      </c>
      <c r="L35" s="40">
        <v>499.61520000000002</v>
      </c>
      <c r="M35" s="40">
        <f>M34+K35-L35</f>
        <v>540146.00526000012</v>
      </c>
      <c r="N35" s="17"/>
      <c r="Q35" s="241"/>
    </row>
    <row r="36" spans="1:17">
      <c r="A36" s="26">
        <v>32</v>
      </c>
      <c r="B36" s="27">
        <v>46142</v>
      </c>
      <c r="C36" s="17"/>
      <c r="D36" s="17"/>
      <c r="E36" s="389">
        <v>300</v>
      </c>
      <c r="F36" s="93">
        <v>91.54</v>
      </c>
      <c r="G36" s="40">
        <f t="shared" si="2"/>
        <v>27462.000000000004</v>
      </c>
      <c r="H36" s="44">
        <v>14.49</v>
      </c>
      <c r="I36" s="44">
        <v>103.44</v>
      </c>
      <c r="J36" s="40">
        <f t="shared" si="3"/>
        <v>1498.8455999999999</v>
      </c>
      <c r="K36" s="40">
        <f t="shared" si="4"/>
        <v>28960.845600000004</v>
      </c>
      <c r="L36" s="40">
        <v>1498.8455999999999</v>
      </c>
      <c r="M36" s="40">
        <f t="shared" si="5"/>
        <v>567608.00526000012</v>
      </c>
      <c r="N36" s="17"/>
      <c r="Q36" s="241"/>
    </row>
    <row r="37" spans="1:17">
      <c r="A37" s="26">
        <v>33</v>
      </c>
      <c r="B37" s="27"/>
      <c r="C37" s="17"/>
      <c r="D37" s="17"/>
      <c r="E37" s="93"/>
      <c r="F37" s="93"/>
      <c r="G37" s="40">
        <f t="shared" ref="G5:G37" si="6">E37*F37</f>
        <v>0</v>
      </c>
      <c r="H37" s="44"/>
      <c r="I37" s="44"/>
      <c r="J37" s="40">
        <f t="shared" ref="J5:J37" si="7">H37*I37</f>
        <v>0</v>
      </c>
      <c r="K37" s="40">
        <f t="shared" si="4"/>
        <v>0</v>
      </c>
      <c r="L37" s="40"/>
      <c r="M37" s="40">
        <f t="shared" si="5"/>
        <v>567608.00526000012</v>
      </c>
      <c r="N37" s="17"/>
      <c r="Q37" s="241"/>
    </row>
    <row r="38" spans="1:17">
      <c r="A38" s="42"/>
      <c r="B38" s="42"/>
      <c r="C38" s="42"/>
      <c r="D38" s="42"/>
      <c r="E38" s="42">
        <f>SUM(E4:E37)</f>
        <v>12432.9</v>
      </c>
      <c r="F38" s="42"/>
      <c r="G38" s="42">
        <f>SUM(G4:G37)</f>
        <v>1138087.1510000001</v>
      </c>
      <c r="H38" s="42">
        <f>SUM(H4:H37)</f>
        <v>204.77</v>
      </c>
      <c r="I38" s="42"/>
      <c r="J38" s="42">
        <f>SUM(J4:J37)</f>
        <v>21291.851600000002</v>
      </c>
      <c r="K38" s="42">
        <f>SUM(K4:K37)</f>
        <v>1159379.0026000002</v>
      </c>
      <c r="L38" s="42">
        <f>SUM(L4:L37)</f>
        <v>1198830.8899999994</v>
      </c>
      <c r="M38" s="42"/>
      <c r="N38" s="42"/>
    </row>
    <row r="41" spans="1:17">
      <c r="M41">
        <f>500*91.54</f>
        <v>45770</v>
      </c>
    </row>
  </sheetData>
  <mergeCells count="1">
    <mergeCell ref="A1:N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9188-699F-49A6-A921-AB82083F0E2A}">
  <dimension ref="A1:R44"/>
  <sheetViews>
    <sheetView workbookViewId="0">
      <pane ySplit="2" topLeftCell="A25" activePane="bottomLeft" state="frozen"/>
      <selection pane="bottomLeft" activeCell="M34" sqref="M34"/>
    </sheetView>
  </sheetViews>
  <sheetFormatPr defaultRowHeight="15"/>
  <cols>
    <col min="1" max="1" width="5.140625" style="77" bestFit="1" customWidth="1"/>
    <col min="2" max="2" width="10.85546875" style="77" bestFit="1" customWidth="1"/>
    <col min="3" max="3" width="16" style="77" bestFit="1" customWidth="1"/>
    <col min="4" max="4" width="13.28515625" style="77" bestFit="1" customWidth="1"/>
    <col min="5" max="6" width="10.7109375" style="77" bestFit="1" customWidth="1"/>
    <col min="7" max="7" width="11.5703125" style="77" bestFit="1" customWidth="1"/>
    <col min="8" max="8" width="10.7109375" style="77" bestFit="1" customWidth="1"/>
    <col min="9" max="9" width="7.140625" style="77" bestFit="1" customWidth="1"/>
    <col min="10" max="10" width="9.7109375" style="77" bestFit="1" customWidth="1"/>
    <col min="11" max="11" width="13.5703125" style="77" bestFit="1" customWidth="1"/>
    <col min="12" max="12" width="13.5703125" style="252" bestFit="1" customWidth="1"/>
    <col min="13" max="13" width="15" style="77" customWidth="1"/>
    <col min="14" max="14" width="14.28515625" style="77" bestFit="1" customWidth="1"/>
    <col min="15" max="16384" width="9.140625" style="77"/>
  </cols>
  <sheetData>
    <row r="1" spans="1:15" ht="15.75">
      <c r="A1" s="473" t="s">
        <v>117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53"/>
    </row>
    <row r="2" spans="1:15" ht="30">
      <c r="A2" s="98" t="s">
        <v>0</v>
      </c>
      <c r="B2" s="99" t="s">
        <v>164</v>
      </c>
      <c r="C2" s="99" t="s">
        <v>165</v>
      </c>
      <c r="D2" s="99" t="s">
        <v>208</v>
      </c>
      <c r="E2" s="99" t="s">
        <v>167</v>
      </c>
      <c r="F2" s="99" t="s">
        <v>168</v>
      </c>
      <c r="G2" s="99" t="s">
        <v>169</v>
      </c>
      <c r="H2" s="99" t="s">
        <v>170</v>
      </c>
      <c r="I2" s="99" t="s">
        <v>168</v>
      </c>
      <c r="J2" s="138" t="s">
        <v>169</v>
      </c>
      <c r="K2" s="100" t="s">
        <v>171</v>
      </c>
      <c r="L2" s="227" t="s">
        <v>172</v>
      </c>
      <c r="M2" s="143" t="s">
        <v>209</v>
      </c>
      <c r="N2" s="101" t="s">
        <v>174</v>
      </c>
      <c r="O2" s="59"/>
    </row>
    <row r="3" spans="1:15">
      <c r="A3" s="501" t="s">
        <v>175</v>
      </c>
      <c r="B3" s="502"/>
      <c r="C3" s="502"/>
      <c r="D3" s="502"/>
      <c r="E3" s="502"/>
      <c r="F3" s="502"/>
      <c r="G3" s="502"/>
      <c r="H3" s="502"/>
      <c r="I3" s="502"/>
      <c r="J3" s="503"/>
      <c r="K3" s="209">
        <v>85513.088199999998</v>
      </c>
      <c r="L3" s="209"/>
      <c r="M3" s="209">
        <v>85513.088199999998</v>
      </c>
      <c r="N3" s="156"/>
      <c r="O3" s="8"/>
    </row>
    <row r="4" spans="1:15">
      <c r="A4" s="26">
        <v>1</v>
      </c>
      <c r="B4" s="27">
        <v>46113</v>
      </c>
      <c r="C4" s="25"/>
      <c r="D4" s="18"/>
      <c r="E4" s="47">
        <v>600</v>
      </c>
      <c r="F4" s="47">
        <v>91.77</v>
      </c>
      <c r="G4" s="8">
        <f>E4*F4</f>
        <v>55062</v>
      </c>
      <c r="H4" s="47"/>
      <c r="I4" s="47"/>
      <c r="J4" s="8">
        <f>H4*I4</f>
        <v>0</v>
      </c>
      <c r="K4" s="8">
        <f>G4+J4</f>
        <v>55062</v>
      </c>
      <c r="L4" s="250"/>
      <c r="M4" s="8">
        <f>M3+K4-L4</f>
        <v>140575.0882</v>
      </c>
      <c r="N4" s="8"/>
      <c r="O4" s="59"/>
    </row>
    <row r="5" spans="1:15">
      <c r="A5" s="26">
        <v>2</v>
      </c>
      <c r="B5" s="27">
        <v>46114</v>
      </c>
      <c r="C5" s="25"/>
      <c r="D5" s="18"/>
      <c r="E5" s="47"/>
      <c r="F5" s="47"/>
      <c r="G5" s="8">
        <f t="shared" ref="G5:G33" si="0">E5*F5</f>
        <v>0</v>
      </c>
      <c r="H5" s="47">
        <v>5</v>
      </c>
      <c r="I5" s="47">
        <v>103.73</v>
      </c>
      <c r="J5" s="8">
        <f t="shared" ref="J5:J33" si="1">H5*I5</f>
        <v>518.65</v>
      </c>
      <c r="K5" s="8">
        <f t="shared" ref="K5:K34" si="2">G5+J5</f>
        <v>518.65</v>
      </c>
      <c r="L5" s="250">
        <v>85500</v>
      </c>
      <c r="M5" s="8">
        <f t="shared" ref="M5:M15" si="3">M4+K5-L5</f>
        <v>55593.738199999993</v>
      </c>
      <c r="N5" s="8"/>
      <c r="O5" s="59"/>
    </row>
    <row r="6" spans="1:15">
      <c r="A6" s="26">
        <v>3</v>
      </c>
      <c r="B6" s="27">
        <v>46115</v>
      </c>
      <c r="C6" s="25"/>
      <c r="D6" s="18"/>
      <c r="E6" s="47">
        <v>400</v>
      </c>
      <c r="F6" s="47">
        <v>91.77</v>
      </c>
      <c r="G6" s="8">
        <f t="shared" si="0"/>
        <v>36708</v>
      </c>
      <c r="H6" s="47"/>
      <c r="I6" s="47"/>
      <c r="J6" s="8">
        <f t="shared" si="1"/>
        <v>0</v>
      </c>
      <c r="K6" s="8">
        <f t="shared" ref="K6:K33" si="4">G6+J6</f>
        <v>36708</v>
      </c>
      <c r="L6" s="250"/>
      <c r="M6" s="8">
        <f t="shared" si="3"/>
        <v>92301.738199999993</v>
      </c>
      <c r="N6" s="8"/>
      <c r="O6" s="59"/>
    </row>
    <row r="7" spans="1:15">
      <c r="A7" s="26">
        <v>4</v>
      </c>
      <c r="B7" s="27">
        <v>46116</v>
      </c>
      <c r="C7" s="25"/>
      <c r="D7" s="18"/>
      <c r="E7" s="47"/>
      <c r="F7" s="47"/>
      <c r="G7" s="8">
        <f t="shared" si="0"/>
        <v>0</v>
      </c>
      <c r="H7" s="47">
        <v>12</v>
      </c>
      <c r="I7" s="47">
        <v>103.73</v>
      </c>
      <c r="J7" s="8">
        <f t="shared" si="1"/>
        <v>1244.76</v>
      </c>
      <c r="K7" s="8">
        <f t="shared" si="4"/>
        <v>1244.76</v>
      </c>
      <c r="L7" s="250"/>
      <c r="M7" s="8">
        <f t="shared" si="3"/>
        <v>93546.498199999987</v>
      </c>
      <c r="N7" s="8"/>
      <c r="O7" s="59"/>
    </row>
    <row r="8" spans="1:15">
      <c r="A8" s="26">
        <v>5</v>
      </c>
      <c r="B8" s="27">
        <v>46117</v>
      </c>
      <c r="C8" s="25"/>
      <c r="D8" s="18"/>
      <c r="E8" s="47"/>
      <c r="F8" s="47"/>
      <c r="G8" s="8">
        <f t="shared" si="0"/>
        <v>0</v>
      </c>
      <c r="H8" s="47"/>
      <c r="I8" s="47"/>
      <c r="J8" s="8">
        <f t="shared" si="1"/>
        <v>0</v>
      </c>
      <c r="K8" s="8">
        <f t="shared" si="4"/>
        <v>0</v>
      </c>
      <c r="L8" s="250"/>
      <c r="M8" s="8">
        <f t="shared" si="3"/>
        <v>93546.498199999987</v>
      </c>
      <c r="N8" s="8"/>
      <c r="O8" s="59"/>
    </row>
    <row r="9" spans="1:15">
      <c r="A9" s="26">
        <v>6</v>
      </c>
      <c r="B9" s="27">
        <v>46118</v>
      </c>
      <c r="C9" s="25"/>
      <c r="D9" s="18"/>
      <c r="E9" s="47">
        <v>635</v>
      </c>
      <c r="F9" s="47">
        <v>91.77</v>
      </c>
      <c r="G9" s="8">
        <f t="shared" si="0"/>
        <v>58273.95</v>
      </c>
      <c r="H9" s="47">
        <v>6</v>
      </c>
      <c r="I9" s="47">
        <v>103.73</v>
      </c>
      <c r="J9" s="8">
        <f t="shared" si="1"/>
        <v>622.38</v>
      </c>
      <c r="K9" s="8">
        <f t="shared" si="4"/>
        <v>58896.329999999994</v>
      </c>
      <c r="L9" s="250"/>
      <c r="M9" s="8">
        <f t="shared" si="3"/>
        <v>152442.82819999999</v>
      </c>
      <c r="N9" s="8"/>
      <c r="O9" s="59"/>
    </row>
    <row r="10" spans="1:15">
      <c r="A10" s="26">
        <v>7</v>
      </c>
      <c r="B10" s="27">
        <v>46119</v>
      </c>
      <c r="C10" s="25"/>
      <c r="D10" s="18"/>
      <c r="E10" s="47"/>
      <c r="F10" s="47"/>
      <c r="G10" s="8">
        <f t="shared" si="0"/>
        <v>0</v>
      </c>
      <c r="H10" s="47"/>
      <c r="I10" s="47"/>
      <c r="J10" s="8">
        <f t="shared" si="1"/>
        <v>0</v>
      </c>
      <c r="K10" s="8">
        <f t="shared" si="4"/>
        <v>0</v>
      </c>
      <c r="L10" s="250"/>
      <c r="M10" s="8">
        <f t="shared" si="3"/>
        <v>152442.82819999999</v>
      </c>
      <c r="N10" s="8"/>
      <c r="O10" s="59"/>
    </row>
    <row r="11" spans="1:15">
      <c r="A11" s="26">
        <v>8</v>
      </c>
      <c r="B11" s="27">
        <v>46120</v>
      </c>
      <c r="C11" s="25"/>
      <c r="D11" s="18"/>
      <c r="E11" s="47"/>
      <c r="F11" s="47"/>
      <c r="G11" s="8">
        <f t="shared" si="0"/>
        <v>0</v>
      </c>
      <c r="H11" s="47">
        <v>7</v>
      </c>
      <c r="I11" s="47">
        <v>103.73</v>
      </c>
      <c r="J11" s="8">
        <f t="shared" si="1"/>
        <v>726.11</v>
      </c>
      <c r="K11" s="8">
        <f t="shared" si="4"/>
        <v>726.11</v>
      </c>
      <c r="L11" s="250"/>
      <c r="M11" s="8">
        <f t="shared" si="3"/>
        <v>153168.93819999998</v>
      </c>
      <c r="N11" s="8"/>
      <c r="O11" s="59"/>
    </row>
    <row r="12" spans="1:15">
      <c r="A12" s="26">
        <v>9</v>
      </c>
      <c r="B12" s="27">
        <v>46121</v>
      </c>
      <c r="C12" s="25"/>
      <c r="D12" s="18"/>
      <c r="E12" s="47">
        <v>600</v>
      </c>
      <c r="F12" s="47">
        <v>91.77</v>
      </c>
      <c r="G12" s="8">
        <f t="shared" si="0"/>
        <v>55062</v>
      </c>
      <c r="H12" s="47">
        <v>5</v>
      </c>
      <c r="I12" s="47">
        <v>103.73</v>
      </c>
      <c r="J12" s="8">
        <f t="shared" si="1"/>
        <v>518.65</v>
      </c>
      <c r="K12" s="8">
        <f t="shared" si="4"/>
        <v>55580.65</v>
      </c>
      <c r="L12" s="250"/>
      <c r="M12" s="8">
        <f t="shared" si="3"/>
        <v>208749.58819999997</v>
      </c>
      <c r="N12" s="8"/>
      <c r="O12" s="59"/>
    </row>
    <row r="13" spans="1:15">
      <c r="A13" s="26">
        <v>10</v>
      </c>
      <c r="B13" s="27">
        <v>46122</v>
      </c>
      <c r="C13" s="25"/>
      <c r="D13" s="18"/>
      <c r="E13" s="47">
        <v>30</v>
      </c>
      <c r="F13" s="47">
        <v>91.77</v>
      </c>
      <c r="G13" s="8">
        <f t="shared" si="0"/>
        <v>2753.1</v>
      </c>
      <c r="H13" s="47"/>
      <c r="I13" s="47"/>
      <c r="J13" s="8">
        <f t="shared" si="1"/>
        <v>0</v>
      </c>
      <c r="K13" s="8">
        <f t="shared" si="4"/>
        <v>2753.1</v>
      </c>
      <c r="L13" s="250"/>
      <c r="M13" s="8">
        <f>M12+K13-L13</f>
        <v>211502.68819999998</v>
      </c>
      <c r="N13" s="19"/>
      <c r="O13" s="59"/>
    </row>
    <row r="14" spans="1:15">
      <c r="A14" s="26">
        <v>11</v>
      </c>
      <c r="B14" s="27">
        <v>46123</v>
      </c>
      <c r="C14" s="25"/>
      <c r="D14" s="18"/>
      <c r="E14" s="47"/>
      <c r="F14" s="47"/>
      <c r="G14" s="8">
        <f t="shared" si="0"/>
        <v>0</v>
      </c>
      <c r="H14" s="47">
        <v>5</v>
      </c>
      <c r="I14" s="47">
        <v>103.73</v>
      </c>
      <c r="J14" s="8">
        <f t="shared" si="1"/>
        <v>518.65</v>
      </c>
      <c r="K14" s="8">
        <f t="shared" si="4"/>
        <v>518.65</v>
      </c>
      <c r="L14" s="250"/>
      <c r="M14" s="8">
        <f>M13+K14-L14</f>
        <v>212021.33819999997</v>
      </c>
      <c r="N14" s="19"/>
      <c r="O14" s="59"/>
    </row>
    <row r="15" spans="1:15">
      <c r="A15" s="26">
        <v>12</v>
      </c>
      <c r="B15" s="27">
        <v>46124</v>
      </c>
      <c r="C15" s="25"/>
      <c r="D15" s="18"/>
      <c r="E15" s="47">
        <v>100</v>
      </c>
      <c r="F15" s="47">
        <v>91.77</v>
      </c>
      <c r="G15" s="8">
        <f t="shared" si="0"/>
        <v>9177</v>
      </c>
      <c r="H15" s="47">
        <v>5</v>
      </c>
      <c r="I15" s="47">
        <v>103.73</v>
      </c>
      <c r="J15" s="8">
        <f t="shared" si="1"/>
        <v>518.65</v>
      </c>
      <c r="K15" s="8">
        <f t="shared" si="4"/>
        <v>9695.65</v>
      </c>
      <c r="L15" s="250"/>
      <c r="M15" s="8">
        <f t="shared" si="3"/>
        <v>221716.98819999996</v>
      </c>
      <c r="N15" s="19"/>
      <c r="O15" s="59"/>
    </row>
    <row r="16" spans="1:15">
      <c r="A16" s="26">
        <v>13</v>
      </c>
      <c r="B16" s="27">
        <v>46125</v>
      </c>
      <c r="C16" s="25"/>
      <c r="D16" s="18"/>
      <c r="E16" s="47"/>
      <c r="F16" s="47"/>
      <c r="G16" s="8">
        <f t="shared" si="0"/>
        <v>0</v>
      </c>
      <c r="H16" s="47">
        <v>6</v>
      </c>
      <c r="I16" s="47">
        <v>103.73</v>
      </c>
      <c r="J16" s="8">
        <f t="shared" si="1"/>
        <v>622.38</v>
      </c>
      <c r="K16" s="8">
        <f t="shared" si="4"/>
        <v>622.38</v>
      </c>
      <c r="L16" s="250">
        <v>150000</v>
      </c>
      <c r="M16" s="8">
        <f t="shared" ref="M16:M24" si="5">M15+K16-L16</f>
        <v>72339.368199999968</v>
      </c>
      <c r="N16" s="19"/>
      <c r="O16" s="59"/>
    </row>
    <row r="17" spans="1:18">
      <c r="A17" s="26">
        <v>14</v>
      </c>
      <c r="B17" s="27">
        <v>46126</v>
      </c>
      <c r="C17" s="25"/>
      <c r="D17" s="18"/>
      <c r="E17" s="47">
        <v>35</v>
      </c>
      <c r="F17" s="47">
        <v>91.77</v>
      </c>
      <c r="G17" s="8">
        <f t="shared" si="0"/>
        <v>3211.95</v>
      </c>
      <c r="H17" s="47"/>
      <c r="I17" s="47"/>
      <c r="J17" s="8">
        <f t="shared" si="1"/>
        <v>0</v>
      </c>
      <c r="K17" s="8">
        <f t="shared" si="4"/>
        <v>3211.95</v>
      </c>
      <c r="L17" s="250"/>
      <c r="M17" s="8">
        <f t="shared" si="5"/>
        <v>75551.318199999965</v>
      </c>
      <c r="N17" s="19"/>
      <c r="O17" s="59"/>
    </row>
    <row r="18" spans="1:18">
      <c r="A18" s="26">
        <v>15</v>
      </c>
      <c r="B18" s="27">
        <v>46127</v>
      </c>
      <c r="C18" s="25"/>
      <c r="D18" s="18"/>
      <c r="E18" s="47">
        <v>430</v>
      </c>
      <c r="F18" s="47">
        <v>91.77</v>
      </c>
      <c r="G18" s="8">
        <f t="shared" si="0"/>
        <v>39461.1</v>
      </c>
      <c r="H18" s="47"/>
      <c r="I18" s="47"/>
      <c r="J18" s="8">
        <f t="shared" si="1"/>
        <v>0</v>
      </c>
      <c r="K18" s="8">
        <f t="shared" si="4"/>
        <v>39461.1</v>
      </c>
      <c r="L18" s="250"/>
      <c r="M18" s="8">
        <f t="shared" si="5"/>
        <v>115012.41819999996</v>
      </c>
      <c r="N18" s="19"/>
      <c r="O18" s="59"/>
    </row>
    <row r="19" spans="1:18">
      <c r="A19" s="26">
        <v>16</v>
      </c>
      <c r="B19" s="27">
        <v>46128</v>
      </c>
      <c r="C19" s="25"/>
      <c r="D19" s="18"/>
      <c r="E19" s="47">
        <v>30</v>
      </c>
      <c r="F19" s="47">
        <v>91.77</v>
      </c>
      <c r="G19" s="8">
        <f t="shared" si="0"/>
        <v>2753.1</v>
      </c>
      <c r="H19" s="47"/>
      <c r="I19" s="47"/>
      <c r="J19" s="8">
        <f t="shared" si="1"/>
        <v>0</v>
      </c>
      <c r="K19" s="8">
        <f t="shared" si="4"/>
        <v>2753.1</v>
      </c>
      <c r="L19" s="250"/>
      <c r="M19" s="8">
        <f t="shared" si="5"/>
        <v>117765.51819999996</v>
      </c>
      <c r="N19" s="19"/>
      <c r="O19" s="59"/>
    </row>
    <row r="20" spans="1:18">
      <c r="A20" s="26">
        <v>17</v>
      </c>
      <c r="B20" s="27">
        <v>46129</v>
      </c>
      <c r="C20" s="25"/>
      <c r="D20" s="18"/>
      <c r="E20" s="47"/>
      <c r="F20" s="47"/>
      <c r="G20" s="8">
        <f t="shared" si="0"/>
        <v>0</v>
      </c>
      <c r="H20" s="47">
        <v>5</v>
      </c>
      <c r="I20" s="47">
        <v>103.73</v>
      </c>
      <c r="J20" s="8">
        <f t="shared" si="1"/>
        <v>518.65</v>
      </c>
      <c r="K20" s="8">
        <f t="shared" si="4"/>
        <v>518.65</v>
      </c>
      <c r="L20" s="250"/>
      <c r="M20" s="8">
        <f t="shared" si="5"/>
        <v>118284.16819999996</v>
      </c>
      <c r="N20" s="19"/>
      <c r="O20" s="59"/>
    </row>
    <row r="21" spans="1:18">
      <c r="A21" s="26">
        <v>18</v>
      </c>
      <c r="B21" s="27">
        <v>46130</v>
      </c>
      <c r="C21" s="25"/>
      <c r="D21" s="18"/>
      <c r="E21" s="47">
        <v>170</v>
      </c>
      <c r="F21" s="47">
        <v>91.77</v>
      </c>
      <c r="G21" s="8">
        <f t="shared" si="0"/>
        <v>15600.9</v>
      </c>
      <c r="H21" s="47">
        <v>4.51</v>
      </c>
      <c r="I21" s="47">
        <v>103.73</v>
      </c>
      <c r="J21" s="8">
        <f t="shared" si="1"/>
        <v>467.82229999999998</v>
      </c>
      <c r="K21" s="8">
        <f t="shared" si="4"/>
        <v>16068.722299999999</v>
      </c>
      <c r="L21" s="250"/>
      <c r="M21" s="8">
        <f t="shared" si="5"/>
        <v>134352.89049999995</v>
      </c>
      <c r="N21" s="19"/>
      <c r="O21" s="59"/>
    </row>
    <row r="22" spans="1:18">
      <c r="A22" s="26">
        <v>19</v>
      </c>
      <c r="B22" s="27">
        <v>46131</v>
      </c>
      <c r="C22" s="25"/>
      <c r="D22" s="18"/>
      <c r="E22" s="47">
        <v>60</v>
      </c>
      <c r="F22" s="47">
        <v>91.77</v>
      </c>
      <c r="G22" s="8">
        <f t="shared" si="0"/>
        <v>5506.2</v>
      </c>
      <c r="H22" s="47"/>
      <c r="I22" s="47"/>
      <c r="J22" s="8">
        <f t="shared" si="1"/>
        <v>0</v>
      </c>
      <c r="K22" s="8">
        <f t="shared" si="4"/>
        <v>5506.2</v>
      </c>
      <c r="L22" s="250"/>
      <c r="M22" s="8">
        <f t="shared" si="5"/>
        <v>139859.09049999996</v>
      </c>
      <c r="N22" s="19"/>
      <c r="O22" s="59"/>
    </row>
    <row r="23" spans="1:18">
      <c r="A23" s="26">
        <v>20</v>
      </c>
      <c r="B23" s="27">
        <v>46132</v>
      </c>
      <c r="C23" s="25"/>
      <c r="D23" s="18"/>
      <c r="E23" s="47">
        <v>222.12</v>
      </c>
      <c r="F23" s="47">
        <v>91.77</v>
      </c>
      <c r="G23" s="8">
        <f t="shared" si="0"/>
        <v>20383.952399999998</v>
      </c>
      <c r="H23" s="47"/>
      <c r="I23" s="47"/>
      <c r="J23" s="8">
        <f t="shared" si="1"/>
        <v>0</v>
      </c>
      <c r="K23" s="8">
        <f t="shared" si="4"/>
        <v>20383.952399999998</v>
      </c>
      <c r="L23" s="250"/>
      <c r="M23" s="8">
        <f t="shared" si="5"/>
        <v>160243.04289999997</v>
      </c>
      <c r="N23" s="19"/>
      <c r="O23" s="59"/>
    </row>
    <row r="24" spans="1:18">
      <c r="A24" s="26">
        <v>21</v>
      </c>
      <c r="B24" s="27">
        <v>46133</v>
      </c>
      <c r="C24" s="25"/>
      <c r="D24" s="18"/>
      <c r="E24" s="47"/>
      <c r="F24" s="47"/>
      <c r="G24" s="8">
        <f t="shared" si="0"/>
        <v>0</v>
      </c>
      <c r="H24" s="47">
        <v>10.3</v>
      </c>
      <c r="I24" s="47">
        <v>103.73</v>
      </c>
      <c r="J24" s="8">
        <f t="shared" si="1"/>
        <v>1068.4190000000001</v>
      </c>
      <c r="K24" s="8">
        <f t="shared" si="4"/>
        <v>1068.4190000000001</v>
      </c>
      <c r="L24" s="250"/>
      <c r="M24" s="8">
        <f t="shared" si="5"/>
        <v>161311.46189999997</v>
      </c>
      <c r="N24" s="19"/>
      <c r="O24" s="59"/>
    </row>
    <row r="25" spans="1:18">
      <c r="A25" s="26">
        <v>22</v>
      </c>
      <c r="B25" s="27">
        <v>46134</v>
      </c>
      <c r="C25" s="25"/>
      <c r="D25" s="18"/>
      <c r="E25" s="47">
        <v>275</v>
      </c>
      <c r="F25" s="47">
        <v>91.77</v>
      </c>
      <c r="G25" s="8">
        <f t="shared" si="0"/>
        <v>25236.75</v>
      </c>
      <c r="H25" s="47"/>
      <c r="I25" s="47"/>
      <c r="J25" s="8">
        <f t="shared" si="1"/>
        <v>0</v>
      </c>
      <c r="K25" s="8">
        <f t="shared" si="4"/>
        <v>25236.75</v>
      </c>
      <c r="L25" s="250"/>
      <c r="M25" s="8">
        <f t="shared" ref="M25:M34" si="6">M24+K25-L25</f>
        <v>186548.21189999997</v>
      </c>
      <c r="N25" s="19"/>
      <c r="O25" s="59"/>
    </row>
    <row r="26" spans="1:18">
      <c r="A26" s="26">
        <v>23</v>
      </c>
      <c r="B26" s="27">
        <v>46135</v>
      </c>
      <c r="C26" s="25"/>
      <c r="D26" s="18"/>
      <c r="E26" s="47">
        <v>219.73</v>
      </c>
      <c r="F26" s="47">
        <v>91.77</v>
      </c>
      <c r="G26" s="8">
        <f t="shared" si="0"/>
        <v>20164.622099999997</v>
      </c>
      <c r="H26" s="47"/>
      <c r="I26" s="47"/>
      <c r="J26" s="8">
        <f t="shared" si="1"/>
        <v>0</v>
      </c>
      <c r="K26" s="8">
        <f t="shared" si="4"/>
        <v>20164.622099999997</v>
      </c>
      <c r="L26" s="250">
        <v>186000</v>
      </c>
      <c r="M26" s="8">
        <f t="shared" si="6"/>
        <v>20712.833999999973</v>
      </c>
      <c r="N26" s="19"/>
      <c r="O26" s="59"/>
      <c r="Q26" s="77" t="s">
        <v>248</v>
      </c>
    </row>
    <row r="27" spans="1:18">
      <c r="A27" s="26">
        <v>24</v>
      </c>
      <c r="B27" s="27">
        <v>46136</v>
      </c>
      <c r="C27" s="25"/>
      <c r="D27" s="18"/>
      <c r="E27" s="47">
        <v>175</v>
      </c>
      <c r="F27" s="47">
        <v>91.77</v>
      </c>
      <c r="G27" s="8">
        <f t="shared" si="0"/>
        <v>16059.75</v>
      </c>
      <c r="H27" s="47"/>
      <c r="I27" s="47"/>
      <c r="J27" s="8">
        <f t="shared" si="1"/>
        <v>0</v>
      </c>
      <c r="K27" s="8">
        <f t="shared" si="4"/>
        <v>16059.75</v>
      </c>
      <c r="L27" s="250"/>
      <c r="M27" s="8">
        <f t="shared" si="6"/>
        <v>36772.583999999973</v>
      </c>
      <c r="N27" s="19"/>
      <c r="O27" s="59"/>
      <c r="Q27" s="77">
        <v>30</v>
      </c>
      <c r="R27" s="77">
        <v>50</v>
      </c>
    </row>
    <row r="28" spans="1:18">
      <c r="A28" s="26">
        <v>25</v>
      </c>
      <c r="B28" s="27">
        <v>46137</v>
      </c>
      <c r="C28" s="25"/>
      <c r="D28" s="18"/>
      <c r="E28" s="47">
        <v>141.61000000000001</v>
      </c>
      <c r="F28" s="47">
        <v>91.77</v>
      </c>
      <c r="G28" s="8">
        <f t="shared" si="0"/>
        <v>12995.549700000001</v>
      </c>
      <c r="H28" s="47">
        <v>12</v>
      </c>
      <c r="I28" s="47">
        <v>103.73</v>
      </c>
      <c r="J28" s="8">
        <f t="shared" si="1"/>
        <v>1244.76</v>
      </c>
      <c r="K28" s="8">
        <f t="shared" si="4"/>
        <v>14240.309700000002</v>
      </c>
      <c r="L28" s="250"/>
      <c r="M28" s="8">
        <f t="shared" si="6"/>
        <v>51012.893699999971</v>
      </c>
      <c r="N28" s="19"/>
      <c r="O28" s="59"/>
      <c r="Q28" s="77">
        <v>50</v>
      </c>
      <c r="R28" s="77">
        <v>4.51</v>
      </c>
    </row>
    <row r="29" spans="1:18">
      <c r="A29" s="26">
        <v>26</v>
      </c>
      <c r="B29" s="27">
        <v>46138</v>
      </c>
      <c r="C29" s="25"/>
      <c r="D29" s="18"/>
      <c r="E29" s="47">
        <v>160</v>
      </c>
      <c r="F29" s="47">
        <v>91.77</v>
      </c>
      <c r="G29" s="8">
        <f t="shared" si="0"/>
        <v>14683.199999999999</v>
      </c>
      <c r="H29" s="47"/>
      <c r="I29" s="47"/>
      <c r="J29" s="8">
        <f t="shared" si="1"/>
        <v>0</v>
      </c>
      <c r="K29" s="8">
        <f t="shared" si="4"/>
        <v>14683.199999999999</v>
      </c>
      <c r="L29" s="250"/>
      <c r="M29" s="8">
        <f t="shared" si="6"/>
        <v>65696.093699999969</v>
      </c>
      <c r="N29" s="19"/>
      <c r="O29" s="59"/>
    </row>
    <row r="30" spans="1:18">
      <c r="A30" s="26">
        <v>27</v>
      </c>
      <c r="B30" s="27">
        <v>46139</v>
      </c>
      <c r="C30" s="25"/>
      <c r="D30" s="18"/>
      <c r="E30" s="47">
        <v>153.11000000000001</v>
      </c>
      <c r="F30" s="47">
        <v>91.77</v>
      </c>
      <c r="G30" s="8">
        <f t="shared" si="0"/>
        <v>14050.904700000001</v>
      </c>
      <c r="H30" s="47"/>
      <c r="I30" s="47"/>
      <c r="J30" s="8">
        <f t="shared" si="1"/>
        <v>0</v>
      </c>
      <c r="K30" s="8">
        <f t="shared" si="4"/>
        <v>14050.904700000001</v>
      </c>
      <c r="L30" s="250"/>
      <c r="M30" s="8">
        <f t="shared" si="6"/>
        <v>79746.998399999968</v>
      </c>
      <c r="N30" s="19"/>
      <c r="O30" s="59"/>
    </row>
    <row r="31" spans="1:18">
      <c r="A31" s="217">
        <v>28</v>
      </c>
      <c r="B31" s="27">
        <v>46140</v>
      </c>
      <c r="C31" s="25"/>
      <c r="D31" s="18"/>
      <c r="E31" s="47">
        <v>94</v>
      </c>
      <c r="F31" s="47">
        <v>91.77</v>
      </c>
      <c r="G31" s="8">
        <f t="shared" si="0"/>
        <v>8626.3799999999992</v>
      </c>
      <c r="H31" s="47">
        <v>6</v>
      </c>
      <c r="I31" s="47">
        <v>103.73</v>
      </c>
      <c r="J31" s="8">
        <f t="shared" si="1"/>
        <v>622.38</v>
      </c>
      <c r="K31" s="8">
        <f t="shared" si="4"/>
        <v>9248.7599999999984</v>
      </c>
      <c r="L31" s="250"/>
      <c r="M31" s="8">
        <f t="shared" si="6"/>
        <v>88995.758399999962</v>
      </c>
      <c r="N31" s="19"/>
      <c r="O31" s="59"/>
    </row>
    <row r="32" spans="1:18">
      <c r="A32" s="26">
        <v>29</v>
      </c>
      <c r="B32" s="27">
        <v>46141</v>
      </c>
      <c r="C32" s="25"/>
      <c r="D32" s="18"/>
      <c r="E32" s="47">
        <v>70</v>
      </c>
      <c r="F32" s="47">
        <v>91.77</v>
      </c>
      <c r="G32" s="8">
        <f t="shared" si="0"/>
        <v>6423.9</v>
      </c>
      <c r="H32" s="47"/>
      <c r="I32" s="47"/>
      <c r="J32" s="8">
        <f t="shared" si="1"/>
        <v>0</v>
      </c>
      <c r="K32" s="8">
        <f t="shared" si="4"/>
        <v>6423.9</v>
      </c>
      <c r="L32" s="250"/>
      <c r="M32" s="8">
        <f t="shared" si="6"/>
        <v>95419.658399999957</v>
      </c>
      <c r="N32" s="19"/>
      <c r="O32" s="59"/>
    </row>
    <row r="33" spans="1:15">
      <c r="A33" s="26">
        <v>30</v>
      </c>
      <c r="B33" s="27">
        <v>46142</v>
      </c>
      <c r="C33" s="25"/>
      <c r="D33" s="18"/>
      <c r="E33" s="47">
        <v>110</v>
      </c>
      <c r="F33" s="47">
        <v>91.77</v>
      </c>
      <c r="G33" s="8">
        <f t="shared" si="0"/>
        <v>10094.699999999999</v>
      </c>
      <c r="H33" s="47">
        <v>11</v>
      </c>
      <c r="I33" s="47">
        <v>103.73</v>
      </c>
      <c r="J33" s="8">
        <f t="shared" si="1"/>
        <v>1141.03</v>
      </c>
      <c r="K33" s="8">
        <f t="shared" si="4"/>
        <v>11235.73</v>
      </c>
      <c r="L33" s="250"/>
      <c r="M33" s="8">
        <f t="shared" si="6"/>
        <v>106655.38839999995</v>
      </c>
      <c r="N33" s="19"/>
      <c r="O33" s="59"/>
    </row>
    <row r="34" spans="1:15">
      <c r="A34" s="26">
        <v>31</v>
      </c>
      <c r="B34" s="27">
        <v>46143</v>
      </c>
      <c r="C34" s="25"/>
      <c r="D34" s="18"/>
      <c r="E34" s="47"/>
      <c r="F34" s="47"/>
      <c r="G34" s="8">
        <f t="shared" ref="G5:G34" si="7">E34*F34</f>
        <v>0</v>
      </c>
      <c r="H34" s="47"/>
      <c r="I34" s="47"/>
      <c r="J34" s="8">
        <f t="shared" ref="J5:J34" si="8">H34*I34</f>
        <v>0</v>
      </c>
      <c r="K34" s="8">
        <f t="shared" si="2"/>
        <v>0</v>
      </c>
      <c r="L34" s="250"/>
      <c r="M34" s="8">
        <f>M33+K34-L34</f>
        <v>106655.38839999995</v>
      </c>
      <c r="N34" s="19"/>
      <c r="O34" s="59"/>
    </row>
    <row r="35" spans="1:15">
      <c r="A35" s="160"/>
      <c r="B35" s="160"/>
      <c r="C35" s="160"/>
      <c r="D35" s="160"/>
      <c r="E35" s="161">
        <f>SUM(E4:E34)</f>
        <v>4710.57</v>
      </c>
      <c r="F35" s="161"/>
      <c r="G35" s="161">
        <f>SUM(G4:G34)</f>
        <v>432289.00890000007</v>
      </c>
      <c r="H35" s="161">
        <f>SUM(H4:H34)</f>
        <v>99.81</v>
      </c>
      <c r="I35" s="161"/>
      <c r="J35" s="161">
        <f>SUM(J4:J34)</f>
        <v>10353.291299999999</v>
      </c>
      <c r="K35" s="161">
        <f>SUM(K4:K34)</f>
        <v>442642.3002</v>
      </c>
      <c r="L35" s="161">
        <f>SUM(L4:L34)</f>
        <v>421500</v>
      </c>
      <c r="M35" s="161"/>
      <c r="N35" s="161"/>
      <c r="O35" s="59"/>
    </row>
    <row r="36" spans="1:15">
      <c r="A36" s="73"/>
      <c r="B36" s="73"/>
      <c r="C36" s="73"/>
      <c r="D36" s="73"/>
      <c r="E36" s="75"/>
      <c r="F36" s="75"/>
      <c r="G36" s="75"/>
      <c r="H36" s="75"/>
      <c r="I36" s="75"/>
      <c r="J36" s="75"/>
      <c r="K36" s="75"/>
      <c r="L36" s="251"/>
      <c r="M36" s="75"/>
      <c r="N36" s="75"/>
      <c r="O36" s="59"/>
    </row>
    <row r="37" spans="1:15">
      <c r="E37" s="255"/>
      <c r="F37" s="255"/>
      <c r="G37" s="255"/>
      <c r="H37" s="255"/>
      <c r="I37" s="255"/>
      <c r="J37" s="255"/>
      <c r="K37" s="255"/>
      <c r="L37" s="255"/>
      <c r="O37" s="59"/>
    </row>
    <row r="38" spans="1:15">
      <c r="O38" s="59"/>
    </row>
    <row r="39" spans="1:15">
      <c r="O39" s="59"/>
    </row>
    <row r="40" spans="1:15">
      <c r="O40" s="59"/>
    </row>
    <row r="41" spans="1:15">
      <c r="O41" s="59"/>
    </row>
    <row r="42" spans="1:15">
      <c r="A42" s="59"/>
      <c r="B42" s="59"/>
      <c r="C42" s="59"/>
      <c r="D42" s="59"/>
      <c r="E42" s="59"/>
      <c r="F42" s="59"/>
      <c r="G42" s="81"/>
      <c r="H42" s="59"/>
      <c r="I42" s="59"/>
      <c r="J42" s="59"/>
      <c r="K42" s="59"/>
      <c r="L42" s="73"/>
      <c r="M42" s="59"/>
      <c r="N42" s="59"/>
      <c r="O42" s="75"/>
    </row>
    <row r="43" spans="1:15">
      <c r="A43" s="59"/>
      <c r="B43" s="500"/>
      <c r="C43" s="500"/>
      <c r="D43" s="500"/>
      <c r="E43" s="500"/>
      <c r="F43" s="59"/>
      <c r="G43" s="59"/>
      <c r="H43" s="59"/>
      <c r="I43" s="500"/>
      <c r="J43" s="500"/>
      <c r="K43" s="500"/>
      <c r="L43" s="500"/>
      <c r="M43" s="500"/>
      <c r="N43" s="500"/>
      <c r="O43" s="75"/>
    </row>
    <row r="44" spans="1:1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73"/>
      <c r="M44" s="59"/>
      <c r="N44" s="59"/>
      <c r="O44" s="75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71A1-D77D-459B-9B4B-82B2DEA70DBC}">
  <dimension ref="A1:Q44"/>
  <sheetViews>
    <sheetView workbookViewId="0">
      <pane ySplit="2" topLeftCell="A27" activePane="bottomLeft" state="frozen"/>
      <selection pane="bottomLeft" activeCell="G43" sqref="G43"/>
    </sheetView>
  </sheetViews>
  <sheetFormatPr defaultRowHeight="15"/>
  <cols>
    <col min="1" max="1" width="5.140625" style="69" bestFit="1" customWidth="1"/>
    <col min="2" max="2" width="10.85546875" style="69" bestFit="1" customWidth="1"/>
    <col min="3" max="3" width="8" style="69" bestFit="1" customWidth="1"/>
    <col min="4" max="4" width="16" style="69" bestFit="1" customWidth="1"/>
    <col min="5" max="5" width="10.7109375" style="69" bestFit="1" customWidth="1"/>
    <col min="6" max="6" width="14.5703125" style="69" bestFit="1" customWidth="1"/>
    <col min="7" max="7" width="13.7109375" style="69" bestFit="1" customWidth="1"/>
    <col min="8" max="8" width="10.7109375" style="69" bestFit="1" customWidth="1"/>
    <col min="9" max="9" width="7.28515625" style="69" bestFit="1" customWidth="1"/>
    <col min="10" max="10" width="10.85546875" style="69" bestFit="1" customWidth="1"/>
    <col min="11" max="11" width="14.5703125" style="69" bestFit="1" customWidth="1"/>
    <col min="12" max="12" width="13.5703125" style="69" bestFit="1" customWidth="1"/>
    <col min="13" max="13" width="13.5703125" style="69" customWidth="1"/>
    <col min="14" max="14" width="14.140625" style="69" bestFit="1" customWidth="1"/>
    <col min="15" max="15" width="11.28515625" style="69" customWidth="1"/>
    <col min="16" max="16" width="11.5703125" style="69" bestFit="1" customWidth="1"/>
    <col min="17" max="16384" width="9.140625" style="69"/>
  </cols>
  <sheetData>
    <row r="1" spans="1:17" ht="15.75">
      <c r="A1" s="495" t="s">
        <v>119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82"/>
    </row>
    <row r="2" spans="1:17">
      <c r="A2" s="64" t="s">
        <v>0</v>
      </c>
      <c r="B2" s="83" t="s">
        <v>164</v>
      </c>
      <c r="C2" s="83" t="s">
        <v>165</v>
      </c>
      <c r="D2" s="83" t="s">
        <v>166</v>
      </c>
      <c r="E2" s="83" t="s">
        <v>167</v>
      </c>
      <c r="F2" s="83" t="s">
        <v>168</v>
      </c>
      <c r="G2" s="83" t="s">
        <v>169</v>
      </c>
      <c r="H2" s="83" t="s">
        <v>170</v>
      </c>
      <c r="I2" s="83" t="s">
        <v>168</v>
      </c>
      <c r="J2" s="84" t="s">
        <v>169</v>
      </c>
      <c r="K2" s="64" t="s">
        <v>171</v>
      </c>
      <c r="L2" s="85" t="s">
        <v>172</v>
      </c>
      <c r="M2" s="85" t="s">
        <v>209</v>
      </c>
      <c r="N2" s="83" t="s">
        <v>174</v>
      </c>
      <c r="O2" s="59"/>
    </row>
    <row r="3" spans="1:17">
      <c r="A3" s="482" t="s">
        <v>175</v>
      </c>
      <c r="B3" s="483"/>
      <c r="C3" s="483"/>
      <c r="D3" s="483"/>
      <c r="E3" s="483"/>
      <c r="F3" s="483"/>
      <c r="G3" s="483"/>
      <c r="H3" s="483"/>
      <c r="I3" s="483"/>
      <c r="J3" s="484"/>
      <c r="K3" s="163">
        <v>434415.6128</v>
      </c>
      <c r="L3" s="67">
        <v>0</v>
      </c>
      <c r="M3" s="163">
        <v>434415.6128</v>
      </c>
      <c r="N3" s="67"/>
      <c r="O3" s="59"/>
      <c r="P3" s="240"/>
    </row>
    <row r="4" spans="1:17">
      <c r="A4" s="26">
        <v>1</v>
      </c>
      <c r="B4" s="27">
        <v>46113</v>
      </c>
      <c r="C4" s="67"/>
      <c r="D4" s="159"/>
      <c r="E4" s="164">
        <v>255</v>
      </c>
      <c r="F4" s="164">
        <v>91.93</v>
      </c>
      <c r="G4" s="8">
        <f>E4*F4</f>
        <v>23442.15</v>
      </c>
      <c r="H4" s="164"/>
      <c r="I4" s="164"/>
      <c r="J4" s="8">
        <f>H4*I4</f>
        <v>0</v>
      </c>
      <c r="K4" s="8">
        <f>G4+J4</f>
        <v>23442.15</v>
      </c>
      <c r="L4" s="165">
        <v>0</v>
      </c>
      <c r="M4" s="165">
        <f t="shared" ref="M4:M20" si="0">M3+K4-L4</f>
        <v>457857.76280000003</v>
      </c>
      <c r="N4" s="41"/>
    </row>
    <row r="5" spans="1:17">
      <c r="A5" s="26">
        <v>2</v>
      </c>
      <c r="B5" s="27">
        <v>46114</v>
      </c>
      <c r="C5" s="67"/>
      <c r="D5" s="159"/>
      <c r="E5" s="164">
        <v>220</v>
      </c>
      <c r="F5" s="164">
        <v>91.93</v>
      </c>
      <c r="G5" s="8">
        <f t="shared" ref="G5:G34" si="1">E5*F5</f>
        <v>20224.600000000002</v>
      </c>
      <c r="H5" s="164"/>
      <c r="I5" s="164"/>
      <c r="J5" s="8">
        <f t="shared" ref="J5:J34" si="2">H5*I5</f>
        <v>0</v>
      </c>
      <c r="K5" s="8">
        <f t="shared" ref="K5:K34" si="3">G5+J5</f>
        <v>20224.600000000002</v>
      </c>
      <c r="L5" s="165">
        <v>434650</v>
      </c>
      <c r="M5" s="165">
        <f t="shared" si="0"/>
        <v>43432.362800000003</v>
      </c>
      <c r="N5" s="41"/>
    </row>
    <row r="6" spans="1:17">
      <c r="A6" s="26">
        <v>3</v>
      </c>
      <c r="B6" s="27">
        <v>46115</v>
      </c>
      <c r="C6" s="67"/>
      <c r="D6" s="159"/>
      <c r="E6" s="164">
        <v>330</v>
      </c>
      <c r="F6" s="164">
        <v>91.93</v>
      </c>
      <c r="G6" s="8">
        <f t="shared" si="1"/>
        <v>30336.9</v>
      </c>
      <c r="H6" s="164">
        <v>10</v>
      </c>
      <c r="I6" s="164">
        <v>103.89</v>
      </c>
      <c r="J6" s="8">
        <f t="shared" si="2"/>
        <v>1038.9000000000001</v>
      </c>
      <c r="K6" s="8">
        <f t="shared" si="3"/>
        <v>31375.800000000003</v>
      </c>
      <c r="L6" s="165">
        <v>0</v>
      </c>
      <c r="M6" s="165">
        <f t="shared" si="0"/>
        <v>74808.162800000006</v>
      </c>
      <c r="N6" s="41"/>
    </row>
    <row r="7" spans="1:17">
      <c r="A7" s="26">
        <v>4</v>
      </c>
      <c r="B7" s="27">
        <v>46116</v>
      </c>
      <c r="C7" s="67"/>
      <c r="D7" s="159"/>
      <c r="E7" s="164">
        <v>603.83000000000004</v>
      </c>
      <c r="F7" s="164">
        <v>91.93</v>
      </c>
      <c r="G7" s="8">
        <f t="shared" si="1"/>
        <v>55510.091900000007</v>
      </c>
      <c r="H7" s="164"/>
      <c r="I7" s="164"/>
      <c r="J7" s="8">
        <f t="shared" si="2"/>
        <v>0</v>
      </c>
      <c r="K7" s="8">
        <f t="shared" si="3"/>
        <v>55510.091900000007</v>
      </c>
      <c r="L7" s="165">
        <v>0</v>
      </c>
      <c r="M7" s="165">
        <f t="shared" si="0"/>
        <v>130318.25470000002</v>
      </c>
      <c r="N7" s="41"/>
    </row>
    <row r="8" spans="1:17">
      <c r="A8" s="26">
        <v>5</v>
      </c>
      <c r="B8" s="27">
        <v>46117</v>
      </c>
      <c r="C8" s="67"/>
      <c r="D8" s="159"/>
      <c r="E8" s="164">
        <v>820</v>
      </c>
      <c r="F8" s="164">
        <v>91.93</v>
      </c>
      <c r="G8" s="8">
        <f t="shared" si="1"/>
        <v>75382.600000000006</v>
      </c>
      <c r="H8" s="164">
        <v>55</v>
      </c>
      <c r="I8" s="164">
        <v>103.89</v>
      </c>
      <c r="J8" s="8">
        <f t="shared" si="2"/>
        <v>5713.95</v>
      </c>
      <c r="K8" s="8">
        <f t="shared" si="3"/>
        <v>81096.55</v>
      </c>
      <c r="L8" s="165">
        <v>0</v>
      </c>
      <c r="M8" s="165">
        <f t="shared" si="0"/>
        <v>211414.80470000004</v>
      </c>
      <c r="N8" s="41"/>
      <c r="P8" s="240"/>
    </row>
    <row r="9" spans="1:17">
      <c r="A9" s="26">
        <v>6</v>
      </c>
      <c r="B9" s="27">
        <v>46118</v>
      </c>
      <c r="C9" s="67"/>
      <c r="D9" s="159"/>
      <c r="E9" s="164">
        <v>275</v>
      </c>
      <c r="F9" s="164">
        <v>91.93</v>
      </c>
      <c r="G9" s="8">
        <f t="shared" si="1"/>
        <v>25280.750000000004</v>
      </c>
      <c r="H9" s="164"/>
      <c r="I9" s="164"/>
      <c r="J9" s="8">
        <f t="shared" si="2"/>
        <v>0</v>
      </c>
      <c r="K9" s="8">
        <f t="shared" si="3"/>
        <v>25280.750000000004</v>
      </c>
      <c r="L9" s="165">
        <v>0</v>
      </c>
      <c r="M9" s="165">
        <f t="shared" si="0"/>
        <v>236695.55470000004</v>
      </c>
      <c r="N9" s="41"/>
    </row>
    <row r="10" spans="1:17">
      <c r="A10" s="26">
        <v>7</v>
      </c>
      <c r="B10" s="27">
        <v>46119</v>
      </c>
      <c r="C10" s="67"/>
      <c r="D10" s="159"/>
      <c r="E10" s="164">
        <v>60</v>
      </c>
      <c r="F10" s="164">
        <v>91.93</v>
      </c>
      <c r="G10" s="8">
        <f t="shared" si="1"/>
        <v>5515.8</v>
      </c>
      <c r="H10" s="164"/>
      <c r="I10" s="164"/>
      <c r="J10" s="8">
        <f t="shared" si="2"/>
        <v>0</v>
      </c>
      <c r="K10" s="8">
        <f t="shared" si="3"/>
        <v>5515.8</v>
      </c>
      <c r="L10" s="165">
        <v>0</v>
      </c>
      <c r="M10" s="165">
        <f t="shared" si="0"/>
        <v>242211.35470000003</v>
      </c>
      <c r="N10" s="41"/>
    </row>
    <row r="11" spans="1:17">
      <c r="A11" s="26">
        <v>8</v>
      </c>
      <c r="B11" s="27">
        <v>46120</v>
      </c>
      <c r="C11" s="67"/>
      <c r="D11" s="159"/>
      <c r="E11" s="164">
        <v>361.66</v>
      </c>
      <c r="F11" s="164">
        <v>91.93</v>
      </c>
      <c r="G11" s="8">
        <f t="shared" si="1"/>
        <v>33247.403800000007</v>
      </c>
      <c r="H11" s="164"/>
      <c r="I11" s="164"/>
      <c r="J11" s="8">
        <f t="shared" si="2"/>
        <v>0</v>
      </c>
      <c r="K11" s="8">
        <f t="shared" si="3"/>
        <v>33247.403800000007</v>
      </c>
      <c r="L11" s="165">
        <v>0</v>
      </c>
      <c r="M11" s="165">
        <f t="shared" si="0"/>
        <v>275458.75850000005</v>
      </c>
      <c r="N11" s="41" t="s">
        <v>211</v>
      </c>
      <c r="P11" s="239"/>
      <c r="Q11" s="240"/>
    </row>
    <row r="12" spans="1:17">
      <c r="A12" s="26">
        <v>9</v>
      </c>
      <c r="B12" s="27">
        <v>46121</v>
      </c>
      <c r="C12" s="67"/>
      <c r="D12" s="159"/>
      <c r="E12" s="164">
        <v>407</v>
      </c>
      <c r="F12" s="164">
        <v>91.93</v>
      </c>
      <c r="G12" s="8">
        <f t="shared" si="1"/>
        <v>37415.51</v>
      </c>
      <c r="H12" s="164"/>
      <c r="I12" s="164"/>
      <c r="J12" s="8">
        <f t="shared" si="2"/>
        <v>0</v>
      </c>
      <c r="K12" s="8">
        <f t="shared" si="3"/>
        <v>37415.51</v>
      </c>
      <c r="L12" s="165">
        <v>0</v>
      </c>
      <c r="M12" s="165">
        <f t="shared" si="0"/>
        <v>312874.26850000006</v>
      </c>
      <c r="N12" s="41"/>
    </row>
    <row r="13" spans="1:17">
      <c r="A13" s="26">
        <v>10</v>
      </c>
      <c r="B13" s="27">
        <v>46122</v>
      </c>
      <c r="C13" s="67"/>
      <c r="D13" s="159"/>
      <c r="E13" s="164">
        <v>925</v>
      </c>
      <c r="F13" s="164">
        <v>91.93</v>
      </c>
      <c r="G13" s="8">
        <f t="shared" si="1"/>
        <v>85035.25</v>
      </c>
      <c r="H13" s="164"/>
      <c r="I13" s="164"/>
      <c r="J13" s="8">
        <f t="shared" si="2"/>
        <v>0</v>
      </c>
      <c r="K13" s="8">
        <f t="shared" si="3"/>
        <v>85035.25</v>
      </c>
      <c r="L13" s="165">
        <v>0</v>
      </c>
      <c r="M13" s="165">
        <f t="shared" si="0"/>
        <v>397909.51850000006</v>
      </c>
      <c r="N13" s="41"/>
    </row>
    <row r="14" spans="1:17">
      <c r="A14" s="26">
        <v>11</v>
      </c>
      <c r="B14" s="27">
        <v>46123</v>
      </c>
      <c r="C14" s="67"/>
      <c r="D14" s="159"/>
      <c r="E14" s="164"/>
      <c r="F14" s="164"/>
      <c r="G14" s="8">
        <f t="shared" si="1"/>
        <v>0</v>
      </c>
      <c r="H14" s="164">
        <v>10</v>
      </c>
      <c r="I14" s="164">
        <v>103.89</v>
      </c>
      <c r="J14" s="8">
        <f t="shared" si="2"/>
        <v>1038.9000000000001</v>
      </c>
      <c r="K14" s="8">
        <f t="shared" si="3"/>
        <v>1038.9000000000001</v>
      </c>
      <c r="L14" s="165">
        <v>0</v>
      </c>
      <c r="M14" s="165">
        <f t="shared" si="0"/>
        <v>398948.41850000009</v>
      </c>
      <c r="N14" s="41"/>
    </row>
    <row r="15" spans="1:17">
      <c r="A15" s="26">
        <v>12</v>
      </c>
      <c r="B15" s="27">
        <v>46124</v>
      </c>
      <c r="C15" s="67"/>
      <c r="D15" s="159"/>
      <c r="E15" s="164">
        <v>100</v>
      </c>
      <c r="F15" s="164">
        <v>91.93</v>
      </c>
      <c r="G15" s="8">
        <f t="shared" si="1"/>
        <v>9193</v>
      </c>
      <c r="H15" s="164"/>
      <c r="I15" s="164"/>
      <c r="J15" s="8">
        <f t="shared" si="2"/>
        <v>0</v>
      </c>
      <c r="K15" s="8">
        <f t="shared" si="3"/>
        <v>9193</v>
      </c>
      <c r="L15" s="165">
        <v>0</v>
      </c>
      <c r="M15" s="165">
        <f t="shared" si="0"/>
        <v>408141.41850000009</v>
      </c>
      <c r="N15" s="41"/>
    </row>
    <row r="16" spans="1:17">
      <c r="A16" s="26">
        <v>13</v>
      </c>
      <c r="B16" s="27">
        <v>46125</v>
      </c>
      <c r="C16" s="67"/>
      <c r="D16" s="159"/>
      <c r="E16" s="164">
        <v>350</v>
      </c>
      <c r="F16" s="164">
        <v>91.93</v>
      </c>
      <c r="G16" s="8">
        <f t="shared" si="1"/>
        <v>32175.500000000004</v>
      </c>
      <c r="H16" s="164">
        <v>55</v>
      </c>
      <c r="I16" s="164">
        <v>103.89</v>
      </c>
      <c r="J16" s="8">
        <f t="shared" si="2"/>
        <v>5713.95</v>
      </c>
      <c r="K16" s="8">
        <f t="shared" si="3"/>
        <v>37889.450000000004</v>
      </c>
      <c r="L16" s="165">
        <v>250000</v>
      </c>
      <c r="M16" s="165">
        <f t="shared" si="0"/>
        <v>196030.8685000001</v>
      </c>
      <c r="N16" s="41"/>
    </row>
    <row r="17" spans="1:17">
      <c r="A17" s="26">
        <v>14</v>
      </c>
      <c r="B17" s="27">
        <v>46125</v>
      </c>
      <c r="C17" s="67"/>
      <c r="D17" s="159"/>
      <c r="E17" s="164"/>
      <c r="F17" s="164"/>
      <c r="G17" s="8">
        <f t="shared" si="1"/>
        <v>0</v>
      </c>
      <c r="H17" s="164">
        <v>20</v>
      </c>
      <c r="I17" s="164">
        <v>113.3</v>
      </c>
      <c r="J17" s="8">
        <f t="shared" si="2"/>
        <v>2266</v>
      </c>
      <c r="K17" s="8">
        <f t="shared" si="3"/>
        <v>2266</v>
      </c>
      <c r="L17" s="165">
        <v>0</v>
      </c>
      <c r="M17" s="165">
        <f t="shared" si="0"/>
        <v>198296.8685000001</v>
      </c>
      <c r="N17" s="41"/>
    </row>
    <row r="18" spans="1:17">
      <c r="A18" s="26">
        <v>15</v>
      </c>
      <c r="B18" s="27">
        <v>46126</v>
      </c>
      <c r="C18" s="67"/>
      <c r="D18" s="159"/>
      <c r="E18" s="164">
        <v>50</v>
      </c>
      <c r="F18" s="164">
        <v>91.93</v>
      </c>
      <c r="G18" s="8">
        <f t="shared" si="1"/>
        <v>4596.5</v>
      </c>
      <c r="H18" s="164"/>
      <c r="I18" s="164"/>
      <c r="J18" s="8">
        <f t="shared" si="2"/>
        <v>0</v>
      </c>
      <c r="K18" s="8">
        <f t="shared" si="3"/>
        <v>4596.5</v>
      </c>
      <c r="L18" s="165">
        <v>0</v>
      </c>
      <c r="M18" s="165">
        <f t="shared" si="0"/>
        <v>202893.3685000001</v>
      </c>
      <c r="N18" s="41"/>
    </row>
    <row r="19" spans="1:17">
      <c r="A19" s="26">
        <v>16</v>
      </c>
      <c r="B19" s="27">
        <v>46127</v>
      </c>
      <c r="C19" s="67"/>
      <c r="D19" s="159"/>
      <c r="E19" s="164">
        <v>80</v>
      </c>
      <c r="F19" s="164">
        <v>91.93</v>
      </c>
      <c r="G19" s="8">
        <f t="shared" si="1"/>
        <v>7354.4000000000005</v>
      </c>
      <c r="H19" s="164"/>
      <c r="I19" s="164"/>
      <c r="J19" s="8">
        <f t="shared" si="2"/>
        <v>0</v>
      </c>
      <c r="K19" s="8">
        <f t="shared" si="3"/>
        <v>7354.4000000000005</v>
      </c>
      <c r="L19" s="165">
        <v>0</v>
      </c>
      <c r="M19" s="165">
        <f t="shared" si="0"/>
        <v>210247.76850000009</v>
      </c>
      <c r="N19" s="41"/>
      <c r="Q19" s="240"/>
    </row>
    <row r="20" spans="1:17">
      <c r="A20" s="26">
        <v>17</v>
      </c>
      <c r="B20" s="27">
        <v>46128</v>
      </c>
      <c r="C20" s="67"/>
      <c r="D20" s="159"/>
      <c r="E20" s="164">
        <v>725</v>
      </c>
      <c r="F20" s="164">
        <v>91.93</v>
      </c>
      <c r="G20" s="8">
        <f t="shared" si="1"/>
        <v>66649.25</v>
      </c>
      <c r="H20" s="164"/>
      <c r="I20" s="164"/>
      <c r="J20" s="8">
        <f t="shared" si="2"/>
        <v>0</v>
      </c>
      <c r="K20" s="8">
        <f t="shared" si="3"/>
        <v>66649.25</v>
      </c>
      <c r="L20" s="165">
        <v>0</v>
      </c>
      <c r="M20" s="165">
        <f t="shared" si="0"/>
        <v>276897.01850000012</v>
      </c>
      <c r="N20" s="41"/>
    </row>
    <row r="21" spans="1:17">
      <c r="A21" s="26">
        <v>18</v>
      </c>
      <c r="B21" s="27">
        <v>46129</v>
      </c>
      <c r="C21" s="67"/>
      <c r="D21" s="159"/>
      <c r="E21" s="164">
        <v>246.96</v>
      </c>
      <c r="F21" s="164">
        <v>91.93</v>
      </c>
      <c r="G21" s="8">
        <f t="shared" si="1"/>
        <v>22703.032800000001</v>
      </c>
      <c r="H21" s="164"/>
      <c r="I21" s="164"/>
      <c r="J21" s="8">
        <f t="shared" si="2"/>
        <v>0</v>
      </c>
      <c r="K21" s="8">
        <f t="shared" si="3"/>
        <v>22703.032800000001</v>
      </c>
      <c r="L21" s="165">
        <v>0</v>
      </c>
      <c r="M21" s="165">
        <f t="shared" ref="M21:M35" si="4">M20+K21-L21</f>
        <v>299600.05130000011</v>
      </c>
      <c r="N21" s="41"/>
    </row>
    <row r="22" spans="1:17">
      <c r="A22" s="26">
        <v>19</v>
      </c>
      <c r="B22" s="27">
        <v>46130</v>
      </c>
      <c r="C22" s="67"/>
      <c r="D22" s="159"/>
      <c r="E22" s="164">
        <v>540</v>
      </c>
      <c r="F22" s="164">
        <v>91.93</v>
      </c>
      <c r="G22" s="8">
        <f t="shared" si="1"/>
        <v>49642.200000000004</v>
      </c>
      <c r="H22" s="164"/>
      <c r="I22" s="164"/>
      <c r="J22" s="8">
        <f t="shared" si="2"/>
        <v>0</v>
      </c>
      <c r="K22" s="8">
        <f t="shared" si="3"/>
        <v>49642.200000000004</v>
      </c>
      <c r="L22" s="165">
        <v>200000</v>
      </c>
      <c r="M22" s="165">
        <f t="shared" si="4"/>
        <v>149242.25130000012</v>
      </c>
      <c r="N22" s="41"/>
    </row>
    <row r="23" spans="1:17">
      <c r="A23" s="26">
        <v>20</v>
      </c>
      <c r="B23" s="27">
        <v>46131</v>
      </c>
      <c r="C23" s="67"/>
      <c r="D23" s="159"/>
      <c r="E23" s="164">
        <v>250</v>
      </c>
      <c r="F23" s="164">
        <v>91.93</v>
      </c>
      <c r="G23" s="8">
        <f t="shared" si="1"/>
        <v>22982.5</v>
      </c>
      <c r="H23" s="164"/>
      <c r="I23" s="164"/>
      <c r="J23" s="8">
        <f t="shared" si="2"/>
        <v>0</v>
      </c>
      <c r="K23" s="8">
        <f t="shared" si="3"/>
        <v>22982.5</v>
      </c>
      <c r="L23" s="165">
        <v>0</v>
      </c>
      <c r="M23" s="165">
        <f t="shared" si="4"/>
        <v>172224.75130000012</v>
      </c>
      <c r="N23" s="41"/>
    </row>
    <row r="24" spans="1:17">
      <c r="A24" s="26">
        <v>21</v>
      </c>
      <c r="B24" s="27">
        <v>46132</v>
      </c>
      <c r="C24" s="67"/>
      <c r="D24" s="159"/>
      <c r="E24" s="164">
        <v>230</v>
      </c>
      <c r="F24" s="164">
        <v>91.93</v>
      </c>
      <c r="G24" s="8">
        <f t="shared" si="1"/>
        <v>21143.9</v>
      </c>
      <c r="H24" s="164">
        <v>30</v>
      </c>
      <c r="I24" s="164">
        <v>103.89</v>
      </c>
      <c r="J24" s="8">
        <f t="shared" si="2"/>
        <v>3116.7</v>
      </c>
      <c r="K24" s="8">
        <f t="shared" si="3"/>
        <v>24260.600000000002</v>
      </c>
      <c r="L24" s="165">
        <v>0</v>
      </c>
      <c r="M24" s="165">
        <f t="shared" si="4"/>
        <v>196485.35130000013</v>
      </c>
      <c r="N24" s="41"/>
    </row>
    <row r="25" spans="1:17">
      <c r="A25" s="26">
        <v>22</v>
      </c>
      <c r="B25" s="27">
        <v>46133</v>
      </c>
      <c r="C25" s="67"/>
      <c r="D25" s="159"/>
      <c r="E25" s="164">
        <v>71</v>
      </c>
      <c r="F25" s="164">
        <v>91.93</v>
      </c>
      <c r="G25" s="8">
        <f t="shared" si="1"/>
        <v>6527.0300000000007</v>
      </c>
      <c r="H25" s="164"/>
      <c r="I25" s="164"/>
      <c r="J25" s="8">
        <f t="shared" si="2"/>
        <v>0</v>
      </c>
      <c r="K25" s="8">
        <f t="shared" si="3"/>
        <v>6527.0300000000007</v>
      </c>
      <c r="L25" s="165">
        <v>0</v>
      </c>
      <c r="M25" s="165">
        <f t="shared" si="4"/>
        <v>203012.38130000012</v>
      </c>
      <c r="N25" s="41"/>
    </row>
    <row r="26" spans="1:17">
      <c r="A26" s="26">
        <v>23</v>
      </c>
      <c r="B26" s="27">
        <v>46134</v>
      </c>
      <c r="C26" s="67"/>
      <c r="D26" s="159"/>
      <c r="E26" s="164">
        <v>755</v>
      </c>
      <c r="F26" s="164">
        <v>91.93</v>
      </c>
      <c r="G26" s="8">
        <f t="shared" si="1"/>
        <v>69407.150000000009</v>
      </c>
      <c r="H26" s="164"/>
      <c r="I26" s="164"/>
      <c r="J26" s="8">
        <f t="shared" si="2"/>
        <v>0</v>
      </c>
      <c r="K26" s="8">
        <f t="shared" si="3"/>
        <v>69407.150000000009</v>
      </c>
      <c r="L26" s="165">
        <v>0</v>
      </c>
      <c r="M26" s="165">
        <f t="shared" si="4"/>
        <v>272419.53130000015</v>
      </c>
      <c r="N26" s="41"/>
    </row>
    <row r="27" spans="1:17">
      <c r="A27" s="26">
        <v>24</v>
      </c>
      <c r="B27" s="27">
        <v>46135</v>
      </c>
      <c r="C27" s="67"/>
      <c r="D27" s="159"/>
      <c r="E27" s="164">
        <v>400</v>
      </c>
      <c r="F27" s="164">
        <v>91.93</v>
      </c>
      <c r="G27" s="8">
        <f t="shared" si="1"/>
        <v>36772</v>
      </c>
      <c r="H27" s="164">
        <v>50</v>
      </c>
      <c r="I27" s="164">
        <v>103.89</v>
      </c>
      <c r="J27" s="8">
        <f t="shared" si="2"/>
        <v>5194.5</v>
      </c>
      <c r="K27" s="8">
        <f t="shared" si="3"/>
        <v>41966.5</v>
      </c>
      <c r="L27" s="165">
        <v>0</v>
      </c>
      <c r="M27" s="165">
        <f t="shared" si="4"/>
        <v>314386.03130000015</v>
      </c>
      <c r="N27" s="41"/>
    </row>
    <row r="28" spans="1:17">
      <c r="A28" s="26">
        <v>25</v>
      </c>
      <c r="B28" s="27">
        <v>46136</v>
      </c>
      <c r="C28" s="67"/>
      <c r="D28" s="159"/>
      <c r="E28" s="164">
        <v>560</v>
      </c>
      <c r="F28" s="164">
        <v>91.93</v>
      </c>
      <c r="G28" s="8">
        <f t="shared" si="1"/>
        <v>51480.800000000003</v>
      </c>
      <c r="H28" s="164"/>
      <c r="I28" s="164"/>
      <c r="J28" s="8">
        <f t="shared" si="2"/>
        <v>0</v>
      </c>
      <c r="K28" s="8">
        <f t="shared" si="3"/>
        <v>51480.800000000003</v>
      </c>
      <c r="L28" s="165">
        <v>0</v>
      </c>
      <c r="M28" s="165">
        <f t="shared" si="4"/>
        <v>365866.83130000014</v>
      </c>
      <c r="N28" s="41"/>
    </row>
    <row r="29" spans="1:17">
      <c r="A29" s="26">
        <v>26</v>
      </c>
      <c r="B29" s="27">
        <v>46137</v>
      </c>
      <c r="C29" s="195"/>
      <c r="D29" s="159"/>
      <c r="E29" s="164">
        <v>150</v>
      </c>
      <c r="F29" s="164">
        <v>91.93</v>
      </c>
      <c r="G29" s="8">
        <f t="shared" si="1"/>
        <v>13789.500000000002</v>
      </c>
      <c r="H29" s="164"/>
      <c r="I29" s="164"/>
      <c r="J29" s="8">
        <f t="shared" si="2"/>
        <v>0</v>
      </c>
      <c r="K29" s="8">
        <f t="shared" si="3"/>
        <v>13789.500000000002</v>
      </c>
      <c r="L29" s="165">
        <v>0</v>
      </c>
      <c r="M29" s="165">
        <f t="shared" si="4"/>
        <v>379656.33130000014</v>
      </c>
      <c r="N29" s="41"/>
    </row>
    <row r="30" spans="1:17">
      <c r="A30" s="26">
        <v>27</v>
      </c>
      <c r="B30" s="27">
        <v>46138</v>
      </c>
      <c r="C30" s="67"/>
      <c r="D30" s="159"/>
      <c r="E30" s="164">
        <v>80</v>
      </c>
      <c r="F30" s="164">
        <v>91.93</v>
      </c>
      <c r="G30" s="8">
        <f t="shared" si="1"/>
        <v>7354.4000000000005</v>
      </c>
      <c r="H30" s="164">
        <v>20</v>
      </c>
      <c r="I30" s="164">
        <v>113.3</v>
      </c>
      <c r="J30" s="8">
        <f t="shared" si="2"/>
        <v>2266</v>
      </c>
      <c r="K30" s="8">
        <f t="shared" si="3"/>
        <v>9620.4000000000015</v>
      </c>
      <c r="L30" s="165">
        <v>0</v>
      </c>
      <c r="M30" s="165">
        <f t="shared" si="4"/>
        <v>389276.73130000016</v>
      </c>
      <c r="N30" s="41"/>
    </row>
    <row r="31" spans="1:17">
      <c r="A31" s="26">
        <v>28</v>
      </c>
      <c r="B31" s="27">
        <v>46139</v>
      </c>
      <c r="C31" s="67"/>
      <c r="D31" s="159"/>
      <c r="E31" s="164">
        <v>579</v>
      </c>
      <c r="F31" s="164">
        <v>91.93</v>
      </c>
      <c r="G31" s="8">
        <f t="shared" si="1"/>
        <v>53227.47</v>
      </c>
      <c r="H31" s="164">
        <v>5</v>
      </c>
      <c r="I31" s="164">
        <v>103.89</v>
      </c>
      <c r="J31" s="8">
        <f t="shared" si="2"/>
        <v>519.45000000000005</v>
      </c>
      <c r="K31" s="8">
        <f t="shared" si="3"/>
        <v>53746.92</v>
      </c>
      <c r="L31" s="165">
        <v>0</v>
      </c>
      <c r="M31" s="165">
        <f t="shared" si="4"/>
        <v>443023.65130000014</v>
      </c>
      <c r="N31" s="41"/>
    </row>
    <row r="32" spans="1:17">
      <c r="A32" s="26">
        <v>29</v>
      </c>
      <c r="B32" s="27">
        <v>46140</v>
      </c>
      <c r="C32" s="67"/>
      <c r="D32" s="159"/>
      <c r="E32" s="164">
        <v>765</v>
      </c>
      <c r="F32" s="164">
        <v>91.93</v>
      </c>
      <c r="G32" s="8">
        <f t="shared" si="1"/>
        <v>70326.450000000012</v>
      </c>
      <c r="H32" s="164">
        <v>45</v>
      </c>
      <c r="I32" s="164">
        <v>103.89</v>
      </c>
      <c r="J32" s="8">
        <f t="shared" si="2"/>
        <v>4675.05</v>
      </c>
      <c r="K32" s="8">
        <f t="shared" si="3"/>
        <v>75001.500000000015</v>
      </c>
      <c r="L32" s="165">
        <v>0</v>
      </c>
      <c r="M32" s="165">
        <f t="shared" si="4"/>
        <v>518025.15130000014</v>
      </c>
      <c r="N32" s="41"/>
    </row>
    <row r="33" spans="1:15">
      <c r="A33" s="26">
        <v>30</v>
      </c>
      <c r="B33" s="27">
        <v>46141</v>
      </c>
      <c r="C33" s="67"/>
      <c r="D33" s="159"/>
      <c r="E33" s="164">
        <v>65</v>
      </c>
      <c r="F33" s="164">
        <v>91.93</v>
      </c>
      <c r="G33" s="8">
        <f t="shared" si="1"/>
        <v>5975.4500000000007</v>
      </c>
      <c r="H33" s="164"/>
      <c r="I33" s="164"/>
      <c r="J33" s="8">
        <f t="shared" si="2"/>
        <v>0</v>
      </c>
      <c r="K33" s="8">
        <f t="shared" si="3"/>
        <v>5975.4500000000007</v>
      </c>
      <c r="L33" s="165">
        <v>0</v>
      </c>
      <c r="M33" s="165">
        <f t="shared" si="4"/>
        <v>524000.60130000015</v>
      </c>
      <c r="N33" s="41"/>
    </row>
    <row r="34" spans="1:15">
      <c r="A34" s="26">
        <v>31</v>
      </c>
      <c r="B34" s="27">
        <v>46142</v>
      </c>
      <c r="C34" s="67"/>
      <c r="D34" s="159"/>
      <c r="E34" s="164">
        <v>655</v>
      </c>
      <c r="F34" s="164">
        <v>91.93</v>
      </c>
      <c r="G34" s="8">
        <f t="shared" si="1"/>
        <v>60214.15</v>
      </c>
      <c r="H34" s="164"/>
      <c r="I34" s="164"/>
      <c r="J34" s="8">
        <f t="shared" si="2"/>
        <v>0</v>
      </c>
      <c r="K34" s="8">
        <f t="shared" si="3"/>
        <v>60214.15</v>
      </c>
      <c r="L34" s="165">
        <v>0</v>
      </c>
      <c r="M34" s="165">
        <f>M33+K34-L34</f>
        <v>584214.75130000012</v>
      </c>
      <c r="N34" s="41"/>
    </row>
    <row r="35" spans="1:15">
      <c r="A35" s="160"/>
      <c r="B35" s="160"/>
      <c r="C35" s="160"/>
      <c r="D35" s="160"/>
      <c r="E35" s="161">
        <f>SUM(E4:E34)</f>
        <v>10909.45</v>
      </c>
      <c r="F35" s="161"/>
      <c r="G35" s="161">
        <f>SUM(G4:G34)</f>
        <v>1002905.7385000001</v>
      </c>
      <c r="H35" s="161">
        <f>SUM(H4:H34)</f>
        <v>300</v>
      </c>
      <c r="I35" s="63"/>
      <c r="J35" s="161">
        <f>SUM(J4:J34)</f>
        <v>31543.4</v>
      </c>
      <c r="K35" s="161">
        <f>SUM(K4:K34)</f>
        <v>1034449.1385000002</v>
      </c>
      <c r="L35" s="161">
        <f>SUM(L4:L34)</f>
        <v>884650</v>
      </c>
      <c r="M35" s="161"/>
      <c r="N35" s="63"/>
      <c r="O35" s="59"/>
    </row>
    <row r="36" spans="1:15">
      <c r="A36" s="72"/>
      <c r="B36" s="73"/>
      <c r="C36" s="72"/>
      <c r="D36" s="72"/>
      <c r="E36" s="74"/>
      <c r="F36" s="74"/>
      <c r="G36" s="74"/>
      <c r="H36" s="74"/>
      <c r="I36" s="74"/>
      <c r="J36" s="75"/>
      <c r="K36" s="75"/>
      <c r="L36" s="75"/>
      <c r="M36" s="75"/>
      <c r="N36" s="74"/>
    </row>
    <row r="42" spans="1:15">
      <c r="B42" s="59"/>
      <c r="G42" s="76"/>
      <c r="J42" s="59"/>
      <c r="K42" s="59"/>
      <c r="L42" s="59"/>
      <c r="M42" s="59"/>
      <c r="O42" s="74"/>
    </row>
    <row r="43" spans="1:15">
      <c r="B43" s="490"/>
      <c r="C43" s="490"/>
      <c r="D43" s="490"/>
      <c r="E43" s="490"/>
      <c r="I43" s="490"/>
      <c r="J43" s="490"/>
      <c r="K43" s="490"/>
      <c r="L43" s="490"/>
      <c r="M43" s="490"/>
      <c r="N43" s="490"/>
      <c r="O43" s="74"/>
    </row>
    <row r="44" spans="1:15">
      <c r="B44" s="59"/>
      <c r="J44" s="59"/>
      <c r="K44" s="59"/>
      <c r="L44" s="59"/>
      <c r="M44" s="59"/>
      <c r="O44" s="74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35F0-7189-4495-B3AE-C2E9CF5D0A6B}">
  <dimension ref="A1:O35"/>
  <sheetViews>
    <sheetView topLeftCell="A22" workbookViewId="0">
      <selection activeCell="E32" sqref="E32"/>
    </sheetView>
  </sheetViews>
  <sheetFormatPr defaultRowHeight="15"/>
  <cols>
    <col min="2" max="2" width="14.42578125" customWidth="1"/>
    <col min="4" max="4" width="19.140625" customWidth="1"/>
    <col min="5" max="5" width="17.7109375" customWidth="1"/>
    <col min="6" max="6" width="12.28515625" customWidth="1"/>
    <col min="7" max="7" width="12.85546875" style="22" customWidth="1"/>
    <col min="8" max="8" width="12" style="22" customWidth="1"/>
    <col min="9" max="9" width="9.140625" style="22"/>
    <col min="10" max="10" width="11.140625" style="22" customWidth="1"/>
    <col min="11" max="11" width="12" style="22" customWidth="1"/>
    <col min="12" max="12" width="11.85546875" style="22" customWidth="1"/>
    <col min="13" max="13" width="13.85546875" customWidth="1"/>
  </cols>
  <sheetData>
    <row r="1" spans="1:14" ht="15.75">
      <c r="A1" s="473" t="s">
        <v>121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</row>
    <row r="2" spans="1:14">
      <c r="A2" s="98" t="s">
        <v>0</v>
      </c>
      <c r="B2" s="99" t="s">
        <v>164</v>
      </c>
      <c r="C2" s="99" t="s">
        <v>165</v>
      </c>
      <c r="D2" s="99" t="s">
        <v>208</v>
      </c>
      <c r="E2" s="99" t="s">
        <v>167</v>
      </c>
      <c r="F2" s="99" t="s">
        <v>168</v>
      </c>
      <c r="G2" s="226" t="s">
        <v>169</v>
      </c>
      <c r="H2" s="226" t="s">
        <v>170</v>
      </c>
      <c r="I2" s="226" t="s">
        <v>168</v>
      </c>
      <c r="J2" s="226" t="s">
        <v>169</v>
      </c>
      <c r="K2" s="227" t="s">
        <v>171</v>
      </c>
      <c r="L2" s="227" t="s">
        <v>172</v>
      </c>
      <c r="M2" s="143" t="s">
        <v>209</v>
      </c>
      <c r="N2" s="101" t="s">
        <v>174</v>
      </c>
    </row>
    <row r="3" spans="1:14">
      <c r="A3" s="504" t="s">
        <v>175</v>
      </c>
      <c r="B3" s="505"/>
      <c r="C3" s="505"/>
      <c r="D3" s="505"/>
      <c r="E3" s="505"/>
      <c r="F3" s="505"/>
      <c r="G3" s="505"/>
      <c r="H3" s="505"/>
      <c r="I3" s="505"/>
      <c r="J3" s="506"/>
      <c r="K3" s="214">
        <v>0</v>
      </c>
      <c r="L3" s="214"/>
      <c r="M3" s="173">
        <f>+K3</f>
        <v>0</v>
      </c>
      <c r="N3" s="215"/>
    </row>
    <row r="4" spans="1:14">
      <c r="A4" s="26">
        <v>1</v>
      </c>
      <c r="B4" s="27">
        <v>46113</v>
      </c>
      <c r="C4" s="17"/>
      <c r="D4" s="17"/>
      <c r="E4" s="194"/>
      <c r="F4" s="194"/>
      <c r="G4" s="209">
        <f>E4*F4</f>
        <v>0</v>
      </c>
      <c r="H4" s="266"/>
      <c r="I4" s="209"/>
      <c r="J4" s="209">
        <f>H4*I4</f>
        <v>0</v>
      </c>
      <c r="K4" s="209">
        <f>G4+J4</f>
        <v>0</v>
      </c>
      <c r="L4" s="209">
        <f>+K4</f>
        <v>0</v>
      </c>
      <c r="M4" s="194"/>
      <c r="N4" s="17"/>
    </row>
    <row r="5" spans="1:14">
      <c r="A5" s="26">
        <v>2</v>
      </c>
      <c r="B5" s="27">
        <v>46114</v>
      </c>
      <c r="C5" s="17"/>
      <c r="D5" s="17"/>
      <c r="E5" s="194">
        <v>25</v>
      </c>
      <c r="F5" s="194">
        <v>91.6</v>
      </c>
      <c r="G5" s="209">
        <f t="shared" ref="G5:G32" si="0">E5*F5</f>
        <v>2290</v>
      </c>
      <c r="H5" s="266"/>
      <c r="I5" s="209"/>
      <c r="J5" s="209">
        <f>H5*I5</f>
        <v>0</v>
      </c>
      <c r="K5" s="209">
        <f t="shared" ref="K5:L34" si="1">G5+J5</f>
        <v>2290</v>
      </c>
      <c r="L5" s="209">
        <f t="shared" ref="L5:L33" si="2">+K5</f>
        <v>2290</v>
      </c>
      <c r="M5" s="194"/>
      <c r="N5" s="17"/>
    </row>
    <row r="6" spans="1:14">
      <c r="A6" s="26">
        <v>3</v>
      </c>
      <c r="B6" s="27">
        <v>46115</v>
      </c>
      <c r="C6" s="17"/>
      <c r="D6" s="17"/>
      <c r="E6" s="194">
        <v>50</v>
      </c>
      <c r="F6" s="194">
        <v>91.6</v>
      </c>
      <c r="G6" s="209">
        <f t="shared" si="0"/>
        <v>4580</v>
      </c>
      <c r="H6" s="266">
        <v>6.5</v>
      </c>
      <c r="I6" s="209">
        <v>103.54</v>
      </c>
      <c r="J6" s="209">
        <f t="shared" ref="J6:J34" si="3">H6*I6</f>
        <v>673.01</v>
      </c>
      <c r="K6" s="209">
        <f t="shared" si="1"/>
        <v>5253.01</v>
      </c>
      <c r="L6" s="209">
        <f t="shared" si="2"/>
        <v>5253.01</v>
      </c>
      <c r="M6" s="194"/>
      <c r="N6" s="17"/>
    </row>
    <row r="7" spans="1:14">
      <c r="A7" s="26">
        <v>4</v>
      </c>
      <c r="B7" s="27">
        <v>46116</v>
      </c>
      <c r="C7" s="17"/>
      <c r="D7" s="17"/>
      <c r="E7" s="194"/>
      <c r="F7" s="194"/>
      <c r="G7" s="209">
        <f t="shared" si="0"/>
        <v>0</v>
      </c>
      <c r="H7" s="266"/>
      <c r="I7" s="209"/>
      <c r="J7" s="209">
        <f t="shared" si="3"/>
        <v>0</v>
      </c>
      <c r="K7" s="209">
        <f t="shared" si="1"/>
        <v>0</v>
      </c>
      <c r="L7" s="209">
        <f t="shared" si="2"/>
        <v>0</v>
      </c>
      <c r="M7" s="194"/>
      <c r="N7" s="17"/>
    </row>
    <row r="8" spans="1:14">
      <c r="A8" s="26">
        <v>5</v>
      </c>
      <c r="B8" s="27">
        <v>46117</v>
      </c>
      <c r="C8" s="17"/>
      <c r="D8" s="17"/>
      <c r="E8" s="194"/>
      <c r="F8" s="194"/>
      <c r="G8" s="209">
        <f t="shared" si="0"/>
        <v>0</v>
      </c>
      <c r="H8" s="266"/>
      <c r="I8" s="209"/>
      <c r="J8" s="209">
        <f t="shared" si="3"/>
        <v>0</v>
      </c>
      <c r="K8" s="209">
        <f t="shared" si="1"/>
        <v>0</v>
      </c>
      <c r="L8" s="209">
        <f t="shared" si="2"/>
        <v>0</v>
      </c>
      <c r="M8" s="194"/>
      <c r="N8" s="17"/>
    </row>
    <row r="9" spans="1:14">
      <c r="A9" s="26">
        <v>6</v>
      </c>
      <c r="B9" s="27">
        <v>46118</v>
      </c>
      <c r="C9" s="17"/>
      <c r="D9" s="17"/>
      <c r="E9" s="194"/>
      <c r="F9" s="194"/>
      <c r="G9" s="209">
        <f t="shared" si="0"/>
        <v>0</v>
      </c>
      <c r="H9" s="266"/>
      <c r="I9" s="209"/>
      <c r="J9" s="209">
        <f t="shared" si="3"/>
        <v>0</v>
      </c>
      <c r="K9" s="209">
        <f t="shared" si="1"/>
        <v>0</v>
      </c>
      <c r="L9" s="209">
        <f t="shared" si="2"/>
        <v>0</v>
      </c>
      <c r="M9" s="194"/>
      <c r="N9" s="17"/>
    </row>
    <row r="10" spans="1:14">
      <c r="A10" s="26">
        <v>7</v>
      </c>
      <c r="B10" s="27">
        <v>46119</v>
      </c>
      <c r="C10" s="17"/>
      <c r="D10" s="17"/>
      <c r="E10" s="194"/>
      <c r="F10" s="194"/>
      <c r="G10" s="209">
        <f t="shared" si="0"/>
        <v>0</v>
      </c>
      <c r="H10" s="266"/>
      <c r="I10" s="209"/>
      <c r="J10" s="209">
        <f t="shared" si="3"/>
        <v>0</v>
      </c>
      <c r="K10" s="209">
        <f t="shared" si="1"/>
        <v>0</v>
      </c>
      <c r="L10" s="209">
        <f t="shared" si="2"/>
        <v>0</v>
      </c>
      <c r="M10" s="194"/>
      <c r="N10" s="17"/>
    </row>
    <row r="11" spans="1:14">
      <c r="A11" s="26">
        <v>8</v>
      </c>
      <c r="B11" s="27">
        <v>46120</v>
      </c>
      <c r="C11" s="17"/>
      <c r="D11" s="17"/>
      <c r="E11" s="194"/>
      <c r="F11" s="194"/>
      <c r="G11" s="209">
        <f t="shared" si="0"/>
        <v>0</v>
      </c>
      <c r="H11" s="266"/>
      <c r="I11" s="209"/>
      <c r="J11" s="209">
        <f t="shared" si="3"/>
        <v>0</v>
      </c>
      <c r="K11" s="209">
        <f t="shared" si="1"/>
        <v>0</v>
      </c>
      <c r="L11" s="209">
        <f t="shared" si="2"/>
        <v>0</v>
      </c>
      <c r="M11" s="194"/>
      <c r="N11" s="17"/>
    </row>
    <row r="12" spans="1:14">
      <c r="A12" s="26">
        <v>9</v>
      </c>
      <c r="B12" s="27">
        <v>46121</v>
      </c>
      <c r="C12" s="17"/>
      <c r="D12" s="17"/>
      <c r="E12" s="194"/>
      <c r="F12" s="194"/>
      <c r="G12" s="209">
        <f t="shared" si="0"/>
        <v>0</v>
      </c>
      <c r="H12" s="266"/>
      <c r="I12" s="209"/>
      <c r="J12" s="209">
        <f t="shared" si="3"/>
        <v>0</v>
      </c>
      <c r="K12" s="209">
        <f t="shared" si="1"/>
        <v>0</v>
      </c>
      <c r="L12" s="209">
        <f t="shared" si="2"/>
        <v>0</v>
      </c>
      <c r="M12" s="194"/>
      <c r="N12" s="17"/>
    </row>
    <row r="13" spans="1:14">
      <c r="A13" s="26">
        <v>10</v>
      </c>
      <c r="B13" s="27">
        <v>46122</v>
      </c>
      <c r="C13" s="17"/>
      <c r="D13" s="17"/>
      <c r="E13" s="194">
        <v>70</v>
      </c>
      <c r="F13" s="194">
        <v>91.6</v>
      </c>
      <c r="G13" s="209">
        <f t="shared" si="0"/>
        <v>6412</v>
      </c>
      <c r="H13" s="266">
        <v>14.33</v>
      </c>
      <c r="I13" s="209">
        <v>103.54</v>
      </c>
      <c r="J13" s="209">
        <f t="shared" si="3"/>
        <v>1483.7282</v>
      </c>
      <c r="K13" s="209">
        <f t="shared" si="1"/>
        <v>7895.7281999999996</v>
      </c>
      <c r="L13" s="209">
        <f t="shared" si="2"/>
        <v>7895.7281999999996</v>
      </c>
      <c r="M13" s="194"/>
      <c r="N13" s="17"/>
    </row>
    <row r="14" spans="1:14">
      <c r="A14" s="26">
        <v>11</v>
      </c>
      <c r="B14" s="27">
        <v>46123</v>
      </c>
      <c r="C14" s="17"/>
      <c r="D14" s="17"/>
      <c r="E14" s="194"/>
      <c r="F14" s="194"/>
      <c r="G14" s="209">
        <f t="shared" si="0"/>
        <v>0</v>
      </c>
      <c r="H14" s="266"/>
      <c r="I14" s="209"/>
      <c r="J14" s="209">
        <f t="shared" si="3"/>
        <v>0</v>
      </c>
      <c r="K14" s="209">
        <f t="shared" si="1"/>
        <v>0</v>
      </c>
      <c r="L14" s="209">
        <f t="shared" si="2"/>
        <v>0</v>
      </c>
      <c r="M14" s="194"/>
      <c r="N14" s="17"/>
    </row>
    <row r="15" spans="1:14">
      <c r="A15" s="26">
        <v>12</v>
      </c>
      <c r="B15" s="27">
        <v>46124</v>
      </c>
      <c r="C15" s="17"/>
      <c r="D15" s="17"/>
      <c r="E15" s="194">
        <v>20</v>
      </c>
      <c r="F15" s="194">
        <v>91.6</v>
      </c>
      <c r="G15" s="209">
        <f t="shared" si="0"/>
        <v>1832</v>
      </c>
      <c r="H15" s="266"/>
      <c r="I15" s="209"/>
      <c r="J15" s="209">
        <f t="shared" si="3"/>
        <v>0</v>
      </c>
      <c r="K15" s="209">
        <f t="shared" si="1"/>
        <v>1832</v>
      </c>
      <c r="L15" s="209">
        <f t="shared" si="2"/>
        <v>1832</v>
      </c>
      <c r="M15" s="194"/>
      <c r="N15" s="17"/>
    </row>
    <row r="16" spans="1:14">
      <c r="A16" s="26">
        <v>13</v>
      </c>
      <c r="B16" s="27">
        <v>46125</v>
      </c>
      <c r="C16" s="17"/>
      <c r="D16" s="17"/>
      <c r="E16" s="194"/>
      <c r="F16" s="194"/>
      <c r="G16" s="209">
        <f t="shared" si="0"/>
        <v>0</v>
      </c>
      <c r="H16" s="266"/>
      <c r="I16" s="209"/>
      <c r="J16" s="209">
        <f t="shared" si="3"/>
        <v>0</v>
      </c>
      <c r="K16" s="209">
        <f t="shared" si="1"/>
        <v>0</v>
      </c>
      <c r="L16" s="209">
        <f t="shared" si="2"/>
        <v>0</v>
      </c>
      <c r="M16" s="194"/>
      <c r="N16" s="17"/>
    </row>
    <row r="17" spans="1:15">
      <c r="A17" s="26">
        <v>14</v>
      </c>
      <c r="B17" s="27">
        <v>46126</v>
      </c>
      <c r="C17" s="17"/>
      <c r="D17" s="17"/>
      <c r="E17" s="194">
        <v>20</v>
      </c>
      <c r="F17" s="194">
        <v>91.6</v>
      </c>
      <c r="G17" s="209">
        <f t="shared" si="0"/>
        <v>1832</v>
      </c>
      <c r="H17" s="266"/>
      <c r="I17" s="209"/>
      <c r="J17" s="209">
        <f t="shared" si="3"/>
        <v>0</v>
      </c>
      <c r="K17" s="209">
        <f t="shared" si="1"/>
        <v>1832</v>
      </c>
      <c r="L17" s="209">
        <f t="shared" si="2"/>
        <v>1832</v>
      </c>
      <c r="M17" s="194"/>
      <c r="N17" s="17"/>
    </row>
    <row r="18" spans="1:15">
      <c r="A18" s="26">
        <v>15</v>
      </c>
      <c r="B18" s="27">
        <v>46127</v>
      </c>
      <c r="C18" s="17"/>
      <c r="D18" s="17"/>
      <c r="E18" s="194"/>
      <c r="F18" s="194"/>
      <c r="G18" s="209">
        <f t="shared" si="0"/>
        <v>0</v>
      </c>
      <c r="H18" s="266"/>
      <c r="I18" s="209"/>
      <c r="J18" s="209">
        <f t="shared" si="3"/>
        <v>0</v>
      </c>
      <c r="K18" s="209">
        <f t="shared" si="1"/>
        <v>0</v>
      </c>
      <c r="L18" s="209">
        <f t="shared" si="2"/>
        <v>0</v>
      </c>
      <c r="M18" s="194"/>
      <c r="N18" s="17"/>
    </row>
    <row r="19" spans="1:15">
      <c r="A19" s="26">
        <v>16</v>
      </c>
      <c r="B19" s="27">
        <v>46128</v>
      </c>
      <c r="C19" s="17"/>
      <c r="D19" s="17"/>
      <c r="E19" s="194"/>
      <c r="F19" s="194"/>
      <c r="G19" s="209">
        <f t="shared" si="0"/>
        <v>0</v>
      </c>
      <c r="H19" s="266"/>
      <c r="I19" s="209"/>
      <c r="J19" s="209">
        <f t="shared" si="3"/>
        <v>0</v>
      </c>
      <c r="K19" s="209">
        <f t="shared" si="1"/>
        <v>0</v>
      </c>
      <c r="L19" s="209">
        <f t="shared" si="2"/>
        <v>0</v>
      </c>
      <c r="M19" s="194"/>
      <c r="N19" s="17"/>
    </row>
    <row r="20" spans="1:15">
      <c r="A20" s="26">
        <v>17</v>
      </c>
      <c r="B20" s="27">
        <v>46129</v>
      </c>
      <c r="C20" s="17"/>
      <c r="D20" s="17"/>
      <c r="E20" s="194"/>
      <c r="F20" s="194"/>
      <c r="G20" s="209">
        <f t="shared" si="0"/>
        <v>0</v>
      </c>
      <c r="H20" s="266"/>
      <c r="I20" s="209"/>
      <c r="J20" s="209">
        <f t="shared" si="3"/>
        <v>0</v>
      </c>
      <c r="K20" s="209">
        <f t="shared" si="1"/>
        <v>0</v>
      </c>
      <c r="L20" s="209">
        <f t="shared" si="2"/>
        <v>0</v>
      </c>
      <c r="M20" s="194"/>
      <c r="N20" s="17"/>
    </row>
    <row r="21" spans="1:15">
      <c r="A21" s="26">
        <v>18</v>
      </c>
      <c r="B21" s="27">
        <v>46130</v>
      </c>
      <c r="C21" s="17"/>
      <c r="D21" s="17"/>
      <c r="E21" s="194">
        <v>70</v>
      </c>
      <c r="F21" s="194">
        <v>91.6</v>
      </c>
      <c r="G21" s="209">
        <f t="shared" si="0"/>
        <v>6412</v>
      </c>
      <c r="H21" s="266"/>
      <c r="I21" s="209"/>
      <c r="J21" s="209">
        <f t="shared" si="3"/>
        <v>0</v>
      </c>
      <c r="K21" s="209">
        <f t="shared" si="1"/>
        <v>6412</v>
      </c>
      <c r="L21" s="209">
        <f t="shared" si="2"/>
        <v>6412</v>
      </c>
      <c r="M21" s="194"/>
    </row>
    <row r="22" spans="1:15">
      <c r="A22" s="26">
        <v>19</v>
      </c>
      <c r="B22" s="27">
        <v>46131</v>
      </c>
      <c r="C22" s="17"/>
      <c r="D22" s="17"/>
      <c r="E22" s="194"/>
      <c r="F22" s="194"/>
      <c r="G22" s="209">
        <f t="shared" si="0"/>
        <v>0</v>
      </c>
      <c r="H22" s="266"/>
      <c r="I22" s="209"/>
      <c r="J22" s="209">
        <f t="shared" si="3"/>
        <v>0</v>
      </c>
      <c r="K22" s="209">
        <f t="shared" si="1"/>
        <v>0</v>
      </c>
      <c r="L22" s="209">
        <f t="shared" si="2"/>
        <v>0</v>
      </c>
      <c r="M22" s="194"/>
      <c r="N22" s="17"/>
    </row>
    <row r="23" spans="1:15">
      <c r="A23" s="26">
        <v>20</v>
      </c>
      <c r="B23" s="27">
        <v>46132</v>
      </c>
      <c r="C23" s="17"/>
      <c r="D23" s="17"/>
      <c r="E23" s="194"/>
      <c r="F23" s="194"/>
      <c r="G23" s="209">
        <f t="shared" si="0"/>
        <v>0</v>
      </c>
      <c r="H23" s="266"/>
      <c r="I23" s="209"/>
      <c r="J23" s="209">
        <f t="shared" si="3"/>
        <v>0</v>
      </c>
      <c r="K23" s="209">
        <f t="shared" si="1"/>
        <v>0</v>
      </c>
      <c r="L23" s="209">
        <f t="shared" si="2"/>
        <v>0</v>
      </c>
      <c r="M23" s="194"/>
      <c r="N23" s="17"/>
    </row>
    <row r="24" spans="1:15">
      <c r="A24" s="26">
        <v>21</v>
      </c>
      <c r="B24" s="27">
        <v>46133</v>
      </c>
      <c r="C24" s="17"/>
      <c r="D24" s="17"/>
      <c r="E24" s="194">
        <v>25</v>
      </c>
      <c r="F24" s="194">
        <v>91.6</v>
      </c>
      <c r="G24" s="209">
        <f t="shared" si="0"/>
        <v>2290</v>
      </c>
      <c r="H24" s="266"/>
      <c r="I24" s="209"/>
      <c r="J24" s="209">
        <f t="shared" si="3"/>
        <v>0</v>
      </c>
      <c r="K24" s="209">
        <f t="shared" si="1"/>
        <v>2290</v>
      </c>
      <c r="L24" s="209">
        <f t="shared" si="2"/>
        <v>2290</v>
      </c>
      <c r="M24" s="194"/>
      <c r="N24" s="17"/>
    </row>
    <row r="25" spans="1:15">
      <c r="A25" s="26">
        <v>22</v>
      </c>
      <c r="B25" s="27">
        <v>46134</v>
      </c>
      <c r="C25" s="17"/>
      <c r="D25" s="17"/>
      <c r="E25" s="194"/>
      <c r="F25" s="194"/>
      <c r="G25" s="209">
        <f t="shared" si="0"/>
        <v>0</v>
      </c>
      <c r="H25" s="266"/>
      <c r="I25" s="209"/>
      <c r="J25" s="209">
        <f t="shared" si="3"/>
        <v>0</v>
      </c>
      <c r="K25" s="209">
        <f t="shared" si="1"/>
        <v>0</v>
      </c>
      <c r="L25" s="209">
        <f t="shared" si="2"/>
        <v>0</v>
      </c>
      <c r="M25" s="194"/>
      <c r="N25" s="17"/>
    </row>
    <row r="26" spans="1:15">
      <c r="A26" s="26">
        <v>23</v>
      </c>
      <c r="B26" s="27">
        <v>46135</v>
      </c>
      <c r="C26" s="17"/>
      <c r="D26" s="17"/>
      <c r="E26" s="194"/>
      <c r="F26" s="194"/>
      <c r="G26" s="209">
        <f t="shared" si="0"/>
        <v>0</v>
      </c>
      <c r="H26" s="266"/>
      <c r="I26" s="209"/>
      <c r="J26" s="209">
        <f t="shared" si="3"/>
        <v>0</v>
      </c>
      <c r="K26" s="209">
        <f t="shared" si="1"/>
        <v>0</v>
      </c>
      <c r="L26" s="209">
        <f t="shared" si="2"/>
        <v>0</v>
      </c>
      <c r="M26" s="194"/>
      <c r="N26" s="17"/>
    </row>
    <row r="27" spans="1:15">
      <c r="A27" s="26">
        <v>24</v>
      </c>
      <c r="B27" s="27">
        <v>46136</v>
      </c>
      <c r="C27" s="17"/>
      <c r="D27" s="17"/>
      <c r="E27" s="194"/>
      <c r="F27" s="194"/>
      <c r="G27" s="209">
        <f t="shared" si="0"/>
        <v>0</v>
      </c>
      <c r="H27" s="266"/>
      <c r="I27" s="209"/>
      <c r="J27" s="209">
        <f t="shared" si="3"/>
        <v>0</v>
      </c>
      <c r="K27" s="209">
        <f t="shared" ref="K27:K33" si="4">G27+J27</f>
        <v>0</v>
      </c>
      <c r="L27" s="209">
        <f t="shared" si="2"/>
        <v>0</v>
      </c>
      <c r="M27" s="194"/>
      <c r="N27" s="17"/>
      <c r="O27">
        <v>0</v>
      </c>
    </row>
    <row r="28" spans="1:15">
      <c r="A28" s="26">
        <v>25</v>
      </c>
      <c r="B28" s="27">
        <v>46137</v>
      </c>
      <c r="C28" s="17"/>
      <c r="D28" s="17"/>
      <c r="E28" s="194">
        <v>70</v>
      </c>
      <c r="F28" s="194">
        <v>91.6</v>
      </c>
      <c r="G28" s="209">
        <f t="shared" si="0"/>
        <v>6412</v>
      </c>
      <c r="H28" s="266"/>
      <c r="I28" s="209"/>
      <c r="J28" s="209">
        <f t="shared" si="3"/>
        <v>0</v>
      </c>
      <c r="K28" s="209">
        <f t="shared" si="4"/>
        <v>6412</v>
      </c>
      <c r="L28" s="209">
        <f t="shared" si="2"/>
        <v>6412</v>
      </c>
      <c r="M28" s="194"/>
      <c r="N28" s="17"/>
    </row>
    <row r="29" spans="1:15">
      <c r="A29" s="26">
        <v>26</v>
      </c>
      <c r="B29" s="27">
        <v>46138</v>
      </c>
      <c r="C29" s="17"/>
      <c r="D29" s="17"/>
      <c r="E29" s="194"/>
      <c r="F29" s="194"/>
      <c r="G29" s="209">
        <f t="shared" si="0"/>
        <v>0</v>
      </c>
      <c r="H29" s="266"/>
      <c r="I29" s="209"/>
      <c r="J29" s="209">
        <f t="shared" si="3"/>
        <v>0</v>
      </c>
      <c r="K29" s="209">
        <f t="shared" si="4"/>
        <v>0</v>
      </c>
      <c r="L29" s="209">
        <f t="shared" si="2"/>
        <v>0</v>
      </c>
      <c r="M29" s="194"/>
      <c r="N29" s="17"/>
    </row>
    <row r="30" spans="1:15">
      <c r="A30" s="26">
        <v>27</v>
      </c>
      <c r="B30" s="27">
        <v>46139</v>
      </c>
      <c r="C30" s="17"/>
      <c r="D30" s="17"/>
      <c r="E30" s="194"/>
      <c r="F30" s="194"/>
      <c r="G30" s="209">
        <f t="shared" si="0"/>
        <v>0</v>
      </c>
      <c r="H30" s="266"/>
      <c r="I30" s="209"/>
      <c r="J30" s="209">
        <f t="shared" si="3"/>
        <v>0</v>
      </c>
      <c r="K30" s="209">
        <f t="shared" si="4"/>
        <v>0</v>
      </c>
      <c r="L30" s="209">
        <f t="shared" si="2"/>
        <v>0</v>
      </c>
      <c r="M30" s="194"/>
      <c r="N30" s="17"/>
    </row>
    <row r="31" spans="1:15">
      <c r="A31" s="217">
        <v>28</v>
      </c>
      <c r="B31" s="27">
        <v>46140</v>
      </c>
      <c r="C31" s="17"/>
      <c r="D31" s="17"/>
      <c r="E31" s="194"/>
      <c r="F31" s="194"/>
      <c r="G31" s="209">
        <f t="shared" si="0"/>
        <v>0</v>
      </c>
      <c r="H31" s="266"/>
      <c r="I31" s="209"/>
      <c r="J31" s="209">
        <f t="shared" si="3"/>
        <v>0</v>
      </c>
      <c r="K31" s="209">
        <f t="shared" si="4"/>
        <v>0</v>
      </c>
      <c r="L31" s="209">
        <f t="shared" si="2"/>
        <v>0</v>
      </c>
      <c r="M31" s="194"/>
      <c r="N31" s="94"/>
    </row>
    <row r="32" spans="1:15">
      <c r="A32" s="26">
        <v>29</v>
      </c>
      <c r="B32" s="27">
        <v>46141</v>
      </c>
      <c r="C32" s="17"/>
      <c r="D32" s="17"/>
      <c r="E32" s="194">
        <v>86.01</v>
      </c>
      <c r="F32" s="194">
        <v>91.6</v>
      </c>
      <c r="G32" s="209">
        <f t="shared" si="0"/>
        <v>7878.5159999999996</v>
      </c>
      <c r="H32" s="266"/>
      <c r="I32" s="209"/>
      <c r="J32" s="209">
        <f t="shared" si="3"/>
        <v>0</v>
      </c>
      <c r="K32" s="209">
        <f t="shared" si="4"/>
        <v>7878.5159999999996</v>
      </c>
      <c r="L32" s="209">
        <f t="shared" si="2"/>
        <v>7878.5159999999996</v>
      </c>
      <c r="M32" s="194"/>
      <c r="N32" s="17"/>
    </row>
    <row r="33" spans="1:14">
      <c r="A33" s="26">
        <v>30</v>
      </c>
      <c r="B33" s="27">
        <v>46142</v>
      </c>
      <c r="C33" s="17"/>
      <c r="D33" s="17"/>
      <c r="E33" s="194"/>
      <c r="F33" s="194"/>
      <c r="G33" s="209">
        <f t="shared" ref="G33:G34" si="5">E33*F33</f>
        <v>0</v>
      </c>
      <c r="H33" s="266"/>
      <c r="I33" s="209"/>
      <c r="J33" s="209">
        <f t="shared" si="3"/>
        <v>0</v>
      </c>
      <c r="K33" s="209">
        <f t="shared" si="4"/>
        <v>0</v>
      </c>
      <c r="L33" s="209">
        <f t="shared" si="2"/>
        <v>0</v>
      </c>
      <c r="M33" s="194"/>
      <c r="N33" s="17"/>
    </row>
    <row r="34" spans="1:14">
      <c r="A34" s="26">
        <v>31</v>
      </c>
      <c r="B34" s="27"/>
      <c r="C34" s="17"/>
      <c r="D34" s="17"/>
      <c r="E34" s="194"/>
      <c r="F34" s="194"/>
      <c r="G34" s="209">
        <f t="shared" si="5"/>
        <v>0</v>
      </c>
      <c r="H34" s="266"/>
      <c r="I34" s="209"/>
      <c r="J34" s="209">
        <f t="shared" si="3"/>
        <v>0</v>
      </c>
      <c r="K34" s="209">
        <f t="shared" si="1"/>
        <v>0</v>
      </c>
      <c r="L34" s="209">
        <f t="shared" si="1"/>
        <v>0</v>
      </c>
      <c r="M34" s="194"/>
      <c r="N34" s="17"/>
    </row>
    <row r="35" spans="1:14">
      <c r="A35" s="181"/>
      <c r="B35" s="181"/>
      <c r="C35" s="181"/>
      <c r="D35" s="181"/>
      <c r="E35" s="181">
        <f>SUM(E4:E34)</f>
        <v>436.01</v>
      </c>
      <c r="F35" s="181"/>
      <c r="G35" s="181">
        <f>SUM(G4:G34)</f>
        <v>39938.516000000003</v>
      </c>
      <c r="H35" s="181">
        <f>SUM(H4:H34)</f>
        <v>20.83</v>
      </c>
      <c r="I35" s="181"/>
      <c r="J35" s="181">
        <f>SUM(J4:J34)</f>
        <v>2156.7381999999998</v>
      </c>
      <c r="K35" s="181">
        <f>SUM(K4:K34)</f>
        <v>42095.254199999996</v>
      </c>
      <c r="L35" s="181">
        <f>SUM(L4:L34)</f>
        <v>42095.254199999996</v>
      </c>
      <c r="M35" s="181"/>
      <c r="N35" s="181"/>
    </row>
  </sheetData>
  <mergeCells count="2">
    <mergeCell ref="A1:N1"/>
    <mergeCell ref="A3:J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CEE4-190C-4D69-94E4-049C8E7DD053}">
  <dimension ref="A1:R36"/>
  <sheetViews>
    <sheetView workbookViewId="0">
      <pane ySplit="2" topLeftCell="A28" activePane="bottomLeft" state="frozen"/>
      <selection pane="bottomLeft" activeCell="M35" sqref="M35"/>
    </sheetView>
  </sheetViews>
  <sheetFormatPr defaultRowHeight="15"/>
  <cols>
    <col min="1" max="1" width="5.140625" style="5" bestFit="1" customWidth="1"/>
    <col min="2" max="2" width="11.5703125" style="5" bestFit="1" customWidth="1"/>
    <col min="3" max="3" width="8" style="5" bestFit="1" customWidth="1"/>
    <col min="4" max="4" width="15.140625" style="5" customWidth="1"/>
    <col min="5" max="5" width="10.7109375" style="5" bestFit="1" customWidth="1"/>
    <col min="6" max="6" width="10.42578125" style="5" bestFit="1" customWidth="1"/>
    <col min="7" max="7" width="9.28515625" style="5" bestFit="1" customWidth="1"/>
    <col min="8" max="8" width="10.7109375" style="5" bestFit="1" customWidth="1"/>
    <col min="9" max="9" width="8" style="5" bestFit="1" customWidth="1"/>
    <col min="10" max="10" width="9.28515625" style="5" bestFit="1" customWidth="1"/>
    <col min="11" max="12" width="13.5703125" style="5" bestFit="1" customWidth="1"/>
    <col min="13" max="13" width="13.5703125" style="5" customWidth="1"/>
    <col min="14" max="14" width="19.7109375" style="5" customWidth="1"/>
    <col min="15" max="16384" width="9.140625" style="5"/>
  </cols>
  <sheetData>
    <row r="1" spans="1:18" ht="15.75" customHeight="1">
      <c r="A1" s="507" t="s">
        <v>123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507"/>
      <c r="N1" s="507"/>
    </row>
    <row r="2" spans="1:18">
      <c r="A2" s="64" t="s">
        <v>0</v>
      </c>
      <c r="B2" s="64" t="s">
        <v>164</v>
      </c>
      <c r="C2" s="64" t="s">
        <v>165</v>
      </c>
      <c r="D2" s="64" t="s">
        <v>166</v>
      </c>
      <c r="E2" s="91" t="s">
        <v>167</v>
      </c>
      <c r="F2" s="91" t="s">
        <v>168</v>
      </c>
      <c r="G2" s="91" t="s">
        <v>169</v>
      </c>
      <c r="H2" s="91" t="s">
        <v>170</v>
      </c>
      <c r="I2" s="91" t="s">
        <v>168</v>
      </c>
      <c r="J2" s="91" t="s">
        <v>169</v>
      </c>
      <c r="K2" s="91" t="s">
        <v>171</v>
      </c>
      <c r="L2" s="85" t="s">
        <v>172</v>
      </c>
      <c r="M2" s="85" t="s">
        <v>209</v>
      </c>
      <c r="N2" s="64" t="s">
        <v>174</v>
      </c>
    </row>
    <row r="3" spans="1:18">
      <c r="A3" s="508" t="s">
        <v>175</v>
      </c>
      <c r="B3" s="508"/>
      <c r="C3" s="508"/>
      <c r="D3" s="508"/>
      <c r="E3" s="508"/>
      <c r="F3" s="508"/>
      <c r="G3" s="508"/>
      <c r="H3" s="508"/>
      <c r="I3" s="508"/>
      <c r="J3" s="508"/>
      <c r="K3" s="178"/>
      <c r="L3" s="102"/>
      <c r="M3" s="102">
        <v>34759.30000000001</v>
      </c>
    </row>
    <row r="4" spans="1:18">
      <c r="A4" s="26">
        <v>1</v>
      </c>
      <c r="B4" s="27">
        <v>45748</v>
      </c>
      <c r="C4" s="6"/>
      <c r="D4" s="6"/>
      <c r="E4" s="265">
        <v>100</v>
      </c>
      <c r="F4" s="44">
        <v>91.97</v>
      </c>
      <c r="G4" s="66">
        <f>E4*F4</f>
        <v>9197</v>
      </c>
      <c r="H4" s="44"/>
      <c r="I4" s="44"/>
      <c r="J4" s="66">
        <f>H4*I4</f>
        <v>0</v>
      </c>
      <c r="K4" s="66">
        <f>G4+J4</f>
        <v>9197</v>
      </c>
      <c r="L4" s="66">
        <v>0</v>
      </c>
      <c r="M4" s="66">
        <f>M3+K4-L4</f>
        <v>43956.30000000001</v>
      </c>
      <c r="N4" s="6"/>
    </row>
    <row r="5" spans="1:18">
      <c r="A5" s="26">
        <v>2</v>
      </c>
      <c r="B5" s="27">
        <v>45749</v>
      </c>
      <c r="C5" s="6"/>
      <c r="D5" s="6"/>
      <c r="E5" s="265">
        <v>100</v>
      </c>
      <c r="F5" s="44">
        <v>91.97</v>
      </c>
      <c r="G5" s="66">
        <f t="shared" ref="G5:G35" si="0">E5*F5</f>
        <v>9197</v>
      </c>
      <c r="H5" s="44">
        <v>5</v>
      </c>
      <c r="I5" s="44">
        <v>104.01</v>
      </c>
      <c r="J5" s="66">
        <f t="shared" ref="J5:J34" si="1">H5*I5</f>
        <v>520.05000000000007</v>
      </c>
      <c r="K5" s="66">
        <f t="shared" ref="K5:K34" si="2">G5+J5</f>
        <v>9717.0499999999993</v>
      </c>
      <c r="L5" s="66">
        <v>34239</v>
      </c>
      <c r="M5" s="66">
        <f t="shared" ref="M5:M30" si="3">M4+K5-L5</f>
        <v>19434.350000000006</v>
      </c>
      <c r="N5" s="6"/>
    </row>
    <row r="6" spans="1:18">
      <c r="A6" s="26">
        <v>3</v>
      </c>
      <c r="B6" s="27">
        <v>45750</v>
      </c>
      <c r="C6" s="6"/>
      <c r="D6" s="6"/>
      <c r="E6" s="265">
        <v>30</v>
      </c>
      <c r="F6" s="44">
        <v>91.97</v>
      </c>
      <c r="G6" s="66">
        <f t="shared" si="0"/>
        <v>2759.1</v>
      </c>
      <c r="H6" s="44">
        <v>5</v>
      </c>
      <c r="I6" s="44">
        <v>104.01</v>
      </c>
      <c r="J6" s="66">
        <f t="shared" ref="J6:J35" si="4">H6*I6</f>
        <v>520.05000000000007</v>
      </c>
      <c r="K6" s="66">
        <f t="shared" si="2"/>
        <v>3279.15</v>
      </c>
      <c r="L6" s="66">
        <v>0</v>
      </c>
      <c r="M6" s="66">
        <f t="shared" si="3"/>
        <v>22713.500000000007</v>
      </c>
      <c r="N6" s="6"/>
    </row>
    <row r="7" spans="1:18">
      <c r="A7" s="26">
        <v>4</v>
      </c>
      <c r="B7" s="27">
        <v>45751</v>
      </c>
      <c r="C7" s="6"/>
      <c r="D7" s="6"/>
      <c r="E7" s="265">
        <v>90</v>
      </c>
      <c r="F7" s="44">
        <v>91.97</v>
      </c>
      <c r="G7" s="66">
        <f t="shared" si="0"/>
        <v>8277.2999999999993</v>
      </c>
      <c r="H7" s="44">
        <v>10</v>
      </c>
      <c r="I7" s="44">
        <v>104.01</v>
      </c>
      <c r="J7" s="66">
        <f t="shared" si="4"/>
        <v>1040.1000000000001</v>
      </c>
      <c r="K7" s="66">
        <f t="shared" si="2"/>
        <v>9317.4</v>
      </c>
      <c r="L7" s="66">
        <v>0</v>
      </c>
      <c r="M7" s="66">
        <f t="shared" si="3"/>
        <v>32030.900000000009</v>
      </c>
      <c r="N7" s="6"/>
    </row>
    <row r="8" spans="1:18">
      <c r="A8" s="26">
        <v>5</v>
      </c>
      <c r="B8" s="27">
        <v>45752</v>
      </c>
      <c r="C8" s="6"/>
      <c r="D8" s="6"/>
      <c r="E8" s="265">
        <v>100</v>
      </c>
      <c r="F8" s="44">
        <v>91.97</v>
      </c>
      <c r="G8" s="66">
        <f t="shared" si="0"/>
        <v>9197</v>
      </c>
      <c r="H8" s="44">
        <v>5</v>
      </c>
      <c r="I8" s="44">
        <v>104.01</v>
      </c>
      <c r="J8" s="66">
        <f t="shared" si="4"/>
        <v>520.05000000000007</v>
      </c>
      <c r="K8" s="66">
        <f t="shared" si="2"/>
        <v>9717.0499999999993</v>
      </c>
      <c r="L8" s="66">
        <v>0</v>
      </c>
      <c r="M8" s="66">
        <f t="shared" si="3"/>
        <v>41747.950000000012</v>
      </c>
      <c r="N8" s="6"/>
    </row>
    <row r="9" spans="1:18">
      <c r="A9" s="26">
        <v>6</v>
      </c>
      <c r="B9" s="27">
        <v>45753</v>
      </c>
      <c r="C9" s="6"/>
      <c r="D9" s="6"/>
      <c r="E9" s="265">
        <v>70</v>
      </c>
      <c r="F9" s="44">
        <v>91.97</v>
      </c>
      <c r="G9" s="66">
        <f t="shared" si="0"/>
        <v>6437.9</v>
      </c>
      <c r="H9" s="44">
        <v>15</v>
      </c>
      <c r="I9" s="44">
        <v>104.01</v>
      </c>
      <c r="J9" s="66">
        <f t="shared" si="4"/>
        <v>1560.15</v>
      </c>
      <c r="K9" s="66">
        <f t="shared" si="2"/>
        <v>7998.0499999999993</v>
      </c>
      <c r="L9" s="66">
        <v>0</v>
      </c>
      <c r="M9" s="66">
        <f t="shared" si="3"/>
        <v>49746.000000000015</v>
      </c>
      <c r="N9" s="6"/>
      <c r="R9" s="44"/>
    </row>
    <row r="10" spans="1:18">
      <c r="A10" s="26">
        <v>7</v>
      </c>
      <c r="B10" s="27">
        <v>45754</v>
      </c>
      <c r="C10" s="6"/>
      <c r="D10" s="6"/>
      <c r="E10" s="265">
        <v>80</v>
      </c>
      <c r="F10" s="44">
        <v>91.97</v>
      </c>
      <c r="G10" s="66">
        <f t="shared" si="0"/>
        <v>7357.6</v>
      </c>
      <c r="H10" s="44">
        <v>25</v>
      </c>
      <c r="I10" s="44">
        <v>104.01</v>
      </c>
      <c r="J10" s="66">
        <f t="shared" si="4"/>
        <v>2600.25</v>
      </c>
      <c r="K10" s="66">
        <f t="shared" si="2"/>
        <v>9957.85</v>
      </c>
      <c r="L10" s="66">
        <v>0</v>
      </c>
      <c r="M10" s="66">
        <f t="shared" si="3"/>
        <v>59703.850000000013</v>
      </c>
      <c r="N10" s="6"/>
    </row>
    <row r="11" spans="1:18">
      <c r="A11" s="26">
        <v>8</v>
      </c>
      <c r="B11" s="27">
        <v>45755</v>
      </c>
      <c r="C11" s="6"/>
      <c r="D11" s="6"/>
      <c r="E11" s="265">
        <v>130</v>
      </c>
      <c r="F11" s="44">
        <v>91.97</v>
      </c>
      <c r="G11" s="66">
        <f t="shared" si="0"/>
        <v>11956.1</v>
      </c>
      <c r="H11" s="44">
        <v>5</v>
      </c>
      <c r="I11" s="44">
        <v>104.01</v>
      </c>
      <c r="J11" s="66">
        <f t="shared" si="4"/>
        <v>520.05000000000007</v>
      </c>
      <c r="K11" s="66">
        <f t="shared" si="2"/>
        <v>12476.15</v>
      </c>
      <c r="L11" s="66">
        <v>0</v>
      </c>
      <c r="M11" s="66">
        <f t="shared" si="3"/>
        <v>72180.000000000015</v>
      </c>
      <c r="N11" s="6"/>
    </row>
    <row r="12" spans="1:18">
      <c r="A12" s="26">
        <v>9</v>
      </c>
      <c r="B12" s="27">
        <v>45756</v>
      </c>
      <c r="C12" s="6"/>
      <c r="D12" s="6"/>
      <c r="E12" s="265">
        <v>90</v>
      </c>
      <c r="F12" s="44">
        <v>91.97</v>
      </c>
      <c r="G12" s="66">
        <f t="shared" si="0"/>
        <v>8277.2999999999993</v>
      </c>
      <c r="H12" s="44">
        <v>7</v>
      </c>
      <c r="I12" s="44">
        <v>104.01</v>
      </c>
      <c r="J12" s="66">
        <f t="shared" si="4"/>
        <v>728.07</v>
      </c>
      <c r="K12" s="66">
        <f t="shared" si="2"/>
        <v>9005.369999999999</v>
      </c>
      <c r="L12" s="66">
        <v>0</v>
      </c>
      <c r="M12" s="66">
        <f t="shared" si="3"/>
        <v>81185.37000000001</v>
      </c>
      <c r="N12" s="6"/>
    </row>
    <row r="13" spans="1:18">
      <c r="A13" s="26">
        <v>10</v>
      </c>
      <c r="B13" s="27">
        <v>45757</v>
      </c>
      <c r="C13" s="6"/>
      <c r="D13" s="6"/>
      <c r="E13" s="265">
        <v>90</v>
      </c>
      <c r="F13" s="44">
        <v>91.97</v>
      </c>
      <c r="G13" s="66">
        <f t="shared" si="0"/>
        <v>8277.2999999999993</v>
      </c>
      <c r="H13" s="44">
        <v>10</v>
      </c>
      <c r="I13" s="44">
        <v>104.01</v>
      </c>
      <c r="J13" s="66">
        <f t="shared" si="4"/>
        <v>1040.1000000000001</v>
      </c>
      <c r="K13" s="66">
        <f t="shared" si="2"/>
        <v>9317.4</v>
      </c>
      <c r="L13" s="66">
        <v>0</v>
      </c>
      <c r="M13" s="66">
        <f t="shared" si="3"/>
        <v>90502.77</v>
      </c>
      <c r="N13" s="6"/>
    </row>
    <row r="14" spans="1:18">
      <c r="A14" s="26">
        <v>11</v>
      </c>
      <c r="B14" s="27">
        <v>45758</v>
      </c>
      <c r="C14" s="6"/>
      <c r="D14" s="6"/>
      <c r="E14" s="265">
        <v>100</v>
      </c>
      <c r="F14" s="265">
        <v>91.97</v>
      </c>
      <c r="G14" s="66">
        <f t="shared" si="0"/>
        <v>9197</v>
      </c>
      <c r="H14" s="44">
        <v>5</v>
      </c>
      <c r="I14" s="44">
        <v>104.01</v>
      </c>
      <c r="J14" s="66">
        <f t="shared" si="4"/>
        <v>520.05000000000007</v>
      </c>
      <c r="K14" s="66">
        <f t="shared" si="2"/>
        <v>9717.0499999999993</v>
      </c>
      <c r="L14" s="66">
        <v>89000</v>
      </c>
      <c r="M14" s="66">
        <f t="shared" si="3"/>
        <v>11219.820000000007</v>
      </c>
      <c r="N14" s="6"/>
    </row>
    <row r="15" spans="1:18">
      <c r="A15" s="26">
        <v>12</v>
      </c>
      <c r="B15" s="27">
        <v>45759</v>
      </c>
      <c r="C15" s="6"/>
      <c r="D15" s="6"/>
      <c r="E15" s="265">
        <v>90</v>
      </c>
      <c r="F15" s="44">
        <v>91.97</v>
      </c>
      <c r="G15" s="66">
        <f t="shared" si="0"/>
        <v>8277.2999999999993</v>
      </c>
      <c r="H15" s="44"/>
      <c r="I15" s="44"/>
      <c r="J15" s="66">
        <f t="shared" si="4"/>
        <v>0</v>
      </c>
      <c r="K15" s="66">
        <f t="shared" si="2"/>
        <v>8277.2999999999993</v>
      </c>
      <c r="L15" s="66">
        <v>0</v>
      </c>
      <c r="M15" s="66">
        <f t="shared" si="3"/>
        <v>19497.120000000006</v>
      </c>
      <c r="N15" s="6"/>
    </row>
    <row r="16" spans="1:18">
      <c r="A16" s="26">
        <v>13</v>
      </c>
      <c r="B16" s="27">
        <v>45760</v>
      </c>
      <c r="C16" s="6"/>
      <c r="D16" s="6"/>
      <c r="E16" s="265">
        <v>70</v>
      </c>
      <c r="F16" s="44">
        <v>91.97</v>
      </c>
      <c r="G16" s="66">
        <f t="shared" si="0"/>
        <v>6437.9</v>
      </c>
      <c r="H16" s="44">
        <v>15</v>
      </c>
      <c r="I16" s="44">
        <v>104.01</v>
      </c>
      <c r="J16" s="66">
        <f t="shared" si="4"/>
        <v>1560.15</v>
      </c>
      <c r="K16" s="66">
        <f t="shared" si="2"/>
        <v>7998.0499999999993</v>
      </c>
      <c r="L16" s="66">
        <v>0</v>
      </c>
      <c r="M16" s="66">
        <f t="shared" si="3"/>
        <v>27495.170000000006</v>
      </c>
      <c r="N16" s="6"/>
    </row>
    <row r="17" spans="1:14">
      <c r="A17" s="26">
        <v>14</v>
      </c>
      <c r="B17" s="27">
        <v>45761</v>
      </c>
      <c r="C17" s="177"/>
      <c r="D17" s="6"/>
      <c r="E17" s="265">
        <v>120</v>
      </c>
      <c r="F17" s="44">
        <v>91.97</v>
      </c>
      <c r="G17" s="66">
        <f t="shared" si="0"/>
        <v>11036.4</v>
      </c>
      <c r="H17" s="44">
        <v>10</v>
      </c>
      <c r="I17" s="44">
        <v>104.01</v>
      </c>
      <c r="J17" s="66">
        <f t="shared" si="4"/>
        <v>1040.1000000000001</v>
      </c>
      <c r="K17" s="66">
        <f t="shared" si="2"/>
        <v>12076.5</v>
      </c>
      <c r="L17" s="66">
        <v>0</v>
      </c>
      <c r="M17" s="66">
        <f t="shared" si="3"/>
        <v>39571.670000000006</v>
      </c>
      <c r="N17" s="6"/>
    </row>
    <row r="18" spans="1:14">
      <c r="A18" s="26">
        <v>15</v>
      </c>
      <c r="B18" s="27">
        <v>45762</v>
      </c>
      <c r="C18" s="177"/>
      <c r="D18" s="6"/>
      <c r="E18" s="265">
        <v>140</v>
      </c>
      <c r="F18" s="44">
        <v>91.97</v>
      </c>
      <c r="G18" s="66">
        <f t="shared" si="0"/>
        <v>12875.8</v>
      </c>
      <c r="H18" s="44"/>
      <c r="I18" s="44"/>
      <c r="J18" s="66">
        <f t="shared" si="4"/>
        <v>0</v>
      </c>
      <c r="K18" s="66">
        <f t="shared" si="2"/>
        <v>12875.8</v>
      </c>
      <c r="L18" s="66">
        <v>0</v>
      </c>
      <c r="M18" s="66">
        <f t="shared" si="3"/>
        <v>52447.47</v>
      </c>
      <c r="N18" s="6"/>
    </row>
    <row r="19" spans="1:14">
      <c r="A19" s="26">
        <v>16</v>
      </c>
      <c r="B19" s="27">
        <v>45763</v>
      </c>
      <c r="C19" s="177"/>
      <c r="D19" s="6"/>
      <c r="E19" s="265">
        <v>110</v>
      </c>
      <c r="F19" s="44">
        <v>91.97</v>
      </c>
      <c r="G19" s="66">
        <f t="shared" si="0"/>
        <v>10116.700000000001</v>
      </c>
      <c r="H19" s="44">
        <v>5</v>
      </c>
      <c r="I19" s="44">
        <v>104.01</v>
      </c>
      <c r="J19" s="66">
        <f t="shared" si="4"/>
        <v>520.05000000000007</v>
      </c>
      <c r="K19" s="66">
        <f t="shared" si="2"/>
        <v>10636.75</v>
      </c>
      <c r="L19" s="66">
        <v>0</v>
      </c>
      <c r="M19" s="66">
        <f t="shared" si="3"/>
        <v>63084.22</v>
      </c>
      <c r="N19" s="6"/>
    </row>
    <row r="20" spans="1:14">
      <c r="A20" s="26">
        <v>17</v>
      </c>
      <c r="B20" s="27">
        <v>45764</v>
      </c>
      <c r="C20" s="177"/>
      <c r="D20" s="6"/>
      <c r="E20" s="265">
        <v>80</v>
      </c>
      <c r="F20" s="44">
        <v>91.97</v>
      </c>
      <c r="G20" s="66">
        <f t="shared" si="0"/>
        <v>7357.6</v>
      </c>
      <c r="H20" s="44">
        <v>5</v>
      </c>
      <c r="I20" s="44">
        <v>104.01</v>
      </c>
      <c r="J20" s="66">
        <f t="shared" si="4"/>
        <v>520.05000000000007</v>
      </c>
      <c r="K20" s="66">
        <f t="shared" si="2"/>
        <v>7877.6500000000005</v>
      </c>
      <c r="L20" s="66">
        <v>0</v>
      </c>
      <c r="M20" s="66">
        <f t="shared" si="3"/>
        <v>70961.87</v>
      </c>
      <c r="N20" s="6"/>
    </row>
    <row r="21" spans="1:14">
      <c r="A21" s="26">
        <v>18</v>
      </c>
      <c r="B21" s="27">
        <v>45765</v>
      </c>
      <c r="C21" s="177"/>
      <c r="D21" s="6"/>
      <c r="E21" s="265"/>
      <c r="F21" s="44"/>
      <c r="G21" s="66">
        <f t="shared" si="0"/>
        <v>0</v>
      </c>
      <c r="H21" s="44">
        <v>5</v>
      </c>
      <c r="I21" s="44">
        <v>104.01</v>
      </c>
      <c r="J21" s="66">
        <f t="shared" si="4"/>
        <v>520.05000000000007</v>
      </c>
      <c r="K21" s="66">
        <f t="shared" si="2"/>
        <v>520.05000000000007</v>
      </c>
      <c r="L21" s="66">
        <v>70000</v>
      </c>
      <c r="M21" s="66">
        <f t="shared" si="3"/>
        <v>1481.9199999999983</v>
      </c>
      <c r="N21" s="6"/>
    </row>
    <row r="22" spans="1:14">
      <c r="A22" s="26">
        <v>19</v>
      </c>
      <c r="B22" s="27">
        <v>45766</v>
      </c>
      <c r="C22" s="177"/>
      <c r="D22" s="6"/>
      <c r="E22" s="265">
        <v>100</v>
      </c>
      <c r="F22" s="44">
        <v>91.97</v>
      </c>
      <c r="G22" s="66">
        <f t="shared" si="0"/>
        <v>9197</v>
      </c>
      <c r="H22" s="44">
        <v>10</v>
      </c>
      <c r="I22" s="44">
        <v>104.01</v>
      </c>
      <c r="J22" s="66">
        <f t="shared" si="4"/>
        <v>1040.1000000000001</v>
      </c>
      <c r="K22" s="66">
        <f t="shared" si="2"/>
        <v>10237.1</v>
      </c>
      <c r="L22" s="66">
        <v>0</v>
      </c>
      <c r="M22" s="66">
        <f t="shared" si="3"/>
        <v>11719.019999999999</v>
      </c>
      <c r="N22" s="6"/>
    </row>
    <row r="23" spans="1:14">
      <c r="A23" s="26">
        <v>20</v>
      </c>
      <c r="B23" s="27">
        <v>45767</v>
      </c>
      <c r="C23" s="177"/>
      <c r="D23" s="6"/>
      <c r="E23" s="265">
        <v>55</v>
      </c>
      <c r="F23" s="44">
        <v>91.97</v>
      </c>
      <c r="G23" s="66">
        <f t="shared" si="0"/>
        <v>5058.3500000000004</v>
      </c>
      <c r="H23" s="44"/>
      <c r="I23" s="44"/>
      <c r="J23" s="66">
        <f t="shared" si="4"/>
        <v>0</v>
      </c>
      <c r="K23" s="66">
        <f t="shared" si="2"/>
        <v>5058.3500000000004</v>
      </c>
      <c r="L23" s="66">
        <v>0</v>
      </c>
      <c r="M23" s="66">
        <f t="shared" si="3"/>
        <v>16777.37</v>
      </c>
      <c r="N23" s="6"/>
    </row>
    <row r="24" spans="1:14">
      <c r="A24" s="26">
        <v>21</v>
      </c>
      <c r="B24" s="27">
        <v>45768</v>
      </c>
      <c r="C24" s="177"/>
      <c r="D24" s="6"/>
      <c r="E24" s="265">
        <v>100</v>
      </c>
      <c r="F24" s="44">
        <v>91.97</v>
      </c>
      <c r="G24" s="66">
        <f t="shared" si="0"/>
        <v>9197</v>
      </c>
      <c r="H24" s="44">
        <v>5</v>
      </c>
      <c r="I24" s="44">
        <v>104.01</v>
      </c>
      <c r="J24" s="66">
        <f t="shared" si="4"/>
        <v>520.05000000000007</v>
      </c>
      <c r="K24" s="66">
        <f t="shared" si="2"/>
        <v>9717.0499999999993</v>
      </c>
      <c r="L24" s="66">
        <v>0</v>
      </c>
      <c r="M24" s="66">
        <f t="shared" si="3"/>
        <v>26494.42</v>
      </c>
      <c r="N24" s="6"/>
    </row>
    <row r="25" spans="1:14">
      <c r="A25" s="26">
        <v>22</v>
      </c>
      <c r="B25" s="27">
        <v>45769</v>
      </c>
      <c r="C25" s="177"/>
      <c r="D25" s="6"/>
      <c r="E25" s="265"/>
      <c r="F25" s="44"/>
      <c r="G25" s="66">
        <f t="shared" si="0"/>
        <v>0</v>
      </c>
      <c r="H25" s="44"/>
      <c r="I25" s="44"/>
      <c r="J25" s="66">
        <f t="shared" si="4"/>
        <v>0</v>
      </c>
      <c r="K25" s="66">
        <f t="shared" si="2"/>
        <v>0</v>
      </c>
      <c r="L25" s="66">
        <v>0</v>
      </c>
      <c r="M25" s="66">
        <f t="shared" si="3"/>
        <v>26494.42</v>
      </c>
      <c r="N25" s="6"/>
    </row>
    <row r="26" spans="1:14">
      <c r="A26" s="26">
        <v>23</v>
      </c>
      <c r="B26" s="27">
        <v>45770</v>
      </c>
      <c r="C26" s="177"/>
      <c r="D26" s="6"/>
      <c r="E26" s="265">
        <v>100</v>
      </c>
      <c r="F26" s="44">
        <v>91.97</v>
      </c>
      <c r="G26" s="66">
        <f t="shared" si="0"/>
        <v>9197</v>
      </c>
      <c r="H26" s="44">
        <v>5</v>
      </c>
      <c r="I26" s="44">
        <v>104.01</v>
      </c>
      <c r="J26" s="66">
        <f t="shared" si="4"/>
        <v>520.05000000000007</v>
      </c>
      <c r="K26" s="66">
        <f t="shared" si="2"/>
        <v>9717.0499999999993</v>
      </c>
      <c r="L26" s="66">
        <v>0</v>
      </c>
      <c r="M26" s="66">
        <f t="shared" si="3"/>
        <v>36211.47</v>
      </c>
      <c r="N26" s="6"/>
    </row>
    <row r="27" spans="1:14">
      <c r="A27" s="26">
        <v>24</v>
      </c>
      <c r="B27" s="27">
        <v>45771</v>
      </c>
      <c r="C27" s="177"/>
      <c r="D27" s="6"/>
      <c r="E27" s="265"/>
      <c r="F27" s="44"/>
      <c r="G27" s="66">
        <f t="shared" si="0"/>
        <v>0</v>
      </c>
      <c r="H27" s="44">
        <v>5</v>
      </c>
      <c r="I27" s="44">
        <v>104.01</v>
      </c>
      <c r="J27" s="66">
        <f t="shared" si="4"/>
        <v>520.05000000000007</v>
      </c>
      <c r="K27" s="66">
        <f t="shared" si="2"/>
        <v>520.05000000000007</v>
      </c>
      <c r="L27" s="66">
        <v>0</v>
      </c>
      <c r="M27" s="66">
        <f t="shared" si="3"/>
        <v>36731.520000000004</v>
      </c>
      <c r="N27" s="6"/>
    </row>
    <row r="28" spans="1:14">
      <c r="A28" s="26">
        <v>25</v>
      </c>
      <c r="B28" s="27">
        <v>45772</v>
      </c>
      <c r="C28" s="177"/>
      <c r="D28" s="6"/>
      <c r="E28" s="265"/>
      <c r="F28" s="44"/>
      <c r="G28" s="66">
        <f t="shared" si="0"/>
        <v>0</v>
      </c>
      <c r="H28" s="44">
        <v>5</v>
      </c>
      <c r="I28" s="44">
        <v>104.01</v>
      </c>
      <c r="J28" s="66">
        <f t="shared" si="4"/>
        <v>520.05000000000007</v>
      </c>
      <c r="K28" s="66">
        <f t="shared" si="2"/>
        <v>520.05000000000007</v>
      </c>
      <c r="L28" s="66">
        <v>0</v>
      </c>
      <c r="M28" s="66">
        <f t="shared" si="3"/>
        <v>37251.570000000007</v>
      </c>
      <c r="N28" s="6"/>
    </row>
    <row r="29" spans="1:14">
      <c r="A29" s="26">
        <v>26</v>
      </c>
      <c r="B29" s="27">
        <v>45773</v>
      </c>
      <c r="C29" s="177"/>
      <c r="D29" s="6"/>
      <c r="E29" s="265"/>
      <c r="F29" s="44"/>
      <c r="G29" s="66">
        <f t="shared" si="0"/>
        <v>0</v>
      </c>
      <c r="H29" s="44"/>
      <c r="I29" s="44"/>
      <c r="J29" s="66">
        <f t="shared" si="4"/>
        <v>0</v>
      </c>
      <c r="K29" s="66">
        <f t="shared" si="2"/>
        <v>0</v>
      </c>
      <c r="L29" s="66">
        <v>0</v>
      </c>
      <c r="M29" s="66">
        <f t="shared" si="3"/>
        <v>37251.570000000007</v>
      </c>
      <c r="N29" s="6"/>
    </row>
    <row r="30" spans="1:14">
      <c r="A30" s="26">
        <v>27</v>
      </c>
      <c r="B30" s="27">
        <v>45774</v>
      </c>
      <c r="C30" s="177"/>
      <c r="D30" s="6"/>
      <c r="E30" s="265"/>
      <c r="F30" s="44"/>
      <c r="G30" s="66">
        <f t="shared" si="0"/>
        <v>0</v>
      </c>
      <c r="H30" s="44">
        <v>5</v>
      </c>
      <c r="I30" s="44">
        <v>104.01</v>
      </c>
      <c r="J30" s="66">
        <f t="shared" si="4"/>
        <v>520.05000000000007</v>
      </c>
      <c r="K30" s="66">
        <f t="shared" si="2"/>
        <v>520.05000000000007</v>
      </c>
      <c r="L30" s="66">
        <v>0</v>
      </c>
      <c r="M30" s="66">
        <f t="shared" si="3"/>
        <v>37771.62000000001</v>
      </c>
      <c r="N30" s="6"/>
    </row>
    <row r="31" spans="1:14">
      <c r="A31" s="217">
        <v>28</v>
      </c>
      <c r="B31" s="27">
        <v>45775</v>
      </c>
      <c r="C31" s="177"/>
      <c r="D31" s="6"/>
      <c r="E31" s="265">
        <v>50</v>
      </c>
      <c r="F31" s="44">
        <v>91.97</v>
      </c>
      <c r="G31" s="66">
        <f t="shared" si="0"/>
        <v>4598.5</v>
      </c>
      <c r="H31" s="44"/>
      <c r="I31" s="44"/>
      <c r="J31" s="66">
        <f t="shared" si="4"/>
        <v>0</v>
      </c>
      <c r="K31" s="66">
        <f>G31+J31</f>
        <v>4598.5</v>
      </c>
      <c r="L31" s="66">
        <v>0</v>
      </c>
      <c r="M31" s="66">
        <f t="shared" ref="M31:M35" si="5">M30+K31-L31</f>
        <v>42370.12000000001</v>
      </c>
      <c r="N31" s="6"/>
    </row>
    <row r="32" spans="1:14">
      <c r="A32" s="217"/>
      <c r="B32" s="27">
        <v>45775</v>
      </c>
      <c r="C32" s="177"/>
      <c r="D32" s="6"/>
      <c r="E32" s="265">
        <v>50</v>
      </c>
      <c r="F32" s="44">
        <v>91.92</v>
      </c>
      <c r="G32" s="66">
        <f t="shared" ref="G32" si="6">E32*F32</f>
        <v>4596</v>
      </c>
      <c r="H32" s="44"/>
      <c r="I32" s="44"/>
      <c r="J32" s="66">
        <f t="shared" ref="J32" si="7">H32*I32</f>
        <v>0</v>
      </c>
      <c r="K32" s="66">
        <f t="shared" ref="K32:L32" si="8">G32+J32</f>
        <v>4596</v>
      </c>
      <c r="L32" s="66">
        <f t="shared" si="8"/>
        <v>4596</v>
      </c>
      <c r="M32" s="66">
        <f t="shared" si="5"/>
        <v>42370.12000000001</v>
      </c>
      <c r="N32" s="6"/>
    </row>
    <row r="33" spans="1:15">
      <c r="A33" s="26">
        <v>29</v>
      </c>
      <c r="B33" s="27">
        <v>45776</v>
      </c>
      <c r="C33" s="177"/>
      <c r="D33" s="6"/>
      <c r="E33" s="265">
        <v>50</v>
      </c>
      <c r="F33" s="44">
        <v>91.97</v>
      </c>
      <c r="G33" s="66">
        <f t="shared" si="0"/>
        <v>4598.5</v>
      </c>
      <c r="H33" s="44"/>
      <c r="I33" s="44"/>
      <c r="J33" s="66">
        <f t="shared" si="4"/>
        <v>0</v>
      </c>
      <c r="K33" s="66">
        <f t="shared" si="2"/>
        <v>4598.5</v>
      </c>
      <c r="L33" s="66">
        <v>0</v>
      </c>
      <c r="M33" s="66">
        <f t="shared" si="5"/>
        <v>46968.62000000001</v>
      </c>
      <c r="N33" s="6"/>
    </row>
    <row r="34" spans="1:15">
      <c r="A34" s="26">
        <v>30</v>
      </c>
      <c r="B34" s="27">
        <v>45777</v>
      </c>
      <c r="C34" s="177"/>
      <c r="D34" s="6"/>
      <c r="E34" s="265">
        <v>50</v>
      </c>
      <c r="F34" s="44">
        <v>91.97</v>
      </c>
      <c r="G34" s="66">
        <f t="shared" si="0"/>
        <v>4598.5</v>
      </c>
      <c r="H34" s="44">
        <v>10</v>
      </c>
      <c r="I34" s="44">
        <v>104.01</v>
      </c>
      <c r="J34" s="66">
        <f t="shared" si="4"/>
        <v>1040.1000000000001</v>
      </c>
      <c r="K34" s="66">
        <f t="shared" si="2"/>
        <v>5638.6</v>
      </c>
      <c r="L34" s="66">
        <v>50000</v>
      </c>
      <c r="M34" s="66">
        <f t="shared" si="5"/>
        <v>2607.2200000000084</v>
      </c>
      <c r="N34" s="6"/>
    </row>
    <row r="35" spans="1:15">
      <c r="A35" s="26">
        <v>31</v>
      </c>
      <c r="B35" s="27">
        <v>45778</v>
      </c>
      <c r="C35" s="177"/>
      <c r="D35" s="6"/>
      <c r="E35" s="265"/>
      <c r="F35" s="44"/>
      <c r="G35" s="66">
        <f t="shared" si="0"/>
        <v>0</v>
      </c>
      <c r="H35" s="44"/>
      <c r="I35" s="44"/>
      <c r="J35" s="66">
        <f t="shared" si="4"/>
        <v>0</v>
      </c>
      <c r="K35" s="66">
        <f t="shared" ref="K35" si="9">G35+J35</f>
        <v>0</v>
      </c>
      <c r="L35" s="66">
        <v>0</v>
      </c>
      <c r="M35" s="66">
        <f t="shared" si="5"/>
        <v>2607.2200000000084</v>
      </c>
      <c r="N35" s="6">
        <v>2607.0699999999997</v>
      </c>
      <c r="O35" s="102">
        <f>N35-M35</f>
        <v>-0.15000000000873115</v>
      </c>
    </row>
    <row r="36" spans="1:15">
      <c r="A36" s="42"/>
      <c r="B36" s="42"/>
      <c r="C36" s="42"/>
      <c r="D36" s="42"/>
      <c r="E36" s="42">
        <f>SUM(E4:E35)</f>
        <v>2145</v>
      </c>
      <c r="F36" s="42"/>
      <c r="G36" s="42">
        <f>SUM(G4:G35)</f>
        <v>197273.15</v>
      </c>
      <c r="H36" s="42">
        <f>SUM(H4:H35)</f>
        <v>177</v>
      </c>
      <c r="I36" s="42"/>
      <c r="J36" s="42">
        <f>SUM(J4:J35)</f>
        <v>18409.769999999993</v>
      </c>
      <c r="K36" s="42">
        <f>SUM(K4:K35)</f>
        <v>215682.91999999993</v>
      </c>
      <c r="L36" s="42">
        <f>SUM(L4:L35)</f>
        <v>247835</v>
      </c>
      <c r="M36" s="42"/>
      <c r="N36" s="42"/>
    </row>
  </sheetData>
  <mergeCells count="2">
    <mergeCell ref="A1:N1"/>
    <mergeCell ref="A3:J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B3BE-D862-4195-B5AF-A057F3C991D4}">
  <dimension ref="A1:Q55"/>
  <sheetViews>
    <sheetView workbookViewId="0">
      <pane ySplit="2" topLeftCell="A16" activePane="bottomLeft" state="frozen"/>
      <selection pane="bottomLeft" activeCell="E27" sqref="E27"/>
    </sheetView>
  </sheetViews>
  <sheetFormatPr defaultColWidth="14.2851562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9.28515625" customWidth="1"/>
    <col min="5" max="5" width="10.7109375" style="22" bestFit="1" customWidth="1"/>
    <col min="6" max="6" width="9.5703125" style="22" bestFit="1" customWidth="1"/>
    <col min="7" max="7" width="11.42578125" style="22" bestFit="1" customWidth="1"/>
    <col min="8" max="8" width="10.7109375" style="22" bestFit="1" customWidth="1"/>
    <col min="9" max="9" width="7.140625" style="22" bestFit="1" customWidth="1"/>
    <col min="10" max="10" width="8.7109375" style="22" bestFit="1" customWidth="1"/>
    <col min="11" max="11" width="13.5703125" style="22" bestFit="1" customWidth="1"/>
    <col min="12" max="12" width="13.5703125" bestFit="1" customWidth="1"/>
    <col min="13" max="13" width="13.5703125" customWidth="1"/>
    <col min="14" max="14" width="17.7109375" bestFit="1" customWidth="1"/>
  </cols>
  <sheetData>
    <row r="1" spans="1:14" ht="15.75">
      <c r="A1" s="509" t="s">
        <v>125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</row>
    <row r="2" spans="1:14" ht="30">
      <c r="A2" s="64" t="s">
        <v>0</v>
      </c>
      <c r="B2" s="83" t="s">
        <v>164</v>
      </c>
      <c r="C2" s="83" t="s">
        <v>165</v>
      </c>
      <c r="D2" s="83" t="s">
        <v>166</v>
      </c>
      <c r="E2" s="90" t="s">
        <v>167</v>
      </c>
      <c r="F2" s="90" t="s">
        <v>168</v>
      </c>
      <c r="G2" s="90" t="s">
        <v>169</v>
      </c>
      <c r="H2" s="90" t="s">
        <v>170</v>
      </c>
      <c r="I2" s="90" t="s">
        <v>168</v>
      </c>
      <c r="J2" s="90" t="s">
        <v>169</v>
      </c>
      <c r="K2" s="91" t="s">
        <v>171</v>
      </c>
      <c r="L2" s="85" t="s">
        <v>172</v>
      </c>
      <c r="M2" s="85" t="s">
        <v>209</v>
      </c>
      <c r="N2" s="125" t="s">
        <v>174</v>
      </c>
    </row>
    <row r="3" spans="1:14">
      <c r="A3" s="488" t="s">
        <v>175</v>
      </c>
      <c r="B3" s="488"/>
      <c r="C3" s="488"/>
      <c r="D3" s="488"/>
      <c r="E3" s="488"/>
      <c r="F3" s="488"/>
      <c r="G3" s="488"/>
      <c r="H3" s="488"/>
      <c r="I3" s="488"/>
      <c r="J3" s="491"/>
      <c r="K3" s="202">
        <v>1651007.8791000003</v>
      </c>
      <c r="M3" s="135">
        <v>1651007.8791000003</v>
      </c>
      <c r="N3" s="94"/>
    </row>
    <row r="4" spans="1:14">
      <c r="A4" s="26">
        <v>1</v>
      </c>
      <c r="B4" s="27">
        <v>46113</v>
      </c>
      <c r="C4" s="17"/>
      <c r="D4" s="17"/>
      <c r="E4" s="40"/>
      <c r="F4" s="40"/>
      <c r="G4" s="40">
        <f>E4*F4</f>
        <v>0</v>
      </c>
      <c r="H4" s="40"/>
      <c r="I4" s="40"/>
      <c r="J4" s="40">
        <f>H4*I4</f>
        <v>0</v>
      </c>
      <c r="K4" s="40">
        <f>G4+J4</f>
        <v>0</v>
      </c>
      <c r="L4" s="40"/>
      <c r="M4" s="136">
        <f>M3+K4-L4</f>
        <v>1651007.8791000003</v>
      </c>
      <c r="N4" s="17"/>
    </row>
    <row r="5" spans="1:14">
      <c r="A5" s="26">
        <v>2</v>
      </c>
      <c r="B5" s="27">
        <v>46114</v>
      </c>
      <c r="C5" s="17"/>
      <c r="D5" s="17"/>
      <c r="E5" s="40"/>
      <c r="F5" s="40"/>
      <c r="G5" s="40">
        <f t="shared" ref="G5:G39" si="0">E5*F5</f>
        <v>0</v>
      </c>
      <c r="H5" s="40"/>
      <c r="I5" s="40"/>
      <c r="J5" s="40">
        <f t="shared" ref="J5:J39" si="1">H5*I5</f>
        <v>0</v>
      </c>
      <c r="K5" s="40">
        <f t="shared" ref="K5:L39" si="2">G5+J5</f>
        <v>0</v>
      </c>
      <c r="L5" s="40"/>
      <c r="M5" s="136">
        <f>M4+K5-L5</f>
        <v>1651007.8791000003</v>
      </c>
      <c r="N5" s="17"/>
    </row>
    <row r="6" spans="1:14">
      <c r="A6" s="26"/>
      <c r="B6" s="27">
        <v>46115</v>
      </c>
      <c r="C6" s="17"/>
      <c r="D6" s="17"/>
      <c r="E6" s="40"/>
      <c r="F6" s="40"/>
      <c r="G6" s="40">
        <f t="shared" si="0"/>
        <v>0</v>
      </c>
      <c r="H6" s="40"/>
      <c r="I6" s="40"/>
      <c r="J6" s="40">
        <f t="shared" si="1"/>
        <v>0</v>
      </c>
      <c r="K6" s="40">
        <f t="shared" si="2"/>
        <v>0</v>
      </c>
      <c r="L6" s="40">
        <v>1651008</v>
      </c>
      <c r="M6" s="136">
        <f>M5+K6-L6</f>
        <v>-0.12089999974705279</v>
      </c>
      <c r="N6" s="17"/>
    </row>
    <row r="7" spans="1:14">
      <c r="A7" s="26">
        <v>3</v>
      </c>
      <c r="B7" s="27">
        <v>46116</v>
      </c>
      <c r="C7" s="17"/>
      <c r="D7" s="17"/>
      <c r="E7" s="40"/>
      <c r="F7" s="40"/>
      <c r="G7" s="40">
        <f t="shared" si="0"/>
        <v>0</v>
      </c>
      <c r="H7" s="40"/>
      <c r="I7" s="40"/>
      <c r="J7" s="40">
        <f t="shared" si="1"/>
        <v>0</v>
      </c>
      <c r="K7" s="40">
        <f t="shared" si="2"/>
        <v>0</v>
      </c>
      <c r="L7" s="40"/>
      <c r="M7" s="136">
        <f t="shared" ref="M5:M16" si="3">M6+K7-L7</f>
        <v>-0.12089999974705279</v>
      </c>
      <c r="N7" s="17"/>
    </row>
    <row r="8" spans="1:14">
      <c r="A8" s="26">
        <v>4</v>
      </c>
      <c r="B8" s="27">
        <v>46117</v>
      </c>
      <c r="C8" s="17"/>
      <c r="D8" s="17"/>
      <c r="E8" s="40"/>
      <c r="F8" s="40"/>
      <c r="G8" s="40">
        <f t="shared" si="0"/>
        <v>0</v>
      </c>
      <c r="H8" s="40"/>
      <c r="I8" s="40"/>
      <c r="J8" s="40">
        <f t="shared" si="1"/>
        <v>0</v>
      </c>
      <c r="K8" s="40">
        <f t="shared" si="2"/>
        <v>0</v>
      </c>
      <c r="L8" s="40"/>
      <c r="M8" s="136">
        <f t="shared" si="3"/>
        <v>-0.12089999974705279</v>
      </c>
      <c r="N8" s="17" t="s">
        <v>225</v>
      </c>
    </row>
    <row r="9" spans="1:14">
      <c r="A9" s="26">
        <v>5</v>
      </c>
      <c r="B9" s="27">
        <v>46118</v>
      </c>
      <c r="C9" s="17"/>
      <c r="D9" s="17"/>
      <c r="E9" s="40"/>
      <c r="F9" s="40"/>
      <c r="G9" s="40">
        <f t="shared" si="0"/>
        <v>0</v>
      </c>
      <c r="H9" s="40"/>
      <c r="I9" s="40"/>
      <c r="J9" s="40">
        <f t="shared" si="1"/>
        <v>0</v>
      </c>
      <c r="K9" s="40">
        <f t="shared" si="2"/>
        <v>0</v>
      </c>
      <c r="L9" s="40"/>
      <c r="M9" s="136">
        <f t="shared" si="3"/>
        <v>-0.12089999974705279</v>
      </c>
      <c r="N9" s="17" t="s">
        <v>178</v>
      </c>
    </row>
    <row r="10" spans="1:14">
      <c r="A10" s="26">
        <v>6</v>
      </c>
      <c r="B10" s="27">
        <v>46119</v>
      </c>
      <c r="C10" s="17"/>
      <c r="D10" s="17"/>
      <c r="E10" s="40"/>
      <c r="F10" s="40"/>
      <c r="G10" s="40">
        <f t="shared" si="0"/>
        <v>0</v>
      </c>
      <c r="H10" s="40"/>
      <c r="I10" s="40"/>
      <c r="J10" s="40">
        <f t="shared" si="1"/>
        <v>0</v>
      </c>
      <c r="K10" s="40">
        <f t="shared" si="2"/>
        <v>0</v>
      </c>
      <c r="L10" s="40"/>
      <c r="M10" s="136">
        <f t="shared" si="3"/>
        <v>-0.12089999974705279</v>
      </c>
      <c r="N10" s="17"/>
    </row>
    <row r="11" spans="1:14">
      <c r="A11" s="26">
        <v>7</v>
      </c>
      <c r="B11" s="27">
        <v>46120</v>
      </c>
      <c r="C11" s="17"/>
      <c r="D11" s="17"/>
      <c r="E11" s="40"/>
      <c r="F11" s="40"/>
      <c r="G11" s="40">
        <f t="shared" si="0"/>
        <v>0</v>
      </c>
      <c r="H11" s="40"/>
      <c r="I11" s="40"/>
      <c r="J11" s="40">
        <f t="shared" si="1"/>
        <v>0</v>
      </c>
      <c r="K11" s="40">
        <f t="shared" si="2"/>
        <v>0</v>
      </c>
      <c r="L11" s="40"/>
      <c r="M11" s="136">
        <f t="shared" si="3"/>
        <v>-0.12089999974705279</v>
      </c>
      <c r="N11" s="17"/>
    </row>
    <row r="12" spans="1:14">
      <c r="A12" s="26">
        <v>8</v>
      </c>
      <c r="B12" s="27">
        <v>46121</v>
      </c>
      <c r="C12" s="17"/>
      <c r="D12" s="17"/>
      <c r="E12" s="40">
        <v>1000</v>
      </c>
      <c r="F12" s="40">
        <v>91.71</v>
      </c>
      <c r="G12" s="40">
        <f t="shared" si="0"/>
        <v>91710</v>
      </c>
      <c r="H12" s="40">
        <v>20</v>
      </c>
      <c r="I12" s="40">
        <v>105.19</v>
      </c>
      <c r="J12" s="40">
        <f t="shared" si="1"/>
        <v>2103.8000000000002</v>
      </c>
      <c r="K12" s="40">
        <f t="shared" si="2"/>
        <v>93813.8</v>
      </c>
      <c r="L12" s="40">
        <v>93813.8</v>
      </c>
      <c r="M12" s="136">
        <f t="shared" si="3"/>
        <v>-0.12089999974705279</v>
      </c>
      <c r="N12" s="17"/>
    </row>
    <row r="13" spans="1:14">
      <c r="A13" s="26">
        <v>9</v>
      </c>
      <c r="B13" s="27">
        <v>46122</v>
      </c>
      <c r="C13" s="17"/>
      <c r="D13" s="17"/>
      <c r="E13" s="40">
        <v>1000</v>
      </c>
      <c r="F13" s="40">
        <v>91.71</v>
      </c>
      <c r="G13" s="40">
        <f t="shared" si="0"/>
        <v>91710</v>
      </c>
      <c r="H13" s="40"/>
      <c r="I13" s="40"/>
      <c r="J13" s="40">
        <f t="shared" si="1"/>
        <v>0</v>
      </c>
      <c r="K13" s="40">
        <f t="shared" si="2"/>
        <v>91710</v>
      </c>
      <c r="L13" s="40">
        <v>91710</v>
      </c>
      <c r="M13" s="136">
        <f t="shared" si="3"/>
        <v>-0.12089999974705279</v>
      </c>
      <c r="N13" s="17"/>
    </row>
    <row r="14" spans="1:14">
      <c r="A14" s="26">
        <v>10</v>
      </c>
      <c r="B14" s="27">
        <v>46123</v>
      </c>
      <c r="C14" s="17"/>
      <c r="D14" s="17"/>
      <c r="E14" s="40">
        <v>2000</v>
      </c>
      <c r="F14" s="40">
        <v>91.71</v>
      </c>
      <c r="G14" s="40">
        <f t="shared" si="0"/>
        <v>183420</v>
      </c>
      <c r="H14" s="40"/>
      <c r="I14" s="40"/>
      <c r="J14" s="40">
        <f t="shared" si="1"/>
        <v>0</v>
      </c>
      <c r="K14" s="40">
        <f t="shared" si="2"/>
        <v>183420</v>
      </c>
      <c r="L14" s="40">
        <f t="shared" si="2"/>
        <v>183420</v>
      </c>
      <c r="M14" s="136">
        <f t="shared" si="3"/>
        <v>-0.12089999974705279</v>
      </c>
      <c r="N14" s="44"/>
    </row>
    <row r="15" spans="1:14">
      <c r="A15" s="26">
        <v>11</v>
      </c>
      <c r="B15" s="27">
        <v>46124</v>
      </c>
      <c r="C15" s="17"/>
      <c r="D15" s="17"/>
      <c r="E15" s="40">
        <v>1500</v>
      </c>
      <c r="F15" s="40">
        <v>91.71</v>
      </c>
      <c r="G15" s="40">
        <f t="shared" si="0"/>
        <v>137565</v>
      </c>
      <c r="H15" s="40">
        <v>20</v>
      </c>
      <c r="I15" s="40">
        <v>105.19</v>
      </c>
      <c r="J15" s="40">
        <f t="shared" si="1"/>
        <v>2103.8000000000002</v>
      </c>
      <c r="K15" s="40">
        <f t="shared" si="2"/>
        <v>139668.79999999999</v>
      </c>
      <c r="L15" s="40">
        <v>139668.79999999999</v>
      </c>
      <c r="M15" s="136">
        <f t="shared" si="3"/>
        <v>-0.12089999974705279</v>
      </c>
      <c r="N15" s="44"/>
    </row>
    <row r="16" spans="1:14">
      <c r="A16" s="26">
        <v>12</v>
      </c>
      <c r="B16" s="27">
        <v>46125</v>
      </c>
      <c r="C16" s="17"/>
      <c r="D16" s="17"/>
      <c r="E16" s="40"/>
      <c r="F16" s="40"/>
      <c r="G16" s="40">
        <f t="shared" si="0"/>
        <v>0</v>
      </c>
      <c r="H16" s="40"/>
      <c r="I16" s="40"/>
      <c r="J16" s="40">
        <f t="shared" si="1"/>
        <v>0</v>
      </c>
      <c r="K16" s="40">
        <f t="shared" si="2"/>
        <v>0</v>
      </c>
      <c r="L16" s="40"/>
      <c r="M16" s="136">
        <f t="shared" si="3"/>
        <v>-0.12089999974705279</v>
      </c>
      <c r="N16" s="44"/>
    </row>
    <row r="17" spans="1:16">
      <c r="A17" s="26">
        <v>13</v>
      </c>
      <c r="B17" s="27">
        <v>46126</v>
      </c>
      <c r="C17" s="17"/>
      <c r="D17" s="17"/>
      <c r="E17" s="40"/>
      <c r="F17" s="40"/>
      <c r="G17" s="40">
        <f t="shared" si="0"/>
        <v>0</v>
      </c>
      <c r="H17" s="40"/>
      <c r="I17" s="40"/>
      <c r="J17" s="40">
        <f t="shared" si="1"/>
        <v>0</v>
      </c>
      <c r="K17" s="40">
        <f t="shared" si="2"/>
        <v>0</v>
      </c>
      <c r="L17" s="40"/>
      <c r="M17" s="136">
        <f t="shared" ref="M5:M54" si="4">M16+K17-L17</f>
        <v>-0.12089999974705279</v>
      </c>
      <c r="N17" s="44"/>
    </row>
    <row r="18" spans="1:16">
      <c r="A18" s="26">
        <v>14</v>
      </c>
      <c r="B18" s="27">
        <v>46127</v>
      </c>
      <c r="C18" s="17"/>
      <c r="D18" s="17"/>
      <c r="E18" s="40"/>
      <c r="F18" s="40"/>
      <c r="G18" s="40">
        <f t="shared" si="0"/>
        <v>0</v>
      </c>
      <c r="H18" s="40"/>
      <c r="I18" s="40"/>
      <c r="J18" s="40">
        <f t="shared" si="1"/>
        <v>0</v>
      </c>
      <c r="K18" s="40">
        <f t="shared" si="2"/>
        <v>0</v>
      </c>
      <c r="L18" s="40"/>
      <c r="M18" s="136">
        <f t="shared" si="4"/>
        <v>-0.12089999974705279</v>
      </c>
      <c r="N18" s="44"/>
    </row>
    <row r="19" spans="1:16">
      <c r="A19" s="26">
        <v>15</v>
      </c>
      <c r="B19" s="27">
        <v>46128</v>
      </c>
      <c r="C19" s="17"/>
      <c r="D19" s="17"/>
      <c r="E19" s="40"/>
      <c r="F19" s="40"/>
      <c r="G19" s="40">
        <f t="shared" si="0"/>
        <v>0</v>
      </c>
      <c r="H19" s="40"/>
      <c r="I19" s="40"/>
      <c r="J19" s="40">
        <f t="shared" si="1"/>
        <v>0</v>
      </c>
      <c r="K19" s="40">
        <f t="shared" si="2"/>
        <v>0</v>
      </c>
      <c r="L19" s="40"/>
      <c r="M19" s="136">
        <f t="shared" si="4"/>
        <v>-0.12089999974705279</v>
      </c>
      <c r="N19" s="44"/>
    </row>
    <row r="20" spans="1:16">
      <c r="A20" s="26">
        <v>16</v>
      </c>
      <c r="B20" s="27">
        <v>46129</v>
      </c>
      <c r="C20" s="17"/>
      <c r="D20" s="17"/>
      <c r="E20" s="40"/>
      <c r="F20" s="40"/>
      <c r="G20" s="40">
        <f t="shared" si="0"/>
        <v>0</v>
      </c>
      <c r="H20" s="40"/>
      <c r="I20" s="40"/>
      <c r="J20" s="40">
        <f t="shared" si="1"/>
        <v>0</v>
      </c>
      <c r="K20" s="40">
        <f t="shared" si="2"/>
        <v>0</v>
      </c>
      <c r="L20" s="40"/>
      <c r="M20" s="136">
        <f t="shared" si="4"/>
        <v>-0.12089999974705279</v>
      </c>
      <c r="N20" s="44"/>
      <c r="P20" s="22"/>
    </row>
    <row r="21" spans="1:16">
      <c r="A21" s="26">
        <v>17</v>
      </c>
      <c r="B21" s="27">
        <v>46130</v>
      </c>
      <c r="C21" s="17"/>
      <c r="D21" s="17"/>
      <c r="E21" s="40">
        <v>1500</v>
      </c>
      <c r="F21" s="40">
        <v>91.71</v>
      </c>
      <c r="G21" s="40">
        <f t="shared" si="0"/>
        <v>137565</v>
      </c>
      <c r="H21" s="40"/>
      <c r="I21" s="40"/>
      <c r="J21" s="40">
        <f t="shared" si="1"/>
        <v>0</v>
      </c>
      <c r="K21" s="40">
        <f t="shared" si="2"/>
        <v>137565</v>
      </c>
      <c r="L21" s="40">
        <f t="shared" si="2"/>
        <v>137565</v>
      </c>
      <c r="M21" s="136">
        <f t="shared" si="4"/>
        <v>-0.12089999974705279</v>
      </c>
      <c r="N21" s="44"/>
      <c r="P21" s="22"/>
    </row>
    <row r="22" spans="1:16">
      <c r="A22" s="26">
        <v>18</v>
      </c>
      <c r="B22" s="27">
        <v>46131</v>
      </c>
      <c r="C22" s="17"/>
      <c r="D22" s="17"/>
      <c r="E22" s="40"/>
      <c r="F22" s="40"/>
      <c r="G22" s="40">
        <f t="shared" si="0"/>
        <v>0</v>
      </c>
      <c r="H22" s="40"/>
      <c r="I22" s="40"/>
      <c r="J22" s="40">
        <f t="shared" si="1"/>
        <v>0</v>
      </c>
      <c r="K22" s="40">
        <f t="shared" si="2"/>
        <v>0</v>
      </c>
      <c r="L22" s="40"/>
      <c r="M22" s="136">
        <f t="shared" si="4"/>
        <v>-0.12089999974705279</v>
      </c>
      <c r="N22" s="44"/>
      <c r="P22" s="22"/>
    </row>
    <row r="23" spans="1:16">
      <c r="A23" s="26">
        <v>19</v>
      </c>
      <c r="B23" s="27">
        <v>46132</v>
      </c>
      <c r="C23" s="17"/>
      <c r="D23" s="17"/>
      <c r="E23" s="40"/>
      <c r="F23" s="40"/>
      <c r="G23" s="40">
        <f t="shared" si="0"/>
        <v>0</v>
      </c>
      <c r="H23" s="40"/>
      <c r="I23" s="40"/>
      <c r="J23" s="40">
        <f t="shared" si="1"/>
        <v>0</v>
      </c>
      <c r="K23" s="40">
        <f t="shared" si="2"/>
        <v>0</v>
      </c>
      <c r="L23" s="40"/>
      <c r="M23" s="136">
        <f t="shared" si="4"/>
        <v>-0.12089999974705279</v>
      </c>
      <c r="N23" s="44"/>
      <c r="P23" s="22"/>
    </row>
    <row r="24" spans="1:16">
      <c r="A24" s="26">
        <v>20</v>
      </c>
      <c r="B24" s="27">
        <v>46133</v>
      </c>
      <c r="C24" s="17"/>
      <c r="D24" s="17"/>
      <c r="E24" s="40"/>
      <c r="F24" s="40"/>
      <c r="G24" s="40">
        <f t="shared" si="0"/>
        <v>0</v>
      </c>
      <c r="H24" s="40"/>
      <c r="I24" s="40"/>
      <c r="J24" s="40">
        <f t="shared" si="1"/>
        <v>0</v>
      </c>
      <c r="K24" s="40">
        <f t="shared" si="2"/>
        <v>0</v>
      </c>
      <c r="L24" s="40"/>
      <c r="M24" s="136">
        <f t="shared" si="4"/>
        <v>-0.12089999974705279</v>
      </c>
      <c r="N24" s="44"/>
      <c r="P24" s="22"/>
    </row>
    <row r="25" spans="1:16">
      <c r="A25" s="26">
        <v>21</v>
      </c>
      <c r="B25" s="27">
        <v>46134</v>
      </c>
      <c r="C25" s="17"/>
      <c r="D25" s="17"/>
      <c r="E25" s="40"/>
      <c r="F25" s="40"/>
      <c r="G25" s="40">
        <f t="shared" si="0"/>
        <v>0</v>
      </c>
      <c r="H25" s="40"/>
      <c r="I25" s="40"/>
      <c r="J25" s="40">
        <f t="shared" si="1"/>
        <v>0</v>
      </c>
      <c r="K25" s="40">
        <f t="shared" si="2"/>
        <v>0</v>
      </c>
      <c r="L25" s="40"/>
      <c r="M25" s="136">
        <f t="shared" si="4"/>
        <v>-0.12089999974705279</v>
      </c>
      <c r="N25" s="44"/>
      <c r="P25" s="22"/>
    </row>
    <row r="26" spans="1:16">
      <c r="A26" s="26">
        <v>22</v>
      </c>
      <c r="B26" s="27">
        <v>46135</v>
      </c>
      <c r="C26" s="17"/>
      <c r="D26" s="17"/>
      <c r="E26" s="40">
        <v>2000</v>
      </c>
      <c r="F26" s="40">
        <v>91.71</v>
      </c>
      <c r="G26" s="40">
        <f t="shared" si="0"/>
        <v>183420</v>
      </c>
      <c r="H26" s="40">
        <v>20</v>
      </c>
      <c r="I26" s="40">
        <v>105.19</v>
      </c>
      <c r="J26" s="40">
        <f t="shared" si="1"/>
        <v>2103.8000000000002</v>
      </c>
      <c r="K26" s="40">
        <f t="shared" si="2"/>
        <v>185523.8</v>
      </c>
      <c r="L26" s="40">
        <v>91710</v>
      </c>
      <c r="M26" s="136">
        <f t="shared" si="4"/>
        <v>93813.679100000241</v>
      </c>
      <c r="N26" s="44"/>
      <c r="P26" s="22"/>
    </row>
    <row r="27" spans="1:16">
      <c r="A27" s="26">
        <v>23</v>
      </c>
      <c r="B27" s="27">
        <v>46136</v>
      </c>
      <c r="C27" s="17"/>
      <c r="D27" s="17"/>
      <c r="E27" s="40"/>
      <c r="F27" s="40"/>
      <c r="G27" s="40">
        <f t="shared" si="0"/>
        <v>0</v>
      </c>
      <c r="H27" s="40"/>
      <c r="I27" s="40"/>
      <c r="J27" s="40">
        <f t="shared" si="1"/>
        <v>0</v>
      </c>
      <c r="K27" s="40">
        <f t="shared" si="2"/>
        <v>0</v>
      </c>
      <c r="L27" s="40"/>
      <c r="M27" s="136">
        <f t="shared" si="4"/>
        <v>93813.679100000241</v>
      </c>
      <c r="N27" s="44"/>
      <c r="P27" s="22"/>
    </row>
    <row r="28" spans="1:16">
      <c r="A28" s="26">
        <v>24</v>
      </c>
      <c r="B28" s="27">
        <v>46137</v>
      </c>
      <c r="C28" s="17"/>
      <c r="D28" s="17"/>
      <c r="E28" s="40"/>
      <c r="F28" s="40"/>
      <c r="G28" s="40">
        <f t="shared" si="0"/>
        <v>0</v>
      </c>
      <c r="H28" s="40"/>
      <c r="I28" s="40"/>
      <c r="J28" s="40">
        <f t="shared" si="1"/>
        <v>0</v>
      </c>
      <c r="K28" s="40">
        <f t="shared" si="2"/>
        <v>0</v>
      </c>
      <c r="L28" s="40"/>
      <c r="M28" s="136">
        <f t="shared" si="4"/>
        <v>93813.679100000241</v>
      </c>
      <c r="N28" s="44"/>
      <c r="P28" s="22"/>
    </row>
    <row r="29" spans="1:16">
      <c r="A29" s="26">
        <v>25</v>
      </c>
      <c r="B29" s="27">
        <v>46138</v>
      </c>
      <c r="C29" s="17"/>
      <c r="D29" s="17"/>
      <c r="E29" s="40"/>
      <c r="F29" s="40"/>
      <c r="G29" s="40">
        <f t="shared" si="0"/>
        <v>0</v>
      </c>
      <c r="H29" s="40"/>
      <c r="I29" s="40"/>
      <c r="J29" s="40">
        <f t="shared" si="1"/>
        <v>0</v>
      </c>
      <c r="K29" s="40">
        <f t="shared" si="2"/>
        <v>0</v>
      </c>
      <c r="L29" s="40"/>
      <c r="M29" s="136">
        <f t="shared" si="4"/>
        <v>93813.679100000241</v>
      </c>
      <c r="N29" s="44"/>
    </row>
    <row r="30" spans="1:16">
      <c r="A30" s="26">
        <v>26</v>
      </c>
      <c r="B30" s="27">
        <v>46139</v>
      </c>
      <c r="C30" s="17"/>
      <c r="D30" s="17"/>
      <c r="E30" s="40"/>
      <c r="F30" s="40"/>
      <c r="G30" s="40">
        <f t="shared" si="0"/>
        <v>0</v>
      </c>
      <c r="H30" s="40"/>
      <c r="I30" s="40"/>
      <c r="J30" s="40">
        <f t="shared" si="1"/>
        <v>0</v>
      </c>
      <c r="K30" s="40">
        <f t="shared" si="2"/>
        <v>0</v>
      </c>
      <c r="L30" s="40"/>
      <c r="M30" s="136">
        <f t="shared" si="4"/>
        <v>93813.679100000241</v>
      </c>
      <c r="N30" s="44"/>
    </row>
    <row r="31" spans="1:16">
      <c r="A31" s="26">
        <v>27</v>
      </c>
      <c r="B31" s="27">
        <v>46140</v>
      </c>
      <c r="C31" s="17"/>
      <c r="D31" s="17"/>
      <c r="E31" s="40"/>
      <c r="F31" s="40"/>
      <c r="G31" s="40">
        <f t="shared" si="0"/>
        <v>0</v>
      </c>
      <c r="H31" s="40"/>
      <c r="I31" s="40"/>
      <c r="J31" s="40">
        <f t="shared" si="1"/>
        <v>0</v>
      </c>
      <c r="K31" s="40">
        <f t="shared" si="2"/>
        <v>0</v>
      </c>
      <c r="L31" s="40"/>
      <c r="M31" s="136">
        <f t="shared" si="4"/>
        <v>93813.679100000241</v>
      </c>
      <c r="N31" s="44"/>
    </row>
    <row r="32" spans="1:16">
      <c r="A32" s="26">
        <v>28</v>
      </c>
      <c r="B32" s="27">
        <v>46141</v>
      </c>
      <c r="C32" s="17"/>
      <c r="D32" s="17"/>
      <c r="E32" s="40"/>
      <c r="F32" s="40"/>
      <c r="G32" s="40">
        <f t="shared" si="0"/>
        <v>0</v>
      </c>
      <c r="H32" s="40"/>
      <c r="I32" s="40"/>
      <c r="J32" s="40">
        <f t="shared" si="1"/>
        <v>0</v>
      </c>
      <c r="K32" s="40">
        <f t="shared" si="2"/>
        <v>0</v>
      </c>
      <c r="L32" s="40"/>
      <c r="M32" s="136">
        <f t="shared" si="4"/>
        <v>93813.679100000241</v>
      </c>
      <c r="N32" s="44"/>
    </row>
    <row r="33" spans="1:17">
      <c r="A33" s="26">
        <v>29</v>
      </c>
      <c r="B33" s="27">
        <v>46142</v>
      </c>
      <c r="C33" s="17"/>
      <c r="D33" s="17"/>
      <c r="E33" s="40"/>
      <c r="F33" s="40"/>
      <c r="G33" s="40">
        <f t="shared" si="0"/>
        <v>0</v>
      </c>
      <c r="H33" s="40"/>
      <c r="I33" s="40"/>
      <c r="J33" s="40">
        <f t="shared" si="1"/>
        <v>0</v>
      </c>
      <c r="K33" s="40">
        <f t="shared" si="2"/>
        <v>0</v>
      </c>
      <c r="L33" s="40"/>
      <c r="M33" s="136">
        <f t="shared" si="4"/>
        <v>93813.679100000241</v>
      </c>
      <c r="N33" s="44"/>
    </row>
    <row r="34" spans="1:17">
      <c r="A34" s="26">
        <v>30</v>
      </c>
      <c r="B34" s="27"/>
      <c r="C34" s="17"/>
      <c r="D34" s="17"/>
      <c r="E34" s="40"/>
      <c r="F34" s="40"/>
      <c r="G34" s="40">
        <f t="shared" si="0"/>
        <v>0</v>
      </c>
      <c r="H34" s="40"/>
      <c r="I34" s="40"/>
      <c r="J34" s="40">
        <f t="shared" si="1"/>
        <v>0</v>
      </c>
      <c r="K34" s="40">
        <f t="shared" si="2"/>
        <v>0</v>
      </c>
      <c r="L34" s="40"/>
      <c r="M34" s="136">
        <f t="shared" si="4"/>
        <v>93813.679100000241</v>
      </c>
      <c r="N34" s="44"/>
    </row>
    <row r="35" spans="1:17">
      <c r="A35" s="26">
        <v>31</v>
      </c>
      <c r="B35" s="27"/>
      <c r="C35" s="17"/>
      <c r="D35" s="17"/>
      <c r="E35" s="40"/>
      <c r="F35" s="40"/>
      <c r="G35" s="40">
        <f t="shared" si="0"/>
        <v>0</v>
      </c>
      <c r="H35" s="40"/>
      <c r="I35" s="40"/>
      <c r="J35" s="40">
        <f t="shared" si="1"/>
        <v>0</v>
      </c>
      <c r="K35" s="40">
        <f t="shared" si="2"/>
        <v>0</v>
      </c>
      <c r="L35" s="40"/>
      <c r="M35" s="136">
        <f t="shared" si="4"/>
        <v>93813.679100000241</v>
      </c>
      <c r="N35" s="44"/>
    </row>
    <row r="36" spans="1:17">
      <c r="A36" s="26">
        <v>32</v>
      </c>
      <c r="B36" s="27"/>
      <c r="C36" s="17"/>
      <c r="D36" s="17"/>
      <c r="E36" s="40"/>
      <c r="F36" s="40"/>
      <c r="G36" s="40">
        <f t="shared" si="0"/>
        <v>0</v>
      </c>
      <c r="H36" s="40"/>
      <c r="I36" s="40"/>
      <c r="J36" s="40">
        <f t="shared" si="1"/>
        <v>0</v>
      </c>
      <c r="K36" s="40">
        <f t="shared" si="2"/>
        <v>0</v>
      </c>
      <c r="L36" s="40"/>
      <c r="M36" s="136">
        <f t="shared" si="4"/>
        <v>93813.679100000241</v>
      </c>
      <c r="N36" s="44"/>
    </row>
    <row r="37" spans="1:17">
      <c r="A37" s="26">
        <v>33</v>
      </c>
      <c r="B37" s="27"/>
      <c r="C37" s="17"/>
      <c r="D37" s="17"/>
      <c r="E37" s="40"/>
      <c r="F37" s="40"/>
      <c r="G37" s="40">
        <f t="shared" si="0"/>
        <v>0</v>
      </c>
      <c r="H37" s="40"/>
      <c r="I37" s="40"/>
      <c r="J37" s="40">
        <f t="shared" si="1"/>
        <v>0</v>
      </c>
      <c r="K37" s="40">
        <f t="shared" si="2"/>
        <v>0</v>
      </c>
      <c r="L37" s="40"/>
      <c r="M37" s="136">
        <f t="shared" si="4"/>
        <v>93813.679100000241</v>
      </c>
      <c r="N37" s="44"/>
    </row>
    <row r="38" spans="1:17">
      <c r="A38" s="26">
        <v>34</v>
      </c>
      <c r="B38" s="27"/>
      <c r="C38" s="17"/>
      <c r="D38" s="17"/>
      <c r="E38" s="40"/>
      <c r="F38" s="40"/>
      <c r="G38" s="40">
        <f t="shared" si="0"/>
        <v>0</v>
      </c>
      <c r="H38" s="40"/>
      <c r="I38" s="40"/>
      <c r="J38" s="40">
        <f t="shared" si="1"/>
        <v>0</v>
      </c>
      <c r="K38" s="40">
        <f t="shared" si="2"/>
        <v>0</v>
      </c>
      <c r="L38" s="40"/>
      <c r="M38" s="136">
        <f t="shared" si="4"/>
        <v>93813.679100000241</v>
      </c>
      <c r="N38" s="44"/>
      <c r="P38">
        <v>41</v>
      </c>
    </row>
    <row r="39" spans="1:17">
      <c r="A39" s="26">
        <v>35</v>
      </c>
      <c r="B39" s="27"/>
      <c r="C39" s="17"/>
      <c r="D39" s="17"/>
      <c r="E39" s="40"/>
      <c r="F39" s="40"/>
      <c r="G39" s="40">
        <f t="shared" si="0"/>
        <v>0</v>
      </c>
      <c r="H39" s="40"/>
      <c r="I39" s="40"/>
      <c r="J39" s="40">
        <f t="shared" si="1"/>
        <v>0</v>
      </c>
      <c r="K39" s="40">
        <f t="shared" si="2"/>
        <v>0</v>
      </c>
      <c r="L39" s="40"/>
      <c r="M39" s="136">
        <f t="shared" si="4"/>
        <v>93813.679100000241</v>
      </c>
      <c r="N39" s="44"/>
      <c r="P39">
        <v>40</v>
      </c>
      <c r="Q39">
        <v>5</v>
      </c>
    </row>
    <row r="40" spans="1:17">
      <c r="A40" s="26">
        <v>36</v>
      </c>
      <c r="B40" s="27"/>
      <c r="C40" s="17"/>
      <c r="D40" s="17"/>
      <c r="E40" s="40"/>
      <c r="F40" s="40"/>
      <c r="G40" s="40">
        <f t="shared" ref="G5:G53" si="5">E40*F40</f>
        <v>0</v>
      </c>
      <c r="H40" s="40"/>
      <c r="I40" s="40"/>
      <c r="J40" s="40">
        <f t="shared" ref="J5:J53" si="6">H40*I40</f>
        <v>0</v>
      </c>
      <c r="K40" s="40">
        <f t="shared" ref="K5:K53" si="7">G40+J40</f>
        <v>0</v>
      </c>
      <c r="L40" s="40"/>
      <c r="M40" s="136">
        <f t="shared" si="4"/>
        <v>93813.679100000241</v>
      </c>
      <c r="N40" s="44"/>
    </row>
    <row r="41" spans="1:17">
      <c r="A41" s="26">
        <v>37</v>
      </c>
      <c r="B41" s="27"/>
      <c r="C41" s="17"/>
      <c r="D41" s="17"/>
      <c r="E41" s="40"/>
      <c r="F41" s="40"/>
      <c r="G41" s="40">
        <f t="shared" si="5"/>
        <v>0</v>
      </c>
      <c r="H41" s="40"/>
      <c r="I41" s="40"/>
      <c r="J41" s="40">
        <f t="shared" si="6"/>
        <v>0</v>
      </c>
      <c r="K41" s="40">
        <f t="shared" si="7"/>
        <v>0</v>
      </c>
      <c r="L41" s="40"/>
      <c r="M41" s="136">
        <f t="shared" si="4"/>
        <v>93813.679100000241</v>
      </c>
      <c r="N41" s="44"/>
    </row>
    <row r="42" spans="1:17">
      <c r="A42" s="26">
        <v>38</v>
      </c>
      <c r="B42" s="27"/>
      <c r="C42" s="17"/>
      <c r="D42" s="17"/>
      <c r="E42" s="40"/>
      <c r="F42" s="40"/>
      <c r="G42" s="40">
        <f t="shared" si="5"/>
        <v>0</v>
      </c>
      <c r="H42" s="40"/>
      <c r="I42" s="40"/>
      <c r="J42" s="40">
        <f t="shared" si="6"/>
        <v>0</v>
      </c>
      <c r="K42" s="40">
        <f t="shared" si="7"/>
        <v>0</v>
      </c>
      <c r="L42" s="40"/>
      <c r="M42" s="136">
        <f t="shared" si="4"/>
        <v>93813.679100000241</v>
      </c>
      <c r="N42" s="44"/>
    </row>
    <row r="43" spans="1:17">
      <c r="A43" s="26">
        <v>39</v>
      </c>
      <c r="B43" s="27"/>
      <c r="C43" s="17"/>
      <c r="D43" s="17"/>
      <c r="E43" s="40"/>
      <c r="F43" s="40"/>
      <c r="G43" s="40">
        <f t="shared" si="5"/>
        <v>0</v>
      </c>
      <c r="H43" s="40"/>
      <c r="I43" s="40"/>
      <c r="J43" s="40">
        <f t="shared" si="6"/>
        <v>0</v>
      </c>
      <c r="K43" s="40">
        <f t="shared" si="7"/>
        <v>0</v>
      </c>
      <c r="L43" s="40"/>
      <c r="M43" s="136">
        <f t="shared" si="4"/>
        <v>93813.679100000241</v>
      </c>
      <c r="N43" s="44"/>
    </row>
    <row r="44" spans="1:17">
      <c r="A44" s="26">
        <v>40</v>
      </c>
      <c r="B44" s="27"/>
      <c r="C44" s="17"/>
      <c r="D44" s="17"/>
      <c r="E44" s="40"/>
      <c r="F44" s="40"/>
      <c r="G44" s="40">
        <f t="shared" si="5"/>
        <v>0</v>
      </c>
      <c r="H44" s="40"/>
      <c r="I44" s="40"/>
      <c r="J44" s="40">
        <f t="shared" si="6"/>
        <v>0</v>
      </c>
      <c r="K44" s="40">
        <f t="shared" si="7"/>
        <v>0</v>
      </c>
      <c r="L44" s="40"/>
      <c r="M44" s="136">
        <f t="shared" si="4"/>
        <v>93813.679100000241</v>
      </c>
      <c r="N44" s="44"/>
    </row>
    <row r="45" spans="1:17">
      <c r="A45" s="26">
        <v>41</v>
      </c>
      <c r="B45" s="27"/>
      <c r="C45" s="17"/>
      <c r="D45" s="17"/>
      <c r="E45" s="40"/>
      <c r="F45" s="40"/>
      <c r="G45" s="40">
        <f t="shared" si="5"/>
        <v>0</v>
      </c>
      <c r="H45" s="40"/>
      <c r="I45" s="40"/>
      <c r="J45" s="40">
        <f t="shared" si="6"/>
        <v>0</v>
      </c>
      <c r="K45" s="40">
        <f t="shared" si="7"/>
        <v>0</v>
      </c>
      <c r="L45" s="40"/>
      <c r="M45" s="136">
        <f t="shared" si="4"/>
        <v>93813.679100000241</v>
      </c>
      <c r="N45" s="44"/>
    </row>
    <row r="46" spans="1:17">
      <c r="A46" s="26">
        <v>42</v>
      </c>
      <c r="B46" s="27"/>
      <c r="C46" s="17"/>
      <c r="D46" s="17"/>
      <c r="E46" s="40"/>
      <c r="F46" s="40"/>
      <c r="G46" s="40">
        <f t="shared" si="5"/>
        <v>0</v>
      </c>
      <c r="H46" s="40"/>
      <c r="I46" s="40"/>
      <c r="J46" s="40">
        <f t="shared" si="6"/>
        <v>0</v>
      </c>
      <c r="K46" s="40">
        <f t="shared" si="7"/>
        <v>0</v>
      </c>
      <c r="L46" s="40"/>
      <c r="M46" s="136">
        <f t="shared" si="4"/>
        <v>93813.679100000241</v>
      </c>
      <c r="N46" s="44"/>
    </row>
    <row r="47" spans="1:17">
      <c r="A47" s="26">
        <v>43</v>
      </c>
      <c r="B47" s="27"/>
      <c r="C47" s="17"/>
      <c r="D47" s="17"/>
      <c r="E47" s="40"/>
      <c r="F47" s="40"/>
      <c r="G47" s="40">
        <f t="shared" si="5"/>
        <v>0</v>
      </c>
      <c r="H47" s="40"/>
      <c r="I47" s="40"/>
      <c r="J47" s="40">
        <f t="shared" si="6"/>
        <v>0</v>
      </c>
      <c r="K47" s="40">
        <f t="shared" si="7"/>
        <v>0</v>
      </c>
      <c r="L47" s="40"/>
      <c r="M47" s="136">
        <f t="shared" si="4"/>
        <v>93813.679100000241</v>
      </c>
      <c r="N47" s="44"/>
    </row>
    <row r="48" spans="1:17">
      <c r="A48" s="26">
        <v>44</v>
      </c>
      <c r="B48" s="27"/>
      <c r="C48" s="17"/>
      <c r="D48" s="17"/>
      <c r="E48" s="40"/>
      <c r="F48" s="40"/>
      <c r="G48" s="40">
        <f t="shared" si="5"/>
        <v>0</v>
      </c>
      <c r="H48" s="40"/>
      <c r="I48" s="40"/>
      <c r="J48" s="40">
        <f t="shared" si="6"/>
        <v>0</v>
      </c>
      <c r="K48" s="40">
        <f t="shared" si="7"/>
        <v>0</v>
      </c>
      <c r="L48" s="40"/>
      <c r="M48" s="136">
        <f t="shared" si="4"/>
        <v>93813.679100000241</v>
      </c>
      <c r="N48" s="44"/>
    </row>
    <row r="49" spans="1:16">
      <c r="A49" s="26">
        <v>45</v>
      </c>
      <c r="B49" s="27"/>
      <c r="C49" s="17"/>
      <c r="D49" s="17"/>
      <c r="E49" s="40"/>
      <c r="F49" s="40"/>
      <c r="G49" s="40">
        <f t="shared" si="5"/>
        <v>0</v>
      </c>
      <c r="H49" s="40"/>
      <c r="I49" s="40"/>
      <c r="J49" s="40">
        <f t="shared" si="6"/>
        <v>0</v>
      </c>
      <c r="K49" s="40">
        <f t="shared" si="7"/>
        <v>0</v>
      </c>
      <c r="L49" s="40"/>
      <c r="M49" s="136">
        <f t="shared" si="4"/>
        <v>93813.679100000241</v>
      </c>
      <c r="N49" s="44"/>
    </row>
    <row r="50" spans="1:16">
      <c r="A50" s="26">
        <v>46</v>
      </c>
      <c r="B50" s="27"/>
      <c r="C50" s="17"/>
      <c r="D50" s="17"/>
      <c r="E50" s="40"/>
      <c r="F50" s="40"/>
      <c r="G50" s="40">
        <f t="shared" si="5"/>
        <v>0</v>
      </c>
      <c r="H50" s="40"/>
      <c r="I50" s="40"/>
      <c r="J50" s="40">
        <f t="shared" si="6"/>
        <v>0</v>
      </c>
      <c r="K50" s="40">
        <f t="shared" si="7"/>
        <v>0</v>
      </c>
      <c r="L50" s="40"/>
      <c r="M50" s="136">
        <f t="shared" si="4"/>
        <v>93813.679100000241</v>
      </c>
      <c r="N50" s="44"/>
    </row>
    <row r="51" spans="1:16">
      <c r="A51" s="26">
        <v>47</v>
      </c>
      <c r="B51" s="27"/>
      <c r="C51" s="17"/>
      <c r="D51" s="17"/>
      <c r="E51" s="40"/>
      <c r="F51" s="40"/>
      <c r="G51" s="40">
        <f t="shared" si="5"/>
        <v>0</v>
      </c>
      <c r="H51" s="40"/>
      <c r="I51" s="40"/>
      <c r="J51" s="40">
        <f t="shared" si="6"/>
        <v>0</v>
      </c>
      <c r="K51" s="40">
        <f t="shared" si="7"/>
        <v>0</v>
      </c>
      <c r="L51" s="40">
        <v>0</v>
      </c>
      <c r="M51" s="136">
        <f t="shared" si="4"/>
        <v>93813.679100000241</v>
      </c>
      <c r="N51" s="44"/>
    </row>
    <row r="52" spans="1:16">
      <c r="A52" s="26">
        <v>48</v>
      </c>
      <c r="B52" s="27"/>
      <c r="C52" s="94"/>
      <c r="D52" s="94"/>
      <c r="E52" s="40"/>
      <c r="F52" s="40"/>
      <c r="G52" s="40">
        <f t="shared" si="5"/>
        <v>0</v>
      </c>
      <c r="H52" s="40"/>
      <c r="I52" s="40"/>
      <c r="J52" s="40">
        <f t="shared" si="6"/>
        <v>0</v>
      </c>
      <c r="K52" s="40">
        <f t="shared" si="7"/>
        <v>0</v>
      </c>
      <c r="L52" s="40">
        <v>0</v>
      </c>
      <c r="M52" s="136">
        <f t="shared" si="4"/>
        <v>93813.679100000241</v>
      </c>
      <c r="N52" s="224"/>
    </row>
    <row r="53" spans="1:16">
      <c r="A53" s="26">
        <v>49</v>
      </c>
      <c r="B53" s="27"/>
      <c r="C53" s="17"/>
      <c r="D53" s="17"/>
      <c r="E53" s="40"/>
      <c r="F53" s="40"/>
      <c r="G53" s="40">
        <f t="shared" si="5"/>
        <v>0</v>
      </c>
      <c r="H53" s="40"/>
      <c r="I53" s="40"/>
      <c r="J53" s="40">
        <f t="shared" si="6"/>
        <v>0</v>
      </c>
      <c r="K53" s="40">
        <f t="shared" si="7"/>
        <v>0</v>
      </c>
      <c r="L53" s="40">
        <v>0</v>
      </c>
      <c r="M53" s="136">
        <f t="shared" si="4"/>
        <v>93813.679100000241</v>
      </c>
      <c r="N53" s="44"/>
    </row>
    <row r="54" spans="1:16">
      <c r="A54" s="26">
        <v>50</v>
      </c>
      <c r="B54" s="27"/>
      <c r="C54" s="17"/>
      <c r="D54" s="17"/>
      <c r="E54" s="40"/>
      <c r="F54" s="40"/>
      <c r="G54" s="40">
        <f t="shared" ref="G54" si="8">E54*F54</f>
        <v>0</v>
      </c>
      <c r="H54" s="40"/>
      <c r="I54" s="40"/>
      <c r="J54" s="40">
        <f t="shared" ref="J54" si="9">H54*I54</f>
        <v>0</v>
      </c>
      <c r="K54" s="40">
        <f t="shared" ref="K54" si="10">G54+J54</f>
        <v>0</v>
      </c>
      <c r="L54" s="40">
        <v>0</v>
      </c>
      <c r="M54" s="136">
        <f t="shared" si="4"/>
        <v>93813.679100000241</v>
      </c>
      <c r="N54" s="44"/>
      <c r="O54">
        <v>1109792.2825999993</v>
      </c>
      <c r="P54" s="174">
        <f>M54-O54</f>
        <v>-1015978.603499999</v>
      </c>
    </row>
    <row r="55" spans="1:16">
      <c r="A55" s="181"/>
      <c r="B55" s="181"/>
      <c r="C55" s="181"/>
      <c r="D55" s="181"/>
      <c r="E55" s="181">
        <f>SUM(E4:E54)</f>
        <v>9000</v>
      </c>
      <c r="F55" s="181"/>
      <c r="G55" s="181">
        <f>SUM(G4:G54)</f>
        <v>825390</v>
      </c>
      <c r="H55" s="181">
        <f>SUM(H4:H54)</f>
        <v>60</v>
      </c>
      <c r="I55" s="181"/>
      <c r="J55" s="181">
        <f>SUM(J4:J54)</f>
        <v>6311.4000000000005</v>
      </c>
      <c r="K55" s="181">
        <f>SUM(K4:K54)</f>
        <v>831701.39999999991</v>
      </c>
      <c r="L55" s="181">
        <f>SUM(L4:L54)</f>
        <v>2388895.6</v>
      </c>
      <c r="M55" s="181"/>
      <c r="N55" s="181"/>
    </row>
  </sheetData>
  <mergeCells count="2">
    <mergeCell ref="A1:N1"/>
    <mergeCell ref="A3:J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8753-EB45-413F-AA43-E56ACFC36C88}">
  <dimension ref="A1:Q55"/>
  <sheetViews>
    <sheetView topLeftCell="A19" workbookViewId="0">
      <selection activeCell="N26" sqref="N26"/>
    </sheetView>
  </sheetViews>
  <sheetFormatPr defaultRowHeight="15"/>
  <cols>
    <col min="2" max="2" width="10.42578125" bestFit="1" customWidth="1"/>
    <col min="4" max="4" width="11.5703125" customWidth="1"/>
    <col min="5" max="5" width="10.42578125" bestFit="1" customWidth="1"/>
    <col min="7" max="7" width="14.7109375" customWidth="1"/>
    <col min="11" max="11" width="13.5703125" bestFit="1" customWidth="1"/>
    <col min="12" max="12" width="11.42578125" bestFit="1" customWidth="1"/>
    <col min="13" max="13" width="13.5703125" bestFit="1" customWidth="1"/>
    <col min="14" max="14" width="27.5703125" customWidth="1"/>
  </cols>
  <sheetData>
    <row r="1" spans="1:16" ht="15.75">
      <c r="A1" s="509" t="s">
        <v>249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</row>
    <row r="2" spans="1:16" ht="30.75">
      <c r="A2" s="64" t="s">
        <v>0</v>
      </c>
      <c r="B2" s="83" t="s">
        <v>164</v>
      </c>
      <c r="C2" s="83" t="s">
        <v>165</v>
      </c>
      <c r="D2" s="83" t="s">
        <v>166</v>
      </c>
      <c r="E2" s="90" t="s">
        <v>167</v>
      </c>
      <c r="F2" s="90" t="s">
        <v>168</v>
      </c>
      <c r="G2" s="90" t="s">
        <v>169</v>
      </c>
      <c r="H2" s="90" t="s">
        <v>170</v>
      </c>
      <c r="I2" s="90" t="s">
        <v>168</v>
      </c>
      <c r="J2" s="90" t="s">
        <v>169</v>
      </c>
      <c r="K2" s="91" t="s">
        <v>171</v>
      </c>
      <c r="L2" s="85" t="s">
        <v>172</v>
      </c>
      <c r="M2" s="85" t="s">
        <v>209</v>
      </c>
      <c r="N2" s="125" t="s">
        <v>174</v>
      </c>
    </row>
    <row r="3" spans="1:16">
      <c r="A3" s="488" t="s">
        <v>175</v>
      </c>
      <c r="B3" s="488"/>
      <c r="C3" s="488"/>
      <c r="D3" s="488"/>
      <c r="E3" s="488"/>
      <c r="F3" s="488"/>
      <c r="G3" s="488"/>
      <c r="H3" s="488"/>
      <c r="I3" s="488"/>
      <c r="J3" s="491"/>
      <c r="K3" s="202">
        <v>5471844.9830999998</v>
      </c>
      <c r="M3" s="135">
        <v>5471844.9830999998</v>
      </c>
      <c r="N3" s="94"/>
      <c r="P3">
        <v>5472110</v>
      </c>
    </row>
    <row r="4" spans="1:16">
      <c r="A4" s="26">
        <v>1</v>
      </c>
      <c r="B4" s="27">
        <v>46113</v>
      </c>
      <c r="C4" s="17"/>
      <c r="D4" s="17"/>
      <c r="E4" s="40">
        <v>3100</v>
      </c>
      <c r="F4" s="40">
        <v>94.71</v>
      </c>
      <c r="G4" s="40">
        <f>E4*F4</f>
        <v>293601</v>
      </c>
      <c r="H4" s="40"/>
      <c r="I4" s="40"/>
      <c r="J4" s="40">
        <f>H4*I4</f>
        <v>0</v>
      </c>
      <c r="K4" s="40">
        <f>G4+J4</f>
        <v>293601</v>
      </c>
      <c r="L4" s="40"/>
      <c r="M4" s="136">
        <f>M3+K4-L4</f>
        <v>5765445.9830999998</v>
      </c>
      <c r="N4" s="17"/>
    </row>
    <row r="5" spans="1:16">
      <c r="A5" s="26">
        <v>2</v>
      </c>
      <c r="B5" s="27">
        <v>46114</v>
      </c>
      <c r="C5" s="17"/>
      <c r="D5" s="17"/>
      <c r="E5" s="40">
        <v>2700</v>
      </c>
      <c r="F5" s="40">
        <v>94.71</v>
      </c>
      <c r="G5" s="40">
        <f t="shared" ref="G5:G35" si="0">E5*F5</f>
        <v>255716.99999999997</v>
      </c>
      <c r="H5" s="40"/>
      <c r="I5" s="40"/>
      <c r="J5" s="40">
        <f t="shared" ref="J5:J35" si="1">H5*I5</f>
        <v>0</v>
      </c>
      <c r="K5" s="40">
        <f t="shared" ref="K5:K35" si="2">G5+J5</f>
        <v>255716.99999999997</v>
      </c>
      <c r="L5" s="40"/>
      <c r="M5" s="136">
        <f t="shared" ref="M5:M54" si="3">M4+K5-L5</f>
        <v>6021162.9830999998</v>
      </c>
      <c r="N5" s="17"/>
    </row>
    <row r="6" spans="1:16">
      <c r="A6" s="26">
        <v>3</v>
      </c>
      <c r="B6" s="27">
        <v>46115</v>
      </c>
      <c r="C6" s="17"/>
      <c r="D6" s="17"/>
      <c r="E6" s="40">
        <v>4500</v>
      </c>
      <c r="F6" s="40">
        <v>94.71</v>
      </c>
      <c r="G6" s="40">
        <f t="shared" si="0"/>
        <v>426195</v>
      </c>
      <c r="H6" s="40">
        <v>50</v>
      </c>
      <c r="I6" s="40">
        <v>110.44</v>
      </c>
      <c r="J6" s="40">
        <f t="shared" si="1"/>
        <v>5522</v>
      </c>
      <c r="K6" s="40">
        <f t="shared" si="2"/>
        <v>431717</v>
      </c>
      <c r="L6" s="40"/>
      <c r="M6" s="136">
        <f t="shared" si="3"/>
        <v>6452879.9830999998</v>
      </c>
      <c r="N6" s="17"/>
    </row>
    <row r="7" spans="1:16">
      <c r="A7" s="26">
        <v>4</v>
      </c>
      <c r="B7" s="27">
        <v>46116</v>
      </c>
      <c r="C7" s="17"/>
      <c r="D7" s="17"/>
      <c r="E7" s="40">
        <v>1700</v>
      </c>
      <c r="F7" s="40">
        <v>94.71</v>
      </c>
      <c r="G7" s="40">
        <f t="shared" si="0"/>
        <v>161007</v>
      </c>
      <c r="H7" s="40"/>
      <c r="I7" s="40"/>
      <c r="J7" s="40">
        <f t="shared" si="1"/>
        <v>0</v>
      </c>
      <c r="K7" s="40">
        <f t="shared" si="2"/>
        <v>161007</v>
      </c>
      <c r="L7" s="40">
        <v>5441028</v>
      </c>
      <c r="M7" s="136">
        <f t="shared" si="3"/>
        <v>1172858.9830999998</v>
      </c>
      <c r="N7" s="17"/>
    </row>
    <row r="8" spans="1:16">
      <c r="A8" s="26">
        <v>5</v>
      </c>
      <c r="B8" s="27">
        <v>46117</v>
      </c>
      <c r="C8" s="17"/>
      <c r="D8" s="17"/>
      <c r="E8" s="40">
        <v>1850</v>
      </c>
      <c r="F8" s="40">
        <v>94.71</v>
      </c>
      <c r="G8" s="40">
        <f t="shared" si="0"/>
        <v>175213.5</v>
      </c>
      <c r="H8" s="40">
        <v>5</v>
      </c>
      <c r="I8" s="40">
        <v>110.44</v>
      </c>
      <c r="J8" s="40">
        <f t="shared" si="1"/>
        <v>552.20000000000005</v>
      </c>
      <c r="K8" s="40">
        <f t="shared" si="2"/>
        <v>175765.7</v>
      </c>
      <c r="L8" s="40"/>
      <c r="M8" s="136">
        <f t="shared" si="3"/>
        <v>1348624.6830999998</v>
      </c>
      <c r="N8" s="17"/>
    </row>
    <row r="9" spans="1:16">
      <c r="A9" s="26">
        <v>6</v>
      </c>
      <c r="B9" s="27">
        <v>46118</v>
      </c>
      <c r="C9" s="17"/>
      <c r="D9" s="17"/>
      <c r="E9" s="40">
        <v>4700</v>
      </c>
      <c r="F9" s="40">
        <v>94.71</v>
      </c>
      <c r="G9" s="40">
        <f t="shared" si="0"/>
        <v>445136.99999999994</v>
      </c>
      <c r="H9" s="40">
        <v>50</v>
      </c>
      <c r="I9" s="40">
        <v>110.44</v>
      </c>
      <c r="J9" s="40">
        <f t="shared" si="1"/>
        <v>5522</v>
      </c>
      <c r="K9" s="40">
        <f t="shared" si="2"/>
        <v>450658.99999999994</v>
      </c>
      <c r="L9" s="40"/>
      <c r="M9" s="136">
        <f t="shared" si="3"/>
        <v>1799283.6830999998</v>
      </c>
      <c r="N9" s="17"/>
    </row>
    <row r="10" spans="1:16">
      <c r="A10" s="26">
        <v>7</v>
      </c>
      <c r="B10" s="27">
        <v>46119</v>
      </c>
      <c r="C10" s="17"/>
      <c r="D10" s="17"/>
      <c r="E10" s="40">
        <v>3700</v>
      </c>
      <c r="F10" s="40">
        <v>94.71</v>
      </c>
      <c r="G10" s="40">
        <f t="shared" si="0"/>
        <v>350427</v>
      </c>
      <c r="H10" s="40">
        <v>20</v>
      </c>
      <c r="I10" s="40">
        <v>110.44</v>
      </c>
      <c r="J10" s="40">
        <f t="shared" si="1"/>
        <v>2208.8000000000002</v>
      </c>
      <c r="K10" s="40">
        <f t="shared" si="2"/>
        <v>352635.8</v>
      </c>
      <c r="L10" s="40"/>
      <c r="M10" s="136">
        <f t="shared" si="3"/>
        <v>2151919.4830999998</v>
      </c>
      <c r="N10" s="17"/>
    </row>
    <row r="11" spans="1:16">
      <c r="A11" s="26">
        <v>8</v>
      </c>
      <c r="B11" s="27">
        <v>46120</v>
      </c>
      <c r="C11" s="17"/>
      <c r="D11" s="17"/>
      <c r="E11" s="40">
        <v>3200</v>
      </c>
      <c r="F11" s="40">
        <v>94.71</v>
      </c>
      <c r="G11" s="40">
        <f t="shared" si="0"/>
        <v>303072</v>
      </c>
      <c r="H11" s="40">
        <v>30</v>
      </c>
      <c r="I11" s="40">
        <v>110.44</v>
      </c>
      <c r="J11" s="40">
        <f t="shared" si="1"/>
        <v>3313.2</v>
      </c>
      <c r="K11" s="40">
        <f t="shared" si="2"/>
        <v>306385.2</v>
      </c>
      <c r="L11" s="40"/>
      <c r="M11" s="136">
        <f t="shared" si="3"/>
        <v>2458304.6831</v>
      </c>
      <c r="N11" s="17"/>
    </row>
    <row r="12" spans="1:16">
      <c r="A12" s="26">
        <v>9</v>
      </c>
      <c r="B12" s="27">
        <v>46121</v>
      </c>
      <c r="C12" s="17"/>
      <c r="D12" s="17"/>
      <c r="E12" s="40">
        <v>500</v>
      </c>
      <c r="F12" s="40">
        <v>94.71</v>
      </c>
      <c r="G12" s="40">
        <f t="shared" si="0"/>
        <v>47355</v>
      </c>
      <c r="H12" s="40">
        <v>0</v>
      </c>
      <c r="I12" s="40">
        <v>110.44</v>
      </c>
      <c r="J12" s="40">
        <f t="shared" si="1"/>
        <v>0</v>
      </c>
      <c r="K12" s="40">
        <f t="shared" si="2"/>
        <v>47355</v>
      </c>
      <c r="L12" s="40"/>
      <c r="M12" s="136">
        <f t="shared" si="3"/>
        <v>2505659.6831</v>
      </c>
      <c r="N12" s="17"/>
    </row>
    <row r="13" spans="1:16">
      <c r="A13" s="26">
        <v>10</v>
      </c>
      <c r="B13" s="27">
        <v>46122</v>
      </c>
      <c r="C13" s="17"/>
      <c r="D13" s="17"/>
      <c r="E13" s="40">
        <v>2700</v>
      </c>
      <c r="F13" s="40">
        <v>94.71</v>
      </c>
      <c r="G13" s="40">
        <f t="shared" si="0"/>
        <v>255716.99999999997</v>
      </c>
      <c r="H13" s="40"/>
      <c r="I13" s="40"/>
      <c r="J13" s="40">
        <f t="shared" si="1"/>
        <v>0</v>
      </c>
      <c r="K13" s="40">
        <f t="shared" si="2"/>
        <v>255716.99999999997</v>
      </c>
      <c r="L13" s="40"/>
      <c r="M13" s="136">
        <f t="shared" si="3"/>
        <v>2761376.6831</v>
      </c>
      <c r="N13" s="17"/>
    </row>
    <row r="14" spans="1:16">
      <c r="A14" s="26">
        <v>11</v>
      </c>
      <c r="B14" s="27">
        <v>46123</v>
      </c>
      <c r="C14" s="17"/>
      <c r="D14" s="17"/>
      <c r="E14" s="40">
        <v>2700</v>
      </c>
      <c r="F14" s="40">
        <v>94.71</v>
      </c>
      <c r="G14" s="40">
        <f t="shared" si="0"/>
        <v>255716.99999999997</v>
      </c>
      <c r="H14" s="40"/>
      <c r="I14" s="40"/>
      <c r="J14" s="40">
        <f t="shared" si="1"/>
        <v>0</v>
      </c>
      <c r="K14" s="40">
        <f t="shared" si="2"/>
        <v>255716.99999999997</v>
      </c>
      <c r="L14" s="40">
        <v>1000000</v>
      </c>
      <c r="M14" s="136">
        <f t="shared" si="3"/>
        <v>2017093.6831</v>
      </c>
      <c r="N14" s="44"/>
    </row>
    <row r="15" spans="1:16">
      <c r="A15" s="26">
        <v>12</v>
      </c>
      <c r="B15" s="27">
        <v>46124</v>
      </c>
      <c r="C15" s="17"/>
      <c r="D15" s="17"/>
      <c r="E15" s="40">
        <v>2700</v>
      </c>
      <c r="F15" s="40">
        <v>94.71</v>
      </c>
      <c r="G15" s="40">
        <f t="shared" si="0"/>
        <v>255716.99999999997</v>
      </c>
      <c r="H15" s="40"/>
      <c r="I15" s="40"/>
      <c r="J15" s="40">
        <f t="shared" si="1"/>
        <v>0</v>
      </c>
      <c r="K15" s="40">
        <f t="shared" si="2"/>
        <v>255716.99999999997</v>
      </c>
      <c r="L15" s="40"/>
      <c r="M15" s="136">
        <f t="shared" si="3"/>
        <v>2272810.6831</v>
      </c>
      <c r="N15" s="44"/>
    </row>
    <row r="16" spans="1:16">
      <c r="A16" s="26">
        <v>13</v>
      </c>
      <c r="B16" s="27">
        <v>46125</v>
      </c>
      <c r="C16" s="17"/>
      <c r="D16" s="17"/>
      <c r="E16" s="40">
        <v>3200.38</v>
      </c>
      <c r="F16" s="40">
        <v>94.71</v>
      </c>
      <c r="G16" s="40">
        <f t="shared" si="0"/>
        <v>303107.98979999998</v>
      </c>
      <c r="H16" s="40">
        <v>35</v>
      </c>
      <c r="I16" s="40">
        <v>110.44</v>
      </c>
      <c r="J16" s="40">
        <f t="shared" si="1"/>
        <v>3865.4</v>
      </c>
      <c r="K16" s="40">
        <f t="shared" si="2"/>
        <v>306973.3898</v>
      </c>
      <c r="L16" s="40"/>
      <c r="M16" s="136">
        <f t="shared" si="3"/>
        <v>2579784.0729</v>
      </c>
      <c r="N16" s="44"/>
    </row>
    <row r="17" spans="1:16">
      <c r="A17" s="26">
        <v>14</v>
      </c>
      <c r="B17" s="27">
        <v>46126</v>
      </c>
      <c r="C17" s="17"/>
      <c r="D17" s="17"/>
      <c r="E17" s="40">
        <v>2800</v>
      </c>
      <c r="F17" s="40">
        <v>94.71</v>
      </c>
      <c r="G17" s="40">
        <f t="shared" si="0"/>
        <v>265188</v>
      </c>
      <c r="H17" s="40"/>
      <c r="I17" s="40"/>
      <c r="J17" s="40">
        <f t="shared" si="1"/>
        <v>0</v>
      </c>
      <c r="K17" s="40">
        <f t="shared" si="2"/>
        <v>265188</v>
      </c>
      <c r="L17" s="40"/>
      <c r="M17" s="136">
        <f t="shared" si="3"/>
        <v>2844972.0729</v>
      </c>
      <c r="N17" s="44"/>
    </row>
    <row r="18" spans="1:16">
      <c r="A18" s="26">
        <v>15</v>
      </c>
      <c r="B18" s="27">
        <v>46127</v>
      </c>
      <c r="C18" s="17"/>
      <c r="D18" s="17"/>
      <c r="E18" s="40">
        <v>2700</v>
      </c>
      <c r="F18" s="40">
        <v>94.71</v>
      </c>
      <c r="G18" s="40">
        <f t="shared" si="0"/>
        <v>255716.99999999997</v>
      </c>
      <c r="H18" s="40"/>
      <c r="I18" s="40"/>
      <c r="J18" s="40">
        <f t="shared" si="1"/>
        <v>0</v>
      </c>
      <c r="K18" s="40">
        <f t="shared" si="2"/>
        <v>255716.99999999997</v>
      </c>
      <c r="L18" s="40"/>
      <c r="M18" s="136">
        <f t="shared" si="3"/>
        <v>3100689.0729</v>
      </c>
      <c r="N18" s="44"/>
    </row>
    <row r="19" spans="1:16">
      <c r="A19" s="26">
        <v>16</v>
      </c>
      <c r="B19" s="27">
        <v>46128</v>
      </c>
      <c r="C19" s="17"/>
      <c r="D19" s="17"/>
      <c r="E19" s="40">
        <v>3100</v>
      </c>
      <c r="F19" s="40">
        <v>94.71</v>
      </c>
      <c r="G19" s="40">
        <f t="shared" si="0"/>
        <v>293601</v>
      </c>
      <c r="H19" s="40">
        <v>30</v>
      </c>
      <c r="I19" s="40">
        <v>110.44</v>
      </c>
      <c r="J19" s="40">
        <f t="shared" si="1"/>
        <v>3313.2</v>
      </c>
      <c r="K19" s="40">
        <f t="shared" si="2"/>
        <v>296914.2</v>
      </c>
      <c r="L19" s="40"/>
      <c r="M19" s="136">
        <f t="shared" si="3"/>
        <v>3397603.2729000002</v>
      </c>
      <c r="N19" s="44"/>
    </row>
    <row r="20" spans="1:16">
      <c r="A20" s="26">
        <v>17</v>
      </c>
      <c r="B20" s="27">
        <v>46129</v>
      </c>
      <c r="C20" s="17"/>
      <c r="D20" s="17"/>
      <c r="E20" s="40">
        <v>2500</v>
      </c>
      <c r="F20" s="40">
        <v>94.71</v>
      </c>
      <c r="G20" s="40">
        <f t="shared" si="0"/>
        <v>236774.99999999997</v>
      </c>
      <c r="H20" s="40">
        <v>25</v>
      </c>
      <c r="I20" s="40">
        <v>110.44</v>
      </c>
      <c r="J20" s="40">
        <f t="shared" si="1"/>
        <v>2761</v>
      </c>
      <c r="K20" s="40">
        <f t="shared" si="2"/>
        <v>239535.99999999997</v>
      </c>
      <c r="L20" s="40"/>
      <c r="M20" s="136">
        <f t="shared" si="3"/>
        <v>3637139.2729000002</v>
      </c>
      <c r="N20" s="44"/>
      <c r="P20" s="22"/>
    </row>
    <row r="21" spans="1:16">
      <c r="A21" s="26">
        <v>18</v>
      </c>
      <c r="B21" s="27">
        <v>46130</v>
      </c>
      <c r="C21" s="17"/>
      <c r="D21" s="17"/>
      <c r="E21" s="40">
        <v>2000</v>
      </c>
      <c r="F21" s="40">
        <v>94.71</v>
      </c>
      <c r="G21" s="40">
        <f t="shared" si="0"/>
        <v>189420</v>
      </c>
      <c r="H21" s="40">
        <v>30</v>
      </c>
      <c r="I21" s="40">
        <v>110.44</v>
      </c>
      <c r="J21" s="40">
        <f t="shared" si="1"/>
        <v>3313.2</v>
      </c>
      <c r="K21" s="40">
        <f t="shared" si="2"/>
        <v>192733.2</v>
      </c>
      <c r="L21" s="40">
        <v>500000</v>
      </c>
      <c r="M21" s="136">
        <f t="shared" si="3"/>
        <v>3329872.4729000004</v>
      </c>
      <c r="N21" s="44"/>
      <c r="P21" s="22"/>
    </row>
    <row r="22" spans="1:16">
      <c r="A22" s="26">
        <v>19</v>
      </c>
      <c r="B22" s="27">
        <v>46131</v>
      </c>
      <c r="C22" s="17"/>
      <c r="D22" s="17"/>
      <c r="E22" s="40">
        <v>1000</v>
      </c>
      <c r="F22" s="40">
        <v>94.71</v>
      </c>
      <c r="G22" s="40">
        <f t="shared" si="0"/>
        <v>94710</v>
      </c>
      <c r="H22" s="40"/>
      <c r="I22" s="40"/>
      <c r="J22" s="40">
        <f t="shared" si="1"/>
        <v>0</v>
      </c>
      <c r="K22" s="40">
        <f t="shared" si="2"/>
        <v>94710</v>
      </c>
      <c r="L22" s="40"/>
      <c r="M22" s="136">
        <f t="shared" si="3"/>
        <v>3424582.4729000004</v>
      </c>
      <c r="N22" s="44"/>
      <c r="P22" s="22"/>
    </row>
    <row r="23" spans="1:16">
      <c r="A23" s="26">
        <v>20</v>
      </c>
      <c r="B23" s="27">
        <v>46132</v>
      </c>
      <c r="C23" s="17"/>
      <c r="D23" s="17"/>
      <c r="E23" s="40"/>
      <c r="F23" s="40"/>
      <c r="G23" s="40">
        <f t="shared" si="0"/>
        <v>0</v>
      </c>
      <c r="H23" s="40"/>
      <c r="I23" s="40"/>
      <c r="J23" s="40">
        <f t="shared" si="1"/>
        <v>0</v>
      </c>
      <c r="K23" s="40">
        <f t="shared" si="2"/>
        <v>0</v>
      </c>
      <c r="L23" s="40"/>
      <c r="M23" s="136">
        <f t="shared" si="3"/>
        <v>3424582.4729000004</v>
      </c>
      <c r="N23" s="44"/>
      <c r="P23" s="22"/>
    </row>
    <row r="24" spans="1:16">
      <c r="A24" s="26">
        <v>21</v>
      </c>
      <c r="B24" s="27">
        <v>46133</v>
      </c>
      <c r="C24" s="17"/>
      <c r="D24" s="17"/>
      <c r="E24" s="40"/>
      <c r="F24" s="40"/>
      <c r="G24" s="40">
        <f t="shared" si="0"/>
        <v>0</v>
      </c>
      <c r="H24" s="40">
        <v>50</v>
      </c>
      <c r="I24" s="40">
        <v>110.44</v>
      </c>
      <c r="J24" s="40">
        <f t="shared" si="1"/>
        <v>5522</v>
      </c>
      <c r="K24" s="40">
        <f t="shared" si="2"/>
        <v>5522</v>
      </c>
      <c r="L24" s="40">
        <v>1000000</v>
      </c>
      <c r="M24" s="136">
        <f t="shared" si="3"/>
        <v>2430104.4729000004</v>
      </c>
      <c r="N24" s="44"/>
      <c r="P24" s="22"/>
    </row>
    <row r="25" spans="1:16">
      <c r="A25" s="26">
        <v>22</v>
      </c>
      <c r="B25" s="27">
        <v>46134</v>
      </c>
      <c r="C25" s="17"/>
      <c r="D25" s="17"/>
      <c r="E25" s="40">
        <v>2400</v>
      </c>
      <c r="F25" s="40">
        <v>94.71</v>
      </c>
      <c r="G25" s="40">
        <f t="shared" si="0"/>
        <v>227303.99999999997</v>
      </c>
      <c r="H25" s="40"/>
      <c r="I25" s="40"/>
      <c r="J25" s="40">
        <f t="shared" si="1"/>
        <v>0</v>
      </c>
      <c r="K25" s="40">
        <f t="shared" si="2"/>
        <v>227303.99999999997</v>
      </c>
      <c r="L25" s="40"/>
      <c r="M25" s="136">
        <f t="shared" si="3"/>
        <v>2657408.4729000004</v>
      </c>
      <c r="N25" s="44"/>
      <c r="P25" s="22"/>
    </row>
    <row r="26" spans="1:16">
      <c r="A26" s="26">
        <v>23</v>
      </c>
      <c r="B26" s="27">
        <v>46135</v>
      </c>
      <c r="C26" s="17"/>
      <c r="D26" s="17"/>
      <c r="E26" s="40">
        <v>2050</v>
      </c>
      <c r="F26" s="40">
        <v>94.71</v>
      </c>
      <c r="G26" s="40">
        <f t="shared" si="0"/>
        <v>194155.5</v>
      </c>
      <c r="H26" s="40"/>
      <c r="I26" s="40"/>
      <c r="J26" s="40">
        <f t="shared" si="1"/>
        <v>0</v>
      </c>
      <c r="K26" s="40">
        <f t="shared" si="2"/>
        <v>194155.5</v>
      </c>
      <c r="L26" s="40"/>
      <c r="M26" s="136">
        <f t="shared" si="3"/>
        <v>2851563.9729000004</v>
      </c>
      <c r="N26" s="44"/>
      <c r="P26" s="22"/>
    </row>
    <row r="27" spans="1:16">
      <c r="A27" s="26">
        <v>24</v>
      </c>
      <c r="B27" s="27">
        <v>46136</v>
      </c>
      <c r="C27" s="17"/>
      <c r="D27" s="17"/>
      <c r="E27" s="40">
        <v>500</v>
      </c>
      <c r="F27" s="40">
        <v>94.71</v>
      </c>
      <c r="G27" s="40">
        <f t="shared" si="0"/>
        <v>47355</v>
      </c>
      <c r="H27" s="40">
        <v>30</v>
      </c>
      <c r="I27" s="40">
        <v>110.44</v>
      </c>
      <c r="J27" s="40">
        <f t="shared" si="1"/>
        <v>3313.2</v>
      </c>
      <c r="K27" s="40">
        <f t="shared" si="2"/>
        <v>50668.2</v>
      </c>
      <c r="L27" s="40"/>
      <c r="M27" s="136">
        <f t="shared" si="3"/>
        <v>2902232.1729000006</v>
      </c>
      <c r="N27" s="44"/>
      <c r="P27" s="22"/>
    </row>
    <row r="28" spans="1:16">
      <c r="A28" s="26">
        <v>25</v>
      </c>
      <c r="B28" s="27">
        <v>46137</v>
      </c>
      <c r="C28" s="17"/>
      <c r="D28" s="17"/>
      <c r="E28" s="40">
        <v>0</v>
      </c>
      <c r="F28" s="40">
        <v>0</v>
      </c>
      <c r="G28" s="40">
        <f t="shared" si="0"/>
        <v>0</v>
      </c>
      <c r="H28" s="40">
        <v>0</v>
      </c>
      <c r="I28" s="40">
        <v>0</v>
      </c>
      <c r="J28" s="40">
        <f t="shared" si="1"/>
        <v>0</v>
      </c>
      <c r="K28" s="40">
        <f t="shared" si="2"/>
        <v>0</v>
      </c>
      <c r="L28" s="40"/>
      <c r="M28" s="136">
        <f t="shared" si="3"/>
        <v>2902232.1729000006</v>
      </c>
      <c r="N28" s="44"/>
      <c r="P28" s="22"/>
    </row>
    <row r="29" spans="1:16">
      <c r="A29" s="26">
        <v>26</v>
      </c>
      <c r="B29" s="27">
        <v>46138</v>
      </c>
      <c r="C29" s="17"/>
      <c r="D29" s="17"/>
      <c r="E29" s="40">
        <v>2000.23</v>
      </c>
      <c r="F29" s="40">
        <v>94.71</v>
      </c>
      <c r="G29" s="40">
        <f t="shared" si="0"/>
        <v>189441.78329999998</v>
      </c>
      <c r="H29" s="40">
        <v>20</v>
      </c>
      <c r="I29" s="40">
        <v>110.44</v>
      </c>
      <c r="J29" s="40">
        <f t="shared" si="1"/>
        <v>2208.8000000000002</v>
      </c>
      <c r="K29" s="40">
        <f t="shared" si="2"/>
        <v>191650.58329999997</v>
      </c>
      <c r="L29" s="40"/>
      <c r="M29" s="136">
        <f t="shared" si="3"/>
        <v>3093882.7562000006</v>
      </c>
      <c r="N29" s="44"/>
    </row>
    <row r="30" spans="1:16">
      <c r="A30" s="26">
        <v>27</v>
      </c>
      <c r="B30" s="27">
        <v>46139</v>
      </c>
      <c r="C30" s="17"/>
      <c r="D30" s="17"/>
      <c r="E30" s="40">
        <v>3000</v>
      </c>
      <c r="F30" s="40">
        <v>94.71</v>
      </c>
      <c r="G30" s="40">
        <f t="shared" si="0"/>
        <v>284130</v>
      </c>
      <c r="H30" s="40"/>
      <c r="I30" s="40"/>
      <c r="J30" s="40">
        <f t="shared" si="1"/>
        <v>0</v>
      </c>
      <c r="K30" s="40">
        <f t="shared" si="2"/>
        <v>284130</v>
      </c>
      <c r="L30" s="40">
        <v>1000000</v>
      </c>
      <c r="M30" s="136">
        <f t="shared" si="3"/>
        <v>2378012.7562000006</v>
      </c>
      <c r="N30" s="44"/>
    </row>
    <row r="31" spans="1:16">
      <c r="A31" s="26">
        <v>28</v>
      </c>
      <c r="B31" s="27">
        <v>46140</v>
      </c>
      <c r="C31" s="17"/>
      <c r="D31" s="17"/>
      <c r="E31" s="40">
        <v>1000</v>
      </c>
      <c r="F31" s="40">
        <v>94.71</v>
      </c>
      <c r="G31" s="40">
        <f t="shared" si="0"/>
        <v>94710</v>
      </c>
      <c r="H31" s="40">
        <v>30</v>
      </c>
      <c r="I31" s="40">
        <v>110.44</v>
      </c>
      <c r="J31" s="40">
        <f t="shared" si="1"/>
        <v>3313.2</v>
      </c>
      <c r="K31" s="40">
        <f t="shared" si="2"/>
        <v>98023.2</v>
      </c>
      <c r="L31" s="40"/>
      <c r="M31" s="136">
        <f t="shared" si="3"/>
        <v>2476035.9562000008</v>
      </c>
      <c r="N31" s="44"/>
    </row>
    <row r="32" spans="1:16">
      <c r="A32" s="26">
        <v>29</v>
      </c>
      <c r="B32" s="27">
        <v>46141</v>
      </c>
      <c r="C32" s="17"/>
      <c r="D32" s="17"/>
      <c r="E32" s="40">
        <v>2000</v>
      </c>
      <c r="F32" s="40">
        <v>94.71</v>
      </c>
      <c r="G32" s="40">
        <f t="shared" si="0"/>
        <v>189420</v>
      </c>
      <c r="H32" s="40"/>
      <c r="I32" s="40"/>
      <c r="J32" s="40">
        <f t="shared" si="1"/>
        <v>0</v>
      </c>
      <c r="K32" s="40">
        <f t="shared" si="2"/>
        <v>189420</v>
      </c>
      <c r="L32" s="40"/>
      <c r="M32" s="136">
        <f t="shared" si="3"/>
        <v>2665455.9562000008</v>
      </c>
      <c r="N32" s="44"/>
    </row>
    <row r="33" spans="1:17">
      <c r="A33" s="26">
        <v>30</v>
      </c>
      <c r="B33" s="27">
        <v>46142</v>
      </c>
      <c r="C33" s="17"/>
      <c r="D33" s="17"/>
      <c r="E33" s="40"/>
      <c r="F33" s="40"/>
      <c r="G33" s="40">
        <f t="shared" si="0"/>
        <v>0</v>
      </c>
      <c r="H33" s="40"/>
      <c r="I33" s="40"/>
      <c r="J33" s="40">
        <f t="shared" si="1"/>
        <v>0</v>
      </c>
      <c r="K33" s="40">
        <f t="shared" si="2"/>
        <v>0</v>
      </c>
      <c r="L33" s="40"/>
      <c r="M33" s="136">
        <f t="shared" si="3"/>
        <v>2665455.9562000008</v>
      </c>
      <c r="N33" s="44"/>
    </row>
    <row r="34" spans="1:17">
      <c r="A34" s="26">
        <v>31</v>
      </c>
      <c r="B34" s="27"/>
      <c r="C34" s="17"/>
      <c r="D34" s="17"/>
      <c r="E34" s="40"/>
      <c r="F34" s="40"/>
      <c r="G34" s="40">
        <f t="shared" si="0"/>
        <v>0</v>
      </c>
      <c r="H34" s="40"/>
      <c r="I34" s="40"/>
      <c r="J34" s="40">
        <f t="shared" si="1"/>
        <v>0</v>
      </c>
      <c r="K34" s="40">
        <f t="shared" si="2"/>
        <v>0</v>
      </c>
      <c r="L34" s="40"/>
      <c r="M34" s="136">
        <f t="shared" si="3"/>
        <v>2665455.9562000008</v>
      </c>
      <c r="N34" s="44"/>
    </row>
    <row r="35" spans="1:17">
      <c r="A35" s="26">
        <v>32</v>
      </c>
      <c r="B35" s="27"/>
      <c r="C35" s="17"/>
      <c r="D35" s="17"/>
      <c r="E35" s="40"/>
      <c r="F35" s="40"/>
      <c r="G35" s="40">
        <f t="shared" si="0"/>
        <v>0</v>
      </c>
      <c r="H35" s="40"/>
      <c r="I35" s="40"/>
      <c r="J35" s="40">
        <f t="shared" si="1"/>
        <v>0</v>
      </c>
      <c r="K35" s="40">
        <f t="shared" si="2"/>
        <v>0</v>
      </c>
      <c r="L35" s="40"/>
      <c r="M35" s="136">
        <f t="shared" si="3"/>
        <v>2665455.9562000008</v>
      </c>
      <c r="N35" s="44"/>
    </row>
    <row r="36" spans="1:17">
      <c r="A36" s="26">
        <v>33</v>
      </c>
      <c r="B36" s="27"/>
      <c r="C36" s="17"/>
      <c r="D36" s="17"/>
      <c r="E36" s="40"/>
      <c r="F36" s="40"/>
      <c r="G36" s="40">
        <f t="shared" ref="G5:G54" si="4">E36*F36</f>
        <v>0</v>
      </c>
      <c r="H36" s="40"/>
      <c r="I36" s="40"/>
      <c r="J36" s="40">
        <f t="shared" ref="J5:J54" si="5">H36*I36</f>
        <v>0</v>
      </c>
      <c r="K36" s="40">
        <f>G36+J36</f>
        <v>0</v>
      </c>
      <c r="L36" s="40"/>
      <c r="M36" s="136">
        <f t="shared" si="3"/>
        <v>2665455.9562000008</v>
      </c>
      <c r="N36" s="44"/>
    </row>
    <row r="37" spans="1:17">
      <c r="A37" s="26">
        <v>34</v>
      </c>
      <c r="B37" s="27"/>
      <c r="C37" s="17"/>
      <c r="D37" s="17"/>
      <c r="E37" s="40"/>
      <c r="F37" s="40"/>
      <c r="G37" s="40">
        <f t="shared" si="4"/>
        <v>0</v>
      </c>
      <c r="H37" s="40"/>
      <c r="I37" s="40"/>
      <c r="J37" s="40">
        <f t="shared" si="5"/>
        <v>0</v>
      </c>
      <c r="K37" s="40">
        <f>G37+J37</f>
        <v>0</v>
      </c>
      <c r="L37" s="40"/>
      <c r="M37" s="136">
        <f t="shared" si="3"/>
        <v>2665455.9562000008</v>
      </c>
      <c r="N37" s="44"/>
    </row>
    <row r="38" spans="1:17">
      <c r="A38" s="26">
        <v>35</v>
      </c>
      <c r="B38" s="27"/>
      <c r="C38" s="17"/>
      <c r="D38" s="17"/>
      <c r="E38" s="40"/>
      <c r="F38" s="40"/>
      <c r="G38" s="40">
        <f t="shared" si="4"/>
        <v>0</v>
      </c>
      <c r="H38" s="40"/>
      <c r="I38" s="40"/>
      <c r="J38" s="40">
        <f t="shared" si="5"/>
        <v>0</v>
      </c>
      <c r="K38" s="40">
        <f>G38+J38</f>
        <v>0</v>
      </c>
      <c r="L38" s="40"/>
      <c r="M38" s="136">
        <f t="shared" si="3"/>
        <v>2665455.9562000008</v>
      </c>
      <c r="N38" s="44"/>
      <c r="P38">
        <v>41</v>
      </c>
    </row>
    <row r="39" spans="1:17">
      <c r="A39" s="26">
        <v>36</v>
      </c>
      <c r="B39" s="27"/>
      <c r="C39" s="17"/>
      <c r="D39" s="17"/>
      <c r="E39" s="40"/>
      <c r="F39" s="40"/>
      <c r="G39" s="40">
        <f t="shared" si="4"/>
        <v>0</v>
      </c>
      <c r="H39" s="40"/>
      <c r="I39" s="40"/>
      <c r="J39" s="40">
        <f t="shared" si="5"/>
        <v>0</v>
      </c>
      <c r="K39" s="40">
        <f>G39+J39</f>
        <v>0</v>
      </c>
      <c r="L39" s="40"/>
      <c r="M39" s="136">
        <f t="shared" si="3"/>
        <v>2665455.9562000008</v>
      </c>
      <c r="N39" s="44"/>
      <c r="P39">
        <v>40</v>
      </c>
      <c r="Q39">
        <v>5</v>
      </c>
    </row>
    <row r="40" spans="1:17">
      <c r="A40" s="26">
        <v>37</v>
      </c>
      <c r="B40" s="27"/>
      <c r="C40" s="17"/>
      <c r="D40" s="17"/>
      <c r="E40" s="40"/>
      <c r="F40" s="40"/>
      <c r="G40" s="40">
        <f t="shared" si="4"/>
        <v>0</v>
      </c>
      <c r="H40" s="40"/>
      <c r="I40" s="40"/>
      <c r="J40" s="40">
        <f t="shared" si="5"/>
        <v>0</v>
      </c>
      <c r="K40" s="40">
        <f>G40+J40</f>
        <v>0</v>
      </c>
      <c r="L40" s="40"/>
      <c r="M40" s="136">
        <f t="shared" si="3"/>
        <v>2665455.9562000008</v>
      </c>
      <c r="N40" s="44"/>
    </row>
    <row r="41" spans="1:17">
      <c r="A41" s="26">
        <v>38</v>
      </c>
      <c r="B41" s="27"/>
      <c r="C41" s="17"/>
      <c r="D41" s="17"/>
      <c r="E41" s="40"/>
      <c r="F41" s="40"/>
      <c r="G41" s="40">
        <f t="shared" si="4"/>
        <v>0</v>
      </c>
      <c r="H41" s="40"/>
      <c r="I41" s="40"/>
      <c r="J41" s="40">
        <f t="shared" si="5"/>
        <v>0</v>
      </c>
      <c r="K41" s="40">
        <f>G41+J41</f>
        <v>0</v>
      </c>
      <c r="L41" s="40"/>
      <c r="M41" s="136">
        <f t="shared" si="3"/>
        <v>2665455.9562000008</v>
      </c>
      <c r="N41" s="44"/>
    </row>
    <row r="42" spans="1:17">
      <c r="A42" s="26">
        <v>39</v>
      </c>
      <c r="B42" s="27"/>
      <c r="C42" s="17"/>
      <c r="D42" s="17"/>
      <c r="E42" s="40"/>
      <c r="F42" s="40"/>
      <c r="G42" s="40">
        <f t="shared" si="4"/>
        <v>0</v>
      </c>
      <c r="H42" s="40"/>
      <c r="I42" s="40"/>
      <c r="J42" s="40">
        <f t="shared" si="5"/>
        <v>0</v>
      </c>
      <c r="K42" s="40">
        <f>G42+J42</f>
        <v>0</v>
      </c>
      <c r="L42" s="40"/>
      <c r="M42" s="136">
        <f t="shared" si="3"/>
        <v>2665455.9562000008</v>
      </c>
      <c r="N42" s="44"/>
    </row>
    <row r="43" spans="1:17">
      <c r="A43" s="26">
        <v>40</v>
      </c>
      <c r="B43" s="27"/>
      <c r="C43" s="17"/>
      <c r="D43" s="17"/>
      <c r="E43" s="40"/>
      <c r="F43" s="40"/>
      <c r="G43" s="40">
        <f t="shared" si="4"/>
        <v>0</v>
      </c>
      <c r="H43" s="40"/>
      <c r="I43" s="40"/>
      <c r="J43" s="40">
        <f t="shared" si="5"/>
        <v>0</v>
      </c>
      <c r="K43" s="40">
        <f>G43+J43</f>
        <v>0</v>
      </c>
      <c r="L43" s="40"/>
      <c r="M43" s="136">
        <f t="shared" si="3"/>
        <v>2665455.9562000008</v>
      </c>
      <c r="N43" s="44"/>
    </row>
    <row r="44" spans="1:17">
      <c r="A44" s="26">
        <v>41</v>
      </c>
      <c r="B44" s="27"/>
      <c r="C44" s="17"/>
      <c r="D44" s="17"/>
      <c r="E44" s="40"/>
      <c r="F44" s="40"/>
      <c r="G44" s="40">
        <f t="shared" si="4"/>
        <v>0</v>
      </c>
      <c r="H44" s="40"/>
      <c r="I44" s="40"/>
      <c r="J44" s="40">
        <f t="shared" si="5"/>
        <v>0</v>
      </c>
      <c r="K44" s="40">
        <f>G44+J44</f>
        <v>0</v>
      </c>
      <c r="L44" s="40"/>
      <c r="M44" s="136">
        <f t="shared" si="3"/>
        <v>2665455.9562000008</v>
      </c>
      <c r="N44" s="44"/>
    </row>
    <row r="45" spans="1:17">
      <c r="A45" s="26">
        <v>42</v>
      </c>
      <c r="B45" s="27"/>
      <c r="C45" s="17"/>
      <c r="D45" s="17"/>
      <c r="E45" s="40"/>
      <c r="F45" s="40"/>
      <c r="G45" s="40">
        <f t="shared" si="4"/>
        <v>0</v>
      </c>
      <c r="H45" s="40"/>
      <c r="I45" s="40"/>
      <c r="J45" s="40">
        <f t="shared" si="5"/>
        <v>0</v>
      </c>
      <c r="K45" s="40">
        <f>G45+J45</f>
        <v>0</v>
      </c>
      <c r="L45" s="40"/>
      <c r="M45" s="136">
        <f t="shared" si="3"/>
        <v>2665455.9562000008</v>
      </c>
      <c r="N45" s="44"/>
    </row>
    <row r="46" spans="1:17">
      <c r="A46" s="26">
        <v>43</v>
      </c>
      <c r="B46" s="27"/>
      <c r="C46" s="17"/>
      <c r="D46" s="17"/>
      <c r="E46" s="40"/>
      <c r="F46" s="40"/>
      <c r="G46" s="40">
        <f t="shared" si="4"/>
        <v>0</v>
      </c>
      <c r="H46" s="40"/>
      <c r="I46" s="40"/>
      <c r="J46" s="40">
        <f t="shared" si="5"/>
        <v>0</v>
      </c>
      <c r="K46" s="40">
        <f>G46+J46</f>
        <v>0</v>
      </c>
      <c r="L46" s="40"/>
      <c r="M46" s="136">
        <f t="shared" si="3"/>
        <v>2665455.9562000008</v>
      </c>
      <c r="N46" s="44"/>
    </row>
    <row r="47" spans="1:17">
      <c r="A47" s="26">
        <v>44</v>
      </c>
      <c r="B47" s="27"/>
      <c r="C47" s="17"/>
      <c r="D47" s="17"/>
      <c r="E47" s="40"/>
      <c r="F47" s="40"/>
      <c r="G47" s="40">
        <f t="shared" si="4"/>
        <v>0</v>
      </c>
      <c r="H47" s="40"/>
      <c r="I47" s="40"/>
      <c r="J47" s="40">
        <f t="shared" si="5"/>
        <v>0</v>
      </c>
      <c r="K47" s="40">
        <f>G47+J47</f>
        <v>0</v>
      </c>
      <c r="L47" s="40"/>
      <c r="M47" s="136">
        <f t="shared" si="3"/>
        <v>2665455.9562000008</v>
      </c>
      <c r="N47" s="44"/>
    </row>
    <row r="48" spans="1:17">
      <c r="A48" s="26">
        <v>45</v>
      </c>
      <c r="B48" s="27"/>
      <c r="C48" s="17"/>
      <c r="D48" s="17"/>
      <c r="E48" s="40"/>
      <c r="F48" s="40"/>
      <c r="G48" s="40">
        <f t="shared" si="4"/>
        <v>0</v>
      </c>
      <c r="H48" s="40"/>
      <c r="I48" s="40"/>
      <c r="J48" s="40">
        <f t="shared" si="5"/>
        <v>0</v>
      </c>
      <c r="K48" s="40">
        <f>G48+J48</f>
        <v>0</v>
      </c>
      <c r="L48" s="40"/>
      <c r="M48" s="136">
        <f t="shared" si="3"/>
        <v>2665455.9562000008</v>
      </c>
      <c r="N48" s="44"/>
    </row>
    <row r="49" spans="1:16">
      <c r="A49" s="26">
        <v>46</v>
      </c>
      <c r="B49" s="27"/>
      <c r="C49" s="17"/>
      <c r="D49" s="17"/>
      <c r="E49" s="40"/>
      <c r="F49" s="40"/>
      <c r="G49" s="40">
        <f t="shared" si="4"/>
        <v>0</v>
      </c>
      <c r="H49" s="40"/>
      <c r="I49" s="40"/>
      <c r="J49" s="40">
        <f t="shared" si="5"/>
        <v>0</v>
      </c>
      <c r="K49" s="40">
        <f>G49+J49</f>
        <v>0</v>
      </c>
      <c r="L49" s="40"/>
      <c r="M49" s="136">
        <f t="shared" si="3"/>
        <v>2665455.9562000008</v>
      </c>
      <c r="N49" s="44"/>
    </row>
    <row r="50" spans="1:16">
      <c r="A50" s="26">
        <v>47</v>
      </c>
      <c r="B50" s="27"/>
      <c r="C50" s="17"/>
      <c r="D50" s="17"/>
      <c r="E50" s="40"/>
      <c r="F50" s="40"/>
      <c r="G50" s="40">
        <f t="shared" si="4"/>
        <v>0</v>
      </c>
      <c r="H50" s="40"/>
      <c r="I50" s="40"/>
      <c r="J50" s="40">
        <f t="shared" si="5"/>
        <v>0</v>
      </c>
      <c r="K50" s="40">
        <f>G50+J50</f>
        <v>0</v>
      </c>
      <c r="L50" s="40"/>
      <c r="M50" s="136">
        <f t="shared" si="3"/>
        <v>2665455.9562000008</v>
      </c>
      <c r="N50" s="44"/>
    </row>
    <row r="51" spans="1:16">
      <c r="A51" s="26">
        <v>48</v>
      </c>
      <c r="B51" s="27"/>
      <c r="C51" s="17"/>
      <c r="D51" s="17"/>
      <c r="E51" s="40"/>
      <c r="F51" s="40"/>
      <c r="G51" s="40">
        <f t="shared" si="4"/>
        <v>0</v>
      </c>
      <c r="H51" s="40"/>
      <c r="I51" s="40"/>
      <c r="J51" s="40">
        <f t="shared" si="5"/>
        <v>0</v>
      </c>
      <c r="K51" s="40">
        <f>G51+J51</f>
        <v>0</v>
      </c>
      <c r="L51" s="40">
        <v>0</v>
      </c>
      <c r="M51" s="136">
        <f t="shared" si="3"/>
        <v>2665455.9562000008</v>
      </c>
      <c r="N51" s="44"/>
    </row>
    <row r="52" spans="1:16">
      <c r="A52" s="26">
        <v>49</v>
      </c>
      <c r="B52" s="27"/>
      <c r="C52" s="94"/>
      <c r="D52" s="94"/>
      <c r="E52" s="40"/>
      <c r="F52" s="40"/>
      <c r="G52" s="40">
        <f t="shared" si="4"/>
        <v>0</v>
      </c>
      <c r="H52" s="40"/>
      <c r="I52" s="40"/>
      <c r="J52" s="40">
        <f t="shared" si="5"/>
        <v>0</v>
      </c>
      <c r="K52" s="40">
        <f>G52+J52</f>
        <v>0</v>
      </c>
      <c r="L52" s="40">
        <v>0</v>
      </c>
      <c r="M52" s="136">
        <f t="shared" si="3"/>
        <v>2665455.9562000008</v>
      </c>
      <c r="N52" s="224"/>
    </row>
    <row r="53" spans="1:16">
      <c r="A53" s="26">
        <v>50</v>
      </c>
      <c r="B53" s="27"/>
      <c r="C53" s="17"/>
      <c r="D53" s="17"/>
      <c r="E53" s="40"/>
      <c r="F53" s="40"/>
      <c r="G53" s="40">
        <f t="shared" si="4"/>
        <v>0</v>
      </c>
      <c r="H53" s="40"/>
      <c r="I53" s="40"/>
      <c r="J53" s="40">
        <f t="shared" si="5"/>
        <v>0</v>
      </c>
      <c r="K53" s="40">
        <f>G53+J53</f>
        <v>0</v>
      </c>
      <c r="L53" s="40">
        <v>0</v>
      </c>
      <c r="M53" s="136">
        <f t="shared" si="3"/>
        <v>2665455.9562000008</v>
      </c>
      <c r="N53" s="44"/>
    </row>
    <row r="54" spans="1:16">
      <c r="A54" s="26">
        <v>51</v>
      </c>
      <c r="B54" s="27"/>
      <c r="C54" s="17"/>
      <c r="D54" s="17"/>
      <c r="E54" s="40"/>
      <c r="F54" s="40"/>
      <c r="G54" s="40">
        <f t="shared" si="4"/>
        <v>0</v>
      </c>
      <c r="H54" s="40"/>
      <c r="I54" s="40"/>
      <c r="J54" s="40">
        <f t="shared" si="5"/>
        <v>0</v>
      </c>
      <c r="K54" s="40">
        <f>G54+J54</f>
        <v>0</v>
      </c>
      <c r="L54" s="40">
        <v>0</v>
      </c>
      <c r="M54" s="136">
        <f t="shared" si="3"/>
        <v>2665455.9562000008</v>
      </c>
      <c r="N54" s="44"/>
      <c r="O54">
        <v>1109792.2825999993</v>
      </c>
      <c r="P54" s="174">
        <f>M54-O54</f>
        <v>1555663.6736000015</v>
      </c>
    </row>
    <row r="55" spans="1:16">
      <c r="A55" s="181"/>
      <c r="B55" s="181"/>
      <c r="C55" s="181"/>
      <c r="D55" s="181"/>
      <c r="E55" s="181">
        <f>SUM(E4:E54)</f>
        <v>64300.61</v>
      </c>
      <c r="F55" s="181"/>
      <c r="G55" s="181">
        <f>SUM(G4:G54)</f>
        <v>6089910.7731000008</v>
      </c>
      <c r="H55" s="181">
        <f>SUM(H4:H54)</f>
        <v>405</v>
      </c>
      <c r="I55" s="181"/>
      <c r="J55" s="181">
        <f>SUM(J4:J54)</f>
        <v>44728.2</v>
      </c>
      <c r="K55" s="181">
        <f>SUM(K4:K54)</f>
        <v>6134638.973100001</v>
      </c>
      <c r="L55" s="181">
        <f>SUM(L4:L54)</f>
        <v>8941028</v>
      </c>
      <c r="M55" s="181"/>
      <c r="N55" s="181"/>
    </row>
  </sheetData>
  <mergeCells count="2">
    <mergeCell ref="A1:N1"/>
    <mergeCell ref="A3:J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7AF6-CB13-4ED5-8FE5-368CC36ADC9F}">
  <dimension ref="A1:N55"/>
  <sheetViews>
    <sheetView workbookViewId="0">
      <selection activeCell="S22" sqref="S22"/>
    </sheetView>
  </sheetViews>
  <sheetFormatPr defaultRowHeight="15"/>
  <cols>
    <col min="2" max="2" width="10.42578125" bestFit="1" customWidth="1"/>
    <col min="7" max="7" width="10.42578125" bestFit="1" customWidth="1"/>
    <col min="11" max="12" width="13.5703125" bestFit="1" customWidth="1"/>
    <col min="13" max="13" width="11.5703125" bestFit="1" customWidth="1"/>
  </cols>
  <sheetData>
    <row r="1" spans="1:14" ht="15.75">
      <c r="A1" s="509" t="s">
        <v>250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</row>
    <row r="2" spans="1:14" ht="30.75">
      <c r="A2" s="64" t="s">
        <v>0</v>
      </c>
      <c r="B2" s="83" t="s">
        <v>164</v>
      </c>
      <c r="C2" s="83" t="s">
        <v>165</v>
      </c>
      <c r="D2" s="83" t="s">
        <v>166</v>
      </c>
      <c r="E2" s="90" t="s">
        <v>167</v>
      </c>
      <c r="F2" s="90" t="s">
        <v>168</v>
      </c>
      <c r="G2" s="90" t="s">
        <v>169</v>
      </c>
      <c r="H2" s="90" t="s">
        <v>170</v>
      </c>
      <c r="I2" s="90" t="s">
        <v>168</v>
      </c>
      <c r="J2" s="90" t="s">
        <v>169</v>
      </c>
      <c r="K2" s="91" t="s">
        <v>171</v>
      </c>
      <c r="L2" s="85" t="s">
        <v>172</v>
      </c>
      <c r="M2" s="85" t="s">
        <v>209</v>
      </c>
      <c r="N2" s="125" t="s">
        <v>174</v>
      </c>
    </row>
    <row r="3" spans="1:14">
      <c r="A3" s="488" t="s">
        <v>175</v>
      </c>
      <c r="B3" s="488"/>
      <c r="C3" s="488"/>
      <c r="D3" s="488"/>
      <c r="E3" s="488"/>
      <c r="F3" s="488"/>
      <c r="G3" s="488"/>
      <c r="H3" s="488"/>
      <c r="I3" s="488"/>
      <c r="J3" s="491"/>
      <c r="K3" s="202">
        <v>0</v>
      </c>
      <c r="M3" s="135">
        <f>+K3</f>
        <v>0</v>
      </c>
      <c r="N3" s="94"/>
    </row>
    <row r="4" spans="1:14">
      <c r="A4" s="26">
        <v>1</v>
      </c>
      <c r="B4" s="27">
        <v>46113</v>
      </c>
      <c r="C4" s="17"/>
      <c r="D4" s="17"/>
      <c r="E4" s="40"/>
      <c r="F4" s="40"/>
      <c r="G4" s="40">
        <f>E4*F4</f>
        <v>0</v>
      </c>
      <c r="H4" s="40"/>
      <c r="I4" s="40"/>
      <c r="J4" s="40">
        <f>H4*I4</f>
        <v>0</v>
      </c>
      <c r="K4" s="40">
        <f>G4+J4</f>
        <v>0</v>
      </c>
      <c r="L4" s="40"/>
      <c r="M4" s="136">
        <f>M3+K4-L4</f>
        <v>0</v>
      </c>
      <c r="N4" s="17"/>
    </row>
    <row r="5" spans="1:14">
      <c r="A5" s="26">
        <v>2</v>
      </c>
      <c r="B5" s="27">
        <v>46114</v>
      </c>
      <c r="C5" s="17"/>
      <c r="D5" s="17"/>
      <c r="E5" s="40"/>
      <c r="F5" s="40"/>
      <c r="G5" s="40">
        <f t="shared" ref="G5:G54" si="0">E5*F5</f>
        <v>0</v>
      </c>
      <c r="H5" s="40"/>
      <c r="I5" s="40"/>
      <c r="J5" s="40">
        <f t="shared" ref="J5:J54" si="1">H5*I5</f>
        <v>0</v>
      </c>
      <c r="K5" s="40">
        <f t="shared" ref="K5:L39" si="2">G5+J5</f>
        <v>0</v>
      </c>
      <c r="L5" s="40"/>
      <c r="M5" s="136">
        <f>M4+K5-L5</f>
        <v>0</v>
      </c>
      <c r="N5" s="17"/>
    </row>
    <row r="6" spans="1:14">
      <c r="A6" s="26"/>
      <c r="B6" s="27">
        <v>46115</v>
      </c>
      <c r="C6" s="17"/>
      <c r="D6" s="17"/>
      <c r="E6" s="40"/>
      <c r="F6" s="40"/>
      <c r="G6" s="40">
        <f t="shared" si="0"/>
        <v>0</v>
      </c>
      <c r="H6" s="40"/>
      <c r="I6" s="40"/>
      <c r="J6" s="40"/>
      <c r="K6" s="40">
        <f t="shared" si="2"/>
        <v>0</v>
      </c>
      <c r="L6" s="40"/>
      <c r="M6" s="136">
        <f>M5+K6-L6</f>
        <v>0</v>
      </c>
      <c r="N6" s="17"/>
    </row>
    <row r="7" spans="1:14">
      <c r="A7" s="26">
        <v>3</v>
      </c>
      <c r="B7" s="27">
        <v>46116</v>
      </c>
      <c r="C7" s="17"/>
      <c r="D7" s="17"/>
      <c r="E7" s="40"/>
      <c r="F7" s="40"/>
      <c r="G7" s="40">
        <f t="shared" si="0"/>
        <v>0</v>
      </c>
      <c r="H7" s="40"/>
      <c r="I7" s="40"/>
      <c r="J7" s="40">
        <f t="shared" si="1"/>
        <v>0</v>
      </c>
      <c r="K7" s="40">
        <f t="shared" si="2"/>
        <v>0</v>
      </c>
      <c r="L7" s="40"/>
      <c r="M7" s="136">
        <f t="shared" ref="M7:M54" si="3">M6+K7-L7</f>
        <v>0</v>
      </c>
      <c r="N7" s="17"/>
    </row>
    <row r="8" spans="1:14">
      <c r="A8" s="26">
        <v>4</v>
      </c>
      <c r="B8" s="27">
        <v>46117</v>
      </c>
      <c r="C8" s="17"/>
      <c r="D8" s="17"/>
      <c r="E8" s="40"/>
      <c r="F8" s="40"/>
      <c r="G8" s="40">
        <f t="shared" si="0"/>
        <v>0</v>
      </c>
      <c r="H8" s="40"/>
      <c r="I8" s="40"/>
      <c r="J8" s="40">
        <f t="shared" si="1"/>
        <v>0</v>
      </c>
      <c r="K8" s="40">
        <f t="shared" si="2"/>
        <v>0</v>
      </c>
      <c r="L8" s="40"/>
      <c r="M8" s="136">
        <f t="shared" si="3"/>
        <v>0</v>
      </c>
      <c r="N8" s="17" t="s">
        <v>225</v>
      </c>
    </row>
    <row r="9" spans="1:14">
      <c r="A9" s="26">
        <v>5</v>
      </c>
      <c r="B9" s="27">
        <v>46118</v>
      </c>
      <c r="C9" s="17"/>
      <c r="D9" s="17"/>
      <c r="E9" s="40"/>
      <c r="F9" s="40"/>
      <c r="G9" s="40">
        <f t="shared" si="0"/>
        <v>0</v>
      </c>
      <c r="H9" s="40"/>
      <c r="I9" s="40"/>
      <c r="J9" s="40">
        <f t="shared" si="1"/>
        <v>0</v>
      </c>
      <c r="K9" s="40">
        <f t="shared" si="2"/>
        <v>0</v>
      </c>
      <c r="L9" s="40"/>
      <c r="M9" s="136">
        <f t="shared" si="3"/>
        <v>0</v>
      </c>
      <c r="N9" s="17" t="s">
        <v>178</v>
      </c>
    </row>
    <row r="10" spans="1:14">
      <c r="A10" s="26">
        <v>6</v>
      </c>
      <c r="B10" s="27">
        <v>46119</v>
      </c>
      <c r="C10" s="17"/>
      <c r="D10" s="17"/>
      <c r="E10" s="40"/>
      <c r="F10" s="40"/>
      <c r="G10" s="40">
        <f t="shared" si="0"/>
        <v>0</v>
      </c>
      <c r="H10" s="40"/>
      <c r="I10" s="40"/>
      <c r="J10" s="40">
        <f t="shared" si="1"/>
        <v>0</v>
      </c>
      <c r="K10" s="40">
        <f t="shared" si="2"/>
        <v>0</v>
      </c>
      <c r="L10" s="40"/>
      <c r="M10" s="136">
        <f t="shared" si="3"/>
        <v>0</v>
      </c>
      <c r="N10" s="17"/>
    </row>
    <row r="11" spans="1:14">
      <c r="A11" s="26">
        <v>7</v>
      </c>
      <c r="B11" s="27">
        <v>46120</v>
      </c>
      <c r="C11" s="17"/>
      <c r="D11" s="17"/>
      <c r="E11" s="40"/>
      <c r="F11" s="40"/>
      <c r="G11" s="40">
        <f t="shared" si="0"/>
        <v>0</v>
      </c>
      <c r="H11" s="40"/>
      <c r="I11" s="40"/>
      <c r="J11" s="40">
        <f t="shared" si="1"/>
        <v>0</v>
      </c>
      <c r="K11" s="40">
        <f t="shared" si="2"/>
        <v>0</v>
      </c>
      <c r="L11" s="40"/>
      <c r="M11" s="136">
        <f t="shared" si="3"/>
        <v>0</v>
      </c>
      <c r="N11" s="17"/>
    </row>
    <row r="12" spans="1:14">
      <c r="A12" s="26">
        <v>8</v>
      </c>
      <c r="B12" s="27">
        <v>46121</v>
      </c>
      <c r="C12" s="17"/>
      <c r="D12" s="17"/>
      <c r="E12" s="40"/>
      <c r="F12" s="40"/>
      <c r="G12" s="40">
        <f t="shared" si="0"/>
        <v>0</v>
      </c>
      <c r="H12" s="40"/>
      <c r="I12" s="40"/>
      <c r="J12" s="40">
        <f t="shared" si="1"/>
        <v>0</v>
      </c>
      <c r="K12" s="40">
        <f t="shared" si="2"/>
        <v>0</v>
      </c>
      <c r="L12" s="40"/>
      <c r="M12" s="136">
        <f t="shared" si="3"/>
        <v>0</v>
      </c>
      <c r="N12" s="17"/>
    </row>
    <row r="13" spans="1:14">
      <c r="A13" s="26">
        <v>9</v>
      </c>
      <c r="B13" s="27">
        <v>46122</v>
      </c>
      <c r="C13" s="17"/>
      <c r="D13" s="17"/>
      <c r="E13" s="40"/>
      <c r="F13" s="40"/>
      <c r="G13" s="40">
        <f t="shared" si="0"/>
        <v>0</v>
      </c>
      <c r="H13" s="40"/>
      <c r="I13" s="40"/>
      <c r="J13" s="40">
        <f t="shared" si="1"/>
        <v>0</v>
      </c>
      <c r="K13" s="40">
        <f t="shared" si="2"/>
        <v>0</v>
      </c>
      <c r="L13" s="40"/>
      <c r="M13" s="136">
        <f t="shared" si="3"/>
        <v>0</v>
      </c>
      <c r="N13" s="17"/>
    </row>
    <row r="14" spans="1:14">
      <c r="A14" s="26">
        <v>10</v>
      </c>
      <c r="B14" s="27">
        <v>46123</v>
      </c>
      <c r="C14" s="17"/>
      <c r="D14" s="17"/>
      <c r="E14" s="40"/>
      <c r="F14" s="40"/>
      <c r="G14" s="40">
        <f t="shared" si="0"/>
        <v>0</v>
      </c>
      <c r="H14" s="40"/>
      <c r="I14" s="40"/>
      <c r="J14" s="40">
        <f t="shared" si="1"/>
        <v>0</v>
      </c>
      <c r="K14" s="40">
        <f t="shared" si="2"/>
        <v>0</v>
      </c>
      <c r="L14" s="40"/>
      <c r="M14" s="136">
        <f t="shared" si="3"/>
        <v>0</v>
      </c>
      <c r="N14" s="44"/>
    </row>
    <row r="15" spans="1:14">
      <c r="A15" s="26">
        <v>11</v>
      </c>
      <c r="B15" s="27">
        <v>46124</v>
      </c>
      <c r="C15" s="17"/>
      <c r="D15" s="17"/>
      <c r="E15" s="40"/>
      <c r="F15" s="40"/>
      <c r="G15" s="40">
        <f t="shared" si="0"/>
        <v>0</v>
      </c>
      <c r="H15" s="40"/>
      <c r="I15" s="40"/>
      <c r="J15" s="40">
        <f t="shared" si="1"/>
        <v>0</v>
      </c>
      <c r="K15" s="40">
        <f t="shared" si="2"/>
        <v>0</v>
      </c>
      <c r="L15" s="40"/>
      <c r="M15" s="136">
        <f t="shared" si="3"/>
        <v>0</v>
      </c>
      <c r="N15" s="44"/>
    </row>
    <row r="16" spans="1:14">
      <c r="A16" s="26">
        <v>12</v>
      </c>
      <c r="B16" s="27">
        <v>46125</v>
      </c>
      <c r="C16" s="17"/>
      <c r="D16" s="17"/>
      <c r="E16" s="40"/>
      <c r="F16" s="40"/>
      <c r="G16" s="40">
        <f t="shared" si="0"/>
        <v>0</v>
      </c>
      <c r="H16" s="40"/>
      <c r="I16" s="40"/>
      <c r="J16" s="40">
        <f t="shared" si="1"/>
        <v>0</v>
      </c>
      <c r="K16" s="40">
        <f t="shared" si="2"/>
        <v>0</v>
      </c>
      <c r="L16" s="40"/>
      <c r="M16" s="136">
        <f t="shared" si="3"/>
        <v>0</v>
      </c>
      <c r="N16" s="44"/>
    </row>
    <row r="17" spans="1:14">
      <c r="A17" s="26">
        <v>13</v>
      </c>
      <c r="B17" s="27">
        <v>46126</v>
      </c>
      <c r="C17" s="17"/>
      <c r="D17" s="17"/>
      <c r="E17" s="40"/>
      <c r="F17" s="40"/>
      <c r="G17" s="40">
        <f t="shared" si="0"/>
        <v>0</v>
      </c>
      <c r="H17" s="40"/>
      <c r="I17" s="40"/>
      <c r="J17" s="40">
        <f t="shared" si="1"/>
        <v>0</v>
      </c>
      <c r="K17" s="40">
        <f t="shared" si="2"/>
        <v>0</v>
      </c>
      <c r="L17" s="40"/>
      <c r="M17" s="136">
        <f t="shared" si="3"/>
        <v>0</v>
      </c>
      <c r="N17" s="44"/>
    </row>
    <row r="18" spans="1:14">
      <c r="A18" s="26">
        <v>14</v>
      </c>
      <c r="B18" s="27">
        <v>46127</v>
      </c>
      <c r="C18" s="17"/>
      <c r="D18" s="17"/>
      <c r="E18" s="40"/>
      <c r="F18" s="40"/>
      <c r="G18" s="40">
        <f t="shared" si="0"/>
        <v>0</v>
      </c>
      <c r="H18" s="40"/>
      <c r="I18" s="40"/>
      <c r="J18" s="40">
        <f t="shared" si="1"/>
        <v>0</v>
      </c>
      <c r="K18" s="40">
        <f t="shared" si="2"/>
        <v>0</v>
      </c>
      <c r="L18" s="40"/>
      <c r="M18" s="136">
        <f t="shared" si="3"/>
        <v>0</v>
      </c>
      <c r="N18" s="44"/>
    </row>
    <row r="19" spans="1:14">
      <c r="A19" s="26">
        <v>15</v>
      </c>
      <c r="B19" s="27">
        <v>46128</v>
      </c>
      <c r="C19" s="17"/>
      <c r="D19" s="17"/>
      <c r="E19" s="40"/>
      <c r="F19" s="40"/>
      <c r="G19" s="40">
        <f t="shared" si="0"/>
        <v>0</v>
      </c>
      <c r="H19" s="40"/>
      <c r="I19" s="40"/>
      <c r="J19" s="40">
        <f t="shared" si="1"/>
        <v>0</v>
      </c>
      <c r="K19" s="40">
        <f t="shared" si="2"/>
        <v>0</v>
      </c>
      <c r="L19" s="40"/>
      <c r="M19" s="136">
        <f t="shared" si="3"/>
        <v>0</v>
      </c>
      <c r="N19" s="44"/>
    </row>
    <row r="20" spans="1:14">
      <c r="A20" s="26">
        <v>16</v>
      </c>
      <c r="B20" s="27">
        <v>46129</v>
      </c>
      <c r="C20" s="17"/>
      <c r="D20" s="17"/>
      <c r="E20" s="40"/>
      <c r="F20" s="40"/>
      <c r="G20" s="40">
        <f t="shared" si="0"/>
        <v>0</v>
      </c>
      <c r="H20" s="40"/>
      <c r="I20" s="40"/>
      <c r="J20" s="40">
        <f t="shared" si="1"/>
        <v>0</v>
      </c>
      <c r="K20" s="40">
        <f t="shared" si="2"/>
        <v>0</v>
      </c>
      <c r="L20" s="40"/>
      <c r="M20" s="136">
        <f t="shared" si="3"/>
        <v>0</v>
      </c>
      <c r="N20" s="44"/>
    </row>
    <row r="21" spans="1:14">
      <c r="A21" s="26">
        <v>17</v>
      </c>
      <c r="B21" s="27">
        <v>46130</v>
      </c>
      <c r="C21" s="17"/>
      <c r="D21" s="17"/>
      <c r="E21" s="40"/>
      <c r="F21" s="40"/>
      <c r="G21" s="40">
        <f t="shared" si="0"/>
        <v>0</v>
      </c>
      <c r="H21" s="40"/>
      <c r="I21" s="40"/>
      <c r="J21" s="40">
        <f t="shared" si="1"/>
        <v>0</v>
      </c>
      <c r="K21" s="40">
        <f t="shared" si="2"/>
        <v>0</v>
      </c>
      <c r="L21" s="40"/>
      <c r="M21" s="136">
        <f t="shared" si="3"/>
        <v>0</v>
      </c>
      <c r="N21" s="44"/>
    </row>
    <row r="22" spans="1:14">
      <c r="A22" s="26">
        <v>18</v>
      </c>
      <c r="B22" s="27">
        <v>46131</v>
      </c>
      <c r="C22" s="17"/>
      <c r="D22" s="17"/>
      <c r="E22" s="40">
        <v>2500</v>
      </c>
      <c r="F22" s="40">
        <v>91.97</v>
      </c>
      <c r="G22" s="40">
        <f t="shared" si="0"/>
        <v>229925</v>
      </c>
      <c r="H22" s="40"/>
      <c r="I22" s="40"/>
      <c r="J22" s="40">
        <f t="shared" si="1"/>
        <v>0</v>
      </c>
      <c r="K22" s="40">
        <f t="shared" si="2"/>
        <v>229925</v>
      </c>
      <c r="L22" s="40"/>
      <c r="M22" s="136">
        <f t="shared" si="3"/>
        <v>229925</v>
      </c>
      <c r="N22" s="44"/>
    </row>
    <row r="23" spans="1:14">
      <c r="A23" s="26">
        <v>19</v>
      </c>
      <c r="B23" s="27">
        <v>46132</v>
      </c>
      <c r="C23" s="17"/>
      <c r="D23" s="17"/>
      <c r="E23" s="40"/>
      <c r="F23" s="40"/>
      <c r="G23" s="40">
        <f t="shared" si="0"/>
        <v>0</v>
      </c>
      <c r="H23" s="40"/>
      <c r="I23" s="40"/>
      <c r="J23" s="40">
        <f t="shared" si="1"/>
        <v>0</v>
      </c>
      <c r="K23" s="40">
        <f t="shared" si="2"/>
        <v>0</v>
      </c>
      <c r="L23" s="40">
        <v>229925</v>
      </c>
      <c r="M23" s="136">
        <f t="shared" si="3"/>
        <v>0</v>
      </c>
      <c r="N23" s="44"/>
    </row>
    <row r="24" spans="1:14">
      <c r="A24" s="26">
        <v>20</v>
      </c>
      <c r="B24" s="27">
        <v>46133</v>
      </c>
      <c r="C24" s="17"/>
      <c r="D24" s="17"/>
      <c r="E24" s="40"/>
      <c r="F24" s="40"/>
      <c r="G24" s="40">
        <f t="shared" si="0"/>
        <v>0</v>
      </c>
      <c r="H24" s="40"/>
      <c r="I24" s="40"/>
      <c r="J24" s="40">
        <f t="shared" si="1"/>
        <v>0</v>
      </c>
      <c r="K24" s="40">
        <f t="shared" si="2"/>
        <v>0</v>
      </c>
      <c r="L24" s="40"/>
      <c r="M24" s="136">
        <f t="shared" si="3"/>
        <v>0</v>
      </c>
      <c r="N24" s="44"/>
    </row>
    <row r="25" spans="1:14">
      <c r="A25" s="26">
        <v>21</v>
      </c>
      <c r="B25" s="27">
        <v>46134</v>
      </c>
      <c r="C25" s="17"/>
      <c r="D25" s="17"/>
      <c r="E25" s="40"/>
      <c r="F25" s="40"/>
      <c r="G25" s="40">
        <f t="shared" si="0"/>
        <v>0</v>
      </c>
      <c r="H25" s="40"/>
      <c r="I25" s="40"/>
      <c r="J25" s="40">
        <f t="shared" si="1"/>
        <v>0</v>
      </c>
      <c r="K25" s="40">
        <f t="shared" si="2"/>
        <v>0</v>
      </c>
      <c r="L25" s="40"/>
      <c r="M25" s="136">
        <f t="shared" si="3"/>
        <v>0</v>
      </c>
      <c r="N25" s="44"/>
    </row>
    <row r="26" spans="1:14">
      <c r="A26" s="26">
        <v>22</v>
      </c>
      <c r="B26" s="27">
        <v>46135</v>
      </c>
      <c r="C26" s="17"/>
      <c r="D26" s="17"/>
      <c r="E26" s="40"/>
      <c r="F26" s="40"/>
      <c r="G26" s="40">
        <f t="shared" si="0"/>
        <v>0</v>
      </c>
      <c r="H26" s="40"/>
      <c r="I26" s="40"/>
      <c r="J26" s="40">
        <f t="shared" si="1"/>
        <v>0</v>
      </c>
      <c r="K26" s="40">
        <f t="shared" si="2"/>
        <v>0</v>
      </c>
      <c r="L26" s="40"/>
      <c r="M26" s="136">
        <f t="shared" si="3"/>
        <v>0</v>
      </c>
      <c r="N26" s="44"/>
    </row>
    <row r="27" spans="1:14">
      <c r="A27" s="26">
        <v>23</v>
      </c>
      <c r="B27" s="27">
        <v>46136</v>
      </c>
      <c r="C27" s="17"/>
      <c r="D27" s="17"/>
      <c r="E27" s="40"/>
      <c r="F27" s="40"/>
      <c r="G27" s="40">
        <f t="shared" si="0"/>
        <v>0</v>
      </c>
      <c r="H27" s="40"/>
      <c r="I27" s="40"/>
      <c r="J27" s="40">
        <f t="shared" si="1"/>
        <v>0</v>
      </c>
      <c r="K27" s="40">
        <f t="shared" si="2"/>
        <v>0</v>
      </c>
      <c r="L27" s="40"/>
      <c r="M27" s="136">
        <f t="shared" si="3"/>
        <v>0</v>
      </c>
      <c r="N27" s="44"/>
    </row>
    <row r="28" spans="1:14">
      <c r="A28" s="26">
        <v>24</v>
      </c>
      <c r="B28" s="27">
        <v>46137</v>
      </c>
      <c r="C28" s="17"/>
      <c r="D28" s="17"/>
      <c r="E28" s="40"/>
      <c r="F28" s="40"/>
      <c r="G28" s="40">
        <f t="shared" si="0"/>
        <v>0</v>
      </c>
      <c r="H28" s="40"/>
      <c r="I28" s="40"/>
      <c r="J28" s="40">
        <f t="shared" si="1"/>
        <v>0</v>
      </c>
      <c r="K28" s="40">
        <f t="shared" si="2"/>
        <v>0</v>
      </c>
      <c r="L28" s="40"/>
      <c r="M28" s="136">
        <f t="shared" si="3"/>
        <v>0</v>
      </c>
      <c r="N28" s="44"/>
    </row>
    <row r="29" spans="1:14">
      <c r="A29" s="26">
        <v>25</v>
      </c>
      <c r="B29" s="27">
        <v>46138</v>
      </c>
      <c r="C29" s="17"/>
      <c r="D29" s="17"/>
      <c r="E29" s="40"/>
      <c r="F29" s="40"/>
      <c r="G29" s="40">
        <f t="shared" si="0"/>
        <v>0</v>
      </c>
      <c r="H29" s="40"/>
      <c r="I29" s="40"/>
      <c r="J29" s="40">
        <f t="shared" si="1"/>
        <v>0</v>
      </c>
      <c r="K29" s="40">
        <f t="shared" si="2"/>
        <v>0</v>
      </c>
      <c r="L29" s="40"/>
      <c r="M29" s="136">
        <f t="shared" si="3"/>
        <v>0</v>
      </c>
      <c r="N29" s="44"/>
    </row>
    <row r="30" spans="1:14">
      <c r="A30" s="26">
        <v>26</v>
      </c>
      <c r="B30" s="27">
        <v>46139</v>
      </c>
      <c r="C30" s="17"/>
      <c r="D30" s="17"/>
      <c r="E30" s="40"/>
      <c r="F30" s="40"/>
      <c r="G30" s="40">
        <f t="shared" si="0"/>
        <v>0</v>
      </c>
      <c r="H30" s="40"/>
      <c r="I30" s="40"/>
      <c r="J30" s="40">
        <f t="shared" si="1"/>
        <v>0</v>
      </c>
      <c r="K30" s="40">
        <f t="shared" si="2"/>
        <v>0</v>
      </c>
      <c r="L30" s="40"/>
      <c r="M30" s="136">
        <f t="shared" si="3"/>
        <v>0</v>
      </c>
      <c r="N30" s="44"/>
    </row>
    <row r="31" spans="1:14">
      <c r="A31" s="26">
        <v>27</v>
      </c>
      <c r="B31" s="27">
        <v>46140</v>
      </c>
      <c r="C31" s="17"/>
      <c r="D31" s="17"/>
      <c r="E31" s="40"/>
      <c r="F31" s="40"/>
      <c r="G31" s="40">
        <f t="shared" si="0"/>
        <v>0</v>
      </c>
      <c r="H31" s="40"/>
      <c r="I31" s="40"/>
      <c r="J31" s="40">
        <f t="shared" si="1"/>
        <v>0</v>
      </c>
      <c r="K31" s="40">
        <f t="shared" si="2"/>
        <v>0</v>
      </c>
      <c r="L31" s="40"/>
      <c r="M31" s="136">
        <f t="shared" si="3"/>
        <v>0</v>
      </c>
      <c r="N31" s="44"/>
    </row>
    <row r="32" spans="1:14">
      <c r="A32" s="26">
        <v>28</v>
      </c>
      <c r="B32" s="27">
        <v>46141</v>
      </c>
      <c r="C32" s="17"/>
      <c r="D32" s="17"/>
      <c r="E32" s="40"/>
      <c r="F32" s="40"/>
      <c r="G32" s="40">
        <f t="shared" si="0"/>
        <v>0</v>
      </c>
      <c r="H32" s="40"/>
      <c r="I32" s="40"/>
      <c r="J32" s="40">
        <f t="shared" si="1"/>
        <v>0</v>
      </c>
      <c r="K32" s="40">
        <f t="shared" si="2"/>
        <v>0</v>
      </c>
      <c r="L32" s="40"/>
      <c r="M32" s="136">
        <f t="shared" si="3"/>
        <v>0</v>
      </c>
      <c r="N32" s="44"/>
    </row>
    <row r="33" spans="1:14">
      <c r="A33" s="26">
        <v>29</v>
      </c>
      <c r="B33" s="27">
        <v>46142</v>
      </c>
      <c r="C33" s="17"/>
      <c r="D33" s="17"/>
      <c r="E33" s="40"/>
      <c r="F33" s="40"/>
      <c r="G33" s="40">
        <f t="shared" si="0"/>
        <v>0</v>
      </c>
      <c r="H33" s="40"/>
      <c r="I33" s="40"/>
      <c r="J33" s="40">
        <f t="shared" si="1"/>
        <v>0</v>
      </c>
      <c r="K33" s="40">
        <f t="shared" si="2"/>
        <v>0</v>
      </c>
      <c r="L33" s="40"/>
      <c r="M33" s="136">
        <f t="shared" si="3"/>
        <v>0</v>
      </c>
      <c r="N33" s="44"/>
    </row>
    <row r="34" spans="1:14">
      <c r="A34" s="26">
        <v>30</v>
      </c>
      <c r="B34" s="27"/>
      <c r="C34" s="17"/>
      <c r="D34" s="17"/>
      <c r="E34" s="40"/>
      <c r="F34" s="40"/>
      <c r="G34" s="40">
        <f t="shared" si="0"/>
        <v>0</v>
      </c>
      <c r="H34" s="40"/>
      <c r="I34" s="40"/>
      <c r="J34" s="40">
        <f t="shared" si="1"/>
        <v>0</v>
      </c>
      <c r="K34" s="40">
        <f t="shared" si="2"/>
        <v>0</v>
      </c>
      <c r="L34" s="40"/>
      <c r="M34" s="136">
        <f t="shared" si="3"/>
        <v>0</v>
      </c>
      <c r="N34" s="44"/>
    </row>
    <row r="35" spans="1:14">
      <c r="A35" s="26">
        <v>31</v>
      </c>
      <c r="B35" s="27"/>
      <c r="C35" s="17"/>
      <c r="D35" s="17"/>
      <c r="E35" s="40"/>
      <c r="F35" s="40"/>
      <c r="G35" s="40">
        <f t="shared" si="0"/>
        <v>0</v>
      </c>
      <c r="H35" s="40"/>
      <c r="I35" s="40"/>
      <c r="J35" s="40">
        <f t="shared" si="1"/>
        <v>0</v>
      </c>
      <c r="K35" s="40">
        <f t="shared" si="2"/>
        <v>0</v>
      </c>
      <c r="L35" s="40"/>
      <c r="M35" s="136">
        <f t="shared" si="3"/>
        <v>0</v>
      </c>
      <c r="N35" s="44"/>
    </row>
    <row r="36" spans="1:14">
      <c r="A36" s="26">
        <v>32</v>
      </c>
      <c r="B36" s="27"/>
      <c r="C36" s="17"/>
      <c r="D36" s="17"/>
      <c r="E36" s="40"/>
      <c r="F36" s="40"/>
      <c r="G36" s="40">
        <f t="shared" si="0"/>
        <v>0</v>
      </c>
      <c r="H36" s="40"/>
      <c r="I36" s="40"/>
      <c r="J36" s="40">
        <f t="shared" si="1"/>
        <v>0</v>
      </c>
      <c r="K36" s="40">
        <f t="shared" si="2"/>
        <v>0</v>
      </c>
      <c r="L36" s="40"/>
      <c r="M36" s="136">
        <f t="shared" si="3"/>
        <v>0</v>
      </c>
      <c r="N36" s="44"/>
    </row>
    <row r="37" spans="1:14">
      <c r="A37" s="26">
        <v>33</v>
      </c>
      <c r="B37" s="27"/>
      <c r="C37" s="17"/>
      <c r="D37" s="17"/>
      <c r="E37" s="40"/>
      <c r="F37" s="40"/>
      <c r="G37" s="40">
        <f t="shared" si="0"/>
        <v>0</v>
      </c>
      <c r="H37" s="40"/>
      <c r="I37" s="40"/>
      <c r="J37" s="40">
        <f t="shared" si="1"/>
        <v>0</v>
      </c>
      <c r="K37" s="40">
        <f t="shared" si="2"/>
        <v>0</v>
      </c>
      <c r="L37" s="40"/>
      <c r="M37" s="136">
        <f t="shared" si="3"/>
        <v>0</v>
      </c>
      <c r="N37" s="44"/>
    </row>
    <row r="38" spans="1:14">
      <c r="A38" s="26">
        <v>34</v>
      </c>
      <c r="B38" s="27"/>
      <c r="C38" s="17"/>
      <c r="D38" s="17"/>
      <c r="E38" s="40"/>
      <c r="F38" s="40"/>
      <c r="G38" s="40">
        <f t="shared" si="0"/>
        <v>0</v>
      </c>
      <c r="H38" s="40"/>
      <c r="I38" s="40"/>
      <c r="J38" s="40">
        <f t="shared" si="1"/>
        <v>0</v>
      </c>
      <c r="K38" s="40">
        <f t="shared" si="2"/>
        <v>0</v>
      </c>
      <c r="L38" s="40"/>
      <c r="M38" s="136">
        <f t="shared" si="3"/>
        <v>0</v>
      </c>
      <c r="N38" s="44"/>
    </row>
    <row r="39" spans="1:14">
      <c r="A39" s="26">
        <v>35</v>
      </c>
      <c r="B39" s="27"/>
      <c r="C39" s="17"/>
      <c r="D39" s="17"/>
      <c r="E39" s="40"/>
      <c r="F39" s="40"/>
      <c r="G39" s="40">
        <f t="shared" si="0"/>
        <v>0</v>
      </c>
      <c r="H39" s="40"/>
      <c r="I39" s="40"/>
      <c r="J39" s="40">
        <f t="shared" si="1"/>
        <v>0</v>
      </c>
      <c r="K39" s="40">
        <f t="shared" si="2"/>
        <v>0</v>
      </c>
      <c r="L39" s="40"/>
      <c r="M39" s="136">
        <f t="shared" si="3"/>
        <v>0</v>
      </c>
      <c r="N39" s="44"/>
    </row>
    <row r="40" spans="1:14">
      <c r="A40" s="26">
        <v>36</v>
      </c>
      <c r="B40" s="27"/>
      <c r="C40" s="17"/>
      <c r="D40" s="17"/>
      <c r="E40" s="40"/>
      <c r="F40" s="40"/>
      <c r="G40" s="40">
        <f t="shared" si="0"/>
        <v>0</v>
      </c>
      <c r="H40" s="40"/>
      <c r="I40" s="40"/>
      <c r="J40" s="40">
        <f t="shared" si="1"/>
        <v>0</v>
      </c>
      <c r="K40" s="40">
        <f t="shared" ref="K40:K55" si="4">G40+J40</f>
        <v>0</v>
      </c>
      <c r="L40" s="40"/>
      <c r="M40" s="136">
        <f t="shared" si="3"/>
        <v>0</v>
      </c>
      <c r="N40" s="44"/>
    </row>
    <row r="41" spans="1:14">
      <c r="A41" s="26">
        <v>37</v>
      </c>
      <c r="B41" s="27"/>
      <c r="C41" s="17"/>
      <c r="D41" s="17"/>
      <c r="E41" s="40"/>
      <c r="F41" s="40"/>
      <c r="G41" s="40">
        <f t="shared" si="0"/>
        <v>0</v>
      </c>
      <c r="H41" s="40"/>
      <c r="I41" s="40"/>
      <c r="J41" s="40">
        <f t="shared" si="1"/>
        <v>0</v>
      </c>
      <c r="K41" s="40">
        <f t="shared" si="4"/>
        <v>0</v>
      </c>
      <c r="L41" s="40"/>
      <c r="M41" s="136">
        <f t="shared" si="3"/>
        <v>0</v>
      </c>
      <c r="N41" s="44"/>
    </row>
    <row r="42" spans="1:14">
      <c r="A42" s="26">
        <v>38</v>
      </c>
      <c r="B42" s="27"/>
      <c r="C42" s="17"/>
      <c r="D42" s="17"/>
      <c r="E42" s="40"/>
      <c r="F42" s="40"/>
      <c r="G42" s="40">
        <f t="shared" si="0"/>
        <v>0</v>
      </c>
      <c r="H42" s="40"/>
      <c r="I42" s="40"/>
      <c r="J42" s="40">
        <f t="shared" si="1"/>
        <v>0</v>
      </c>
      <c r="K42" s="40">
        <f t="shared" si="4"/>
        <v>0</v>
      </c>
      <c r="L42" s="40"/>
      <c r="M42" s="136">
        <f t="shared" si="3"/>
        <v>0</v>
      </c>
      <c r="N42" s="44"/>
    </row>
    <row r="43" spans="1:14">
      <c r="A43" s="26">
        <v>39</v>
      </c>
      <c r="B43" s="27"/>
      <c r="C43" s="17"/>
      <c r="D43" s="17"/>
      <c r="E43" s="40"/>
      <c r="F43" s="40"/>
      <c r="G43" s="40">
        <f t="shared" si="0"/>
        <v>0</v>
      </c>
      <c r="H43" s="40"/>
      <c r="I43" s="40"/>
      <c r="J43" s="40">
        <f t="shared" si="1"/>
        <v>0</v>
      </c>
      <c r="K43" s="40">
        <f t="shared" si="4"/>
        <v>0</v>
      </c>
      <c r="L43" s="40"/>
      <c r="M43" s="136">
        <f t="shared" si="3"/>
        <v>0</v>
      </c>
      <c r="N43" s="44"/>
    </row>
    <row r="44" spans="1:14">
      <c r="A44" s="26">
        <v>40</v>
      </c>
      <c r="B44" s="27"/>
      <c r="C44" s="17"/>
      <c r="D44" s="17"/>
      <c r="E44" s="40"/>
      <c r="F44" s="40"/>
      <c r="G44" s="40">
        <f t="shared" si="0"/>
        <v>0</v>
      </c>
      <c r="H44" s="40"/>
      <c r="I44" s="40"/>
      <c r="J44" s="40">
        <f t="shared" si="1"/>
        <v>0</v>
      </c>
      <c r="K44" s="40">
        <f t="shared" si="4"/>
        <v>0</v>
      </c>
      <c r="L44" s="40"/>
      <c r="M44" s="136">
        <f t="shared" si="3"/>
        <v>0</v>
      </c>
      <c r="N44" s="44"/>
    </row>
    <row r="45" spans="1:14">
      <c r="A45" s="26">
        <v>41</v>
      </c>
      <c r="B45" s="27"/>
      <c r="C45" s="17"/>
      <c r="D45" s="17"/>
      <c r="E45" s="40"/>
      <c r="F45" s="40"/>
      <c r="G45" s="40">
        <f t="shared" si="0"/>
        <v>0</v>
      </c>
      <c r="H45" s="40"/>
      <c r="I45" s="40"/>
      <c r="J45" s="40">
        <f t="shared" si="1"/>
        <v>0</v>
      </c>
      <c r="K45" s="40">
        <f t="shared" si="4"/>
        <v>0</v>
      </c>
      <c r="L45" s="40"/>
      <c r="M45" s="136">
        <f t="shared" si="3"/>
        <v>0</v>
      </c>
      <c r="N45" s="44"/>
    </row>
    <row r="46" spans="1:14">
      <c r="A46" s="26">
        <v>42</v>
      </c>
      <c r="B46" s="27"/>
      <c r="C46" s="17"/>
      <c r="D46" s="17"/>
      <c r="E46" s="40"/>
      <c r="F46" s="40"/>
      <c r="G46" s="40">
        <f t="shared" si="0"/>
        <v>0</v>
      </c>
      <c r="H46" s="40"/>
      <c r="I46" s="40"/>
      <c r="J46" s="40">
        <f t="shared" si="1"/>
        <v>0</v>
      </c>
      <c r="K46" s="40">
        <f t="shared" si="4"/>
        <v>0</v>
      </c>
      <c r="L46" s="40"/>
      <c r="M46" s="136">
        <f t="shared" si="3"/>
        <v>0</v>
      </c>
      <c r="N46" s="44"/>
    </row>
    <row r="47" spans="1:14">
      <c r="A47" s="26">
        <v>43</v>
      </c>
      <c r="B47" s="27"/>
      <c r="C47" s="17"/>
      <c r="D47" s="17"/>
      <c r="E47" s="40"/>
      <c r="F47" s="40"/>
      <c r="G47" s="40">
        <f t="shared" si="0"/>
        <v>0</v>
      </c>
      <c r="H47" s="40"/>
      <c r="I47" s="40"/>
      <c r="J47" s="40">
        <f t="shared" si="1"/>
        <v>0</v>
      </c>
      <c r="K47" s="40">
        <f t="shared" si="4"/>
        <v>0</v>
      </c>
      <c r="L47" s="40"/>
      <c r="M47" s="136">
        <f t="shared" si="3"/>
        <v>0</v>
      </c>
      <c r="N47" s="44"/>
    </row>
    <row r="48" spans="1:14">
      <c r="A48" s="26">
        <v>44</v>
      </c>
      <c r="B48" s="27"/>
      <c r="C48" s="17"/>
      <c r="D48" s="17"/>
      <c r="E48" s="40"/>
      <c r="F48" s="40"/>
      <c r="G48" s="40">
        <f t="shared" si="0"/>
        <v>0</v>
      </c>
      <c r="H48" s="40"/>
      <c r="I48" s="40"/>
      <c r="J48" s="40">
        <f t="shared" si="1"/>
        <v>0</v>
      </c>
      <c r="K48" s="40">
        <f t="shared" si="4"/>
        <v>0</v>
      </c>
      <c r="L48" s="40"/>
      <c r="M48" s="136">
        <f t="shared" si="3"/>
        <v>0</v>
      </c>
      <c r="N48" s="44"/>
    </row>
    <row r="49" spans="1:14">
      <c r="A49" s="26">
        <v>45</v>
      </c>
      <c r="B49" s="27"/>
      <c r="C49" s="17"/>
      <c r="D49" s="17"/>
      <c r="E49" s="40"/>
      <c r="F49" s="40"/>
      <c r="G49" s="40">
        <f t="shared" si="0"/>
        <v>0</v>
      </c>
      <c r="H49" s="40"/>
      <c r="I49" s="40"/>
      <c r="J49" s="40">
        <f t="shared" si="1"/>
        <v>0</v>
      </c>
      <c r="K49" s="40">
        <f t="shared" si="4"/>
        <v>0</v>
      </c>
      <c r="L49" s="40"/>
      <c r="M49" s="136">
        <f t="shared" si="3"/>
        <v>0</v>
      </c>
      <c r="N49" s="44"/>
    </row>
    <row r="50" spans="1:14">
      <c r="A50" s="26">
        <v>46</v>
      </c>
      <c r="B50" s="27"/>
      <c r="C50" s="17"/>
      <c r="D50" s="17"/>
      <c r="E50" s="40"/>
      <c r="F50" s="40"/>
      <c r="G50" s="40">
        <f t="shared" si="0"/>
        <v>0</v>
      </c>
      <c r="H50" s="40"/>
      <c r="I50" s="40"/>
      <c r="J50" s="40">
        <f t="shared" si="1"/>
        <v>0</v>
      </c>
      <c r="K50" s="40">
        <f t="shared" si="4"/>
        <v>0</v>
      </c>
      <c r="L50" s="40"/>
      <c r="M50" s="136">
        <f t="shared" si="3"/>
        <v>0</v>
      </c>
      <c r="N50" s="44"/>
    </row>
    <row r="51" spans="1:14">
      <c r="A51" s="26">
        <v>47</v>
      </c>
      <c r="B51" s="27"/>
      <c r="C51" s="17"/>
      <c r="D51" s="17"/>
      <c r="E51" s="40"/>
      <c r="F51" s="40"/>
      <c r="G51" s="40">
        <f t="shared" si="0"/>
        <v>0</v>
      </c>
      <c r="H51" s="40"/>
      <c r="I51" s="40"/>
      <c r="J51" s="40">
        <f t="shared" si="1"/>
        <v>0</v>
      </c>
      <c r="K51" s="40">
        <f t="shared" si="4"/>
        <v>0</v>
      </c>
      <c r="L51" s="40">
        <v>0</v>
      </c>
      <c r="M51" s="136">
        <f t="shared" si="3"/>
        <v>0</v>
      </c>
      <c r="N51" s="44"/>
    </row>
    <row r="52" spans="1:14">
      <c r="A52" s="26">
        <v>48</v>
      </c>
      <c r="B52" s="27"/>
      <c r="C52" s="94"/>
      <c r="D52" s="94"/>
      <c r="E52" s="40"/>
      <c r="F52" s="40"/>
      <c r="G52" s="40">
        <f t="shared" si="0"/>
        <v>0</v>
      </c>
      <c r="H52" s="40"/>
      <c r="I52" s="40"/>
      <c r="J52" s="40">
        <f t="shared" si="1"/>
        <v>0</v>
      </c>
      <c r="K52" s="40">
        <f t="shared" si="4"/>
        <v>0</v>
      </c>
      <c r="L52" s="40">
        <v>0</v>
      </c>
      <c r="M52" s="136">
        <f t="shared" si="3"/>
        <v>0</v>
      </c>
      <c r="N52" s="224"/>
    </row>
    <row r="53" spans="1:14">
      <c r="A53" s="26">
        <v>49</v>
      </c>
      <c r="B53" s="27"/>
      <c r="C53" s="17"/>
      <c r="D53" s="17"/>
      <c r="E53" s="40"/>
      <c r="F53" s="40"/>
      <c r="G53" s="40">
        <f t="shared" si="0"/>
        <v>0</v>
      </c>
      <c r="H53" s="40"/>
      <c r="I53" s="40"/>
      <c r="J53" s="40">
        <f t="shared" si="1"/>
        <v>0</v>
      </c>
      <c r="K53" s="40">
        <f t="shared" si="4"/>
        <v>0</v>
      </c>
      <c r="L53" s="40">
        <v>0</v>
      </c>
      <c r="M53" s="136">
        <f t="shared" si="3"/>
        <v>0</v>
      </c>
      <c r="N53" s="44"/>
    </row>
    <row r="54" spans="1:14">
      <c r="A54" s="26">
        <v>50</v>
      </c>
      <c r="B54" s="27"/>
      <c r="C54" s="17"/>
      <c r="D54" s="17"/>
      <c r="E54" s="40"/>
      <c r="F54" s="40"/>
      <c r="G54" s="40">
        <f t="shared" si="0"/>
        <v>0</v>
      </c>
      <c r="H54" s="40"/>
      <c r="I54" s="40"/>
      <c r="J54" s="40">
        <f t="shared" si="1"/>
        <v>0</v>
      </c>
      <c r="K54" s="40">
        <f t="shared" si="4"/>
        <v>0</v>
      </c>
      <c r="L54" s="40">
        <v>0</v>
      </c>
      <c r="M54" s="136">
        <f t="shared" si="3"/>
        <v>0</v>
      </c>
      <c r="N54" s="44"/>
    </row>
    <row r="55" spans="1:14">
      <c r="A55" s="181"/>
      <c r="B55" s="181"/>
      <c r="C55" s="181"/>
      <c r="D55" s="181"/>
      <c r="E55" s="181">
        <f>SUM(E4:E54)</f>
        <v>2500</v>
      </c>
      <c r="F55" s="181"/>
      <c r="G55" s="181">
        <f>SUM(G4:G54)</f>
        <v>229925</v>
      </c>
      <c r="H55" s="181">
        <f>SUM(H4:H54)</f>
        <v>0</v>
      </c>
      <c r="I55" s="181"/>
      <c r="J55" s="181">
        <f>SUM(J4:J54)</f>
        <v>0</v>
      </c>
      <c r="K55" s="181">
        <f>SUM(K4:K54)</f>
        <v>229925</v>
      </c>
      <c r="L55" s="181">
        <f>SUM(L4:L54)</f>
        <v>229925</v>
      </c>
      <c r="M55" s="181"/>
      <c r="N55" s="181"/>
    </row>
  </sheetData>
  <mergeCells count="2">
    <mergeCell ref="A1:N1"/>
    <mergeCell ref="A3:J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3905-F01E-4B79-926C-1C75E94FE7A7}">
  <dimension ref="A1:R60"/>
  <sheetViews>
    <sheetView topLeftCell="A24" workbookViewId="0">
      <selection activeCell="H10" sqref="H10"/>
    </sheetView>
  </sheetViews>
  <sheetFormatPr defaultRowHeight="15"/>
  <cols>
    <col min="2" max="2" width="10.42578125" bestFit="1" customWidth="1"/>
    <col min="7" max="7" width="10.42578125" bestFit="1" customWidth="1"/>
    <col min="11" max="12" width="13.5703125" bestFit="1" customWidth="1"/>
    <col min="13" max="13" width="11.5703125" bestFit="1" customWidth="1"/>
    <col min="14" max="14" width="29" bestFit="1" customWidth="1"/>
    <col min="16" max="16" width="19" customWidth="1"/>
  </cols>
  <sheetData>
    <row r="1" spans="1:18" ht="15.75">
      <c r="A1" s="509" t="s">
        <v>186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</row>
    <row r="2" spans="1:18" ht="30.75">
      <c r="A2" s="64" t="s">
        <v>0</v>
      </c>
      <c r="B2" s="83" t="s">
        <v>164</v>
      </c>
      <c r="C2" s="83" t="s">
        <v>165</v>
      </c>
      <c r="D2" s="83" t="s">
        <v>166</v>
      </c>
      <c r="E2" s="90" t="s">
        <v>167</v>
      </c>
      <c r="F2" s="90" t="s">
        <v>168</v>
      </c>
      <c r="G2" s="90" t="s">
        <v>169</v>
      </c>
      <c r="H2" s="90" t="s">
        <v>170</v>
      </c>
      <c r="I2" s="90" t="s">
        <v>168</v>
      </c>
      <c r="J2" s="90" t="s">
        <v>169</v>
      </c>
      <c r="K2" s="91" t="s">
        <v>171</v>
      </c>
      <c r="L2" s="85" t="s">
        <v>172</v>
      </c>
      <c r="M2" s="85" t="s">
        <v>209</v>
      </c>
      <c r="N2" s="125" t="s">
        <v>174</v>
      </c>
    </row>
    <row r="3" spans="1:18">
      <c r="A3" s="488" t="s">
        <v>175</v>
      </c>
      <c r="B3" s="488"/>
      <c r="C3" s="488"/>
      <c r="D3" s="488"/>
      <c r="E3" s="488"/>
      <c r="F3" s="488"/>
      <c r="G3" s="488"/>
      <c r="H3" s="488"/>
      <c r="I3" s="488"/>
      <c r="J3" s="491"/>
      <c r="K3" s="202">
        <v>0</v>
      </c>
      <c r="M3" s="135">
        <f>+K3</f>
        <v>0</v>
      </c>
      <c r="N3" s="94"/>
    </row>
    <row r="4" spans="1:18">
      <c r="A4" s="26">
        <v>1</v>
      </c>
      <c r="B4" s="27">
        <v>46113</v>
      </c>
      <c r="C4" s="17"/>
      <c r="D4" s="17" t="s">
        <v>215</v>
      </c>
      <c r="E4" s="40">
        <v>2000</v>
      </c>
      <c r="F4" s="40">
        <v>91.67</v>
      </c>
      <c r="G4" s="40">
        <f>E4*F4</f>
        <v>183340</v>
      </c>
      <c r="H4" s="40"/>
      <c r="I4" s="40"/>
      <c r="J4" s="40">
        <f>H4*I4</f>
        <v>0</v>
      </c>
      <c r="K4" s="40">
        <f>G4+J4</f>
        <v>183340</v>
      </c>
      <c r="L4" s="40">
        <f>H4+K4</f>
        <v>183340</v>
      </c>
      <c r="M4" s="136">
        <f>M3+K4-L4</f>
        <v>0</v>
      </c>
      <c r="N4" s="17" t="s">
        <v>251</v>
      </c>
    </row>
    <row r="5" spans="1:18">
      <c r="A5" s="26">
        <v>2</v>
      </c>
      <c r="B5" s="27">
        <v>46114</v>
      </c>
      <c r="C5" s="17"/>
      <c r="D5" s="17" t="s">
        <v>215</v>
      </c>
      <c r="E5" s="40">
        <v>2000</v>
      </c>
      <c r="F5" s="40">
        <v>91.67</v>
      </c>
      <c r="G5" s="40">
        <f t="shared" ref="G5:G59" si="0">E5*F5</f>
        <v>183340</v>
      </c>
      <c r="H5" s="40"/>
      <c r="I5" s="40"/>
      <c r="J5" s="40">
        <f t="shared" ref="J5:J59" si="1">H5*I5</f>
        <v>0</v>
      </c>
      <c r="K5" s="40">
        <f t="shared" ref="K5:L59" si="2">G5+J5</f>
        <v>183340</v>
      </c>
      <c r="L5" s="40">
        <f t="shared" si="2"/>
        <v>183340</v>
      </c>
      <c r="M5" s="136">
        <f>M4+K5-L5</f>
        <v>0</v>
      </c>
      <c r="N5" s="17" t="s">
        <v>252</v>
      </c>
    </row>
    <row r="6" spans="1:18">
      <c r="A6" s="26">
        <v>3</v>
      </c>
      <c r="B6" s="27">
        <v>46115</v>
      </c>
      <c r="C6" s="17"/>
      <c r="D6" s="17"/>
      <c r="E6" s="40"/>
      <c r="F6" s="40"/>
      <c r="G6" s="40">
        <f t="shared" si="0"/>
        <v>0</v>
      </c>
      <c r="H6" s="40"/>
      <c r="I6" s="40"/>
      <c r="J6" s="40"/>
      <c r="K6" s="40">
        <f t="shared" si="2"/>
        <v>0</v>
      </c>
      <c r="L6" s="40"/>
      <c r="M6" s="136">
        <f>M5+K6-L6</f>
        <v>0</v>
      </c>
      <c r="N6" s="17"/>
      <c r="R6">
        <f>2500*91.67</f>
        <v>229175</v>
      </c>
    </row>
    <row r="7" spans="1:18">
      <c r="A7" s="26">
        <v>4</v>
      </c>
      <c r="B7" s="27">
        <v>46116</v>
      </c>
      <c r="C7" s="17"/>
      <c r="D7" s="17"/>
      <c r="E7" s="40"/>
      <c r="F7" s="40"/>
      <c r="G7" s="40">
        <f t="shared" si="0"/>
        <v>0</v>
      </c>
      <c r="H7" s="40"/>
      <c r="I7" s="40"/>
      <c r="J7" s="40">
        <f t="shared" si="1"/>
        <v>0</v>
      </c>
      <c r="K7" s="40">
        <f t="shared" si="2"/>
        <v>0</v>
      </c>
      <c r="L7" s="40"/>
      <c r="M7" s="136">
        <f t="shared" ref="M7:M59" si="3">M6+K7-L7</f>
        <v>0</v>
      </c>
      <c r="N7" s="17"/>
    </row>
    <row r="8" spans="1:18">
      <c r="A8" s="26">
        <v>5</v>
      </c>
      <c r="B8" s="27">
        <v>46117</v>
      </c>
      <c r="C8" s="17"/>
      <c r="D8" s="17"/>
      <c r="E8" s="40">
        <v>2000</v>
      </c>
      <c r="F8" s="40">
        <v>91.67</v>
      </c>
      <c r="G8" s="40">
        <f t="shared" si="0"/>
        <v>183340</v>
      </c>
      <c r="H8" s="40"/>
      <c r="I8" s="40"/>
      <c r="J8" s="40">
        <f t="shared" si="1"/>
        <v>0</v>
      </c>
      <c r="K8" s="40">
        <f t="shared" si="2"/>
        <v>183340</v>
      </c>
      <c r="L8" s="40">
        <f t="shared" si="2"/>
        <v>183340</v>
      </c>
      <c r="M8" s="136">
        <f t="shared" si="3"/>
        <v>0</v>
      </c>
      <c r="N8" s="17" t="s">
        <v>251</v>
      </c>
    </row>
    <row r="9" spans="1:18">
      <c r="A9" s="26">
        <v>6</v>
      </c>
      <c r="B9" s="27">
        <v>46118</v>
      </c>
      <c r="C9" s="17"/>
      <c r="D9" s="17"/>
      <c r="E9" s="40"/>
      <c r="F9" s="40"/>
      <c r="G9" s="40">
        <f t="shared" si="0"/>
        <v>0</v>
      </c>
      <c r="H9" s="40"/>
      <c r="I9" s="40"/>
      <c r="J9" s="40">
        <f t="shared" si="1"/>
        <v>0</v>
      </c>
      <c r="K9" s="40">
        <f t="shared" si="2"/>
        <v>0</v>
      </c>
      <c r="L9" s="40"/>
      <c r="M9" s="136">
        <f t="shared" si="3"/>
        <v>0</v>
      </c>
      <c r="N9" s="17"/>
    </row>
    <row r="10" spans="1:18">
      <c r="A10" s="26">
        <v>7</v>
      </c>
      <c r="B10" s="27">
        <v>46119</v>
      </c>
      <c r="C10" s="17"/>
      <c r="D10" s="17"/>
      <c r="E10" s="40"/>
      <c r="F10" s="40"/>
      <c r="G10" s="40">
        <f t="shared" si="0"/>
        <v>0</v>
      </c>
      <c r="H10" s="40"/>
      <c r="I10" s="40"/>
      <c r="J10" s="40">
        <f t="shared" si="1"/>
        <v>0</v>
      </c>
      <c r="K10" s="40">
        <f t="shared" si="2"/>
        <v>0</v>
      </c>
      <c r="L10" s="40"/>
      <c r="M10" s="136">
        <f t="shared" si="3"/>
        <v>0</v>
      </c>
      <c r="N10" s="17"/>
    </row>
    <row r="11" spans="1:18">
      <c r="A11" s="26">
        <v>8</v>
      </c>
      <c r="B11" s="27">
        <v>46120</v>
      </c>
      <c r="C11" s="17"/>
      <c r="D11" s="17"/>
      <c r="E11" s="40"/>
      <c r="F11" s="40"/>
      <c r="G11" s="40">
        <f t="shared" si="0"/>
        <v>0</v>
      </c>
      <c r="H11" s="40"/>
      <c r="I11" s="40"/>
      <c r="J11" s="40">
        <f t="shared" si="1"/>
        <v>0</v>
      </c>
      <c r="K11" s="40">
        <f t="shared" si="2"/>
        <v>0</v>
      </c>
      <c r="L11" s="40"/>
      <c r="M11" s="136">
        <f t="shared" si="3"/>
        <v>0</v>
      </c>
      <c r="N11" s="17"/>
    </row>
    <row r="12" spans="1:18">
      <c r="A12" s="26">
        <v>9</v>
      </c>
      <c r="B12" s="27">
        <v>46121</v>
      </c>
      <c r="C12" s="17"/>
      <c r="D12" s="17"/>
      <c r="E12" s="40"/>
      <c r="F12" s="40"/>
      <c r="G12" s="40">
        <f t="shared" si="0"/>
        <v>0</v>
      </c>
      <c r="H12" s="40"/>
      <c r="I12" s="40"/>
      <c r="J12" s="40">
        <f t="shared" si="1"/>
        <v>0</v>
      </c>
      <c r="K12" s="40">
        <f t="shared" si="2"/>
        <v>0</v>
      </c>
      <c r="L12" s="40"/>
      <c r="M12" s="136">
        <f t="shared" si="3"/>
        <v>0</v>
      </c>
      <c r="N12" s="17"/>
    </row>
    <row r="13" spans="1:18">
      <c r="A13" s="26">
        <v>10</v>
      </c>
      <c r="B13" s="27">
        <v>46122</v>
      </c>
      <c r="C13" s="17"/>
      <c r="D13" s="17"/>
      <c r="E13" s="40"/>
      <c r="F13" s="40"/>
      <c r="G13" s="40">
        <f t="shared" si="0"/>
        <v>0</v>
      </c>
      <c r="H13" s="40"/>
      <c r="I13" s="40"/>
      <c r="J13" s="40">
        <f t="shared" si="1"/>
        <v>0</v>
      </c>
      <c r="K13" s="40">
        <f t="shared" si="2"/>
        <v>0</v>
      </c>
      <c r="L13" s="40"/>
      <c r="M13" s="136">
        <f t="shared" si="3"/>
        <v>0</v>
      </c>
      <c r="N13" s="17"/>
    </row>
    <row r="14" spans="1:18">
      <c r="A14" s="26">
        <v>11</v>
      </c>
      <c r="B14" s="27">
        <v>46123</v>
      </c>
      <c r="C14" s="17"/>
      <c r="D14" s="17"/>
      <c r="E14" s="40"/>
      <c r="F14" s="40"/>
      <c r="G14" s="40">
        <f t="shared" si="0"/>
        <v>0</v>
      </c>
      <c r="H14" s="40"/>
      <c r="I14" s="40"/>
      <c r="J14" s="40">
        <f t="shared" si="1"/>
        <v>0</v>
      </c>
      <c r="K14" s="40">
        <f t="shared" si="2"/>
        <v>0</v>
      </c>
      <c r="L14" s="40"/>
      <c r="M14" s="136">
        <f t="shared" si="3"/>
        <v>0</v>
      </c>
      <c r="N14" s="44"/>
    </row>
    <row r="15" spans="1:18">
      <c r="A15" s="26">
        <v>12</v>
      </c>
      <c r="B15" s="27">
        <v>46124</v>
      </c>
      <c r="C15" s="17"/>
      <c r="D15" s="17"/>
      <c r="E15" s="40"/>
      <c r="F15" s="40"/>
      <c r="G15" s="40">
        <f t="shared" si="0"/>
        <v>0</v>
      </c>
      <c r="H15" s="40"/>
      <c r="I15" s="40"/>
      <c r="J15" s="40">
        <f t="shared" si="1"/>
        <v>0</v>
      </c>
      <c r="K15" s="40">
        <f t="shared" si="2"/>
        <v>0</v>
      </c>
      <c r="L15" s="40"/>
      <c r="M15" s="136">
        <f t="shared" si="3"/>
        <v>0</v>
      </c>
      <c r="N15" s="44"/>
    </row>
    <row r="16" spans="1:18">
      <c r="A16" s="26">
        <v>13</v>
      </c>
      <c r="B16" s="27">
        <v>46125</v>
      </c>
      <c r="C16" s="17"/>
      <c r="D16" s="17"/>
      <c r="E16" s="40">
        <v>1000</v>
      </c>
      <c r="F16" s="40">
        <v>91.61</v>
      </c>
      <c r="G16" s="40">
        <f t="shared" si="0"/>
        <v>91610</v>
      </c>
      <c r="H16" s="40"/>
      <c r="I16" s="40"/>
      <c r="J16" s="40">
        <f t="shared" si="1"/>
        <v>0</v>
      </c>
      <c r="K16" s="40">
        <f t="shared" si="2"/>
        <v>91610</v>
      </c>
      <c r="L16" s="40">
        <f t="shared" si="2"/>
        <v>91610</v>
      </c>
      <c r="M16" s="136">
        <f t="shared" si="3"/>
        <v>0</v>
      </c>
      <c r="N16" s="44" t="s">
        <v>253</v>
      </c>
    </row>
    <row r="17" spans="1:17">
      <c r="A17" s="26">
        <v>14</v>
      </c>
      <c r="B17" s="27">
        <v>46126</v>
      </c>
      <c r="C17" s="17"/>
      <c r="D17" s="17"/>
      <c r="E17" s="40"/>
      <c r="F17" s="40"/>
      <c r="G17" s="40">
        <f t="shared" si="0"/>
        <v>0</v>
      </c>
      <c r="H17" s="40"/>
      <c r="I17" s="40"/>
      <c r="J17" s="40">
        <f t="shared" si="1"/>
        <v>0</v>
      </c>
      <c r="K17" s="40">
        <f t="shared" si="2"/>
        <v>0</v>
      </c>
      <c r="L17" s="40"/>
      <c r="M17" s="136">
        <f t="shared" si="3"/>
        <v>0</v>
      </c>
      <c r="N17" s="44"/>
    </row>
    <row r="18" spans="1:17">
      <c r="A18" s="26">
        <v>15</v>
      </c>
      <c r="B18" s="27">
        <v>46127</v>
      </c>
      <c r="C18" s="17"/>
      <c r="D18" s="17"/>
      <c r="E18" s="40"/>
      <c r="F18" s="40"/>
      <c r="G18" s="40">
        <f t="shared" si="0"/>
        <v>0</v>
      </c>
      <c r="H18" s="40"/>
      <c r="I18" s="40"/>
      <c r="J18" s="40">
        <f t="shared" si="1"/>
        <v>0</v>
      </c>
      <c r="K18" s="40">
        <f t="shared" si="2"/>
        <v>0</v>
      </c>
      <c r="L18" s="40"/>
      <c r="M18" s="136">
        <f t="shared" si="3"/>
        <v>0</v>
      </c>
      <c r="N18" s="44"/>
    </row>
    <row r="19" spans="1:17">
      <c r="A19" s="26">
        <v>16</v>
      </c>
      <c r="B19" s="27">
        <v>46128</v>
      </c>
      <c r="C19" s="17"/>
      <c r="D19" s="17"/>
      <c r="E19" s="40"/>
      <c r="F19" s="40"/>
      <c r="G19" s="40">
        <f t="shared" si="0"/>
        <v>0</v>
      </c>
      <c r="H19" s="40"/>
      <c r="I19" s="40"/>
      <c r="J19" s="40">
        <f t="shared" si="1"/>
        <v>0</v>
      </c>
      <c r="K19" s="40">
        <f t="shared" si="2"/>
        <v>0</v>
      </c>
      <c r="L19" s="40"/>
      <c r="M19" s="136">
        <f t="shared" si="3"/>
        <v>0</v>
      </c>
      <c r="N19" s="44"/>
    </row>
    <row r="20" spans="1:17">
      <c r="A20" s="26">
        <v>17</v>
      </c>
      <c r="B20" s="27">
        <v>46129</v>
      </c>
      <c r="C20" s="17"/>
      <c r="D20" s="17"/>
      <c r="E20" s="40">
        <v>2000</v>
      </c>
      <c r="F20" s="40">
        <v>91.67</v>
      </c>
      <c r="G20" s="40">
        <f t="shared" si="0"/>
        <v>183340</v>
      </c>
      <c r="H20" s="40"/>
      <c r="I20" s="40"/>
      <c r="J20" s="40">
        <f t="shared" si="1"/>
        <v>0</v>
      </c>
      <c r="K20" s="40">
        <f t="shared" si="2"/>
        <v>183340</v>
      </c>
      <c r="L20" s="40">
        <f t="shared" si="2"/>
        <v>183340</v>
      </c>
      <c r="M20" s="136">
        <f t="shared" si="3"/>
        <v>0</v>
      </c>
      <c r="N20" s="224" t="s">
        <v>251</v>
      </c>
      <c r="Q20" t="str">
        <f>PROPER(N20)</f>
        <v>Vasudeo Nivrutti Mahajan</v>
      </c>
    </row>
    <row r="21" spans="1:17">
      <c r="A21" s="26">
        <v>18</v>
      </c>
      <c r="B21" s="27">
        <v>46130</v>
      </c>
      <c r="C21" s="17"/>
      <c r="D21" s="17"/>
      <c r="E21" s="40">
        <v>2152.84</v>
      </c>
      <c r="F21" s="40">
        <v>91.67</v>
      </c>
      <c r="G21" s="40">
        <f>E21*F21</f>
        <v>197350.84280000001</v>
      </c>
      <c r="H21" s="40"/>
      <c r="I21" s="40"/>
      <c r="J21" s="40">
        <f t="shared" si="1"/>
        <v>0</v>
      </c>
      <c r="K21" s="40">
        <f t="shared" si="2"/>
        <v>197350.84280000001</v>
      </c>
      <c r="L21" s="40">
        <f t="shared" si="2"/>
        <v>197350.84280000001</v>
      </c>
      <c r="M21" s="136">
        <f t="shared" si="3"/>
        <v>0</v>
      </c>
      <c r="N21" s="86" t="s">
        <v>251</v>
      </c>
    </row>
    <row r="22" spans="1:17">
      <c r="A22" s="26">
        <v>19</v>
      </c>
      <c r="B22" s="27">
        <v>46132</v>
      </c>
      <c r="C22" s="17"/>
      <c r="D22" s="17"/>
      <c r="E22" s="40"/>
      <c r="F22" s="40"/>
      <c r="G22" s="40">
        <f t="shared" si="0"/>
        <v>0</v>
      </c>
      <c r="H22" s="40"/>
      <c r="I22" s="40"/>
      <c r="J22" s="40">
        <f t="shared" si="1"/>
        <v>0</v>
      </c>
      <c r="K22" s="40">
        <f t="shared" si="2"/>
        <v>0</v>
      </c>
      <c r="L22" s="40"/>
      <c r="M22" s="136">
        <f t="shared" si="3"/>
        <v>0</v>
      </c>
      <c r="N22" s="93"/>
    </row>
    <row r="23" spans="1:17">
      <c r="A23" s="26">
        <v>20</v>
      </c>
      <c r="B23" s="27">
        <v>46133</v>
      </c>
      <c r="C23" s="17"/>
      <c r="D23" s="17"/>
      <c r="E23" s="40">
        <v>1500</v>
      </c>
      <c r="F23" s="40">
        <v>91.67</v>
      </c>
      <c r="G23" s="40">
        <f t="shared" si="0"/>
        <v>137505</v>
      </c>
      <c r="H23" s="40"/>
      <c r="I23" s="40"/>
      <c r="J23" s="40">
        <f t="shared" si="1"/>
        <v>0</v>
      </c>
      <c r="K23" s="40">
        <f t="shared" si="2"/>
        <v>137505</v>
      </c>
      <c r="L23" s="40">
        <f t="shared" si="2"/>
        <v>137505</v>
      </c>
      <c r="M23" s="136">
        <f t="shared" si="3"/>
        <v>0</v>
      </c>
      <c r="N23" s="86" t="s">
        <v>251</v>
      </c>
    </row>
    <row r="24" spans="1:17">
      <c r="A24" s="26">
        <v>21</v>
      </c>
      <c r="B24" s="27">
        <v>46133</v>
      </c>
      <c r="C24" s="17"/>
      <c r="D24" s="17"/>
      <c r="E24" s="40">
        <v>1740</v>
      </c>
      <c r="F24" s="40">
        <v>91.7</v>
      </c>
      <c r="G24" s="40">
        <f t="shared" si="0"/>
        <v>159558</v>
      </c>
      <c r="H24" s="40"/>
      <c r="I24" s="40"/>
      <c r="J24" s="40">
        <f t="shared" si="1"/>
        <v>0</v>
      </c>
      <c r="K24" s="40">
        <f t="shared" si="2"/>
        <v>159558</v>
      </c>
      <c r="L24" s="40">
        <f t="shared" si="2"/>
        <v>159558</v>
      </c>
      <c r="M24" s="136"/>
      <c r="N24" s="86" t="s">
        <v>254</v>
      </c>
    </row>
    <row r="25" spans="1:17">
      <c r="A25" s="26">
        <v>22</v>
      </c>
      <c r="B25" s="27">
        <v>46133</v>
      </c>
      <c r="C25" s="17"/>
      <c r="D25" s="17"/>
      <c r="E25" s="40">
        <v>2000</v>
      </c>
      <c r="F25" s="40">
        <v>91.7</v>
      </c>
      <c r="G25" s="40">
        <f t="shared" si="0"/>
        <v>183400</v>
      </c>
      <c r="H25" s="40"/>
      <c r="I25" s="40"/>
      <c r="J25" s="40">
        <f t="shared" si="1"/>
        <v>0</v>
      </c>
      <c r="K25" s="40">
        <f t="shared" si="2"/>
        <v>183400</v>
      </c>
      <c r="L25" s="40">
        <f t="shared" si="2"/>
        <v>183400</v>
      </c>
      <c r="M25" s="136"/>
      <c r="N25" s="86" t="s">
        <v>255</v>
      </c>
    </row>
    <row r="26" spans="1:17">
      <c r="A26" s="26">
        <v>23</v>
      </c>
      <c r="B26" s="27">
        <v>46134</v>
      </c>
      <c r="C26" s="17"/>
      <c r="D26" s="17"/>
      <c r="E26" s="40">
        <v>2000</v>
      </c>
      <c r="F26" s="40">
        <v>91.7</v>
      </c>
      <c r="G26" s="40">
        <f t="shared" si="0"/>
        <v>183400</v>
      </c>
      <c r="H26" s="40"/>
      <c r="I26" s="40"/>
      <c r="J26" s="40">
        <f t="shared" si="1"/>
        <v>0</v>
      </c>
      <c r="K26" s="40">
        <f t="shared" si="2"/>
        <v>183400</v>
      </c>
      <c r="L26" s="40">
        <f t="shared" si="2"/>
        <v>183400</v>
      </c>
      <c r="M26" s="136">
        <f>M23+K26-L26</f>
        <v>0</v>
      </c>
      <c r="N26" s="86" t="s">
        <v>251</v>
      </c>
    </row>
    <row r="27" spans="1:17">
      <c r="A27" s="26">
        <v>24</v>
      </c>
      <c r="B27" s="27">
        <v>46135</v>
      </c>
      <c r="C27" s="17"/>
      <c r="D27" s="17"/>
      <c r="E27" s="40"/>
      <c r="F27" s="40"/>
      <c r="G27" s="40">
        <f t="shared" si="0"/>
        <v>0</v>
      </c>
      <c r="H27" s="40"/>
      <c r="I27" s="40"/>
      <c r="J27" s="40">
        <f t="shared" si="1"/>
        <v>0</v>
      </c>
      <c r="K27" s="40">
        <f t="shared" si="2"/>
        <v>0</v>
      </c>
      <c r="L27" s="40"/>
      <c r="M27" s="136">
        <f t="shared" si="3"/>
        <v>0</v>
      </c>
      <c r="N27" s="44"/>
    </row>
    <row r="28" spans="1:17">
      <c r="A28" s="26">
        <v>25</v>
      </c>
      <c r="B28" s="27">
        <v>46136</v>
      </c>
      <c r="C28" s="17"/>
      <c r="D28" s="17"/>
      <c r="E28" s="40">
        <v>2000</v>
      </c>
      <c r="F28" s="40">
        <v>91.7</v>
      </c>
      <c r="G28" s="40">
        <f t="shared" si="0"/>
        <v>183400</v>
      </c>
      <c r="H28" s="40"/>
      <c r="I28" s="40"/>
      <c r="J28" s="40">
        <f t="shared" si="1"/>
        <v>0</v>
      </c>
      <c r="K28" s="40">
        <f t="shared" si="2"/>
        <v>183400</v>
      </c>
      <c r="L28" s="40">
        <f t="shared" si="2"/>
        <v>183400</v>
      </c>
      <c r="M28" s="136">
        <f t="shared" si="3"/>
        <v>0</v>
      </c>
      <c r="N28" s="44" t="s">
        <v>256</v>
      </c>
      <c r="O28" t="s">
        <v>225</v>
      </c>
    </row>
    <row r="29" spans="1:17">
      <c r="A29" s="26">
        <v>26</v>
      </c>
      <c r="B29" s="440">
        <v>46137</v>
      </c>
      <c r="C29" s="441"/>
      <c r="D29" s="441"/>
      <c r="E29" s="442">
        <v>1000</v>
      </c>
      <c r="F29" s="40">
        <v>91.98</v>
      </c>
      <c r="G29" s="40">
        <f t="shared" si="0"/>
        <v>91980</v>
      </c>
      <c r="H29" s="40"/>
      <c r="I29" s="40"/>
      <c r="J29" s="40">
        <f t="shared" si="1"/>
        <v>0</v>
      </c>
      <c r="K29" s="40">
        <f t="shared" si="2"/>
        <v>91980</v>
      </c>
      <c r="L29" s="40">
        <f t="shared" si="2"/>
        <v>91980</v>
      </c>
      <c r="M29" s="136">
        <f t="shared" si="3"/>
        <v>0</v>
      </c>
      <c r="N29" s="44" t="s">
        <v>251</v>
      </c>
      <c r="O29" t="s">
        <v>215</v>
      </c>
    </row>
    <row r="30" spans="1:17">
      <c r="A30" s="26">
        <v>27</v>
      </c>
      <c r="B30" s="440">
        <v>46137</v>
      </c>
      <c r="C30" s="441"/>
      <c r="D30" s="441"/>
      <c r="E30" s="442">
        <v>2490</v>
      </c>
      <c r="F30" s="40">
        <v>91.67</v>
      </c>
      <c r="G30" s="40">
        <f t="shared" si="0"/>
        <v>228258.30000000002</v>
      </c>
      <c r="H30" s="40"/>
      <c r="I30" s="40"/>
      <c r="J30" s="40"/>
      <c r="K30" s="40">
        <f t="shared" si="2"/>
        <v>228258.30000000002</v>
      </c>
      <c r="L30" s="40">
        <f t="shared" si="2"/>
        <v>228258.30000000002</v>
      </c>
      <c r="M30" s="136">
        <f t="shared" si="3"/>
        <v>0</v>
      </c>
      <c r="N30" s="44" t="s">
        <v>257</v>
      </c>
    </row>
    <row r="31" spans="1:17">
      <c r="A31" s="26">
        <v>28</v>
      </c>
      <c r="B31" s="440">
        <v>46137</v>
      </c>
      <c r="C31" s="441"/>
      <c r="D31" s="441"/>
      <c r="E31" s="442">
        <v>2175</v>
      </c>
      <c r="F31" s="40">
        <v>91.67</v>
      </c>
      <c r="G31" s="40">
        <f t="shared" si="0"/>
        <v>199382.25</v>
      </c>
      <c r="H31" s="40"/>
      <c r="I31" s="40"/>
      <c r="J31" s="40"/>
      <c r="K31" s="40">
        <f t="shared" si="2"/>
        <v>199382.25</v>
      </c>
      <c r="L31" s="40">
        <v>228258.3</v>
      </c>
      <c r="M31" s="136">
        <f t="shared" si="3"/>
        <v>-28876.049999999988</v>
      </c>
      <c r="N31" s="44" t="s">
        <v>258</v>
      </c>
    </row>
    <row r="32" spans="1:17">
      <c r="A32" s="26">
        <v>29</v>
      </c>
      <c r="B32" s="27">
        <v>46138</v>
      </c>
      <c r="C32" s="17"/>
      <c r="D32" s="17"/>
      <c r="E32" s="40">
        <v>2000</v>
      </c>
      <c r="F32" s="40">
        <v>91.67</v>
      </c>
      <c r="G32" s="40">
        <f>E32*F32</f>
        <v>183340</v>
      </c>
      <c r="H32" s="40"/>
      <c r="I32" s="40"/>
      <c r="J32" s="40">
        <f t="shared" si="1"/>
        <v>0</v>
      </c>
      <c r="K32" s="40">
        <f t="shared" si="2"/>
        <v>183340</v>
      </c>
      <c r="L32" s="40">
        <f>H32+K32</f>
        <v>183340</v>
      </c>
      <c r="M32" s="136">
        <f t="shared" si="3"/>
        <v>-28876.049999999988</v>
      </c>
      <c r="N32" s="44" t="s">
        <v>257</v>
      </c>
    </row>
    <row r="33" spans="1:18">
      <c r="A33" s="26">
        <v>30</v>
      </c>
      <c r="B33" s="27">
        <v>46139</v>
      </c>
      <c r="C33" s="17"/>
      <c r="D33" s="17"/>
      <c r="E33" s="40">
        <v>315</v>
      </c>
      <c r="F33" s="40">
        <v>91.67</v>
      </c>
      <c r="G33" s="40">
        <f t="shared" si="0"/>
        <v>28876.05</v>
      </c>
      <c r="H33" s="40"/>
      <c r="I33" s="40"/>
      <c r="J33" s="40">
        <f t="shared" si="1"/>
        <v>0</v>
      </c>
      <c r="K33" s="40">
        <f t="shared" si="2"/>
        <v>28876.05</v>
      </c>
      <c r="L33" s="40"/>
      <c r="M33" s="136">
        <f t="shared" si="3"/>
        <v>1.0913936421275139E-11</v>
      </c>
      <c r="N33" s="44" t="s">
        <v>258</v>
      </c>
    </row>
    <row r="34" spans="1:18">
      <c r="A34" s="26">
        <v>31</v>
      </c>
      <c r="B34" s="448">
        <v>46140</v>
      </c>
      <c r="C34" s="449"/>
      <c r="D34" s="449"/>
      <c r="E34" s="450">
        <v>1600</v>
      </c>
      <c r="F34" s="40">
        <v>91.7</v>
      </c>
      <c r="G34" s="40">
        <f t="shared" si="0"/>
        <v>146720</v>
      </c>
      <c r="H34" s="40"/>
      <c r="I34" s="40"/>
      <c r="J34" s="40">
        <f t="shared" si="1"/>
        <v>0</v>
      </c>
      <c r="K34" s="40">
        <f t="shared" si="2"/>
        <v>146720</v>
      </c>
      <c r="L34" s="40">
        <f t="shared" si="2"/>
        <v>146720</v>
      </c>
      <c r="M34" s="136">
        <f t="shared" si="3"/>
        <v>0</v>
      </c>
      <c r="N34" s="44" t="s">
        <v>256</v>
      </c>
    </row>
    <row r="35" spans="1:18">
      <c r="A35" s="26"/>
      <c r="B35" s="448">
        <v>46140</v>
      </c>
      <c r="C35" s="449"/>
      <c r="D35" s="449"/>
      <c r="E35" s="450">
        <v>2000</v>
      </c>
      <c r="F35" s="40">
        <v>91.98</v>
      </c>
      <c r="G35" s="40">
        <f t="shared" si="0"/>
        <v>183960</v>
      </c>
      <c r="H35" s="40"/>
      <c r="I35" s="40"/>
      <c r="J35" s="40"/>
      <c r="K35" s="40">
        <f t="shared" si="2"/>
        <v>183960</v>
      </c>
      <c r="L35" s="40">
        <f t="shared" si="2"/>
        <v>183960</v>
      </c>
      <c r="M35" s="136">
        <f t="shared" si="3"/>
        <v>0</v>
      </c>
      <c r="N35" s="44" t="s">
        <v>259</v>
      </c>
    </row>
    <row r="36" spans="1:18">
      <c r="A36" s="26"/>
      <c r="B36" s="448">
        <v>46140</v>
      </c>
      <c r="C36" s="449"/>
      <c r="D36" s="449"/>
      <c r="E36" s="450">
        <v>2000</v>
      </c>
      <c r="F36" s="40">
        <v>91.67</v>
      </c>
      <c r="G36" s="40">
        <f t="shared" si="0"/>
        <v>183340</v>
      </c>
      <c r="H36" s="40"/>
      <c r="I36" s="40"/>
      <c r="J36" s="40"/>
      <c r="K36" s="40">
        <f t="shared" si="2"/>
        <v>183340</v>
      </c>
      <c r="L36" s="40">
        <f t="shared" si="2"/>
        <v>183340</v>
      </c>
      <c r="M36" s="136">
        <f t="shared" si="3"/>
        <v>0</v>
      </c>
      <c r="N36" s="224" t="s">
        <v>252</v>
      </c>
    </row>
    <row r="37" spans="1:18">
      <c r="A37" s="26">
        <v>32</v>
      </c>
      <c r="B37" s="27">
        <v>46141</v>
      </c>
      <c r="C37" s="17"/>
      <c r="D37" s="17"/>
      <c r="E37" s="40">
        <v>2353</v>
      </c>
      <c r="F37" s="40">
        <v>91.67</v>
      </c>
      <c r="G37" s="40">
        <f t="shared" si="0"/>
        <v>215699.51</v>
      </c>
      <c r="H37" s="40"/>
      <c r="I37" s="40"/>
      <c r="J37" s="40">
        <f t="shared" si="1"/>
        <v>0</v>
      </c>
      <c r="K37" s="40">
        <f>G37+J37</f>
        <v>215699.51</v>
      </c>
      <c r="L37" s="40">
        <f>H37+K37</f>
        <v>215699.51</v>
      </c>
      <c r="M37" s="457">
        <f>M34+K37-L37</f>
        <v>0</v>
      </c>
      <c r="N37" s="86" t="s">
        <v>251</v>
      </c>
      <c r="O37" t="s">
        <v>215</v>
      </c>
    </row>
    <row r="38" spans="1:18">
      <c r="A38" s="26">
        <v>33</v>
      </c>
      <c r="B38" s="27">
        <v>46142</v>
      </c>
      <c r="C38" s="17"/>
      <c r="D38" s="17"/>
      <c r="E38" s="86">
        <v>2500</v>
      </c>
      <c r="F38" s="86">
        <v>91.98</v>
      </c>
      <c r="G38" s="40">
        <f t="shared" si="0"/>
        <v>229950</v>
      </c>
      <c r="H38" s="40"/>
      <c r="I38" s="40"/>
      <c r="J38" s="40">
        <f t="shared" si="1"/>
        <v>0</v>
      </c>
      <c r="K38" s="40">
        <f t="shared" si="2"/>
        <v>229950</v>
      </c>
      <c r="L38" s="40">
        <f t="shared" si="2"/>
        <v>229950</v>
      </c>
      <c r="M38" s="457">
        <f t="shared" si="3"/>
        <v>0</v>
      </c>
      <c r="N38" s="86" t="s">
        <v>259</v>
      </c>
      <c r="O38" t="s">
        <v>225</v>
      </c>
      <c r="Q38">
        <v>35421</v>
      </c>
      <c r="R38" t="s">
        <v>260</v>
      </c>
    </row>
    <row r="39" spans="1:18">
      <c r="A39" s="26">
        <v>34</v>
      </c>
      <c r="B39" s="27">
        <v>46142</v>
      </c>
      <c r="C39" s="17"/>
      <c r="D39" s="17"/>
      <c r="E39" s="86">
        <v>2087.19</v>
      </c>
      <c r="F39" s="86">
        <v>91.98</v>
      </c>
      <c r="G39" s="40">
        <f t="shared" si="0"/>
        <v>191979.73620000001</v>
      </c>
      <c r="H39" s="40"/>
      <c r="I39" s="40"/>
      <c r="J39" s="40">
        <f t="shared" si="1"/>
        <v>0</v>
      </c>
      <c r="K39" s="40">
        <f t="shared" si="2"/>
        <v>191979.73620000001</v>
      </c>
      <c r="L39" s="40">
        <f t="shared" si="2"/>
        <v>191979.73620000001</v>
      </c>
      <c r="M39" s="457">
        <f t="shared" si="3"/>
        <v>0</v>
      </c>
      <c r="N39" s="86" t="s">
        <v>259</v>
      </c>
      <c r="O39" t="s">
        <v>225</v>
      </c>
    </row>
    <row r="40" spans="1:18">
      <c r="A40" s="26">
        <v>35</v>
      </c>
      <c r="B40" s="27"/>
      <c r="C40" s="17"/>
      <c r="D40" s="17"/>
      <c r="E40" s="40"/>
      <c r="F40" s="40"/>
      <c r="G40" s="40">
        <f t="shared" si="0"/>
        <v>0</v>
      </c>
      <c r="H40" s="40"/>
      <c r="I40" s="40"/>
      <c r="J40" s="40">
        <f t="shared" si="1"/>
        <v>0</v>
      </c>
      <c r="K40" s="40">
        <f t="shared" si="2"/>
        <v>0</v>
      </c>
      <c r="L40" s="40"/>
      <c r="M40" s="457">
        <f t="shared" si="3"/>
        <v>0</v>
      </c>
      <c r="N40" s="44"/>
    </row>
    <row r="41" spans="1:18">
      <c r="A41" s="26">
        <v>36</v>
      </c>
      <c r="B41" s="27"/>
      <c r="C41" s="17"/>
      <c r="D41" s="17"/>
      <c r="E41" s="40"/>
      <c r="F41" s="40"/>
      <c r="G41" s="40">
        <f t="shared" si="0"/>
        <v>0</v>
      </c>
      <c r="H41" s="40"/>
      <c r="I41" s="40"/>
      <c r="J41" s="40">
        <f t="shared" si="1"/>
        <v>0</v>
      </c>
      <c r="K41" s="40">
        <f t="shared" si="2"/>
        <v>0</v>
      </c>
      <c r="L41" s="40"/>
      <c r="M41" s="457">
        <f t="shared" si="3"/>
        <v>0</v>
      </c>
      <c r="N41" s="44"/>
    </row>
    <row r="42" spans="1:18">
      <c r="A42" s="26">
        <v>37</v>
      </c>
      <c r="B42" s="27"/>
      <c r="C42" s="17"/>
      <c r="D42" s="17"/>
      <c r="E42" s="40"/>
      <c r="F42" s="40"/>
      <c r="G42" s="40">
        <f t="shared" si="0"/>
        <v>0</v>
      </c>
      <c r="H42" s="40"/>
      <c r="I42" s="40"/>
      <c r="J42" s="40">
        <f t="shared" si="1"/>
        <v>0</v>
      </c>
      <c r="K42" s="40">
        <f t="shared" si="2"/>
        <v>0</v>
      </c>
      <c r="L42" s="40"/>
      <c r="M42" s="136">
        <f t="shared" si="3"/>
        <v>0</v>
      </c>
      <c r="N42" s="93"/>
    </row>
    <row r="43" spans="1:18">
      <c r="A43" s="26">
        <v>38</v>
      </c>
      <c r="B43" s="27"/>
      <c r="C43" s="17"/>
      <c r="D43" s="17"/>
      <c r="E43" s="40"/>
      <c r="F43" s="40"/>
      <c r="G43" s="40">
        <f t="shared" si="0"/>
        <v>0</v>
      </c>
      <c r="H43" s="40"/>
      <c r="I43" s="40"/>
      <c r="J43" s="40">
        <f t="shared" si="1"/>
        <v>0</v>
      </c>
      <c r="K43" s="40">
        <f t="shared" si="2"/>
        <v>0</v>
      </c>
      <c r="L43" s="40"/>
      <c r="M43" s="136">
        <f t="shared" si="3"/>
        <v>0</v>
      </c>
      <c r="N43" s="44"/>
    </row>
    <row r="44" spans="1:18">
      <c r="A44" s="26">
        <v>39</v>
      </c>
      <c r="B44" s="27"/>
      <c r="C44" s="17"/>
      <c r="D44" s="17"/>
      <c r="E44" s="40"/>
      <c r="F44" s="40"/>
      <c r="G44" s="40">
        <f t="shared" si="0"/>
        <v>0</v>
      </c>
      <c r="H44" s="40"/>
      <c r="I44" s="40"/>
      <c r="J44" s="40">
        <f t="shared" si="1"/>
        <v>0</v>
      </c>
      <c r="K44" s="40">
        <f t="shared" si="2"/>
        <v>0</v>
      </c>
      <c r="L44" s="40"/>
      <c r="M44" s="136">
        <f t="shared" si="3"/>
        <v>0</v>
      </c>
      <c r="N44" s="44"/>
    </row>
    <row r="45" spans="1:18">
      <c r="A45" s="26">
        <v>40</v>
      </c>
      <c r="B45" s="27"/>
      <c r="C45" s="17"/>
      <c r="D45" s="17"/>
      <c r="E45" s="40"/>
      <c r="F45" s="40"/>
      <c r="G45" s="40">
        <f t="shared" si="0"/>
        <v>0</v>
      </c>
      <c r="H45" s="40"/>
      <c r="I45" s="40"/>
      <c r="J45" s="40">
        <f t="shared" si="1"/>
        <v>0</v>
      </c>
      <c r="K45" s="40">
        <f t="shared" si="2"/>
        <v>0</v>
      </c>
      <c r="L45" s="40"/>
      <c r="M45" s="136">
        <f t="shared" si="3"/>
        <v>0</v>
      </c>
      <c r="N45" s="44"/>
    </row>
    <row r="46" spans="1:18">
      <c r="A46" s="26">
        <v>41</v>
      </c>
      <c r="B46" s="27"/>
      <c r="C46" s="17"/>
      <c r="D46" s="17"/>
      <c r="E46" s="40"/>
      <c r="F46" s="40"/>
      <c r="G46" s="40">
        <f t="shared" si="0"/>
        <v>0</v>
      </c>
      <c r="H46" s="40"/>
      <c r="I46" s="40"/>
      <c r="J46" s="40">
        <f t="shared" si="1"/>
        <v>0</v>
      </c>
      <c r="K46" s="40">
        <f t="shared" si="2"/>
        <v>0</v>
      </c>
      <c r="L46" s="40"/>
      <c r="M46" s="136">
        <f t="shared" si="3"/>
        <v>0</v>
      </c>
      <c r="N46" s="44"/>
    </row>
    <row r="47" spans="1:18">
      <c r="A47" s="26">
        <v>42</v>
      </c>
      <c r="B47" s="27"/>
      <c r="C47" s="17"/>
      <c r="D47" s="17"/>
      <c r="E47" s="40"/>
      <c r="F47" s="40"/>
      <c r="G47" s="40">
        <f t="shared" si="0"/>
        <v>0</v>
      </c>
      <c r="H47" s="40"/>
      <c r="I47" s="40"/>
      <c r="J47" s="40">
        <f t="shared" si="1"/>
        <v>0</v>
      </c>
      <c r="K47" s="40">
        <f t="shared" si="2"/>
        <v>0</v>
      </c>
      <c r="L47" s="40"/>
      <c r="M47" s="136">
        <f t="shared" si="3"/>
        <v>0</v>
      </c>
      <c r="N47" s="44"/>
    </row>
    <row r="48" spans="1:18">
      <c r="A48" s="26">
        <v>43</v>
      </c>
      <c r="B48" s="27"/>
      <c r="C48" s="17"/>
      <c r="D48" s="17"/>
      <c r="E48" s="40"/>
      <c r="F48" s="40"/>
      <c r="G48" s="40">
        <f t="shared" si="0"/>
        <v>0</v>
      </c>
      <c r="H48" s="40"/>
      <c r="I48" s="40"/>
      <c r="J48" s="40">
        <f t="shared" si="1"/>
        <v>0</v>
      </c>
      <c r="K48" s="40">
        <f t="shared" si="2"/>
        <v>0</v>
      </c>
      <c r="L48" s="40"/>
      <c r="M48" s="136">
        <f t="shared" si="3"/>
        <v>0</v>
      </c>
      <c r="N48" s="44"/>
    </row>
    <row r="49" spans="1:14">
      <c r="A49" s="26">
        <v>44</v>
      </c>
      <c r="B49" s="27"/>
      <c r="C49" s="17"/>
      <c r="D49" s="17"/>
      <c r="E49" s="40"/>
      <c r="F49" s="40"/>
      <c r="G49" s="40">
        <f t="shared" si="0"/>
        <v>0</v>
      </c>
      <c r="H49" s="40"/>
      <c r="I49" s="40"/>
      <c r="J49" s="40">
        <f t="shared" si="1"/>
        <v>0</v>
      </c>
      <c r="K49" s="40">
        <f t="shared" si="2"/>
        <v>0</v>
      </c>
      <c r="L49" s="40"/>
      <c r="M49" s="136">
        <f t="shared" si="3"/>
        <v>0</v>
      </c>
      <c r="N49" s="44"/>
    </row>
    <row r="50" spans="1:14">
      <c r="A50" s="26">
        <v>45</v>
      </c>
      <c r="B50" s="27"/>
      <c r="C50" s="17"/>
      <c r="D50" s="17"/>
      <c r="E50" s="40"/>
      <c r="F50" s="40"/>
      <c r="G50" s="40">
        <f t="shared" si="0"/>
        <v>0</v>
      </c>
      <c r="H50" s="40"/>
      <c r="I50" s="40"/>
      <c r="J50" s="40">
        <f t="shared" si="1"/>
        <v>0</v>
      </c>
      <c r="K50" s="40">
        <f t="shared" si="2"/>
        <v>0</v>
      </c>
      <c r="L50" s="40"/>
      <c r="M50" s="136">
        <f t="shared" si="3"/>
        <v>0</v>
      </c>
      <c r="N50" s="44"/>
    </row>
    <row r="51" spans="1:14">
      <c r="A51" s="26">
        <v>46</v>
      </c>
      <c r="B51" s="27"/>
      <c r="C51" s="17"/>
      <c r="D51" s="17"/>
      <c r="E51" s="40"/>
      <c r="F51" s="40"/>
      <c r="G51" s="40">
        <f t="shared" si="0"/>
        <v>0</v>
      </c>
      <c r="H51" s="40"/>
      <c r="I51" s="40"/>
      <c r="J51" s="40">
        <f t="shared" si="1"/>
        <v>0</v>
      </c>
      <c r="K51" s="40">
        <f t="shared" si="2"/>
        <v>0</v>
      </c>
      <c r="L51" s="40"/>
      <c r="M51" s="136">
        <f t="shared" si="3"/>
        <v>0</v>
      </c>
      <c r="N51" s="44"/>
    </row>
    <row r="52" spans="1:14">
      <c r="A52" s="26">
        <v>47</v>
      </c>
      <c r="B52" s="27"/>
      <c r="C52" s="17"/>
      <c r="D52" s="17"/>
      <c r="E52" s="40"/>
      <c r="F52" s="40"/>
      <c r="G52" s="40">
        <f t="shared" si="0"/>
        <v>0</v>
      </c>
      <c r="H52" s="40"/>
      <c r="I52" s="40"/>
      <c r="J52" s="40">
        <f t="shared" si="1"/>
        <v>0</v>
      </c>
      <c r="K52" s="40">
        <f t="shared" si="2"/>
        <v>0</v>
      </c>
      <c r="L52" s="40"/>
      <c r="M52" s="136">
        <f t="shared" si="3"/>
        <v>0</v>
      </c>
      <c r="N52" s="44"/>
    </row>
    <row r="53" spans="1:14">
      <c r="A53" s="26">
        <v>48</v>
      </c>
      <c r="B53" s="27"/>
      <c r="C53" s="17"/>
      <c r="D53" s="17"/>
      <c r="E53" s="40"/>
      <c r="F53" s="40"/>
      <c r="G53" s="40">
        <f t="shared" si="0"/>
        <v>0</v>
      </c>
      <c r="H53" s="40"/>
      <c r="I53" s="40"/>
      <c r="J53" s="40">
        <f t="shared" si="1"/>
        <v>0</v>
      </c>
      <c r="K53" s="40">
        <f t="shared" si="2"/>
        <v>0</v>
      </c>
      <c r="L53" s="40"/>
      <c r="M53" s="136">
        <f t="shared" si="3"/>
        <v>0</v>
      </c>
      <c r="N53" s="44"/>
    </row>
    <row r="54" spans="1:14">
      <c r="A54" s="26">
        <v>49</v>
      </c>
      <c r="B54" s="27"/>
      <c r="C54" s="17"/>
      <c r="D54" s="17"/>
      <c r="E54" s="40"/>
      <c r="F54" s="40"/>
      <c r="G54" s="40">
        <f t="shared" si="0"/>
        <v>0</v>
      </c>
      <c r="H54" s="40"/>
      <c r="I54" s="40"/>
      <c r="J54" s="40">
        <f t="shared" si="1"/>
        <v>0</v>
      </c>
      <c r="K54" s="40">
        <f t="shared" si="2"/>
        <v>0</v>
      </c>
      <c r="L54" s="40"/>
      <c r="M54" s="136">
        <f t="shared" si="3"/>
        <v>0</v>
      </c>
      <c r="N54" s="44"/>
    </row>
    <row r="55" spans="1:14">
      <c r="A55" s="26">
        <v>50</v>
      </c>
      <c r="B55" s="27"/>
      <c r="C55" s="17"/>
      <c r="D55" s="17"/>
      <c r="E55" s="40"/>
      <c r="F55" s="40"/>
      <c r="G55" s="40">
        <f t="shared" si="0"/>
        <v>0</v>
      </c>
      <c r="H55" s="40"/>
      <c r="I55" s="40"/>
      <c r="J55" s="40">
        <f t="shared" si="1"/>
        <v>0</v>
      </c>
      <c r="K55" s="40">
        <f t="shared" si="2"/>
        <v>0</v>
      </c>
      <c r="L55" s="40"/>
      <c r="M55" s="136">
        <f t="shared" si="3"/>
        <v>0</v>
      </c>
      <c r="N55" s="44"/>
    </row>
    <row r="56" spans="1:14">
      <c r="A56" s="26">
        <v>51</v>
      </c>
      <c r="B56" s="27"/>
      <c r="C56" s="17"/>
      <c r="D56" s="17"/>
      <c r="E56" s="40"/>
      <c r="F56" s="40"/>
      <c r="G56" s="40">
        <f t="shared" si="0"/>
        <v>0</v>
      </c>
      <c r="H56" s="40"/>
      <c r="I56" s="40"/>
      <c r="J56" s="40">
        <f t="shared" si="1"/>
        <v>0</v>
      </c>
      <c r="K56" s="40">
        <f t="shared" si="2"/>
        <v>0</v>
      </c>
      <c r="L56" s="40">
        <v>0</v>
      </c>
      <c r="M56" s="136">
        <f t="shared" si="3"/>
        <v>0</v>
      </c>
      <c r="N56" s="44"/>
    </row>
    <row r="57" spans="1:14">
      <c r="A57" s="26">
        <v>52</v>
      </c>
      <c r="B57" s="27"/>
      <c r="C57" s="94"/>
      <c r="D57" s="94"/>
      <c r="E57" s="40"/>
      <c r="F57" s="40"/>
      <c r="G57" s="40">
        <f t="shared" si="0"/>
        <v>0</v>
      </c>
      <c r="H57" s="40"/>
      <c r="I57" s="40"/>
      <c r="J57" s="40">
        <f t="shared" si="1"/>
        <v>0</v>
      </c>
      <c r="K57" s="40">
        <f t="shared" si="2"/>
        <v>0</v>
      </c>
      <c r="L57" s="40">
        <v>0</v>
      </c>
      <c r="M57" s="136">
        <f t="shared" si="3"/>
        <v>0</v>
      </c>
      <c r="N57" s="224"/>
    </row>
    <row r="58" spans="1:14">
      <c r="A58" s="26">
        <v>53</v>
      </c>
      <c r="B58" s="27"/>
      <c r="C58" s="17"/>
      <c r="D58" s="17"/>
      <c r="E58" s="40"/>
      <c r="F58" s="40"/>
      <c r="G58" s="40">
        <f t="shared" si="0"/>
        <v>0</v>
      </c>
      <c r="H58" s="40"/>
      <c r="I58" s="40"/>
      <c r="J58" s="40">
        <f t="shared" si="1"/>
        <v>0</v>
      </c>
      <c r="K58" s="40">
        <f t="shared" si="2"/>
        <v>0</v>
      </c>
      <c r="L58" s="40">
        <v>0</v>
      </c>
      <c r="M58" s="136">
        <f t="shared" si="3"/>
        <v>0</v>
      </c>
      <c r="N58" s="44"/>
    </row>
    <row r="59" spans="1:14">
      <c r="A59" s="26">
        <v>54</v>
      </c>
      <c r="B59" s="27"/>
      <c r="C59" s="17"/>
      <c r="D59" s="17"/>
      <c r="E59" s="40"/>
      <c r="F59" s="40"/>
      <c r="G59" s="40">
        <f t="shared" si="0"/>
        <v>0</v>
      </c>
      <c r="H59" s="40"/>
      <c r="I59" s="40"/>
      <c r="J59" s="40">
        <f t="shared" si="1"/>
        <v>0</v>
      </c>
      <c r="K59" s="40">
        <f t="shared" si="2"/>
        <v>0</v>
      </c>
      <c r="L59" s="40">
        <v>0</v>
      </c>
      <c r="M59" s="136">
        <f t="shared" si="3"/>
        <v>0</v>
      </c>
      <c r="N59" s="44"/>
    </row>
    <row r="60" spans="1:14">
      <c r="A60" s="181"/>
      <c r="B60" s="181"/>
      <c r="C60" s="181"/>
      <c r="D60" s="181"/>
      <c r="E60" s="181">
        <f>SUM(E4:E59)</f>
        <v>40913.03</v>
      </c>
      <c r="F60" s="181"/>
      <c r="G60" s="181">
        <f>SUM(G4:G59)</f>
        <v>3753069.6890000002</v>
      </c>
      <c r="H60" s="181">
        <f>SUM(H4:H59)</f>
        <v>0</v>
      </c>
      <c r="I60" s="181"/>
      <c r="J60" s="181">
        <f>SUM(J4:J59)</f>
        <v>0</v>
      </c>
      <c r="K60" s="181">
        <f>SUM(K4:K59)</f>
        <v>3753069.6890000002</v>
      </c>
      <c r="L60" s="181">
        <f>SUM(L4:L59)</f>
        <v>3753069.6890000002</v>
      </c>
      <c r="M60" s="181"/>
      <c r="N60" s="181"/>
    </row>
  </sheetData>
  <mergeCells count="2">
    <mergeCell ref="A1:N1"/>
    <mergeCell ref="A3:J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6D9-2F42-4A4A-838E-9C7E2E8F4772}">
  <dimension ref="A1:Q42"/>
  <sheetViews>
    <sheetView tabSelected="1" workbookViewId="0">
      <pane ySplit="2" topLeftCell="A21" activePane="bottomLeft" state="frozen"/>
      <selection pane="bottomLeft" activeCell="E28" sqref="E28:L35"/>
    </sheetView>
  </sheetViews>
  <sheetFormatPr defaultColWidth="12.8554687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3.5703125" bestFit="1" customWidth="1"/>
    <col min="5" max="5" width="10.7109375" bestFit="1" customWidth="1"/>
    <col min="6" max="6" width="11.85546875" bestFit="1" customWidth="1"/>
    <col min="7" max="7" width="13.7109375" bestFit="1" customWidth="1"/>
    <col min="8" max="8" width="10.7109375" bestFit="1" customWidth="1"/>
    <col min="9" max="9" width="8.140625" bestFit="1" customWidth="1"/>
    <col min="10" max="10" width="11.5703125" customWidth="1"/>
    <col min="11" max="12" width="13.5703125" bestFit="1" customWidth="1"/>
    <col min="13" max="13" width="13.5703125" customWidth="1"/>
    <col min="14" max="14" width="8.7109375" bestFit="1" customWidth="1"/>
    <col min="15" max="15" width="19.7109375" bestFit="1" customWidth="1"/>
    <col min="17" max="17" width="21.42578125" customWidth="1"/>
  </cols>
  <sheetData>
    <row r="1" spans="1:16" ht="15.75" customHeight="1">
      <c r="A1" s="473" t="s">
        <v>132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53"/>
    </row>
    <row r="2" spans="1:16" ht="30">
      <c r="A2" s="54" t="s">
        <v>0</v>
      </c>
      <c r="B2" s="55" t="s">
        <v>164</v>
      </c>
      <c r="C2" s="55" t="s">
        <v>165</v>
      </c>
      <c r="D2" s="55" t="s">
        <v>166</v>
      </c>
      <c r="E2" s="55" t="s">
        <v>167</v>
      </c>
      <c r="F2" s="55" t="s">
        <v>168</v>
      </c>
      <c r="G2" s="55" t="s">
        <v>169</v>
      </c>
      <c r="H2" s="55" t="s">
        <v>170</v>
      </c>
      <c r="I2" s="55" t="s">
        <v>168</v>
      </c>
      <c r="J2" s="56" t="s">
        <v>169</v>
      </c>
      <c r="K2" s="57" t="s">
        <v>171</v>
      </c>
      <c r="L2" s="58" t="s">
        <v>172</v>
      </c>
      <c r="M2" s="116" t="s">
        <v>209</v>
      </c>
      <c r="N2" s="101" t="s">
        <v>174</v>
      </c>
      <c r="O2" s="59"/>
    </row>
    <row r="3" spans="1:16">
      <c r="A3" s="132" t="s">
        <v>175</v>
      </c>
      <c r="B3" s="133"/>
      <c r="C3" s="133"/>
      <c r="D3" s="133"/>
      <c r="E3" s="133"/>
      <c r="F3" s="133"/>
      <c r="G3" s="133"/>
      <c r="H3" s="133"/>
      <c r="I3" s="133"/>
      <c r="J3" s="133"/>
      <c r="K3" s="261">
        <v>1463406.5498000004</v>
      </c>
      <c r="L3" s="134"/>
      <c r="M3" s="262">
        <f>+K3</f>
        <v>1463406.5498000004</v>
      </c>
      <c r="N3" s="17"/>
      <c r="O3" s="59">
        <v>1194596.9738</v>
      </c>
    </row>
    <row r="4" spans="1:16">
      <c r="A4" s="46">
        <v>1</v>
      </c>
      <c r="B4" s="201">
        <v>46113</v>
      </c>
      <c r="C4" s="10"/>
      <c r="D4" s="18"/>
      <c r="E4" s="8"/>
      <c r="F4" s="8"/>
      <c r="G4" s="16">
        <f>E4*F4</f>
        <v>0</v>
      </c>
      <c r="H4" s="7"/>
      <c r="I4" s="7"/>
      <c r="J4" s="21">
        <f>H4*I4</f>
        <v>0</v>
      </c>
      <c r="K4" s="8">
        <f>G4+J4</f>
        <v>0</v>
      </c>
      <c r="L4" s="8"/>
      <c r="M4" s="8">
        <f t="shared" ref="M4:M16" si="0">M3+K4-L4</f>
        <v>1463406.5498000004</v>
      </c>
      <c r="N4" s="19"/>
      <c r="O4" s="1"/>
      <c r="P4" s="327">
        <f>K3-69000</f>
        <v>1394406.5498000004</v>
      </c>
    </row>
    <row r="5" spans="1:16">
      <c r="A5" s="46">
        <v>2</v>
      </c>
      <c r="B5" s="201">
        <v>46114</v>
      </c>
      <c r="C5" s="10"/>
      <c r="D5" s="18"/>
      <c r="E5" s="8"/>
      <c r="F5" s="8"/>
      <c r="G5" s="16">
        <f t="shared" ref="G5:G8" si="1">E5*F5</f>
        <v>0</v>
      </c>
      <c r="H5" s="7"/>
      <c r="I5" s="7"/>
      <c r="J5" s="21">
        <f t="shared" ref="J5" si="2">H5*I5</f>
        <v>0</v>
      </c>
      <c r="K5" s="8">
        <f t="shared" ref="K5:K6" si="3">G5+J5</f>
        <v>0</v>
      </c>
      <c r="L5" s="8">
        <f>1366870+5970</f>
        <v>1372840</v>
      </c>
      <c r="M5" s="8">
        <f t="shared" si="0"/>
        <v>90566.549800000386</v>
      </c>
      <c r="N5" s="8"/>
      <c r="O5" s="1">
        <v>1372840</v>
      </c>
      <c r="P5" s="174">
        <f>O5-L5</f>
        <v>0</v>
      </c>
    </row>
    <row r="6" spans="1:16">
      <c r="A6" s="46">
        <v>3</v>
      </c>
      <c r="B6" s="201">
        <v>46115</v>
      </c>
      <c r="C6" s="10"/>
      <c r="D6" s="18"/>
      <c r="E6" s="8"/>
      <c r="F6" s="8"/>
      <c r="G6" s="16">
        <f t="shared" si="1"/>
        <v>0</v>
      </c>
      <c r="H6" s="7"/>
      <c r="I6" s="7"/>
      <c r="J6" s="21">
        <f>H6*I6</f>
        <v>0</v>
      </c>
      <c r="K6" s="8">
        <f t="shared" si="3"/>
        <v>0</v>
      </c>
      <c r="L6" s="8"/>
      <c r="M6" s="8">
        <f t="shared" si="0"/>
        <v>90566.549800000386</v>
      </c>
      <c r="N6" s="8"/>
      <c r="O6" s="1"/>
    </row>
    <row r="7" spans="1:16">
      <c r="A7" s="46">
        <v>4</v>
      </c>
      <c r="B7" s="201">
        <v>46116</v>
      </c>
      <c r="C7" s="10"/>
      <c r="D7" s="18"/>
      <c r="E7" s="8"/>
      <c r="F7" s="8"/>
      <c r="G7" s="16">
        <f t="shared" si="1"/>
        <v>0</v>
      </c>
      <c r="H7" s="7"/>
      <c r="I7" s="337"/>
      <c r="J7" s="21">
        <v>0</v>
      </c>
      <c r="K7" s="8">
        <v>0</v>
      </c>
      <c r="L7" s="8"/>
      <c r="M7" s="8">
        <f t="shared" si="0"/>
        <v>90566.549800000386</v>
      </c>
      <c r="N7" s="8"/>
      <c r="O7" s="1"/>
    </row>
    <row r="8" spans="1:16">
      <c r="A8" s="46">
        <v>5</v>
      </c>
      <c r="B8" s="201">
        <v>46117</v>
      </c>
      <c r="C8" s="10"/>
      <c r="D8" s="18"/>
      <c r="E8" s="8"/>
      <c r="F8" s="8"/>
      <c r="G8" s="16">
        <f t="shared" si="1"/>
        <v>0</v>
      </c>
      <c r="H8" s="7"/>
      <c r="I8" s="337"/>
      <c r="J8" s="21">
        <v>0</v>
      </c>
      <c r="K8" s="8">
        <f t="shared" ref="K8:K38" si="4">G8+J8</f>
        <v>0</v>
      </c>
      <c r="L8" s="8"/>
      <c r="M8" s="8">
        <f t="shared" si="0"/>
        <v>90566.549800000386</v>
      </c>
      <c r="N8" s="8"/>
      <c r="O8" s="1"/>
    </row>
    <row r="9" spans="1:16">
      <c r="A9" s="46">
        <v>6</v>
      </c>
      <c r="B9" s="201">
        <v>46118</v>
      </c>
      <c r="C9" s="10"/>
      <c r="D9" s="18"/>
      <c r="E9" s="8">
        <v>3000</v>
      </c>
      <c r="F9" s="8">
        <v>91.14</v>
      </c>
      <c r="G9" s="16">
        <f>E9*F9</f>
        <v>273420</v>
      </c>
      <c r="H9" s="7">
        <v>10</v>
      </c>
      <c r="I9" s="337">
        <v>104.6</v>
      </c>
      <c r="J9" s="16">
        <f>H9*I9</f>
        <v>1046</v>
      </c>
      <c r="K9" s="8">
        <f t="shared" ref="K9:K37" si="5">G9+J9</f>
        <v>274466</v>
      </c>
      <c r="L9" s="8"/>
      <c r="M9" s="8">
        <f t="shared" si="0"/>
        <v>365032.54980000039</v>
      </c>
      <c r="N9" s="8"/>
      <c r="O9" s="1"/>
    </row>
    <row r="10" spans="1:16">
      <c r="A10" s="46">
        <v>7</v>
      </c>
      <c r="B10" s="201">
        <v>46119</v>
      </c>
      <c r="C10" s="10"/>
      <c r="D10" s="18"/>
      <c r="E10" s="8">
        <v>2000</v>
      </c>
      <c r="F10" s="8">
        <v>91.14</v>
      </c>
      <c r="G10" s="16">
        <f>E10*F10</f>
        <v>182280</v>
      </c>
      <c r="H10" s="7">
        <v>15</v>
      </c>
      <c r="I10" s="337">
        <v>104.6</v>
      </c>
      <c r="J10" s="16">
        <f>H10*I10</f>
        <v>1569</v>
      </c>
      <c r="K10" s="8">
        <f t="shared" si="5"/>
        <v>183849</v>
      </c>
      <c r="L10" s="8"/>
      <c r="M10" s="8">
        <f t="shared" si="0"/>
        <v>548881.54980000039</v>
      </c>
      <c r="N10" s="8"/>
      <c r="O10" s="1"/>
    </row>
    <row r="11" spans="1:16">
      <c r="A11" s="46">
        <v>8</v>
      </c>
      <c r="B11" s="201">
        <v>46120</v>
      </c>
      <c r="C11" s="10"/>
      <c r="D11" s="18"/>
      <c r="E11" s="8">
        <v>0</v>
      </c>
      <c r="F11" s="8">
        <v>0</v>
      </c>
      <c r="G11" s="16">
        <f>E11*F11</f>
        <v>0</v>
      </c>
      <c r="H11" s="7">
        <v>0</v>
      </c>
      <c r="I11" s="337">
        <v>0</v>
      </c>
      <c r="J11" s="16">
        <f>H11*I11</f>
        <v>0</v>
      </c>
      <c r="K11" s="8">
        <f t="shared" si="5"/>
        <v>0</v>
      </c>
      <c r="L11" s="8"/>
      <c r="M11" s="8">
        <f t="shared" si="0"/>
        <v>548881.54980000039</v>
      </c>
      <c r="N11" s="8"/>
      <c r="O11" s="1"/>
    </row>
    <row r="12" spans="1:16">
      <c r="A12" s="46">
        <v>9</v>
      </c>
      <c r="B12" s="201">
        <v>46121</v>
      </c>
      <c r="C12" s="10"/>
      <c r="D12" s="18"/>
      <c r="E12" s="8"/>
      <c r="F12" s="8"/>
      <c r="G12" s="16">
        <v>0</v>
      </c>
      <c r="H12" s="7"/>
      <c r="I12" s="337"/>
      <c r="J12" s="21">
        <v>0</v>
      </c>
      <c r="K12" s="8">
        <f t="shared" si="5"/>
        <v>0</v>
      </c>
      <c r="L12" s="8"/>
      <c r="M12" s="8">
        <f t="shared" si="0"/>
        <v>548881.54980000039</v>
      </c>
      <c r="N12" s="8"/>
      <c r="O12" s="1"/>
    </row>
    <row r="13" spans="1:16">
      <c r="A13" s="46">
        <v>10</v>
      </c>
      <c r="B13" s="201">
        <v>46122</v>
      </c>
      <c r="C13" s="10"/>
      <c r="D13" s="18"/>
      <c r="E13" s="8">
        <v>3000</v>
      </c>
      <c r="F13" s="8">
        <v>91.14</v>
      </c>
      <c r="G13" s="16">
        <f>E13*F13</f>
        <v>273420</v>
      </c>
      <c r="H13" s="7">
        <v>10</v>
      </c>
      <c r="I13" s="337">
        <v>104.6</v>
      </c>
      <c r="J13" s="16">
        <f>H13*I13</f>
        <v>1046</v>
      </c>
      <c r="K13" s="8">
        <f t="shared" ref="K13" si="6">G13+J13</f>
        <v>274466</v>
      </c>
      <c r="L13" s="8"/>
      <c r="M13" s="182">
        <f t="shared" si="0"/>
        <v>823347.54980000039</v>
      </c>
      <c r="N13" s="8"/>
      <c r="O13" s="1"/>
    </row>
    <row r="14" spans="1:16">
      <c r="A14" s="46">
        <v>11</v>
      </c>
      <c r="B14" s="201">
        <v>46123</v>
      </c>
      <c r="C14" s="10"/>
      <c r="D14" s="18"/>
      <c r="E14" s="8">
        <v>2000</v>
      </c>
      <c r="F14" s="8">
        <v>91.14</v>
      </c>
      <c r="G14" s="16">
        <f>E14*F14</f>
        <v>182280</v>
      </c>
      <c r="H14" s="421">
        <v>26</v>
      </c>
      <c r="I14" s="422">
        <v>142.30769230769201</v>
      </c>
      <c r="J14" s="16">
        <f>H14*I14</f>
        <v>3699.9999999999923</v>
      </c>
      <c r="K14" s="8">
        <f t="shared" si="5"/>
        <v>185980</v>
      </c>
      <c r="L14" s="8"/>
      <c r="M14" s="8">
        <f t="shared" si="0"/>
        <v>1009327.5498000004</v>
      </c>
      <c r="N14" s="193"/>
      <c r="O14" s="1"/>
    </row>
    <row r="15" spans="1:16">
      <c r="A15" s="46">
        <v>12</v>
      </c>
      <c r="B15" s="201">
        <v>46124</v>
      </c>
      <c r="C15" s="10"/>
      <c r="D15" s="18"/>
      <c r="E15" s="8"/>
      <c r="F15" s="8"/>
      <c r="G15" s="16">
        <f t="shared" ref="G15:G20" si="7">E15*F15</f>
        <v>0</v>
      </c>
      <c r="H15" s="7"/>
      <c r="I15" s="337"/>
      <c r="J15" s="16">
        <f t="shared" ref="J15:J25" si="8">H15*I15</f>
        <v>0</v>
      </c>
      <c r="K15" s="8">
        <f t="shared" si="5"/>
        <v>0</v>
      </c>
      <c r="L15" s="8"/>
      <c r="M15" s="8">
        <f t="shared" si="0"/>
        <v>1009327.5498000004</v>
      </c>
      <c r="N15" s="193"/>
      <c r="O15" s="1"/>
    </row>
    <row r="16" spans="1:16">
      <c r="A16" s="46">
        <v>13</v>
      </c>
      <c r="B16" s="201">
        <v>46125</v>
      </c>
      <c r="C16" s="10"/>
      <c r="D16" s="18"/>
      <c r="E16" s="8"/>
      <c r="F16" s="8"/>
      <c r="G16" s="16">
        <f t="shared" si="7"/>
        <v>0</v>
      </c>
      <c r="H16" s="7"/>
      <c r="I16" s="337"/>
      <c r="J16" s="16">
        <f t="shared" si="8"/>
        <v>0</v>
      </c>
      <c r="K16" s="8">
        <f t="shared" si="5"/>
        <v>0</v>
      </c>
      <c r="L16" s="8"/>
      <c r="M16" s="8">
        <f t="shared" si="0"/>
        <v>1009327.5498000004</v>
      </c>
      <c r="N16" s="193"/>
      <c r="O16" s="1"/>
    </row>
    <row r="17" spans="1:17">
      <c r="A17" s="46">
        <v>14</v>
      </c>
      <c r="B17" s="201">
        <v>46126</v>
      </c>
      <c r="C17" s="10"/>
      <c r="D17" s="18"/>
      <c r="E17" s="8"/>
      <c r="F17" s="8"/>
      <c r="G17" s="16">
        <f t="shared" si="7"/>
        <v>0</v>
      </c>
      <c r="H17" s="7"/>
      <c r="I17" s="337"/>
      <c r="J17" s="16">
        <f t="shared" si="8"/>
        <v>0</v>
      </c>
      <c r="K17" s="8">
        <f t="shared" si="5"/>
        <v>0</v>
      </c>
      <c r="L17" s="8"/>
      <c r="M17" s="8">
        <f t="shared" ref="M17:M38" si="9">M16+K17-L17</f>
        <v>1009327.5498000004</v>
      </c>
      <c r="N17" s="193"/>
      <c r="O17" s="1"/>
    </row>
    <row r="18" spans="1:17">
      <c r="A18" s="46">
        <v>15</v>
      </c>
      <c r="B18" s="201">
        <v>46127</v>
      </c>
      <c r="C18" s="10"/>
      <c r="D18" s="18"/>
      <c r="E18" s="8"/>
      <c r="F18" s="8"/>
      <c r="G18" s="16">
        <f t="shared" si="7"/>
        <v>0</v>
      </c>
      <c r="H18" s="7"/>
      <c r="I18" s="337"/>
      <c r="J18" s="16">
        <f t="shared" si="8"/>
        <v>0</v>
      </c>
      <c r="K18" s="8">
        <f t="shared" si="5"/>
        <v>0</v>
      </c>
      <c r="L18" s="8"/>
      <c r="M18" s="8">
        <f t="shared" si="9"/>
        <v>1009327.5498000004</v>
      </c>
      <c r="N18" s="193"/>
      <c r="O18" s="1"/>
    </row>
    <row r="19" spans="1:17">
      <c r="A19" s="46">
        <v>16</v>
      </c>
      <c r="B19" s="201">
        <v>46128</v>
      </c>
      <c r="C19" s="10"/>
      <c r="D19" s="18"/>
      <c r="E19" s="8">
        <v>1000</v>
      </c>
      <c r="F19" s="8">
        <v>91.14</v>
      </c>
      <c r="G19" s="16">
        <f t="shared" si="7"/>
        <v>91140</v>
      </c>
      <c r="H19" s="7">
        <v>20</v>
      </c>
      <c r="I19" s="337">
        <v>104.6</v>
      </c>
      <c r="J19" s="16">
        <f t="shared" si="8"/>
        <v>2092</v>
      </c>
      <c r="K19" s="8">
        <f t="shared" si="5"/>
        <v>93232</v>
      </c>
      <c r="L19" s="8"/>
      <c r="M19" s="8">
        <f t="shared" si="9"/>
        <v>1102559.5498000004</v>
      </c>
      <c r="N19" s="193"/>
      <c r="O19" s="1"/>
    </row>
    <row r="20" spans="1:17">
      <c r="A20" s="46">
        <v>17</v>
      </c>
      <c r="B20" s="201">
        <v>46129</v>
      </c>
      <c r="C20" s="10"/>
      <c r="D20" s="18"/>
      <c r="E20" s="8">
        <v>2000</v>
      </c>
      <c r="F20" s="8">
        <v>91.14</v>
      </c>
      <c r="G20" s="16">
        <f t="shared" si="7"/>
        <v>182280</v>
      </c>
      <c r="H20" s="7">
        <v>10</v>
      </c>
      <c r="I20" s="337">
        <v>104.6</v>
      </c>
      <c r="J20" s="16">
        <f t="shared" si="8"/>
        <v>1046</v>
      </c>
      <c r="K20" s="8">
        <f t="shared" si="5"/>
        <v>183326</v>
      </c>
      <c r="L20" s="8"/>
      <c r="M20" s="8">
        <f t="shared" si="9"/>
        <v>1285885.5498000004</v>
      </c>
      <c r="N20" s="193"/>
      <c r="O20" s="1"/>
    </row>
    <row r="21" spans="1:17">
      <c r="A21" s="46">
        <v>18</v>
      </c>
      <c r="B21" s="201">
        <v>46130</v>
      </c>
      <c r="C21" s="10"/>
      <c r="D21" s="18"/>
      <c r="E21" s="8"/>
      <c r="F21" s="8"/>
      <c r="G21" s="16"/>
      <c r="H21" s="7">
        <v>5</v>
      </c>
      <c r="I21" s="337">
        <v>350</v>
      </c>
      <c r="J21" s="16">
        <f t="shared" si="8"/>
        <v>1750</v>
      </c>
      <c r="K21" s="8">
        <f t="shared" si="5"/>
        <v>1750</v>
      </c>
      <c r="L21" s="8"/>
      <c r="M21" s="8">
        <f t="shared" si="9"/>
        <v>1287635.5498000004</v>
      </c>
      <c r="N21" s="193"/>
      <c r="O21" s="1"/>
    </row>
    <row r="22" spans="1:17">
      <c r="A22" s="46">
        <v>19</v>
      </c>
      <c r="B22" s="201">
        <v>46131</v>
      </c>
      <c r="C22" s="10"/>
      <c r="D22" s="18"/>
      <c r="E22" s="8">
        <v>3000</v>
      </c>
      <c r="F22" s="8">
        <v>91.14</v>
      </c>
      <c r="G22" s="16">
        <f>E22*F22</f>
        <v>273420</v>
      </c>
      <c r="H22" s="7"/>
      <c r="I22" s="337"/>
      <c r="J22" s="16">
        <f t="shared" si="8"/>
        <v>0</v>
      </c>
      <c r="K22" s="8">
        <f t="shared" si="5"/>
        <v>273420</v>
      </c>
      <c r="L22" s="8"/>
      <c r="M22" s="8">
        <f t="shared" si="9"/>
        <v>1561055.5498000004</v>
      </c>
      <c r="N22" s="193"/>
      <c r="O22" s="1"/>
    </row>
    <row r="23" spans="1:17">
      <c r="A23" s="46">
        <v>20</v>
      </c>
      <c r="B23" s="201">
        <v>46132</v>
      </c>
      <c r="C23" s="10"/>
      <c r="D23" s="18"/>
      <c r="E23" s="8"/>
      <c r="F23" s="8"/>
      <c r="G23" s="16">
        <f t="shared" ref="G23:G25" si="10">E23*F23</f>
        <v>0</v>
      </c>
      <c r="H23" s="7"/>
      <c r="I23" s="337"/>
      <c r="J23" s="16">
        <f t="shared" si="8"/>
        <v>0</v>
      </c>
      <c r="K23" s="8">
        <f t="shared" si="5"/>
        <v>0</v>
      </c>
      <c r="L23" s="8"/>
      <c r="M23" s="8">
        <f t="shared" si="9"/>
        <v>1561055.5498000004</v>
      </c>
      <c r="N23" s="193"/>
      <c r="O23" s="1"/>
      <c r="Q23" s="347">
        <f>3800/26</f>
        <v>146.15384615384616</v>
      </c>
    </row>
    <row r="24" spans="1:17">
      <c r="A24" s="46">
        <v>21</v>
      </c>
      <c r="B24" s="201">
        <v>46133</v>
      </c>
      <c r="C24" s="10"/>
      <c r="D24" s="18"/>
      <c r="E24" s="8">
        <v>800</v>
      </c>
      <c r="F24" s="8">
        <v>91.14</v>
      </c>
      <c r="G24" s="16">
        <f t="shared" si="10"/>
        <v>72912</v>
      </c>
      <c r="H24" s="7"/>
      <c r="I24" s="337"/>
      <c r="J24" s="16">
        <f t="shared" si="8"/>
        <v>0</v>
      </c>
      <c r="K24" s="8">
        <f t="shared" si="5"/>
        <v>72912</v>
      </c>
      <c r="L24" s="8"/>
      <c r="M24" s="8">
        <f t="shared" si="9"/>
        <v>1633967.5498000004</v>
      </c>
      <c r="N24" s="193"/>
      <c r="O24" s="1" t="s">
        <v>261</v>
      </c>
    </row>
    <row r="25" spans="1:17">
      <c r="A25" s="46">
        <v>22</v>
      </c>
      <c r="B25" s="201">
        <v>46134</v>
      </c>
      <c r="C25" s="10"/>
      <c r="D25" s="18"/>
      <c r="E25" s="8"/>
      <c r="F25" s="8">
        <v>91.14</v>
      </c>
      <c r="G25" s="16">
        <f t="shared" si="10"/>
        <v>0</v>
      </c>
      <c r="H25" s="7"/>
      <c r="I25" s="337">
        <v>104.6</v>
      </c>
      <c r="J25" s="16">
        <f t="shared" si="8"/>
        <v>0</v>
      </c>
      <c r="K25" s="8">
        <f t="shared" si="5"/>
        <v>0</v>
      </c>
      <c r="L25" s="8"/>
      <c r="M25" s="8">
        <f t="shared" si="9"/>
        <v>1633967.5498000004</v>
      </c>
      <c r="N25" s="193"/>
      <c r="O25" s="1"/>
    </row>
    <row r="26" spans="1:17">
      <c r="A26" s="46">
        <v>23</v>
      </c>
      <c r="B26" s="201">
        <v>46135</v>
      </c>
      <c r="C26" s="10"/>
      <c r="D26" s="18"/>
      <c r="E26" s="8">
        <v>4000</v>
      </c>
      <c r="F26" s="8">
        <v>91.14</v>
      </c>
      <c r="G26" s="16">
        <f t="shared" ref="G26:G30" si="11">E26*F26</f>
        <v>364560</v>
      </c>
      <c r="H26" s="7">
        <v>10</v>
      </c>
      <c r="I26" s="337">
        <v>104.6</v>
      </c>
      <c r="J26" s="16">
        <f t="shared" ref="J26:J30" si="12">H26*I26</f>
        <v>1046</v>
      </c>
      <c r="K26" s="8">
        <f t="shared" ref="K26" si="13">G26+J26</f>
        <v>365606</v>
      </c>
      <c r="L26" s="8"/>
      <c r="M26" s="8">
        <f t="shared" si="9"/>
        <v>1999573.5498000004</v>
      </c>
      <c r="N26" s="193"/>
      <c r="O26" s="1"/>
    </row>
    <row r="27" spans="1:17">
      <c r="A27" s="46">
        <v>24</v>
      </c>
      <c r="B27" s="201">
        <v>46136</v>
      </c>
      <c r="C27" s="10"/>
      <c r="D27" s="18"/>
      <c r="E27" s="182">
        <v>1300</v>
      </c>
      <c r="F27" s="182">
        <v>91.14</v>
      </c>
      <c r="G27" s="527">
        <f t="shared" si="11"/>
        <v>118482</v>
      </c>
      <c r="H27" s="528">
        <v>10</v>
      </c>
      <c r="I27" s="529">
        <v>104.6</v>
      </c>
      <c r="J27" s="527">
        <f t="shared" si="12"/>
        <v>1046</v>
      </c>
      <c r="K27" s="182">
        <f t="shared" si="5"/>
        <v>119528</v>
      </c>
      <c r="L27" s="182"/>
      <c r="M27" s="8">
        <f t="shared" si="9"/>
        <v>2119101.5498000002</v>
      </c>
      <c r="N27" s="193"/>
      <c r="O27" s="1"/>
    </row>
    <row r="28" spans="1:17">
      <c r="A28" s="46">
        <v>25</v>
      </c>
      <c r="B28" s="201">
        <v>46137</v>
      </c>
      <c r="C28" s="10"/>
      <c r="D28" s="526"/>
      <c r="E28" s="8"/>
      <c r="F28" s="8"/>
      <c r="G28" s="8">
        <f t="shared" si="11"/>
        <v>0</v>
      </c>
      <c r="H28" s="8"/>
      <c r="I28" s="525"/>
      <c r="J28" s="8">
        <f t="shared" si="12"/>
        <v>0</v>
      </c>
      <c r="K28" s="8">
        <f t="shared" si="5"/>
        <v>0</v>
      </c>
      <c r="L28" s="8"/>
      <c r="M28" s="193">
        <f t="shared" si="9"/>
        <v>2119101.5498000002</v>
      </c>
      <c r="N28" s="193"/>
      <c r="O28" s="1"/>
    </row>
    <row r="29" spans="1:17">
      <c r="A29" s="46">
        <v>26</v>
      </c>
      <c r="B29" s="201">
        <v>46138</v>
      </c>
      <c r="C29" s="10"/>
      <c r="D29" s="526"/>
      <c r="E29" s="8"/>
      <c r="F29" s="8"/>
      <c r="G29" s="8">
        <f t="shared" si="11"/>
        <v>0</v>
      </c>
      <c r="H29" s="8"/>
      <c r="I29" s="525"/>
      <c r="J29" s="8">
        <f t="shared" si="12"/>
        <v>0</v>
      </c>
      <c r="K29" s="8">
        <f t="shared" si="5"/>
        <v>0</v>
      </c>
      <c r="L29" s="8"/>
      <c r="M29" s="193">
        <f t="shared" si="9"/>
        <v>2119101.5498000002</v>
      </c>
      <c r="N29" s="193"/>
      <c r="O29" s="1"/>
    </row>
    <row r="30" spans="1:17">
      <c r="A30" s="46">
        <v>27</v>
      </c>
      <c r="B30" s="201">
        <v>46139</v>
      </c>
      <c r="C30" s="10"/>
      <c r="D30" s="526"/>
      <c r="E30" s="8"/>
      <c r="F30" s="8"/>
      <c r="G30" s="8">
        <f t="shared" si="11"/>
        <v>0</v>
      </c>
      <c r="H30" s="8"/>
      <c r="I30" s="525"/>
      <c r="J30" s="8">
        <f t="shared" si="12"/>
        <v>0</v>
      </c>
      <c r="K30" s="8">
        <f t="shared" si="5"/>
        <v>0</v>
      </c>
      <c r="L30" s="8"/>
      <c r="M30" s="193">
        <f t="shared" si="9"/>
        <v>2119101.5498000002</v>
      </c>
      <c r="N30" s="193"/>
      <c r="O30" s="1"/>
    </row>
    <row r="31" spans="1:17">
      <c r="A31" s="46">
        <v>28</v>
      </c>
      <c r="B31" s="201">
        <v>46140</v>
      </c>
      <c r="C31" s="10"/>
      <c r="D31" s="526"/>
      <c r="E31" s="8">
        <v>1500</v>
      </c>
      <c r="F31" s="8">
        <v>91.14</v>
      </c>
      <c r="G31" s="8">
        <f>E31*F31</f>
        <v>136710</v>
      </c>
      <c r="H31" s="8">
        <v>20</v>
      </c>
      <c r="I31" s="8">
        <v>104.6</v>
      </c>
      <c r="J31" s="8">
        <f>H31*I31</f>
        <v>2092</v>
      </c>
      <c r="K31" s="8">
        <f>G31+J31</f>
        <v>138802</v>
      </c>
      <c r="L31" s="8"/>
      <c r="M31" s="193">
        <f t="shared" si="9"/>
        <v>2257903.5498000002</v>
      </c>
      <c r="N31" s="193"/>
      <c r="O31" s="1"/>
    </row>
    <row r="32" spans="1:17">
      <c r="A32" s="46">
        <v>29</v>
      </c>
      <c r="B32" s="201">
        <v>46141</v>
      </c>
      <c r="C32" s="10"/>
      <c r="D32" s="526"/>
      <c r="E32" s="8">
        <v>1200</v>
      </c>
      <c r="F32" s="8">
        <v>91.14</v>
      </c>
      <c r="G32" s="8">
        <f>E32*F32</f>
        <v>109368</v>
      </c>
      <c r="H32" s="8">
        <v>10</v>
      </c>
      <c r="I32" s="8">
        <v>104.6</v>
      </c>
      <c r="J32" s="8">
        <f>H32*I32</f>
        <v>1046</v>
      </c>
      <c r="K32" s="8">
        <f>G32+J32</f>
        <v>110414</v>
      </c>
      <c r="L32" s="8"/>
      <c r="M32" s="193">
        <f t="shared" si="9"/>
        <v>2368317.5498000002</v>
      </c>
      <c r="N32" s="193"/>
      <c r="O32" s="1"/>
    </row>
    <row r="33" spans="1:17">
      <c r="A33" s="46">
        <v>30</v>
      </c>
      <c r="B33" s="201">
        <v>46142</v>
      </c>
      <c r="C33" s="10"/>
      <c r="D33" s="526"/>
      <c r="E33" s="8">
        <v>2200</v>
      </c>
      <c r="F33" s="8">
        <v>91.14</v>
      </c>
      <c r="G33" s="8">
        <f>E33*F33</f>
        <v>200508</v>
      </c>
      <c r="H33" s="8">
        <v>20</v>
      </c>
      <c r="I33" s="525">
        <v>72.5</v>
      </c>
      <c r="J33" s="8">
        <f>H33*I33</f>
        <v>1450</v>
      </c>
      <c r="K33" s="8">
        <f>G33+J33</f>
        <v>201958</v>
      </c>
      <c r="L33" s="8"/>
      <c r="M33" s="193">
        <f t="shared" si="9"/>
        <v>2570275.5498000002</v>
      </c>
      <c r="N33" s="193"/>
      <c r="O33" s="1"/>
    </row>
    <row r="34" spans="1:17">
      <c r="A34" s="46">
        <v>31</v>
      </c>
      <c r="B34" s="201">
        <v>46143</v>
      </c>
      <c r="C34" s="10"/>
      <c r="D34" s="526"/>
      <c r="E34" s="17"/>
      <c r="F34" s="17"/>
      <c r="G34" s="17"/>
      <c r="H34" s="17"/>
      <c r="I34" s="17"/>
      <c r="J34" s="17"/>
      <c r="K34" s="17"/>
      <c r="L34" s="8"/>
      <c r="M34" s="193">
        <f t="shared" si="9"/>
        <v>2570275.5498000002</v>
      </c>
      <c r="N34" s="193"/>
      <c r="O34" s="1"/>
    </row>
    <row r="35" spans="1:17">
      <c r="A35" s="46">
        <v>32</v>
      </c>
      <c r="B35" s="201">
        <v>46144</v>
      </c>
      <c r="C35" s="10"/>
      <c r="D35" s="526"/>
      <c r="E35" s="8"/>
      <c r="F35" s="8"/>
      <c r="G35" s="8">
        <v>0</v>
      </c>
      <c r="H35" s="8"/>
      <c r="I35" s="525"/>
      <c r="J35" s="8">
        <v>0</v>
      </c>
      <c r="K35" s="8">
        <f t="shared" si="5"/>
        <v>0</v>
      </c>
      <c r="L35" s="8"/>
      <c r="M35" s="193">
        <f t="shared" si="9"/>
        <v>2570275.5498000002</v>
      </c>
      <c r="N35" s="193"/>
      <c r="O35" s="1"/>
    </row>
    <row r="36" spans="1:17">
      <c r="A36" s="46">
        <v>33</v>
      </c>
      <c r="B36" s="201"/>
      <c r="C36" s="10"/>
      <c r="D36" s="18"/>
      <c r="E36" s="19"/>
      <c r="F36" s="19"/>
      <c r="G36" s="140">
        <f t="shared" ref="G36:G37" si="14">E36*F36</f>
        <v>0</v>
      </c>
      <c r="H36" s="20"/>
      <c r="I36" s="20"/>
      <c r="J36" s="530">
        <f t="shared" ref="J36:J37" si="15">H36*I36</f>
        <v>0</v>
      </c>
      <c r="K36" s="19">
        <f t="shared" si="5"/>
        <v>0</v>
      </c>
      <c r="L36" s="19"/>
      <c r="M36" s="8">
        <f t="shared" si="9"/>
        <v>2570275.5498000002</v>
      </c>
      <c r="N36" s="193"/>
      <c r="O36" s="1"/>
    </row>
    <row r="37" spans="1:17">
      <c r="A37" s="46">
        <v>34</v>
      </c>
      <c r="B37" s="201"/>
      <c r="C37" s="248"/>
      <c r="D37" s="249"/>
      <c r="E37" s="8"/>
      <c r="F37" s="8"/>
      <c r="G37" s="16">
        <f t="shared" si="14"/>
        <v>0</v>
      </c>
      <c r="H37" s="7"/>
      <c r="I37" s="7"/>
      <c r="J37" s="21">
        <f t="shared" si="15"/>
        <v>0</v>
      </c>
      <c r="K37" s="8">
        <f t="shared" si="5"/>
        <v>0</v>
      </c>
      <c r="L37" s="8"/>
      <c r="M37" s="8">
        <f t="shared" si="9"/>
        <v>2570275.5498000002</v>
      </c>
      <c r="N37" s="193"/>
      <c r="O37" s="1"/>
    </row>
    <row r="38" spans="1:17">
      <c r="A38" s="46">
        <v>35</v>
      </c>
      <c r="B38" s="201"/>
      <c r="C38" s="25"/>
      <c r="D38" s="18"/>
      <c r="E38" s="8">
        <v>0</v>
      </c>
      <c r="F38" s="8">
        <v>0</v>
      </c>
      <c r="G38" s="16">
        <f t="shared" ref="G38" si="16">E38*F38</f>
        <v>0</v>
      </c>
      <c r="H38" s="7"/>
      <c r="I38" s="7"/>
      <c r="J38" s="21">
        <f t="shared" ref="J38" si="17">H38*I38</f>
        <v>0</v>
      </c>
      <c r="K38" s="8">
        <f t="shared" si="4"/>
        <v>0</v>
      </c>
      <c r="L38" s="8"/>
      <c r="M38" s="8">
        <f t="shared" si="9"/>
        <v>2570275.5498000002</v>
      </c>
      <c r="N38" s="193"/>
      <c r="O38" s="1"/>
      <c r="Q38" s="303"/>
    </row>
    <row r="39" spans="1:17">
      <c r="A39" s="160"/>
      <c r="B39" s="160"/>
      <c r="C39" s="160"/>
      <c r="D39" s="160"/>
      <c r="E39" s="161">
        <f>SUM(E4:E38)</f>
        <v>27000</v>
      </c>
      <c r="F39" s="161"/>
      <c r="G39" s="161">
        <f>SUM(G4:G38)</f>
        <v>2460780</v>
      </c>
      <c r="H39" s="161">
        <f>SUM(H4:H38)</f>
        <v>166</v>
      </c>
      <c r="I39" s="161"/>
      <c r="J39" s="161">
        <f>SUM(J4:J38)</f>
        <v>18928.999999999993</v>
      </c>
      <c r="K39" s="161">
        <f>SUM(K4:K38)</f>
        <v>2479709</v>
      </c>
      <c r="L39" s="161">
        <f>SUM(L4:L38)</f>
        <v>1372840</v>
      </c>
      <c r="M39" s="161"/>
      <c r="N39" s="63"/>
      <c r="O39" s="59"/>
    </row>
    <row r="40" spans="1:17">
      <c r="A40" s="2"/>
      <c r="B40" s="2"/>
      <c r="C40" s="2"/>
      <c r="D40" s="2"/>
      <c r="E40" s="4"/>
      <c r="F40" s="4"/>
      <c r="G40" s="4"/>
      <c r="H40" s="4"/>
      <c r="I40" s="4"/>
      <c r="J40" s="4"/>
      <c r="K40" s="4"/>
      <c r="L40" s="4"/>
      <c r="M40" s="4"/>
      <c r="N40" s="4"/>
      <c r="O40" s="1"/>
    </row>
    <row r="41" spans="1:17">
      <c r="A41" s="1"/>
      <c r="B41" s="472"/>
      <c r="C41" s="472"/>
      <c r="D41" s="472"/>
      <c r="E41" s="472"/>
      <c r="F41" s="1"/>
      <c r="G41" s="1"/>
      <c r="H41" s="1"/>
      <c r="I41" s="472"/>
      <c r="J41" s="472"/>
      <c r="K41" s="472"/>
      <c r="L41" s="472"/>
      <c r="M41" s="472"/>
      <c r="N41" s="472"/>
      <c r="O41" s="4"/>
    </row>
    <row r="42" spans="1:1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4"/>
    </row>
  </sheetData>
  <mergeCells count="3">
    <mergeCell ref="B41:E41"/>
    <mergeCell ref="I41:N41"/>
    <mergeCell ref="A1:N1"/>
  </mergeCell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A481-4949-437A-B00D-681FFAC09D30}">
  <sheetPr>
    <tabColor rgb="FF7030A0"/>
  </sheetPr>
  <dimension ref="A1:R52"/>
  <sheetViews>
    <sheetView topLeftCell="A17" workbookViewId="0">
      <selection activeCell="E33" sqref="E33"/>
    </sheetView>
  </sheetViews>
  <sheetFormatPr defaultRowHeight="15"/>
  <cols>
    <col min="2" max="2" width="10" customWidth="1"/>
    <col min="7" max="7" width="10.85546875" bestFit="1" customWidth="1"/>
    <col min="11" max="12" width="13.5703125" bestFit="1" customWidth="1"/>
    <col min="13" max="13" width="11.85546875" bestFit="1" customWidth="1"/>
  </cols>
  <sheetData>
    <row r="1" spans="1:15" ht="15.75">
      <c r="A1" s="485" t="s">
        <v>262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53"/>
    </row>
    <row r="2" spans="1:15" ht="30.75">
      <c r="A2" s="64" t="s">
        <v>0</v>
      </c>
      <c r="B2" s="83" t="s">
        <v>164</v>
      </c>
      <c r="C2" s="83" t="s">
        <v>165</v>
      </c>
      <c r="D2" s="83" t="s">
        <v>166</v>
      </c>
      <c r="E2" s="83" t="s">
        <v>167</v>
      </c>
      <c r="F2" s="83" t="s">
        <v>168</v>
      </c>
      <c r="G2" s="83" t="s">
        <v>169</v>
      </c>
      <c r="H2" s="83" t="s">
        <v>170</v>
      </c>
      <c r="I2" s="83" t="s">
        <v>168</v>
      </c>
      <c r="J2" s="84" t="s">
        <v>169</v>
      </c>
      <c r="K2" s="64" t="s">
        <v>171</v>
      </c>
      <c r="L2" s="85" t="s">
        <v>172</v>
      </c>
      <c r="M2" s="166" t="s">
        <v>209</v>
      </c>
      <c r="N2" s="83" t="s">
        <v>174</v>
      </c>
      <c r="O2" s="59"/>
    </row>
    <row r="3" spans="1:15">
      <c r="A3" s="145"/>
      <c r="B3" s="146"/>
      <c r="C3" s="146"/>
      <c r="D3" s="132" t="s">
        <v>175</v>
      </c>
      <c r="E3" s="146"/>
      <c r="F3" s="146"/>
      <c r="G3" s="146"/>
      <c r="H3" s="146"/>
      <c r="I3" s="146"/>
      <c r="J3" s="147"/>
      <c r="K3" s="263"/>
      <c r="L3" s="231">
        <v>77285.142899999963</v>
      </c>
      <c r="M3" s="231">
        <v>77285.142899999963</v>
      </c>
      <c r="N3" s="146"/>
      <c r="O3" s="59"/>
    </row>
    <row r="4" spans="1:15">
      <c r="A4" s="46">
        <v>1</v>
      </c>
      <c r="B4" s="201">
        <v>46113</v>
      </c>
      <c r="C4" s="25"/>
      <c r="D4" s="25"/>
      <c r="E4" s="8"/>
      <c r="F4" s="8"/>
      <c r="G4" s="8">
        <f>E4*F4</f>
        <v>0</v>
      </c>
      <c r="H4" s="9"/>
      <c r="I4" s="9"/>
      <c r="J4" s="8">
        <f>H4*I4</f>
        <v>0</v>
      </c>
      <c r="K4" s="8">
        <f>G4+J4</f>
        <v>0</v>
      </c>
      <c r="L4" s="148">
        <v>0</v>
      </c>
      <c r="M4" s="8">
        <f>M3+K4-L4</f>
        <v>77285.142899999963</v>
      </c>
      <c r="N4" s="44"/>
      <c r="O4" s="1"/>
    </row>
    <row r="5" spans="1:15">
      <c r="A5" s="46">
        <v>2</v>
      </c>
      <c r="B5" s="201">
        <v>46114</v>
      </c>
      <c r="C5" s="25"/>
      <c r="D5" s="25"/>
      <c r="E5" s="8"/>
      <c r="F5" s="8"/>
      <c r="G5" s="8">
        <f t="shared" ref="G5:G30" si="0">E5*F5</f>
        <v>0</v>
      </c>
      <c r="H5" s="9"/>
      <c r="I5" s="9"/>
      <c r="J5" s="8">
        <f t="shared" ref="J5:J30" si="1">H5*I5</f>
        <v>0</v>
      </c>
      <c r="K5" s="8">
        <f t="shared" ref="K5:L36" si="2">G5+J5</f>
        <v>0</v>
      </c>
      <c r="L5" s="148">
        <v>0</v>
      </c>
      <c r="M5" s="8">
        <f t="shared" ref="M5:M37" si="3">M4+K5-L5</f>
        <v>77285.142899999963</v>
      </c>
      <c r="N5" s="44"/>
      <c r="O5" s="1"/>
    </row>
    <row r="6" spans="1:15">
      <c r="A6" s="46">
        <v>3</v>
      </c>
      <c r="B6" s="201">
        <v>46115</v>
      </c>
      <c r="C6" s="25"/>
      <c r="D6" s="25"/>
      <c r="E6" s="8"/>
      <c r="F6" s="8"/>
      <c r="G6" s="8">
        <f t="shared" si="0"/>
        <v>0</v>
      </c>
      <c r="H6" s="9"/>
      <c r="I6" s="9"/>
      <c r="J6" s="8">
        <f t="shared" si="1"/>
        <v>0</v>
      </c>
      <c r="K6" s="8">
        <f t="shared" si="2"/>
        <v>0</v>
      </c>
      <c r="L6" s="148">
        <v>0</v>
      </c>
      <c r="M6" s="8">
        <f t="shared" si="3"/>
        <v>77285.142899999963</v>
      </c>
      <c r="N6" s="44"/>
      <c r="O6" s="1"/>
    </row>
    <row r="7" spans="1:15">
      <c r="A7" s="46">
        <v>4</v>
      </c>
      <c r="B7" s="201">
        <v>46116</v>
      </c>
      <c r="C7" s="25"/>
      <c r="D7" s="25"/>
      <c r="E7" s="8">
        <v>183.69</v>
      </c>
      <c r="F7" s="8">
        <v>91.49</v>
      </c>
      <c r="G7" s="8">
        <f t="shared" si="0"/>
        <v>16805.7981</v>
      </c>
      <c r="H7" s="9"/>
      <c r="I7" s="9"/>
      <c r="J7" s="8">
        <f t="shared" si="1"/>
        <v>0</v>
      </c>
      <c r="K7" s="8">
        <f t="shared" si="2"/>
        <v>16805.7981</v>
      </c>
      <c r="L7" s="148">
        <v>0</v>
      </c>
      <c r="M7" s="8">
        <f t="shared" si="3"/>
        <v>94090.940999999963</v>
      </c>
      <c r="N7" s="44"/>
      <c r="O7" s="1"/>
    </row>
    <row r="8" spans="1:15">
      <c r="A8" s="46">
        <v>5</v>
      </c>
      <c r="B8" s="201">
        <v>46117</v>
      </c>
      <c r="C8" s="25"/>
      <c r="D8" s="25"/>
      <c r="E8" s="8"/>
      <c r="F8" s="8"/>
      <c r="G8" s="8">
        <f t="shared" si="0"/>
        <v>0</v>
      </c>
      <c r="H8" s="9"/>
      <c r="I8" s="9"/>
      <c r="J8" s="8">
        <f t="shared" si="1"/>
        <v>0</v>
      </c>
      <c r="K8" s="8">
        <f t="shared" si="2"/>
        <v>0</v>
      </c>
      <c r="L8" s="148">
        <v>0</v>
      </c>
      <c r="M8" s="8">
        <f t="shared" si="3"/>
        <v>94090.940999999963</v>
      </c>
      <c r="N8" s="44"/>
      <c r="O8" s="1"/>
    </row>
    <row r="9" spans="1:15">
      <c r="A9" s="46">
        <v>6</v>
      </c>
      <c r="B9" s="201">
        <v>46118</v>
      </c>
      <c r="C9" s="25"/>
      <c r="D9" s="25"/>
      <c r="E9" s="8"/>
      <c r="F9" s="8"/>
      <c r="G9" s="8">
        <f t="shared" si="0"/>
        <v>0</v>
      </c>
      <c r="H9" s="9"/>
      <c r="I9" s="9"/>
      <c r="J9" s="8">
        <f t="shared" si="1"/>
        <v>0</v>
      </c>
      <c r="K9" s="8">
        <f t="shared" si="2"/>
        <v>0</v>
      </c>
      <c r="L9" s="148">
        <v>0</v>
      </c>
      <c r="M9" s="8">
        <f t="shared" si="3"/>
        <v>94090.940999999963</v>
      </c>
      <c r="N9" s="44"/>
      <c r="O9" s="1"/>
    </row>
    <row r="10" spans="1:15">
      <c r="A10" s="46">
        <v>7</v>
      </c>
      <c r="B10" s="201">
        <v>46119</v>
      </c>
      <c r="C10" s="25"/>
      <c r="D10" s="25"/>
      <c r="E10" s="8">
        <v>155</v>
      </c>
      <c r="F10" s="8">
        <v>91.49</v>
      </c>
      <c r="G10" s="8">
        <f t="shared" si="0"/>
        <v>14180.949999999999</v>
      </c>
      <c r="H10" s="9"/>
      <c r="I10" s="9"/>
      <c r="J10" s="8">
        <f t="shared" si="1"/>
        <v>0</v>
      </c>
      <c r="K10" s="8">
        <f t="shared" si="2"/>
        <v>14180.949999999999</v>
      </c>
      <c r="L10" s="148">
        <v>0</v>
      </c>
      <c r="M10" s="8">
        <f t="shared" si="3"/>
        <v>108271.89099999996</v>
      </c>
      <c r="N10" s="44"/>
      <c r="O10" s="1"/>
    </row>
    <row r="11" spans="1:15">
      <c r="A11" s="46">
        <v>8</v>
      </c>
      <c r="B11" s="201">
        <v>46120</v>
      </c>
      <c r="C11" s="25"/>
      <c r="D11" s="25"/>
      <c r="E11" s="8"/>
      <c r="F11" s="8"/>
      <c r="G11" s="8">
        <f t="shared" si="0"/>
        <v>0</v>
      </c>
      <c r="H11" s="9"/>
      <c r="I11" s="9"/>
      <c r="J11" s="8">
        <f t="shared" si="1"/>
        <v>0</v>
      </c>
      <c r="K11" s="8">
        <f t="shared" si="2"/>
        <v>0</v>
      </c>
      <c r="L11" s="148">
        <v>0</v>
      </c>
      <c r="M11" s="8">
        <f t="shared" si="3"/>
        <v>108271.89099999996</v>
      </c>
      <c r="N11" s="44"/>
      <c r="O11" s="1"/>
    </row>
    <row r="12" spans="1:15">
      <c r="A12" s="46">
        <v>9</v>
      </c>
      <c r="B12" s="201">
        <v>46121</v>
      </c>
      <c r="C12" s="25"/>
      <c r="D12" s="25"/>
      <c r="E12" s="8">
        <v>226</v>
      </c>
      <c r="F12" s="8">
        <v>91.49</v>
      </c>
      <c r="G12" s="8">
        <f t="shared" si="0"/>
        <v>20676.739999999998</v>
      </c>
      <c r="H12" s="9">
        <v>9.84</v>
      </c>
      <c r="I12" s="9">
        <v>103.43</v>
      </c>
      <c r="J12" s="8">
        <f t="shared" si="1"/>
        <v>1017.7512</v>
      </c>
      <c r="K12" s="8">
        <f t="shared" si="2"/>
        <v>21694.491199999997</v>
      </c>
      <c r="L12" s="148">
        <v>0</v>
      </c>
      <c r="M12" s="8">
        <f t="shared" si="3"/>
        <v>129966.38219999996</v>
      </c>
      <c r="N12" s="44"/>
      <c r="O12" s="1" t="s">
        <v>263</v>
      </c>
    </row>
    <row r="13" spans="1:15">
      <c r="A13" s="46">
        <v>10</v>
      </c>
      <c r="B13" s="201">
        <v>46122</v>
      </c>
      <c r="C13" s="25"/>
      <c r="D13" s="25"/>
      <c r="E13" s="8"/>
      <c r="F13" s="8"/>
      <c r="G13" s="8">
        <f t="shared" si="0"/>
        <v>0</v>
      </c>
      <c r="H13" s="9">
        <v>5.99</v>
      </c>
      <c r="I13" s="9">
        <v>103.43</v>
      </c>
      <c r="J13" s="8">
        <f t="shared" si="1"/>
        <v>619.54570000000001</v>
      </c>
      <c r="K13" s="8">
        <f t="shared" si="2"/>
        <v>619.54570000000001</v>
      </c>
      <c r="L13" s="148">
        <v>0</v>
      </c>
      <c r="M13" s="8">
        <f t="shared" si="3"/>
        <v>130585.92789999997</v>
      </c>
      <c r="N13" s="44"/>
      <c r="O13" s="1"/>
    </row>
    <row r="14" spans="1:15">
      <c r="A14" s="46">
        <v>11</v>
      </c>
      <c r="B14" s="201">
        <v>46123</v>
      </c>
      <c r="C14" s="25"/>
      <c r="D14" s="25"/>
      <c r="E14" s="8">
        <v>35</v>
      </c>
      <c r="F14" s="8">
        <v>91.49</v>
      </c>
      <c r="G14" s="8">
        <f t="shared" si="0"/>
        <v>3202.1499999999996</v>
      </c>
      <c r="H14" s="9"/>
      <c r="I14" s="9"/>
      <c r="J14" s="8">
        <f t="shared" si="1"/>
        <v>0</v>
      </c>
      <c r="K14" s="8">
        <f t="shared" si="2"/>
        <v>3202.1499999999996</v>
      </c>
      <c r="L14" s="148">
        <v>0</v>
      </c>
      <c r="M14" s="8">
        <f t="shared" si="3"/>
        <v>133788.07789999997</v>
      </c>
      <c r="N14" s="44"/>
      <c r="O14" s="1"/>
    </row>
    <row r="15" spans="1:15">
      <c r="A15" s="46"/>
      <c r="B15" s="201">
        <v>46124</v>
      </c>
      <c r="C15" s="25"/>
      <c r="D15" s="25"/>
      <c r="E15" s="8">
        <v>30</v>
      </c>
      <c r="F15" s="8">
        <v>91.49</v>
      </c>
      <c r="G15" s="8">
        <f t="shared" si="0"/>
        <v>2744.7</v>
      </c>
      <c r="H15" s="9"/>
      <c r="I15" s="9"/>
      <c r="J15" s="8">
        <f t="shared" si="1"/>
        <v>0</v>
      </c>
      <c r="K15" s="8">
        <f t="shared" si="2"/>
        <v>2744.7</v>
      </c>
      <c r="L15" s="148">
        <v>0</v>
      </c>
      <c r="M15" s="8">
        <f t="shared" si="3"/>
        <v>136532.77789999999</v>
      </c>
      <c r="N15" s="44"/>
      <c r="O15" s="1"/>
    </row>
    <row r="16" spans="1:15">
      <c r="A16" s="46">
        <v>12</v>
      </c>
      <c r="B16" s="201">
        <v>46125</v>
      </c>
      <c r="C16" s="25"/>
      <c r="D16" s="25"/>
      <c r="E16" s="8"/>
      <c r="F16" s="8"/>
      <c r="G16" s="8">
        <f t="shared" si="0"/>
        <v>0</v>
      </c>
      <c r="H16" s="9">
        <v>11</v>
      </c>
      <c r="I16" s="9">
        <v>103.43</v>
      </c>
      <c r="J16" s="8">
        <f t="shared" si="1"/>
        <v>1137.73</v>
      </c>
      <c r="K16" s="8">
        <f t="shared" si="2"/>
        <v>1137.73</v>
      </c>
      <c r="L16" s="148">
        <v>100000</v>
      </c>
      <c r="M16" s="8">
        <f t="shared" si="3"/>
        <v>37670.507899999997</v>
      </c>
      <c r="N16" s="44"/>
      <c r="O16" s="1"/>
    </row>
    <row r="17" spans="1:18">
      <c r="A17" s="46">
        <v>13</v>
      </c>
      <c r="B17" s="201">
        <v>46126</v>
      </c>
      <c r="C17" s="25"/>
      <c r="D17" s="25"/>
      <c r="E17" s="8">
        <v>153</v>
      </c>
      <c r="F17" s="8">
        <v>91.49</v>
      </c>
      <c r="G17" s="8">
        <f t="shared" si="0"/>
        <v>13997.97</v>
      </c>
      <c r="H17" s="9"/>
      <c r="I17" s="9"/>
      <c r="J17" s="8">
        <f t="shared" si="1"/>
        <v>0</v>
      </c>
      <c r="K17" s="8">
        <f t="shared" si="2"/>
        <v>13997.97</v>
      </c>
      <c r="L17" s="148">
        <v>0</v>
      </c>
      <c r="M17" s="8">
        <f t="shared" si="3"/>
        <v>51668.477899999998</v>
      </c>
      <c r="N17" s="44"/>
      <c r="O17" s="1"/>
    </row>
    <row r="18" spans="1:18">
      <c r="A18" s="46">
        <v>14</v>
      </c>
      <c r="B18" s="201">
        <v>46127</v>
      </c>
      <c r="C18" s="25"/>
      <c r="D18" s="25"/>
      <c r="E18" s="8">
        <v>43.9</v>
      </c>
      <c r="F18" s="8">
        <v>91.49</v>
      </c>
      <c r="G18" s="8">
        <f t="shared" si="0"/>
        <v>4016.4109999999996</v>
      </c>
      <c r="H18" s="9"/>
      <c r="I18" s="9"/>
      <c r="J18" s="8">
        <f t="shared" si="1"/>
        <v>0</v>
      </c>
      <c r="K18" s="8">
        <f t="shared" si="2"/>
        <v>4016.4109999999996</v>
      </c>
      <c r="L18" s="148">
        <v>0</v>
      </c>
      <c r="M18" s="8">
        <f t="shared" si="3"/>
        <v>55684.888899999998</v>
      </c>
      <c r="N18" s="44"/>
      <c r="O18" s="1"/>
    </row>
    <row r="19" spans="1:18">
      <c r="A19" s="46">
        <v>15</v>
      </c>
      <c r="B19" s="201">
        <v>46128</v>
      </c>
      <c r="C19" s="25"/>
      <c r="D19" s="25"/>
      <c r="E19" s="8">
        <v>161</v>
      </c>
      <c r="F19" s="8">
        <v>91.49</v>
      </c>
      <c r="G19" s="8">
        <f t="shared" si="0"/>
        <v>14729.89</v>
      </c>
      <c r="H19" s="9">
        <v>6</v>
      </c>
      <c r="I19" s="435">
        <v>103.43</v>
      </c>
      <c r="J19" s="8">
        <f t="shared" si="1"/>
        <v>620.58000000000004</v>
      </c>
      <c r="K19" s="8">
        <f t="shared" si="2"/>
        <v>15350.47</v>
      </c>
      <c r="L19" s="148">
        <v>0</v>
      </c>
      <c r="M19" s="8">
        <f t="shared" si="3"/>
        <v>71035.358899999992</v>
      </c>
      <c r="N19" s="44"/>
      <c r="O19" s="1"/>
    </row>
    <row r="20" spans="1:18">
      <c r="A20" s="46">
        <v>16</v>
      </c>
      <c r="B20" s="201">
        <v>46129</v>
      </c>
      <c r="C20" s="25"/>
      <c r="D20" s="25"/>
      <c r="E20" s="8"/>
      <c r="F20" s="8"/>
      <c r="G20" s="8">
        <f t="shared" si="0"/>
        <v>0</v>
      </c>
      <c r="H20" s="9"/>
      <c r="I20" s="9"/>
      <c r="J20" s="435"/>
      <c r="K20" s="8">
        <f t="shared" si="2"/>
        <v>0</v>
      </c>
      <c r="L20" s="148">
        <v>0</v>
      </c>
      <c r="M20" s="8">
        <f t="shared" si="3"/>
        <v>71035.358899999992</v>
      </c>
      <c r="N20" s="44"/>
      <c r="O20" s="1"/>
    </row>
    <row r="21" spans="1:18">
      <c r="A21" s="46">
        <v>17</v>
      </c>
      <c r="B21" s="201">
        <v>46130</v>
      </c>
      <c r="C21" s="25"/>
      <c r="D21" s="25"/>
      <c r="E21" s="8">
        <v>270.02</v>
      </c>
      <c r="F21" s="8">
        <v>91.49</v>
      </c>
      <c r="G21" s="8">
        <f t="shared" si="0"/>
        <v>24704.129799999995</v>
      </c>
      <c r="H21" s="9">
        <v>5</v>
      </c>
      <c r="I21" s="9">
        <v>103.43</v>
      </c>
      <c r="J21" s="8">
        <f t="shared" si="1"/>
        <v>517.15000000000009</v>
      </c>
      <c r="K21" s="8">
        <f t="shared" si="2"/>
        <v>25221.279799999997</v>
      </c>
      <c r="L21" s="148">
        <v>0</v>
      </c>
      <c r="M21" s="8">
        <f t="shared" si="3"/>
        <v>96256.638699999981</v>
      </c>
      <c r="N21" s="44"/>
      <c r="O21" s="1"/>
      <c r="R21">
        <v>141649</v>
      </c>
    </row>
    <row r="22" spans="1:18">
      <c r="A22" s="46">
        <v>18</v>
      </c>
      <c r="B22" s="201">
        <v>46131</v>
      </c>
      <c r="C22" s="25"/>
      <c r="D22" s="25"/>
      <c r="E22" s="8">
        <v>80.180000000000007</v>
      </c>
      <c r="F22" s="8">
        <v>91.49</v>
      </c>
      <c r="G22" s="8">
        <f t="shared" si="0"/>
        <v>7335.6682000000001</v>
      </c>
      <c r="H22" s="9"/>
      <c r="I22" s="9"/>
      <c r="J22" s="8">
        <f t="shared" si="1"/>
        <v>0</v>
      </c>
      <c r="K22" s="8">
        <f t="shared" si="2"/>
        <v>7335.6682000000001</v>
      </c>
      <c r="L22" s="148">
        <v>0</v>
      </c>
      <c r="M22" s="8">
        <f t="shared" si="3"/>
        <v>103592.30689999998</v>
      </c>
      <c r="N22" s="44"/>
      <c r="O22" s="1"/>
    </row>
    <row r="23" spans="1:18">
      <c r="A23" s="46">
        <v>19</v>
      </c>
      <c r="B23" s="201">
        <v>46132</v>
      </c>
      <c r="C23" s="25"/>
      <c r="D23" s="25"/>
      <c r="E23" s="8">
        <v>24.01</v>
      </c>
      <c r="F23" s="8">
        <v>91.49</v>
      </c>
      <c r="G23" s="8">
        <f t="shared" si="0"/>
        <v>2196.6749</v>
      </c>
      <c r="H23" s="9">
        <v>6</v>
      </c>
      <c r="I23" s="9">
        <v>103.43</v>
      </c>
      <c r="J23" s="8">
        <f t="shared" si="1"/>
        <v>620.58000000000004</v>
      </c>
      <c r="K23" s="8">
        <f t="shared" si="2"/>
        <v>2817.2548999999999</v>
      </c>
      <c r="L23" s="148">
        <v>0</v>
      </c>
      <c r="M23" s="8">
        <f t="shared" si="3"/>
        <v>106409.56179999998</v>
      </c>
      <c r="N23" s="44"/>
      <c r="O23" s="1"/>
    </row>
    <row r="24" spans="1:18">
      <c r="A24" s="46">
        <v>20</v>
      </c>
      <c r="B24" s="201">
        <v>46133</v>
      </c>
      <c r="C24" s="25"/>
      <c r="D24" s="25"/>
      <c r="E24" s="8">
        <v>70</v>
      </c>
      <c r="F24" s="8">
        <v>91.49</v>
      </c>
      <c r="G24" s="8">
        <f t="shared" si="0"/>
        <v>6404.2999999999993</v>
      </c>
      <c r="H24" s="9"/>
      <c r="I24" s="9"/>
      <c r="J24" s="8">
        <f t="shared" si="1"/>
        <v>0</v>
      </c>
      <c r="K24" s="8">
        <f t="shared" si="2"/>
        <v>6404.2999999999993</v>
      </c>
      <c r="L24" s="148">
        <v>0</v>
      </c>
      <c r="M24" s="8">
        <f t="shared" si="3"/>
        <v>112813.86179999998</v>
      </c>
      <c r="N24" s="44"/>
      <c r="O24" s="1"/>
    </row>
    <row r="25" spans="1:18">
      <c r="A25" s="46">
        <v>21</v>
      </c>
      <c r="B25" s="201">
        <v>46134</v>
      </c>
      <c r="C25" s="25"/>
      <c r="D25" s="25"/>
      <c r="E25" s="8">
        <v>52.38</v>
      </c>
      <c r="F25" s="8">
        <v>91.49</v>
      </c>
      <c r="G25" s="8">
        <f t="shared" si="0"/>
        <v>4792.2461999999996</v>
      </c>
      <c r="H25" s="9">
        <v>6</v>
      </c>
      <c r="I25" s="9">
        <v>103.43</v>
      </c>
      <c r="J25" s="8">
        <f t="shared" si="1"/>
        <v>620.58000000000004</v>
      </c>
      <c r="K25" s="8">
        <f t="shared" si="2"/>
        <v>5412.8261999999995</v>
      </c>
      <c r="L25" s="148">
        <v>0</v>
      </c>
      <c r="M25" s="8">
        <f t="shared" si="3"/>
        <v>118226.68799999998</v>
      </c>
      <c r="N25" s="44"/>
      <c r="O25" s="1"/>
    </row>
    <row r="26" spans="1:18">
      <c r="A26" s="46">
        <v>22</v>
      </c>
      <c r="B26" s="201">
        <v>46135</v>
      </c>
      <c r="C26" s="25"/>
      <c r="D26" s="25"/>
      <c r="E26" s="8">
        <v>170</v>
      </c>
      <c r="F26" s="8">
        <v>91.49</v>
      </c>
      <c r="G26" s="8">
        <f t="shared" si="0"/>
        <v>15553.3</v>
      </c>
      <c r="H26" s="9">
        <v>7</v>
      </c>
      <c r="I26" s="9">
        <v>103.43</v>
      </c>
      <c r="J26" s="8">
        <f t="shared" si="1"/>
        <v>724.01</v>
      </c>
      <c r="K26" s="8">
        <f t="shared" si="2"/>
        <v>16277.31</v>
      </c>
      <c r="L26" s="148">
        <v>0</v>
      </c>
      <c r="M26" s="8">
        <f t="shared" si="3"/>
        <v>134503.99799999999</v>
      </c>
      <c r="N26" s="44"/>
      <c r="O26" s="1"/>
    </row>
    <row r="27" spans="1:18">
      <c r="A27" s="46">
        <v>23</v>
      </c>
      <c r="B27" s="201">
        <v>46136</v>
      </c>
      <c r="C27" s="25"/>
      <c r="D27" s="25"/>
      <c r="E27" s="8">
        <v>188.93</v>
      </c>
      <c r="F27" s="8">
        <v>91.49</v>
      </c>
      <c r="G27" s="8">
        <f t="shared" si="0"/>
        <v>17285.205699999999</v>
      </c>
      <c r="H27" s="9">
        <v>5</v>
      </c>
      <c r="I27" s="9">
        <v>103.43</v>
      </c>
      <c r="J27" s="8">
        <f t="shared" si="1"/>
        <v>517.15000000000009</v>
      </c>
      <c r="K27" s="8">
        <f t="shared" si="2"/>
        <v>17802.3557</v>
      </c>
      <c r="L27" s="148">
        <v>0</v>
      </c>
      <c r="M27" s="8">
        <f t="shared" si="3"/>
        <v>152306.35369999998</v>
      </c>
      <c r="N27" s="44"/>
      <c r="O27" s="1"/>
    </row>
    <row r="28" spans="1:18">
      <c r="A28" s="46">
        <v>24</v>
      </c>
      <c r="B28" s="201">
        <v>46137</v>
      </c>
      <c r="C28" s="25"/>
      <c r="D28" s="25"/>
      <c r="E28" s="8">
        <v>65</v>
      </c>
      <c r="F28" s="8">
        <v>91.49</v>
      </c>
      <c r="G28" s="8">
        <f t="shared" si="0"/>
        <v>5946.8499999999995</v>
      </c>
      <c r="H28" s="9"/>
      <c r="I28" s="9"/>
      <c r="J28" s="8">
        <f t="shared" si="1"/>
        <v>0</v>
      </c>
      <c r="K28" s="8">
        <f t="shared" si="2"/>
        <v>5946.8499999999995</v>
      </c>
      <c r="L28" s="148">
        <v>0</v>
      </c>
      <c r="M28" s="8">
        <f t="shared" si="3"/>
        <v>158253.20369999998</v>
      </c>
      <c r="N28" s="44"/>
      <c r="O28" s="1"/>
    </row>
    <row r="29" spans="1:18">
      <c r="A29" s="46">
        <v>25</v>
      </c>
      <c r="B29" s="201">
        <v>46138</v>
      </c>
      <c r="C29" s="25"/>
      <c r="D29" s="25"/>
      <c r="E29" s="8">
        <v>236.08</v>
      </c>
      <c r="F29" s="8">
        <v>91.49</v>
      </c>
      <c r="G29" s="8">
        <f t="shared" si="0"/>
        <v>21598.959200000001</v>
      </c>
      <c r="H29" s="9">
        <v>5</v>
      </c>
      <c r="I29" s="9">
        <v>103.43</v>
      </c>
      <c r="J29" s="8">
        <f t="shared" si="1"/>
        <v>517.15000000000009</v>
      </c>
      <c r="K29" s="8">
        <f t="shared" si="2"/>
        <v>22116.109200000003</v>
      </c>
      <c r="L29" s="148">
        <v>0</v>
      </c>
      <c r="M29" s="8">
        <f t="shared" si="3"/>
        <v>180369.31289999999</v>
      </c>
      <c r="N29" s="44"/>
      <c r="O29" s="1"/>
    </row>
    <row r="30" spans="1:18">
      <c r="A30" s="46">
        <v>26</v>
      </c>
      <c r="B30" s="201">
        <v>46139</v>
      </c>
      <c r="C30" s="25"/>
      <c r="D30" s="25"/>
      <c r="E30" s="8"/>
      <c r="F30" s="8"/>
      <c r="G30" s="8">
        <f t="shared" si="0"/>
        <v>0</v>
      </c>
      <c r="H30" s="9"/>
      <c r="I30" s="9"/>
      <c r="J30" s="8">
        <f t="shared" si="1"/>
        <v>0</v>
      </c>
      <c r="K30" s="8">
        <f t="shared" si="2"/>
        <v>0</v>
      </c>
      <c r="L30" s="148">
        <v>180000</v>
      </c>
      <c r="M30" s="8">
        <f t="shared" si="3"/>
        <v>369.3128999999899</v>
      </c>
      <c r="N30" s="44"/>
      <c r="O30" s="1"/>
    </row>
    <row r="31" spans="1:18">
      <c r="A31" s="46">
        <v>27</v>
      </c>
      <c r="B31" s="201">
        <v>46140</v>
      </c>
      <c r="C31" s="25"/>
      <c r="D31" s="25"/>
      <c r="E31" s="8">
        <v>37</v>
      </c>
      <c r="F31" s="8">
        <v>91.49</v>
      </c>
      <c r="G31" s="8">
        <f t="shared" ref="G5:G36" si="4">E31*F31</f>
        <v>3385.1299999999997</v>
      </c>
      <c r="H31" s="9">
        <v>11</v>
      </c>
      <c r="I31" s="9">
        <v>103.43</v>
      </c>
      <c r="J31" s="8">
        <f t="shared" ref="J5:J36" si="5">H31*I31</f>
        <v>1137.73</v>
      </c>
      <c r="K31" s="8">
        <f t="shared" si="2"/>
        <v>4522.8599999999997</v>
      </c>
      <c r="L31" s="148">
        <v>0</v>
      </c>
      <c r="M31" s="8">
        <f t="shared" si="3"/>
        <v>4892.1728999999896</v>
      </c>
      <c r="N31" s="44"/>
      <c r="O31" s="1"/>
    </row>
    <row r="32" spans="1:18">
      <c r="A32" s="46">
        <v>28</v>
      </c>
      <c r="B32" s="201">
        <v>46141</v>
      </c>
      <c r="C32" s="25"/>
      <c r="D32" s="25"/>
      <c r="E32" s="8">
        <v>331</v>
      </c>
      <c r="F32" s="8">
        <v>91.49</v>
      </c>
      <c r="G32" s="8">
        <f t="shared" si="4"/>
        <v>30283.19</v>
      </c>
      <c r="H32" s="9">
        <v>5</v>
      </c>
      <c r="I32" s="9">
        <v>103.43</v>
      </c>
      <c r="J32" s="8">
        <f t="shared" si="5"/>
        <v>517.15000000000009</v>
      </c>
      <c r="K32" s="8">
        <f t="shared" si="2"/>
        <v>30800.34</v>
      </c>
      <c r="L32" s="148">
        <v>0</v>
      </c>
      <c r="M32" s="8">
        <f t="shared" si="3"/>
        <v>35692.512899999987</v>
      </c>
      <c r="N32" s="44"/>
      <c r="O32" s="1"/>
      <c r="R32">
        <v>46.61</v>
      </c>
    </row>
    <row r="33" spans="1:18">
      <c r="A33" s="46">
        <v>29</v>
      </c>
      <c r="B33" s="201">
        <v>46142</v>
      </c>
      <c r="C33" s="25"/>
      <c r="D33" s="25"/>
      <c r="E33" s="8">
        <v>246</v>
      </c>
      <c r="F33" s="8">
        <v>91.49</v>
      </c>
      <c r="G33" s="8">
        <f t="shared" si="4"/>
        <v>22506.539999999997</v>
      </c>
      <c r="H33" s="9">
        <v>18.5</v>
      </c>
      <c r="I33" s="9">
        <v>103.43</v>
      </c>
      <c r="J33" s="8">
        <f t="shared" si="5"/>
        <v>1913.4550000000002</v>
      </c>
      <c r="K33" s="8">
        <f t="shared" si="2"/>
        <v>24419.994999999999</v>
      </c>
      <c r="L33" s="148">
        <v>0</v>
      </c>
      <c r="M33" s="8">
        <f t="shared" si="3"/>
        <v>60112.507899999982</v>
      </c>
      <c r="N33" s="44"/>
      <c r="O33" s="1"/>
      <c r="R33">
        <v>100</v>
      </c>
    </row>
    <row r="34" spans="1:18">
      <c r="A34" s="46">
        <v>30</v>
      </c>
      <c r="B34" s="201"/>
      <c r="C34" s="25"/>
      <c r="D34" s="25"/>
      <c r="E34" s="8"/>
      <c r="F34" s="8"/>
      <c r="G34" s="8">
        <f t="shared" si="4"/>
        <v>0</v>
      </c>
      <c r="H34" s="9"/>
      <c r="I34" s="9"/>
      <c r="J34" s="8">
        <f t="shared" si="5"/>
        <v>0</v>
      </c>
      <c r="K34" s="8">
        <f t="shared" si="2"/>
        <v>0</v>
      </c>
      <c r="L34" s="148">
        <v>0</v>
      </c>
      <c r="M34" s="8">
        <f t="shared" si="3"/>
        <v>60112.507899999982</v>
      </c>
      <c r="N34" s="44"/>
      <c r="O34" s="1"/>
      <c r="R34">
        <v>35</v>
      </c>
    </row>
    <row r="35" spans="1:18">
      <c r="A35" s="46">
        <v>31</v>
      </c>
      <c r="B35" s="201"/>
      <c r="C35" s="25"/>
      <c r="D35" s="25"/>
      <c r="E35" s="8"/>
      <c r="F35" s="8"/>
      <c r="G35" s="8">
        <f t="shared" si="4"/>
        <v>0</v>
      </c>
      <c r="H35" s="9"/>
      <c r="I35" s="9"/>
      <c r="J35" s="8">
        <f t="shared" si="5"/>
        <v>0</v>
      </c>
      <c r="K35" s="8">
        <f t="shared" si="2"/>
        <v>0</v>
      </c>
      <c r="L35" s="148">
        <v>0</v>
      </c>
      <c r="M35" s="8">
        <f t="shared" si="3"/>
        <v>60112.507899999982</v>
      </c>
      <c r="N35" s="44" t="s">
        <v>264</v>
      </c>
      <c r="O35" s="1"/>
    </row>
    <row r="36" spans="1:18">
      <c r="A36" s="46">
        <v>32</v>
      </c>
      <c r="B36" s="201"/>
      <c r="C36" s="25"/>
      <c r="D36" s="25"/>
      <c r="E36" s="8"/>
      <c r="F36" s="8"/>
      <c r="G36" s="8">
        <f t="shared" si="4"/>
        <v>0</v>
      </c>
      <c r="H36" s="9"/>
      <c r="I36" s="9"/>
      <c r="J36" s="8">
        <f t="shared" si="5"/>
        <v>0</v>
      </c>
      <c r="K36" s="8">
        <f t="shared" si="2"/>
        <v>0</v>
      </c>
      <c r="L36" s="148">
        <v>0</v>
      </c>
      <c r="M36" s="8">
        <f t="shared" si="3"/>
        <v>60112.507899999982</v>
      </c>
      <c r="N36" s="44"/>
      <c r="O36" s="1"/>
    </row>
    <row r="37" spans="1:18">
      <c r="A37" s="196"/>
      <c r="B37" s="201"/>
      <c r="C37" s="25"/>
      <c r="D37" s="25"/>
      <c r="E37" s="8"/>
      <c r="F37" s="8"/>
      <c r="G37" s="8"/>
      <c r="H37" s="9">
        <v>0</v>
      </c>
      <c r="I37" s="9">
        <v>0</v>
      </c>
      <c r="J37" s="8"/>
      <c r="K37" s="8"/>
      <c r="L37" s="148"/>
      <c r="M37" s="8">
        <f t="shared" si="3"/>
        <v>60112.507899999982</v>
      </c>
      <c r="N37" s="44"/>
      <c r="O37" s="1"/>
    </row>
    <row r="38" spans="1:18">
      <c r="A38" s="62"/>
      <c r="B38" s="62"/>
      <c r="C38" s="62"/>
      <c r="D38" s="62"/>
      <c r="E38" s="63">
        <f>SUM(E4:E36)</f>
        <v>2758.1900000000005</v>
      </c>
      <c r="F38" s="63"/>
      <c r="G38" s="63">
        <f>SUM(G4:G36)</f>
        <v>252346.80309999999</v>
      </c>
      <c r="H38" s="63">
        <f>SUM(H4:H36)</f>
        <v>101.33</v>
      </c>
      <c r="I38" s="63"/>
      <c r="J38" s="63">
        <f>SUM(J4:J36)</f>
        <v>10480.561899999999</v>
      </c>
      <c r="K38" s="63">
        <f>SUM(K4:K36)</f>
        <v>262827.36499999999</v>
      </c>
      <c r="L38" s="63">
        <f>SUM(L4:L36)</f>
        <v>280000</v>
      </c>
      <c r="M38" s="63"/>
      <c r="N38" s="63"/>
      <c r="O38" s="59"/>
    </row>
    <row r="39" spans="1:18">
      <c r="A39" s="2"/>
      <c r="B39" s="2"/>
      <c r="C39" s="2"/>
      <c r="D39" s="2"/>
      <c r="E39" s="4"/>
      <c r="F39" s="4"/>
      <c r="G39" s="4"/>
      <c r="H39" s="4"/>
      <c r="I39" s="4"/>
      <c r="J39" s="4"/>
      <c r="K39" s="4"/>
      <c r="L39" s="4"/>
      <c r="M39" s="4"/>
      <c r="N39" s="4"/>
      <c r="O39" s="1"/>
    </row>
    <row r="40" spans="1:18">
      <c r="A40" s="1"/>
      <c r="B40" s="1"/>
      <c r="C40" s="1"/>
      <c r="D40" s="1"/>
      <c r="E40" s="1"/>
      <c r="F40" s="1"/>
      <c r="G40" s="3"/>
      <c r="H40" s="1"/>
      <c r="I40" s="1"/>
      <c r="J40" s="1"/>
      <c r="K40" s="1"/>
      <c r="L40" s="8"/>
      <c r="M40" s="1"/>
      <c r="N40" s="1"/>
      <c r="O40" s="4"/>
    </row>
    <row r="41" spans="1:18">
      <c r="A41" s="1"/>
      <c r="B41" s="472"/>
      <c r="C41" s="472"/>
      <c r="D41" s="472"/>
      <c r="E41" s="472"/>
      <c r="F41" s="1"/>
      <c r="G41" s="1"/>
      <c r="H41" s="1"/>
      <c r="I41" s="510">
        <f>K26+L26</f>
        <v>16277.31</v>
      </c>
      <c r="J41" s="472"/>
      <c r="K41" s="472"/>
      <c r="L41" s="472"/>
      <c r="M41" s="472"/>
      <c r="N41" s="472"/>
      <c r="O41" s="4"/>
    </row>
    <row r="42" spans="1:1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4"/>
    </row>
    <row r="43" spans="1:18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8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8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8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8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</sheetData>
  <mergeCells count="3">
    <mergeCell ref="A1:N1"/>
    <mergeCell ref="B41:E41"/>
    <mergeCell ref="I41:N4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B35C-CCFB-4420-8E82-7D2A8627C32F}">
  <sheetPr>
    <tabColor rgb="FF7030A0"/>
  </sheetPr>
  <dimension ref="A1:S49"/>
  <sheetViews>
    <sheetView topLeftCell="A19" workbookViewId="0">
      <selection activeCell="L32" sqref="L32:M32"/>
    </sheetView>
  </sheetViews>
  <sheetFormatPr defaultRowHeight="15"/>
  <cols>
    <col min="2" max="2" width="14.5703125" customWidth="1"/>
    <col min="4" max="4" width="11.140625" customWidth="1"/>
    <col min="7" max="7" width="11.85546875" bestFit="1" customWidth="1"/>
    <col min="10" max="10" width="17.42578125" customWidth="1"/>
    <col min="11" max="11" width="13.5703125" bestFit="1" customWidth="1"/>
    <col min="12" max="13" width="11.85546875" bestFit="1" customWidth="1"/>
    <col min="15" max="15" width="13.7109375" customWidth="1"/>
    <col min="16" max="16" width="14" customWidth="1"/>
  </cols>
  <sheetData>
    <row r="1" spans="1:15" ht="15.75">
      <c r="A1" s="485" t="s">
        <v>136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53"/>
    </row>
    <row r="2" spans="1:15" ht="30.75">
      <c r="A2" s="64" t="s">
        <v>0</v>
      </c>
      <c r="B2" s="83" t="s">
        <v>164</v>
      </c>
      <c r="C2" s="83" t="s">
        <v>165</v>
      </c>
      <c r="D2" s="83" t="s">
        <v>166</v>
      </c>
      <c r="E2" s="83" t="s">
        <v>167</v>
      </c>
      <c r="F2" s="83" t="s">
        <v>168</v>
      </c>
      <c r="G2" s="83" t="s">
        <v>169</v>
      </c>
      <c r="H2" s="83" t="s">
        <v>170</v>
      </c>
      <c r="I2" s="83" t="s">
        <v>168</v>
      </c>
      <c r="J2" s="84" t="s">
        <v>169</v>
      </c>
      <c r="K2" s="64" t="s">
        <v>171</v>
      </c>
      <c r="L2" s="85" t="s">
        <v>172</v>
      </c>
      <c r="M2" s="166" t="s">
        <v>209</v>
      </c>
      <c r="N2" s="83" t="s">
        <v>174</v>
      </c>
      <c r="O2" s="59"/>
    </row>
    <row r="3" spans="1:15">
      <c r="A3" s="145"/>
      <c r="B3" s="146"/>
      <c r="C3" s="146"/>
      <c r="D3" s="132" t="s">
        <v>175</v>
      </c>
      <c r="E3" s="146"/>
      <c r="F3" s="146"/>
      <c r="G3" s="146"/>
      <c r="H3" s="146"/>
      <c r="I3" s="146"/>
      <c r="J3" s="147"/>
      <c r="K3" s="263">
        <v>203929.33460000006</v>
      </c>
      <c r="L3" s="148">
        <v>0</v>
      </c>
      <c r="M3" s="148">
        <v>203929.33460000006</v>
      </c>
      <c r="N3" s="146"/>
      <c r="O3" s="59"/>
    </row>
    <row r="4" spans="1:15">
      <c r="A4" s="46">
        <v>1</v>
      </c>
      <c r="B4" s="201">
        <v>45748</v>
      </c>
      <c r="C4" s="25"/>
      <c r="D4" s="25"/>
      <c r="E4" s="266">
        <v>149.88</v>
      </c>
      <c r="F4" s="266">
        <v>91.78</v>
      </c>
      <c r="G4" s="8">
        <f>E4*F4</f>
        <v>13755.9864</v>
      </c>
      <c r="H4" s="9"/>
      <c r="I4" s="9"/>
      <c r="J4" s="8">
        <f>H4*I4</f>
        <v>0</v>
      </c>
      <c r="K4" s="8">
        <f>G4+J4</f>
        <v>13755.9864</v>
      </c>
      <c r="L4" s="148"/>
      <c r="M4" s="8">
        <f>M3+K4-L4</f>
        <v>217685.32100000005</v>
      </c>
      <c r="N4" s="44"/>
      <c r="O4" s="1"/>
    </row>
    <row r="5" spans="1:15">
      <c r="A5" s="46">
        <v>2</v>
      </c>
      <c r="B5" s="201">
        <v>45749</v>
      </c>
      <c r="C5" s="25"/>
      <c r="D5" s="25"/>
      <c r="E5" s="266">
        <v>38.86</v>
      </c>
      <c r="F5" s="266">
        <v>91.78</v>
      </c>
      <c r="G5" s="8">
        <f t="shared" ref="G5:G34" si="0">E5*F5</f>
        <v>3566.5708</v>
      </c>
      <c r="H5" s="9">
        <v>10</v>
      </c>
      <c r="I5" s="9">
        <v>103.74</v>
      </c>
      <c r="J5" s="8">
        <f t="shared" ref="J5:J34" si="1">H5*I5</f>
        <v>1037.3999999999999</v>
      </c>
      <c r="K5" s="8">
        <f t="shared" ref="K5:K34" si="2">G5+J5</f>
        <v>4603.9708000000001</v>
      </c>
      <c r="L5" s="148">
        <v>203929</v>
      </c>
      <c r="M5" s="8">
        <f t="shared" ref="M5:M34" si="3">M4+K5-L5</f>
        <v>18360.291800000065</v>
      </c>
      <c r="N5" s="44"/>
      <c r="O5" s="1"/>
    </row>
    <row r="6" spans="1:15">
      <c r="A6" s="46">
        <v>3</v>
      </c>
      <c r="B6" s="201">
        <v>45750</v>
      </c>
      <c r="C6" s="25"/>
      <c r="D6" s="25"/>
      <c r="E6" s="266">
        <v>125</v>
      </c>
      <c r="F6" s="266">
        <v>91.78</v>
      </c>
      <c r="G6" s="8">
        <f t="shared" si="0"/>
        <v>11472.5</v>
      </c>
      <c r="H6" s="9">
        <v>5</v>
      </c>
      <c r="I6" s="9">
        <v>103.74</v>
      </c>
      <c r="J6" s="8">
        <f t="shared" si="1"/>
        <v>518.69999999999993</v>
      </c>
      <c r="K6" s="8">
        <f t="shared" si="2"/>
        <v>11991.2</v>
      </c>
      <c r="L6" s="148"/>
      <c r="M6" s="8">
        <f t="shared" si="3"/>
        <v>30351.491800000065</v>
      </c>
      <c r="N6" s="44"/>
      <c r="O6" s="1"/>
    </row>
    <row r="7" spans="1:15">
      <c r="A7" s="46">
        <v>4</v>
      </c>
      <c r="B7" s="201">
        <v>45751</v>
      </c>
      <c r="C7" s="25"/>
      <c r="D7" s="25"/>
      <c r="E7" s="266">
        <v>205</v>
      </c>
      <c r="F7" s="266">
        <v>91.78</v>
      </c>
      <c r="G7" s="8">
        <f t="shared" si="0"/>
        <v>18814.900000000001</v>
      </c>
      <c r="H7" s="9">
        <v>10</v>
      </c>
      <c r="I7" s="9">
        <v>103.74</v>
      </c>
      <c r="J7" s="8">
        <f t="shared" si="1"/>
        <v>1037.3999999999999</v>
      </c>
      <c r="K7" s="8">
        <f t="shared" si="2"/>
        <v>19852.300000000003</v>
      </c>
      <c r="L7" s="8"/>
      <c r="M7" s="8">
        <f t="shared" si="3"/>
        <v>50203.791800000065</v>
      </c>
      <c r="N7" s="44"/>
      <c r="O7" s="1"/>
    </row>
    <row r="8" spans="1:15">
      <c r="A8" s="46">
        <v>5</v>
      </c>
      <c r="B8" s="201">
        <v>45752</v>
      </c>
      <c r="C8" s="25"/>
      <c r="D8" s="25"/>
      <c r="E8" s="266">
        <v>100</v>
      </c>
      <c r="F8" s="266">
        <v>91.78</v>
      </c>
      <c r="G8" s="8">
        <f t="shared" si="0"/>
        <v>9178</v>
      </c>
      <c r="H8" s="9">
        <v>5</v>
      </c>
      <c r="I8" s="9">
        <v>103.74</v>
      </c>
      <c r="J8" s="8">
        <f t="shared" si="1"/>
        <v>518.69999999999993</v>
      </c>
      <c r="K8" s="8">
        <f t="shared" si="2"/>
        <v>9696.7000000000007</v>
      </c>
      <c r="L8" s="148"/>
      <c r="M8" s="8">
        <f t="shared" si="3"/>
        <v>59900.491800000062</v>
      </c>
      <c r="N8" s="44"/>
      <c r="O8" s="1"/>
    </row>
    <row r="9" spans="1:15">
      <c r="A9" s="46">
        <v>6</v>
      </c>
      <c r="B9" s="201">
        <v>45753</v>
      </c>
      <c r="C9" s="25"/>
      <c r="D9" s="25"/>
      <c r="E9" s="266">
        <v>510.01</v>
      </c>
      <c r="F9" s="266">
        <v>91.78</v>
      </c>
      <c r="G9" s="8">
        <f t="shared" si="0"/>
        <v>46808.717799999999</v>
      </c>
      <c r="H9" s="9">
        <v>2</v>
      </c>
      <c r="I9" s="9">
        <v>103.74</v>
      </c>
      <c r="J9" s="8">
        <f t="shared" si="1"/>
        <v>207.48</v>
      </c>
      <c r="K9" s="8">
        <f t="shared" si="2"/>
        <v>47016.197800000002</v>
      </c>
      <c r="L9" s="148"/>
      <c r="M9" s="8">
        <f t="shared" si="3"/>
        <v>106916.68960000007</v>
      </c>
      <c r="N9" s="44"/>
      <c r="O9" s="1"/>
    </row>
    <row r="10" spans="1:15">
      <c r="A10" s="46">
        <v>7</v>
      </c>
      <c r="B10" s="201">
        <v>45754</v>
      </c>
      <c r="C10" s="25"/>
      <c r="D10" s="25"/>
      <c r="E10" s="266">
        <v>250</v>
      </c>
      <c r="F10" s="266">
        <v>91.78</v>
      </c>
      <c r="G10" s="8">
        <f t="shared" si="0"/>
        <v>22945</v>
      </c>
      <c r="H10" s="9"/>
      <c r="I10" s="9"/>
      <c r="J10" s="8">
        <f t="shared" si="1"/>
        <v>0</v>
      </c>
      <c r="K10" s="8">
        <f t="shared" si="2"/>
        <v>22945</v>
      </c>
      <c r="L10" s="148"/>
      <c r="M10" s="8">
        <f t="shared" si="3"/>
        <v>129861.68960000007</v>
      </c>
      <c r="N10" s="44"/>
      <c r="O10" s="1"/>
    </row>
    <row r="11" spans="1:15">
      <c r="A11" s="46">
        <v>8</v>
      </c>
      <c r="B11" s="201">
        <v>45755</v>
      </c>
      <c r="C11" s="25"/>
      <c r="D11" s="25"/>
      <c r="E11" s="266">
        <v>417</v>
      </c>
      <c r="F11" s="266">
        <v>91.78</v>
      </c>
      <c r="G11" s="8">
        <f t="shared" si="0"/>
        <v>38272.26</v>
      </c>
      <c r="H11" s="9">
        <v>20</v>
      </c>
      <c r="I11" s="9">
        <v>103.74</v>
      </c>
      <c r="J11" s="8">
        <f t="shared" si="1"/>
        <v>2074.7999999999997</v>
      </c>
      <c r="K11" s="8">
        <f t="shared" si="2"/>
        <v>40347.060000000005</v>
      </c>
      <c r="L11" s="148"/>
      <c r="M11" s="8">
        <f t="shared" si="3"/>
        <v>170208.74960000007</v>
      </c>
      <c r="N11" s="44"/>
      <c r="O11" s="1"/>
    </row>
    <row r="12" spans="1:15">
      <c r="A12" s="46">
        <v>9</v>
      </c>
      <c r="B12" s="201">
        <v>45756</v>
      </c>
      <c r="C12" s="25"/>
      <c r="D12" s="25"/>
      <c r="E12" s="266">
        <v>150</v>
      </c>
      <c r="F12" s="266">
        <v>91.78</v>
      </c>
      <c r="G12" s="8">
        <f t="shared" si="0"/>
        <v>13767</v>
      </c>
      <c r="H12" s="9"/>
      <c r="I12" s="9"/>
      <c r="J12" s="8">
        <f t="shared" si="1"/>
        <v>0</v>
      </c>
      <c r="K12" s="8">
        <f t="shared" si="2"/>
        <v>13767</v>
      </c>
      <c r="L12" s="148"/>
      <c r="M12" s="8">
        <f>M11+K12-L12</f>
        <v>183975.74960000007</v>
      </c>
      <c r="N12" s="44"/>
      <c r="O12" s="1" t="s">
        <v>263</v>
      </c>
    </row>
    <row r="13" spans="1:15">
      <c r="A13" s="46">
        <v>10</v>
      </c>
      <c r="B13" s="201">
        <v>45757</v>
      </c>
      <c r="C13" s="25"/>
      <c r="D13" s="25"/>
      <c r="E13" s="266"/>
      <c r="F13" s="266"/>
      <c r="G13" s="8">
        <f t="shared" si="0"/>
        <v>0</v>
      </c>
      <c r="H13" s="9">
        <v>10</v>
      </c>
      <c r="I13" s="9">
        <v>103.74</v>
      </c>
      <c r="J13" s="8">
        <f t="shared" si="1"/>
        <v>1037.3999999999999</v>
      </c>
      <c r="K13" s="8">
        <f t="shared" si="2"/>
        <v>1037.3999999999999</v>
      </c>
      <c r="L13" s="148"/>
      <c r="M13" s="8">
        <f t="shared" si="3"/>
        <v>185013.14960000006</v>
      </c>
      <c r="N13" s="44"/>
      <c r="O13" s="1"/>
    </row>
    <row r="14" spans="1:15">
      <c r="A14" s="46">
        <v>11</v>
      </c>
      <c r="B14" s="201">
        <v>45758</v>
      </c>
      <c r="C14" s="25"/>
      <c r="D14" s="25"/>
      <c r="E14" s="266">
        <v>470</v>
      </c>
      <c r="F14" s="266">
        <v>91.78</v>
      </c>
      <c r="G14" s="8">
        <f t="shared" si="0"/>
        <v>43136.6</v>
      </c>
      <c r="H14" s="9">
        <v>10</v>
      </c>
      <c r="I14" s="9">
        <v>103.74</v>
      </c>
      <c r="J14" s="8">
        <f t="shared" si="1"/>
        <v>1037.3999999999999</v>
      </c>
      <c r="K14" s="8">
        <f t="shared" si="2"/>
        <v>44174</v>
      </c>
      <c r="L14" s="148">
        <v>100000</v>
      </c>
      <c r="M14" s="8">
        <f t="shared" si="3"/>
        <v>129187.14960000006</v>
      </c>
      <c r="N14" s="44"/>
      <c r="O14" s="1"/>
    </row>
    <row r="15" spans="1:15">
      <c r="A15" s="46">
        <v>12</v>
      </c>
      <c r="B15" s="201">
        <v>45759</v>
      </c>
      <c r="C15" s="25"/>
      <c r="D15" s="25"/>
      <c r="E15" s="266">
        <v>186</v>
      </c>
      <c r="F15" s="266">
        <v>91.78</v>
      </c>
      <c r="G15" s="8">
        <f t="shared" si="0"/>
        <v>17071.080000000002</v>
      </c>
      <c r="H15" s="9"/>
      <c r="I15" s="9"/>
      <c r="J15" s="8">
        <f t="shared" si="1"/>
        <v>0</v>
      </c>
      <c r="K15" s="8">
        <f t="shared" si="2"/>
        <v>17071.080000000002</v>
      </c>
      <c r="L15" s="148"/>
      <c r="M15" s="8">
        <f t="shared" si="3"/>
        <v>146258.22960000008</v>
      </c>
      <c r="N15" s="44"/>
      <c r="O15" s="1"/>
    </row>
    <row r="16" spans="1:15">
      <c r="A16" s="46">
        <v>13</v>
      </c>
      <c r="B16" s="201">
        <v>45760</v>
      </c>
      <c r="C16" s="25"/>
      <c r="D16" s="25"/>
      <c r="E16" s="266">
        <v>310</v>
      </c>
      <c r="F16" s="266">
        <v>91.78</v>
      </c>
      <c r="G16" s="8">
        <f t="shared" si="0"/>
        <v>28451.8</v>
      </c>
      <c r="H16" s="9">
        <v>10</v>
      </c>
      <c r="I16" s="9">
        <v>103.74</v>
      </c>
      <c r="J16" s="8">
        <f t="shared" si="1"/>
        <v>1037.3999999999999</v>
      </c>
      <c r="K16" s="8">
        <f t="shared" si="2"/>
        <v>29489.200000000001</v>
      </c>
      <c r="L16" s="148"/>
      <c r="M16" s="8">
        <f t="shared" si="3"/>
        <v>175747.42960000009</v>
      </c>
      <c r="N16" s="44"/>
      <c r="O16" s="1"/>
    </row>
    <row r="17" spans="1:19">
      <c r="A17" s="46">
        <v>14</v>
      </c>
      <c r="B17" s="201">
        <v>45761</v>
      </c>
      <c r="C17" s="25"/>
      <c r="D17" s="25"/>
      <c r="E17" s="266">
        <v>402.36</v>
      </c>
      <c r="F17" s="266">
        <v>91.78</v>
      </c>
      <c r="G17" s="8">
        <f t="shared" si="0"/>
        <v>36928.6008</v>
      </c>
      <c r="H17" s="9">
        <v>5</v>
      </c>
      <c r="I17" s="9">
        <v>103.74</v>
      </c>
      <c r="J17" s="8">
        <f t="shared" si="1"/>
        <v>518.69999999999993</v>
      </c>
      <c r="K17" s="8">
        <f t="shared" si="2"/>
        <v>37447.300799999997</v>
      </c>
      <c r="L17" s="148"/>
      <c r="M17" s="8">
        <f t="shared" si="3"/>
        <v>213194.73040000009</v>
      </c>
      <c r="N17" s="44"/>
      <c r="O17" s="1"/>
    </row>
    <row r="18" spans="1:19">
      <c r="A18" s="46">
        <v>15</v>
      </c>
      <c r="B18" s="201">
        <v>45762</v>
      </c>
      <c r="C18" s="25"/>
      <c r="D18" s="25"/>
      <c r="E18" s="266">
        <v>340</v>
      </c>
      <c r="F18" s="266">
        <v>91.78</v>
      </c>
      <c r="G18" s="8">
        <f t="shared" si="0"/>
        <v>31205.200000000001</v>
      </c>
      <c r="H18" s="9">
        <v>15</v>
      </c>
      <c r="I18" s="9">
        <v>103.74</v>
      </c>
      <c r="J18" s="8">
        <f t="shared" si="1"/>
        <v>1556.1</v>
      </c>
      <c r="K18" s="8">
        <f t="shared" si="2"/>
        <v>32761.3</v>
      </c>
      <c r="L18" s="148"/>
      <c r="M18" s="8">
        <f t="shared" si="3"/>
        <v>245956.03040000008</v>
      </c>
      <c r="N18" s="44"/>
      <c r="O18" s="1"/>
    </row>
    <row r="19" spans="1:19">
      <c r="A19" s="46">
        <v>16</v>
      </c>
      <c r="B19" s="201">
        <v>45763</v>
      </c>
      <c r="C19" s="25"/>
      <c r="D19" s="25"/>
      <c r="E19" s="266"/>
      <c r="F19" s="266"/>
      <c r="G19" s="8">
        <f t="shared" si="0"/>
        <v>0</v>
      </c>
      <c r="H19" s="9"/>
      <c r="I19" s="9"/>
      <c r="J19" s="8">
        <f t="shared" si="1"/>
        <v>0</v>
      </c>
      <c r="K19" s="8">
        <f t="shared" si="2"/>
        <v>0</v>
      </c>
      <c r="L19" s="148"/>
      <c r="M19" s="8">
        <f t="shared" si="3"/>
        <v>245956.03040000008</v>
      </c>
      <c r="N19" s="44"/>
      <c r="O19" s="1"/>
    </row>
    <row r="20" spans="1:19">
      <c r="A20" s="46">
        <v>17</v>
      </c>
      <c r="B20" s="201">
        <v>45764</v>
      </c>
      <c r="C20" s="25"/>
      <c r="D20" s="25"/>
      <c r="E20" s="266">
        <v>822.01</v>
      </c>
      <c r="F20" s="266">
        <v>91.78</v>
      </c>
      <c r="G20" s="8">
        <f t="shared" si="0"/>
        <v>75444.077799999999</v>
      </c>
      <c r="H20" s="9">
        <v>5</v>
      </c>
      <c r="I20" s="9">
        <v>103.74</v>
      </c>
      <c r="J20" s="8">
        <f t="shared" si="1"/>
        <v>518.69999999999993</v>
      </c>
      <c r="K20" s="8">
        <f t="shared" si="2"/>
        <v>75962.777799999996</v>
      </c>
      <c r="L20" s="148"/>
      <c r="M20" s="8">
        <f t="shared" si="3"/>
        <v>321918.80820000009</v>
      </c>
      <c r="N20" s="44"/>
      <c r="O20" s="1"/>
    </row>
    <row r="21" spans="1:19">
      <c r="A21" s="46">
        <v>18</v>
      </c>
      <c r="B21" s="201">
        <v>45765</v>
      </c>
      <c r="C21" s="25"/>
      <c r="D21" s="25"/>
      <c r="E21" s="266">
        <v>200</v>
      </c>
      <c r="F21" s="266">
        <v>91.78</v>
      </c>
      <c r="G21" s="8">
        <f t="shared" si="0"/>
        <v>18356</v>
      </c>
      <c r="H21" s="9">
        <v>10</v>
      </c>
      <c r="I21" s="9">
        <v>103.74</v>
      </c>
      <c r="J21" s="8">
        <f t="shared" si="1"/>
        <v>1037.3999999999999</v>
      </c>
      <c r="K21" s="8">
        <f t="shared" si="2"/>
        <v>19393.400000000001</v>
      </c>
      <c r="L21" s="148">
        <v>200000</v>
      </c>
      <c r="M21" s="8">
        <f t="shared" si="3"/>
        <v>141312.20820000011</v>
      </c>
      <c r="N21" s="44"/>
      <c r="O21" s="1"/>
    </row>
    <row r="22" spans="1:19">
      <c r="A22" s="46">
        <v>19</v>
      </c>
      <c r="B22" s="201">
        <v>45766</v>
      </c>
      <c r="C22" s="25"/>
      <c r="D22" s="25"/>
      <c r="E22" s="266">
        <v>180</v>
      </c>
      <c r="F22" s="266">
        <v>91.78</v>
      </c>
      <c r="G22" s="8">
        <f t="shared" si="0"/>
        <v>16520.400000000001</v>
      </c>
      <c r="H22" s="9"/>
      <c r="I22" s="9"/>
      <c r="J22" s="8">
        <f t="shared" si="1"/>
        <v>0</v>
      </c>
      <c r="K22" s="8">
        <f t="shared" si="2"/>
        <v>16520.400000000001</v>
      </c>
      <c r="L22" s="148"/>
      <c r="M22" s="8">
        <f t="shared" si="3"/>
        <v>157832.6082000001</v>
      </c>
      <c r="N22" s="44"/>
      <c r="O22" s="1"/>
    </row>
    <row r="23" spans="1:19">
      <c r="A23" s="46">
        <v>20</v>
      </c>
      <c r="B23" s="201">
        <v>45767</v>
      </c>
      <c r="C23" s="25"/>
      <c r="D23" s="25"/>
      <c r="E23" s="266">
        <v>420</v>
      </c>
      <c r="F23" s="266">
        <v>91.78</v>
      </c>
      <c r="G23" s="8">
        <f t="shared" si="0"/>
        <v>38547.599999999999</v>
      </c>
      <c r="H23" s="9"/>
      <c r="I23" s="9"/>
      <c r="J23" s="8">
        <f t="shared" si="1"/>
        <v>0</v>
      </c>
      <c r="K23" s="8">
        <f t="shared" si="2"/>
        <v>38547.599999999999</v>
      </c>
      <c r="L23" s="148"/>
      <c r="M23" s="8">
        <f t="shared" si="3"/>
        <v>196380.20820000011</v>
      </c>
      <c r="N23" s="44"/>
      <c r="O23" s="1"/>
    </row>
    <row r="24" spans="1:19">
      <c r="A24" s="46">
        <v>21</v>
      </c>
      <c r="B24" s="201">
        <v>45768</v>
      </c>
      <c r="C24" s="25"/>
      <c r="D24" s="25"/>
      <c r="E24" s="266">
        <v>464</v>
      </c>
      <c r="F24" s="266">
        <v>91.78</v>
      </c>
      <c r="G24" s="8">
        <f t="shared" si="0"/>
        <v>42585.919999999998</v>
      </c>
      <c r="H24" s="9">
        <v>17</v>
      </c>
      <c r="I24" s="9">
        <v>103.74</v>
      </c>
      <c r="J24" s="8">
        <f t="shared" si="1"/>
        <v>1763.58</v>
      </c>
      <c r="K24" s="8">
        <f t="shared" si="2"/>
        <v>44349.5</v>
      </c>
      <c r="L24" s="148"/>
      <c r="M24" s="8">
        <f t="shared" si="3"/>
        <v>240729.70820000011</v>
      </c>
      <c r="N24" s="44"/>
      <c r="O24" s="1"/>
    </row>
    <row r="25" spans="1:19">
      <c r="A25" s="46">
        <v>22</v>
      </c>
      <c r="B25" s="201">
        <v>45769</v>
      </c>
      <c r="C25" s="25"/>
      <c r="D25" s="25"/>
      <c r="E25" s="266">
        <v>200</v>
      </c>
      <c r="F25" s="266">
        <v>91.78</v>
      </c>
      <c r="G25" s="8">
        <f t="shared" si="0"/>
        <v>18356</v>
      </c>
      <c r="H25" s="9">
        <v>6</v>
      </c>
      <c r="I25" s="9">
        <v>103.74</v>
      </c>
      <c r="J25" s="8">
        <f t="shared" si="1"/>
        <v>622.43999999999994</v>
      </c>
      <c r="K25" s="8">
        <f t="shared" si="2"/>
        <v>18978.439999999999</v>
      </c>
      <c r="L25" s="148"/>
      <c r="M25" s="8">
        <f t="shared" si="3"/>
        <v>259708.14820000011</v>
      </c>
      <c r="N25" s="44"/>
      <c r="O25" s="1"/>
      <c r="S25">
        <f>45+75.01+129.01+35+90+200</f>
        <v>574.02</v>
      </c>
    </row>
    <row r="26" spans="1:19">
      <c r="A26" s="46">
        <v>23</v>
      </c>
      <c r="B26" s="201">
        <v>45770</v>
      </c>
      <c r="C26" s="25"/>
      <c r="D26" s="25"/>
      <c r="E26" s="266">
        <v>574.02</v>
      </c>
      <c r="F26" s="266">
        <v>91.78</v>
      </c>
      <c r="G26" s="8">
        <f t="shared" si="0"/>
        <v>52683.5556</v>
      </c>
      <c r="H26" s="9"/>
      <c r="I26" s="9"/>
      <c r="J26" s="8">
        <f t="shared" si="1"/>
        <v>0</v>
      </c>
      <c r="K26" s="8">
        <f t="shared" si="2"/>
        <v>52683.5556</v>
      </c>
      <c r="L26" s="148"/>
      <c r="M26" s="8">
        <f t="shared" si="3"/>
        <v>312391.70380000013</v>
      </c>
      <c r="N26" s="44"/>
      <c r="O26" s="1"/>
    </row>
    <row r="27" spans="1:19">
      <c r="A27" s="46">
        <v>24</v>
      </c>
      <c r="B27" s="201">
        <v>45771</v>
      </c>
      <c r="C27" s="25"/>
      <c r="D27" s="25"/>
      <c r="E27" s="266">
        <v>265</v>
      </c>
      <c r="F27" s="266">
        <v>91.78</v>
      </c>
      <c r="G27" s="8">
        <f t="shared" si="0"/>
        <v>24321.7</v>
      </c>
      <c r="H27" s="9">
        <v>5</v>
      </c>
      <c r="I27" s="9">
        <v>103.74</v>
      </c>
      <c r="J27" s="8">
        <f t="shared" si="1"/>
        <v>518.69999999999993</v>
      </c>
      <c r="K27" s="8">
        <f>G27+J27</f>
        <v>24840.400000000001</v>
      </c>
      <c r="L27" s="148">
        <v>100000</v>
      </c>
      <c r="M27" s="8">
        <f>M26+K27-L27</f>
        <v>237232.10380000016</v>
      </c>
      <c r="N27" s="44"/>
      <c r="O27" s="1"/>
    </row>
    <row r="28" spans="1:19">
      <c r="A28" s="46">
        <v>25</v>
      </c>
      <c r="B28" s="201">
        <v>45772</v>
      </c>
      <c r="C28" s="25"/>
      <c r="D28" s="25"/>
      <c r="E28" s="266">
        <v>330</v>
      </c>
      <c r="F28" s="266">
        <v>91.78</v>
      </c>
      <c r="G28" s="8">
        <f t="shared" si="0"/>
        <v>30287.4</v>
      </c>
      <c r="H28" s="9">
        <v>10</v>
      </c>
      <c r="I28" s="9">
        <v>103.74</v>
      </c>
      <c r="J28" s="8">
        <f t="shared" si="1"/>
        <v>1037.3999999999999</v>
      </c>
      <c r="K28" s="8">
        <f t="shared" si="2"/>
        <v>31324.800000000003</v>
      </c>
      <c r="L28" s="148"/>
      <c r="M28" s="8">
        <f t="shared" si="3"/>
        <v>268556.90380000015</v>
      </c>
      <c r="N28" s="44"/>
      <c r="O28" s="1"/>
      <c r="R28" t="s">
        <v>265</v>
      </c>
    </row>
    <row r="29" spans="1:19">
      <c r="A29" s="46">
        <v>26</v>
      </c>
      <c r="B29" s="201">
        <v>45773</v>
      </c>
      <c r="C29" s="25"/>
      <c r="D29" s="25"/>
      <c r="E29" s="266">
        <v>70</v>
      </c>
      <c r="F29" s="266">
        <v>91.78</v>
      </c>
      <c r="G29" s="8">
        <f t="shared" si="0"/>
        <v>6424.6</v>
      </c>
      <c r="H29" s="9"/>
      <c r="I29" s="9"/>
      <c r="J29" s="8">
        <f t="shared" si="1"/>
        <v>0</v>
      </c>
      <c r="K29" s="8">
        <f t="shared" si="2"/>
        <v>6424.6</v>
      </c>
      <c r="L29" s="148"/>
      <c r="M29" s="8">
        <f t="shared" si="3"/>
        <v>274981.50380000012</v>
      </c>
      <c r="N29" s="44"/>
      <c r="O29" s="1"/>
      <c r="Q29">
        <v>30</v>
      </c>
    </row>
    <row r="30" spans="1:19">
      <c r="A30" s="46">
        <v>27</v>
      </c>
      <c r="B30" s="201">
        <v>45774</v>
      </c>
      <c r="C30" s="25"/>
      <c r="D30" s="25"/>
      <c r="E30" s="266">
        <v>385</v>
      </c>
      <c r="F30" s="266">
        <v>91.78</v>
      </c>
      <c r="G30" s="8">
        <f t="shared" si="0"/>
        <v>35335.300000000003</v>
      </c>
      <c r="H30" s="9">
        <v>20</v>
      </c>
      <c r="I30" s="9">
        <v>103.74</v>
      </c>
      <c r="J30" s="8">
        <f t="shared" si="1"/>
        <v>2074.7999999999997</v>
      </c>
      <c r="K30" s="8">
        <f t="shared" si="2"/>
        <v>37410.100000000006</v>
      </c>
      <c r="L30" s="148"/>
      <c r="M30" s="8">
        <f t="shared" si="3"/>
        <v>312391.60380000016</v>
      </c>
      <c r="N30" s="44"/>
      <c r="O30" s="1"/>
      <c r="Q30">
        <v>20.02</v>
      </c>
    </row>
    <row r="31" spans="1:19">
      <c r="A31" s="46">
        <v>28</v>
      </c>
      <c r="B31" s="201">
        <v>45775</v>
      </c>
      <c r="C31" s="25"/>
      <c r="D31" s="25"/>
      <c r="E31" s="266">
        <v>160</v>
      </c>
      <c r="F31" s="266">
        <v>91.78</v>
      </c>
      <c r="G31" s="8">
        <f t="shared" si="0"/>
        <v>14684.8</v>
      </c>
      <c r="H31" s="9">
        <v>5</v>
      </c>
      <c r="I31" s="9">
        <v>103.74</v>
      </c>
      <c r="J31" s="8">
        <f t="shared" si="1"/>
        <v>518.69999999999993</v>
      </c>
      <c r="K31" s="8">
        <f t="shared" si="2"/>
        <v>15203.5</v>
      </c>
      <c r="L31" s="148"/>
      <c r="M31" s="8">
        <f t="shared" si="3"/>
        <v>327595.10380000016</v>
      </c>
      <c r="N31" s="44"/>
      <c r="O31" s="1"/>
    </row>
    <row r="32" spans="1:19">
      <c r="A32" s="196">
        <v>29</v>
      </c>
      <c r="B32" s="201">
        <v>45776</v>
      </c>
      <c r="C32" s="25"/>
      <c r="D32" s="25"/>
      <c r="E32" s="266"/>
      <c r="F32" s="266"/>
      <c r="G32" s="8">
        <f t="shared" si="0"/>
        <v>0</v>
      </c>
      <c r="H32" s="9"/>
      <c r="I32" s="9"/>
      <c r="J32" s="8">
        <f t="shared" si="1"/>
        <v>0</v>
      </c>
      <c r="K32" s="8">
        <f t="shared" si="2"/>
        <v>0</v>
      </c>
      <c r="L32" s="148">
        <v>127000</v>
      </c>
      <c r="M32" s="8">
        <f t="shared" si="3"/>
        <v>200595.10380000016</v>
      </c>
      <c r="N32" s="44"/>
      <c r="O32" s="1"/>
    </row>
    <row r="33" spans="1:15">
      <c r="A33" s="196">
        <v>30</v>
      </c>
      <c r="B33" s="201">
        <v>45777</v>
      </c>
      <c r="C33" s="25"/>
      <c r="D33" s="25"/>
      <c r="E33" s="266"/>
      <c r="F33" s="266"/>
      <c r="G33" s="8">
        <f t="shared" si="0"/>
        <v>0</v>
      </c>
      <c r="H33" s="9"/>
      <c r="I33" s="9"/>
      <c r="J33" s="8">
        <f t="shared" si="1"/>
        <v>0</v>
      </c>
      <c r="K33" s="8">
        <f t="shared" si="2"/>
        <v>0</v>
      </c>
      <c r="L33" s="148"/>
      <c r="M33" s="8">
        <f t="shared" si="3"/>
        <v>200595.10380000016</v>
      </c>
      <c r="N33" s="44"/>
      <c r="O33" s="1"/>
    </row>
    <row r="34" spans="1:15">
      <c r="A34" s="196">
        <v>31</v>
      </c>
      <c r="B34" s="201"/>
      <c r="C34" s="25"/>
      <c r="D34" s="25"/>
      <c r="E34" s="266"/>
      <c r="F34" s="266"/>
      <c r="G34" s="8">
        <f t="shared" si="0"/>
        <v>0</v>
      </c>
      <c r="H34" s="9"/>
      <c r="I34" s="9"/>
      <c r="J34" s="8">
        <f t="shared" si="1"/>
        <v>0</v>
      </c>
      <c r="K34" s="8">
        <f t="shared" si="2"/>
        <v>0</v>
      </c>
      <c r="L34" s="148">
        <v>0</v>
      </c>
      <c r="M34" s="8">
        <f t="shared" si="3"/>
        <v>200595.10380000016</v>
      </c>
      <c r="N34" s="44"/>
      <c r="O34" s="1"/>
    </row>
    <row r="35" spans="1:15">
      <c r="A35" s="62"/>
      <c r="B35" s="62"/>
      <c r="C35" s="62"/>
      <c r="D35" s="62"/>
      <c r="E35" s="63">
        <f>SUM(E4:E34)</f>
        <v>7724.1399999999994</v>
      </c>
      <c r="F35" s="63"/>
      <c r="G35" s="63">
        <f>SUM(G4:G34)</f>
        <v>708921.56920000003</v>
      </c>
      <c r="H35" s="63">
        <f>SUM(H4:H34)</f>
        <v>180</v>
      </c>
      <c r="I35" s="63"/>
      <c r="J35" s="63">
        <f>SUM(J4:J34)</f>
        <v>18673.2</v>
      </c>
      <c r="K35" s="63">
        <f>SUM(K4:K34)</f>
        <v>727594.76919999998</v>
      </c>
      <c r="L35" s="63">
        <f>SUM(L4:L34)</f>
        <v>730929</v>
      </c>
      <c r="M35" s="63"/>
      <c r="N35" s="63"/>
      <c r="O35" s="59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5">
      <c r="A38" s="1"/>
      <c r="B38" s="472"/>
      <c r="C38" s="472"/>
      <c r="D38" s="472"/>
      <c r="E38" s="472"/>
      <c r="F38" s="1"/>
      <c r="G38" s="1"/>
      <c r="H38" s="1"/>
      <c r="I38" s="510">
        <f>K24+L24</f>
        <v>44349.5</v>
      </c>
      <c r="J38" s="472"/>
      <c r="K38" s="472"/>
      <c r="L38" s="472"/>
      <c r="M38" s="472"/>
      <c r="N38" s="472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BD1B-A817-4C7F-A5CC-FB5F768C0F89}">
  <sheetPr>
    <tabColor rgb="FF7030A0"/>
  </sheetPr>
  <dimension ref="A1:U51"/>
  <sheetViews>
    <sheetView topLeftCell="A24" workbookViewId="0">
      <selection activeCell="R38" sqref="R38"/>
    </sheetView>
  </sheetViews>
  <sheetFormatPr defaultRowHeight="15"/>
  <cols>
    <col min="2" max="2" width="10" bestFit="1" customWidth="1"/>
    <col min="7" max="7" width="11.85546875" bestFit="1" customWidth="1"/>
    <col min="10" max="10" width="10.85546875" bestFit="1" customWidth="1"/>
    <col min="11" max="12" width="13.5703125" bestFit="1" customWidth="1"/>
    <col min="13" max="13" width="11.85546875" bestFit="1" customWidth="1"/>
  </cols>
  <sheetData>
    <row r="1" spans="1:15" ht="15.75">
      <c r="A1" s="485" t="s">
        <v>138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53"/>
    </row>
    <row r="2" spans="1:15" ht="30.75">
      <c r="A2" s="64" t="s">
        <v>0</v>
      </c>
      <c r="B2" s="83" t="s">
        <v>164</v>
      </c>
      <c r="C2" s="83" t="s">
        <v>165</v>
      </c>
      <c r="D2" s="83" t="s">
        <v>166</v>
      </c>
      <c r="E2" s="83" t="s">
        <v>167</v>
      </c>
      <c r="F2" s="83" t="s">
        <v>168</v>
      </c>
      <c r="G2" s="83" t="s">
        <v>169</v>
      </c>
      <c r="H2" s="83" t="s">
        <v>170</v>
      </c>
      <c r="I2" s="83" t="s">
        <v>168</v>
      </c>
      <c r="J2" s="84" t="s">
        <v>169</v>
      </c>
      <c r="K2" s="64" t="s">
        <v>171</v>
      </c>
      <c r="L2" s="85" t="s">
        <v>172</v>
      </c>
      <c r="M2" s="166" t="s">
        <v>209</v>
      </c>
      <c r="N2" s="83" t="s">
        <v>174</v>
      </c>
      <c r="O2" s="59"/>
    </row>
    <row r="3" spans="1:15">
      <c r="A3" s="145"/>
      <c r="B3" s="146"/>
      <c r="C3" s="146"/>
      <c r="D3" s="132" t="s">
        <v>175</v>
      </c>
      <c r="E3" s="146"/>
      <c r="F3" s="146"/>
      <c r="G3" s="146"/>
      <c r="H3" s="146"/>
      <c r="I3" s="146"/>
      <c r="J3" s="147"/>
      <c r="K3" s="263"/>
      <c r="L3" s="231">
        <v>263742.09730000002</v>
      </c>
      <c r="M3" s="231">
        <v>263742.09730000002</v>
      </c>
      <c r="N3" s="146"/>
      <c r="O3" s="59"/>
    </row>
    <row r="4" spans="1:15">
      <c r="A4" s="46">
        <v>1</v>
      </c>
      <c r="B4" s="201">
        <v>46113</v>
      </c>
      <c r="C4" s="25"/>
      <c r="D4" s="25"/>
      <c r="E4" s="8"/>
      <c r="F4" s="8"/>
      <c r="G4" s="8">
        <f>E4*F4</f>
        <v>0</v>
      </c>
      <c r="H4" s="9">
        <v>5</v>
      </c>
      <c r="I4" s="9">
        <v>103.85</v>
      </c>
      <c r="J4" s="8">
        <f>H4*I4</f>
        <v>519.25</v>
      </c>
      <c r="K4" s="8">
        <f>G4+J4</f>
        <v>519.25</v>
      </c>
      <c r="L4" s="148">
        <v>0</v>
      </c>
      <c r="M4" s="8">
        <f>M3+K4-L4</f>
        <v>264261.34730000002</v>
      </c>
      <c r="N4" s="44"/>
      <c r="O4" s="1"/>
    </row>
    <row r="5" spans="1:15">
      <c r="A5" s="46">
        <v>2</v>
      </c>
      <c r="B5" s="201">
        <v>46114</v>
      </c>
      <c r="C5" s="25"/>
      <c r="D5" s="25"/>
      <c r="E5" s="8">
        <v>85.01</v>
      </c>
      <c r="F5" s="8">
        <v>91.89</v>
      </c>
      <c r="G5" s="8">
        <f t="shared" ref="G5:G35" si="0">E5*F5</f>
        <v>7811.5689000000002</v>
      </c>
      <c r="H5" s="9">
        <v>9</v>
      </c>
      <c r="I5" s="9">
        <v>103.85</v>
      </c>
      <c r="J5" s="8">
        <f t="shared" ref="J5:J35" si="1">H5*I5</f>
        <v>934.65</v>
      </c>
      <c r="K5" s="8">
        <f t="shared" ref="K5:K35" si="2">G5+J5</f>
        <v>8746.2188999999998</v>
      </c>
      <c r="L5" s="148">
        <v>263742</v>
      </c>
      <c r="M5" s="8">
        <f t="shared" ref="M5:M15" si="3">M4+K5-L5</f>
        <v>9265.5662000000011</v>
      </c>
      <c r="N5" s="44"/>
      <c r="O5" s="1"/>
    </row>
    <row r="6" spans="1:15">
      <c r="A6" s="46">
        <v>3</v>
      </c>
      <c r="B6" s="201">
        <v>46115</v>
      </c>
      <c r="C6" s="25"/>
      <c r="D6" s="25"/>
      <c r="E6" s="8">
        <v>100</v>
      </c>
      <c r="F6" s="8">
        <v>91.89</v>
      </c>
      <c r="G6" s="8">
        <f t="shared" si="0"/>
        <v>9189</v>
      </c>
      <c r="H6" s="9"/>
      <c r="I6" s="9"/>
      <c r="J6" s="8">
        <f t="shared" si="1"/>
        <v>0</v>
      </c>
      <c r="K6" s="8">
        <f t="shared" si="2"/>
        <v>9189</v>
      </c>
      <c r="L6" s="148">
        <v>0</v>
      </c>
      <c r="M6" s="8">
        <f t="shared" si="3"/>
        <v>18454.566200000001</v>
      </c>
      <c r="N6" s="44"/>
      <c r="O6" s="1"/>
    </row>
    <row r="7" spans="1:15">
      <c r="A7" s="46">
        <v>4</v>
      </c>
      <c r="B7" s="201">
        <v>46116</v>
      </c>
      <c r="C7" s="25"/>
      <c r="D7" s="25"/>
      <c r="E7" s="266">
        <v>325</v>
      </c>
      <c r="F7" s="266">
        <v>91.89</v>
      </c>
      <c r="G7" s="8">
        <f t="shared" si="0"/>
        <v>29864.25</v>
      </c>
      <c r="H7" s="9"/>
      <c r="I7" s="9"/>
      <c r="J7" s="8">
        <f t="shared" si="1"/>
        <v>0</v>
      </c>
      <c r="K7" s="8">
        <f t="shared" si="2"/>
        <v>29864.25</v>
      </c>
      <c r="L7" s="148">
        <v>0</v>
      </c>
      <c r="M7" s="8">
        <f t="shared" si="3"/>
        <v>48318.816200000001</v>
      </c>
      <c r="N7" s="44"/>
      <c r="O7" s="1"/>
    </row>
    <row r="8" spans="1:15">
      <c r="A8" s="46">
        <v>5</v>
      </c>
      <c r="B8" s="201">
        <v>46117</v>
      </c>
      <c r="C8" s="25"/>
      <c r="D8" s="25"/>
      <c r="E8" s="266">
        <v>100</v>
      </c>
      <c r="F8" s="266">
        <v>91.89</v>
      </c>
      <c r="G8" s="8">
        <f t="shared" si="0"/>
        <v>9189</v>
      </c>
      <c r="H8" s="9">
        <v>5</v>
      </c>
      <c r="I8" s="9">
        <v>103.85</v>
      </c>
      <c r="J8" s="8">
        <f t="shared" si="1"/>
        <v>519.25</v>
      </c>
      <c r="K8" s="8">
        <f t="shared" si="2"/>
        <v>9708.25</v>
      </c>
      <c r="L8" s="148">
        <v>0</v>
      </c>
      <c r="M8" s="8">
        <f t="shared" si="3"/>
        <v>58027.066200000001</v>
      </c>
      <c r="N8" s="44"/>
      <c r="O8" s="1"/>
    </row>
    <row r="9" spans="1:15">
      <c r="A9" s="46">
        <v>6</v>
      </c>
      <c r="B9" s="201">
        <v>46118</v>
      </c>
      <c r="C9" s="25"/>
      <c r="D9" s="25"/>
      <c r="E9" s="8">
        <v>430</v>
      </c>
      <c r="F9" s="8">
        <v>91.89</v>
      </c>
      <c r="G9" s="8">
        <f t="shared" si="0"/>
        <v>39512.699999999997</v>
      </c>
      <c r="H9" s="9"/>
      <c r="I9" s="9"/>
      <c r="J9" s="8">
        <f t="shared" si="1"/>
        <v>0</v>
      </c>
      <c r="K9" s="8">
        <f t="shared" si="2"/>
        <v>39512.699999999997</v>
      </c>
      <c r="L9" s="148">
        <v>0</v>
      </c>
      <c r="M9" s="8">
        <f t="shared" si="3"/>
        <v>97539.766199999998</v>
      </c>
      <c r="N9" s="44"/>
      <c r="O9" s="1"/>
    </row>
    <row r="10" spans="1:15">
      <c r="A10" s="46">
        <v>7</v>
      </c>
      <c r="B10" s="201">
        <v>46119</v>
      </c>
      <c r="C10" s="25"/>
      <c r="D10" s="25"/>
      <c r="E10" s="8">
        <v>105</v>
      </c>
      <c r="F10" s="8">
        <v>91.89</v>
      </c>
      <c r="G10" s="8">
        <f t="shared" si="0"/>
        <v>9648.4500000000007</v>
      </c>
      <c r="H10" s="9">
        <v>4</v>
      </c>
      <c r="I10" s="9">
        <v>103.85</v>
      </c>
      <c r="J10" s="8">
        <f t="shared" si="1"/>
        <v>415.4</v>
      </c>
      <c r="K10" s="8">
        <f t="shared" si="2"/>
        <v>10063.85</v>
      </c>
      <c r="L10" s="148">
        <v>0</v>
      </c>
      <c r="M10" s="8">
        <f t="shared" si="3"/>
        <v>107603.6162</v>
      </c>
      <c r="N10" s="44"/>
      <c r="O10" s="1"/>
    </row>
    <row r="11" spans="1:15">
      <c r="A11" s="46">
        <v>8</v>
      </c>
      <c r="B11" s="201">
        <v>46120</v>
      </c>
      <c r="C11" s="25"/>
      <c r="D11" s="25"/>
      <c r="E11" s="8">
        <v>180.01</v>
      </c>
      <c r="F11" s="8">
        <v>91.89</v>
      </c>
      <c r="G11" s="8">
        <f t="shared" si="0"/>
        <v>16541.118899999998</v>
      </c>
      <c r="H11" s="9">
        <v>4</v>
      </c>
      <c r="I11" s="9">
        <v>103.85</v>
      </c>
      <c r="J11" s="8">
        <f t="shared" si="1"/>
        <v>415.4</v>
      </c>
      <c r="K11" s="8">
        <f t="shared" si="2"/>
        <v>16956.518899999999</v>
      </c>
      <c r="L11" s="148">
        <v>0</v>
      </c>
      <c r="M11" s="8">
        <f t="shared" si="3"/>
        <v>124560.1351</v>
      </c>
      <c r="N11" s="44"/>
      <c r="O11" s="1"/>
    </row>
    <row r="12" spans="1:15">
      <c r="A12" s="46">
        <v>9</v>
      </c>
      <c r="B12" s="201">
        <v>46121</v>
      </c>
      <c r="C12" s="25"/>
      <c r="D12" s="25"/>
      <c r="E12" s="8"/>
      <c r="F12" s="8"/>
      <c r="G12" s="8">
        <f t="shared" si="0"/>
        <v>0</v>
      </c>
      <c r="H12" s="266">
        <v>10</v>
      </c>
      <c r="I12" s="9">
        <v>103.85</v>
      </c>
      <c r="J12" s="8">
        <f t="shared" si="1"/>
        <v>1038.5</v>
      </c>
      <c r="K12" s="8">
        <f t="shared" si="2"/>
        <v>1038.5</v>
      </c>
      <c r="L12" s="148">
        <v>0</v>
      </c>
      <c r="M12" s="8">
        <f t="shared" si="3"/>
        <v>125598.6351</v>
      </c>
      <c r="N12" s="44"/>
      <c r="O12" s="1" t="s">
        <v>263</v>
      </c>
    </row>
    <row r="13" spans="1:15">
      <c r="A13" s="46">
        <v>10</v>
      </c>
      <c r="B13" s="201">
        <v>46122</v>
      </c>
      <c r="C13" s="25"/>
      <c r="D13" s="25"/>
      <c r="E13" s="8"/>
      <c r="F13" s="8"/>
      <c r="G13" s="8">
        <f t="shared" si="0"/>
        <v>0</v>
      </c>
      <c r="H13" s="9"/>
      <c r="I13" s="9"/>
      <c r="J13" s="8">
        <f t="shared" si="1"/>
        <v>0</v>
      </c>
      <c r="K13" s="8">
        <f t="shared" si="2"/>
        <v>0</v>
      </c>
      <c r="L13" s="148">
        <v>0</v>
      </c>
      <c r="M13" s="8">
        <f t="shared" si="3"/>
        <v>125598.6351</v>
      </c>
      <c r="N13" s="44"/>
      <c r="O13" s="1"/>
    </row>
    <row r="14" spans="1:15">
      <c r="A14" s="46">
        <v>11</v>
      </c>
      <c r="B14" s="201">
        <v>46123</v>
      </c>
      <c r="C14" s="25"/>
      <c r="D14" s="25"/>
      <c r="E14" s="8">
        <v>235</v>
      </c>
      <c r="F14" s="8">
        <v>91.89</v>
      </c>
      <c r="G14" s="8">
        <f t="shared" si="0"/>
        <v>21594.15</v>
      </c>
      <c r="H14" s="9">
        <v>11</v>
      </c>
      <c r="I14" s="9">
        <v>103.85</v>
      </c>
      <c r="J14" s="8">
        <f t="shared" si="1"/>
        <v>1142.3499999999999</v>
      </c>
      <c r="K14" s="8">
        <f t="shared" si="2"/>
        <v>22736.5</v>
      </c>
      <c r="L14" s="148">
        <v>100000</v>
      </c>
      <c r="M14" s="8">
        <f t="shared" si="3"/>
        <v>48335.135100000014</v>
      </c>
      <c r="N14" s="44"/>
      <c r="O14" s="1"/>
    </row>
    <row r="15" spans="1:15">
      <c r="A15" s="46">
        <v>12</v>
      </c>
      <c r="B15" s="201">
        <v>46124</v>
      </c>
      <c r="C15" s="25"/>
      <c r="D15" s="25"/>
      <c r="E15" s="8">
        <v>128.01</v>
      </c>
      <c r="F15" s="8">
        <v>91.89</v>
      </c>
      <c r="G15" s="8">
        <f t="shared" si="0"/>
        <v>11762.838899999999</v>
      </c>
      <c r="H15" s="9"/>
      <c r="I15" s="9"/>
      <c r="J15" s="8">
        <f t="shared" si="1"/>
        <v>0</v>
      </c>
      <c r="K15" s="8">
        <f t="shared" si="2"/>
        <v>11762.838899999999</v>
      </c>
      <c r="L15" s="148">
        <v>0</v>
      </c>
      <c r="M15" s="8">
        <f t="shared" si="3"/>
        <v>60097.974000000017</v>
      </c>
      <c r="N15" s="44"/>
      <c r="O15" s="1"/>
    </row>
    <row r="16" spans="1:15">
      <c r="A16" s="46">
        <v>13</v>
      </c>
      <c r="B16" s="201">
        <v>46125</v>
      </c>
      <c r="C16" s="25"/>
      <c r="D16" s="25"/>
      <c r="E16" s="8">
        <v>113</v>
      </c>
      <c r="F16" s="8">
        <v>91.89</v>
      </c>
      <c r="G16" s="8">
        <f t="shared" si="0"/>
        <v>10383.57</v>
      </c>
      <c r="H16" s="9"/>
      <c r="I16" s="9"/>
      <c r="J16" s="8">
        <f t="shared" si="1"/>
        <v>0</v>
      </c>
      <c r="K16" s="8">
        <f t="shared" si="2"/>
        <v>10383.57</v>
      </c>
      <c r="L16" s="148">
        <v>0</v>
      </c>
      <c r="M16" s="8">
        <f>M15+K16-L16</f>
        <v>70481.544000000024</v>
      </c>
      <c r="N16" s="44"/>
      <c r="O16" s="1"/>
    </row>
    <row r="17" spans="1:21">
      <c r="A17" s="46">
        <v>14</v>
      </c>
      <c r="B17" s="201">
        <v>46126</v>
      </c>
      <c r="C17" s="25"/>
      <c r="D17" s="25"/>
      <c r="E17" s="8">
        <v>420</v>
      </c>
      <c r="F17" s="8">
        <v>91.89</v>
      </c>
      <c r="G17" s="8">
        <f t="shared" si="0"/>
        <v>38593.800000000003</v>
      </c>
      <c r="H17" s="9">
        <v>5</v>
      </c>
      <c r="I17" s="9">
        <v>103.85</v>
      </c>
      <c r="J17" s="8">
        <f t="shared" si="1"/>
        <v>519.25</v>
      </c>
      <c r="K17" s="8">
        <f t="shared" si="2"/>
        <v>39113.050000000003</v>
      </c>
      <c r="L17" s="148">
        <v>0</v>
      </c>
      <c r="M17" s="8">
        <f>M16+K17-L17</f>
        <v>109594.59400000003</v>
      </c>
      <c r="N17" s="44"/>
      <c r="O17" s="1"/>
    </row>
    <row r="18" spans="1:21">
      <c r="A18" s="46">
        <v>15</v>
      </c>
      <c r="B18" s="201">
        <v>46127</v>
      </c>
      <c r="C18" s="25"/>
      <c r="D18" s="25"/>
      <c r="E18" s="8">
        <v>130</v>
      </c>
      <c r="F18" s="8">
        <v>91.89</v>
      </c>
      <c r="G18" s="8">
        <f t="shared" si="0"/>
        <v>11945.7</v>
      </c>
      <c r="H18" s="9">
        <v>6</v>
      </c>
      <c r="I18" s="9">
        <v>103.85</v>
      </c>
      <c r="J18" s="8">
        <f t="shared" si="1"/>
        <v>623.09999999999991</v>
      </c>
      <c r="K18" s="8">
        <f t="shared" si="2"/>
        <v>12568.800000000001</v>
      </c>
      <c r="L18" s="148">
        <v>0</v>
      </c>
      <c r="M18" s="8">
        <f t="shared" ref="M18:M36" si="4">M17+K18-L18</f>
        <v>122163.39400000003</v>
      </c>
      <c r="N18" s="44"/>
      <c r="O18" s="1"/>
    </row>
    <row r="19" spans="1:21">
      <c r="A19" s="46">
        <v>16</v>
      </c>
      <c r="B19" s="201">
        <v>46128</v>
      </c>
      <c r="C19" s="25"/>
      <c r="D19" s="25"/>
      <c r="E19" s="8">
        <v>150</v>
      </c>
      <c r="F19" s="8">
        <v>91.89</v>
      </c>
      <c r="G19" s="8">
        <f t="shared" si="0"/>
        <v>13783.5</v>
      </c>
      <c r="H19" s="9"/>
      <c r="I19" s="9"/>
      <c r="J19" s="8">
        <f t="shared" si="1"/>
        <v>0</v>
      </c>
      <c r="K19" s="8">
        <f t="shared" si="2"/>
        <v>13783.5</v>
      </c>
      <c r="L19" s="148">
        <v>0</v>
      </c>
      <c r="M19" s="8">
        <f t="shared" si="4"/>
        <v>135946.89400000003</v>
      </c>
      <c r="N19" s="44"/>
      <c r="O19" s="1"/>
    </row>
    <row r="20" spans="1:21">
      <c r="A20" s="46">
        <v>17</v>
      </c>
      <c r="B20" s="201">
        <v>46129</v>
      </c>
      <c r="C20" s="25"/>
      <c r="D20" s="25"/>
      <c r="E20" s="8"/>
      <c r="F20" s="8"/>
      <c r="G20" s="8">
        <f t="shared" si="0"/>
        <v>0</v>
      </c>
      <c r="H20" s="9">
        <v>5</v>
      </c>
      <c r="I20" s="9">
        <v>103.85</v>
      </c>
      <c r="J20" s="8">
        <f t="shared" si="1"/>
        <v>519.25</v>
      </c>
      <c r="K20" s="8">
        <f t="shared" si="2"/>
        <v>519.25</v>
      </c>
      <c r="L20" s="148">
        <v>0</v>
      </c>
      <c r="M20" s="8">
        <f t="shared" si="4"/>
        <v>136466.14400000003</v>
      </c>
      <c r="N20" s="44"/>
      <c r="O20" s="1"/>
    </row>
    <row r="21" spans="1:21">
      <c r="A21" s="46">
        <v>18</v>
      </c>
      <c r="B21" s="201">
        <v>46130</v>
      </c>
      <c r="C21" s="25"/>
      <c r="D21" s="25"/>
      <c r="E21" s="8">
        <v>305</v>
      </c>
      <c r="F21" s="8">
        <v>91.89</v>
      </c>
      <c r="G21" s="8">
        <f t="shared" si="0"/>
        <v>28026.45</v>
      </c>
      <c r="H21" s="9"/>
      <c r="I21" s="9"/>
      <c r="J21" s="8">
        <f t="shared" si="1"/>
        <v>0</v>
      </c>
      <c r="K21" s="8">
        <f t="shared" si="2"/>
        <v>28026.45</v>
      </c>
      <c r="L21" s="148">
        <v>0</v>
      </c>
      <c r="M21" s="8">
        <f t="shared" si="4"/>
        <v>164492.59400000004</v>
      </c>
      <c r="N21" s="44"/>
      <c r="O21" s="1"/>
    </row>
    <row r="22" spans="1:21">
      <c r="A22" s="46">
        <v>19</v>
      </c>
      <c r="B22" s="201">
        <v>46131</v>
      </c>
      <c r="C22" s="25"/>
      <c r="D22" s="25"/>
      <c r="E22" s="8"/>
      <c r="F22" s="8"/>
      <c r="G22" s="8">
        <f t="shared" si="0"/>
        <v>0</v>
      </c>
      <c r="H22" s="9"/>
      <c r="I22" s="9"/>
      <c r="J22" s="8">
        <f t="shared" si="1"/>
        <v>0</v>
      </c>
      <c r="K22" s="8">
        <f>G22+J22</f>
        <v>0</v>
      </c>
      <c r="L22" s="148">
        <v>0</v>
      </c>
      <c r="M22" s="8">
        <f t="shared" si="4"/>
        <v>164492.59400000004</v>
      </c>
      <c r="N22" s="44"/>
      <c r="O22" s="1"/>
      <c r="U22">
        <f>70+20+E2690</f>
        <v>90</v>
      </c>
    </row>
    <row r="23" spans="1:21">
      <c r="A23" s="46">
        <v>20</v>
      </c>
      <c r="B23" s="201">
        <v>46132</v>
      </c>
      <c r="C23" s="25"/>
      <c r="D23" s="25"/>
      <c r="E23" s="8">
        <v>70</v>
      </c>
      <c r="F23" s="8">
        <v>91.89</v>
      </c>
      <c r="G23" s="8">
        <f t="shared" si="0"/>
        <v>6432.3</v>
      </c>
      <c r="H23" s="9">
        <v>10</v>
      </c>
      <c r="I23" s="9">
        <v>103.85</v>
      </c>
      <c r="J23" s="8">
        <f t="shared" si="1"/>
        <v>1038.5</v>
      </c>
      <c r="K23" s="8">
        <f t="shared" si="2"/>
        <v>7470.8</v>
      </c>
      <c r="L23" s="148">
        <v>0</v>
      </c>
      <c r="M23" s="8">
        <f t="shared" si="4"/>
        <v>171963.39400000003</v>
      </c>
      <c r="N23" s="44"/>
      <c r="O23" s="1"/>
    </row>
    <row r="24" spans="1:21">
      <c r="A24" s="46">
        <v>21</v>
      </c>
      <c r="B24" s="201">
        <v>46133</v>
      </c>
      <c r="C24" s="25"/>
      <c r="D24" s="25"/>
      <c r="E24" s="8">
        <v>35</v>
      </c>
      <c r="F24" s="8">
        <v>91.89</v>
      </c>
      <c r="G24" s="8">
        <f t="shared" si="0"/>
        <v>3216.15</v>
      </c>
      <c r="H24" s="9"/>
      <c r="I24" s="9"/>
      <c r="J24" s="8">
        <f t="shared" si="1"/>
        <v>0</v>
      </c>
      <c r="K24" s="8">
        <f t="shared" si="2"/>
        <v>3216.15</v>
      </c>
      <c r="L24" s="148">
        <v>0</v>
      </c>
      <c r="M24" s="8">
        <f t="shared" si="4"/>
        <v>175179.54400000002</v>
      </c>
      <c r="N24" s="44"/>
      <c r="O24" s="1"/>
    </row>
    <row r="25" spans="1:21">
      <c r="A25" s="46">
        <v>22</v>
      </c>
      <c r="B25" s="201">
        <v>46134</v>
      </c>
      <c r="C25" s="25"/>
      <c r="D25" s="25"/>
      <c r="E25" s="8">
        <v>30</v>
      </c>
      <c r="F25" s="8">
        <v>91.89</v>
      </c>
      <c r="G25" s="8">
        <f t="shared" si="0"/>
        <v>2756.7</v>
      </c>
      <c r="H25" s="9"/>
      <c r="I25" s="9"/>
      <c r="J25" s="8">
        <f t="shared" si="1"/>
        <v>0</v>
      </c>
      <c r="K25" s="8">
        <f>G25+J25</f>
        <v>2756.7</v>
      </c>
      <c r="L25" s="148">
        <v>0</v>
      </c>
      <c r="M25" s="8">
        <f t="shared" si="4"/>
        <v>177936.24400000004</v>
      </c>
      <c r="N25" s="44"/>
      <c r="O25" s="1"/>
    </row>
    <row r="26" spans="1:21">
      <c r="A26" s="46">
        <v>23</v>
      </c>
      <c r="B26" s="201">
        <v>46135</v>
      </c>
      <c r="C26" s="25"/>
      <c r="D26" s="25"/>
      <c r="E26" s="8">
        <v>90</v>
      </c>
      <c r="F26" s="8">
        <v>91.89</v>
      </c>
      <c r="G26" s="8">
        <f t="shared" si="0"/>
        <v>8270.1</v>
      </c>
      <c r="H26" s="9"/>
      <c r="I26" s="9"/>
      <c r="J26" s="8">
        <f t="shared" si="1"/>
        <v>0</v>
      </c>
      <c r="K26" s="8">
        <f>G26+J26</f>
        <v>8270.1</v>
      </c>
      <c r="L26" s="148">
        <v>0</v>
      </c>
      <c r="M26" s="8">
        <f t="shared" si="4"/>
        <v>186206.34400000004</v>
      </c>
      <c r="N26" s="44"/>
      <c r="O26" s="1"/>
    </row>
    <row r="27" spans="1:21">
      <c r="A27" s="46">
        <v>24</v>
      </c>
      <c r="B27" s="201">
        <v>46136</v>
      </c>
      <c r="C27" s="25"/>
      <c r="D27" s="25"/>
      <c r="E27" s="8">
        <v>70</v>
      </c>
      <c r="F27" s="8">
        <v>91.89</v>
      </c>
      <c r="G27" s="8">
        <f t="shared" si="0"/>
        <v>6432.3</v>
      </c>
      <c r="H27" s="9">
        <v>5</v>
      </c>
      <c r="I27" s="9">
        <v>103.85</v>
      </c>
      <c r="J27" s="8">
        <f t="shared" si="1"/>
        <v>519.25</v>
      </c>
      <c r="K27" s="8">
        <f>G27+J27</f>
        <v>6951.55</v>
      </c>
      <c r="L27" s="148">
        <v>0</v>
      </c>
      <c r="M27" s="8">
        <f t="shared" si="4"/>
        <v>193157.89400000003</v>
      </c>
      <c r="N27" s="44"/>
      <c r="O27" s="1"/>
    </row>
    <row r="28" spans="1:21">
      <c r="A28" s="46">
        <v>25</v>
      </c>
      <c r="B28" s="201">
        <v>46137</v>
      </c>
      <c r="C28" s="25"/>
      <c r="D28" s="25"/>
      <c r="E28" s="8">
        <v>100</v>
      </c>
      <c r="F28" s="8">
        <v>91.89</v>
      </c>
      <c r="G28" s="8">
        <f t="shared" si="0"/>
        <v>9189</v>
      </c>
      <c r="H28" s="9"/>
      <c r="I28" s="9"/>
      <c r="J28" s="8">
        <f t="shared" si="1"/>
        <v>0</v>
      </c>
      <c r="K28" s="8">
        <f t="shared" si="2"/>
        <v>9189</v>
      </c>
      <c r="L28" s="148">
        <v>0</v>
      </c>
      <c r="M28" s="8">
        <f t="shared" si="4"/>
        <v>202346.89400000003</v>
      </c>
      <c r="N28" s="44"/>
      <c r="O28" s="1"/>
    </row>
    <row r="29" spans="1:21">
      <c r="A29" s="46">
        <v>26</v>
      </c>
      <c r="B29" s="201">
        <v>46138</v>
      </c>
      <c r="C29" s="25"/>
      <c r="D29" s="25"/>
      <c r="E29" s="8">
        <v>200</v>
      </c>
      <c r="F29" s="8">
        <v>91.89</v>
      </c>
      <c r="G29" s="8">
        <f t="shared" si="0"/>
        <v>18378</v>
      </c>
      <c r="H29" s="9">
        <v>5</v>
      </c>
      <c r="I29" s="9">
        <v>103.85</v>
      </c>
      <c r="J29" s="8">
        <f t="shared" si="1"/>
        <v>519.25</v>
      </c>
      <c r="K29" s="8">
        <f t="shared" si="2"/>
        <v>18897.25</v>
      </c>
      <c r="L29" s="148">
        <v>0</v>
      </c>
      <c r="M29" s="8">
        <f t="shared" si="4"/>
        <v>221244.14400000003</v>
      </c>
      <c r="N29" s="44"/>
      <c r="O29" s="1"/>
    </row>
    <row r="30" spans="1:21">
      <c r="A30" s="46">
        <v>27</v>
      </c>
      <c r="B30" s="201">
        <v>46139</v>
      </c>
      <c r="C30" s="25"/>
      <c r="D30" s="25"/>
      <c r="E30" s="8">
        <v>20</v>
      </c>
      <c r="F30" s="8">
        <v>91.89</v>
      </c>
      <c r="G30" s="8">
        <f t="shared" si="0"/>
        <v>1837.8</v>
      </c>
      <c r="H30" s="9">
        <v>10</v>
      </c>
      <c r="I30" s="9">
        <v>103.85</v>
      </c>
      <c r="J30" s="8">
        <f t="shared" si="1"/>
        <v>1038.5</v>
      </c>
      <c r="K30" s="8">
        <f t="shared" si="2"/>
        <v>2876.3</v>
      </c>
      <c r="L30" s="148">
        <v>0</v>
      </c>
      <c r="M30" s="8">
        <f t="shared" si="4"/>
        <v>224120.44400000002</v>
      </c>
      <c r="N30" s="44"/>
      <c r="O30" s="1"/>
    </row>
    <row r="31" spans="1:21">
      <c r="A31" s="46">
        <v>28</v>
      </c>
      <c r="B31" s="201">
        <v>46140</v>
      </c>
      <c r="C31" s="25"/>
      <c r="D31" s="25"/>
      <c r="E31" s="8">
        <v>119</v>
      </c>
      <c r="F31" s="8">
        <v>91.89</v>
      </c>
      <c r="G31" s="8">
        <f t="shared" si="0"/>
        <v>10934.91</v>
      </c>
      <c r="H31" s="9">
        <v>11</v>
      </c>
      <c r="I31" s="9">
        <v>103.85</v>
      </c>
      <c r="J31" s="8">
        <f>H31*I31</f>
        <v>1142.3499999999999</v>
      </c>
      <c r="K31" s="8">
        <f t="shared" si="2"/>
        <v>12077.26</v>
      </c>
      <c r="L31" s="148">
        <v>0</v>
      </c>
      <c r="M31" s="8">
        <f t="shared" si="4"/>
        <v>236197.70400000003</v>
      </c>
      <c r="N31" s="44"/>
      <c r="O31" s="1"/>
    </row>
    <row r="32" spans="1:21">
      <c r="A32" s="46">
        <v>29</v>
      </c>
      <c r="B32" s="201">
        <v>46141</v>
      </c>
      <c r="C32" s="25"/>
      <c r="D32" s="25"/>
      <c r="E32" s="8">
        <v>300</v>
      </c>
      <c r="F32" s="8">
        <v>91.89</v>
      </c>
      <c r="G32" s="8">
        <f t="shared" si="0"/>
        <v>27567</v>
      </c>
      <c r="H32" s="9">
        <v>4</v>
      </c>
      <c r="I32" s="9">
        <v>103.85</v>
      </c>
      <c r="J32" s="8">
        <f t="shared" si="1"/>
        <v>415.4</v>
      </c>
      <c r="K32" s="8">
        <f t="shared" si="2"/>
        <v>27982.400000000001</v>
      </c>
      <c r="L32" s="148">
        <v>0</v>
      </c>
      <c r="M32" s="8">
        <f t="shared" si="4"/>
        <v>264180.10400000005</v>
      </c>
      <c r="N32" s="44"/>
      <c r="O32" s="1"/>
    </row>
    <row r="33" spans="1:15">
      <c r="A33" s="46">
        <v>30</v>
      </c>
      <c r="B33" s="201">
        <v>46142</v>
      </c>
      <c r="C33" s="25"/>
      <c r="D33" s="25"/>
      <c r="E33" s="8">
        <v>20</v>
      </c>
      <c r="F33" s="8">
        <v>91.89</v>
      </c>
      <c r="G33" s="8">
        <f t="shared" si="0"/>
        <v>1837.8</v>
      </c>
      <c r="H33" s="9"/>
      <c r="I33" s="9"/>
      <c r="J33" s="8">
        <f t="shared" si="1"/>
        <v>0</v>
      </c>
      <c r="K33" s="8">
        <f t="shared" si="2"/>
        <v>1837.8</v>
      </c>
      <c r="L33" s="148">
        <v>0</v>
      </c>
      <c r="M33" s="8">
        <f t="shared" si="4"/>
        <v>266017.90400000004</v>
      </c>
      <c r="N33" s="44"/>
      <c r="O33" s="1"/>
    </row>
    <row r="34" spans="1:15">
      <c r="A34" s="46">
        <v>31</v>
      </c>
      <c r="B34" s="201"/>
      <c r="C34" s="25"/>
      <c r="D34" s="25"/>
      <c r="E34" s="8"/>
      <c r="F34" s="8"/>
      <c r="G34" s="8">
        <f t="shared" si="0"/>
        <v>0</v>
      </c>
      <c r="H34" s="9"/>
      <c r="I34" s="9"/>
      <c r="J34" s="8">
        <f t="shared" si="1"/>
        <v>0</v>
      </c>
      <c r="K34" s="8">
        <f t="shared" si="2"/>
        <v>0</v>
      </c>
      <c r="L34" s="148">
        <v>0</v>
      </c>
      <c r="M34" s="8">
        <f t="shared" si="4"/>
        <v>266017.90400000004</v>
      </c>
      <c r="N34" s="44"/>
      <c r="O34" s="1"/>
    </row>
    <row r="35" spans="1:15">
      <c r="A35" s="46">
        <v>32</v>
      </c>
      <c r="B35" s="201"/>
      <c r="C35" s="25"/>
      <c r="D35" s="25"/>
      <c r="E35" s="8"/>
      <c r="F35" s="8"/>
      <c r="G35" s="8">
        <f t="shared" si="0"/>
        <v>0</v>
      </c>
      <c r="H35" s="9"/>
      <c r="I35" s="9"/>
      <c r="J35" s="8">
        <f t="shared" si="1"/>
        <v>0</v>
      </c>
      <c r="K35" s="8">
        <f t="shared" si="2"/>
        <v>0</v>
      </c>
      <c r="L35" s="148">
        <v>0</v>
      </c>
      <c r="M35" s="8">
        <f t="shared" si="4"/>
        <v>266017.90400000004</v>
      </c>
      <c r="N35" s="44"/>
      <c r="O35" s="1"/>
    </row>
    <row r="36" spans="1:15">
      <c r="A36" s="196"/>
      <c r="B36" s="201"/>
      <c r="C36" s="25"/>
      <c r="D36" s="25"/>
      <c r="E36" s="8"/>
      <c r="F36" s="8"/>
      <c r="G36" s="8"/>
      <c r="H36" s="9">
        <v>0</v>
      </c>
      <c r="I36" s="9">
        <v>0</v>
      </c>
      <c r="J36" s="8"/>
      <c r="K36" s="8"/>
      <c r="L36" s="148"/>
      <c r="M36" s="8">
        <f t="shared" si="4"/>
        <v>266017.90400000004</v>
      </c>
      <c r="N36" s="44"/>
      <c r="O36" s="1"/>
    </row>
    <row r="37" spans="1:15">
      <c r="A37" s="62"/>
      <c r="B37" s="62"/>
      <c r="C37" s="62"/>
      <c r="D37" s="62"/>
      <c r="E37" s="63">
        <f>SUM(E4:E35)</f>
        <v>3860.0299999999997</v>
      </c>
      <c r="F37" s="63"/>
      <c r="G37" s="63">
        <f>SUM(G4:G35)</f>
        <v>354698.15669999999</v>
      </c>
      <c r="H37" s="63">
        <f>SUM(H4:H35)</f>
        <v>109</v>
      </c>
      <c r="I37" s="63"/>
      <c r="J37" s="63">
        <f>SUM(J4:J35)</f>
        <v>11319.65</v>
      </c>
      <c r="K37" s="63">
        <f>SUM(K4:K35)</f>
        <v>366017.80670000002</v>
      </c>
      <c r="L37" s="63">
        <f>SUM(L4:L35)</f>
        <v>363742</v>
      </c>
      <c r="M37" s="63"/>
      <c r="N37" s="63"/>
      <c r="O37" s="59"/>
    </row>
    <row r="38" spans="1:15">
      <c r="A38" s="2"/>
      <c r="B38" s="2"/>
      <c r="C38" s="2"/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1"/>
    </row>
    <row r="39" spans="1:15">
      <c r="A39" s="1"/>
      <c r="B39" s="1"/>
      <c r="C39" s="1"/>
      <c r="D39" s="1"/>
      <c r="E39" s="1"/>
      <c r="F39" s="1"/>
      <c r="G39" s="3"/>
      <c r="H39" s="1"/>
      <c r="I39" s="1"/>
      <c r="J39" s="1"/>
      <c r="K39" s="1"/>
      <c r="L39" s="8"/>
      <c r="M39" s="1"/>
      <c r="N39" s="1"/>
      <c r="O39" s="4"/>
    </row>
    <row r="40" spans="1:15">
      <c r="A40" s="1"/>
      <c r="B40" s="472"/>
      <c r="C40" s="472"/>
      <c r="D40" s="472"/>
      <c r="E40" s="472"/>
      <c r="F40" s="1"/>
      <c r="G40" s="1"/>
      <c r="H40" s="1"/>
      <c r="I40" s="510">
        <f>K25+L25</f>
        <v>2756.7</v>
      </c>
      <c r="J40" s="472"/>
      <c r="K40" s="472"/>
      <c r="L40" s="472"/>
      <c r="M40" s="472"/>
      <c r="N40" s="472"/>
      <c r="O40" s="4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</sheetData>
  <mergeCells count="3">
    <mergeCell ref="A1:N1"/>
    <mergeCell ref="B40:E40"/>
    <mergeCell ref="I40:N40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C07-664F-47CB-AB94-1FA0A3439A5B}">
  <sheetPr>
    <tabColor rgb="FF7030A0"/>
  </sheetPr>
  <dimension ref="A1:R44"/>
  <sheetViews>
    <sheetView workbookViewId="0">
      <pane ySplit="2" topLeftCell="A3" activePane="bottomLeft" state="frozen"/>
      <selection pane="bottomLeft" activeCell="M34" sqref="M34"/>
    </sheetView>
  </sheetViews>
  <sheetFormatPr defaultRowHeight="15"/>
  <cols>
    <col min="2" max="2" width="11.5703125" bestFit="1" customWidth="1"/>
    <col min="4" max="4" width="16" bestFit="1" customWidth="1"/>
    <col min="5" max="5" width="11.85546875" customWidth="1"/>
    <col min="6" max="6" width="13.7109375" customWidth="1"/>
    <col min="7" max="7" width="10.85546875" bestFit="1" customWidth="1"/>
    <col min="8" max="8" width="11.7109375" customWidth="1"/>
    <col min="10" max="10" width="12" customWidth="1"/>
    <col min="11" max="11" width="11.85546875" customWidth="1"/>
    <col min="12" max="13" width="14" customWidth="1"/>
    <col min="14" max="14" width="14.85546875" customWidth="1"/>
    <col min="15" max="15" width="18.5703125" customWidth="1"/>
    <col min="16" max="16" width="13" customWidth="1"/>
  </cols>
  <sheetData>
    <row r="1" spans="1:16" ht="15.75">
      <c r="A1" s="481" t="s">
        <v>140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82"/>
    </row>
    <row r="2" spans="1:16">
      <c r="A2" s="98" t="s">
        <v>0</v>
      </c>
      <c r="B2" s="99" t="s">
        <v>164</v>
      </c>
      <c r="C2" s="99" t="s">
        <v>165</v>
      </c>
      <c r="D2" s="99" t="s">
        <v>208</v>
      </c>
      <c r="E2" s="99" t="s">
        <v>167</v>
      </c>
      <c r="F2" s="99" t="s">
        <v>168</v>
      </c>
      <c r="G2" s="99" t="s">
        <v>169</v>
      </c>
      <c r="H2" s="99" t="s">
        <v>170</v>
      </c>
      <c r="I2" s="99" t="s">
        <v>168</v>
      </c>
      <c r="J2" s="138" t="s">
        <v>169</v>
      </c>
      <c r="K2" s="100" t="s">
        <v>171</v>
      </c>
      <c r="L2" s="139" t="s">
        <v>172</v>
      </c>
      <c r="M2" s="143" t="s">
        <v>209</v>
      </c>
      <c r="N2" s="101" t="s">
        <v>174</v>
      </c>
      <c r="O2" s="59"/>
    </row>
    <row r="3" spans="1:16">
      <c r="A3" s="482" t="s">
        <v>175</v>
      </c>
      <c r="B3" s="483"/>
      <c r="C3" s="483"/>
      <c r="D3" s="483"/>
      <c r="E3" s="483"/>
      <c r="F3" s="483"/>
      <c r="G3" s="483"/>
      <c r="H3" s="483"/>
      <c r="I3" s="483"/>
      <c r="J3" s="484"/>
      <c r="K3" s="163">
        <v>47365.079499999978</v>
      </c>
      <c r="L3" s="17"/>
      <c r="M3" s="105">
        <v>47365.079499999978</v>
      </c>
      <c r="N3" s="17"/>
      <c r="O3" s="59"/>
    </row>
    <row r="4" spans="1:16">
      <c r="A4" s="46">
        <v>1</v>
      </c>
      <c r="B4" s="201">
        <v>46113</v>
      </c>
      <c r="C4" s="151"/>
      <c r="D4" s="152"/>
      <c r="E4" s="153"/>
      <c r="F4" s="153"/>
      <c r="G4" s="140">
        <f>E4*F4</f>
        <v>0</v>
      </c>
      <c r="H4" s="153"/>
      <c r="I4" s="154"/>
      <c r="J4" s="20">
        <f>H4*I4</f>
        <v>0</v>
      </c>
      <c r="K4" s="20">
        <f>G4+J4</f>
        <v>0</v>
      </c>
      <c r="L4" s="141"/>
      <c r="M4" s="141">
        <f t="shared" ref="M4:M21" si="0">M3+K4-L4</f>
        <v>47365.079499999978</v>
      </c>
      <c r="N4" s="142"/>
    </row>
    <row r="5" spans="1:16">
      <c r="A5" s="46">
        <v>2</v>
      </c>
      <c r="B5" s="201">
        <v>46114</v>
      </c>
      <c r="C5" s="11"/>
      <c r="D5" s="11"/>
      <c r="E5" s="153">
        <v>80</v>
      </c>
      <c r="F5" s="153">
        <v>91.83</v>
      </c>
      <c r="G5" s="140">
        <f t="shared" ref="G5:G34" si="1">E5*F5</f>
        <v>7346.4</v>
      </c>
      <c r="H5" s="153">
        <v>10</v>
      </c>
      <c r="I5" s="154">
        <v>103.8</v>
      </c>
      <c r="J5" s="20">
        <f t="shared" ref="J5:J34" si="2">H5*I5</f>
        <v>1038</v>
      </c>
      <c r="K5" s="20">
        <f t="shared" ref="K5:K34" si="3">G5+J5</f>
        <v>8384.4</v>
      </c>
      <c r="L5" s="141"/>
      <c r="M5" s="14">
        <f t="shared" si="0"/>
        <v>55749.479499999979</v>
      </c>
      <c r="N5" s="12"/>
    </row>
    <row r="6" spans="1:16">
      <c r="A6" s="46">
        <v>3</v>
      </c>
      <c r="B6" s="201">
        <v>46115</v>
      </c>
      <c r="C6" s="11"/>
      <c r="D6" s="11"/>
      <c r="E6" s="153"/>
      <c r="F6" s="153"/>
      <c r="G6" s="140">
        <f t="shared" si="1"/>
        <v>0</v>
      </c>
      <c r="H6" s="153"/>
      <c r="I6" s="154"/>
      <c r="J6" s="20">
        <f t="shared" si="2"/>
        <v>0</v>
      </c>
      <c r="K6" s="20">
        <f t="shared" si="3"/>
        <v>0</v>
      </c>
      <c r="L6" s="141"/>
      <c r="M6" s="14">
        <f t="shared" si="0"/>
        <v>55749.479499999979</v>
      </c>
      <c r="N6" s="13"/>
    </row>
    <row r="7" spans="1:16">
      <c r="A7" s="46">
        <v>4</v>
      </c>
      <c r="B7" s="201">
        <v>46116</v>
      </c>
      <c r="C7" s="70"/>
      <c r="D7" s="71"/>
      <c r="E7" s="153"/>
      <c r="F7" s="153"/>
      <c r="G7" s="140">
        <f t="shared" si="1"/>
        <v>0</v>
      </c>
      <c r="H7" s="153"/>
      <c r="I7" s="154"/>
      <c r="J7" s="20">
        <f t="shared" si="2"/>
        <v>0</v>
      </c>
      <c r="K7" s="20">
        <f t="shared" si="3"/>
        <v>0</v>
      </c>
      <c r="L7" s="141">
        <v>47365</v>
      </c>
      <c r="M7" s="14">
        <f t="shared" si="0"/>
        <v>8384.4794999999795</v>
      </c>
      <c r="N7" s="41"/>
    </row>
    <row r="8" spans="1:16">
      <c r="A8" s="46">
        <v>5</v>
      </c>
      <c r="B8" s="201">
        <v>46117</v>
      </c>
      <c r="C8" s="70"/>
      <c r="D8" s="71"/>
      <c r="E8" s="153"/>
      <c r="F8" s="153"/>
      <c r="G8" s="140">
        <f t="shared" si="1"/>
        <v>0</v>
      </c>
      <c r="H8" s="153"/>
      <c r="I8" s="154"/>
      <c r="J8" s="20">
        <f t="shared" si="2"/>
        <v>0</v>
      </c>
      <c r="K8" s="20">
        <f t="shared" si="3"/>
        <v>0</v>
      </c>
      <c r="L8" s="141"/>
      <c r="M8" s="14">
        <f t="shared" si="0"/>
        <v>8384.4794999999795</v>
      </c>
      <c r="N8" s="41"/>
      <c r="O8" s="243">
        <v>8497892194</v>
      </c>
      <c r="P8" s="244" t="s">
        <v>266</v>
      </c>
    </row>
    <row r="9" spans="1:16">
      <c r="A9" s="46">
        <v>6</v>
      </c>
      <c r="B9" s="201">
        <v>46118</v>
      </c>
      <c r="C9" s="70"/>
      <c r="D9" s="71"/>
      <c r="E9" s="153"/>
      <c r="F9" s="153"/>
      <c r="G9" s="140">
        <f t="shared" si="1"/>
        <v>0</v>
      </c>
      <c r="H9" s="153"/>
      <c r="I9" s="154"/>
      <c r="J9" s="20">
        <f t="shared" si="2"/>
        <v>0</v>
      </c>
      <c r="K9" s="20">
        <f t="shared" si="3"/>
        <v>0</v>
      </c>
      <c r="L9" s="141"/>
      <c r="M9" s="14">
        <f t="shared" si="0"/>
        <v>8384.4794999999795</v>
      </c>
      <c r="N9" s="41"/>
      <c r="O9" s="69"/>
    </row>
    <row r="10" spans="1:16">
      <c r="A10" s="46">
        <v>7</v>
      </c>
      <c r="B10" s="201">
        <v>46119</v>
      </c>
      <c r="C10" s="70"/>
      <c r="D10" s="71"/>
      <c r="E10" s="153">
        <v>100</v>
      </c>
      <c r="F10" s="153">
        <v>91.83</v>
      </c>
      <c r="G10" s="140">
        <f t="shared" si="1"/>
        <v>9183</v>
      </c>
      <c r="H10" s="153"/>
      <c r="I10" s="154"/>
      <c r="J10" s="20">
        <f t="shared" si="2"/>
        <v>0</v>
      </c>
      <c r="K10" s="20">
        <f t="shared" si="3"/>
        <v>9183</v>
      </c>
      <c r="L10" s="141"/>
      <c r="M10" s="14">
        <f t="shared" si="0"/>
        <v>17567.479499999979</v>
      </c>
      <c r="N10" s="41"/>
      <c r="O10" s="69"/>
    </row>
    <row r="11" spans="1:16">
      <c r="A11" s="46">
        <v>8</v>
      </c>
      <c r="B11" s="201">
        <v>46120</v>
      </c>
      <c r="C11" s="70"/>
      <c r="D11" s="71"/>
      <c r="E11" s="153"/>
      <c r="F11" s="153"/>
      <c r="G11" s="140">
        <f t="shared" si="1"/>
        <v>0</v>
      </c>
      <c r="H11" s="153">
        <v>10</v>
      </c>
      <c r="I11" s="154">
        <v>103.8</v>
      </c>
      <c r="J11" s="20">
        <f t="shared" si="2"/>
        <v>1038</v>
      </c>
      <c r="K11" s="20">
        <f t="shared" si="3"/>
        <v>1038</v>
      </c>
      <c r="L11" s="141"/>
      <c r="M11" s="14">
        <f t="shared" si="0"/>
        <v>18605.479499999979</v>
      </c>
      <c r="N11" s="41"/>
      <c r="O11" s="69"/>
    </row>
    <row r="12" spans="1:16">
      <c r="A12" s="46">
        <v>9</v>
      </c>
      <c r="B12" s="201">
        <v>46121</v>
      </c>
      <c r="C12" s="70"/>
      <c r="D12" s="71"/>
      <c r="E12" s="153"/>
      <c r="F12" s="153"/>
      <c r="G12" s="140">
        <f t="shared" si="1"/>
        <v>0</v>
      </c>
      <c r="H12" s="153">
        <v>5</v>
      </c>
      <c r="I12" s="154">
        <v>103.8</v>
      </c>
      <c r="J12" s="20">
        <f t="shared" si="2"/>
        <v>519</v>
      </c>
      <c r="K12" s="20">
        <f t="shared" si="3"/>
        <v>519</v>
      </c>
      <c r="L12" s="141"/>
      <c r="M12" s="14">
        <f t="shared" si="0"/>
        <v>19124.479499999979</v>
      </c>
      <c r="N12" s="41"/>
      <c r="O12" s="69"/>
    </row>
    <row r="13" spans="1:16">
      <c r="A13" s="46">
        <v>10</v>
      </c>
      <c r="B13" s="201">
        <v>46122</v>
      </c>
      <c r="C13" s="70"/>
      <c r="D13" s="71"/>
      <c r="E13" s="153">
        <v>100</v>
      </c>
      <c r="F13" s="153">
        <v>91.83</v>
      </c>
      <c r="G13" s="140">
        <f t="shared" si="1"/>
        <v>9183</v>
      </c>
      <c r="H13" s="153"/>
      <c r="I13" s="154"/>
      <c r="J13" s="20">
        <f t="shared" si="2"/>
        <v>0</v>
      </c>
      <c r="K13" s="20">
        <f t="shared" si="3"/>
        <v>9183</v>
      </c>
      <c r="L13" s="141"/>
      <c r="M13" s="14">
        <f t="shared" si="0"/>
        <v>28307.479499999979</v>
      </c>
      <c r="N13" s="41"/>
      <c r="O13" s="69"/>
    </row>
    <row r="14" spans="1:16">
      <c r="A14" s="46">
        <v>11</v>
      </c>
      <c r="B14" s="201">
        <v>46123</v>
      </c>
      <c r="C14" s="70"/>
      <c r="D14" s="71"/>
      <c r="E14" s="153"/>
      <c r="F14" s="153"/>
      <c r="G14" s="140">
        <f t="shared" si="1"/>
        <v>0</v>
      </c>
      <c r="H14" s="153"/>
      <c r="I14" s="154"/>
      <c r="J14" s="20">
        <f t="shared" si="2"/>
        <v>0</v>
      </c>
      <c r="K14" s="20">
        <f t="shared" si="3"/>
        <v>0</v>
      </c>
      <c r="L14" s="141"/>
      <c r="M14" s="14">
        <f t="shared" si="0"/>
        <v>28307.479499999979</v>
      </c>
      <c r="N14" s="41"/>
      <c r="O14" s="69"/>
    </row>
    <row r="15" spans="1:16">
      <c r="A15" s="46">
        <v>12</v>
      </c>
      <c r="B15" s="201">
        <v>46124</v>
      </c>
      <c r="C15" s="70"/>
      <c r="D15" s="71"/>
      <c r="E15" s="153"/>
      <c r="F15" s="153"/>
      <c r="G15" s="140">
        <f t="shared" si="1"/>
        <v>0</v>
      </c>
      <c r="H15" s="153"/>
      <c r="I15" s="154"/>
      <c r="J15" s="20">
        <f t="shared" si="2"/>
        <v>0</v>
      </c>
      <c r="K15" s="20">
        <f t="shared" si="3"/>
        <v>0</v>
      </c>
      <c r="L15" s="141"/>
      <c r="M15" s="14">
        <f t="shared" si="0"/>
        <v>28307.479499999979</v>
      </c>
      <c r="N15" s="41"/>
      <c r="O15" s="69"/>
    </row>
    <row r="16" spans="1:16">
      <c r="A16" s="46">
        <v>13</v>
      </c>
      <c r="B16" s="201">
        <v>46125</v>
      </c>
      <c r="C16" s="70"/>
      <c r="D16" s="71"/>
      <c r="E16" s="153">
        <v>10</v>
      </c>
      <c r="F16" s="153">
        <v>91.83</v>
      </c>
      <c r="G16" s="140">
        <f t="shared" si="1"/>
        <v>918.3</v>
      </c>
      <c r="H16" s="153">
        <v>5</v>
      </c>
      <c r="I16" s="154">
        <v>103.8</v>
      </c>
      <c r="J16" s="20">
        <f t="shared" si="2"/>
        <v>519</v>
      </c>
      <c r="K16" s="20">
        <f t="shared" si="3"/>
        <v>1437.3</v>
      </c>
      <c r="L16" s="141"/>
      <c r="M16" s="242">
        <f t="shared" si="0"/>
        <v>29744.779499999979</v>
      </c>
      <c r="N16" s="41"/>
      <c r="O16" s="69"/>
    </row>
    <row r="17" spans="1:18">
      <c r="A17" s="46">
        <v>14</v>
      </c>
      <c r="B17" s="201">
        <v>46126</v>
      </c>
      <c r="C17" s="70"/>
      <c r="D17" s="71"/>
      <c r="E17" s="153"/>
      <c r="F17" s="153"/>
      <c r="G17" s="140">
        <f t="shared" si="1"/>
        <v>0</v>
      </c>
      <c r="H17" s="153"/>
      <c r="I17" s="154"/>
      <c r="J17" s="20">
        <f t="shared" si="2"/>
        <v>0</v>
      </c>
      <c r="K17" s="20">
        <f t="shared" si="3"/>
        <v>0</v>
      </c>
      <c r="L17" s="141"/>
      <c r="M17" s="14">
        <f t="shared" si="0"/>
        <v>29744.779499999979</v>
      </c>
      <c r="N17" s="41"/>
      <c r="O17" s="69"/>
    </row>
    <row r="18" spans="1:18">
      <c r="A18" s="46">
        <v>15</v>
      </c>
      <c r="B18" s="201">
        <v>46127</v>
      </c>
      <c r="C18" s="70"/>
      <c r="D18" s="71"/>
      <c r="E18" s="153"/>
      <c r="F18" s="153"/>
      <c r="G18" s="140">
        <f t="shared" si="1"/>
        <v>0</v>
      </c>
      <c r="H18" s="153"/>
      <c r="I18" s="154"/>
      <c r="J18" s="20">
        <f t="shared" si="2"/>
        <v>0</v>
      </c>
      <c r="K18" s="20">
        <f t="shared" si="3"/>
        <v>0</v>
      </c>
      <c r="L18" s="141"/>
      <c r="M18" s="14">
        <f t="shared" si="0"/>
        <v>29744.779499999979</v>
      </c>
      <c r="N18" s="41"/>
      <c r="O18" s="69"/>
    </row>
    <row r="19" spans="1:18">
      <c r="A19" s="46">
        <v>16</v>
      </c>
      <c r="B19" s="201">
        <v>46128</v>
      </c>
      <c r="C19" s="190"/>
      <c r="D19" s="191"/>
      <c r="E19" s="153">
        <v>50</v>
      </c>
      <c r="F19" s="153">
        <v>91.83</v>
      </c>
      <c r="G19" s="140">
        <f t="shared" si="1"/>
        <v>4591.5</v>
      </c>
      <c r="H19" s="153"/>
      <c r="I19" s="154"/>
      <c r="J19" s="20">
        <f t="shared" si="2"/>
        <v>0</v>
      </c>
      <c r="K19" s="20">
        <f t="shared" si="3"/>
        <v>4591.5</v>
      </c>
      <c r="L19" s="141"/>
      <c r="M19" s="15">
        <f t="shared" si="0"/>
        <v>34336.279499999975</v>
      </c>
      <c r="N19" s="192"/>
      <c r="O19" s="69"/>
    </row>
    <row r="20" spans="1:18">
      <c r="A20" s="46">
        <v>17</v>
      </c>
      <c r="B20" s="201">
        <v>46129</v>
      </c>
      <c r="C20" s="67"/>
      <c r="D20" s="71"/>
      <c r="E20" s="153"/>
      <c r="F20" s="153"/>
      <c r="G20" s="140">
        <f t="shared" si="1"/>
        <v>0</v>
      </c>
      <c r="H20" s="153"/>
      <c r="I20" s="154"/>
      <c r="J20" s="20">
        <f t="shared" si="2"/>
        <v>0</v>
      </c>
      <c r="K20" s="20">
        <f t="shared" si="3"/>
        <v>0</v>
      </c>
      <c r="L20" s="141"/>
      <c r="M20" s="15">
        <f t="shared" si="0"/>
        <v>34336.279499999975</v>
      </c>
      <c r="N20" s="41"/>
      <c r="O20" s="69"/>
    </row>
    <row r="21" spans="1:18">
      <c r="A21" s="46">
        <v>18</v>
      </c>
      <c r="B21" s="201">
        <v>46130</v>
      </c>
      <c r="C21" s="67"/>
      <c r="D21" s="71"/>
      <c r="E21" s="153"/>
      <c r="F21" s="153"/>
      <c r="G21" s="140">
        <f t="shared" si="1"/>
        <v>0</v>
      </c>
      <c r="H21" s="153">
        <v>14</v>
      </c>
      <c r="I21" s="154">
        <v>103.8</v>
      </c>
      <c r="J21" s="20">
        <f t="shared" si="2"/>
        <v>1453.2</v>
      </c>
      <c r="K21" s="20">
        <f t="shared" si="3"/>
        <v>1453.2</v>
      </c>
      <c r="L21" s="141"/>
      <c r="M21" s="15">
        <f t="shared" si="0"/>
        <v>35789.479499999972</v>
      </c>
      <c r="N21" s="41"/>
      <c r="O21" s="69"/>
    </row>
    <row r="22" spans="1:18">
      <c r="A22" s="46">
        <v>19</v>
      </c>
      <c r="B22" s="201">
        <v>46131</v>
      </c>
      <c r="C22" s="67"/>
      <c r="D22" s="71"/>
      <c r="E22" s="153"/>
      <c r="F22" s="153"/>
      <c r="G22" s="140">
        <f t="shared" si="1"/>
        <v>0</v>
      </c>
      <c r="H22" s="153"/>
      <c r="I22" s="154"/>
      <c r="J22" s="20">
        <f t="shared" si="2"/>
        <v>0</v>
      </c>
      <c r="K22" s="20">
        <f t="shared" si="3"/>
        <v>0</v>
      </c>
      <c r="L22" s="141"/>
      <c r="M22" s="15">
        <f t="shared" ref="M22:M30" si="4">M21+K22-L22</f>
        <v>35789.479499999972</v>
      </c>
      <c r="N22" s="41"/>
      <c r="O22" s="69"/>
    </row>
    <row r="23" spans="1:18">
      <c r="A23" s="46">
        <v>20</v>
      </c>
      <c r="B23" s="201">
        <v>46132</v>
      </c>
      <c r="C23" s="67"/>
      <c r="D23" s="71"/>
      <c r="E23" s="153"/>
      <c r="F23" s="153"/>
      <c r="G23" s="140">
        <f t="shared" si="1"/>
        <v>0</v>
      </c>
      <c r="H23" s="153"/>
      <c r="I23" s="154"/>
      <c r="J23" s="20">
        <f t="shared" si="2"/>
        <v>0</v>
      </c>
      <c r="K23" s="20">
        <f t="shared" si="3"/>
        <v>0</v>
      </c>
      <c r="L23" s="141"/>
      <c r="M23" s="15">
        <f t="shared" si="4"/>
        <v>35789.479499999972</v>
      </c>
      <c r="N23" s="41"/>
      <c r="O23" s="69"/>
    </row>
    <row r="24" spans="1:18">
      <c r="A24" s="46">
        <v>21</v>
      </c>
      <c r="B24" s="201">
        <v>46133</v>
      </c>
      <c r="C24" s="67"/>
      <c r="D24" s="71"/>
      <c r="E24" s="153"/>
      <c r="F24" s="153"/>
      <c r="G24" s="140">
        <f t="shared" si="1"/>
        <v>0</v>
      </c>
      <c r="H24" s="153"/>
      <c r="I24" s="154"/>
      <c r="J24" s="20">
        <f t="shared" si="2"/>
        <v>0</v>
      </c>
      <c r="K24" s="20">
        <f t="shared" si="3"/>
        <v>0</v>
      </c>
      <c r="L24" s="141"/>
      <c r="M24" s="15">
        <f t="shared" si="4"/>
        <v>35789.479499999972</v>
      </c>
      <c r="N24" s="41"/>
      <c r="O24" s="69"/>
    </row>
    <row r="25" spans="1:18">
      <c r="A25" s="46">
        <v>22</v>
      </c>
      <c r="B25" s="201">
        <v>46134</v>
      </c>
      <c r="C25" s="67"/>
      <c r="D25" s="71"/>
      <c r="E25" s="153"/>
      <c r="F25" s="153"/>
      <c r="G25" s="140">
        <f t="shared" si="1"/>
        <v>0</v>
      </c>
      <c r="H25" s="153"/>
      <c r="I25" s="154"/>
      <c r="J25" s="20">
        <f t="shared" si="2"/>
        <v>0</v>
      </c>
      <c r="K25" s="20">
        <f t="shared" si="3"/>
        <v>0</v>
      </c>
      <c r="L25" s="141"/>
      <c r="M25" s="15">
        <f t="shared" si="4"/>
        <v>35789.479499999972</v>
      </c>
      <c r="N25" s="41"/>
      <c r="O25" s="69"/>
    </row>
    <row r="26" spans="1:18">
      <c r="A26" s="46">
        <v>23</v>
      </c>
      <c r="B26" s="201">
        <v>46135</v>
      </c>
      <c r="C26" s="67"/>
      <c r="D26" s="71"/>
      <c r="E26" s="153"/>
      <c r="F26" s="153"/>
      <c r="G26" s="140">
        <f t="shared" si="1"/>
        <v>0</v>
      </c>
      <c r="H26" s="153"/>
      <c r="I26" s="154"/>
      <c r="J26" s="20">
        <f t="shared" si="2"/>
        <v>0</v>
      </c>
      <c r="K26" s="20">
        <f t="shared" si="3"/>
        <v>0</v>
      </c>
      <c r="L26" s="141"/>
      <c r="M26" s="15">
        <f t="shared" si="4"/>
        <v>35789.479499999972</v>
      </c>
      <c r="N26" s="41"/>
      <c r="O26" s="69"/>
    </row>
    <row r="27" spans="1:18">
      <c r="A27" s="46">
        <v>24</v>
      </c>
      <c r="B27" s="201">
        <v>46136</v>
      </c>
      <c r="C27" s="67"/>
      <c r="D27" s="71"/>
      <c r="E27" s="153"/>
      <c r="F27" s="153"/>
      <c r="G27" s="140">
        <f t="shared" si="1"/>
        <v>0</v>
      </c>
      <c r="H27" s="153"/>
      <c r="I27" s="154"/>
      <c r="J27" s="20">
        <f t="shared" si="2"/>
        <v>0</v>
      </c>
      <c r="K27" s="20">
        <f t="shared" si="3"/>
        <v>0</v>
      </c>
      <c r="L27" s="141"/>
      <c r="M27" s="15">
        <f t="shared" si="4"/>
        <v>35789.479499999972</v>
      </c>
      <c r="N27" s="41"/>
      <c r="O27" s="69"/>
      <c r="R27">
        <v>66742</v>
      </c>
    </row>
    <row r="28" spans="1:18">
      <c r="A28" s="218">
        <v>25</v>
      </c>
      <c r="B28" s="201">
        <v>46137</v>
      </c>
      <c r="C28" s="195"/>
      <c r="D28" s="191"/>
      <c r="E28" s="153"/>
      <c r="F28" s="153"/>
      <c r="G28" s="140">
        <f t="shared" si="1"/>
        <v>0</v>
      </c>
      <c r="H28" s="153"/>
      <c r="I28" s="154"/>
      <c r="J28" s="20">
        <f t="shared" si="2"/>
        <v>0</v>
      </c>
      <c r="K28" s="20">
        <f t="shared" si="3"/>
        <v>0</v>
      </c>
      <c r="L28" s="141"/>
      <c r="M28" s="15">
        <f t="shared" si="4"/>
        <v>35789.479499999972</v>
      </c>
      <c r="N28" s="192"/>
      <c r="O28" s="69"/>
    </row>
    <row r="29" spans="1:18">
      <c r="A29" s="46">
        <v>26</v>
      </c>
      <c r="B29" s="201">
        <v>46138</v>
      </c>
      <c r="C29" s="67"/>
      <c r="D29" s="71"/>
      <c r="E29" s="153"/>
      <c r="F29" s="153"/>
      <c r="G29" s="140">
        <f t="shared" si="1"/>
        <v>0</v>
      </c>
      <c r="H29" s="153"/>
      <c r="I29" s="154"/>
      <c r="J29" s="20">
        <f t="shared" si="2"/>
        <v>0</v>
      </c>
      <c r="K29" s="20">
        <f t="shared" si="3"/>
        <v>0</v>
      </c>
      <c r="L29" s="141"/>
      <c r="M29" s="15">
        <f t="shared" si="4"/>
        <v>35789.479499999972</v>
      </c>
      <c r="N29" s="41"/>
      <c r="O29" s="69"/>
    </row>
    <row r="30" spans="1:18">
      <c r="A30" s="46">
        <v>27</v>
      </c>
      <c r="B30" s="201">
        <v>46139</v>
      </c>
      <c r="C30" s="67"/>
      <c r="D30" s="71"/>
      <c r="E30" s="153"/>
      <c r="F30" s="153"/>
      <c r="G30" s="140">
        <f t="shared" si="1"/>
        <v>0</v>
      </c>
      <c r="H30" s="153">
        <v>5</v>
      </c>
      <c r="I30" s="154">
        <v>103.8</v>
      </c>
      <c r="J30" s="20">
        <f t="shared" si="2"/>
        <v>519</v>
      </c>
      <c r="K30" s="20">
        <f t="shared" si="3"/>
        <v>519</v>
      </c>
      <c r="L30" s="141"/>
      <c r="M30" s="15">
        <f t="shared" si="4"/>
        <v>36308.479499999972</v>
      </c>
      <c r="N30" s="41"/>
      <c r="O30" s="69"/>
    </row>
    <row r="31" spans="1:18">
      <c r="A31" s="46">
        <v>28</v>
      </c>
      <c r="B31" s="201">
        <v>46140</v>
      </c>
      <c r="C31" s="67"/>
      <c r="D31" s="71"/>
      <c r="E31" s="153"/>
      <c r="F31" s="153"/>
      <c r="G31" s="140">
        <f t="shared" si="1"/>
        <v>0</v>
      </c>
      <c r="H31" s="153"/>
      <c r="I31" s="154"/>
      <c r="J31" s="20">
        <f t="shared" si="2"/>
        <v>0</v>
      </c>
      <c r="K31" s="20">
        <f t="shared" si="3"/>
        <v>0</v>
      </c>
      <c r="L31" s="141"/>
      <c r="M31" s="15">
        <f>M30+K31-L31</f>
        <v>36308.479499999972</v>
      </c>
      <c r="N31" s="41"/>
      <c r="O31" s="69"/>
    </row>
    <row r="32" spans="1:18">
      <c r="A32" s="46">
        <v>29</v>
      </c>
      <c r="B32" s="201">
        <v>46141</v>
      </c>
      <c r="C32" s="67"/>
      <c r="D32" s="71"/>
      <c r="E32" s="153"/>
      <c r="F32" s="153"/>
      <c r="G32" s="140">
        <f t="shared" si="1"/>
        <v>0</v>
      </c>
      <c r="H32" s="153">
        <v>10</v>
      </c>
      <c r="I32" s="154">
        <v>103.8</v>
      </c>
      <c r="J32" s="20">
        <f t="shared" si="2"/>
        <v>1038</v>
      </c>
      <c r="K32" s="20">
        <f t="shared" si="3"/>
        <v>1038</v>
      </c>
      <c r="L32" s="141"/>
      <c r="M32" s="15">
        <f>M31+K32-L32</f>
        <v>37346.479499999972</v>
      </c>
      <c r="N32" s="41"/>
      <c r="O32" s="69"/>
    </row>
    <row r="33" spans="1:15">
      <c r="A33" s="46">
        <v>30</v>
      </c>
      <c r="B33" s="201">
        <v>46142</v>
      </c>
      <c r="C33" s="67"/>
      <c r="D33" s="71"/>
      <c r="E33" s="153">
        <v>37</v>
      </c>
      <c r="F33" s="153">
        <v>91.83</v>
      </c>
      <c r="G33" s="140">
        <f t="shared" si="1"/>
        <v>3397.71</v>
      </c>
      <c r="H33" s="153">
        <v>5</v>
      </c>
      <c r="I33" s="154">
        <v>103.8</v>
      </c>
      <c r="J33" s="20">
        <f t="shared" si="2"/>
        <v>519</v>
      </c>
      <c r="K33" s="20">
        <f t="shared" si="3"/>
        <v>3916.71</v>
      </c>
      <c r="L33" s="141"/>
      <c r="M33" s="15">
        <f>M32+K33-L33</f>
        <v>41263.189499999971</v>
      </c>
      <c r="N33" s="41"/>
      <c r="O33" s="69"/>
    </row>
    <row r="34" spans="1:15">
      <c r="A34" s="46">
        <v>31</v>
      </c>
      <c r="B34" s="201">
        <v>46143</v>
      </c>
      <c r="C34" s="67"/>
      <c r="D34" s="71"/>
      <c r="E34" s="153"/>
      <c r="F34" s="153"/>
      <c r="G34" s="140">
        <f t="shared" si="1"/>
        <v>0</v>
      </c>
      <c r="H34" s="153"/>
      <c r="I34" s="154"/>
      <c r="J34" s="20">
        <f t="shared" si="2"/>
        <v>0</v>
      </c>
      <c r="K34" s="20">
        <f t="shared" si="3"/>
        <v>0</v>
      </c>
      <c r="L34" s="141"/>
      <c r="M34" s="15">
        <f>M33+K34-L34</f>
        <v>41263.189499999971</v>
      </c>
      <c r="N34" s="41"/>
      <c r="O34" s="69"/>
    </row>
    <row r="35" spans="1:15">
      <c r="A35" s="160"/>
      <c r="B35" s="160"/>
      <c r="C35" s="160"/>
      <c r="D35" s="160"/>
      <c r="E35" s="161">
        <f>SUM(E4:E34)</f>
        <v>377</v>
      </c>
      <c r="F35" s="161"/>
      <c r="G35" s="161">
        <f>SUM(G4:G34)</f>
        <v>34619.910000000003</v>
      </c>
      <c r="H35" s="161">
        <f>SUM(H4:H34)</f>
        <v>64</v>
      </c>
      <c r="I35" s="161"/>
      <c r="J35" s="161">
        <f>SUM(J4:J34)</f>
        <v>6643.2</v>
      </c>
      <c r="K35" s="161">
        <f>SUM(K4:K34)</f>
        <v>41263.109999999993</v>
      </c>
      <c r="L35" s="161">
        <f>SUM(L4:L34)</f>
        <v>47365</v>
      </c>
      <c r="M35" s="161"/>
      <c r="N35" s="161"/>
      <c r="O35" s="59"/>
    </row>
    <row r="36" spans="1:15">
      <c r="A36" s="72"/>
      <c r="B36" s="73"/>
      <c r="C36" s="72"/>
      <c r="D36" s="72"/>
      <c r="E36" s="74"/>
      <c r="F36" s="74"/>
      <c r="G36" s="74"/>
      <c r="H36" s="74"/>
      <c r="I36" s="74"/>
      <c r="J36" s="75"/>
      <c r="K36" s="75"/>
      <c r="L36" s="75"/>
      <c r="M36" s="75"/>
      <c r="N36" s="74"/>
      <c r="O36" s="69"/>
    </row>
    <row r="37" spans="1:15">
      <c r="O37" s="69"/>
    </row>
    <row r="38" spans="1:15">
      <c r="O38" s="69"/>
    </row>
    <row r="39" spans="1:15">
      <c r="O39" s="69"/>
    </row>
    <row r="40" spans="1:15">
      <c r="O40" s="69"/>
    </row>
    <row r="41" spans="1:15">
      <c r="O41" s="69"/>
    </row>
    <row r="42" spans="1:15">
      <c r="A42" s="69"/>
      <c r="B42" s="59"/>
      <c r="C42" s="69"/>
      <c r="D42" s="69"/>
      <c r="E42" s="69"/>
      <c r="F42" s="69"/>
      <c r="G42" s="76"/>
      <c r="H42" s="69"/>
      <c r="I42" s="69"/>
      <c r="J42" s="59"/>
      <c r="K42" s="59"/>
      <c r="L42" s="59"/>
      <c r="M42" s="59"/>
      <c r="N42" s="69"/>
      <c r="O42" s="74"/>
    </row>
    <row r="43" spans="1:15">
      <c r="A43" s="69"/>
      <c r="B43" s="490"/>
      <c r="C43" s="490"/>
      <c r="D43" s="490"/>
      <c r="E43" s="490"/>
      <c r="F43" s="69"/>
      <c r="G43" s="69"/>
      <c r="H43" s="69"/>
      <c r="I43" s="490"/>
      <c r="J43" s="490"/>
      <c r="K43" s="490"/>
      <c r="L43" s="490"/>
      <c r="M43" s="490"/>
      <c r="N43" s="490"/>
      <c r="O43" s="74"/>
    </row>
    <row r="44" spans="1:15">
      <c r="A44" s="69"/>
      <c r="B44" s="59"/>
      <c r="C44" s="69"/>
      <c r="D44" s="69"/>
      <c r="E44" s="69"/>
      <c r="F44" s="69"/>
      <c r="G44" s="69"/>
      <c r="H44" s="69"/>
      <c r="I44" s="69"/>
      <c r="J44" s="59"/>
      <c r="K44" s="59"/>
      <c r="L44" s="59"/>
      <c r="M44" s="59"/>
      <c r="N44" s="69"/>
      <c r="O44" s="74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56B5-DC1D-4D6F-BCA7-5B2D12E624BC}">
  <sheetPr>
    <tabColor rgb="FF002060"/>
  </sheetPr>
  <dimension ref="A1:Q43"/>
  <sheetViews>
    <sheetView topLeftCell="A5" workbookViewId="0">
      <selection activeCell="R24" sqref="R24"/>
    </sheetView>
  </sheetViews>
  <sheetFormatPr defaultColWidth="12.140625" defaultRowHeight="15"/>
  <cols>
    <col min="1" max="1" width="10.42578125" customWidth="1"/>
    <col min="11" max="11" width="13.5703125" bestFit="1" customWidth="1"/>
    <col min="13" max="13" width="13.5703125" style="22" bestFit="1" customWidth="1"/>
  </cols>
  <sheetData>
    <row r="1" spans="1:16" ht="15.75">
      <c r="A1" s="473" t="s">
        <v>142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</row>
    <row r="2" spans="1:16" ht="30">
      <c r="A2" s="98" t="s">
        <v>0</v>
      </c>
      <c r="B2" s="99" t="s">
        <v>164</v>
      </c>
      <c r="C2" s="99" t="s">
        <v>165</v>
      </c>
      <c r="D2" s="99" t="s">
        <v>166</v>
      </c>
      <c r="E2" s="99" t="s">
        <v>167</v>
      </c>
      <c r="F2" s="99" t="s">
        <v>168</v>
      </c>
      <c r="G2" s="183" t="s">
        <v>169</v>
      </c>
      <c r="H2" s="99" t="s">
        <v>170</v>
      </c>
      <c r="I2" s="99" t="s">
        <v>168</v>
      </c>
      <c r="J2" s="186" t="s">
        <v>169</v>
      </c>
      <c r="K2" s="100" t="s">
        <v>171</v>
      </c>
      <c r="L2" s="139" t="s">
        <v>172</v>
      </c>
      <c r="M2" s="304" t="s">
        <v>209</v>
      </c>
      <c r="N2" s="101" t="s">
        <v>174</v>
      </c>
    </row>
    <row r="3" spans="1:16">
      <c r="A3" s="155"/>
      <c r="B3" s="17"/>
      <c r="C3" s="17"/>
      <c r="D3" s="220" t="s">
        <v>175</v>
      </c>
      <c r="E3" s="17"/>
      <c r="F3" s="17"/>
      <c r="G3" s="184"/>
      <c r="H3" s="17"/>
      <c r="I3" s="17"/>
      <c r="J3" s="184"/>
      <c r="K3" s="318">
        <v>367936.98660000128</v>
      </c>
      <c r="L3" s="17"/>
      <c r="M3" s="318">
        <v>367936.98660000128</v>
      </c>
      <c r="N3" s="17">
        <v>0</v>
      </c>
      <c r="P3" s="22"/>
    </row>
    <row r="4" spans="1:16">
      <c r="A4" s="196">
        <v>1</v>
      </c>
      <c r="B4" s="219">
        <v>46113</v>
      </c>
      <c r="C4" s="137"/>
      <c r="D4" s="137"/>
      <c r="E4" s="245">
        <v>190.87</v>
      </c>
      <c r="F4" s="299">
        <v>91.48</v>
      </c>
      <c r="G4" s="253">
        <f t="shared" ref="G4:G38" si="0">E4*F4</f>
        <v>17460.7876</v>
      </c>
      <c r="H4" s="245">
        <v>12</v>
      </c>
      <c r="I4" s="253">
        <v>103.41</v>
      </c>
      <c r="J4" s="245">
        <f>H4*I4</f>
        <v>1240.92</v>
      </c>
      <c r="K4" s="253">
        <f>G4+J4</f>
        <v>18701.707600000002</v>
      </c>
      <c r="L4" s="137"/>
      <c r="M4" s="305">
        <f>M3+K4-L4</f>
        <v>386638.69420000131</v>
      </c>
      <c r="N4" s="137"/>
      <c r="O4" s="22"/>
    </row>
    <row r="5" spans="1:16">
      <c r="A5" s="46">
        <v>2</v>
      </c>
      <c r="B5" s="219">
        <v>46114</v>
      </c>
      <c r="C5" s="17"/>
      <c r="D5" s="17"/>
      <c r="E5" s="245">
        <v>1095.25</v>
      </c>
      <c r="F5" s="299">
        <v>91.48</v>
      </c>
      <c r="G5" s="253">
        <f t="shared" ref="G5:G39" si="1">E5*F5</f>
        <v>100193.47</v>
      </c>
      <c r="H5" s="245">
        <v>12</v>
      </c>
      <c r="I5" s="253">
        <v>103.41</v>
      </c>
      <c r="J5" s="245">
        <f t="shared" ref="J5:J39" si="2">H5*I5</f>
        <v>1240.92</v>
      </c>
      <c r="K5" s="253">
        <f t="shared" ref="K5:K41" si="3">G5+J5</f>
        <v>101434.39</v>
      </c>
      <c r="L5" s="137">
        <v>327900</v>
      </c>
      <c r="M5" s="305">
        <f t="shared" ref="M5:M41" si="4">M4+K5-L5</f>
        <v>160173.08420000132</v>
      </c>
      <c r="N5" s="17"/>
    </row>
    <row r="6" spans="1:16">
      <c r="A6" s="46">
        <v>3</v>
      </c>
      <c r="B6" s="219">
        <v>46115</v>
      </c>
      <c r="C6" s="17"/>
      <c r="D6" s="17"/>
      <c r="E6" s="245">
        <v>43.83</v>
      </c>
      <c r="F6" s="299">
        <v>91.48</v>
      </c>
      <c r="G6" s="253">
        <f t="shared" si="1"/>
        <v>4009.5684000000001</v>
      </c>
      <c r="H6" s="245">
        <v>6</v>
      </c>
      <c r="I6" s="253">
        <v>103.41</v>
      </c>
      <c r="J6" s="245">
        <f t="shared" si="2"/>
        <v>620.46</v>
      </c>
      <c r="K6" s="253">
        <f t="shared" si="3"/>
        <v>4630.0284000000001</v>
      </c>
      <c r="L6" s="137"/>
      <c r="M6" s="305">
        <f t="shared" si="4"/>
        <v>164803.11260000133</v>
      </c>
      <c r="N6" s="17"/>
    </row>
    <row r="7" spans="1:16">
      <c r="A7" s="196">
        <v>4</v>
      </c>
      <c r="B7" s="219">
        <v>46116</v>
      </c>
      <c r="C7" s="17"/>
      <c r="D7" s="17"/>
      <c r="E7" s="245"/>
      <c r="F7" s="299"/>
      <c r="G7" s="253">
        <f t="shared" si="1"/>
        <v>0</v>
      </c>
      <c r="H7" s="245">
        <v>18</v>
      </c>
      <c r="I7" s="253">
        <v>103.41</v>
      </c>
      <c r="J7" s="245">
        <f t="shared" si="2"/>
        <v>1861.3799999999999</v>
      </c>
      <c r="K7" s="253">
        <f t="shared" si="3"/>
        <v>1861.3799999999999</v>
      </c>
      <c r="L7" s="137"/>
      <c r="M7" s="305">
        <f t="shared" si="4"/>
        <v>166664.49260000134</v>
      </c>
      <c r="N7" s="17"/>
      <c r="P7">
        <v>706.52</v>
      </c>
    </row>
    <row r="8" spans="1:16">
      <c r="A8" s="46">
        <v>5</v>
      </c>
      <c r="B8" s="219">
        <v>46117</v>
      </c>
      <c r="C8" s="17"/>
      <c r="D8" s="17"/>
      <c r="E8" s="245">
        <v>350</v>
      </c>
      <c r="F8" s="299">
        <v>91.48</v>
      </c>
      <c r="G8" s="253">
        <f t="shared" si="1"/>
        <v>32018</v>
      </c>
      <c r="H8" s="245"/>
      <c r="I8" s="253"/>
      <c r="J8" s="245">
        <f t="shared" si="2"/>
        <v>0</v>
      </c>
      <c r="K8" s="253">
        <f t="shared" si="3"/>
        <v>32018</v>
      </c>
      <c r="L8" s="137"/>
      <c r="M8" s="305">
        <f t="shared" si="4"/>
        <v>198682.49260000134</v>
      </c>
      <c r="N8" s="17"/>
    </row>
    <row r="9" spans="1:16">
      <c r="A9" s="46">
        <v>6</v>
      </c>
      <c r="B9" s="219">
        <v>46118</v>
      </c>
      <c r="C9" s="17"/>
      <c r="D9" s="17"/>
      <c r="E9" s="245">
        <v>227.78</v>
      </c>
      <c r="F9" s="299">
        <v>91.48</v>
      </c>
      <c r="G9" s="253">
        <f t="shared" si="1"/>
        <v>20837.314399999999</v>
      </c>
      <c r="H9" s="245">
        <v>5</v>
      </c>
      <c r="I9" s="253">
        <v>113.34</v>
      </c>
      <c r="J9" s="245">
        <f t="shared" si="2"/>
        <v>566.70000000000005</v>
      </c>
      <c r="K9" s="253">
        <f t="shared" si="3"/>
        <v>21404.0144</v>
      </c>
      <c r="L9" s="137"/>
      <c r="M9" s="305">
        <f t="shared" si="4"/>
        <v>220086.50700000132</v>
      </c>
      <c r="N9" s="17"/>
      <c r="P9">
        <v>45.43</v>
      </c>
    </row>
    <row r="10" spans="1:16">
      <c r="A10" s="196">
        <v>7</v>
      </c>
      <c r="B10" s="219">
        <v>46119</v>
      </c>
      <c r="C10" s="17"/>
      <c r="D10" s="17"/>
      <c r="E10" s="245">
        <v>357.51</v>
      </c>
      <c r="F10" s="299">
        <v>91.48</v>
      </c>
      <c r="G10" s="253">
        <f t="shared" si="1"/>
        <v>32705.014800000001</v>
      </c>
      <c r="H10" s="245">
        <v>5</v>
      </c>
      <c r="I10" s="253">
        <v>103.41</v>
      </c>
      <c r="J10" s="245">
        <f t="shared" si="2"/>
        <v>517.04999999999995</v>
      </c>
      <c r="K10" s="253">
        <f t="shared" si="3"/>
        <v>33222.0648</v>
      </c>
      <c r="L10" s="137"/>
      <c r="M10" s="305">
        <f t="shared" si="4"/>
        <v>253308.57180000131</v>
      </c>
      <c r="N10" s="17"/>
      <c r="P10">
        <f>P7-P9</f>
        <v>661.09</v>
      </c>
    </row>
    <row r="11" spans="1:16">
      <c r="A11" s="46">
        <v>8</v>
      </c>
      <c r="B11" s="219">
        <v>46120</v>
      </c>
      <c r="C11" s="17"/>
      <c r="D11" s="17"/>
      <c r="E11" s="245">
        <v>629.04</v>
      </c>
      <c r="F11" s="299">
        <v>91.48</v>
      </c>
      <c r="G11" s="253">
        <f t="shared" si="1"/>
        <v>57544.5792</v>
      </c>
      <c r="H11" s="245">
        <v>11</v>
      </c>
      <c r="I11" s="253">
        <v>103.41</v>
      </c>
      <c r="J11" s="245">
        <f t="shared" si="2"/>
        <v>1137.51</v>
      </c>
      <c r="K11" s="253">
        <f t="shared" si="3"/>
        <v>58682.089200000002</v>
      </c>
      <c r="L11" s="137"/>
      <c r="M11" s="305">
        <f t="shared" si="4"/>
        <v>311990.6610000013</v>
      </c>
      <c r="N11" s="17"/>
    </row>
    <row r="12" spans="1:16">
      <c r="A12" s="46">
        <v>9</v>
      </c>
      <c r="B12" s="219">
        <v>46121</v>
      </c>
      <c r="C12" s="17"/>
      <c r="D12" s="17"/>
      <c r="E12" s="245"/>
      <c r="F12" s="299"/>
      <c r="G12" s="253">
        <f t="shared" si="1"/>
        <v>0</v>
      </c>
      <c r="H12" s="245">
        <v>11</v>
      </c>
      <c r="I12" s="253">
        <v>103.41</v>
      </c>
      <c r="J12" s="245">
        <f t="shared" si="2"/>
        <v>1137.51</v>
      </c>
      <c r="K12" s="253">
        <f t="shared" si="3"/>
        <v>1137.51</v>
      </c>
      <c r="L12" s="137"/>
      <c r="M12" s="305">
        <f t="shared" si="4"/>
        <v>313128.17100000131</v>
      </c>
      <c r="N12" s="17"/>
      <c r="P12" s="22"/>
    </row>
    <row r="13" spans="1:16">
      <c r="A13" s="196">
        <v>10</v>
      </c>
      <c r="B13" s="219">
        <v>46122</v>
      </c>
      <c r="C13" s="17"/>
      <c r="D13" s="17"/>
      <c r="E13" s="245">
        <v>518.37</v>
      </c>
      <c r="F13" s="299">
        <v>91.48</v>
      </c>
      <c r="G13" s="253">
        <f t="shared" si="1"/>
        <v>47420.4876</v>
      </c>
      <c r="H13" s="245">
        <v>22</v>
      </c>
      <c r="I13" s="253">
        <v>103.41</v>
      </c>
      <c r="J13" s="245">
        <f t="shared" si="2"/>
        <v>2275.02</v>
      </c>
      <c r="K13" s="253">
        <f t="shared" si="3"/>
        <v>49695.507599999997</v>
      </c>
      <c r="L13" s="137"/>
      <c r="M13" s="305">
        <f t="shared" si="4"/>
        <v>362823.67860000132</v>
      </c>
      <c r="N13" s="17"/>
    </row>
    <row r="14" spans="1:16">
      <c r="A14" s="196"/>
      <c r="B14" s="219">
        <v>46122</v>
      </c>
      <c r="C14" s="17"/>
      <c r="D14" s="17"/>
      <c r="E14" s="245"/>
      <c r="F14" s="299"/>
      <c r="G14" s="253">
        <f t="shared" si="1"/>
        <v>0</v>
      </c>
      <c r="H14" s="245">
        <v>10</v>
      </c>
      <c r="I14" s="253">
        <v>103.41</v>
      </c>
      <c r="J14" s="245">
        <f t="shared" si="2"/>
        <v>1034.0999999999999</v>
      </c>
      <c r="K14" s="253">
        <f t="shared" si="3"/>
        <v>1034.0999999999999</v>
      </c>
      <c r="L14" s="137"/>
      <c r="M14" s="305">
        <f t="shared" si="4"/>
        <v>363857.7786000013</v>
      </c>
      <c r="N14" s="17"/>
    </row>
    <row r="15" spans="1:16">
      <c r="A15" s="46">
        <v>11</v>
      </c>
      <c r="B15" s="219">
        <v>46123</v>
      </c>
      <c r="C15" s="17"/>
      <c r="D15" s="17"/>
      <c r="E15" s="245"/>
      <c r="F15" s="299"/>
      <c r="G15" s="253">
        <f t="shared" si="1"/>
        <v>0</v>
      </c>
      <c r="H15" s="245">
        <v>23</v>
      </c>
      <c r="I15" s="253">
        <v>113.34</v>
      </c>
      <c r="J15" s="245">
        <f t="shared" si="2"/>
        <v>2606.8200000000002</v>
      </c>
      <c r="K15" s="253">
        <f t="shared" si="3"/>
        <v>2606.8200000000002</v>
      </c>
      <c r="L15" s="137"/>
      <c r="M15" s="305">
        <f t="shared" si="4"/>
        <v>366464.59860000131</v>
      </c>
      <c r="N15" s="17"/>
    </row>
    <row r="16" spans="1:16">
      <c r="A16" s="46"/>
      <c r="B16" s="219">
        <v>46123</v>
      </c>
      <c r="C16" s="17"/>
      <c r="D16" s="17"/>
      <c r="E16" s="245"/>
      <c r="F16" s="299"/>
      <c r="G16" s="253">
        <f t="shared" si="1"/>
        <v>0</v>
      </c>
      <c r="H16" s="245">
        <v>0</v>
      </c>
      <c r="I16" s="253">
        <v>113.34</v>
      </c>
      <c r="J16" s="245">
        <f t="shared" si="2"/>
        <v>0</v>
      </c>
      <c r="K16" s="253">
        <f t="shared" si="3"/>
        <v>0</v>
      </c>
      <c r="L16" s="137"/>
      <c r="M16" s="305">
        <f t="shared" si="4"/>
        <v>366464.59860000131</v>
      </c>
      <c r="N16" s="17"/>
    </row>
    <row r="17" spans="1:17">
      <c r="A17" s="46">
        <v>12</v>
      </c>
      <c r="B17" s="219">
        <v>46124</v>
      </c>
      <c r="C17" s="17"/>
      <c r="D17" s="17"/>
      <c r="E17" s="245">
        <v>58.79</v>
      </c>
      <c r="F17" s="299">
        <v>91.48</v>
      </c>
      <c r="G17" s="253">
        <f t="shared" si="1"/>
        <v>5378.1091999999999</v>
      </c>
      <c r="H17" s="245"/>
      <c r="I17" s="253"/>
      <c r="J17" s="245">
        <f t="shared" si="2"/>
        <v>0</v>
      </c>
      <c r="K17" s="253">
        <f t="shared" si="3"/>
        <v>5378.1091999999999</v>
      </c>
      <c r="L17" s="137"/>
      <c r="M17" s="305">
        <f t="shared" si="4"/>
        <v>371842.70780000131</v>
      </c>
      <c r="N17" s="17"/>
    </row>
    <row r="18" spans="1:17">
      <c r="A18" s="196">
        <v>13</v>
      </c>
      <c r="B18" s="219">
        <v>46125</v>
      </c>
      <c r="C18" s="17"/>
      <c r="D18" s="17"/>
      <c r="E18" s="245">
        <v>248.18</v>
      </c>
      <c r="F18" s="299">
        <v>91.48</v>
      </c>
      <c r="G18" s="253">
        <f t="shared" si="1"/>
        <v>22703.506400000002</v>
      </c>
      <c r="H18" s="245">
        <v>12</v>
      </c>
      <c r="I18" s="253">
        <v>103.41</v>
      </c>
      <c r="J18" s="245">
        <f t="shared" si="2"/>
        <v>1240.92</v>
      </c>
      <c r="K18" s="253">
        <f t="shared" si="3"/>
        <v>23944.426400000004</v>
      </c>
      <c r="L18" s="137"/>
      <c r="M18" s="305">
        <f t="shared" si="4"/>
        <v>395787.13420000131</v>
      </c>
      <c r="N18" s="17"/>
    </row>
    <row r="19" spans="1:17">
      <c r="A19" s="46">
        <v>14</v>
      </c>
      <c r="B19" s="219">
        <v>46126</v>
      </c>
      <c r="C19" s="17"/>
      <c r="D19" s="17"/>
      <c r="E19" s="245">
        <v>343.59</v>
      </c>
      <c r="F19" s="299">
        <v>91.48</v>
      </c>
      <c r="G19" s="253">
        <f t="shared" si="1"/>
        <v>31431.6132</v>
      </c>
      <c r="H19" s="245">
        <v>5</v>
      </c>
      <c r="I19" s="253">
        <v>103.41</v>
      </c>
      <c r="J19" s="245">
        <f t="shared" si="2"/>
        <v>517.04999999999995</v>
      </c>
      <c r="K19" s="253">
        <f t="shared" si="3"/>
        <v>31948.663199999999</v>
      </c>
      <c r="L19" s="137"/>
      <c r="M19" s="305">
        <f t="shared" si="4"/>
        <v>427735.79740000132</v>
      </c>
      <c r="N19" s="17"/>
      <c r="P19" s="264"/>
      <c r="Q19">
        <v>18414</v>
      </c>
    </row>
    <row r="20" spans="1:17">
      <c r="A20" s="46">
        <v>15</v>
      </c>
      <c r="B20" s="219">
        <v>46127</v>
      </c>
      <c r="C20" s="17"/>
      <c r="D20" s="17"/>
      <c r="E20" s="245">
        <v>703.46</v>
      </c>
      <c r="F20" s="299">
        <v>91.48</v>
      </c>
      <c r="G20" s="253">
        <f t="shared" si="1"/>
        <v>64352.520800000006</v>
      </c>
      <c r="H20" s="245">
        <v>11</v>
      </c>
      <c r="I20" s="253">
        <v>103.41</v>
      </c>
      <c r="J20" s="245">
        <f t="shared" si="2"/>
        <v>1137.51</v>
      </c>
      <c r="K20" s="253">
        <f t="shared" si="3"/>
        <v>65490.030800000008</v>
      </c>
      <c r="L20" s="137"/>
      <c r="M20" s="305">
        <f t="shared" si="4"/>
        <v>493225.82820000133</v>
      </c>
      <c r="N20" s="17"/>
      <c r="Q20">
        <v>18414</v>
      </c>
    </row>
    <row r="21" spans="1:17">
      <c r="A21" s="196">
        <v>16</v>
      </c>
      <c r="B21" s="219">
        <v>46128</v>
      </c>
      <c r="C21" s="17"/>
      <c r="D21" s="17"/>
      <c r="E21" s="245"/>
      <c r="F21" s="299"/>
      <c r="G21" s="253">
        <f t="shared" si="1"/>
        <v>0</v>
      </c>
      <c r="H21" s="245">
        <v>6</v>
      </c>
      <c r="I21" s="253">
        <v>113.34</v>
      </c>
      <c r="J21" s="245">
        <f t="shared" si="2"/>
        <v>680.04</v>
      </c>
      <c r="K21" s="253">
        <f t="shared" si="3"/>
        <v>680.04</v>
      </c>
      <c r="L21" s="137"/>
      <c r="M21" s="305">
        <f>M20+K21-L21</f>
        <v>493905.86820000131</v>
      </c>
      <c r="N21" s="17"/>
      <c r="P21" s="22"/>
      <c r="Q21">
        <v>18414</v>
      </c>
    </row>
    <row r="22" spans="1:17">
      <c r="A22" s="46">
        <v>17</v>
      </c>
      <c r="B22" s="219">
        <v>46129</v>
      </c>
      <c r="C22" s="17"/>
      <c r="D22" s="17"/>
      <c r="E22" s="245">
        <v>1821.63</v>
      </c>
      <c r="F22" s="299">
        <v>91.48</v>
      </c>
      <c r="G22" s="253">
        <f t="shared" si="1"/>
        <v>166642.71240000002</v>
      </c>
      <c r="H22" s="245">
        <v>12</v>
      </c>
      <c r="I22" s="253">
        <v>103.41</v>
      </c>
      <c r="J22" s="245">
        <f t="shared" si="2"/>
        <v>1240.92</v>
      </c>
      <c r="K22" s="253">
        <f t="shared" si="3"/>
        <v>167883.63240000003</v>
      </c>
      <c r="L22" s="137"/>
      <c r="M22" s="305">
        <f t="shared" si="4"/>
        <v>661789.50060000131</v>
      </c>
      <c r="N22" s="17"/>
    </row>
    <row r="23" spans="1:17">
      <c r="A23" s="46">
        <v>18</v>
      </c>
      <c r="B23" s="219">
        <v>46130</v>
      </c>
      <c r="C23" s="17"/>
      <c r="D23" s="17"/>
      <c r="E23" s="245">
        <v>479.39</v>
      </c>
      <c r="F23" s="299">
        <v>91.48</v>
      </c>
      <c r="G23" s="253">
        <f t="shared" si="1"/>
        <v>43854.597200000004</v>
      </c>
      <c r="H23" s="245">
        <v>28</v>
      </c>
      <c r="I23" s="253">
        <v>103.41</v>
      </c>
      <c r="J23" s="245">
        <f t="shared" si="2"/>
        <v>2895.48</v>
      </c>
      <c r="K23" s="253">
        <f t="shared" si="3"/>
        <v>46750.077200000007</v>
      </c>
      <c r="L23" s="137">
        <v>300000</v>
      </c>
      <c r="M23" s="305">
        <f t="shared" si="4"/>
        <v>408539.57780000137</v>
      </c>
      <c r="N23" s="17"/>
    </row>
    <row r="24" spans="1:17">
      <c r="A24" s="196">
        <v>19</v>
      </c>
      <c r="B24" s="219">
        <v>46131</v>
      </c>
      <c r="C24" s="17"/>
      <c r="D24" s="17"/>
      <c r="E24" s="245">
        <v>90</v>
      </c>
      <c r="F24" s="299">
        <v>91.48</v>
      </c>
      <c r="G24" s="253">
        <f t="shared" si="1"/>
        <v>8233.2000000000007</v>
      </c>
      <c r="H24" s="245"/>
      <c r="I24" s="253"/>
      <c r="J24" s="245">
        <f t="shared" si="2"/>
        <v>0</v>
      </c>
      <c r="K24" s="253">
        <f t="shared" si="3"/>
        <v>8233.2000000000007</v>
      </c>
      <c r="L24" s="137"/>
      <c r="M24" s="305">
        <f t="shared" si="4"/>
        <v>416772.77780000138</v>
      </c>
      <c r="N24" s="17"/>
    </row>
    <row r="25" spans="1:17">
      <c r="A25" s="46">
        <v>20</v>
      </c>
      <c r="B25" s="219">
        <v>46132</v>
      </c>
      <c r="C25" s="17"/>
      <c r="D25" s="17"/>
      <c r="E25" s="245">
        <v>287.33999999999997</v>
      </c>
      <c r="F25" s="299">
        <v>91.48</v>
      </c>
      <c r="G25" s="253">
        <f t="shared" si="1"/>
        <v>26285.8632</v>
      </c>
      <c r="H25" s="245">
        <v>38</v>
      </c>
      <c r="I25" s="253">
        <v>103.41</v>
      </c>
      <c r="J25" s="245">
        <f>H25*I25</f>
        <v>3929.58</v>
      </c>
      <c r="K25" s="253">
        <f t="shared" si="3"/>
        <v>30215.443200000002</v>
      </c>
      <c r="L25" s="137">
        <v>250000</v>
      </c>
      <c r="M25" s="305">
        <f t="shared" si="4"/>
        <v>196988.22100000136</v>
      </c>
      <c r="N25" s="17"/>
      <c r="O25">
        <v>197582.48439999996</v>
      </c>
      <c r="P25" s="22">
        <f>O25-M25</f>
        <v>594.2633999985992</v>
      </c>
    </row>
    <row r="26" spans="1:17">
      <c r="A26" s="46">
        <v>21</v>
      </c>
      <c r="B26" s="219">
        <v>46133</v>
      </c>
      <c r="C26" s="17"/>
      <c r="D26" s="17"/>
      <c r="E26" s="245">
        <v>0</v>
      </c>
      <c r="F26" s="299"/>
      <c r="G26" s="253">
        <f t="shared" si="1"/>
        <v>0</v>
      </c>
      <c r="H26" s="245">
        <v>5</v>
      </c>
      <c r="I26" s="253">
        <v>103.41</v>
      </c>
      <c r="J26" s="245">
        <f t="shared" si="2"/>
        <v>517.04999999999995</v>
      </c>
      <c r="K26" s="253">
        <f t="shared" si="3"/>
        <v>517.04999999999995</v>
      </c>
      <c r="L26" s="137"/>
      <c r="M26" s="305">
        <f t="shared" si="4"/>
        <v>197505.27100000135</v>
      </c>
      <c r="N26" s="17"/>
    </row>
    <row r="27" spans="1:17">
      <c r="A27" s="196">
        <v>22</v>
      </c>
      <c r="B27" s="219">
        <v>46134</v>
      </c>
      <c r="C27" s="17"/>
      <c r="D27" s="17"/>
      <c r="E27" s="245">
        <v>875.74</v>
      </c>
      <c r="F27" s="299">
        <v>91.48</v>
      </c>
      <c r="G27" s="253">
        <f t="shared" si="1"/>
        <v>80112.695200000002</v>
      </c>
      <c r="H27" s="245">
        <v>26</v>
      </c>
      <c r="I27" s="253">
        <v>103.41</v>
      </c>
      <c r="J27" s="245">
        <f t="shared" si="2"/>
        <v>2688.66</v>
      </c>
      <c r="K27" s="253">
        <f t="shared" si="3"/>
        <v>82801.355200000005</v>
      </c>
      <c r="L27" s="137"/>
      <c r="M27" s="305">
        <f t="shared" si="4"/>
        <v>280306.62620000134</v>
      </c>
      <c r="N27" s="17"/>
    </row>
    <row r="28" spans="1:17">
      <c r="A28" s="46">
        <v>23</v>
      </c>
      <c r="B28" s="219">
        <v>46135</v>
      </c>
      <c r="C28" s="17"/>
      <c r="D28" s="17"/>
      <c r="E28" s="245">
        <v>735.3</v>
      </c>
      <c r="F28" s="299">
        <v>91.48</v>
      </c>
      <c r="G28" s="253">
        <f t="shared" si="1"/>
        <v>67265.243999999992</v>
      </c>
      <c r="H28" s="245">
        <v>11</v>
      </c>
      <c r="I28" s="253">
        <v>103.41</v>
      </c>
      <c r="J28" s="245">
        <f t="shared" si="2"/>
        <v>1137.51</v>
      </c>
      <c r="K28" s="253">
        <f t="shared" si="3"/>
        <v>68402.753999999986</v>
      </c>
      <c r="L28" s="137"/>
      <c r="M28" s="305">
        <f t="shared" si="4"/>
        <v>348709.38020000129</v>
      </c>
      <c r="N28" s="17"/>
    </row>
    <row r="29" spans="1:17">
      <c r="A29" s="46">
        <v>24</v>
      </c>
      <c r="B29" s="219">
        <v>46136</v>
      </c>
      <c r="C29" s="17"/>
      <c r="D29" s="17"/>
      <c r="E29" s="245">
        <v>588.21</v>
      </c>
      <c r="F29" s="299">
        <v>91.48</v>
      </c>
      <c r="G29" s="253">
        <f t="shared" si="1"/>
        <v>53809.450800000006</v>
      </c>
      <c r="H29" s="245">
        <v>42</v>
      </c>
      <c r="I29" s="253">
        <v>103.41</v>
      </c>
      <c r="J29" s="245">
        <f t="shared" si="2"/>
        <v>4343.22</v>
      </c>
      <c r="K29" s="253">
        <f t="shared" si="3"/>
        <v>58152.670800000007</v>
      </c>
      <c r="L29" s="137"/>
      <c r="M29" s="305">
        <f t="shared" si="4"/>
        <v>406862.05100000132</v>
      </c>
      <c r="N29" s="17"/>
    </row>
    <row r="30" spans="1:17">
      <c r="A30" s="196">
        <v>25</v>
      </c>
      <c r="B30" s="219">
        <v>46137</v>
      </c>
      <c r="C30" s="17"/>
      <c r="D30" s="17"/>
      <c r="E30" s="245">
        <v>300</v>
      </c>
      <c r="F30" s="299">
        <v>91.48</v>
      </c>
      <c r="G30" s="253">
        <f t="shared" si="1"/>
        <v>27444</v>
      </c>
      <c r="H30" s="245">
        <v>5</v>
      </c>
      <c r="I30" s="253">
        <v>103.41</v>
      </c>
      <c r="J30" s="245">
        <f t="shared" si="2"/>
        <v>517.04999999999995</v>
      </c>
      <c r="K30" s="253">
        <f t="shared" si="3"/>
        <v>27961.05</v>
      </c>
      <c r="L30" s="137"/>
      <c r="M30" s="305">
        <f t="shared" si="4"/>
        <v>434823.1010000013</v>
      </c>
      <c r="N30" s="17"/>
      <c r="P30" s="22"/>
    </row>
    <row r="31" spans="1:17">
      <c r="A31" s="46">
        <v>26</v>
      </c>
      <c r="B31" s="219">
        <v>46138</v>
      </c>
      <c r="C31" s="17"/>
      <c r="D31" s="17"/>
      <c r="E31" s="245">
        <v>800</v>
      </c>
      <c r="F31" s="299">
        <v>91.48</v>
      </c>
      <c r="G31" s="253">
        <f t="shared" si="1"/>
        <v>73184</v>
      </c>
      <c r="H31" s="245">
        <v>6</v>
      </c>
      <c r="I31" s="253">
        <v>103.41</v>
      </c>
      <c r="J31" s="245">
        <f t="shared" si="2"/>
        <v>620.46</v>
      </c>
      <c r="K31" s="253">
        <f t="shared" si="3"/>
        <v>73804.460000000006</v>
      </c>
      <c r="L31" s="137"/>
      <c r="M31" s="305">
        <f t="shared" si="4"/>
        <v>508627.56100000133</v>
      </c>
      <c r="N31" s="17"/>
    </row>
    <row r="32" spans="1:17">
      <c r="A32" s="46">
        <v>27</v>
      </c>
      <c r="B32" s="219">
        <v>46139</v>
      </c>
      <c r="C32" s="17"/>
      <c r="D32" s="17"/>
      <c r="E32" s="245">
        <v>518.41999999999996</v>
      </c>
      <c r="F32" s="299">
        <v>91.48</v>
      </c>
      <c r="G32" s="253">
        <f t="shared" si="1"/>
        <v>47425.061600000001</v>
      </c>
      <c r="H32" s="245">
        <v>5</v>
      </c>
      <c r="I32" s="253">
        <v>103.41</v>
      </c>
      <c r="J32" s="245">
        <f t="shared" si="2"/>
        <v>517.04999999999995</v>
      </c>
      <c r="K32" s="253">
        <f t="shared" si="3"/>
        <v>47942.111600000004</v>
      </c>
      <c r="L32" s="137">
        <v>300000</v>
      </c>
      <c r="M32" s="305">
        <f t="shared" si="4"/>
        <v>256569.67260000133</v>
      </c>
      <c r="N32" s="17"/>
    </row>
    <row r="33" spans="1:16">
      <c r="A33" s="196">
        <v>28</v>
      </c>
      <c r="B33" s="219">
        <v>46140</v>
      </c>
      <c r="C33" s="94"/>
      <c r="D33" s="94"/>
      <c r="E33" s="245">
        <v>70</v>
      </c>
      <c r="F33" s="299">
        <v>91.48</v>
      </c>
      <c r="G33" s="253">
        <f t="shared" si="1"/>
        <v>6403.6</v>
      </c>
      <c r="H33" s="245">
        <v>5</v>
      </c>
      <c r="I33" s="253">
        <v>103.41</v>
      </c>
      <c r="J33" s="245">
        <f t="shared" si="2"/>
        <v>517.04999999999995</v>
      </c>
      <c r="K33" s="253">
        <f t="shared" si="3"/>
        <v>6920.6500000000005</v>
      </c>
      <c r="L33" s="137"/>
      <c r="M33" s="305">
        <f t="shared" si="4"/>
        <v>263490.32260000135</v>
      </c>
      <c r="N33" s="94"/>
    </row>
    <row r="34" spans="1:16">
      <c r="A34" s="46">
        <v>29</v>
      </c>
      <c r="B34" s="219">
        <v>46141</v>
      </c>
      <c r="C34" s="17"/>
      <c r="D34" s="17"/>
      <c r="E34" s="245">
        <v>245.56</v>
      </c>
      <c r="F34" s="299">
        <v>91.48</v>
      </c>
      <c r="G34" s="253">
        <f t="shared" si="1"/>
        <v>22463.828800000003</v>
      </c>
      <c r="H34" s="245">
        <v>29</v>
      </c>
      <c r="I34" s="253">
        <v>113.34</v>
      </c>
      <c r="J34" s="245">
        <f t="shared" si="2"/>
        <v>3286.86</v>
      </c>
      <c r="K34" s="253">
        <f t="shared" si="3"/>
        <v>25750.688800000004</v>
      </c>
      <c r="L34" s="137"/>
      <c r="M34" s="305">
        <f t="shared" si="4"/>
        <v>289241.01140000136</v>
      </c>
      <c r="N34" s="17"/>
    </row>
    <row r="35" spans="1:16">
      <c r="A35" s="46">
        <v>30</v>
      </c>
      <c r="B35" s="219">
        <v>46142</v>
      </c>
      <c r="C35" s="17"/>
      <c r="D35" s="17"/>
      <c r="E35" s="245">
        <v>380</v>
      </c>
      <c r="F35" s="299">
        <v>91.48</v>
      </c>
      <c r="G35" s="253">
        <f t="shared" si="1"/>
        <v>34762.400000000001</v>
      </c>
      <c r="H35" s="245">
        <v>18</v>
      </c>
      <c r="I35" s="253">
        <v>113.34</v>
      </c>
      <c r="J35" s="245">
        <f t="shared" si="2"/>
        <v>2040.1200000000001</v>
      </c>
      <c r="K35" s="253">
        <f t="shared" si="3"/>
        <v>36802.520000000004</v>
      </c>
      <c r="L35" s="137"/>
      <c r="M35" s="305">
        <f t="shared" si="4"/>
        <v>326043.53140000138</v>
      </c>
      <c r="N35" s="17"/>
    </row>
    <row r="36" spans="1:16">
      <c r="A36" s="196">
        <v>31</v>
      </c>
      <c r="B36" s="219"/>
      <c r="C36" s="17"/>
      <c r="D36" s="17"/>
      <c r="E36" s="245"/>
      <c r="F36" s="299"/>
      <c r="G36" s="253">
        <f t="shared" si="1"/>
        <v>0</v>
      </c>
      <c r="H36" s="245"/>
      <c r="I36" s="253"/>
      <c r="J36" s="245">
        <f t="shared" si="2"/>
        <v>0</v>
      </c>
      <c r="K36" s="253">
        <f t="shared" si="3"/>
        <v>0</v>
      </c>
      <c r="L36" s="137"/>
      <c r="M36" s="305">
        <f t="shared" si="4"/>
        <v>326043.53140000138</v>
      </c>
      <c r="N36" s="17"/>
    </row>
    <row r="37" spans="1:16">
      <c r="A37" s="46">
        <v>32</v>
      </c>
      <c r="B37" s="219"/>
      <c r="C37" s="17"/>
      <c r="D37" s="17"/>
      <c r="E37" s="245"/>
      <c r="F37" s="299"/>
      <c r="G37" s="253">
        <f t="shared" si="1"/>
        <v>0</v>
      </c>
      <c r="H37" s="245"/>
      <c r="I37" s="253"/>
      <c r="J37" s="245">
        <f t="shared" si="2"/>
        <v>0</v>
      </c>
      <c r="K37" s="253">
        <f t="shared" si="3"/>
        <v>0</v>
      </c>
      <c r="L37" s="137"/>
      <c r="M37" s="305">
        <f t="shared" si="4"/>
        <v>326043.53140000138</v>
      </c>
      <c r="N37" s="17"/>
    </row>
    <row r="38" spans="1:16">
      <c r="A38" s="46">
        <v>33</v>
      </c>
      <c r="B38" s="219"/>
      <c r="C38" s="17"/>
      <c r="D38" s="17"/>
      <c r="E38" s="245"/>
      <c r="F38" s="299"/>
      <c r="G38" s="253">
        <f t="shared" si="1"/>
        <v>0</v>
      </c>
      <c r="H38" s="245"/>
      <c r="I38" s="253"/>
      <c r="J38" s="245">
        <f t="shared" si="2"/>
        <v>0</v>
      </c>
      <c r="K38" s="253">
        <f t="shared" si="3"/>
        <v>0</v>
      </c>
      <c r="L38" s="137"/>
      <c r="M38" s="305">
        <f t="shared" si="4"/>
        <v>326043.53140000138</v>
      </c>
      <c r="N38" s="17"/>
    </row>
    <row r="39" spans="1:16">
      <c r="A39" s="196">
        <v>34</v>
      </c>
      <c r="B39" s="219"/>
      <c r="C39" s="17"/>
      <c r="D39" s="17"/>
      <c r="E39" s="245"/>
      <c r="F39" s="299"/>
      <c r="G39" s="253">
        <f t="shared" si="1"/>
        <v>0</v>
      </c>
      <c r="H39" s="245"/>
      <c r="I39" s="253"/>
      <c r="J39" s="245">
        <f t="shared" si="2"/>
        <v>0</v>
      </c>
      <c r="K39" s="253">
        <f t="shared" si="3"/>
        <v>0</v>
      </c>
      <c r="L39" s="137"/>
      <c r="M39" s="305">
        <f t="shared" si="4"/>
        <v>326043.53140000138</v>
      </c>
      <c r="N39" s="94"/>
    </row>
    <row r="40" spans="1:16">
      <c r="A40" s="46">
        <v>35</v>
      </c>
      <c r="B40" s="219"/>
      <c r="C40" s="17"/>
      <c r="D40" s="17"/>
      <c r="E40" s="245"/>
      <c r="F40" s="245"/>
      <c r="G40" s="253">
        <f t="shared" ref="G5:G41" si="5">E40*F40</f>
        <v>0</v>
      </c>
      <c r="H40" s="245"/>
      <c r="I40" s="245"/>
      <c r="J40" s="245">
        <f t="shared" ref="J5:J41" si="6">H40*I40</f>
        <v>0</v>
      </c>
      <c r="K40" s="253">
        <f t="shared" si="3"/>
        <v>0</v>
      </c>
      <c r="L40" s="137"/>
      <c r="M40" s="305">
        <f t="shared" si="4"/>
        <v>326043.53140000138</v>
      </c>
      <c r="N40" s="17"/>
      <c r="P40" s="22"/>
    </row>
    <row r="41" spans="1:16">
      <c r="A41" s="45"/>
      <c r="B41" s="219"/>
      <c r="C41" s="17"/>
      <c r="D41" s="17"/>
      <c r="E41" s="245">
        <v>0</v>
      </c>
      <c r="F41" s="245">
        <v>0</v>
      </c>
      <c r="G41" s="253">
        <f t="shared" si="5"/>
        <v>0</v>
      </c>
      <c r="H41" s="245"/>
      <c r="I41" s="245"/>
      <c r="J41" s="245">
        <f t="shared" si="6"/>
        <v>0</v>
      </c>
      <c r="K41" s="253">
        <f t="shared" si="3"/>
        <v>0</v>
      </c>
      <c r="L41" s="137"/>
      <c r="M41" s="305">
        <f t="shared" si="4"/>
        <v>326043.53140000138</v>
      </c>
      <c r="N41" s="17">
        <v>264079.90599999984</v>
      </c>
      <c r="O41" s="22">
        <f>N41-M41</f>
        <v>-61963.625400001532</v>
      </c>
      <c r="P41" s="22"/>
    </row>
    <row r="42" spans="1:16">
      <c r="A42" s="181"/>
      <c r="B42" s="181"/>
      <c r="C42" s="181"/>
      <c r="D42" s="181"/>
      <c r="E42" s="181">
        <f>SUM(E4:E39)</f>
        <v>11958.259999999998</v>
      </c>
      <c r="F42" s="181"/>
      <c r="G42" s="181">
        <f>SUM(G4:G39)</f>
        <v>1093941.6247999999</v>
      </c>
      <c r="H42" s="181">
        <f>SUM(H4:H39)</f>
        <v>399</v>
      </c>
      <c r="I42" s="181"/>
      <c r="J42" s="181">
        <f>SUM(J4:J39)</f>
        <v>42064.920000000006</v>
      </c>
      <c r="K42" s="181">
        <f>SUM(K4:K39)</f>
        <v>1136006.5447999998</v>
      </c>
      <c r="L42" s="181">
        <f>SUM(L4:L39)</f>
        <v>1177900</v>
      </c>
      <c r="M42" s="181"/>
      <c r="N42" s="181"/>
    </row>
    <row r="43" spans="1:16">
      <c r="P43" s="22"/>
    </row>
  </sheetData>
  <mergeCells count="1">
    <mergeCell ref="A1:N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DFF4-E8BF-4430-A1C0-B6BAE4AEDAC5}">
  <sheetPr>
    <tabColor rgb="FF002060"/>
  </sheetPr>
  <dimension ref="A1:P35"/>
  <sheetViews>
    <sheetView topLeftCell="A13" workbookViewId="0">
      <selection activeCell="L6" sqref="L6"/>
    </sheetView>
  </sheetViews>
  <sheetFormatPr defaultRowHeight="15"/>
  <cols>
    <col min="2" max="2" width="10.140625" bestFit="1" customWidth="1"/>
    <col min="5" max="5" width="9.7109375" bestFit="1" customWidth="1"/>
    <col min="11" max="11" width="13.5703125" bestFit="1" customWidth="1"/>
    <col min="12" max="12" width="12.42578125" bestFit="1" customWidth="1"/>
    <col min="13" max="13" width="10.5703125" bestFit="1" customWidth="1"/>
  </cols>
  <sheetData>
    <row r="1" spans="1:16" ht="15.75">
      <c r="A1" s="511" t="s">
        <v>267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3"/>
    </row>
    <row r="2" spans="1:16" ht="45" customHeight="1">
      <c r="A2" s="124" t="s">
        <v>0</v>
      </c>
      <c r="B2" s="213" t="s">
        <v>164</v>
      </c>
      <c r="C2" s="213" t="s">
        <v>165</v>
      </c>
      <c r="D2" s="213" t="s">
        <v>208</v>
      </c>
      <c r="E2" s="213" t="s">
        <v>167</v>
      </c>
      <c r="F2" s="213" t="s">
        <v>168</v>
      </c>
      <c r="G2" s="213" t="s">
        <v>169</v>
      </c>
      <c r="H2" s="213" t="s">
        <v>170</v>
      </c>
      <c r="I2" s="213" t="s">
        <v>168</v>
      </c>
      <c r="J2" s="213" t="s">
        <v>169</v>
      </c>
      <c r="K2" s="175" t="s">
        <v>171</v>
      </c>
      <c r="L2" s="175" t="s">
        <v>172</v>
      </c>
      <c r="M2" s="175" t="s">
        <v>209</v>
      </c>
      <c r="N2" s="213" t="s">
        <v>174</v>
      </c>
    </row>
    <row r="3" spans="1:16">
      <c r="A3" s="514" t="s">
        <v>175</v>
      </c>
      <c r="B3" s="515"/>
      <c r="C3" s="515"/>
      <c r="D3" s="515"/>
      <c r="E3" s="515"/>
      <c r="F3" s="515"/>
      <c r="G3" s="515"/>
      <c r="H3" s="515"/>
      <c r="I3" s="515"/>
      <c r="J3" s="515"/>
      <c r="K3" s="515"/>
      <c r="L3" s="516"/>
      <c r="M3" s="514">
        <v>185274.34509999998</v>
      </c>
      <c r="N3" s="516"/>
    </row>
    <row r="4" spans="1:16">
      <c r="A4" s="196">
        <v>1</v>
      </c>
      <c r="B4" s="219">
        <v>46113</v>
      </c>
      <c r="C4" s="40"/>
      <c r="D4" s="40"/>
      <c r="E4" s="266">
        <v>61.91</v>
      </c>
      <c r="F4" s="299">
        <v>91.32</v>
      </c>
      <c r="G4" s="40">
        <f>E4*F4</f>
        <v>5653.6211999999996</v>
      </c>
      <c r="H4" s="40">
        <v>6</v>
      </c>
      <c r="I4" s="40">
        <v>103.24</v>
      </c>
      <c r="J4" s="40">
        <f>H4*I4</f>
        <v>619.43999999999994</v>
      </c>
      <c r="K4" s="40">
        <f>G4+J4</f>
        <v>6273.0611999999992</v>
      </c>
      <c r="L4" s="40"/>
      <c r="M4" s="40">
        <f>M3+K4-L4</f>
        <v>191547.40629999997</v>
      </c>
      <c r="N4" s="40"/>
    </row>
    <row r="5" spans="1:16">
      <c r="A5" s="46">
        <v>2</v>
      </c>
      <c r="B5" s="219">
        <v>46114</v>
      </c>
      <c r="C5" s="40"/>
      <c r="D5" s="40"/>
      <c r="E5" s="266">
        <v>92</v>
      </c>
      <c r="F5" s="299">
        <v>91.32</v>
      </c>
      <c r="G5" s="40">
        <f t="shared" ref="G5:G34" si="0">E5*F5</f>
        <v>8401.4399999999987</v>
      </c>
      <c r="H5" s="40"/>
      <c r="I5" s="40"/>
      <c r="J5" s="40">
        <f t="shared" ref="J5:J34" si="1">H5*I5</f>
        <v>0</v>
      </c>
      <c r="K5" s="40">
        <f t="shared" ref="K5:K34" si="2">G5+J5</f>
        <v>8401.4399999999987</v>
      </c>
      <c r="L5" s="40"/>
      <c r="M5" s="40">
        <f t="shared" ref="M5:M34" si="3">M4+K5-L5</f>
        <v>199948.84629999998</v>
      </c>
      <c r="N5" s="40"/>
    </row>
    <row r="6" spans="1:16">
      <c r="A6" s="46">
        <v>3</v>
      </c>
      <c r="B6" s="219">
        <v>46115</v>
      </c>
      <c r="C6" s="40"/>
      <c r="D6" s="40"/>
      <c r="E6" s="266">
        <v>20</v>
      </c>
      <c r="F6" s="299">
        <v>91.32</v>
      </c>
      <c r="G6" s="40">
        <f t="shared" si="0"/>
        <v>1826.3999999999999</v>
      </c>
      <c r="H6" s="40"/>
      <c r="I6" s="40"/>
      <c r="J6" s="40">
        <f t="shared" si="1"/>
        <v>0</v>
      </c>
      <c r="K6" s="40">
        <f t="shared" si="2"/>
        <v>1826.3999999999999</v>
      </c>
      <c r="L6" s="40">
        <v>185274</v>
      </c>
      <c r="M6" s="40">
        <f t="shared" si="3"/>
        <v>16501.24629999997</v>
      </c>
      <c r="N6" s="40"/>
    </row>
    <row r="7" spans="1:16">
      <c r="A7" s="46">
        <v>4</v>
      </c>
      <c r="B7" s="219">
        <v>46116</v>
      </c>
      <c r="C7" s="40"/>
      <c r="D7" s="40"/>
      <c r="E7" s="266">
        <v>40.5</v>
      </c>
      <c r="F7" s="299">
        <v>91.32</v>
      </c>
      <c r="G7" s="40">
        <f t="shared" si="0"/>
        <v>3698.4599999999996</v>
      </c>
      <c r="H7" s="40">
        <v>6</v>
      </c>
      <c r="I7" s="40">
        <v>103.24</v>
      </c>
      <c r="J7" s="40">
        <f t="shared" si="1"/>
        <v>619.43999999999994</v>
      </c>
      <c r="K7" s="40">
        <f t="shared" si="2"/>
        <v>4317.8999999999996</v>
      </c>
      <c r="L7" s="40"/>
      <c r="M7" s="40">
        <f t="shared" si="3"/>
        <v>20819.146299999971</v>
      </c>
      <c r="N7" s="40"/>
    </row>
    <row r="8" spans="1:16">
      <c r="A8" s="46">
        <v>5</v>
      </c>
      <c r="B8" s="219">
        <v>46117</v>
      </c>
      <c r="C8" s="40"/>
      <c r="D8" s="40"/>
      <c r="E8" s="266">
        <v>40</v>
      </c>
      <c r="F8" s="299">
        <v>91.32</v>
      </c>
      <c r="G8" s="40">
        <f t="shared" si="0"/>
        <v>3652.7999999999997</v>
      </c>
      <c r="H8" s="40"/>
      <c r="I8" s="40"/>
      <c r="J8" s="40">
        <f t="shared" si="1"/>
        <v>0</v>
      </c>
      <c r="K8" s="40">
        <f t="shared" si="2"/>
        <v>3652.7999999999997</v>
      </c>
      <c r="L8" s="40"/>
      <c r="M8" s="40">
        <f t="shared" si="3"/>
        <v>24471.946299999971</v>
      </c>
      <c r="N8" s="40"/>
    </row>
    <row r="9" spans="1:16">
      <c r="A9" s="46">
        <v>6</v>
      </c>
      <c r="B9" s="219">
        <v>46118</v>
      </c>
      <c r="C9" s="40"/>
      <c r="D9" s="40"/>
      <c r="E9" s="266"/>
      <c r="F9" s="299"/>
      <c r="G9" s="40">
        <f t="shared" si="0"/>
        <v>0</v>
      </c>
      <c r="H9" s="40"/>
      <c r="I9" s="40"/>
      <c r="J9" s="40">
        <f t="shared" si="1"/>
        <v>0</v>
      </c>
      <c r="K9" s="40">
        <f t="shared" si="2"/>
        <v>0</v>
      </c>
      <c r="L9" s="40"/>
      <c r="M9" s="40">
        <f t="shared" si="3"/>
        <v>24471.946299999971</v>
      </c>
      <c r="N9" s="40"/>
    </row>
    <row r="10" spans="1:16">
      <c r="A10" s="46">
        <v>7</v>
      </c>
      <c r="B10" s="219">
        <v>46119</v>
      </c>
      <c r="C10" s="40"/>
      <c r="D10" s="40"/>
      <c r="E10" s="266"/>
      <c r="F10" s="299"/>
      <c r="G10" s="40">
        <f t="shared" si="0"/>
        <v>0</v>
      </c>
      <c r="H10" s="40">
        <v>5</v>
      </c>
      <c r="I10" s="40">
        <v>103.24</v>
      </c>
      <c r="J10" s="40">
        <f t="shared" si="1"/>
        <v>516.19999999999993</v>
      </c>
      <c r="K10" s="40">
        <f t="shared" si="2"/>
        <v>516.19999999999993</v>
      </c>
      <c r="L10" s="40"/>
      <c r="M10" s="40">
        <f t="shared" si="3"/>
        <v>24988.146299999971</v>
      </c>
      <c r="N10" s="40"/>
    </row>
    <row r="11" spans="1:16">
      <c r="A11" s="46">
        <v>8</v>
      </c>
      <c r="B11" s="219">
        <v>46120</v>
      </c>
      <c r="C11" s="40"/>
      <c r="D11" s="40"/>
      <c r="E11" s="266">
        <v>200</v>
      </c>
      <c r="F11" s="299">
        <v>91.32</v>
      </c>
      <c r="G11" s="40">
        <f t="shared" si="0"/>
        <v>18264</v>
      </c>
      <c r="H11" s="40">
        <v>6</v>
      </c>
      <c r="I11" s="40">
        <v>103.24</v>
      </c>
      <c r="J11" s="40">
        <f t="shared" si="1"/>
        <v>619.43999999999994</v>
      </c>
      <c r="K11" s="40">
        <f t="shared" si="2"/>
        <v>18883.439999999999</v>
      </c>
      <c r="L11" s="40"/>
      <c r="M11" s="40">
        <f t="shared" si="3"/>
        <v>43871.586299999966</v>
      </c>
      <c r="N11" s="40"/>
      <c r="P11" s="22"/>
    </row>
    <row r="12" spans="1:16">
      <c r="A12" s="46">
        <v>9</v>
      </c>
      <c r="B12" s="219">
        <v>46121</v>
      </c>
      <c r="C12" s="40"/>
      <c r="D12" s="40"/>
      <c r="E12" s="266">
        <v>240.91</v>
      </c>
      <c r="F12" s="299">
        <v>91.32</v>
      </c>
      <c r="G12" s="40">
        <f t="shared" si="0"/>
        <v>21999.901199999997</v>
      </c>
      <c r="H12" s="40">
        <v>10</v>
      </c>
      <c r="I12" s="40">
        <v>103.24</v>
      </c>
      <c r="J12" s="40">
        <f t="shared" si="1"/>
        <v>1032.3999999999999</v>
      </c>
      <c r="K12" s="40">
        <f t="shared" si="2"/>
        <v>23032.301199999998</v>
      </c>
      <c r="L12" s="40"/>
      <c r="M12" s="40">
        <f t="shared" si="3"/>
        <v>66903.887499999968</v>
      </c>
      <c r="N12" s="40"/>
    </row>
    <row r="13" spans="1:16">
      <c r="A13" s="46">
        <v>10</v>
      </c>
      <c r="B13" s="219">
        <v>46122</v>
      </c>
      <c r="C13" s="40"/>
      <c r="D13" s="40"/>
      <c r="E13" s="266"/>
      <c r="F13" s="299"/>
      <c r="G13" s="40">
        <f t="shared" si="0"/>
        <v>0</v>
      </c>
      <c r="H13" s="40"/>
      <c r="I13" s="40">
        <v>103.24</v>
      </c>
      <c r="J13" s="40">
        <f t="shared" si="1"/>
        <v>0</v>
      </c>
      <c r="K13" s="40">
        <f t="shared" si="2"/>
        <v>0</v>
      </c>
      <c r="L13" s="40"/>
      <c r="M13" s="40">
        <f t="shared" si="3"/>
        <v>66903.887499999968</v>
      </c>
      <c r="N13" s="40"/>
    </row>
    <row r="14" spans="1:16">
      <c r="A14" s="46">
        <v>11</v>
      </c>
      <c r="B14" s="219">
        <v>46123</v>
      </c>
      <c r="C14" s="40"/>
      <c r="D14" s="40"/>
      <c r="E14" s="266"/>
      <c r="F14" s="299"/>
      <c r="G14" s="40">
        <f t="shared" si="0"/>
        <v>0</v>
      </c>
      <c r="H14" s="40"/>
      <c r="I14" s="40"/>
      <c r="J14" s="40">
        <f t="shared" si="1"/>
        <v>0</v>
      </c>
      <c r="K14" s="40">
        <f t="shared" si="2"/>
        <v>0</v>
      </c>
      <c r="L14" s="40"/>
      <c r="M14" s="40">
        <f t="shared" si="3"/>
        <v>66903.887499999968</v>
      </c>
      <c r="N14" s="40"/>
    </row>
    <row r="15" spans="1:16">
      <c r="A15" s="46">
        <v>12</v>
      </c>
      <c r="B15" s="219">
        <v>46124</v>
      </c>
      <c r="C15" s="40"/>
      <c r="D15" s="40"/>
      <c r="E15" s="266">
        <v>438</v>
      </c>
      <c r="F15" s="299">
        <v>91.32</v>
      </c>
      <c r="G15" s="40">
        <f t="shared" si="0"/>
        <v>39998.159999999996</v>
      </c>
      <c r="H15" s="40"/>
      <c r="I15" s="40"/>
      <c r="J15" s="40">
        <f t="shared" si="1"/>
        <v>0</v>
      </c>
      <c r="K15" s="40">
        <f t="shared" ref="K15:K25" si="4">G15+J15</f>
        <v>39998.159999999996</v>
      </c>
      <c r="L15" s="40"/>
      <c r="M15" s="40">
        <f t="shared" si="3"/>
        <v>106902.04749999996</v>
      </c>
      <c r="N15" s="40"/>
    </row>
    <row r="16" spans="1:16">
      <c r="A16" s="46">
        <v>13</v>
      </c>
      <c r="B16" s="219">
        <v>46125</v>
      </c>
      <c r="C16" s="40"/>
      <c r="D16" s="40"/>
      <c r="E16" s="266"/>
      <c r="F16" s="299"/>
      <c r="G16" s="40">
        <f t="shared" si="0"/>
        <v>0</v>
      </c>
      <c r="H16" s="430">
        <v>6</v>
      </c>
      <c r="I16" s="40">
        <v>103.24</v>
      </c>
      <c r="J16" s="40">
        <f t="shared" si="1"/>
        <v>619.43999999999994</v>
      </c>
      <c r="K16" s="40">
        <f t="shared" si="4"/>
        <v>619.43999999999994</v>
      </c>
      <c r="L16" s="40"/>
      <c r="M16" s="40">
        <f>M15+K16-L16</f>
        <v>107521.48749999996</v>
      </c>
      <c r="N16" s="40"/>
    </row>
    <row r="17" spans="1:14">
      <c r="A17" s="46">
        <v>14</v>
      </c>
      <c r="B17" s="219">
        <v>46126</v>
      </c>
      <c r="C17" s="40"/>
      <c r="D17" s="40"/>
      <c r="E17" s="266"/>
      <c r="F17" s="299"/>
      <c r="G17" s="40">
        <f t="shared" si="0"/>
        <v>0</v>
      </c>
      <c r="H17" s="40"/>
      <c r="I17" s="40"/>
      <c r="J17" s="40">
        <f t="shared" si="1"/>
        <v>0</v>
      </c>
      <c r="K17" s="40">
        <f t="shared" si="4"/>
        <v>0</v>
      </c>
      <c r="L17" s="40"/>
      <c r="M17" s="40">
        <f t="shared" si="3"/>
        <v>107521.48749999996</v>
      </c>
      <c r="N17" s="40"/>
    </row>
    <row r="18" spans="1:14">
      <c r="A18" s="46">
        <v>15</v>
      </c>
      <c r="B18" s="219">
        <v>46127</v>
      </c>
      <c r="C18" s="40"/>
      <c r="D18" s="40"/>
      <c r="E18" s="266"/>
      <c r="F18" s="299"/>
      <c r="G18" s="40">
        <f t="shared" si="0"/>
        <v>0</v>
      </c>
      <c r="H18" s="40"/>
      <c r="I18" s="40"/>
      <c r="J18" s="40">
        <f t="shared" si="1"/>
        <v>0</v>
      </c>
      <c r="K18" s="40">
        <f t="shared" si="4"/>
        <v>0</v>
      </c>
      <c r="L18" s="40"/>
      <c r="M18" s="40">
        <f t="shared" si="3"/>
        <v>107521.48749999996</v>
      </c>
      <c r="N18" s="40"/>
    </row>
    <row r="19" spans="1:14">
      <c r="A19" s="46">
        <v>16</v>
      </c>
      <c r="B19" s="219">
        <v>46128</v>
      </c>
      <c r="C19" s="40"/>
      <c r="D19" s="40"/>
      <c r="E19" s="266"/>
      <c r="F19" s="299"/>
      <c r="G19" s="40">
        <f t="shared" si="0"/>
        <v>0</v>
      </c>
      <c r="H19" s="40"/>
      <c r="I19" s="40"/>
      <c r="J19" s="40">
        <f t="shared" si="1"/>
        <v>0</v>
      </c>
      <c r="K19" s="40">
        <f t="shared" si="4"/>
        <v>0</v>
      </c>
      <c r="L19" s="40"/>
      <c r="M19" s="40">
        <f t="shared" si="3"/>
        <v>107521.48749999996</v>
      </c>
      <c r="N19" s="40"/>
    </row>
    <row r="20" spans="1:14">
      <c r="A20" s="46">
        <v>17</v>
      </c>
      <c r="B20" s="219">
        <v>46129</v>
      </c>
      <c r="C20" s="40"/>
      <c r="D20" s="40"/>
      <c r="E20" s="266"/>
      <c r="F20" s="299"/>
      <c r="G20" s="40">
        <f t="shared" si="0"/>
        <v>0</v>
      </c>
      <c r="H20" s="40"/>
      <c r="I20" s="40"/>
      <c r="J20" s="40">
        <f t="shared" si="1"/>
        <v>0</v>
      </c>
      <c r="K20" s="40">
        <f t="shared" si="4"/>
        <v>0</v>
      </c>
      <c r="L20" s="40"/>
      <c r="M20" s="40">
        <f t="shared" si="3"/>
        <v>107521.48749999996</v>
      </c>
      <c r="N20" s="40"/>
    </row>
    <row r="21" spans="1:14">
      <c r="A21" s="46">
        <v>18</v>
      </c>
      <c r="B21" s="219">
        <v>46130</v>
      </c>
      <c r="C21" s="40"/>
      <c r="D21" s="40"/>
      <c r="E21" s="266">
        <v>400</v>
      </c>
      <c r="F21" s="299">
        <v>91.32</v>
      </c>
      <c r="G21" s="40">
        <f t="shared" si="0"/>
        <v>36528</v>
      </c>
      <c r="H21" s="40"/>
      <c r="I21" s="40"/>
      <c r="J21" s="40">
        <f t="shared" si="1"/>
        <v>0</v>
      </c>
      <c r="K21" s="40">
        <f t="shared" si="4"/>
        <v>36528</v>
      </c>
      <c r="L21" s="40"/>
      <c r="M21" s="40">
        <f>M20+K21-L21</f>
        <v>144049.48749999996</v>
      </c>
      <c r="N21" s="40"/>
    </row>
    <row r="22" spans="1:14">
      <c r="A22" s="46">
        <v>19</v>
      </c>
      <c r="B22" s="219">
        <v>46131</v>
      </c>
      <c r="C22" s="40"/>
      <c r="D22" s="40"/>
      <c r="E22" s="266"/>
      <c r="F22" s="299"/>
      <c r="G22" s="40">
        <f t="shared" si="0"/>
        <v>0</v>
      </c>
      <c r="H22" s="40"/>
      <c r="I22" s="40"/>
      <c r="J22" s="40">
        <f t="shared" si="1"/>
        <v>0</v>
      </c>
      <c r="K22" s="40">
        <f t="shared" si="4"/>
        <v>0</v>
      </c>
      <c r="L22" s="40"/>
      <c r="M22" s="40">
        <f t="shared" si="3"/>
        <v>144049.48749999996</v>
      </c>
      <c r="N22" s="40"/>
    </row>
    <row r="23" spans="1:14">
      <c r="A23" s="46">
        <v>20</v>
      </c>
      <c r="B23" s="219">
        <v>46132</v>
      </c>
      <c r="C23" s="40"/>
      <c r="D23" s="40"/>
      <c r="E23" s="266">
        <v>450</v>
      </c>
      <c r="F23" s="299">
        <v>91.32</v>
      </c>
      <c r="G23" s="40">
        <f t="shared" si="0"/>
        <v>41094</v>
      </c>
      <c r="H23" s="40"/>
      <c r="I23" s="40"/>
      <c r="J23" s="40">
        <f t="shared" si="1"/>
        <v>0</v>
      </c>
      <c r="K23" s="40">
        <f t="shared" si="4"/>
        <v>41094</v>
      </c>
      <c r="L23" s="40"/>
      <c r="M23" s="40">
        <f t="shared" si="3"/>
        <v>185143.48749999996</v>
      </c>
      <c r="N23" s="40"/>
    </row>
    <row r="24" spans="1:14">
      <c r="A24" s="46">
        <v>21</v>
      </c>
      <c r="B24" s="219">
        <v>46133</v>
      </c>
      <c r="C24" s="40"/>
      <c r="D24" s="40"/>
      <c r="E24" s="266">
        <v>200</v>
      </c>
      <c r="F24" s="299">
        <v>91.32</v>
      </c>
      <c r="G24" s="40">
        <f t="shared" si="0"/>
        <v>18264</v>
      </c>
      <c r="H24" s="40"/>
      <c r="I24" s="40"/>
      <c r="J24" s="40">
        <f t="shared" si="1"/>
        <v>0</v>
      </c>
      <c r="K24" s="40">
        <f t="shared" si="4"/>
        <v>18264</v>
      </c>
      <c r="L24" s="40">
        <v>185000</v>
      </c>
      <c r="M24" s="40">
        <f t="shared" si="3"/>
        <v>18407.487499999959</v>
      </c>
      <c r="N24" s="40"/>
    </row>
    <row r="25" spans="1:14">
      <c r="A25" s="46">
        <v>22</v>
      </c>
      <c r="B25" s="219">
        <v>46134</v>
      </c>
      <c r="C25" s="40"/>
      <c r="D25" s="40"/>
      <c r="E25" s="266">
        <v>340</v>
      </c>
      <c r="F25" s="299">
        <v>91.32</v>
      </c>
      <c r="G25" s="40">
        <f t="shared" si="0"/>
        <v>31048.799999999999</v>
      </c>
      <c r="H25" s="40"/>
      <c r="I25" s="40"/>
      <c r="J25" s="40">
        <f t="shared" si="1"/>
        <v>0</v>
      </c>
      <c r="K25" s="40">
        <f t="shared" si="4"/>
        <v>31048.799999999999</v>
      </c>
      <c r="L25" s="40"/>
      <c r="M25" s="40">
        <f t="shared" si="3"/>
        <v>49456.287499999962</v>
      </c>
      <c r="N25" s="40"/>
    </row>
    <row r="26" spans="1:14">
      <c r="A26" s="46">
        <v>23</v>
      </c>
      <c r="B26" s="219">
        <v>46135</v>
      </c>
      <c r="C26" s="40"/>
      <c r="D26" s="40"/>
      <c r="E26" s="266">
        <v>30</v>
      </c>
      <c r="F26" s="299">
        <v>91.32</v>
      </c>
      <c r="G26" s="40">
        <f t="shared" si="0"/>
        <v>2739.6</v>
      </c>
      <c r="H26" s="40"/>
      <c r="I26" s="40"/>
      <c r="J26" s="40">
        <f t="shared" si="1"/>
        <v>0</v>
      </c>
      <c r="K26" s="40">
        <f t="shared" si="2"/>
        <v>2739.6</v>
      </c>
      <c r="L26" s="40"/>
      <c r="M26" s="40">
        <f t="shared" si="3"/>
        <v>52195.887499999961</v>
      </c>
      <c r="N26" s="40"/>
    </row>
    <row r="27" spans="1:14">
      <c r="A27" s="46">
        <v>24</v>
      </c>
      <c r="B27" s="219">
        <v>46136</v>
      </c>
      <c r="C27" s="40"/>
      <c r="D27" s="40"/>
      <c r="E27" s="266"/>
      <c r="F27" s="299"/>
      <c r="G27" s="40">
        <f t="shared" si="0"/>
        <v>0</v>
      </c>
      <c r="H27" s="40"/>
      <c r="I27" s="40"/>
      <c r="J27" s="40">
        <f t="shared" si="1"/>
        <v>0</v>
      </c>
      <c r="K27" s="40">
        <f t="shared" si="2"/>
        <v>0</v>
      </c>
      <c r="L27" s="40"/>
      <c r="M27" s="40">
        <f t="shared" si="3"/>
        <v>52195.887499999961</v>
      </c>
      <c r="N27" s="40"/>
    </row>
    <row r="28" spans="1:14">
      <c r="A28" s="221">
        <v>25</v>
      </c>
      <c r="B28" s="219">
        <v>46137</v>
      </c>
      <c r="C28" s="40"/>
      <c r="D28" s="40"/>
      <c r="E28" s="266"/>
      <c r="F28" s="299"/>
      <c r="G28" s="40">
        <f t="shared" si="0"/>
        <v>0</v>
      </c>
      <c r="H28" s="40"/>
      <c r="I28" s="40"/>
      <c r="J28" s="40">
        <f t="shared" si="1"/>
        <v>0</v>
      </c>
      <c r="K28" s="40">
        <f t="shared" si="2"/>
        <v>0</v>
      </c>
      <c r="L28" s="40"/>
      <c r="M28" s="40">
        <f t="shared" si="3"/>
        <v>52195.887499999961</v>
      </c>
      <c r="N28" s="40"/>
    </row>
    <row r="29" spans="1:14">
      <c r="A29" s="221">
        <v>26</v>
      </c>
      <c r="B29" s="219">
        <v>46138</v>
      </c>
      <c r="C29" s="40"/>
      <c r="D29" s="40"/>
      <c r="E29" s="266"/>
      <c r="F29" s="299"/>
      <c r="G29" s="40">
        <f t="shared" si="0"/>
        <v>0</v>
      </c>
      <c r="H29" s="40"/>
      <c r="I29" s="40"/>
      <c r="J29" s="40">
        <f t="shared" si="1"/>
        <v>0</v>
      </c>
      <c r="K29" s="40">
        <f t="shared" si="2"/>
        <v>0</v>
      </c>
      <c r="L29" s="40"/>
      <c r="M29" s="40">
        <f t="shared" si="3"/>
        <v>52195.887499999961</v>
      </c>
      <c r="N29" s="40"/>
    </row>
    <row r="30" spans="1:14">
      <c r="A30" s="221">
        <v>27</v>
      </c>
      <c r="B30" s="219">
        <v>46139</v>
      </c>
      <c r="C30" s="40"/>
      <c r="D30" s="40"/>
      <c r="E30" s="266"/>
      <c r="F30" s="299"/>
      <c r="G30" s="40">
        <f t="shared" si="0"/>
        <v>0</v>
      </c>
      <c r="H30" s="40">
        <v>11</v>
      </c>
      <c r="I30" s="40">
        <v>103.24</v>
      </c>
      <c r="J30" s="40">
        <f t="shared" si="1"/>
        <v>1135.6399999999999</v>
      </c>
      <c r="K30" s="40">
        <f t="shared" si="2"/>
        <v>1135.6399999999999</v>
      </c>
      <c r="L30" s="40"/>
      <c r="M30" s="40">
        <f t="shared" si="3"/>
        <v>53331.52749999996</v>
      </c>
      <c r="N30" s="40"/>
    </row>
    <row r="31" spans="1:14">
      <c r="A31" s="221">
        <v>28</v>
      </c>
      <c r="B31" s="219">
        <v>46140</v>
      </c>
      <c r="C31" s="40"/>
      <c r="D31" s="40"/>
      <c r="E31" s="266">
        <v>470</v>
      </c>
      <c r="F31" s="299">
        <v>91.32</v>
      </c>
      <c r="G31" s="40">
        <f t="shared" si="0"/>
        <v>42920.399999999994</v>
      </c>
      <c r="H31" s="40"/>
      <c r="I31" s="40"/>
      <c r="J31" s="40">
        <f t="shared" si="1"/>
        <v>0</v>
      </c>
      <c r="K31" s="40">
        <f t="shared" si="2"/>
        <v>42920.399999999994</v>
      </c>
      <c r="L31" s="40"/>
      <c r="M31" s="40">
        <f t="shared" si="3"/>
        <v>96251.927499999962</v>
      </c>
      <c r="N31" s="40"/>
    </row>
    <row r="32" spans="1:14">
      <c r="A32" s="222">
        <v>29</v>
      </c>
      <c r="B32" s="219">
        <v>46141</v>
      </c>
      <c r="C32" s="40"/>
      <c r="D32" s="40"/>
      <c r="E32" s="266"/>
      <c r="F32" s="299"/>
      <c r="G32" s="40">
        <f t="shared" si="0"/>
        <v>0</v>
      </c>
      <c r="H32" s="40"/>
      <c r="I32" s="40"/>
      <c r="J32" s="40">
        <f t="shared" si="1"/>
        <v>0</v>
      </c>
      <c r="K32" s="40">
        <f t="shared" si="2"/>
        <v>0</v>
      </c>
      <c r="L32" s="40"/>
      <c r="M32" s="40">
        <f t="shared" si="3"/>
        <v>96251.927499999962</v>
      </c>
      <c r="N32" s="40"/>
    </row>
    <row r="33" spans="1:14">
      <c r="A33" s="222">
        <v>30</v>
      </c>
      <c r="B33" s="219">
        <v>46142</v>
      </c>
      <c r="C33" s="40"/>
      <c r="D33" s="40"/>
      <c r="E33" s="266"/>
      <c r="F33" s="299"/>
      <c r="G33" s="40">
        <f t="shared" si="0"/>
        <v>0</v>
      </c>
      <c r="H33" s="40"/>
      <c r="I33" s="40"/>
      <c r="J33" s="40">
        <f t="shared" si="1"/>
        <v>0</v>
      </c>
      <c r="K33" s="40">
        <f t="shared" si="2"/>
        <v>0</v>
      </c>
      <c r="L33" s="40"/>
      <c r="M33" s="40">
        <f t="shared" si="3"/>
        <v>96251.927499999962</v>
      </c>
      <c r="N33" s="40"/>
    </row>
    <row r="34" spans="1:14">
      <c r="A34" s="222">
        <v>31</v>
      </c>
      <c r="B34" s="219"/>
      <c r="C34" s="40"/>
      <c r="D34" s="40"/>
      <c r="E34" s="266"/>
      <c r="F34" s="299"/>
      <c r="G34" s="40">
        <f t="shared" si="0"/>
        <v>0</v>
      </c>
      <c r="H34" s="40"/>
      <c r="I34" s="40"/>
      <c r="J34" s="40">
        <f t="shared" si="1"/>
        <v>0</v>
      </c>
      <c r="K34" s="40">
        <f t="shared" si="2"/>
        <v>0</v>
      </c>
      <c r="L34" s="40"/>
      <c r="M34" s="40">
        <f t="shared" si="3"/>
        <v>96251.927499999962</v>
      </c>
      <c r="N34" s="40"/>
    </row>
    <row r="35" spans="1:14">
      <c r="A35" s="181"/>
      <c r="B35" s="181"/>
      <c r="C35" s="181"/>
      <c r="D35" s="181"/>
      <c r="E35" s="181">
        <f>SUM(E4:E34)</f>
        <v>3023.3199999999997</v>
      </c>
      <c r="F35" s="181"/>
      <c r="G35" s="181">
        <f>SUM(G4:G34)</f>
        <v>276089.58239999996</v>
      </c>
      <c r="H35" s="181">
        <f>SUM(H4:H34)</f>
        <v>50</v>
      </c>
      <c r="I35" s="181"/>
      <c r="J35" s="181">
        <f>SUM(J4:J34)</f>
        <v>5162</v>
      </c>
      <c r="K35" s="181">
        <f>SUM(K4:K34)</f>
        <v>281251.58240000001</v>
      </c>
      <c r="L35" s="181">
        <f>SUM(L4:L34)</f>
        <v>370274</v>
      </c>
      <c r="M35" s="181"/>
      <c r="N35" s="181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677C-45ED-46D2-B6DD-48C42A14EFA2}">
  <sheetPr>
    <tabColor rgb="FF002060"/>
  </sheetPr>
  <dimension ref="A1:P35"/>
  <sheetViews>
    <sheetView topLeftCell="A23" workbookViewId="0">
      <selection activeCell="E33" sqref="E33"/>
    </sheetView>
  </sheetViews>
  <sheetFormatPr defaultRowHeight="15"/>
  <cols>
    <col min="2" max="2" width="12.5703125" customWidth="1"/>
    <col min="5" max="5" width="9.7109375" bestFit="1" customWidth="1"/>
    <col min="7" max="7" width="10.42578125" bestFit="1" customWidth="1"/>
    <col min="11" max="11" width="13.5703125" bestFit="1" customWidth="1"/>
    <col min="12" max="12" width="12.42578125" bestFit="1" customWidth="1"/>
    <col min="13" max="13" width="10.5703125" bestFit="1" customWidth="1"/>
  </cols>
  <sheetData>
    <row r="1" spans="1:16" ht="15.75">
      <c r="A1" s="511" t="s">
        <v>268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3"/>
    </row>
    <row r="2" spans="1:16" ht="30.75">
      <c r="A2" s="124" t="s">
        <v>0</v>
      </c>
      <c r="B2" s="213" t="s">
        <v>164</v>
      </c>
      <c r="C2" s="213" t="s">
        <v>165</v>
      </c>
      <c r="D2" s="213" t="s">
        <v>208</v>
      </c>
      <c r="E2" s="213" t="s">
        <v>167</v>
      </c>
      <c r="F2" s="213" t="s">
        <v>168</v>
      </c>
      <c r="G2" s="213" t="s">
        <v>169</v>
      </c>
      <c r="H2" s="213" t="s">
        <v>170</v>
      </c>
      <c r="I2" s="213" t="s">
        <v>168</v>
      </c>
      <c r="J2" s="213" t="s">
        <v>169</v>
      </c>
      <c r="K2" s="175" t="s">
        <v>171</v>
      </c>
      <c r="L2" s="175" t="s">
        <v>172</v>
      </c>
      <c r="M2" s="175" t="s">
        <v>209</v>
      </c>
      <c r="N2" s="213" t="s">
        <v>174</v>
      </c>
    </row>
    <row r="3" spans="1:16">
      <c r="A3" s="514" t="s">
        <v>175</v>
      </c>
      <c r="B3" s="515"/>
      <c r="C3" s="515"/>
      <c r="D3" s="515"/>
      <c r="E3" s="515"/>
      <c r="F3" s="515"/>
      <c r="G3" s="515"/>
      <c r="H3" s="515"/>
      <c r="I3" s="515"/>
      <c r="J3" s="515"/>
      <c r="K3" s="515"/>
      <c r="L3" s="516"/>
      <c r="M3" s="514">
        <v>706575.23</v>
      </c>
      <c r="N3" s="516"/>
    </row>
    <row r="4" spans="1:16">
      <c r="A4" s="196">
        <v>1</v>
      </c>
      <c r="B4" s="219">
        <v>46113</v>
      </c>
      <c r="C4" s="40"/>
      <c r="D4" s="40"/>
      <c r="E4" s="266">
        <v>198.62</v>
      </c>
      <c r="F4" s="299">
        <v>91.32</v>
      </c>
      <c r="G4" s="40">
        <f>E4*F4</f>
        <v>18137.9784</v>
      </c>
      <c r="H4" s="40"/>
      <c r="I4" s="40"/>
      <c r="J4" s="40">
        <f>H4*I4</f>
        <v>0</v>
      </c>
      <c r="K4" s="40">
        <f>G4+J4</f>
        <v>18137.9784</v>
      </c>
      <c r="L4" s="40">
        <v>0</v>
      </c>
      <c r="M4" s="40">
        <f>M3+K4-L4</f>
        <v>724713.2084</v>
      </c>
      <c r="N4" s="40"/>
    </row>
    <row r="5" spans="1:16">
      <c r="A5" s="46">
        <v>2</v>
      </c>
      <c r="B5" s="219">
        <v>46114</v>
      </c>
      <c r="C5" s="40"/>
      <c r="D5" s="40"/>
      <c r="E5" s="266">
        <v>29.9</v>
      </c>
      <c r="F5" s="299">
        <v>91.32</v>
      </c>
      <c r="G5" s="40">
        <f t="shared" ref="G5:G34" si="0">E5*F5</f>
        <v>2730.4679999999998</v>
      </c>
      <c r="H5" s="40"/>
      <c r="I5" s="40"/>
      <c r="J5" s="40">
        <f t="shared" ref="J5:J34" si="1">H5*I5</f>
        <v>0</v>
      </c>
      <c r="K5" s="40">
        <f t="shared" ref="K5:K34" si="2">G5+J5</f>
        <v>2730.4679999999998</v>
      </c>
      <c r="L5" s="40">
        <v>706573</v>
      </c>
      <c r="M5" s="40">
        <f t="shared" ref="M5:M34" si="3">M4+K5-L5</f>
        <v>20870.676399999997</v>
      </c>
      <c r="N5" s="40"/>
    </row>
    <row r="6" spans="1:16">
      <c r="A6" s="46">
        <v>3</v>
      </c>
      <c r="B6" s="219">
        <v>46115</v>
      </c>
      <c r="C6" s="40"/>
      <c r="D6" s="40"/>
      <c r="E6" s="266">
        <v>600</v>
      </c>
      <c r="F6" s="299">
        <v>91.32</v>
      </c>
      <c r="G6" s="40">
        <f t="shared" si="0"/>
        <v>54791.999999999993</v>
      </c>
      <c r="H6" s="40">
        <v>6</v>
      </c>
      <c r="I6" s="40">
        <v>103.23</v>
      </c>
      <c r="J6" s="40">
        <f t="shared" si="1"/>
        <v>619.38</v>
      </c>
      <c r="K6" s="40">
        <f>G6+J6</f>
        <v>55411.37999999999</v>
      </c>
      <c r="L6" s="40">
        <v>0</v>
      </c>
      <c r="M6" s="40">
        <f t="shared" si="3"/>
        <v>76282.056399999987</v>
      </c>
      <c r="N6" s="40"/>
    </row>
    <row r="7" spans="1:16">
      <c r="A7" s="46">
        <v>4</v>
      </c>
      <c r="B7" s="219">
        <v>46116</v>
      </c>
      <c r="C7" s="40"/>
      <c r="D7" s="40"/>
      <c r="E7" s="266">
        <v>642.72</v>
      </c>
      <c r="F7" s="299">
        <v>91.32</v>
      </c>
      <c r="G7" s="40">
        <f t="shared" si="0"/>
        <v>58693.190399999999</v>
      </c>
      <c r="H7" s="40"/>
      <c r="I7" s="40"/>
      <c r="J7" s="40">
        <f t="shared" si="1"/>
        <v>0</v>
      </c>
      <c r="K7" s="40">
        <f t="shared" si="2"/>
        <v>58693.190399999999</v>
      </c>
      <c r="L7" s="40">
        <v>0</v>
      </c>
      <c r="M7" s="40">
        <f t="shared" si="3"/>
        <v>134975.24679999999</v>
      </c>
      <c r="N7" s="40"/>
    </row>
    <row r="8" spans="1:16">
      <c r="A8" s="46">
        <v>5</v>
      </c>
      <c r="B8" s="219">
        <v>46117</v>
      </c>
      <c r="C8" s="40"/>
      <c r="D8" s="40"/>
      <c r="E8" s="266">
        <v>36.78</v>
      </c>
      <c r="F8" s="299">
        <v>91.32</v>
      </c>
      <c r="G8" s="40">
        <f t="shared" si="0"/>
        <v>3358.7495999999996</v>
      </c>
      <c r="H8" s="40"/>
      <c r="I8" s="40"/>
      <c r="J8" s="40">
        <f t="shared" si="1"/>
        <v>0</v>
      </c>
      <c r="K8" s="40">
        <f t="shared" si="2"/>
        <v>3358.7495999999996</v>
      </c>
      <c r="L8" s="40">
        <v>0</v>
      </c>
      <c r="M8" s="40">
        <f t="shared" si="3"/>
        <v>138333.9964</v>
      </c>
      <c r="N8" s="40"/>
    </row>
    <row r="9" spans="1:16">
      <c r="A9" s="46">
        <v>6</v>
      </c>
      <c r="B9" s="219">
        <v>46118</v>
      </c>
      <c r="C9" s="40"/>
      <c r="D9" s="40"/>
      <c r="E9" s="266">
        <v>878.72</v>
      </c>
      <c r="F9" s="299">
        <v>91.32</v>
      </c>
      <c r="G9" s="40">
        <f t="shared" si="0"/>
        <v>80244.710399999996</v>
      </c>
      <c r="H9" s="40">
        <v>6</v>
      </c>
      <c r="I9" s="40">
        <v>103.23</v>
      </c>
      <c r="J9" s="40">
        <f t="shared" si="1"/>
        <v>619.38</v>
      </c>
      <c r="K9" s="40">
        <f t="shared" si="2"/>
        <v>80864.090400000001</v>
      </c>
      <c r="L9" s="40">
        <v>0</v>
      </c>
      <c r="M9" s="40">
        <f t="shared" si="3"/>
        <v>219198.08679999999</v>
      </c>
      <c r="N9" s="40"/>
    </row>
    <row r="10" spans="1:16">
      <c r="A10" s="46">
        <v>7</v>
      </c>
      <c r="B10" s="219">
        <v>46119</v>
      </c>
      <c r="C10" s="40"/>
      <c r="D10" s="40"/>
      <c r="E10" s="266"/>
      <c r="F10" s="299"/>
      <c r="G10" s="40">
        <f t="shared" si="0"/>
        <v>0</v>
      </c>
      <c r="H10" s="40"/>
      <c r="I10" s="40"/>
      <c r="J10" s="40">
        <f t="shared" si="1"/>
        <v>0</v>
      </c>
      <c r="K10" s="40">
        <f t="shared" si="2"/>
        <v>0</v>
      </c>
      <c r="L10" s="40">
        <v>0</v>
      </c>
      <c r="M10" s="40">
        <f t="shared" si="3"/>
        <v>219198.08679999999</v>
      </c>
      <c r="N10" s="40"/>
    </row>
    <row r="11" spans="1:16">
      <c r="A11" s="46">
        <v>8</v>
      </c>
      <c r="B11" s="219">
        <v>46121</v>
      </c>
      <c r="C11" s="40"/>
      <c r="D11" s="40"/>
      <c r="E11" s="266">
        <v>1090.07</v>
      </c>
      <c r="F11" s="299">
        <v>91.32</v>
      </c>
      <c r="G11" s="40">
        <f t="shared" si="0"/>
        <v>99545.192399999985</v>
      </c>
      <c r="H11" s="40"/>
      <c r="I11" s="40"/>
      <c r="J11" s="40">
        <f t="shared" si="1"/>
        <v>0</v>
      </c>
      <c r="K11" s="40">
        <f t="shared" si="2"/>
        <v>99545.192399999985</v>
      </c>
      <c r="L11" s="40">
        <v>0</v>
      </c>
      <c r="M11" s="40">
        <f t="shared" si="3"/>
        <v>318743.27919999999</v>
      </c>
      <c r="N11" s="40"/>
      <c r="P11" s="22"/>
    </row>
    <row r="12" spans="1:16">
      <c r="A12" s="46">
        <v>9</v>
      </c>
      <c r="B12" s="219">
        <v>46122</v>
      </c>
      <c r="C12" s="40"/>
      <c r="D12" s="40"/>
      <c r="E12" s="266">
        <v>211.98</v>
      </c>
      <c r="F12" s="299">
        <v>91.32</v>
      </c>
      <c r="G12" s="40">
        <f t="shared" si="0"/>
        <v>19358.013599999998</v>
      </c>
      <c r="H12" s="40"/>
      <c r="I12" s="40"/>
      <c r="J12" s="40">
        <f t="shared" si="1"/>
        <v>0</v>
      </c>
      <c r="K12" s="40">
        <f t="shared" si="2"/>
        <v>19358.013599999998</v>
      </c>
      <c r="L12" s="40">
        <v>0</v>
      </c>
      <c r="M12" s="40">
        <f t="shared" si="3"/>
        <v>338101.2928</v>
      </c>
      <c r="N12" s="40"/>
    </row>
    <row r="13" spans="1:16">
      <c r="A13" s="46">
        <v>10</v>
      </c>
      <c r="B13" s="219"/>
      <c r="C13" s="40"/>
      <c r="D13" s="40"/>
      <c r="E13" s="266"/>
      <c r="F13" s="299"/>
      <c r="G13" s="40">
        <f t="shared" si="0"/>
        <v>0</v>
      </c>
      <c r="H13" s="40"/>
      <c r="I13" s="40"/>
      <c r="J13" s="40">
        <f t="shared" si="1"/>
        <v>0</v>
      </c>
      <c r="K13" s="40">
        <f t="shared" si="2"/>
        <v>0</v>
      </c>
      <c r="L13" s="40">
        <v>0</v>
      </c>
      <c r="M13" s="40">
        <f t="shared" si="3"/>
        <v>338101.2928</v>
      </c>
      <c r="N13" s="40"/>
    </row>
    <row r="14" spans="1:16">
      <c r="A14" s="46">
        <v>11</v>
      </c>
      <c r="B14" s="219">
        <v>46123</v>
      </c>
      <c r="C14" s="40"/>
      <c r="D14" s="40"/>
      <c r="E14" s="266">
        <v>221.72</v>
      </c>
      <c r="F14" s="299">
        <v>91.32</v>
      </c>
      <c r="G14" s="40">
        <f t="shared" si="0"/>
        <v>20247.470399999998</v>
      </c>
      <c r="H14" s="40"/>
      <c r="I14" s="40"/>
      <c r="J14" s="40">
        <f t="shared" si="1"/>
        <v>0</v>
      </c>
      <c r="K14" s="40">
        <f t="shared" si="2"/>
        <v>20247.470399999998</v>
      </c>
      <c r="L14" s="40">
        <v>0</v>
      </c>
      <c r="M14" s="40">
        <f t="shared" si="3"/>
        <v>358348.76319999999</v>
      </c>
      <c r="N14" s="40"/>
    </row>
    <row r="15" spans="1:16">
      <c r="A15" s="46">
        <v>12</v>
      </c>
      <c r="B15" s="219">
        <v>46124</v>
      </c>
      <c r="C15" s="40"/>
      <c r="D15" s="40"/>
      <c r="E15" s="266">
        <v>40.15</v>
      </c>
      <c r="F15" s="299">
        <v>91.32</v>
      </c>
      <c r="G15" s="40">
        <f t="shared" si="0"/>
        <v>3666.4979999999996</v>
      </c>
      <c r="H15" s="40"/>
      <c r="I15" s="40"/>
      <c r="J15" s="40">
        <f t="shared" si="1"/>
        <v>0</v>
      </c>
      <c r="K15" s="40">
        <f t="shared" si="2"/>
        <v>3666.4979999999996</v>
      </c>
      <c r="L15" s="40">
        <v>0</v>
      </c>
      <c r="M15" s="40">
        <f t="shared" si="3"/>
        <v>362015.26120000001</v>
      </c>
      <c r="N15" s="40"/>
    </row>
    <row r="16" spans="1:16">
      <c r="A16" s="46">
        <v>13</v>
      </c>
      <c r="B16" s="219">
        <v>46125</v>
      </c>
      <c r="C16" s="40"/>
      <c r="D16" s="40"/>
      <c r="E16" s="266">
        <v>940</v>
      </c>
      <c r="F16" s="299">
        <v>91.32</v>
      </c>
      <c r="G16" s="40">
        <f t="shared" si="0"/>
        <v>85840.799999999988</v>
      </c>
      <c r="H16" s="40"/>
      <c r="I16" s="40"/>
      <c r="J16" s="40">
        <f t="shared" si="1"/>
        <v>0</v>
      </c>
      <c r="K16" s="40">
        <f t="shared" si="2"/>
        <v>85840.799999999988</v>
      </c>
      <c r="L16" s="40">
        <v>0</v>
      </c>
      <c r="M16" s="40">
        <f>M15+K16-L16</f>
        <v>447856.0612</v>
      </c>
      <c r="N16" s="40"/>
    </row>
    <row r="17" spans="1:14">
      <c r="A17" s="46">
        <v>14</v>
      </c>
      <c r="B17" s="219">
        <v>46126</v>
      </c>
      <c r="C17" s="40"/>
      <c r="D17" s="40"/>
      <c r="E17" s="266">
        <v>223.65</v>
      </c>
      <c r="F17" s="299">
        <v>91.32</v>
      </c>
      <c r="G17" s="40">
        <f t="shared" si="0"/>
        <v>20423.718000000001</v>
      </c>
      <c r="H17" s="40"/>
      <c r="I17" s="40"/>
      <c r="J17" s="40">
        <f t="shared" si="1"/>
        <v>0</v>
      </c>
      <c r="K17" s="40">
        <f t="shared" si="2"/>
        <v>20423.718000000001</v>
      </c>
      <c r="L17" s="40">
        <v>0</v>
      </c>
      <c r="M17" s="40">
        <f t="shared" si="3"/>
        <v>468279.77919999999</v>
      </c>
      <c r="N17" s="40"/>
    </row>
    <row r="18" spans="1:14">
      <c r="A18" s="46">
        <v>15</v>
      </c>
      <c r="B18" s="219">
        <v>46127</v>
      </c>
      <c r="C18" s="40"/>
      <c r="D18" s="40"/>
      <c r="E18" s="266">
        <v>238.23</v>
      </c>
      <c r="F18" s="299">
        <v>91.32</v>
      </c>
      <c r="G18" s="40">
        <f t="shared" si="0"/>
        <v>21755.163599999996</v>
      </c>
      <c r="H18" s="40"/>
      <c r="I18" s="40"/>
      <c r="J18" s="40">
        <f t="shared" si="1"/>
        <v>0</v>
      </c>
      <c r="K18" s="40">
        <f t="shared" si="2"/>
        <v>21755.163599999996</v>
      </c>
      <c r="L18" s="40">
        <v>0</v>
      </c>
      <c r="M18" s="40">
        <f t="shared" si="3"/>
        <v>490034.94279999996</v>
      </c>
      <c r="N18" s="40"/>
    </row>
    <row r="19" spans="1:14">
      <c r="A19" s="46">
        <v>16</v>
      </c>
      <c r="B19" s="219">
        <v>46128</v>
      </c>
      <c r="C19" s="40"/>
      <c r="D19" s="40"/>
      <c r="E19" s="266">
        <v>108.39</v>
      </c>
      <c r="F19" s="299">
        <v>91.32</v>
      </c>
      <c r="G19" s="40">
        <f t="shared" si="0"/>
        <v>9898.1747999999989</v>
      </c>
      <c r="H19" s="40"/>
      <c r="I19" s="40"/>
      <c r="J19" s="40">
        <f t="shared" si="1"/>
        <v>0</v>
      </c>
      <c r="K19" s="40">
        <f t="shared" si="2"/>
        <v>9898.1747999999989</v>
      </c>
      <c r="L19" s="40">
        <v>0</v>
      </c>
      <c r="M19" s="40">
        <f t="shared" si="3"/>
        <v>499933.11759999994</v>
      </c>
      <c r="N19" s="40"/>
    </row>
    <row r="20" spans="1:14">
      <c r="A20" s="46">
        <v>17</v>
      </c>
      <c r="B20" s="219">
        <v>46129</v>
      </c>
      <c r="C20" s="40"/>
      <c r="D20" s="40"/>
      <c r="E20" s="266"/>
      <c r="F20" s="299">
        <v>91.32</v>
      </c>
      <c r="G20" s="40">
        <f t="shared" si="0"/>
        <v>0</v>
      </c>
      <c r="H20" s="40"/>
      <c r="I20" s="40"/>
      <c r="J20" s="40">
        <f t="shared" si="1"/>
        <v>0</v>
      </c>
      <c r="K20" s="40">
        <f t="shared" si="2"/>
        <v>0</v>
      </c>
      <c r="L20" s="40">
        <v>0</v>
      </c>
      <c r="M20" s="40">
        <f t="shared" si="3"/>
        <v>499933.11759999994</v>
      </c>
      <c r="N20" s="40"/>
    </row>
    <row r="21" spans="1:14">
      <c r="A21" s="46">
        <v>18</v>
      </c>
      <c r="B21" s="219">
        <v>46130</v>
      </c>
      <c r="C21" s="40"/>
      <c r="D21" s="40"/>
      <c r="E21" s="266">
        <v>47.35</v>
      </c>
      <c r="F21" s="299">
        <v>91.32</v>
      </c>
      <c r="G21" s="40">
        <f t="shared" si="0"/>
        <v>4324.0019999999995</v>
      </c>
      <c r="H21" s="40"/>
      <c r="I21" s="40"/>
      <c r="J21" s="40">
        <f t="shared" si="1"/>
        <v>0</v>
      </c>
      <c r="K21" s="40">
        <f t="shared" si="2"/>
        <v>4324.0019999999995</v>
      </c>
      <c r="L21" s="40">
        <v>300000</v>
      </c>
      <c r="M21" s="40">
        <f>M20+K21-L21</f>
        <v>204257.11959999992</v>
      </c>
      <c r="N21" s="40"/>
    </row>
    <row r="22" spans="1:14">
      <c r="A22" s="46">
        <v>19</v>
      </c>
      <c r="B22" s="219">
        <v>46131</v>
      </c>
      <c r="C22" s="40"/>
      <c r="D22" s="40"/>
      <c r="E22" s="266">
        <v>527.51</v>
      </c>
      <c r="F22" s="299">
        <v>91.32</v>
      </c>
      <c r="G22" s="40">
        <f t="shared" si="0"/>
        <v>48172.213199999998</v>
      </c>
      <c r="H22" s="40"/>
      <c r="I22" s="40"/>
      <c r="J22" s="40">
        <f t="shared" si="1"/>
        <v>0</v>
      </c>
      <c r="K22" s="40">
        <f t="shared" si="2"/>
        <v>48172.213199999998</v>
      </c>
      <c r="L22" s="40">
        <v>0</v>
      </c>
      <c r="M22" s="40">
        <f t="shared" si="3"/>
        <v>252429.33279999992</v>
      </c>
      <c r="N22" s="40"/>
    </row>
    <row r="23" spans="1:14">
      <c r="A23" s="46">
        <v>20</v>
      </c>
      <c r="B23" s="219">
        <v>46132</v>
      </c>
      <c r="C23" s="40"/>
      <c r="D23" s="40"/>
      <c r="E23" s="266">
        <v>600</v>
      </c>
      <c r="F23" s="299">
        <v>91.32</v>
      </c>
      <c r="G23" s="40">
        <f t="shared" si="0"/>
        <v>54791.999999999993</v>
      </c>
      <c r="H23" s="40"/>
      <c r="I23" s="40"/>
      <c r="J23" s="40">
        <f t="shared" si="1"/>
        <v>0</v>
      </c>
      <c r="K23" s="40">
        <f t="shared" si="2"/>
        <v>54791.999999999993</v>
      </c>
      <c r="L23" s="40">
        <v>0</v>
      </c>
      <c r="M23" s="40">
        <f t="shared" si="3"/>
        <v>307221.33279999992</v>
      </c>
      <c r="N23" s="40"/>
    </row>
    <row r="24" spans="1:14">
      <c r="A24" s="46">
        <v>21</v>
      </c>
      <c r="B24" s="219">
        <v>46133</v>
      </c>
      <c r="C24" s="40"/>
      <c r="D24" s="40"/>
      <c r="E24" s="266">
        <v>730.43</v>
      </c>
      <c r="F24" s="299">
        <v>91.32</v>
      </c>
      <c r="G24" s="40">
        <f t="shared" si="0"/>
        <v>66702.867599999983</v>
      </c>
      <c r="H24" s="40"/>
      <c r="I24" s="40"/>
      <c r="J24" s="40">
        <f t="shared" si="1"/>
        <v>0</v>
      </c>
      <c r="K24" s="40">
        <f t="shared" si="2"/>
        <v>66702.867599999983</v>
      </c>
      <c r="L24" s="40">
        <v>0</v>
      </c>
      <c r="M24" s="40">
        <f t="shared" si="3"/>
        <v>373924.20039999991</v>
      </c>
      <c r="N24" s="40"/>
    </row>
    <row r="25" spans="1:14">
      <c r="A25" s="46">
        <v>22</v>
      </c>
      <c r="B25" s="219">
        <v>46134</v>
      </c>
      <c r="C25" s="40"/>
      <c r="D25" s="40"/>
      <c r="E25" s="266">
        <v>29.55</v>
      </c>
      <c r="F25" s="299">
        <v>91.32</v>
      </c>
      <c r="G25" s="40">
        <f t="shared" si="0"/>
        <v>2698.5059999999999</v>
      </c>
      <c r="H25" s="40"/>
      <c r="I25" s="40"/>
      <c r="J25" s="40">
        <f t="shared" si="1"/>
        <v>0</v>
      </c>
      <c r="K25" s="40">
        <f t="shared" si="2"/>
        <v>2698.5059999999999</v>
      </c>
      <c r="L25" s="40">
        <v>0</v>
      </c>
      <c r="M25" s="40">
        <f t="shared" si="3"/>
        <v>376622.70639999991</v>
      </c>
      <c r="N25" s="40"/>
    </row>
    <row r="26" spans="1:14">
      <c r="A26" s="46">
        <v>23</v>
      </c>
      <c r="B26" s="219">
        <v>46135</v>
      </c>
      <c r="C26" s="40"/>
      <c r="D26" s="40"/>
      <c r="E26" s="266">
        <v>256.32</v>
      </c>
      <c r="F26" s="299">
        <v>91.32</v>
      </c>
      <c r="G26" s="40">
        <f t="shared" si="0"/>
        <v>23407.142399999997</v>
      </c>
      <c r="H26" s="40"/>
      <c r="I26" s="40"/>
      <c r="J26" s="40">
        <f t="shared" si="1"/>
        <v>0</v>
      </c>
      <c r="K26" s="40">
        <f t="shared" si="2"/>
        <v>23407.142399999997</v>
      </c>
      <c r="L26" s="40">
        <v>0</v>
      </c>
      <c r="M26" s="40">
        <f t="shared" si="3"/>
        <v>400029.84879999992</v>
      </c>
      <c r="N26" s="40"/>
    </row>
    <row r="27" spans="1:14">
      <c r="A27" s="46">
        <v>24</v>
      </c>
      <c r="B27" s="219">
        <v>46136</v>
      </c>
      <c r="C27" s="40"/>
      <c r="D27" s="40"/>
      <c r="E27" s="266">
        <v>0</v>
      </c>
      <c r="F27" s="299">
        <v>0</v>
      </c>
      <c r="G27" s="40">
        <f t="shared" si="0"/>
        <v>0</v>
      </c>
      <c r="H27" s="40"/>
      <c r="I27" s="40"/>
      <c r="J27" s="40">
        <f t="shared" si="1"/>
        <v>0</v>
      </c>
      <c r="K27" s="40">
        <f t="shared" si="2"/>
        <v>0</v>
      </c>
      <c r="L27" s="40">
        <v>0</v>
      </c>
      <c r="M27" s="40">
        <f t="shared" si="3"/>
        <v>400029.84879999992</v>
      </c>
      <c r="N27" s="40"/>
    </row>
    <row r="28" spans="1:14">
      <c r="A28" s="221">
        <v>25</v>
      </c>
      <c r="B28" s="219">
        <v>46137</v>
      </c>
      <c r="C28" s="40"/>
      <c r="D28" s="40"/>
      <c r="E28" s="266">
        <v>820.58</v>
      </c>
      <c r="F28" s="299">
        <v>91.32</v>
      </c>
      <c r="G28" s="40">
        <f t="shared" si="0"/>
        <v>74935.365600000005</v>
      </c>
      <c r="H28" s="40"/>
      <c r="I28" s="40"/>
      <c r="J28" s="40">
        <f t="shared" si="1"/>
        <v>0</v>
      </c>
      <c r="K28" s="40">
        <f t="shared" si="2"/>
        <v>74935.365600000005</v>
      </c>
      <c r="L28" s="40">
        <v>0</v>
      </c>
      <c r="M28" s="40">
        <f t="shared" si="3"/>
        <v>474965.21439999994</v>
      </c>
      <c r="N28" s="40"/>
    </row>
    <row r="29" spans="1:14">
      <c r="A29" s="221">
        <v>26</v>
      </c>
      <c r="B29" s="219">
        <v>46138</v>
      </c>
      <c r="C29" s="40"/>
      <c r="D29" s="40"/>
      <c r="E29" s="266">
        <v>307.18</v>
      </c>
      <c r="F29" s="299">
        <v>91.32</v>
      </c>
      <c r="G29" s="40">
        <f t="shared" si="0"/>
        <v>28051.677599999999</v>
      </c>
      <c r="H29" s="40"/>
      <c r="I29" s="40"/>
      <c r="J29" s="40">
        <f t="shared" si="1"/>
        <v>0</v>
      </c>
      <c r="K29" s="40">
        <f t="shared" si="2"/>
        <v>28051.677599999999</v>
      </c>
      <c r="L29" s="40">
        <v>0</v>
      </c>
      <c r="M29" s="40">
        <f t="shared" si="3"/>
        <v>503016.89199999993</v>
      </c>
      <c r="N29" s="40"/>
    </row>
    <row r="30" spans="1:14">
      <c r="A30" s="221">
        <v>27</v>
      </c>
      <c r="B30" s="219">
        <v>46139</v>
      </c>
      <c r="C30" s="40"/>
      <c r="D30" s="40"/>
      <c r="E30" s="266">
        <v>439</v>
      </c>
      <c r="F30" s="299">
        <v>91.32</v>
      </c>
      <c r="G30" s="40">
        <f t="shared" si="0"/>
        <v>40089.479999999996</v>
      </c>
      <c r="H30" s="40">
        <v>6</v>
      </c>
      <c r="I30" s="40">
        <v>103.23</v>
      </c>
      <c r="J30" s="40">
        <f t="shared" si="1"/>
        <v>619.38</v>
      </c>
      <c r="K30" s="40">
        <f t="shared" si="2"/>
        <v>40708.859999999993</v>
      </c>
      <c r="L30" s="40">
        <v>300000</v>
      </c>
      <c r="M30" s="40">
        <f t="shared" si="3"/>
        <v>243725.75199999998</v>
      </c>
      <c r="N30" s="40"/>
    </row>
    <row r="31" spans="1:14">
      <c r="A31" s="221">
        <v>28</v>
      </c>
      <c r="B31" s="219">
        <v>46140</v>
      </c>
      <c r="C31" s="40"/>
      <c r="D31" s="40"/>
      <c r="E31" s="266">
        <v>746.36</v>
      </c>
      <c r="F31" s="299">
        <v>91.32</v>
      </c>
      <c r="G31" s="40">
        <f t="shared" si="0"/>
        <v>68157.595199999996</v>
      </c>
      <c r="H31" s="40">
        <v>6</v>
      </c>
      <c r="I31" s="40">
        <v>103.23</v>
      </c>
      <c r="J31" s="40">
        <f t="shared" si="1"/>
        <v>619.38</v>
      </c>
      <c r="K31" s="40">
        <f t="shared" si="2"/>
        <v>68776.975200000001</v>
      </c>
      <c r="L31" s="40">
        <v>0</v>
      </c>
      <c r="M31" s="40">
        <f t="shared" si="3"/>
        <v>312502.72719999996</v>
      </c>
      <c r="N31" s="40"/>
    </row>
    <row r="32" spans="1:14">
      <c r="A32" s="222">
        <v>29</v>
      </c>
      <c r="B32" s="219">
        <v>46141</v>
      </c>
      <c r="C32" s="40"/>
      <c r="D32" s="40"/>
      <c r="E32" s="266">
        <v>1218.3800000000001</v>
      </c>
      <c r="F32" s="299">
        <v>91.32</v>
      </c>
      <c r="G32" s="40">
        <f t="shared" si="0"/>
        <v>111262.4616</v>
      </c>
      <c r="H32" s="40">
        <v>6</v>
      </c>
      <c r="I32" s="40">
        <v>103.23</v>
      </c>
      <c r="J32" s="40">
        <f t="shared" si="1"/>
        <v>619.38</v>
      </c>
      <c r="K32" s="40">
        <f t="shared" si="2"/>
        <v>111881.8416</v>
      </c>
      <c r="L32" s="40">
        <v>0</v>
      </c>
      <c r="M32" s="40">
        <f t="shared" si="3"/>
        <v>424384.56879999995</v>
      </c>
      <c r="N32" s="40"/>
    </row>
    <row r="33" spans="1:14">
      <c r="A33" s="222">
        <v>30</v>
      </c>
      <c r="B33" s="219">
        <v>46142</v>
      </c>
      <c r="C33" s="40"/>
      <c r="D33" s="40"/>
      <c r="E33" s="266">
        <v>798.68</v>
      </c>
      <c r="F33" s="299">
        <v>91.32</v>
      </c>
      <c r="G33" s="40">
        <f t="shared" si="0"/>
        <v>72935.457599999994</v>
      </c>
      <c r="H33" s="40"/>
      <c r="I33" s="40"/>
      <c r="J33" s="40">
        <f t="shared" si="1"/>
        <v>0</v>
      </c>
      <c r="K33" s="40">
        <f t="shared" si="2"/>
        <v>72935.457599999994</v>
      </c>
      <c r="L33" s="40">
        <v>0</v>
      </c>
      <c r="M33" s="40">
        <f t="shared" si="3"/>
        <v>497320.02639999997</v>
      </c>
      <c r="N33" s="40"/>
    </row>
    <row r="34" spans="1:14">
      <c r="A34" s="222">
        <v>31</v>
      </c>
      <c r="B34" s="219"/>
      <c r="C34" s="40"/>
      <c r="D34" s="40"/>
      <c r="E34" s="266"/>
      <c r="F34" s="299"/>
      <c r="G34" s="40">
        <f t="shared" si="0"/>
        <v>0</v>
      </c>
      <c r="H34" s="40"/>
      <c r="I34" s="40"/>
      <c r="J34" s="40">
        <f t="shared" si="1"/>
        <v>0</v>
      </c>
      <c r="K34" s="40">
        <f t="shared" si="2"/>
        <v>0</v>
      </c>
      <c r="L34" s="40">
        <v>0</v>
      </c>
      <c r="M34" s="40">
        <f t="shared" si="3"/>
        <v>497320.02639999997</v>
      </c>
      <c r="N34" s="40"/>
    </row>
    <row r="35" spans="1:14">
      <c r="A35" s="181"/>
      <c r="B35" s="181"/>
      <c r="C35" s="181"/>
      <c r="D35" s="181"/>
      <c r="E35" s="181">
        <f>SUM(E4:E34)</f>
        <v>11982.27</v>
      </c>
      <c r="F35" s="181"/>
      <c r="G35" s="181">
        <f>SUM(G4:G34)</f>
        <v>1094220.8964000002</v>
      </c>
      <c r="H35" s="181">
        <f>SUM(H4:H34)</f>
        <v>30</v>
      </c>
      <c r="I35" s="181"/>
      <c r="J35" s="181">
        <f>SUM(J4:J34)</f>
        <v>3096.9</v>
      </c>
      <c r="K35" s="181">
        <f>SUM(K4:K34)</f>
        <v>1097317.7964000001</v>
      </c>
      <c r="L35" s="181">
        <f>SUM(L4:L34)</f>
        <v>1306573</v>
      </c>
      <c r="M35" s="181"/>
      <c r="N35" s="181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26CA-2A8F-4E1A-B43B-A684C6DFAF19}">
  <sheetPr>
    <tabColor theme="3" tint="-0.499984740745262"/>
  </sheetPr>
  <dimension ref="A1:N37"/>
  <sheetViews>
    <sheetView topLeftCell="A20" workbookViewId="0">
      <selection activeCell="R36" sqref="R36"/>
    </sheetView>
  </sheetViews>
  <sheetFormatPr defaultRowHeight="15"/>
  <cols>
    <col min="2" max="2" width="10.5703125" bestFit="1" customWidth="1"/>
    <col min="11" max="11" width="13.5703125" bestFit="1" customWidth="1"/>
    <col min="12" max="12" width="12.42578125" bestFit="1" customWidth="1"/>
  </cols>
  <sheetData>
    <row r="1" spans="1:14" ht="15.75">
      <c r="A1" s="517" t="s">
        <v>269</v>
      </c>
      <c r="B1" s="517"/>
      <c r="C1" s="517"/>
      <c r="D1" s="517"/>
      <c r="E1" s="517"/>
      <c r="F1" s="517"/>
      <c r="G1" s="517"/>
      <c r="H1" s="517"/>
      <c r="I1" s="517"/>
      <c r="J1" s="517"/>
      <c r="K1" s="517"/>
      <c r="L1" s="517"/>
      <c r="M1" s="517"/>
      <c r="N1" s="517"/>
    </row>
    <row r="2" spans="1:14" ht="45">
      <c r="A2" s="124" t="s">
        <v>0</v>
      </c>
      <c r="B2" s="213" t="s">
        <v>164</v>
      </c>
      <c r="C2" s="213" t="s">
        <v>165</v>
      </c>
      <c r="D2" s="213" t="s">
        <v>208</v>
      </c>
      <c r="E2" s="213" t="s">
        <v>167</v>
      </c>
      <c r="F2" s="213" t="s">
        <v>168</v>
      </c>
      <c r="G2" s="213" t="s">
        <v>169</v>
      </c>
      <c r="H2" s="213" t="s">
        <v>170</v>
      </c>
      <c r="I2" s="213" t="s">
        <v>168</v>
      </c>
      <c r="J2" s="213" t="s">
        <v>169</v>
      </c>
      <c r="K2" s="175" t="s">
        <v>171</v>
      </c>
      <c r="L2" s="175" t="s">
        <v>172</v>
      </c>
      <c r="M2" s="175" t="s">
        <v>209</v>
      </c>
      <c r="N2" s="213" t="s">
        <v>174</v>
      </c>
    </row>
    <row r="3" spans="1:14">
      <c r="A3" s="518" t="s">
        <v>175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>
        <v>0</v>
      </c>
      <c r="N3" s="518"/>
    </row>
    <row r="4" spans="1:14">
      <c r="A4" s="196">
        <v>1</v>
      </c>
      <c r="B4" s="219">
        <v>46113</v>
      </c>
      <c r="C4" s="40"/>
      <c r="D4" s="40"/>
      <c r="E4" s="40"/>
      <c r="F4" s="40"/>
      <c r="G4" s="40">
        <f>E4*F4</f>
        <v>0</v>
      </c>
      <c r="H4" s="40">
        <v>5</v>
      </c>
      <c r="I4" s="40">
        <v>103.23</v>
      </c>
      <c r="J4" s="40">
        <f>H4*I4</f>
        <v>516.15</v>
      </c>
      <c r="K4" s="40">
        <f>G4+J4</f>
        <v>516.15</v>
      </c>
      <c r="L4" s="40">
        <f>+K4</f>
        <v>516.15</v>
      </c>
      <c r="M4" s="40">
        <f>M3+K4-L4</f>
        <v>0</v>
      </c>
      <c r="N4" s="40"/>
    </row>
    <row r="5" spans="1:14">
      <c r="A5" s="46">
        <v>2</v>
      </c>
      <c r="B5" s="219">
        <v>46114</v>
      </c>
      <c r="C5" s="40"/>
      <c r="D5" s="40"/>
      <c r="E5" s="40"/>
      <c r="F5" s="40"/>
      <c r="G5" s="40">
        <f t="shared" ref="G5:G34" si="0">E5*F5</f>
        <v>0</v>
      </c>
      <c r="H5" s="40"/>
      <c r="I5" s="40"/>
      <c r="J5" s="40">
        <f t="shared" ref="J5:J34" si="1">H5*I5</f>
        <v>0</v>
      </c>
      <c r="K5" s="40">
        <f t="shared" ref="K5:K34" si="2">G5+J5</f>
        <v>0</v>
      </c>
      <c r="L5" s="40">
        <f t="shared" ref="L5:L32" si="3">+K5</f>
        <v>0</v>
      </c>
      <c r="M5" s="40">
        <f t="shared" ref="M5:M34" si="4">M4+K5-L5</f>
        <v>0</v>
      </c>
      <c r="N5" s="40"/>
    </row>
    <row r="6" spans="1:14">
      <c r="A6" s="46">
        <v>3</v>
      </c>
      <c r="B6" s="219">
        <v>46115</v>
      </c>
      <c r="C6" s="40"/>
      <c r="D6" s="40"/>
      <c r="E6" s="40"/>
      <c r="F6" s="40">
        <v>91.3</v>
      </c>
      <c r="G6" s="40">
        <f t="shared" si="0"/>
        <v>0</v>
      </c>
      <c r="H6" s="40"/>
      <c r="I6" s="40"/>
      <c r="J6" s="40">
        <f t="shared" si="1"/>
        <v>0</v>
      </c>
      <c r="K6" s="40">
        <f t="shared" si="2"/>
        <v>0</v>
      </c>
      <c r="L6" s="40">
        <f t="shared" si="3"/>
        <v>0</v>
      </c>
      <c r="M6" s="40">
        <f t="shared" si="4"/>
        <v>0</v>
      </c>
      <c r="N6" s="40"/>
    </row>
    <row r="7" spans="1:14">
      <c r="A7" s="46">
        <v>4</v>
      </c>
      <c r="B7" s="219">
        <v>46116</v>
      </c>
      <c r="C7" s="40"/>
      <c r="D7" s="40"/>
      <c r="E7" s="40"/>
      <c r="F7" s="40"/>
      <c r="G7" s="40">
        <f t="shared" si="0"/>
        <v>0</v>
      </c>
      <c r="H7" s="40">
        <v>27</v>
      </c>
      <c r="I7" s="40">
        <v>103.22</v>
      </c>
      <c r="J7" s="40">
        <f t="shared" si="1"/>
        <v>2786.94</v>
      </c>
      <c r="K7" s="40">
        <f t="shared" si="2"/>
        <v>2786.94</v>
      </c>
      <c r="L7" s="40">
        <f t="shared" si="3"/>
        <v>2786.94</v>
      </c>
      <c r="M7" s="40">
        <f t="shared" si="4"/>
        <v>0</v>
      </c>
      <c r="N7" s="40"/>
    </row>
    <row r="8" spans="1:14">
      <c r="A8" s="46">
        <v>5</v>
      </c>
      <c r="B8" s="219">
        <v>46117</v>
      </c>
      <c r="C8" s="40"/>
      <c r="D8" s="40"/>
      <c r="E8" s="40">
        <v>20</v>
      </c>
      <c r="F8" s="40">
        <v>91.3</v>
      </c>
      <c r="G8" s="40">
        <f t="shared" si="0"/>
        <v>1826</v>
      </c>
      <c r="H8" s="40"/>
      <c r="I8" s="40"/>
      <c r="J8" s="40">
        <f t="shared" si="1"/>
        <v>0</v>
      </c>
      <c r="K8" s="40">
        <f t="shared" si="2"/>
        <v>1826</v>
      </c>
      <c r="L8" s="40">
        <f t="shared" si="3"/>
        <v>1826</v>
      </c>
      <c r="M8" s="40">
        <f t="shared" si="4"/>
        <v>0</v>
      </c>
      <c r="N8" s="40"/>
    </row>
    <row r="9" spans="1:14">
      <c r="A9" s="46">
        <v>6</v>
      </c>
      <c r="B9" s="219">
        <v>46118</v>
      </c>
      <c r="C9" s="40"/>
      <c r="D9" s="40"/>
      <c r="E9" s="40">
        <v>30</v>
      </c>
      <c r="F9" s="40">
        <v>91.3</v>
      </c>
      <c r="G9" s="40">
        <f t="shared" si="0"/>
        <v>2739</v>
      </c>
      <c r="H9" s="40">
        <v>10</v>
      </c>
      <c r="I9" s="40">
        <v>103.22</v>
      </c>
      <c r="J9" s="40">
        <f t="shared" si="1"/>
        <v>1032.2</v>
      </c>
      <c r="K9" s="40">
        <f t="shared" si="2"/>
        <v>3771.2</v>
      </c>
      <c r="L9" s="40">
        <f t="shared" si="3"/>
        <v>3771.2</v>
      </c>
      <c r="M9" s="40">
        <f t="shared" si="4"/>
        <v>0</v>
      </c>
      <c r="N9" s="40"/>
    </row>
    <row r="10" spans="1:14">
      <c r="A10" s="46">
        <v>7</v>
      </c>
      <c r="B10" s="219">
        <v>46119</v>
      </c>
      <c r="C10" s="40"/>
      <c r="D10" s="40"/>
      <c r="E10" s="40"/>
      <c r="F10" s="40"/>
      <c r="G10" s="40">
        <f t="shared" si="0"/>
        <v>0</v>
      </c>
      <c r="H10" s="40"/>
      <c r="I10" s="40"/>
      <c r="J10" s="40">
        <f t="shared" si="1"/>
        <v>0</v>
      </c>
      <c r="K10" s="40">
        <f t="shared" si="2"/>
        <v>0</v>
      </c>
      <c r="L10" s="40">
        <f t="shared" si="3"/>
        <v>0</v>
      </c>
      <c r="M10" s="40">
        <f t="shared" si="4"/>
        <v>0</v>
      </c>
      <c r="N10" s="40"/>
    </row>
    <row r="11" spans="1:14">
      <c r="A11" s="46">
        <v>8</v>
      </c>
      <c r="B11" s="219">
        <v>46120</v>
      </c>
      <c r="C11" s="40"/>
      <c r="D11" s="40"/>
      <c r="E11" s="40">
        <v>30</v>
      </c>
      <c r="F11" s="40">
        <v>91.3</v>
      </c>
      <c r="G11" s="40">
        <f t="shared" si="0"/>
        <v>2739</v>
      </c>
      <c r="H11" s="40"/>
      <c r="I11" s="40"/>
      <c r="J11" s="40">
        <f t="shared" si="1"/>
        <v>0</v>
      </c>
      <c r="K11" s="40">
        <f t="shared" si="2"/>
        <v>2739</v>
      </c>
      <c r="L11" s="40">
        <f t="shared" si="3"/>
        <v>2739</v>
      </c>
      <c r="M11" s="40">
        <f t="shared" si="4"/>
        <v>0</v>
      </c>
      <c r="N11" s="40"/>
    </row>
    <row r="12" spans="1:14">
      <c r="A12" s="46">
        <v>9</v>
      </c>
      <c r="B12" s="219">
        <v>46121</v>
      </c>
      <c r="C12" s="40"/>
      <c r="D12" s="40"/>
      <c r="E12" s="40">
        <v>50</v>
      </c>
      <c r="F12" s="40">
        <v>91.3</v>
      </c>
      <c r="G12" s="40">
        <f t="shared" si="0"/>
        <v>4565</v>
      </c>
      <c r="H12" s="40">
        <v>6</v>
      </c>
      <c r="I12" s="40">
        <v>103.22</v>
      </c>
      <c r="J12" s="40">
        <f t="shared" si="1"/>
        <v>619.31999999999994</v>
      </c>
      <c r="K12" s="40">
        <f t="shared" si="2"/>
        <v>5184.32</v>
      </c>
      <c r="L12" s="40">
        <f t="shared" si="3"/>
        <v>5184.32</v>
      </c>
      <c r="M12" s="40">
        <f t="shared" si="4"/>
        <v>0</v>
      </c>
      <c r="N12" s="40"/>
    </row>
    <row r="13" spans="1:14">
      <c r="A13" s="46">
        <v>10</v>
      </c>
      <c r="B13" s="219">
        <v>46122</v>
      </c>
      <c r="C13" s="40"/>
      <c r="D13" s="40"/>
      <c r="E13" s="40">
        <v>20</v>
      </c>
      <c r="F13" s="40">
        <v>91.3</v>
      </c>
      <c r="G13" s="40">
        <f t="shared" si="0"/>
        <v>1826</v>
      </c>
      <c r="H13" s="40"/>
      <c r="I13" s="40"/>
      <c r="J13" s="40">
        <f t="shared" si="1"/>
        <v>0</v>
      </c>
      <c r="K13" s="40">
        <f t="shared" si="2"/>
        <v>1826</v>
      </c>
      <c r="L13" s="40">
        <f t="shared" si="3"/>
        <v>1826</v>
      </c>
      <c r="M13" s="40">
        <f t="shared" si="4"/>
        <v>0</v>
      </c>
      <c r="N13" s="40"/>
    </row>
    <row r="14" spans="1:14">
      <c r="A14" s="46">
        <v>11</v>
      </c>
      <c r="B14" s="219">
        <v>46123</v>
      </c>
      <c r="C14" s="40"/>
      <c r="D14" s="40"/>
      <c r="E14" s="40">
        <v>35</v>
      </c>
      <c r="F14" s="40">
        <v>91.3</v>
      </c>
      <c r="G14" s="40">
        <f t="shared" si="0"/>
        <v>3195.5</v>
      </c>
      <c r="H14" s="40">
        <v>6</v>
      </c>
      <c r="I14" s="40">
        <v>103.22</v>
      </c>
      <c r="J14" s="40">
        <f t="shared" si="1"/>
        <v>619.31999999999994</v>
      </c>
      <c r="K14" s="40">
        <f t="shared" si="2"/>
        <v>3814.8199999999997</v>
      </c>
      <c r="L14" s="40">
        <f t="shared" si="3"/>
        <v>3814.8199999999997</v>
      </c>
      <c r="M14" s="40">
        <f t="shared" si="4"/>
        <v>0</v>
      </c>
      <c r="N14" s="40"/>
    </row>
    <row r="15" spans="1:14">
      <c r="A15" s="46">
        <v>12</v>
      </c>
      <c r="B15" s="219">
        <v>46124</v>
      </c>
      <c r="C15" s="40"/>
      <c r="D15" s="40"/>
      <c r="E15" s="40"/>
      <c r="F15" s="40"/>
      <c r="G15" s="40">
        <f t="shared" si="0"/>
        <v>0</v>
      </c>
      <c r="H15" s="40"/>
      <c r="I15" s="40"/>
      <c r="J15" s="40">
        <f t="shared" si="1"/>
        <v>0</v>
      </c>
      <c r="K15" s="40">
        <f t="shared" si="2"/>
        <v>0</v>
      </c>
      <c r="L15" s="40">
        <f t="shared" si="3"/>
        <v>0</v>
      </c>
      <c r="M15" s="40">
        <f t="shared" si="4"/>
        <v>0</v>
      </c>
      <c r="N15" s="40"/>
    </row>
    <row r="16" spans="1:14">
      <c r="A16" s="46">
        <v>13</v>
      </c>
      <c r="B16" s="219">
        <v>46125</v>
      </c>
      <c r="C16" s="40"/>
      <c r="D16" s="40"/>
      <c r="E16" s="40">
        <v>20</v>
      </c>
      <c r="F16" s="40">
        <v>91.3</v>
      </c>
      <c r="G16" s="40">
        <f t="shared" si="0"/>
        <v>1826</v>
      </c>
      <c r="H16" s="40">
        <v>6</v>
      </c>
      <c r="I16" s="40">
        <v>103.22</v>
      </c>
      <c r="J16" s="40">
        <f t="shared" si="1"/>
        <v>619.31999999999994</v>
      </c>
      <c r="K16" s="40">
        <f t="shared" si="2"/>
        <v>2445.3199999999997</v>
      </c>
      <c r="L16" s="40">
        <f t="shared" si="3"/>
        <v>2445.3199999999997</v>
      </c>
      <c r="M16" s="40">
        <f t="shared" si="4"/>
        <v>0</v>
      </c>
      <c r="N16" s="40"/>
    </row>
    <row r="17" spans="1:14">
      <c r="A17" s="46">
        <v>14</v>
      </c>
      <c r="B17" s="219">
        <v>46126</v>
      </c>
      <c r="C17" s="40"/>
      <c r="D17" s="40"/>
      <c r="E17" s="40">
        <v>30</v>
      </c>
      <c r="F17" s="40">
        <v>91.3</v>
      </c>
      <c r="G17" s="40">
        <f t="shared" si="0"/>
        <v>2739</v>
      </c>
      <c r="H17" s="40">
        <v>5</v>
      </c>
      <c r="I17" s="40">
        <v>103.22</v>
      </c>
      <c r="J17" s="40">
        <f t="shared" si="1"/>
        <v>516.1</v>
      </c>
      <c r="K17" s="40">
        <f t="shared" si="2"/>
        <v>3255.1</v>
      </c>
      <c r="L17" s="40">
        <f t="shared" si="3"/>
        <v>3255.1</v>
      </c>
      <c r="M17" s="40">
        <f t="shared" si="4"/>
        <v>0</v>
      </c>
      <c r="N17" s="40"/>
    </row>
    <row r="18" spans="1:14">
      <c r="A18" s="46">
        <v>15</v>
      </c>
      <c r="B18" s="219">
        <v>46127</v>
      </c>
      <c r="C18" s="40"/>
      <c r="D18" s="40"/>
      <c r="E18" s="40"/>
      <c r="F18" s="40"/>
      <c r="G18" s="40">
        <f t="shared" si="0"/>
        <v>0</v>
      </c>
      <c r="H18" s="40"/>
      <c r="I18" s="40"/>
      <c r="J18" s="40">
        <f t="shared" si="1"/>
        <v>0</v>
      </c>
      <c r="K18" s="40">
        <f t="shared" si="2"/>
        <v>0</v>
      </c>
      <c r="L18" s="40">
        <f t="shared" si="3"/>
        <v>0</v>
      </c>
      <c r="M18" s="40">
        <f t="shared" si="4"/>
        <v>0</v>
      </c>
      <c r="N18" s="40"/>
    </row>
    <row r="19" spans="1:14">
      <c r="A19" s="46">
        <v>16</v>
      </c>
      <c r="B19" s="219">
        <v>46128</v>
      </c>
      <c r="C19" s="40"/>
      <c r="D19" s="40"/>
      <c r="E19" s="40">
        <v>20</v>
      </c>
      <c r="F19" s="40">
        <v>91.3</v>
      </c>
      <c r="G19" s="40">
        <f t="shared" si="0"/>
        <v>1826</v>
      </c>
      <c r="H19" s="40">
        <v>6</v>
      </c>
      <c r="I19" s="40">
        <v>103.22</v>
      </c>
      <c r="J19" s="40">
        <f t="shared" si="1"/>
        <v>619.31999999999994</v>
      </c>
      <c r="K19" s="40">
        <f t="shared" si="2"/>
        <v>2445.3199999999997</v>
      </c>
      <c r="L19" s="40">
        <f t="shared" si="3"/>
        <v>2445.3199999999997</v>
      </c>
      <c r="M19" s="40">
        <f t="shared" si="4"/>
        <v>0</v>
      </c>
      <c r="N19" s="40"/>
    </row>
    <row r="20" spans="1:14">
      <c r="A20" s="46">
        <v>17</v>
      </c>
      <c r="B20" s="219">
        <v>46129</v>
      </c>
      <c r="C20" s="40"/>
      <c r="D20" s="40"/>
      <c r="E20" s="40"/>
      <c r="F20" s="40">
        <v>91.3</v>
      </c>
      <c r="G20" s="40">
        <f t="shared" si="0"/>
        <v>0</v>
      </c>
      <c r="H20" s="40"/>
      <c r="I20" s="40"/>
      <c r="J20" s="40">
        <f t="shared" si="1"/>
        <v>0</v>
      </c>
      <c r="K20" s="40">
        <f t="shared" si="2"/>
        <v>0</v>
      </c>
      <c r="L20" s="40">
        <f t="shared" si="3"/>
        <v>0</v>
      </c>
      <c r="M20" s="40">
        <f t="shared" si="4"/>
        <v>0</v>
      </c>
      <c r="N20" s="40"/>
    </row>
    <row r="21" spans="1:14">
      <c r="A21" s="46">
        <v>18</v>
      </c>
      <c r="B21" s="219">
        <v>46130</v>
      </c>
      <c r="C21" s="40"/>
      <c r="D21" s="40"/>
      <c r="E21" s="40"/>
      <c r="F21" s="40"/>
      <c r="G21" s="40">
        <f t="shared" si="0"/>
        <v>0</v>
      </c>
      <c r="H21" s="40"/>
      <c r="I21" s="40"/>
      <c r="J21" s="40">
        <f t="shared" si="1"/>
        <v>0</v>
      </c>
      <c r="K21" s="40">
        <f t="shared" si="2"/>
        <v>0</v>
      </c>
      <c r="L21" s="40">
        <f t="shared" si="3"/>
        <v>0</v>
      </c>
      <c r="M21" s="40">
        <f t="shared" si="4"/>
        <v>0</v>
      </c>
      <c r="N21" s="40"/>
    </row>
    <row r="22" spans="1:14">
      <c r="A22" s="46">
        <v>19</v>
      </c>
      <c r="B22" s="219">
        <v>46131</v>
      </c>
      <c r="C22" s="40"/>
      <c r="D22" s="40"/>
      <c r="E22" s="40">
        <v>35</v>
      </c>
      <c r="F22" s="40">
        <v>91.3</v>
      </c>
      <c r="G22" s="40">
        <f t="shared" si="0"/>
        <v>3195.5</v>
      </c>
      <c r="H22" s="40"/>
      <c r="I22" s="40"/>
      <c r="J22" s="40">
        <f t="shared" si="1"/>
        <v>0</v>
      </c>
      <c r="K22" s="40">
        <f t="shared" si="2"/>
        <v>3195.5</v>
      </c>
      <c r="L22" s="40">
        <f t="shared" si="3"/>
        <v>3195.5</v>
      </c>
      <c r="M22" s="40">
        <f t="shared" si="4"/>
        <v>0</v>
      </c>
      <c r="N22" s="40"/>
    </row>
    <row r="23" spans="1:14">
      <c r="A23" s="46">
        <v>20</v>
      </c>
      <c r="B23" s="219">
        <v>46132</v>
      </c>
      <c r="C23" s="40"/>
      <c r="D23" s="40"/>
      <c r="E23" s="40"/>
      <c r="F23" s="40"/>
      <c r="G23" s="40">
        <f t="shared" si="0"/>
        <v>0</v>
      </c>
      <c r="H23" s="40"/>
      <c r="I23" s="40"/>
      <c r="J23" s="40">
        <f t="shared" si="1"/>
        <v>0</v>
      </c>
      <c r="K23" s="40">
        <f t="shared" si="2"/>
        <v>0</v>
      </c>
      <c r="L23" s="40">
        <f t="shared" si="3"/>
        <v>0</v>
      </c>
      <c r="M23" s="40">
        <f t="shared" si="4"/>
        <v>0</v>
      </c>
      <c r="N23" s="40"/>
    </row>
    <row r="24" spans="1:14">
      <c r="A24" s="46">
        <v>21</v>
      </c>
      <c r="B24" s="219">
        <v>46133</v>
      </c>
      <c r="C24" s="40"/>
      <c r="D24" s="40"/>
      <c r="E24" s="40">
        <v>30</v>
      </c>
      <c r="F24" s="40">
        <v>91.3</v>
      </c>
      <c r="G24" s="40">
        <f t="shared" si="0"/>
        <v>2739</v>
      </c>
      <c r="H24" s="40">
        <v>5</v>
      </c>
      <c r="I24" s="40">
        <v>103.22</v>
      </c>
      <c r="J24" s="40">
        <f t="shared" si="1"/>
        <v>516.1</v>
      </c>
      <c r="K24" s="40">
        <f t="shared" si="2"/>
        <v>3255.1</v>
      </c>
      <c r="L24" s="40">
        <f t="shared" si="3"/>
        <v>3255.1</v>
      </c>
      <c r="M24" s="40">
        <f t="shared" si="4"/>
        <v>0</v>
      </c>
      <c r="N24" s="40"/>
    </row>
    <row r="25" spans="1:14">
      <c r="A25" s="46">
        <v>22</v>
      </c>
      <c r="B25" s="219">
        <v>46134</v>
      </c>
      <c r="C25" s="40"/>
      <c r="D25" s="40"/>
      <c r="E25" s="40"/>
      <c r="F25" s="40"/>
      <c r="G25" s="40">
        <f t="shared" si="0"/>
        <v>0</v>
      </c>
      <c r="H25" s="40">
        <v>5</v>
      </c>
      <c r="I25" s="40">
        <v>103.22</v>
      </c>
      <c r="J25" s="40">
        <f t="shared" si="1"/>
        <v>516.1</v>
      </c>
      <c r="K25" s="40">
        <f t="shared" si="2"/>
        <v>516.1</v>
      </c>
      <c r="L25" s="40">
        <f t="shared" si="3"/>
        <v>516.1</v>
      </c>
      <c r="M25" s="40">
        <f t="shared" si="4"/>
        <v>0</v>
      </c>
      <c r="N25" s="40"/>
    </row>
    <row r="26" spans="1:14">
      <c r="A26" s="46">
        <v>23</v>
      </c>
      <c r="B26" s="219">
        <v>46135</v>
      </c>
      <c r="C26" s="40"/>
      <c r="D26" s="40"/>
      <c r="E26" s="40">
        <v>30</v>
      </c>
      <c r="F26" s="40">
        <v>91.3</v>
      </c>
      <c r="G26" s="40">
        <f t="shared" si="0"/>
        <v>2739</v>
      </c>
      <c r="H26" s="40"/>
      <c r="I26" s="40"/>
      <c r="J26" s="40">
        <f t="shared" si="1"/>
        <v>0</v>
      </c>
      <c r="K26" s="40">
        <f t="shared" si="2"/>
        <v>2739</v>
      </c>
      <c r="L26" s="40">
        <f t="shared" si="3"/>
        <v>2739</v>
      </c>
      <c r="M26" s="40">
        <f t="shared" si="4"/>
        <v>0</v>
      </c>
      <c r="N26" s="40"/>
    </row>
    <row r="27" spans="1:14">
      <c r="A27" s="46">
        <v>24</v>
      </c>
      <c r="B27" s="219">
        <v>46136</v>
      </c>
      <c r="C27" s="40"/>
      <c r="D27" s="40"/>
      <c r="E27" s="40">
        <v>50</v>
      </c>
      <c r="F27" s="40">
        <v>91.3</v>
      </c>
      <c r="G27" s="40">
        <f t="shared" si="0"/>
        <v>4565</v>
      </c>
      <c r="H27" s="40"/>
      <c r="I27" s="40"/>
      <c r="J27" s="40">
        <f t="shared" si="1"/>
        <v>0</v>
      </c>
      <c r="K27" s="40">
        <f t="shared" si="2"/>
        <v>4565</v>
      </c>
      <c r="L27" s="40">
        <f t="shared" si="3"/>
        <v>4565</v>
      </c>
      <c r="M27" s="40">
        <f t="shared" si="4"/>
        <v>0</v>
      </c>
      <c r="N27" s="40"/>
    </row>
    <row r="28" spans="1:14">
      <c r="A28" s="221">
        <v>25</v>
      </c>
      <c r="B28" s="219">
        <v>46137</v>
      </c>
      <c r="C28" s="40"/>
      <c r="D28" s="40"/>
      <c r="E28" s="40">
        <v>30</v>
      </c>
      <c r="F28" s="40">
        <v>91.3</v>
      </c>
      <c r="G28" s="40">
        <f t="shared" si="0"/>
        <v>2739</v>
      </c>
      <c r="H28" s="40"/>
      <c r="I28" s="40"/>
      <c r="J28" s="40">
        <f t="shared" si="1"/>
        <v>0</v>
      </c>
      <c r="K28" s="40">
        <f t="shared" si="2"/>
        <v>2739</v>
      </c>
      <c r="L28" s="40">
        <f t="shared" si="3"/>
        <v>2739</v>
      </c>
      <c r="M28" s="40">
        <f t="shared" si="4"/>
        <v>0</v>
      </c>
      <c r="N28" s="40"/>
    </row>
    <row r="29" spans="1:14">
      <c r="A29" s="221">
        <v>26</v>
      </c>
      <c r="B29" s="219">
        <v>46138</v>
      </c>
      <c r="C29" s="40"/>
      <c r="D29" s="40"/>
      <c r="E29" s="40">
        <v>0</v>
      </c>
      <c r="F29" s="40">
        <v>91.3</v>
      </c>
      <c r="G29" s="40">
        <f t="shared" si="0"/>
        <v>0</v>
      </c>
      <c r="H29" s="40">
        <v>6</v>
      </c>
      <c r="I29" s="40">
        <v>103.22</v>
      </c>
      <c r="J29" s="40">
        <f t="shared" si="1"/>
        <v>619.31999999999994</v>
      </c>
      <c r="K29" s="40">
        <f t="shared" si="2"/>
        <v>619.31999999999994</v>
      </c>
      <c r="L29" s="40">
        <f t="shared" si="3"/>
        <v>619.31999999999994</v>
      </c>
      <c r="M29" s="40">
        <f t="shared" si="4"/>
        <v>0</v>
      </c>
      <c r="N29" s="40"/>
    </row>
    <row r="30" spans="1:14">
      <c r="A30" s="221">
        <v>27</v>
      </c>
      <c r="B30" s="219">
        <v>46139</v>
      </c>
      <c r="C30" s="40"/>
      <c r="D30" s="40"/>
      <c r="E30" s="40">
        <v>60</v>
      </c>
      <c r="F30" s="40">
        <v>91.3</v>
      </c>
      <c r="G30" s="40">
        <f t="shared" si="0"/>
        <v>5478</v>
      </c>
      <c r="H30" s="40"/>
      <c r="I30" s="40"/>
      <c r="J30" s="40">
        <f t="shared" si="1"/>
        <v>0</v>
      </c>
      <c r="K30" s="40">
        <f t="shared" si="2"/>
        <v>5478</v>
      </c>
      <c r="L30" s="40">
        <f t="shared" si="3"/>
        <v>5478</v>
      </c>
      <c r="M30" s="40">
        <f t="shared" si="4"/>
        <v>0</v>
      </c>
      <c r="N30" s="40"/>
    </row>
    <row r="31" spans="1:14">
      <c r="A31" s="221">
        <v>28</v>
      </c>
      <c r="B31" s="219">
        <v>46140</v>
      </c>
      <c r="C31" s="40"/>
      <c r="D31" s="40"/>
      <c r="E31" s="40"/>
      <c r="F31" s="40"/>
      <c r="G31" s="40">
        <f t="shared" si="0"/>
        <v>0</v>
      </c>
      <c r="H31" s="40"/>
      <c r="I31" s="40"/>
      <c r="J31" s="40">
        <f t="shared" si="1"/>
        <v>0</v>
      </c>
      <c r="K31" s="40">
        <f t="shared" si="2"/>
        <v>0</v>
      </c>
      <c r="L31" s="40">
        <f t="shared" si="3"/>
        <v>0</v>
      </c>
      <c r="M31" s="40">
        <f t="shared" si="4"/>
        <v>0</v>
      </c>
      <c r="N31" s="40"/>
    </row>
    <row r="32" spans="1:14">
      <c r="A32" s="222">
        <v>29</v>
      </c>
      <c r="B32" s="219">
        <v>46141</v>
      </c>
      <c r="C32" s="40"/>
      <c r="D32" s="40"/>
      <c r="E32" s="40">
        <v>20</v>
      </c>
      <c r="F32" s="40">
        <v>91.3</v>
      </c>
      <c r="G32" s="40">
        <f t="shared" si="0"/>
        <v>1826</v>
      </c>
      <c r="H32" s="40"/>
      <c r="I32" s="40"/>
      <c r="J32" s="40">
        <f t="shared" si="1"/>
        <v>0</v>
      </c>
      <c r="K32" s="40">
        <f t="shared" si="2"/>
        <v>1826</v>
      </c>
      <c r="L32" s="40">
        <f t="shared" si="3"/>
        <v>1826</v>
      </c>
      <c r="M32" s="40">
        <f t="shared" si="4"/>
        <v>0</v>
      </c>
      <c r="N32" s="40"/>
    </row>
    <row r="33" spans="1:14">
      <c r="A33" s="222">
        <v>30</v>
      </c>
      <c r="B33" s="219">
        <v>46142</v>
      </c>
      <c r="C33" s="40"/>
      <c r="D33" s="40"/>
      <c r="E33" s="40"/>
      <c r="F33" s="40"/>
      <c r="G33" s="40">
        <f t="shared" si="0"/>
        <v>0</v>
      </c>
      <c r="H33" s="40">
        <v>5</v>
      </c>
      <c r="I33" s="40">
        <v>103.22</v>
      </c>
      <c r="J33" s="40">
        <f t="shared" si="1"/>
        <v>516.1</v>
      </c>
      <c r="K33" s="40">
        <f t="shared" si="2"/>
        <v>516.1</v>
      </c>
      <c r="L33" s="40">
        <f t="shared" ref="L33:L34" si="5">+K33</f>
        <v>516.1</v>
      </c>
      <c r="M33" s="40">
        <f t="shared" si="4"/>
        <v>0</v>
      </c>
      <c r="N33" s="40"/>
    </row>
    <row r="34" spans="1:14">
      <c r="A34" s="222">
        <v>31</v>
      </c>
      <c r="B34" s="219"/>
      <c r="C34" s="40"/>
      <c r="D34" s="40"/>
      <c r="E34" s="40"/>
      <c r="F34" s="40"/>
      <c r="G34" s="40">
        <f t="shared" si="0"/>
        <v>0</v>
      </c>
      <c r="H34" s="40"/>
      <c r="I34" s="40"/>
      <c r="J34" s="40">
        <f t="shared" si="1"/>
        <v>0</v>
      </c>
      <c r="K34" s="40">
        <f t="shared" si="2"/>
        <v>0</v>
      </c>
      <c r="L34" s="40">
        <f t="shared" si="5"/>
        <v>0</v>
      </c>
      <c r="M34" s="40">
        <f t="shared" si="4"/>
        <v>0</v>
      </c>
      <c r="N34" s="40"/>
    </row>
    <row r="35" spans="1:14">
      <c r="A35" s="181"/>
      <c r="B35" s="181"/>
      <c r="C35" s="181"/>
      <c r="D35" s="181"/>
      <c r="E35" s="181">
        <f>SUM(E4:E34)</f>
        <v>510</v>
      </c>
      <c r="F35" s="181"/>
      <c r="G35" s="181">
        <f>SUM(G4:G34)</f>
        <v>46563</v>
      </c>
      <c r="H35" s="181">
        <f>SUM(H4:H34)</f>
        <v>92</v>
      </c>
      <c r="I35" s="181"/>
      <c r="J35" s="181">
        <f>SUM(J4:J34)</f>
        <v>9496.2899999999991</v>
      </c>
      <c r="K35" s="181">
        <f>SUM(K4:K34)</f>
        <v>56059.289999999994</v>
      </c>
      <c r="L35" s="181">
        <f>SUM(L4:L34)</f>
        <v>56059.289999999994</v>
      </c>
      <c r="M35" s="181"/>
      <c r="N35" s="181"/>
    </row>
    <row r="37" spans="1:14">
      <c r="E37">
        <v>295</v>
      </c>
      <c r="H37">
        <v>41.17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786B-C2B4-4667-9DF4-66A04CD3EC97}">
  <sheetPr>
    <tabColor rgb="FF92D050"/>
  </sheetPr>
  <dimension ref="A1:O46"/>
  <sheetViews>
    <sheetView workbookViewId="0">
      <pane ySplit="2" topLeftCell="A29" activePane="bottomLeft" state="frozen"/>
      <selection pane="bottomLeft" activeCell="H33" sqref="H33"/>
    </sheetView>
  </sheetViews>
  <sheetFormatPr defaultRowHeight="15"/>
  <cols>
    <col min="1" max="1" width="9.140625" style="5"/>
    <col min="2" max="2" width="11.7109375" style="5" bestFit="1" customWidth="1"/>
    <col min="3" max="3" width="9.140625" style="5"/>
    <col min="4" max="4" width="13.140625" style="5" customWidth="1"/>
    <col min="5" max="5" width="10.140625" style="5" customWidth="1"/>
    <col min="6" max="6" width="9.140625" style="5"/>
    <col min="7" max="7" width="10.85546875" style="102" bestFit="1" customWidth="1"/>
    <col min="8" max="8" width="11.140625" style="5" customWidth="1"/>
    <col min="9" max="9" width="9.140625" style="5"/>
    <col min="10" max="10" width="10.85546875" style="102" bestFit="1" customWidth="1"/>
    <col min="11" max="11" width="12.85546875" style="5" customWidth="1"/>
    <col min="12" max="12" width="13.5703125" style="102" bestFit="1" customWidth="1"/>
    <col min="13" max="13" width="13.5703125" style="102" customWidth="1"/>
    <col min="14" max="14" width="13.5703125" style="5" bestFit="1" customWidth="1"/>
    <col min="15" max="16" width="9.140625" style="5"/>
    <col min="17" max="17" width="12.5703125" style="5" customWidth="1"/>
    <col min="18" max="18" width="11.85546875" style="5" customWidth="1"/>
    <col min="19" max="16384" width="9.140625" style="5"/>
  </cols>
  <sheetData>
    <row r="1" spans="1:14" ht="15.75">
      <c r="A1" s="495" t="s">
        <v>270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</row>
    <row r="2" spans="1:14" ht="18" customHeight="1">
      <c r="A2" s="64" t="s">
        <v>0</v>
      </c>
      <c r="B2" s="83" t="s">
        <v>164</v>
      </c>
      <c r="C2" s="83" t="s">
        <v>165</v>
      </c>
      <c r="D2" s="83" t="s">
        <v>208</v>
      </c>
      <c r="E2" s="83" t="s">
        <v>167</v>
      </c>
      <c r="F2" s="83" t="s">
        <v>168</v>
      </c>
      <c r="G2" s="90" t="s">
        <v>169</v>
      </c>
      <c r="H2" s="83" t="s">
        <v>170</v>
      </c>
      <c r="I2" s="83" t="s">
        <v>168</v>
      </c>
      <c r="J2" s="90" t="s">
        <v>169</v>
      </c>
      <c r="K2" s="64" t="s">
        <v>171</v>
      </c>
      <c r="L2" s="91" t="s">
        <v>172</v>
      </c>
      <c r="M2" s="127" t="s">
        <v>209</v>
      </c>
      <c r="N2" s="83" t="s">
        <v>174</v>
      </c>
    </row>
    <row r="3" spans="1:14" ht="18" customHeight="1">
      <c r="A3" s="519" t="s">
        <v>175</v>
      </c>
      <c r="B3" s="520"/>
      <c r="C3" s="520"/>
      <c r="D3" s="520"/>
      <c r="E3" s="520"/>
      <c r="F3" s="520"/>
      <c r="G3" s="520"/>
      <c r="H3" s="520"/>
      <c r="I3" s="520"/>
      <c r="J3" s="520"/>
      <c r="K3" s="520"/>
      <c r="L3" s="520"/>
      <c r="M3" s="296"/>
      <c r="N3" s="295">
        <v>2468.2480999999798</v>
      </c>
    </row>
    <row r="4" spans="1:14">
      <c r="A4" s="6">
        <v>1</v>
      </c>
      <c r="B4" s="219">
        <v>46113</v>
      </c>
      <c r="C4" s="6"/>
      <c r="D4" s="6"/>
      <c r="E4" s="65"/>
      <c r="F4" s="6"/>
      <c r="G4" s="66">
        <f>E4*F4</f>
        <v>0</v>
      </c>
      <c r="H4" s="65"/>
      <c r="I4" s="328"/>
      <c r="J4" s="66">
        <f>H4*I4</f>
        <v>0</v>
      </c>
      <c r="K4" s="66">
        <f>G4+J4</f>
        <v>0</v>
      </c>
      <c r="L4" s="66"/>
      <c r="M4" s="297">
        <f>N3+K4-L4</f>
        <v>2468.2480999999798</v>
      </c>
      <c r="N4" s="46" t="s">
        <v>271</v>
      </c>
    </row>
    <row r="5" spans="1:14">
      <c r="A5" s="6">
        <v>2</v>
      </c>
      <c r="B5" s="219">
        <v>46114</v>
      </c>
      <c r="C5" s="6"/>
      <c r="D5" s="6"/>
      <c r="E5" s="65">
        <v>48.33</v>
      </c>
      <c r="F5" s="6">
        <v>91.5</v>
      </c>
      <c r="G5" s="66">
        <f t="shared" ref="G5:G28" si="0">E5*F5</f>
        <v>4422.1949999999997</v>
      </c>
      <c r="H5" s="65"/>
      <c r="I5" s="328"/>
      <c r="J5" s="66">
        <f t="shared" ref="J5:J44" si="1">H5*I5</f>
        <v>0</v>
      </c>
      <c r="K5" s="66">
        <f t="shared" ref="K5:K44" si="2">G5+J5</f>
        <v>4422.1949999999997</v>
      </c>
      <c r="L5" s="66"/>
      <c r="M5" s="149">
        <f>M4+K5-L5</f>
        <v>6890.4430999999795</v>
      </c>
      <c r="N5" s="46" t="s">
        <v>271</v>
      </c>
    </row>
    <row r="6" spans="1:14">
      <c r="A6" s="6">
        <v>3</v>
      </c>
      <c r="B6" s="219">
        <v>46115</v>
      </c>
      <c r="C6" s="6"/>
      <c r="D6" s="6"/>
      <c r="E6" s="65"/>
      <c r="F6" s="6"/>
      <c r="G6" s="66">
        <f t="shared" si="0"/>
        <v>0</v>
      </c>
      <c r="H6" s="65"/>
      <c r="I6" s="328"/>
      <c r="J6" s="66">
        <f t="shared" si="1"/>
        <v>0</v>
      </c>
      <c r="K6" s="66">
        <f t="shared" si="2"/>
        <v>0</v>
      </c>
      <c r="L6" s="66">
        <v>2230</v>
      </c>
      <c r="M6" s="149">
        <f t="shared" ref="M5:M45" si="3">M5+K6-L6</f>
        <v>4660.4430999999795</v>
      </c>
      <c r="N6" s="46" t="s">
        <v>271</v>
      </c>
    </row>
    <row r="7" spans="1:14">
      <c r="A7" s="6">
        <v>4</v>
      </c>
      <c r="B7" s="219">
        <v>46116</v>
      </c>
      <c r="C7" s="6"/>
      <c r="D7" s="6"/>
      <c r="E7" s="65">
        <v>47.92</v>
      </c>
      <c r="F7" s="6">
        <v>91.5</v>
      </c>
      <c r="G7" s="66">
        <f t="shared" si="0"/>
        <v>4384.68</v>
      </c>
      <c r="H7" s="65"/>
      <c r="I7" s="328"/>
      <c r="J7" s="66">
        <f t="shared" si="1"/>
        <v>0</v>
      </c>
      <c r="K7" s="66">
        <f t="shared" si="2"/>
        <v>4384.68</v>
      </c>
      <c r="L7" s="66"/>
      <c r="M7" s="149">
        <f t="shared" si="3"/>
        <v>9045.1230999999789</v>
      </c>
      <c r="N7" s="46" t="s">
        <v>271</v>
      </c>
    </row>
    <row r="8" spans="1:14">
      <c r="A8" s="6">
        <v>5</v>
      </c>
      <c r="B8" s="219">
        <v>46117</v>
      </c>
      <c r="C8" s="6"/>
      <c r="D8" s="6"/>
      <c r="E8" s="65">
        <v>50</v>
      </c>
      <c r="F8" s="6">
        <v>91.5</v>
      </c>
      <c r="G8" s="66">
        <f t="shared" si="0"/>
        <v>4575</v>
      </c>
      <c r="H8" s="65"/>
      <c r="I8" s="328"/>
      <c r="J8" s="66">
        <f t="shared" si="1"/>
        <v>0</v>
      </c>
      <c r="K8" s="66">
        <f t="shared" si="2"/>
        <v>4575</v>
      </c>
      <c r="L8" s="66"/>
      <c r="M8" s="149">
        <f>M7+K8-L8</f>
        <v>13620.123099999979</v>
      </c>
      <c r="N8" s="46" t="s">
        <v>271</v>
      </c>
    </row>
    <row r="9" spans="1:14">
      <c r="A9" s="6">
        <v>6</v>
      </c>
      <c r="B9" s="219">
        <v>46118</v>
      </c>
      <c r="C9" s="6"/>
      <c r="D9" s="6"/>
      <c r="E9" s="65"/>
      <c r="F9" s="6"/>
      <c r="G9" s="66">
        <f t="shared" si="0"/>
        <v>0</v>
      </c>
      <c r="H9" s="65"/>
      <c r="I9" s="328"/>
      <c r="J9" s="66">
        <f t="shared" si="1"/>
        <v>0</v>
      </c>
      <c r="K9" s="66">
        <f t="shared" si="2"/>
        <v>0</v>
      </c>
      <c r="L9" s="66"/>
      <c r="M9" s="149">
        <f t="shared" ref="M9:M45" si="4">M8+K9-L9</f>
        <v>13620.123099999979</v>
      </c>
      <c r="N9" s="46" t="s">
        <v>271</v>
      </c>
    </row>
    <row r="10" spans="1:14">
      <c r="A10" s="6">
        <v>7</v>
      </c>
      <c r="B10" s="219">
        <v>46119</v>
      </c>
      <c r="C10" s="6"/>
      <c r="D10" s="6"/>
      <c r="E10" s="65"/>
      <c r="F10" s="6"/>
      <c r="G10" s="66">
        <f t="shared" si="0"/>
        <v>0</v>
      </c>
      <c r="H10" s="65">
        <v>4.83</v>
      </c>
      <c r="I10" s="328">
        <v>103.44</v>
      </c>
      <c r="J10" s="66">
        <f t="shared" si="1"/>
        <v>499.61520000000002</v>
      </c>
      <c r="K10" s="66">
        <f t="shared" si="2"/>
        <v>499.61520000000002</v>
      </c>
      <c r="L10" s="66"/>
      <c r="M10" s="149">
        <f t="shared" si="4"/>
        <v>14119.738299999979</v>
      </c>
      <c r="N10" s="46" t="s">
        <v>271</v>
      </c>
    </row>
    <row r="11" spans="1:14">
      <c r="A11" s="6">
        <v>8</v>
      </c>
      <c r="B11" s="219">
        <v>46120</v>
      </c>
      <c r="C11" s="6"/>
      <c r="D11" s="6"/>
      <c r="E11" s="65"/>
      <c r="F11" s="6"/>
      <c r="G11" s="66">
        <f t="shared" si="0"/>
        <v>0</v>
      </c>
      <c r="H11" s="65">
        <v>4.83</v>
      </c>
      <c r="I11" s="328">
        <v>103.44</v>
      </c>
      <c r="J11" s="66">
        <f t="shared" si="1"/>
        <v>499.61520000000002</v>
      </c>
      <c r="K11" s="66">
        <f t="shared" si="2"/>
        <v>499.61520000000002</v>
      </c>
      <c r="L11" s="66"/>
      <c r="M11" s="149">
        <f t="shared" si="4"/>
        <v>14619.353499999979</v>
      </c>
      <c r="N11" s="46" t="s">
        <v>271</v>
      </c>
    </row>
    <row r="12" spans="1:14">
      <c r="A12" s="6">
        <v>9</v>
      </c>
      <c r="B12" s="219">
        <v>46121</v>
      </c>
      <c r="C12" s="6"/>
      <c r="D12" s="6"/>
      <c r="E12" s="65"/>
      <c r="F12" s="6"/>
      <c r="G12" s="66">
        <f t="shared" si="0"/>
        <v>0</v>
      </c>
      <c r="H12" s="65">
        <v>13.01</v>
      </c>
      <c r="I12" s="328">
        <v>103.44</v>
      </c>
      <c r="J12" s="66">
        <f t="shared" si="1"/>
        <v>1345.7544</v>
      </c>
      <c r="K12" s="66">
        <f t="shared" si="2"/>
        <v>1345.7544</v>
      </c>
      <c r="L12" s="66"/>
      <c r="M12" s="149">
        <f t="shared" si="4"/>
        <v>15965.107899999979</v>
      </c>
      <c r="N12" s="46" t="s">
        <v>271</v>
      </c>
    </row>
    <row r="13" spans="1:14">
      <c r="A13" s="6">
        <v>10</v>
      </c>
      <c r="B13" s="219">
        <v>46122</v>
      </c>
      <c r="C13" s="6"/>
      <c r="D13" s="6"/>
      <c r="E13" s="65"/>
      <c r="F13" s="6"/>
      <c r="G13" s="66">
        <f t="shared" si="0"/>
        <v>0</v>
      </c>
      <c r="H13" s="65"/>
      <c r="I13" s="328"/>
      <c r="J13" s="66">
        <f t="shared" si="1"/>
        <v>0</v>
      </c>
      <c r="K13" s="66">
        <f t="shared" si="2"/>
        <v>0</v>
      </c>
      <c r="L13" s="66"/>
      <c r="M13" s="149">
        <f t="shared" si="4"/>
        <v>15965.107899999979</v>
      </c>
      <c r="N13" s="46" t="s">
        <v>271</v>
      </c>
    </row>
    <row r="14" spans="1:14">
      <c r="A14" s="6">
        <v>11</v>
      </c>
      <c r="B14" s="219">
        <v>46123</v>
      </c>
      <c r="C14" s="6"/>
      <c r="D14" s="6"/>
      <c r="E14" s="65">
        <v>35.909999999999997</v>
      </c>
      <c r="F14" s="6">
        <v>91.5</v>
      </c>
      <c r="G14" s="66">
        <f t="shared" si="0"/>
        <v>3285.7649999999999</v>
      </c>
      <c r="H14" s="65"/>
      <c r="I14" s="328"/>
      <c r="J14" s="66">
        <f t="shared" si="1"/>
        <v>0</v>
      </c>
      <c r="K14" s="66">
        <f t="shared" si="2"/>
        <v>3285.7649999999999</v>
      </c>
      <c r="L14" s="66"/>
      <c r="M14" s="149">
        <f t="shared" si="4"/>
        <v>19250.87289999998</v>
      </c>
      <c r="N14" s="46" t="s">
        <v>271</v>
      </c>
    </row>
    <row r="15" spans="1:14">
      <c r="A15" s="6">
        <v>12</v>
      </c>
      <c r="B15" s="219">
        <v>46124</v>
      </c>
      <c r="C15" s="6"/>
      <c r="D15" s="6"/>
      <c r="E15" s="65"/>
      <c r="F15" s="6"/>
      <c r="G15" s="66">
        <f t="shared" si="0"/>
        <v>0</v>
      </c>
      <c r="H15" s="65"/>
      <c r="I15" s="328"/>
      <c r="J15" s="66">
        <f t="shared" si="1"/>
        <v>0</v>
      </c>
      <c r="K15" s="66">
        <f t="shared" si="2"/>
        <v>0</v>
      </c>
      <c r="L15" s="66"/>
      <c r="M15" s="149">
        <f t="shared" si="4"/>
        <v>19250.87289999998</v>
      </c>
      <c r="N15" s="46" t="s">
        <v>271</v>
      </c>
    </row>
    <row r="16" spans="1:14">
      <c r="A16" s="6">
        <v>13</v>
      </c>
      <c r="B16" s="219">
        <v>46125</v>
      </c>
      <c r="C16" s="6"/>
      <c r="D16" s="6"/>
      <c r="E16" s="65"/>
      <c r="F16" s="6"/>
      <c r="G16" s="66">
        <f t="shared" si="0"/>
        <v>0</v>
      </c>
      <c r="H16" s="65">
        <v>4.83</v>
      </c>
      <c r="I16" s="328">
        <v>103.44</v>
      </c>
      <c r="J16" s="66">
        <f t="shared" si="1"/>
        <v>499.61520000000002</v>
      </c>
      <c r="K16" s="66">
        <f t="shared" si="2"/>
        <v>499.61520000000002</v>
      </c>
      <c r="L16" s="66"/>
      <c r="M16" s="149">
        <f t="shared" si="4"/>
        <v>19750.48809999998</v>
      </c>
      <c r="N16" s="46" t="s">
        <v>271</v>
      </c>
    </row>
    <row r="17" spans="1:14">
      <c r="A17" s="6">
        <v>14</v>
      </c>
      <c r="B17" s="219">
        <v>46126</v>
      </c>
      <c r="C17" s="6"/>
      <c r="D17" s="6"/>
      <c r="E17" s="65"/>
      <c r="F17" s="6"/>
      <c r="G17" s="66">
        <f t="shared" si="0"/>
        <v>0</v>
      </c>
      <c r="H17" s="65">
        <v>4.83</v>
      </c>
      <c r="I17" s="328">
        <v>103.44</v>
      </c>
      <c r="J17" s="66">
        <f t="shared" si="1"/>
        <v>499.61520000000002</v>
      </c>
      <c r="K17" s="66">
        <f t="shared" si="2"/>
        <v>499.61520000000002</v>
      </c>
      <c r="L17" s="66"/>
      <c r="M17" s="149">
        <f t="shared" si="4"/>
        <v>20250.103299999981</v>
      </c>
      <c r="N17" s="46" t="s">
        <v>271</v>
      </c>
    </row>
    <row r="18" spans="1:14">
      <c r="A18" s="6">
        <v>15</v>
      </c>
      <c r="B18" s="219">
        <v>46127</v>
      </c>
      <c r="C18" s="6"/>
      <c r="D18" s="6"/>
      <c r="E18" s="65">
        <v>16.3</v>
      </c>
      <c r="F18" s="6">
        <v>92.05</v>
      </c>
      <c r="G18" s="66">
        <f t="shared" si="0"/>
        <v>1500.415</v>
      </c>
      <c r="H18" s="65">
        <v>4.83</v>
      </c>
      <c r="I18" s="328">
        <v>103.44</v>
      </c>
      <c r="J18" s="66">
        <f t="shared" si="1"/>
        <v>499.61520000000002</v>
      </c>
      <c r="K18" s="66">
        <f t="shared" si="2"/>
        <v>2000.0301999999999</v>
      </c>
      <c r="L18" s="66">
        <v>1500</v>
      </c>
      <c r="M18" s="149">
        <f t="shared" si="4"/>
        <v>20750.133499999982</v>
      </c>
      <c r="N18" s="46" t="s">
        <v>271</v>
      </c>
    </row>
    <row r="19" spans="1:14">
      <c r="A19" s="6">
        <v>16</v>
      </c>
      <c r="B19" s="219">
        <v>46128</v>
      </c>
      <c r="C19" s="6"/>
      <c r="D19" s="6"/>
      <c r="E19" s="65">
        <v>73.2</v>
      </c>
      <c r="F19" s="6">
        <v>91.5</v>
      </c>
      <c r="G19" s="66">
        <f t="shared" si="0"/>
        <v>6697.8</v>
      </c>
      <c r="H19" s="65">
        <v>4.83</v>
      </c>
      <c r="I19" s="328">
        <v>103.44</v>
      </c>
      <c r="J19" s="66">
        <f t="shared" si="1"/>
        <v>499.61520000000002</v>
      </c>
      <c r="K19" s="66">
        <f t="shared" si="2"/>
        <v>7197.4152000000004</v>
      </c>
      <c r="L19" s="66"/>
      <c r="M19" s="149">
        <f t="shared" si="4"/>
        <v>27947.548699999981</v>
      </c>
      <c r="N19" s="46" t="s">
        <v>271</v>
      </c>
    </row>
    <row r="20" spans="1:14">
      <c r="A20" s="6">
        <v>17</v>
      </c>
      <c r="B20" s="219">
        <v>46129</v>
      </c>
      <c r="C20" s="6"/>
      <c r="D20" s="6"/>
      <c r="E20" s="65">
        <v>29.58</v>
      </c>
      <c r="F20" s="6">
        <v>91.5</v>
      </c>
      <c r="G20" s="66">
        <f t="shared" si="0"/>
        <v>2706.5699999999997</v>
      </c>
      <c r="H20" s="65"/>
      <c r="I20" s="328"/>
      <c r="J20" s="66">
        <f t="shared" si="1"/>
        <v>0</v>
      </c>
      <c r="K20" s="66">
        <f t="shared" si="2"/>
        <v>2706.5699999999997</v>
      </c>
      <c r="L20" s="66"/>
      <c r="M20" s="149">
        <f t="shared" si="4"/>
        <v>30654.118699999981</v>
      </c>
      <c r="N20" s="46" t="s">
        <v>271</v>
      </c>
    </row>
    <row r="21" spans="1:14">
      <c r="A21" s="6">
        <v>18</v>
      </c>
      <c r="B21" s="219">
        <v>46130</v>
      </c>
      <c r="C21" s="6"/>
      <c r="D21" s="6"/>
      <c r="E21" s="65"/>
      <c r="F21" s="6"/>
      <c r="G21" s="66">
        <f t="shared" si="0"/>
        <v>0</v>
      </c>
      <c r="H21" s="65"/>
      <c r="I21" s="328"/>
      <c r="J21" s="66">
        <f t="shared" si="1"/>
        <v>0</v>
      </c>
      <c r="K21" s="66">
        <f t="shared" si="2"/>
        <v>0</v>
      </c>
      <c r="L21" s="66"/>
      <c r="M21" s="149">
        <f t="shared" si="4"/>
        <v>30654.118699999981</v>
      </c>
      <c r="N21" s="46" t="s">
        <v>271</v>
      </c>
    </row>
    <row r="22" spans="1:14">
      <c r="A22" s="6">
        <v>19</v>
      </c>
      <c r="B22" s="219">
        <v>46131</v>
      </c>
      <c r="C22" s="6"/>
      <c r="D22" s="6"/>
      <c r="E22" s="65">
        <v>20</v>
      </c>
      <c r="F22" s="6">
        <v>91.5</v>
      </c>
      <c r="G22" s="66">
        <f t="shared" si="0"/>
        <v>1830</v>
      </c>
      <c r="H22" s="65"/>
      <c r="I22" s="328"/>
      <c r="J22" s="66">
        <f t="shared" si="1"/>
        <v>0</v>
      </c>
      <c r="K22" s="66">
        <f t="shared" si="2"/>
        <v>1830</v>
      </c>
      <c r="L22" s="66">
        <v>25000</v>
      </c>
      <c r="M22" s="149">
        <f t="shared" si="4"/>
        <v>7484.1186999999809</v>
      </c>
      <c r="N22" s="46" t="s">
        <v>271</v>
      </c>
    </row>
    <row r="23" spans="1:14">
      <c r="A23" s="6">
        <v>20</v>
      </c>
      <c r="B23" s="219">
        <v>46132</v>
      </c>
      <c r="C23" s="6"/>
      <c r="D23" s="6"/>
      <c r="E23" s="65"/>
      <c r="F23" s="6"/>
      <c r="G23" s="66">
        <f t="shared" si="0"/>
        <v>0</v>
      </c>
      <c r="H23" s="65"/>
      <c r="I23" s="328"/>
      <c r="J23" s="66">
        <f t="shared" si="1"/>
        <v>0</v>
      </c>
      <c r="K23" s="66">
        <f t="shared" si="2"/>
        <v>0</v>
      </c>
      <c r="L23" s="66"/>
      <c r="M23" s="149">
        <f t="shared" si="4"/>
        <v>7484.1186999999809</v>
      </c>
      <c r="N23" s="46" t="s">
        <v>271</v>
      </c>
    </row>
    <row r="24" spans="1:14">
      <c r="A24" s="6">
        <v>21</v>
      </c>
      <c r="B24" s="219">
        <v>46133</v>
      </c>
      <c r="C24" s="6"/>
      <c r="D24" s="6"/>
      <c r="E24" s="65"/>
      <c r="F24" s="6"/>
      <c r="G24" s="66">
        <f t="shared" si="0"/>
        <v>0</v>
      </c>
      <c r="H24" s="65">
        <v>7</v>
      </c>
      <c r="I24" s="328">
        <v>103.44</v>
      </c>
      <c r="J24" s="66">
        <f t="shared" si="1"/>
        <v>724.07999999999993</v>
      </c>
      <c r="K24" s="66">
        <f t="shared" si="2"/>
        <v>724.07999999999993</v>
      </c>
      <c r="L24" s="66"/>
      <c r="M24" s="149">
        <f t="shared" si="4"/>
        <v>8208.1986999999808</v>
      </c>
      <c r="N24" s="46" t="s">
        <v>271</v>
      </c>
    </row>
    <row r="25" spans="1:14">
      <c r="A25" s="6">
        <v>22</v>
      </c>
      <c r="B25" s="219">
        <v>46134</v>
      </c>
      <c r="C25" s="6"/>
      <c r="D25" s="6"/>
      <c r="E25" s="65">
        <v>15</v>
      </c>
      <c r="F25" s="6">
        <v>91.5</v>
      </c>
      <c r="G25" s="66">
        <f t="shared" si="0"/>
        <v>1372.5</v>
      </c>
      <c r="H25" s="65">
        <v>6</v>
      </c>
      <c r="I25" s="328">
        <v>103.44</v>
      </c>
      <c r="J25" s="66">
        <f t="shared" si="1"/>
        <v>620.64</v>
      </c>
      <c r="K25" s="66">
        <f t="shared" si="2"/>
        <v>1993.1399999999999</v>
      </c>
      <c r="L25" s="66"/>
      <c r="M25" s="149">
        <f t="shared" si="4"/>
        <v>10201.33869999998</v>
      </c>
      <c r="N25" s="46" t="s">
        <v>271</v>
      </c>
    </row>
    <row r="26" spans="1:14">
      <c r="A26" s="6">
        <v>23</v>
      </c>
      <c r="B26" s="219">
        <v>46135</v>
      </c>
      <c r="C26" s="6"/>
      <c r="D26" s="6"/>
      <c r="E26" s="65"/>
      <c r="F26" s="6"/>
      <c r="G26" s="66">
        <f t="shared" si="0"/>
        <v>0</v>
      </c>
      <c r="H26" s="65">
        <v>5</v>
      </c>
      <c r="I26" s="328">
        <v>103.44</v>
      </c>
      <c r="J26" s="66">
        <f t="shared" si="1"/>
        <v>517.20000000000005</v>
      </c>
      <c r="K26" s="66">
        <f t="shared" si="2"/>
        <v>517.20000000000005</v>
      </c>
      <c r="L26" s="66"/>
      <c r="M26" s="149">
        <f t="shared" si="4"/>
        <v>10718.538699999981</v>
      </c>
      <c r="N26" s="46" t="s">
        <v>271</v>
      </c>
    </row>
    <row r="27" spans="1:14">
      <c r="A27" s="6">
        <v>24</v>
      </c>
      <c r="B27" s="219">
        <v>46136</v>
      </c>
      <c r="C27" s="6"/>
      <c r="D27" s="6"/>
      <c r="E27" s="65"/>
      <c r="F27" s="6"/>
      <c r="G27" s="66">
        <f t="shared" si="0"/>
        <v>0</v>
      </c>
      <c r="H27" s="65"/>
      <c r="I27" s="328"/>
      <c r="J27" s="66">
        <f t="shared" si="1"/>
        <v>0</v>
      </c>
      <c r="K27" s="66">
        <f t="shared" si="2"/>
        <v>0</v>
      </c>
      <c r="L27" s="66"/>
      <c r="M27" s="149">
        <f t="shared" si="4"/>
        <v>10718.538699999981</v>
      </c>
      <c r="N27" s="46" t="s">
        <v>271</v>
      </c>
    </row>
    <row r="28" spans="1:14">
      <c r="A28" s="6">
        <v>25</v>
      </c>
      <c r="B28" s="219">
        <v>46137</v>
      </c>
      <c r="C28" s="6"/>
      <c r="D28" s="6"/>
      <c r="E28" s="65"/>
      <c r="F28" s="6"/>
      <c r="G28" s="66">
        <f t="shared" si="0"/>
        <v>0</v>
      </c>
      <c r="H28" s="65"/>
      <c r="I28" s="328"/>
      <c r="J28" s="66">
        <f t="shared" si="1"/>
        <v>0</v>
      </c>
      <c r="K28" s="66">
        <f t="shared" si="2"/>
        <v>0</v>
      </c>
      <c r="L28" s="66"/>
      <c r="M28" s="149">
        <f t="shared" si="4"/>
        <v>10718.538699999981</v>
      </c>
      <c r="N28" s="46" t="s">
        <v>271</v>
      </c>
    </row>
    <row r="29" spans="1:14">
      <c r="A29" s="6">
        <v>26</v>
      </c>
      <c r="B29" s="219">
        <v>46138</v>
      </c>
      <c r="C29" s="6"/>
      <c r="D29" s="6"/>
      <c r="E29" s="65"/>
      <c r="F29" s="6"/>
      <c r="G29" s="66">
        <f t="shared" ref="G5:G44" si="5">E29*F29</f>
        <v>0</v>
      </c>
      <c r="H29" s="65">
        <v>4.83</v>
      </c>
      <c r="I29" s="6">
        <v>103.44</v>
      </c>
      <c r="J29" s="66">
        <f t="shared" si="1"/>
        <v>499.61520000000002</v>
      </c>
      <c r="K29" s="66">
        <f t="shared" si="2"/>
        <v>499.61520000000002</v>
      </c>
      <c r="L29" s="66"/>
      <c r="M29" s="149">
        <f t="shared" si="4"/>
        <v>11218.153899999981</v>
      </c>
      <c r="N29" s="46" t="s">
        <v>271</v>
      </c>
    </row>
    <row r="30" spans="1:14">
      <c r="A30" s="6">
        <v>27</v>
      </c>
      <c r="B30" s="219">
        <v>46139</v>
      </c>
      <c r="C30" s="6"/>
      <c r="D30" s="6"/>
      <c r="E30" s="65"/>
      <c r="F30" s="6"/>
      <c r="G30" s="66">
        <f t="shared" si="5"/>
        <v>0</v>
      </c>
      <c r="H30" s="65"/>
      <c r="I30" s="6"/>
      <c r="J30" s="66">
        <f t="shared" si="1"/>
        <v>0</v>
      </c>
      <c r="K30" s="66">
        <f t="shared" si="2"/>
        <v>0</v>
      </c>
      <c r="L30" s="66"/>
      <c r="M30" s="149">
        <f t="shared" si="4"/>
        <v>11218.153899999981</v>
      </c>
      <c r="N30" s="46" t="s">
        <v>271</v>
      </c>
    </row>
    <row r="31" spans="1:14">
      <c r="A31" s="6">
        <v>28</v>
      </c>
      <c r="B31" s="219">
        <v>46140</v>
      </c>
      <c r="C31" s="6"/>
      <c r="D31" s="6"/>
      <c r="E31" s="65">
        <v>33.130000000000003</v>
      </c>
      <c r="F31" s="6">
        <v>91.5</v>
      </c>
      <c r="G31" s="66">
        <f t="shared" si="5"/>
        <v>3031.3950000000004</v>
      </c>
      <c r="H31" s="65">
        <v>5</v>
      </c>
      <c r="I31" s="6">
        <v>103.44</v>
      </c>
      <c r="J31" s="66">
        <f t="shared" si="1"/>
        <v>517.20000000000005</v>
      </c>
      <c r="K31" s="66">
        <f t="shared" si="2"/>
        <v>3548.5950000000003</v>
      </c>
      <c r="L31" s="66"/>
      <c r="M31" s="149">
        <f t="shared" si="4"/>
        <v>14766.74889999998</v>
      </c>
      <c r="N31" s="46" t="s">
        <v>271</v>
      </c>
    </row>
    <row r="32" spans="1:14">
      <c r="A32" s="6">
        <v>29</v>
      </c>
      <c r="B32" s="219">
        <v>46141</v>
      </c>
      <c r="C32" s="6"/>
      <c r="D32" s="6"/>
      <c r="E32" s="65">
        <v>35</v>
      </c>
      <c r="F32" s="6">
        <v>91.5</v>
      </c>
      <c r="G32" s="66">
        <f t="shared" si="5"/>
        <v>3202.5</v>
      </c>
      <c r="H32" s="65"/>
      <c r="I32" s="6"/>
      <c r="J32" s="66">
        <f t="shared" si="1"/>
        <v>0</v>
      </c>
      <c r="K32" s="66">
        <f t="shared" si="2"/>
        <v>3202.5</v>
      </c>
      <c r="L32" s="66"/>
      <c r="M32" s="149">
        <f t="shared" si="4"/>
        <v>17969.24889999998</v>
      </c>
      <c r="N32" s="46" t="s">
        <v>271</v>
      </c>
    </row>
    <row r="33" spans="1:15">
      <c r="A33" s="6">
        <v>30</v>
      </c>
      <c r="B33" s="219">
        <v>46142</v>
      </c>
      <c r="C33" s="6"/>
      <c r="D33" s="6"/>
      <c r="E33" s="65"/>
      <c r="F33" s="6"/>
      <c r="G33" s="66">
        <f t="shared" si="5"/>
        <v>0</v>
      </c>
      <c r="H33" s="65">
        <v>4.83</v>
      </c>
      <c r="I33" s="6">
        <v>103.44</v>
      </c>
      <c r="J33" s="66">
        <f t="shared" si="1"/>
        <v>499.61520000000002</v>
      </c>
      <c r="K33" s="66">
        <f t="shared" si="2"/>
        <v>499.61520000000002</v>
      </c>
      <c r="L33" s="66"/>
      <c r="M33" s="149">
        <f t="shared" si="4"/>
        <v>18468.864099999981</v>
      </c>
      <c r="N33" s="46" t="s">
        <v>271</v>
      </c>
    </row>
    <row r="34" spans="1:15">
      <c r="A34" s="6">
        <v>31</v>
      </c>
      <c r="B34" s="219"/>
      <c r="C34" s="6"/>
      <c r="D34" s="6"/>
      <c r="E34" s="65"/>
      <c r="F34" s="6"/>
      <c r="G34" s="66">
        <f t="shared" si="5"/>
        <v>0</v>
      </c>
      <c r="H34" s="65"/>
      <c r="I34" s="6"/>
      <c r="J34" s="66">
        <f t="shared" si="1"/>
        <v>0</v>
      </c>
      <c r="K34" s="66">
        <f t="shared" si="2"/>
        <v>0</v>
      </c>
      <c r="L34" s="66"/>
      <c r="M34" s="149">
        <f t="shared" si="4"/>
        <v>18468.864099999981</v>
      </c>
      <c r="N34" s="46" t="s">
        <v>271</v>
      </c>
    </row>
    <row r="35" spans="1:15">
      <c r="A35" s="6">
        <v>32</v>
      </c>
      <c r="B35" s="219"/>
      <c r="C35" s="6"/>
      <c r="D35" s="6"/>
      <c r="E35" s="65"/>
      <c r="F35" s="6"/>
      <c r="G35" s="66">
        <f t="shared" si="5"/>
        <v>0</v>
      </c>
      <c r="H35" s="65"/>
      <c r="I35" s="6"/>
      <c r="J35" s="66">
        <f t="shared" si="1"/>
        <v>0</v>
      </c>
      <c r="K35" s="66">
        <f t="shared" si="2"/>
        <v>0</v>
      </c>
      <c r="L35" s="66"/>
      <c r="M35" s="149">
        <f t="shared" si="4"/>
        <v>18468.864099999981</v>
      </c>
      <c r="N35" s="46" t="s">
        <v>271</v>
      </c>
    </row>
    <row r="36" spans="1:15">
      <c r="A36" s="6">
        <v>33</v>
      </c>
      <c r="B36" s="78"/>
      <c r="C36" s="6"/>
      <c r="D36" s="6"/>
      <c r="E36" s="65"/>
      <c r="F36" s="6"/>
      <c r="G36" s="66">
        <f t="shared" si="5"/>
        <v>0</v>
      </c>
      <c r="H36" s="65"/>
      <c r="I36" s="6"/>
      <c r="J36" s="66">
        <f t="shared" si="1"/>
        <v>0</v>
      </c>
      <c r="K36" s="66">
        <f t="shared" si="2"/>
        <v>0</v>
      </c>
      <c r="L36" s="66"/>
      <c r="M36" s="149">
        <f t="shared" si="4"/>
        <v>18468.864099999981</v>
      </c>
      <c r="N36" s="46" t="s">
        <v>271</v>
      </c>
    </row>
    <row r="37" spans="1:15">
      <c r="A37" s="6">
        <v>34</v>
      </c>
      <c r="B37" s="78"/>
      <c r="C37" s="6"/>
      <c r="D37" s="6"/>
      <c r="E37" s="65"/>
      <c r="F37" s="6"/>
      <c r="G37" s="66">
        <f t="shared" si="5"/>
        <v>0</v>
      </c>
      <c r="H37" s="65"/>
      <c r="I37" s="6"/>
      <c r="J37" s="66">
        <f t="shared" si="1"/>
        <v>0</v>
      </c>
      <c r="K37" s="66">
        <f t="shared" si="2"/>
        <v>0</v>
      </c>
      <c r="L37" s="66"/>
      <c r="M37" s="149">
        <f t="shared" si="4"/>
        <v>18468.864099999981</v>
      </c>
      <c r="N37" s="46" t="s">
        <v>271</v>
      </c>
    </row>
    <row r="38" spans="1:15">
      <c r="A38" s="6">
        <v>35</v>
      </c>
      <c r="B38" s="78"/>
      <c r="C38" s="6"/>
      <c r="D38" s="6"/>
      <c r="E38" s="65"/>
      <c r="F38" s="6"/>
      <c r="G38" s="66">
        <f t="shared" si="5"/>
        <v>0</v>
      </c>
      <c r="H38" s="65"/>
      <c r="I38" s="6"/>
      <c r="J38" s="66">
        <f t="shared" si="1"/>
        <v>0</v>
      </c>
      <c r="K38" s="66">
        <f t="shared" si="2"/>
        <v>0</v>
      </c>
      <c r="L38" s="66"/>
      <c r="M38" s="149">
        <f t="shared" si="4"/>
        <v>18468.864099999981</v>
      </c>
      <c r="N38" s="46" t="s">
        <v>271</v>
      </c>
    </row>
    <row r="39" spans="1:15">
      <c r="A39" s="6">
        <v>36</v>
      </c>
      <c r="B39" s="78"/>
      <c r="C39" s="6"/>
      <c r="D39" s="6"/>
      <c r="E39" s="65"/>
      <c r="F39" s="6"/>
      <c r="G39" s="66">
        <f t="shared" si="5"/>
        <v>0</v>
      </c>
      <c r="H39" s="65"/>
      <c r="I39" s="6"/>
      <c r="J39" s="66">
        <f t="shared" si="1"/>
        <v>0</v>
      </c>
      <c r="K39" s="66">
        <f t="shared" si="2"/>
        <v>0</v>
      </c>
      <c r="L39" s="66"/>
      <c r="M39" s="149">
        <f t="shared" si="4"/>
        <v>18468.864099999981</v>
      </c>
      <c r="N39" s="46" t="s">
        <v>271</v>
      </c>
    </row>
    <row r="40" spans="1:15">
      <c r="A40" s="6">
        <v>37</v>
      </c>
      <c r="B40" s="78"/>
      <c r="C40" s="6"/>
      <c r="D40" s="6"/>
      <c r="E40" s="65"/>
      <c r="F40" s="6"/>
      <c r="G40" s="66">
        <f t="shared" si="5"/>
        <v>0</v>
      </c>
      <c r="H40" s="65"/>
      <c r="I40" s="6"/>
      <c r="J40" s="66">
        <f t="shared" si="1"/>
        <v>0</v>
      </c>
      <c r="K40" s="66">
        <f t="shared" si="2"/>
        <v>0</v>
      </c>
      <c r="L40" s="66"/>
      <c r="M40" s="149">
        <f t="shared" si="4"/>
        <v>18468.864099999981</v>
      </c>
      <c r="N40" s="46" t="s">
        <v>271</v>
      </c>
    </row>
    <row r="41" spans="1:15">
      <c r="A41" s="6">
        <v>38</v>
      </c>
      <c r="B41" s="78"/>
      <c r="C41" s="6"/>
      <c r="D41" s="6"/>
      <c r="E41" s="65"/>
      <c r="F41" s="6"/>
      <c r="G41" s="66">
        <f t="shared" si="5"/>
        <v>0</v>
      </c>
      <c r="H41" s="65"/>
      <c r="I41" s="6"/>
      <c r="J41" s="66">
        <f t="shared" si="1"/>
        <v>0</v>
      </c>
      <c r="K41" s="66">
        <f t="shared" si="2"/>
        <v>0</v>
      </c>
      <c r="L41" s="66"/>
      <c r="M41" s="149">
        <f t="shared" si="4"/>
        <v>18468.864099999981</v>
      </c>
      <c r="N41" s="46" t="s">
        <v>271</v>
      </c>
    </row>
    <row r="42" spans="1:15">
      <c r="A42" s="6">
        <v>39</v>
      </c>
      <c r="B42" s="170"/>
      <c r="C42" s="169"/>
      <c r="D42" s="6"/>
      <c r="E42" s="65"/>
      <c r="F42" s="6"/>
      <c r="G42" s="66">
        <f t="shared" si="5"/>
        <v>0</v>
      </c>
      <c r="H42" s="65"/>
      <c r="I42" s="6"/>
      <c r="J42" s="66">
        <f t="shared" si="1"/>
        <v>0</v>
      </c>
      <c r="K42" s="66">
        <f t="shared" si="2"/>
        <v>0</v>
      </c>
      <c r="L42" s="66"/>
      <c r="M42" s="149">
        <f t="shared" si="4"/>
        <v>18468.864099999981</v>
      </c>
      <c r="N42" s="46" t="s">
        <v>271</v>
      </c>
    </row>
    <row r="43" spans="1:15">
      <c r="A43" s="6">
        <v>40</v>
      </c>
      <c r="B43" s="6"/>
      <c r="C43" s="6"/>
      <c r="D43" s="6"/>
      <c r="E43" s="65"/>
      <c r="F43" s="6"/>
      <c r="G43" s="66">
        <f t="shared" si="5"/>
        <v>0</v>
      </c>
      <c r="H43" s="65"/>
      <c r="I43" s="6"/>
      <c r="J43" s="66">
        <f t="shared" si="1"/>
        <v>0</v>
      </c>
      <c r="K43" s="66">
        <f t="shared" si="2"/>
        <v>0</v>
      </c>
      <c r="L43" s="66"/>
      <c r="M43" s="149">
        <f t="shared" si="4"/>
        <v>18468.864099999981</v>
      </c>
      <c r="N43" s="46" t="s">
        <v>271</v>
      </c>
    </row>
    <row r="44" spans="1:15">
      <c r="A44" s="6">
        <v>41</v>
      </c>
      <c r="B44" s="169"/>
      <c r="C44" s="169"/>
      <c r="D44" s="6"/>
      <c r="E44" s="65"/>
      <c r="F44" s="6"/>
      <c r="G44" s="66">
        <f t="shared" si="5"/>
        <v>0</v>
      </c>
      <c r="H44" s="65"/>
      <c r="I44" s="6"/>
      <c r="J44" s="66">
        <f t="shared" si="1"/>
        <v>0</v>
      </c>
      <c r="K44" s="66">
        <f t="shared" si="2"/>
        <v>0</v>
      </c>
      <c r="L44" s="66"/>
      <c r="M44" s="149">
        <f t="shared" si="4"/>
        <v>18468.864099999981</v>
      </c>
      <c r="N44" s="46" t="s">
        <v>271</v>
      </c>
    </row>
    <row r="45" spans="1:15">
      <c r="A45" s="6">
        <v>42</v>
      </c>
      <c r="B45" s="169"/>
      <c r="C45" s="169"/>
      <c r="D45" s="6"/>
      <c r="E45" s="65"/>
      <c r="F45" s="6"/>
      <c r="G45" s="66">
        <f t="shared" ref="G45" si="6">E45*F45</f>
        <v>0</v>
      </c>
      <c r="H45" s="65"/>
      <c r="I45" s="6"/>
      <c r="J45" s="66">
        <f>H45*I45</f>
        <v>0</v>
      </c>
      <c r="K45" s="66">
        <f t="shared" ref="K45" si="7">G45+J45</f>
        <v>0</v>
      </c>
      <c r="L45" s="162"/>
      <c r="M45" s="149">
        <f t="shared" si="4"/>
        <v>18468.864099999981</v>
      </c>
      <c r="N45" s="46" t="s">
        <v>271</v>
      </c>
    </row>
    <row r="46" spans="1:15">
      <c r="A46" s="62"/>
      <c r="B46" s="62"/>
      <c r="C46" s="62"/>
      <c r="D46" s="62"/>
      <c r="E46" s="63">
        <f>SUM(E4:E45)</f>
        <v>404.37</v>
      </c>
      <c r="F46" s="63"/>
      <c r="G46" s="63">
        <f>SUM(G4:G45)</f>
        <v>37008.82</v>
      </c>
      <c r="H46" s="63">
        <f>SUM(H4:H45)</f>
        <v>74.649999999999991</v>
      </c>
      <c r="I46" s="63"/>
      <c r="J46" s="63">
        <f>SUM(J4:J45)</f>
        <v>7721.7960000000012</v>
      </c>
      <c r="K46" s="63">
        <f>SUM(K4:K45)</f>
        <v>44730.616000000002</v>
      </c>
      <c r="L46" s="63">
        <f>SUM(L4:L45)</f>
        <v>28730</v>
      </c>
      <c r="M46" s="63"/>
      <c r="N46" s="63"/>
      <c r="O46" s="59"/>
    </row>
  </sheetData>
  <mergeCells count="2">
    <mergeCell ref="A1:N1"/>
    <mergeCell ref="A3:L3"/>
  </mergeCells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640F-B265-4AE1-820B-14F38CA64D84}">
  <sheetPr>
    <tabColor rgb="FF92D050"/>
  </sheetPr>
  <dimension ref="A1:O36"/>
  <sheetViews>
    <sheetView workbookViewId="0">
      <pane ySplit="2" topLeftCell="A21" activePane="bottomLeft" state="frozen"/>
      <selection pane="bottomLeft" activeCell="M32" sqref="M32"/>
    </sheetView>
  </sheetViews>
  <sheetFormatPr defaultRowHeight="15"/>
  <cols>
    <col min="1" max="1" width="5.28515625" style="5" bestFit="1" customWidth="1"/>
    <col min="2" max="2" width="16" style="5" bestFit="1" customWidth="1"/>
    <col min="3" max="3" width="8.140625" style="5" bestFit="1" customWidth="1"/>
    <col min="4" max="4" width="13.7109375" style="5" bestFit="1" customWidth="1"/>
    <col min="5" max="5" width="10.85546875" style="5" bestFit="1" customWidth="1"/>
    <col min="6" max="6" width="12.28515625" style="5" bestFit="1" customWidth="1"/>
    <col min="7" max="7" width="14.42578125" style="5" customWidth="1"/>
    <col min="8" max="8" width="10.85546875" style="5" bestFit="1" customWidth="1"/>
    <col min="9" max="9" width="14.7109375" style="5" customWidth="1"/>
    <col min="10" max="10" width="10.85546875" style="5" bestFit="1" customWidth="1"/>
    <col min="11" max="11" width="13.5703125" style="5" bestFit="1" customWidth="1"/>
    <col min="12" max="12" width="12.7109375" style="5" bestFit="1" customWidth="1"/>
    <col min="13" max="13" width="14.42578125" style="5" customWidth="1"/>
    <col min="14" max="14" width="17.28515625" style="5" customWidth="1"/>
    <col min="15" max="16384" width="9.140625" style="5"/>
  </cols>
  <sheetData>
    <row r="1" spans="1:15" ht="15.75">
      <c r="A1" s="473" t="s">
        <v>152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53"/>
    </row>
    <row r="2" spans="1:15">
      <c r="A2" s="98" t="s">
        <v>0</v>
      </c>
      <c r="B2" s="99" t="s">
        <v>164</v>
      </c>
      <c r="C2" s="99" t="s">
        <v>165</v>
      </c>
      <c r="D2" s="99" t="s">
        <v>208</v>
      </c>
      <c r="E2" s="99" t="s">
        <v>167</v>
      </c>
      <c r="F2" s="99" t="s">
        <v>168</v>
      </c>
      <c r="G2" s="99" t="s">
        <v>169</v>
      </c>
      <c r="H2" s="99" t="s">
        <v>170</v>
      </c>
      <c r="I2" s="99" t="s">
        <v>168</v>
      </c>
      <c r="J2" s="138" t="s">
        <v>169</v>
      </c>
      <c r="K2" s="100" t="s">
        <v>171</v>
      </c>
      <c r="L2" s="139" t="s">
        <v>172</v>
      </c>
      <c r="M2" s="143" t="s">
        <v>209</v>
      </c>
      <c r="N2" s="101" t="s">
        <v>174</v>
      </c>
      <c r="O2" s="59"/>
    </row>
    <row r="3" spans="1:15">
      <c r="A3" s="155"/>
      <c r="B3" s="17" t="s">
        <v>175</v>
      </c>
      <c r="C3" s="156"/>
      <c r="D3" s="156"/>
      <c r="E3" s="156"/>
      <c r="F3" s="156"/>
      <c r="G3" s="156"/>
      <c r="H3" s="156"/>
      <c r="I3" s="156"/>
      <c r="J3" s="157"/>
      <c r="K3" s="68">
        <v>57209.664800000064</v>
      </c>
      <c r="L3" s="158"/>
      <c r="M3" s="80">
        <v>57209.664800000064</v>
      </c>
      <c r="N3" s="156"/>
      <c r="O3" s="59">
        <v>86559.56660000002</v>
      </c>
    </row>
    <row r="4" spans="1:15">
      <c r="A4" s="196">
        <v>1</v>
      </c>
      <c r="B4" s="219">
        <v>46113</v>
      </c>
      <c r="C4" s="67"/>
      <c r="D4" s="159"/>
      <c r="E4" s="65">
        <v>34.74</v>
      </c>
      <c r="F4" s="6">
        <v>91.23</v>
      </c>
      <c r="G4" s="8">
        <f>E4*F4</f>
        <v>3169.3302000000003</v>
      </c>
      <c r="H4" s="65"/>
      <c r="I4" s="6"/>
      <c r="J4" s="8">
        <f>H4*I4</f>
        <v>0</v>
      </c>
      <c r="K4" s="8">
        <f>G4+J4</f>
        <v>3169.3302000000003</v>
      </c>
      <c r="L4" s="68"/>
      <c r="M4" s="68">
        <f>M3+K4-L4</f>
        <v>60378.995000000068</v>
      </c>
      <c r="N4" s="41"/>
      <c r="O4" s="69"/>
    </row>
    <row r="5" spans="1:15">
      <c r="A5" s="46">
        <v>2</v>
      </c>
      <c r="B5" s="219">
        <v>46114</v>
      </c>
      <c r="C5" s="67"/>
      <c r="D5" s="71"/>
      <c r="E5" s="65">
        <v>16.91</v>
      </c>
      <c r="F5" s="6">
        <v>91.23</v>
      </c>
      <c r="G5" s="8">
        <f t="shared" ref="G5:G34" si="0">E5*F5</f>
        <v>1542.6993</v>
      </c>
      <c r="H5" s="65"/>
      <c r="I5" s="6"/>
      <c r="J5" s="8">
        <f t="shared" ref="J5:J34" si="1">H5*I5</f>
        <v>0</v>
      </c>
      <c r="K5" s="8">
        <f t="shared" ref="K5:K34" si="2">G5+J5</f>
        <v>1542.6993</v>
      </c>
      <c r="L5" s="68"/>
      <c r="M5" s="68">
        <f t="shared" ref="M5:M19" si="3">M4+K5-L5</f>
        <v>61921.694300000068</v>
      </c>
      <c r="N5" s="41"/>
      <c r="O5" s="69"/>
    </row>
    <row r="6" spans="1:15">
      <c r="A6" s="46">
        <v>3</v>
      </c>
      <c r="B6" s="219">
        <v>46115</v>
      </c>
      <c r="C6" s="67"/>
      <c r="D6" s="71"/>
      <c r="E6" s="65">
        <v>50.57</v>
      </c>
      <c r="F6" s="6">
        <v>91.23</v>
      </c>
      <c r="G6" s="8">
        <f t="shared" si="0"/>
        <v>4613.5011000000004</v>
      </c>
      <c r="H6" s="65"/>
      <c r="I6" s="6"/>
      <c r="J6" s="8">
        <f t="shared" si="1"/>
        <v>0</v>
      </c>
      <c r="K6" s="8">
        <f t="shared" si="2"/>
        <v>4613.5011000000004</v>
      </c>
      <c r="L6" s="68"/>
      <c r="M6" s="68">
        <f t="shared" si="3"/>
        <v>66535.19540000007</v>
      </c>
      <c r="N6" s="41"/>
      <c r="O6" s="69"/>
    </row>
    <row r="7" spans="1:15">
      <c r="A7" s="46">
        <v>4</v>
      </c>
      <c r="B7" s="219">
        <v>46116</v>
      </c>
      <c r="C7" s="67"/>
      <c r="D7" s="71"/>
      <c r="E7" s="65">
        <v>20</v>
      </c>
      <c r="F7" s="6">
        <v>91.23</v>
      </c>
      <c r="G7" s="8">
        <f t="shared" si="0"/>
        <v>1824.6000000000001</v>
      </c>
      <c r="H7" s="65">
        <v>12</v>
      </c>
      <c r="I7" s="6">
        <v>103.16</v>
      </c>
      <c r="J7" s="8">
        <f t="shared" si="1"/>
        <v>1237.92</v>
      </c>
      <c r="K7" s="8">
        <f t="shared" si="2"/>
        <v>3062.5200000000004</v>
      </c>
      <c r="L7" s="68">
        <v>57247</v>
      </c>
      <c r="M7" s="68">
        <f t="shared" si="3"/>
        <v>12350.715400000074</v>
      </c>
      <c r="N7" s="41"/>
      <c r="O7" s="69"/>
    </row>
    <row r="8" spans="1:15">
      <c r="A8" s="46">
        <v>5</v>
      </c>
      <c r="B8" s="219">
        <v>46117</v>
      </c>
      <c r="C8" s="67"/>
      <c r="D8" s="71"/>
      <c r="E8" s="65">
        <v>359.99</v>
      </c>
      <c r="F8" s="6">
        <v>91.23</v>
      </c>
      <c r="G8" s="8">
        <f t="shared" si="0"/>
        <v>32841.887699999999</v>
      </c>
      <c r="H8" s="65"/>
      <c r="I8" s="6"/>
      <c r="J8" s="8">
        <f t="shared" si="1"/>
        <v>0</v>
      </c>
      <c r="K8" s="8">
        <f t="shared" si="2"/>
        <v>32841.887699999999</v>
      </c>
      <c r="L8" s="68"/>
      <c r="M8" s="68">
        <f t="shared" si="3"/>
        <v>45192.603100000073</v>
      </c>
      <c r="N8" s="41"/>
      <c r="O8" s="69"/>
    </row>
    <row r="9" spans="1:15">
      <c r="A9" s="46">
        <v>6</v>
      </c>
      <c r="B9" s="219">
        <v>46118</v>
      </c>
      <c r="C9" s="67"/>
      <c r="D9" s="71"/>
      <c r="E9" s="65"/>
      <c r="F9" s="6"/>
      <c r="G9" s="8">
        <f t="shared" si="0"/>
        <v>0</v>
      </c>
      <c r="H9" s="65">
        <v>5</v>
      </c>
      <c r="I9" s="6">
        <v>103.16</v>
      </c>
      <c r="J9" s="8">
        <f t="shared" si="1"/>
        <v>515.79999999999995</v>
      </c>
      <c r="K9" s="8">
        <f t="shared" si="2"/>
        <v>515.79999999999995</v>
      </c>
      <c r="L9" s="68"/>
      <c r="M9" s="68">
        <f t="shared" si="3"/>
        <v>45708.403100000076</v>
      </c>
      <c r="N9" s="41"/>
      <c r="O9" s="69"/>
    </row>
    <row r="10" spans="1:15">
      <c r="A10" s="46">
        <v>7</v>
      </c>
      <c r="B10" s="219">
        <v>46119</v>
      </c>
      <c r="C10" s="67"/>
      <c r="D10" s="71"/>
      <c r="E10" s="65"/>
      <c r="F10" s="6"/>
      <c r="G10" s="8">
        <f t="shared" si="0"/>
        <v>0</v>
      </c>
      <c r="H10" s="65">
        <v>6.7</v>
      </c>
      <c r="I10" s="6">
        <v>103.16</v>
      </c>
      <c r="J10" s="8">
        <f t="shared" si="1"/>
        <v>691.17200000000003</v>
      </c>
      <c r="K10" s="8">
        <f t="shared" ref="K10:K11" si="4">G10+J10</f>
        <v>691.17200000000003</v>
      </c>
      <c r="L10" s="68"/>
      <c r="M10" s="68">
        <f t="shared" si="3"/>
        <v>46399.575100000075</v>
      </c>
      <c r="N10" s="41"/>
      <c r="O10" s="69"/>
    </row>
    <row r="11" spans="1:15">
      <c r="A11" s="46">
        <v>8</v>
      </c>
      <c r="B11" s="219">
        <v>46120</v>
      </c>
      <c r="C11" s="67"/>
      <c r="D11" s="71"/>
      <c r="E11" s="65"/>
      <c r="F11" s="6"/>
      <c r="G11" s="8">
        <f t="shared" si="0"/>
        <v>0</v>
      </c>
      <c r="H11" s="65">
        <v>8</v>
      </c>
      <c r="I11" s="6">
        <v>103.16</v>
      </c>
      <c r="J11" s="8">
        <f t="shared" si="1"/>
        <v>825.28</v>
      </c>
      <c r="K11" s="8">
        <f t="shared" si="4"/>
        <v>825.28</v>
      </c>
      <c r="L11" s="68"/>
      <c r="M11" s="68">
        <f t="shared" si="3"/>
        <v>47224.855100000073</v>
      </c>
      <c r="N11" s="41"/>
      <c r="O11" s="69"/>
    </row>
    <row r="12" spans="1:15">
      <c r="A12" s="46">
        <v>9</v>
      </c>
      <c r="B12" s="219">
        <v>46121</v>
      </c>
      <c r="C12" s="67"/>
      <c r="D12" s="71"/>
      <c r="E12" s="65">
        <v>226.27999999999997</v>
      </c>
      <c r="F12" s="6">
        <v>91.23</v>
      </c>
      <c r="G12" s="8">
        <f t="shared" si="0"/>
        <v>20643.524399999998</v>
      </c>
      <c r="H12" s="65">
        <v>5</v>
      </c>
      <c r="I12" s="6">
        <v>103.16</v>
      </c>
      <c r="J12" s="8">
        <f t="shared" si="1"/>
        <v>515.79999999999995</v>
      </c>
      <c r="K12" s="8">
        <f t="shared" si="2"/>
        <v>21159.324399999998</v>
      </c>
      <c r="L12" s="68"/>
      <c r="M12" s="68">
        <f t="shared" si="3"/>
        <v>68384.179500000071</v>
      </c>
      <c r="N12" s="41"/>
      <c r="O12" s="69"/>
    </row>
    <row r="13" spans="1:15">
      <c r="A13" s="46">
        <v>10</v>
      </c>
      <c r="B13" s="219">
        <v>46122</v>
      </c>
      <c r="C13" s="187"/>
      <c r="D13" s="188"/>
      <c r="E13" s="65">
        <v>46.56</v>
      </c>
      <c r="F13" s="6">
        <v>91.23</v>
      </c>
      <c r="G13" s="8">
        <f t="shared" si="0"/>
        <v>4247.6688000000004</v>
      </c>
      <c r="H13" s="65">
        <v>4.9800000000000004</v>
      </c>
      <c r="I13" s="6">
        <v>103.16</v>
      </c>
      <c r="J13" s="8">
        <f t="shared" si="1"/>
        <v>513.73680000000002</v>
      </c>
      <c r="K13" s="8">
        <f t="shared" si="2"/>
        <v>4761.4056</v>
      </c>
      <c r="L13" s="68"/>
      <c r="M13" s="68">
        <f>M12+K13-L13</f>
        <v>73145.585100000069</v>
      </c>
      <c r="N13" s="41"/>
      <c r="O13" s="69"/>
    </row>
    <row r="14" spans="1:15">
      <c r="A14" s="46">
        <v>11</v>
      </c>
      <c r="B14" s="219">
        <v>46123</v>
      </c>
      <c r="C14" s="176"/>
      <c r="D14" s="176"/>
      <c r="E14" s="317">
        <v>27.29</v>
      </c>
      <c r="F14" s="328">
        <v>91.23</v>
      </c>
      <c r="G14" s="8">
        <f t="shared" si="0"/>
        <v>2489.6667000000002</v>
      </c>
      <c r="H14" s="65"/>
      <c r="I14" s="6"/>
      <c r="J14" s="8">
        <f t="shared" si="1"/>
        <v>0</v>
      </c>
      <c r="K14" s="8">
        <f t="shared" si="2"/>
        <v>2489.6667000000002</v>
      </c>
      <c r="L14" s="68"/>
      <c r="M14" s="68">
        <f t="shared" si="3"/>
        <v>75635.251800000071</v>
      </c>
      <c r="N14" s="41"/>
      <c r="O14" s="69"/>
    </row>
    <row r="15" spans="1:15">
      <c r="A15" s="46">
        <v>12</v>
      </c>
      <c r="B15" s="219">
        <v>46124</v>
      </c>
      <c r="C15" s="176"/>
      <c r="D15" s="176"/>
      <c r="E15" s="317">
        <f>50+86.78</f>
        <v>136.78</v>
      </c>
      <c r="F15" s="328">
        <v>91.23</v>
      </c>
      <c r="G15" s="8">
        <f t="shared" si="0"/>
        <v>12478.439400000001</v>
      </c>
      <c r="H15" s="65">
        <v>10</v>
      </c>
      <c r="I15" s="6">
        <v>103.16</v>
      </c>
      <c r="J15" s="8">
        <f t="shared" si="1"/>
        <v>1031.5999999999999</v>
      </c>
      <c r="K15" s="8">
        <f t="shared" si="2"/>
        <v>13510.039400000001</v>
      </c>
      <c r="L15" s="68"/>
      <c r="M15" s="68">
        <f>M14+K15-L15</f>
        <v>89145.291200000065</v>
      </c>
      <c r="N15" s="41"/>
      <c r="O15" s="69"/>
    </row>
    <row r="16" spans="1:15">
      <c r="A16" s="46">
        <v>13</v>
      </c>
      <c r="B16" s="219">
        <v>46125</v>
      </c>
      <c r="C16" s="176"/>
      <c r="D16" s="176"/>
      <c r="E16" s="65">
        <v>34.270000000000003</v>
      </c>
      <c r="F16" s="6">
        <v>91.23</v>
      </c>
      <c r="G16" s="8">
        <f t="shared" si="0"/>
        <v>3126.4521000000004</v>
      </c>
      <c r="H16" s="65"/>
      <c r="I16" s="6"/>
      <c r="J16" s="8">
        <f t="shared" si="1"/>
        <v>0</v>
      </c>
      <c r="K16" s="8">
        <f t="shared" si="2"/>
        <v>3126.4521000000004</v>
      </c>
      <c r="L16" s="68"/>
      <c r="M16" s="68">
        <f t="shared" si="3"/>
        <v>92271.74330000006</v>
      </c>
      <c r="N16" s="41"/>
      <c r="O16" s="69"/>
    </row>
    <row r="17" spans="1:15">
      <c r="A17" s="46">
        <v>14</v>
      </c>
      <c r="B17" s="219">
        <v>46126</v>
      </c>
      <c r="C17" s="176"/>
      <c r="D17" s="176"/>
      <c r="E17" s="65"/>
      <c r="F17" s="6"/>
      <c r="G17" s="8">
        <f t="shared" si="0"/>
        <v>0</v>
      </c>
      <c r="H17" s="317">
        <v>5</v>
      </c>
      <c r="I17" s="6">
        <v>103.16</v>
      </c>
      <c r="J17" s="8">
        <f t="shared" si="1"/>
        <v>515.79999999999995</v>
      </c>
      <c r="K17" s="8">
        <f t="shared" si="2"/>
        <v>515.79999999999995</v>
      </c>
      <c r="L17" s="68"/>
      <c r="M17" s="68">
        <f t="shared" si="3"/>
        <v>92787.543300000063</v>
      </c>
      <c r="N17" s="41"/>
      <c r="O17" s="69"/>
    </row>
    <row r="18" spans="1:15">
      <c r="A18" s="46">
        <v>15</v>
      </c>
      <c r="B18" s="219">
        <v>46127</v>
      </c>
      <c r="C18" s="176"/>
      <c r="D18" s="176"/>
      <c r="E18" s="65">
        <v>47.66</v>
      </c>
      <c r="F18" s="6">
        <v>91.23</v>
      </c>
      <c r="G18" s="8">
        <f t="shared" si="0"/>
        <v>4348.0217999999995</v>
      </c>
      <c r="H18" s="65">
        <v>13.120000000000001</v>
      </c>
      <c r="I18" s="6">
        <v>103.16</v>
      </c>
      <c r="J18" s="8">
        <f t="shared" si="1"/>
        <v>1353.4592</v>
      </c>
      <c r="K18" s="8">
        <f t="shared" si="2"/>
        <v>5701.4809999999998</v>
      </c>
      <c r="L18" s="68"/>
      <c r="M18" s="68">
        <f t="shared" si="3"/>
        <v>98489.024300000063</v>
      </c>
      <c r="N18" s="41"/>
      <c r="O18" s="69"/>
    </row>
    <row r="19" spans="1:15">
      <c r="A19" s="46">
        <v>16</v>
      </c>
      <c r="B19" s="219">
        <v>46128</v>
      </c>
      <c r="C19" s="176"/>
      <c r="D19" s="176"/>
      <c r="E19" s="65"/>
      <c r="F19" s="6"/>
      <c r="G19" s="8">
        <f t="shared" si="0"/>
        <v>0</v>
      </c>
      <c r="H19" s="65">
        <v>5</v>
      </c>
      <c r="I19" s="6">
        <v>103.16</v>
      </c>
      <c r="J19" s="8">
        <f t="shared" si="1"/>
        <v>515.79999999999995</v>
      </c>
      <c r="K19" s="8">
        <f t="shared" si="2"/>
        <v>515.79999999999995</v>
      </c>
      <c r="L19" s="68"/>
      <c r="M19" s="68">
        <f t="shared" si="3"/>
        <v>99004.824300000066</v>
      </c>
      <c r="N19" s="41"/>
      <c r="O19" s="69"/>
    </row>
    <row r="20" spans="1:15">
      <c r="A20" s="46">
        <v>17</v>
      </c>
      <c r="B20" s="219">
        <v>46129</v>
      </c>
      <c r="C20" s="176"/>
      <c r="D20" s="176"/>
      <c r="E20" s="65"/>
      <c r="F20" s="6"/>
      <c r="G20" s="8">
        <f t="shared" si="0"/>
        <v>0</v>
      </c>
      <c r="H20" s="65">
        <v>5.52</v>
      </c>
      <c r="I20" s="6">
        <v>103.16</v>
      </c>
      <c r="J20" s="8">
        <f t="shared" si="1"/>
        <v>569.44319999999993</v>
      </c>
      <c r="K20" s="8">
        <f t="shared" si="2"/>
        <v>569.44319999999993</v>
      </c>
      <c r="L20" s="68"/>
      <c r="M20" s="68">
        <f t="shared" ref="M20:M34" si="5">M19+K20-L20</f>
        <v>99574.26750000006</v>
      </c>
      <c r="N20" s="41"/>
      <c r="O20" s="69"/>
    </row>
    <row r="21" spans="1:15">
      <c r="A21" s="46">
        <v>18</v>
      </c>
      <c r="B21" s="219">
        <v>46130</v>
      </c>
      <c r="C21" s="176"/>
      <c r="D21" s="176"/>
      <c r="E21" s="65"/>
      <c r="F21" s="6"/>
      <c r="G21" s="8">
        <f t="shared" si="0"/>
        <v>0</v>
      </c>
      <c r="H21" s="65"/>
      <c r="I21" s="6"/>
      <c r="J21" s="8">
        <f t="shared" si="1"/>
        <v>0</v>
      </c>
      <c r="K21" s="8">
        <f t="shared" si="2"/>
        <v>0</v>
      </c>
      <c r="L21" s="68"/>
      <c r="M21" s="68">
        <f t="shared" si="5"/>
        <v>99574.26750000006</v>
      </c>
      <c r="N21" s="41"/>
      <c r="O21" s="69"/>
    </row>
    <row r="22" spans="1:15">
      <c r="A22" s="46">
        <v>19</v>
      </c>
      <c r="B22" s="219">
        <v>46131</v>
      </c>
      <c r="C22" s="176"/>
      <c r="D22" s="176"/>
      <c r="E22" s="65">
        <v>20</v>
      </c>
      <c r="F22" s="6">
        <v>91.23</v>
      </c>
      <c r="G22" s="8">
        <f t="shared" si="0"/>
        <v>1824.6000000000001</v>
      </c>
      <c r="H22" s="65">
        <v>7.27</v>
      </c>
      <c r="I22" s="6">
        <v>103.16</v>
      </c>
      <c r="J22" s="8">
        <f t="shared" si="1"/>
        <v>749.97319999999991</v>
      </c>
      <c r="K22" s="8">
        <f t="shared" ref="K22" si="6">G22+J22</f>
        <v>2574.5731999999998</v>
      </c>
      <c r="L22" s="68"/>
      <c r="M22" s="68">
        <f t="shared" si="5"/>
        <v>102148.84070000006</v>
      </c>
      <c r="N22" s="41"/>
      <c r="O22" s="69"/>
    </row>
    <row r="23" spans="1:15">
      <c r="A23" s="46">
        <v>20</v>
      </c>
      <c r="B23" s="219">
        <v>46132</v>
      </c>
      <c r="C23" s="176"/>
      <c r="D23" s="176"/>
      <c r="E23" s="65">
        <v>47.46</v>
      </c>
      <c r="F23" s="6">
        <v>91.23</v>
      </c>
      <c r="G23" s="8">
        <f t="shared" si="0"/>
        <v>4329.7758000000003</v>
      </c>
      <c r="H23" s="65">
        <v>11.6</v>
      </c>
      <c r="I23" s="6">
        <v>103.16</v>
      </c>
      <c r="J23" s="8">
        <f t="shared" si="1"/>
        <v>1196.6559999999999</v>
      </c>
      <c r="K23" s="8">
        <f t="shared" si="2"/>
        <v>5526.4318000000003</v>
      </c>
      <c r="L23" s="68"/>
      <c r="M23" s="68">
        <f t="shared" si="5"/>
        <v>107675.27250000006</v>
      </c>
      <c r="N23" s="41"/>
      <c r="O23" s="69"/>
    </row>
    <row r="24" spans="1:15">
      <c r="A24" s="46">
        <v>21</v>
      </c>
      <c r="B24" s="219">
        <v>46133</v>
      </c>
      <c r="C24" s="176"/>
      <c r="D24" s="176"/>
      <c r="E24" s="65">
        <v>0</v>
      </c>
      <c r="F24" s="6">
        <v>0</v>
      </c>
      <c r="G24" s="8">
        <f t="shared" si="0"/>
        <v>0</v>
      </c>
      <c r="H24" s="65">
        <v>0</v>
      </c>
      <c r="I24" s="6">
        <v>103.16</v>
      </c>
      <c r="J24" s="8">
        <f t="shared" si="1"/>
        <v>0</v>
      </c>
      <c r="K24" s="8">
        <f t="shared" si="2"/>
        <v>0</v>
      </c>
      <c r="L24" s="68"/>
      <c r="M24" s="68">
        <f t="shared" si="5"/>
        <v>107675.27250000006</v>
      </c>
      <c r="N24" s="41"/>
      <c r="O24" s="69"/>
    </row>
    <row r="25" spans="1:15">
      <c r="A25" s="46">
        <v>22</v>
      </c>
      <c r="B25" s="219">
        <v>46134</v>
      </c>
      <c r="C25" s="176"/>
      <c r="D25" s="176"/>
      <c r="E25" s="65">
        <v>42.12</v>
      </c>
      <c r="F25" s="6">
        <v>91.23</v>
      </c>
      <c r="G25" s="8">
        <f t="shared" si="0"/>
        <v>3842.6075999999998</v>
      </c>
      <c r="H25" s="65">
        <v>7.91</v>
      </c>
      <c r="I25" s="6">
        <v>103.16</v>
      </c>
      <c r="J25" s="8">
        <f t="shared" si="1"/>
        <v>815.99559999999997</v>
      </c>
      <c r="K25" s="8">
        <f t="shared" si="2"/>
        <v>4658.6031999999996</v>
      </c>
      <c r="L25" s="68"/>
      <c r="M25" s="68">
        <f t="shared" si="5"/>
        <v>112333.87570000006</v>
      </c>
      <c r="N25" s="41"/>
      <c r="O25" s="69"/>
    </row>
    <row r="26" spans="1:15">
      <c r="A26" s="46">
        <v>23</v>
      </c>
      <c r="B26" s="219">
        <v>46135</v>
      </c>
      <c r="C26" s="210"/>
      <c r="D26" s="210"/>
      <c r="E26" s="65"/>
      <c r="F26" s="6"/>
      <c r="G26" s="8">
        <f t="shared" si="0"/>
        <v>0</v>
      </c>
      <c r="H26" s="65"/>
      <c r="I26" s="6"/>
      <c r="J26" s="8">
        <f t="shared" si="1"/>
        <v>0</v>
      </c>
      <c r="K26" s="8">
        <f t="shared" si="2"/>
        <v>0</v>
      </c>
      <c r="L26" s="68"/>
      <c r="M26" s="68">
        <f t="shared" si="5"/>
        <v>112333.87570000006</v>
      </c>
      <c r="N26" s="211"/>
      <c r="O26" s="69">
        <v>51702</v>
      </c>
    </row>
    <row r="27" spans="1:15">
      <c r="A27" s="46">
        <v>24</v>
      </c>
      <c r="B27" s="219">
        <v>46136</v>
      </c>
      <c r="C27" s="210"/>
      <c r="D27" s="210"/>
      <c r="E27" s="65"/>
      <c r="F27" s="6"/>
      <c r="G27" s="8">
        <f t="shared" si="0"/>
        <v>0</v>
      </c>
      <c r="H27" s="65">
        <v>8</v>
      </c>
      <c r="I27" s="6">
        <v>103.16</v>
      </c>
      <c r="J27" s="8">
        <f t="shared" si="1"/>
        <v>825.28</v>
      </c>
      <c r="K27" s="8">
        <f t="shared" si="2"/>
        <v>825.28</v>
      </c>
      <c r="L27" s="68"/>
      <c r="M27" s="68">
        <f t="shared" si="5"/>
        <v>113159.15570000006</v>
      </c>
      <c r="N27" s="211"/>
      <c r="O27" s="69"/>
    </row>
    <row r="28" spans="1:15">
      <c r="A28" s="221">
        <v>25</v>
      </c>
      <c r="B28" s="219">
        <v>46137</v>
      </c>
      <c r="C28" s="210"/>
      <c r="D28" s="210"/>
      <c r="E28" s="65">
        <v>27.85</v>
      </c>
      <c r="F28" s="6">
        <v>91.23</v>
      </c>
      <c r="G28" s="8">
        <f t="shared" si="0"/>
        <v>2540.7555000000002</v>
      </c>
      <c r="H28" s="65">
        <v>5</v>
      </c>
      <c r="I28" s="6">
        <v>103.16</v>
      </c>
      <c r="J28" s="8">
        <f t="shared" si="1"/>
        <v>515.79999999999995</v>
      </c>
      <c r="K28" s="8">
        <f t="shared" si="2"/>
        <v>3056.5555000000004</v>
      </c>
      <c r="L28" s="68"/>
      <c r="M28" s="68">
        <f>M27+K28-L28</f>
        <v>116215.71120000006</v>
      </c>
      <c r="N28" s="211"/>
      <c r="O28" s="69"/>
    </row>
    <row r="29" spans="1:15">
      <c r="A29" s="221">
        <v>26</v>
      </c>
      <c r="B29" s="219">
        <v>46138</v>
      </c>
      <c r="C29" s="210"/>
      <c r="D29" s="210"/>
      <c r="E29" s="65"/>
      <c r="F29" s="6"/>
      <c r="G29" s="8">
        <f t="shared" si="0"/>
        <v>0</v>
      </c>
      <c r="H29" s="65"/>
      <c r="I29" s="6"/>
      <c r="J29" s="8">
        <f t="shared" si="1"/>
        <v>0</v>
      </c>
      <c r="K29" s="8">
        <f t="shared" si="2"/>
        <v>0</v>
      </c>
      <c r="L29" s="68"/>
      <c r="M29" s="68">
        <f t="shared" si="5"/>
        <v>116215.71120000006</v>
      </c>
      <c r="N29" s="211"/>
      <c r="O29" s="69"/>
    </row>
    <row r="30" spans="1:15">
      <c r="A30" s="221">
        <v>27</v>
      </c>
      <c r="B30" s="219">
        <v>46139</v>
      </c>
      <c r="C30" s="210"/>
      <c r="D30" s="210"/>
      <c r="E30" s="65"/>
      <c r="F30" s="6"/>
      <c r="G30" s="8">
        <f t="shared" si="0"/>
        <v>0</v>
      </c>
      <c r="H30" s="65">
        <v>9</v>
      </c>
      <c r="I30" s="6">
        <v>103.16</v>
      </c>
      <c r="J30" s="8">
        <f t="shared" si="1"/>
        <v>928.43999999999994</v>
      </c>
      <c r="K30" s="8">
        <f t="shared" si="2"/>
        <v>928.43999999999994</v>
      </c>
      <c r="L30" s="68"/>
      <c r="M30" s="68">
        <f t="shared" si="5"/>
        <v>117144.15120000007</v>
      </c>
      <c r="N30" s="211"/>
      <c r="O30" s="69"/>
    </row>
    <row r="31" spans="1:15">
      <c r="A31" s="221">
        <v>28</v>
      </c>
      <c r="B31" s="219">
        <v>46140</v>
      </c>
      <c r="C31" s="210"/>
      <c r="D31" s="210"/>
      <c r="E31" s="65">
        <v>20</v>
      </c>
      <c r="F31" s="6">
        <v>91.23</v>
      </c>
      <c r="G31" s="8">
        <f t="shared" si="0"/>
        <v>1824.6000000000001</v>
      </c>
      <c r="H31" s="65"/>
      <c r="I31" s="6"/>
      <c r="J31" s="8">
        <f t="shared" si="1"/>
        <v>0</v>
      </c>
      <c r="K31" s="8">
        <f t="shared" si="2"/>
        <v>1824.6000000000001</v>
      </c>
      <c r="L31" s="68"/>
      <c r="M31" s="68">
        <f t="shared" si="5"/>
        <v>118968.75120000007</v>
      </c>
      <c r="N31" s="211"/>
      <c r="O31" s="69"/>
    </row>
    <row r="32" spans="1:15">
      <c r="A32" s="222">
        <v>29</v>
      </c>
      <c r="B32" s="219">
        <v>46141</v>
      </c>
      <c r="C32" s="210"/>
      <c r="D32" s="210"/>
      <c r="E32" s="65"/>
      <c r="F32" s="6"/>
      <c r="G32" s="8">
        <f t="shared" si="0"/>
        <v>0</v>
      </c>
      <c r="H32" s="65">
        <v>7.17</v>
      </c>
      <c r="I32" s="6">
        <v>103.16</v>
      </c>
      <c r="J32" s="8">
        <f t="shared" si="1"/>
        <v>739.65719999999999</v>
      </c>
      <c r="K32" s="8">
        <f t="shared" si="2"/>
        <v>739.65719999999999</v>
      </c>
      <c r="L32" s="68"/>
      <c r="M32" s="68">
        <f t="shared" si="5"/>
        <v>119708.40840000007</v>
      </c>
      <c r="N32" s="211"/>
      <c r="O32" s="69"/>
    </row>
    <row r="33" spans="1:15">
      <c r="A33" s="222">
        <v>30</v>
      </c>
      <c r="B33" s="219">
        <v>46142</v>
      </c>
      <c r="C33" s="210"/>
      <c r="D33" s="210"/>
      <c r="E33" s="65"/>
      <c r="F33" s="6"/>
      <c r="G33" s="8">
        <f t="shared" si="0"/>
        <v>0</v>
      </c>
      <c r="H33" s="65"/>
      <c r="I33" s="6"/>
      <c r="J33" s="8">
        <f t="shared" si="1"/>
        <v>0</v>
      </c>
      <c r="K33" s="8">
        <f t="shared" si="2"/>
        <v>0</v>
      </c>
      <c r="L33" s="68"/>
      <c r="M33" s="68">
        <f t="shared" si="5"/>
        <v>119708.40840000007</v>
      </c>
      <c r="N33" s="211"/>
      <c r="O33" s="69"/>
    </row>
    <row r="34" spans="1:15">
      <c r="A34" s="222">
        <v>31</v>
      </c>
      <c r="B34" s="219"/>
      <c r="C34" s="210"/>
      <c r="D34" s="210"/>
      <c r="E34" s="65"/>
      <c r="F34" s="6"/>
      <c r="G34" s="8">
        <f t="shared" si="0"/>
        <v>0</v>
      </c>
      <c r="H34" s="65"/>
      <c r="I34" s="6"/>
      <c r="J34" s="8">
        <f t="shared" si="1"/>
        <v>0</v>
      </c>
      <c r="K34" s="8">
        <f t="shared" si="2"/>
        <v>0</v>
      </c>
      <c r="L34" s="68"/>
      <c r="M34" s="68">
        <f t="shared" si="5"/>
        <v>119708.40840000007</v>
      </c>
      <c r="N34" s="211"/>
      <c r="O34" s="69"/>
    </row>
    <row r="35" spans="1:15">
      <c r="A35" s="160"/>
      <c r="B35" s="160"/>
      <c r="C35" s="160"/>
      <c r="D35" s="160"/>
      <c r="E35" s="161">
        <f>SUM(E4:E34)</f>
        <v>1158.4799999999996</v>
      </c>
      <c r="F35" s="161"/>
      <c r="G35" s="161">
        <f>SUM(G4:G34)</f>
        <v>105688.13040000002</v>
      </c>
      <c r="H35" s="161">
        <f>SUM(H4:H34)</f>
        <v>136.26999999999998</v>
      </c>
      <c r="I35" s="161"/>
      <c r="J35" s="161">
        <f>SUM(J4:J34)</f>
        <v>14057.6132</v>
      </c>
      <c r="K35" s="161">
        <f>SUM(K4:K34)</f>
        <v>119745.74360000002</v>
      </c>
      <c r="L35" s="161">
        <f>SUM(L4:L34)</f>
        <v>57247</v>
      </c>
      <c r="M35" s="161"/>
      <c r="N35" s="161"/>
      <c r="O35" s="59"/>
    </row>
    <row r="36" spans="1:15">
      <c r="A36" s="72"/>
      <c r="B36" s="73"/>
      <c r="C36" s="72"/>
      <c r="D36" s="72"/>
      <c r="E36" s="74"/>
      <c r="F36" s="74"/>
      <c r="G36" s="74"/>
      <c r="H36" s="74"/>
      <c r="I36" s="74"/>
      <c r="J36" s="75"/>
      <c r="K36" s="75"/>
      <c r="L36" s="75"/>
      <c r="M36" s="75"/>
      <c r="N36" s="74"/>
      <c r="O36" s="69"/>
    </row>
  </sheetData>
  <mergeCells count="1">
    <mergeCell ref="A1:N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CC4A-1C0D-4BA5-8193-DD34ED85649F}">
  <sheetPr>
    <tabColor rgb="FF92D050"/>
  </sheetPr>
  <dimension ref="A1:P46"/>
  <sheetViews>
    <sheetView topLeftCell="A4" workbookViewId="0">
      <selection activeCell="M41" sqref="M41"/>
    </sheetView>
  </sheetViews>
  <sheetFormatPr defaultRowHeight="15"/>
  <cols>
    <col min="2" max="2" width="10.85546875" bestFit="1" customWidth="1"/>
    <col min="4" max="4" width="11.5703125" customWidth="1"/>
    <col min="7" max="7" width="13.5703125" customWidth="1"/>
    <col min="9" max="9" width="9.28515625" bestFit="1" customWidth="1"/>
    <col min="11" max="11" width="14.85546875" customWidth="1"/>
    <col min="12" max="12" width="15.5703125" customWidth="1"/>
    <col min="13" max="13" width="13.7109375" bestFit="1" customWidth="1"/>
    <col min="14" max="14" width="14.7109375" bestFit="1" customWidth="1"/>
  </cols>
  <sheetData>
    <row r="1" spans="1:16" ht="15.75">
      <c r="A1" s="495" t="s">
        <v>154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5"/>
    </row>
    <row r="2" spans="1:16" ht="30">
      <c r="A2" s="64" t="s">
        <v>0</v>
      </c>
      <c r="B2" s="83" t="s">
        <v>164</v>
      </c>
      <c r="C2" s="83" t="s">
        <v>165</v>
      </c>
      <c r="D2" s="83" t="s">
        <v>208</v>
      </c>
      <c r="E2" s="83" t="s">
        <v>167</v>
      </c>
      <c r="F2" s="83" t="s">
        <v>168</v>
      </c>
      <c r="G2" s="90" t="s">
        <v>169</v>
      </c>
      <c r="H2" s="83" t="s">
        <v>170</v>
      </c>
      <c r="I2" s="83" t="s">
        <v>168</v>
      </c>
      <c r="J2" s="90" t="s">
        <v>169</v>
      </c>
      <c r="K2" s="64" t="s">
        <v>171</v>
      </c>
      <c r="L2" s="91" t="s">
        <v>172</v>
      </c>
      <c r="M2" s="85" t="s">
        <v>209</v>
      </c>
      <c r="N2" s="83" t="s">
        <v>174</v>
      </c>
      <c r="O2" s="5"/>
    </row>
    <row r="3" spans="1:16">
      <c r="A3" s="519" t="s">
        <v>175</v>
      </c>
      <c r="B3" s="520"/>
      <c r="C3" s="520"/>
      <c r="D3" s="520"/>
      <c r="E3" s="520"/>
      <c r="F3" s="520"/>
      <c r="G3" s="520"/>
      <c r="H3" s="520"/>
      <c r="I3" s="520"/>
      <c r="J3" s="520"/>
      <c r="K3" s="520"/>
      <c r="L3" s="521"/>
      <c r="M3" s="522">
        <v>15584.412700000001</v>
      </c>
      <c r="N3" s="523"/>
      <c r="O3" s="5"/>
    </row>
    <row r="4" spans="1:16">
      <c r="A4" s="196">
        <v>1</v>
      </c>
      <c r="B4" s="219" t="s">
        <v>272</v>
      </c>
      <c r="C4" s="6"/>
      <c r="D4" s="6"/>
      <c r="E4" s="65">
        <v>0</v>
      </c>
      <c r="F4" s="6">
        <v>91.23</v>
      </c>
      <c r="G4" s="66">
        <f>E4*F4</f>
        <v>0</v>
      </c>
      <c r="H4" s="65"/>
      <c r="I4" s="6"/>
      <c r="J4" s="66">
        <f>H4*I4</f>
        <v>0</v>
      </c>
      <c r="K4" s="66">
        <f>G4+J4</f>
        <v>0</v>
      </c>
      <c r="L4" s="162">
        <v>15500</v>
      </c>
      <c r="M4" s="149">
        <f>M3+K4-L4</f>
        <v>84.412700000000768</v>
      </c>
      <c r="N4" s="46"/>
      <c r="O4" s="5">
        <v>908.20409999999981</v>
      </c>
    </row>
    <row r="5" spans="1:16">
      <c r="A5" s="46">
        <v>2</v>
      </c>
      <c r="B5" s="219" t="s">
        <v>273</v>
      </c>
      <c r="C5" s="6"/>
      <c r="D5" s="6"/>
      <c r="E5" s="65">
        <v>93</v>
      </c>
      <c r="F5" s="6">
        <v>91.25</v>
      </c>
      <c r="G5" s="66">
        <f t="shared" ref="G5:G17" si="0">E5*F5</f>
        <v>8486.25</v>
      </c>
      <c r="H5" s="65"/>
      <c r="I5" s="6"/>
      <c r="J5" s="66">
        <f t="shared" ref="J5:J42" si="1">H5*I5</f>
        <v>0</v>
      </c>
      <c r="K5" s="66">
        <f t="shared" ref="K5:K42" si="2">G5+J5</f>
        <v>8486.25</v>
      </c>
      <c r="L5" s="162">
        <v>0</v>
      </c>
      <c r="M5" s="149">
        <f t="shared" ref="M5:M43" si="3">M4+K5-L5</f>
        <v>8570.6627000000008</v>
      </c>
      <c r="N5" s="46"/>
      <c r="O5" s="5"/>
    </row>
    <row r="6" spans="1:16">
      <c r="A6" s="46">
        <v>3</v>
      </c>
      <c r="B6" s="219" t="s">
        <v>274</v>
      </c>
      <c r="C6" s="6"/>
      <c r="D6" s="6"/>
      <c r="E6" s="65">
        <v>30</v>
      </c>
      <c r="F6" s="6">
        <v>91.25</v>
      </c>
      <c r="G6" s="66">
        <f t="shared" si="0"/>
        <v>2737.5</v>
      </c>
      <c r="H6" s="65"/>
      <c r="I6" s="6"/>
      <c r="J6" s="66">
        <f t="shared" si="1"/>
        <v>0</v>
      </c>
      <c r="K6" s="66">
        <f t="shared" si="2"/>
        <v>2737.5</v>
      </c>
      <c r="L6" s="162">
        <v>0</v>
      </c>
      <c r="M6" s="149">
        <f t="shared" si="3"/>
        <v>11308.162700000001</v>
      </c>
      <c r="N6" s="46"/>
      <c r="O6" s="5"/>
    </row>
    <row r="7" spans="1:16">
      <c r="A7" s="46">
        <v>4</v>
      </c>
      <c r="B7" s="219"/>
      <c r="C7" s="6"/>
      <c r="D7" s="6"/>
      <c r="E7" s="65"/>
      <c r="F7" s="6"/>
      <c r="G7" s="66">
        <f t="shared" si="0"/>
        <v>0</v>
      </c>
      <c r="H7" s="65"/>
      <c r="I7" s="6"/>
      <c r="J7" s="66">
        <f t="shared" si="1"/>
        <v>0</v>
      </c>
      <c r="K7" s="66">
        <f t="shared" si="2"/>
        <v>0</v>
      </c>
      <c r="L7" s="162">
        <v>0</v>
      </c>
      <c r="M7" s="149">
        <f t="shared" si="3"/>
        <v>11308.162700000001</v>
      </c>
      <c r="N7" s="46"/>
      <c r="O7" s="5"/>
    </row>
    <row r="8" spans="1:16">
      <c r="A8" s="46">
        <v>5</v>
      </c>
      <c r="B8" s="219"/>
      <c r="C8" s="6"/>
      <c r="D8" s="6"/>
      <c r="E8" s="65"/>
      <c r="F8" s="6"/>
      <c r="G8" s="66">
        <f t="shared" si="0"/>
        <v>0</v>
      </c>
      <c r="H8" s="65"/>
      <c r="I8" s="6"/>
      <c r="J8" s="66">
        <f t="shared" si="1"/>
        <v>0</v>
      </c>
      <c r="K8" s="66">
        <f t="shared" si="2"/>
        <v>0</v>
      </c>
      <c r="L8" s="162">
        <v>0</v>
      </c>
      <c r="M8" s="149">
        <f t="shared" si="3"/>
        <v>11308.162700000001</v>
      </c>
      <c r="N8" s="46"/>
      <c r="O8" s="5"/>
    </row>
    <row r="9" spans="1:16">
      <c r="A9" s="46">
        <v>6</v>
      </c>
      <c r="B9" s="219" t="s">
        <v>275</v>
      </c>
      <c r="C9" s="6"/>
      <c r="D9" s="6"/>
      <c r="E9" s="65">
        <v>60</v>
      </c>
      <c r="F9" s="6">
        <v>91.25</v>
      </c>
      <c r="G9" s="66">
        <f t="shared" si="0"/>
        <v>5475</v>
      </c>
      <c r="H9" s="65">
        <v>5</v>
      </c>
      <c r="I9" s="6">
        <v>103.18</v>
      </c>
      <c r="J9" s="66">
        <f t="shared" si="1"/>
        <v>515.90000000000009</v>
      </c>
      <c r="K9" s="66">
        <f t="shared" si="2"/>
        <v>5990.9</v>
      </c>
      <c r="L9" s="162">
        <v>0</v>
      </c>
      <c r="M9" s="149">
        <f t="shared" si="3"/>
        <v>17299.062700000002</v>
      </c>
      <c r="N9" s="46"/>
      <c r="O9" s="5"/>
    </row>
    <row r="10" spans="1:16">
      <c r="A10" s="46">
        <v>7</v>
      </c>
      <c r="B10" s="219" t="s">
        <v>276</v>
      </c>
      <c r="C10" s="6"/>
      <c r="D10" s="6"/>
      <c r="E10" s="65">
        <v>50</v>
      </c>
      <c r="F10" s="6">
        <v>91.25</v>
      </c>
      <c r="G10" s="66">
        <f t="shared" si="0"/>
        <v>4562.5</v>
      </c>
      <c r="H10" s="65"/>
      <c r="I10" s="6"/>
      <c r="J10" s="66">
        <f t="shared" si="1"/>
        <v>0</v>
      </c>
      <c r="K10" s="66">
        <f t="shared" si="2"/>
        <v>4562.5</v>
      </c>
      <c r="L10" s="162">
        <v>0</v>
      </c>
      <c r="M10" s="149">
        <f t="shared" si="3"/>
        <v>21861.562700000002</v>
      </c>
      <c r="N10" s="46"/>
      <c r="O10" s="5"/>
    </row>
    <row r="11" spans="1:16">
      <c r="A11" s="46">
        <v>8</v>
      </c>
      <c r="B11" s="219" t="s">
        <v>277</v>
      </c>
      <c r="C11" s="6"/>
      <c r="D11" s="6"/>
      <c r="E11" s="65">
        <v>25</v>
      </c>
      <c r="F11" s="6">
        <v>91.25</v>
      </c>
      <c r="G11" s="66">
        <f t="shared" si="0"/>
        <v>2281.25</v>
      </c>
      <c r="H11" s="65"/>
      <c r="I11" s="6"/>
      <c r="J11" s="66">
        <f t="shared" si="1"/>
        <v>0</v>
      </c>
      <c r="K11" s="66">
        <f t="shared" si="2"/>
        <v>2281.25</v>
      </c>
      <c r="L11" s="162">
        <v>0</v>
      </c>
      <c r="M11" s="149">
        <f t="shared" si="3"/>
        <v>24142.812700000002</v>
      </c>
      <c r="N11" s="46"/>
      <c r="O11" s="5"/>
      <c r="P11" s="68">
        <f>P10+N11-O11</f>
        <v>0</v>
      </c>
    </row>
    <row r="12" spans="1:16">
      <c r="A12" s="46">
        <v>9</v>
      </c>
      <c r="B12" s="219" t="s">
        <v>278</v>
      </c>
      <c r="C12" s="6"/>
      <c r="D12" s="6"/>
      <c r="E12" s="65"/>
      <c r="F12" s="6"/>
      <c r="G12" s="66">
        <f t="shared" si="0"/>
        <v>0</v>
      </c>
      <c r="H12" s="65"/>
      <c r="I12" s="6"/>
      <c r="J12" s="66">
        <f t="shared" si="1"/>
        <v>0</v>
      </c>
      <c r="K12" s="66">
        <f t="shared" si="2"/>
        <v>0</v>
      </c>
      <c r="L12" s="162">
        <v>24000</v>
      </c>
      <c r="M12" s="149">
        <f t="shared" si="3"/>
        <v>142.81270000000222</v>
      </c>
      <c r="N12" s="46"/>
      <c r="O12" s="5"/>
    </row>
    <row r="13" spans="1:16">
      <c r="A13" s="46">
        <v>10</v>
      </c>
      <c r="B13" s="219" t="s">
        <v>187</v>
      </c>
      <c r="C13" s="6"/>
      <c r="D13" s="6"/>
      <c r="E13" s="65">
        <v>30</v>
      </c>
      <c r="F13" s="6">
        <v>91.25</v>
      </c>
      <c r="G13" s="66">
        <f t="shared" si="0"/>
        <v>2737.5</v>
      </c>
      <c r="H13" s="65"/>
      <c r="I13" s="6"/>
      <c r="J13" s="66">
        <f t="shared" si="1"/>
        <v>0</v>
      </c>
      <c r="K13" s="66">
        <f t="shared" si="2"/>
        <v>2737.5</v>
      </c>
      <c r="L13" s="162">
        <v>0</v>
      </c>
      <c r="M13" s="149">
        <f t="shared" si="3"/>
        <v>2880.3127000000022</v>
      </c>
      <c r="N13" s="46"/>
      <c r="O13" s="5"/>
    </row>
    <row r="14" spans="1:16">
      <c r="A14" s="46">
        <v>11</v>
      </c>
      <c r="B14" s="219" t="s">
        <v>205</v>
      </c>
      <c r="C14" s="6"/>
      <c r="D14" s="6"/>
      <c r="E14" s="65">
        <v>30</v>
      </c>
      <c r="F14" s="6">
        <v>91.25</v>
      </c>
      <c r="G14" s="66">
        <f t="shared" si="0"/>
        <v>2737.5</v>
      </c>
      <c r="H14" s="65"/>
      <c r="I14" s="6"/>
      <c r="J14" s="66">
        <f t="shared" si="1"/>
        <v>0</v>
      </c>
      <c r="K14" s="66">
        <f t="shared" si="2"/>
        <v>2737.5</v>
      </c>
      <c r="L14" s="162">
        <v>0</v>
      </c>
      <c r="M14" s="149">
        <f t="shared" si="3"/>
        <v>5617.8127000000022</v>
      </c>
      <c r="N14" s="46"/>
      <c r="O14" s="5"/>
    </row>
    <row r="15" spans="1:16">
      <c r="A15" s="46">
        <v>12</v>
      </c>
      <c r="B15" s="219"/>
      <c r="C15" s="6"/>
      <c r="D15" s="6"/>
      <c r="E15" s="65"/>
      <c r="F15" s="6"/>
      <c r="G15" s="66">
        <f t="shared" si="0"/>
        <v>0</v>
      </c>
      <c r="H15" s="65"/>
      <c r="I15" s="6"/>
      <c r="J15" s="66">
        <f t="shared" si="1"/>
        <v>0</v>
      </c>
      <c r="K15" s="66">
        <f t="shared" si="2"/>
        <v>0</v>
      </c>
      <c r="L15" s="162">
        <v>0</v>
      </c>
      <c r="M15" s="149">
        <f t="shared" si="3"/>
        <v>5617.8127000000022</v>
      </c>
      <c r="N15" s="46"/>
      <c r="O15" s="5"/>
    </row>
    <row r="16" spans="1:16">
      <c r="A16" s="46">
        <v>13</v>
      </c>
      <c r="B16" s="219"/>
      <c r="C16" s="6"/>
      <c r="D16" s="6"/>
      <c r="E16" s="65"/>
      <c r="F16" s="6"/>
      <c r="G16" s="66">
        <f t="shared" si="0"/>
        <v>0</v>
      </c>
      <c r="H16" s="65"/>
      <c r="I16" s="6"/>
      <c r="J16" s="66">
        <f t="shared" si="1"/>
        <v>0</v>
      </c>
      <c r="K16" s="66">
        <f t="shared" si="2"/>
        <v>0</v>
      </c>
      <c r="L16" s="162">
        <v>0</v>
      </c>
      <c r="M16" s="149">
        <f t="shared" si="3"/>
        <v>5617.8127000000022</v>
      </c>
      <c r="N16" s="46"/>
      <c r="O16" s="5"/>
    </row>
    <row r="17" spans="1:15">
      <c r="A17" s="46">
        <v>14</v>
      </c>
      <c r="B17" s="219"/>
      <c r="C17" s="6"/>
      <c r="D17" s="6"/>
      <c r="E17" s="65"/>
      <c r="F17" s="6"/>
      <c r="G17" s="66">
        <f t="shared" si="0"/>
        <v>0</v>
      </c>
      <c r="H17" s="65"/>
      <c r="I17" s="6"/>
      <c r="J17" s="66">
        <f t="shared" si="1"/>
        <v>0</v>
      </c>
      <c r="K17" s="66">
        <f t="shared" si="2"/>
        <v>0</v>
      </c>
      <c r="L17" s="162">
        <v>0</v>
      </c>
      <c r="M17" s="149">
        <f t="shared" si="3"/>
        <v>5617.8127000000022</v>
      </c>
      <c r="N17" s="46"/>
      <c r="O17" s="5"/>
    </row>
    <row r="18" spans="1:15">
      <c r="A18" s="46">
        <v>15</v>
      </c>
      <c r="B18" s="219"/>
      <c r="C18" s="6"/>
      <c r="D18" s="6"/>
      <c r="E18" s="65"/>
      <c r="F18" s="6"/>
      <c r="G18" s="66">
        <f t="shared" ref="G5:G42" si="4">E18*F18</f>
        <v>0</v>
      </c>
      <c r="H18" s="65"/>
      <c r="I18" s="6"/>
      <c r="J18" s="66">
        <f t="shared" si="1"/>
        <v>0</v>
      </c>
      <c r="K18" s="66">
        <f t="shared" si="2"/>
        <v>0</v>
      </c>
      <c r="L18" s="162">
        <v>0</v>
      </c>
      <c r="M18" s="149">
        <f>M17+K18-L18</f>
        <v>5617.8127000000022</v>
      </c>
      <c r="N18" s="46"/>
      <c r="O18" s="5"/>
    </row>
    <row r="19" spans="1:15">
      <c r="A19" s="46">
        <v>16</v>
      </c>
      <c r="B19" s="219"/>
      <c r="C19" s="6"/>
      <c r="D19" s="6"/>
      <c r="E19" s="65"/>
      <c r="F19" s="6"/>
      <c r="G19" s="66">
        <f t="shared" si="4"/>
        <v>0</v>
      </c>
      <c r="H19" s="65"/>
      <c r="I19" s="6"/>
      <c r="J19" s="66">
        <f t="shared" si="1"/>
        <v>0</v>
      </c>
      <c r="K19" s="66">
        <f t="shared" si="2"/>
        <v>0</v>
      </c>
      <c r="L19" s="162">
        <v>0</v>
      </c>
      <c r="M19" s="149">
        <f t="shared" si="3"/>
        <v>5617.8127000000022</v>
      </c>
      <c r="N19" s="46"/>
      <c r="O19" s="5"/>
    </row>
    <row r="20" spans="1:15">
      <c r="A20" s="46">
        <v>17</v>
      </c>
      <c r="B20" s="219"/>
      <c r="C20" s="6"/>
      <c r="D20" s="6"/>
      <c r="E20" s="65"/>
      <c r="F20" s="6"/>
      <c r="G20" s="66">
        <f>E20*F20</f>
        <v>0</v>
      </c>
      <c r="H20" s="65"/>
      <c r="I20" s="6"/>
      <c r="J20" s="66">
        <f t="shared" si="1"/>
        <v>0</v>
      </c>
      <c r="K20" s="66">
        <f t="shared" si="2"/>
        <v>0</v>
      </c>
      <c r="L20" s="162">
        <v>0</v>
      </c>
      <c r="M20" s="149">
        <f t="shared" si="3"/>
        <v>5617.8127000000022</v>
      </c>
      <c r="N20" s="46"/>
      <c r="O20" s="5"/>
    </row>
    <row r="21" spans="1:15">
      <c r="A21" s="46">
        <v>18</v>
      </c>
      <c r="B21" s="219"/>
      <c r="C21" s="6"/>
      <c r="D21" s="6"/>
      <c r="E21" s="65"/>
      <c r="F21" s="6"/>
      <c r="G21" s="66">
        <f t="shared" si="4"/>
        <v>0</v>
      </c>
      <c r="H21" s="65"/>
      <c r="I21" s="6"/>
      <c r="J21" s="66">
        <f t="shared" si="1"/>
        <v>0</v>
      </c>
      <c r="K21" s="66">
        <f t="shared" si="2"/>
        <v>0</v>
      </c>
      <c r="L21" s="162">
        <v>0</v>
      </c>
      <c r="M21" s="149">
        <f t="shared" si="3"/>
        <v>5617.8127000000022</v>
      </c>
      <c r="N21" s="46"/>
      <c r="O21" s="5"/>
    </row>
    <row r="22" spans="1:15">
      <c r="A22" s="46">
        <v>19</v>
      </c>
      <c r="B22" s="219"/>
      <c r="C22" s="6"/>
      <c r="D22" s="6"/>
      <c r="E22" s="65"/>
      <c r="F22" s="6"/>
      <c r="G22" s="66">
        <f t="shared" si="4"/>
        <v>0</v>
      </c>
      <c r="H22" s="65"/>
      <c r="I22" s="6"/>
      <c r="J22" s="66">
        <f t="shared" si="1"/>
        <v>0</v>
      </c>
      <c r="K22" s="66">
        <f t="shared" si="2"/>
        <v>0</v>
      </c>
      <c r="L22" s="162">
        <v>0</v>
      </c>
      <c r="M22" s="149">
        <f t="shared" si="3"/>
        <v>5617.8127000000022</v>
      </c>
      <c r="N22" s="46"/>
      <c r="O22" s="5"/>
    </row>
    <row r="23" spans="1:15">
      <c r="A23" s="46">
        <v>20</v>
      </c>
      <c r="B23" s="219"/>
      <c r="C23" s="6"/>
      <c r="D23" s="6"/>
      <c r="E23" s="65"/>
      <c r="F23" s="6"/>
      <c r="G23" s="66">
        <f t="shared" si="4"/>
        <v>0</v>
      </c>
      <c r="H23" s="65"/>
      <c r="I23" s="6"/>
      <c r="J23" s="66">
        <f t="shared" si="1"/>
        <v>0</v>
      </c>
      <c r="K23" s="66">
        <f t="shared" si="2"/>
        <v>0</v>
      </c>
      <c r="L23" s="162">
        <v>0</v>
      </c>
      <c r="M23" s="149">
        <f t="shared" si="3"/>
        <v>5617.8127000000022</v>
      </c>
      <c r="N23" s="46"/>
      <c r="O23" s="5"/>
    </row>
    <row r="24" spans="1:15">
      <c r="A24" s="46">
        <v>21</v>
      </c>
      <c r="B24" s="219"/>
      <c r="C24" s="6"/>
      <c r="D24" s="6"/>
      <c r="E24" s="65"/>
      <c r="F24" s="6"/>
      <c r="G24" s="66">
        <f t="shared" si="4"/>
        <v>0</v>
      </c>
      <c r="H24" s="65"/>
      <c r="I24" s="6"/>
      <c r="J24" s="66">
        <f t="shared" si="1"/>
        <v>0</v>
      </c>
      <c r="K24" s="66">
        <f t="shared" si="2"/>
        <v>0</v>
      </c>
      <c r="L24" s="162">
        <v>0</v>
      </c>
      <c r="M24" s="149">
        <f t="shared" si="3"/>
        <v>5617.8127000000022</v>
      </c>
      <c r="N24" s="46"/>
      <c r="O24" s="5"/>
    </row>
    <row r="25" spans="1:15">
      <c r="A25" s="46">
        <v>22</v>
      </c>
      <c r="B25" s="219"/>
      <c r="C25" s="6"/>
      <c r="D25" s="6"/>
      <c r="E25" s="65"/>
      <c r="F25" s="6"/>
      <c r="G25" s="66">
        <f t="shared" si="4"/>
        <v>0</v>
      </c>
      <c r="H25" s="65"/>
      <c r="I25" s="6"/>
      <c r="J25" s="66">
        <f t="shared" si="1"/>
        <v>0</v>
      </c>
      <c r="K25" s="66">
        <f t="shared" si="2"/>
        <v>0</v>
      </c>
      <c r="L25" s="162">
        <v>0</v>
      </c>
      <c r="M25" s="149">
        <f t="shared" si="3"/>
        <v>5617.8127000000022</v>
      </c>
      <c r="N25" s="46"/>
      <c r="O25" s="5"/>
    </row>
    <row r="26" spans="1:15">
      <c r="A26" s="46">
        <v>23</v>
      </c>
      <c r="B26" s="219"/>
      <c r="C26" s="6"/>
      <c r="D26" s="6"/>
      <c r="E26" s="65"/>
      <c r="F26" s="6"/>
      <c r="G26" s="66">
        <f t="shared" si="4"/>
        <v>0</v>
      </c>
      <c r="H26" s="65"/>
      <c r="I26" s="6"/>
      <c r="J26" s="66">
        <f t="shared" si="1"/>
        <v>0</v>
      </c>
      <c r="K26" s="66">
        <f t="shared" si="2"/>
        <v>0</v>
      </c>
      <c r="L26" s="162">
        <v>0</v>
      </c>
      <c r="M26" s="149">
        <f t="shared" si="3"/>
        <v>5617.8127000000022</v>
      </c>
      <c r="N26" s="46"/>
      <c r="O26" s="5"/>
    </row>
    <row r="27" spans="1:15">
      <c r="A27" s="46">
        <v>24</v>
      </c>
      <c r="B27" s="219"/>
      <c r="C27" s="6"/>
      <c r="D27" s="6"/>
      <c r="E27" s="65"/>
      <c r="F27" s="6"/>
      <c r="G27" s="66">
        <f t="shared" si="4"/>
        <v>0</v>
      </c>
      <c r="H27" s="65"/>
      <c r="I27" s="6"/>
      <c r="J27" s="66">
        <f t="shared" si="1"/>
        <v>0</v>
      </c>
      <c r="K27" s="66">
        <f t="shared" si="2"/>
        <v>0</v>
      </c>
      <c r="L27" s="162">
        <v>0</v>
      </c>
      <c r="M27" s="149">
        <f t="shared" si="3"/>
        <v>5617.8127000000022</v>
      </c>
      <c r="N27" s="6"/>
      <c r="O27" s="5"/>
    </row>
    <row r="28" spans="1:15">
      <c r="A28" s="221">
        <v>25</v>
      </c>
      <c r="B28" s="219"/>
      <c r="C28" s="6"/>
      <c r="D28" s="6"/>
      <c r="E28" s="65"/>
      <c r="F28" s="6"/>
      <c r="G28" s="66">
        <f t="shared" si="4"/>
        <v>0</v>
      </c>
      <c r="H28" s="65"/>
      <c r="I28" s="6"/>
      <c r="J28" s="66">
        <f t="shared" si="1"/>
        <v>0</v>
      </c>
      <c r="K28" s="66">
        <f t="shared" si="2"/>
        <v>0</v>
      </c>
      <c r="L28" s="162">
        <v>0</v>
      </c>
      <c r="M28" s="149">
        <f t="shared" si="3"/>
        <v>5617.8127000000022</v>
      </c>
      <c r="N28" s="6"/>
      <c r="O28" s="5"/>
    </row>
    <row r="29" spans="1:15">
      <c r="A29" s="221">
        <v>26</v>
      </c>
      <c r="B29" s="219"/>
      <c r="C29" s="6"/>
      <c r="D29" s="6"/>
      <c r="E29" s="65"/>
      <c r="F29" s="6"/>
      <c r="G29" s="66">
        <f t="shared" si="4"/>
        <v>0</v>
      </c>
      <c r="H29" s="65"/>
      <c r="I29" s="6"/>
      <c r="J29" s="66">
        <f t="shared" si="1"/>
        <v>0</v>
      </c>
      <c r="K29" s="66">
        <f t="shared" si="2"/>
        <v>0</v>
      </c>
      <c r="L29" s="162">
        <v>0</v>
      </c>
      <c r="M29" s="149">
        <f t="shared" si="3"/>
        <v>5617.8127000000022</v>
      </c>
      <c r="N29" s="6"/>
      <c r="O29" s="5"/>
    </row>
    <row r="30" spans="1:15">
      <c r="A30" s="221">
        <v>27</v>
      </c>
      <c r="B30" s="219"/>
      <c r="C30" s="6"/>
      <c r="D30" s="6"/>
      <c r="E30" s="65"/>
      <c r="F30" s="6"/>
      <c r="G30" s="66">
        <f t="shared" si="4"/>
        <v>0</v>
      </c>
      <c r="H30" s="65"/>
      <c r="I30" s="6"/>
      <c r="J30" s="66">
        <f t="shared" si="1"/>
        <v>0</v>
      </c>
      <c r="K30" s="66">
        <f t="shared" si="2"/>
        <v>0</v>
      </c>
      <c r="L30" s="162">
        <v>0</v>
      </c>
      <c r="M30" s="149">
        <f t="shared" si="3"/>
        <v>5617.8127000000022</v>
      </c>
      <c r="N30" s="6"/>
      <c r="O30" s="5"/>
    </row>
    <row r="31" spans="1:15">
      <c r="A31" s="221">
        <v>28</v>
      </c>
      <c r="B31" s="219"/>
      <c r="C31" s="6"/>
      <c r="D31" s="6"/>
      <c r="E31" s="65"/>
      <c r="F31" s="6"/>
      <c r="G31" s="66">
        <f t="shared" si="4"/>
        <v>0</v>
      </c>
      <c r="H31" s="65"/>
      <c r="I31" s="6"/>
      <c r="J31" s="66">
        <f t="shared" si="1"/>
        <v>0</v>
      </c>
      <c r="K31" s="66">
        <f t="shared" si="2"/>
        <v>0</v>
      </c>
      <c r="L31" s="162">
        <v>0</v>
      </c>
      <c r="M31" s="149">
        <f t="shared" si="3"/>
        <v>5617.8127000000022</v>
      </c>
      <c r="N31" s="6"/>
      <c r="O31" s="5"/>
    </row>
    <row r="32" spans="1:15">
      <c r="A32" s="222">
        <v>29</v>
      </c>
      <c r="B32" s="219"/>
      <c r="C32" s="6"/>
      <c r="D32" s="6"/>
      <c r="E32" s="65"/>
      <c r="F32" s="6"/>
      <c r="G32" s="66">
        <f t="shared" si="4"/>
        <v>0</v>
      </c>
      <c r="H32" s="65"/>
      <c r="I32" s="6"/>
      <c r="J32" s="66">
        <f t="shared" si="1"/>
        <v>0</v>
      </c>
      <c r="K32" s="66">
        <f t="shared" si="2"/>
        <v>0</v>
      </c>
      <c r="L32" s="162">
        <v>0</v>
      </c>
      <c r="M32" s="149">
        <f t="shared" si="3"/>
        <v>5617.8127000000022</v>
      </c>
      <c r="N32" s="6"/>
      <c r="O32" s="5"/>
    </row>
    <row r="33" spans="1:15">
      <c r="A33" s="222">
        <v>30</v>
      </c>
      <c r="B33" s="219"/>
      <c r="C33" s="6"/>
      <c r="D33" s="6"/>
      <c r="E33" s="65"/>
      <c r="F33" s="6"/>
      <c r="G33" s="66">
        <f t="shared" si="4"/>
        <v>0</v>
      </c>
      <c r="H33" s="65"/>
      <c r="I33" s="6"/>
      <c r="J33" s="66">
        <f t="shared" si="1"/>
        <v>0</v>
      </c>
      <c r="K33" s="66">
        <f t="shared" si="2"/>
        <v>0</v>
      </c>
      <c r="L33" s="162">
        <v>0</v>
      </c>
      <c r="M33" s="149">
        <f t="shared" si="3"/>
        <v>5617.8127000000022</v>
      </c>
      <c r="N33" s="6"/>
      <c r="O33" s="5"/>
    </row>
    <row r="34" spans="1:15">
      <c r="A34" s="222">
        <v>31</v>
      </c>
      <c r="B34" s="219"/>
      <c r="C34" s="6"/>
      <c r="D34" s="6"/>
      <c r="E34" s="65"/>
      <c r="F34" s="6"/>
      <c r="G34" s="66">
        <f t="shared" si="4"/>
        <v>0</v>
      </c>
      <c r="H34" s="65"/>
      <c r="I34" s="6"/>
      <c r="J34" s="66">
        <f t="shared" si="1"/>
        <v>0</v>
      </c>
      <c r="K34" s="66">
        <f t="shared" si="2"/>
        <v>0</v>
      </c>
      <c r="L34" s="162">
        <v>0</v>
      </c>
      <c r="M34" s="149">
        <f t="shared" si="3"/>
        <v>5617.8127000000022</v>
      </c>
      <c r="N34" s="6"/>
      <c r="O34" s="5"/>
    </row>
    <row r="35" spans="1:15">
      <c r="A35" s="6">
        <v>34</v>
      </c>
      <c r="B35" s="219"/>
      <c r="C35" s="6"/>
      <c r="D35" s="6"/>
      <c r="E35" s="65"/>
      <c r="F35" s="6"/>
      <c r="G35" s="66">
        <f t="shared" si="4"/>
        <v>0</v>
      </c>
      <c r="H35" s="65"/>
      <c r="I35" s="6"/>
      <c r="J35" s="66">
        <f t="shared" si="1"/>
        <v>0</v>
      </c>
      <c r="K35" s="66">
        <f t="shared" si="2"/>
        <v>0</v>
      </c>
      <c r="L35" s="162">
        <v>0</v>
      </c>
      <c r="M35" s="149">
        <f t="shared" si="3"/>
        <v>5617.8127000000022</v>
      </c>
      <c r="N35" s="6"/>
      <c r="O35" s="5"/>
    </row>
    <row r="36" spans="1:15">
      <c r="A36" s="6">
        <v>35</v>
      </c>
      <c r="B36" s="219"/>
      <c r="C36" s="6"/>
      <c r="D36" s="6"/>
      <c r="E36" s="65"/>
      <c r="F36" s="6"/>
      <c r="G36" s="66">
        <f t="shared" si="4"/>
        <v>0</v>
      </c>
      <c r="H36" s="65"/>
      <c r="I36" s="6"/>
      <c r="J36" s="66">
        <f t="shared" si="1"/>
        <v>0</v>
      </c>
      <c r="K36" s="66">
        <f t="shared" si="2"/>
        <v>0</v>
      </c>
      <c r="L36" s="162">
        <v>0</v>
      </c>
      <c r="M36" s="149">
        <f t="shared" si="3"/>
        <v>5617.8127000000022</v>
      </c>
      <c r="N36" s="6"/>
      <c r="O36" s="5"/>
    </row>
    <row r="37" spans="1:15">
      <c r="A37" s="6">
        <v>36</v>
      </c>
      <c r="B37" s="219"/>
      <c r="C37" s="6"/>
      <c r="D37" s="6"/>
      <c r="E37" s="65"/>
      <c r="F37" s="6"/>
      <c r="G37" s="66">
        <f t="shared" si="4"/>
        <v>0</v>
      </c>
      <c r="H37" s="65"/>
      <c r="I37" s="6"/>
      <c r="J37" s="66">
        <f t="shared" si="1"/>
        <v>0</v>
      </c>
      <c r="K37" s="66">
        <f t="shared" si="2"/>
        <v>0</v>
      </c>
      <c r="L37" s="162">
        <v>0</v>
      </c>
      <c r="M37" s="149">
        <f t="shared" si="3"/>
        <v>5617.8127000000022</v>
      </c>
      <c r="N37" s="6"/>
      <c r="O37" s="5"/>
    </row>
    <row r="38" spans="1:15">
      <c r="A38" s="6">
        <v>37</v>
      </c>
      <c r="B38" s="219"/>
      <c r="C38" s="6"/>
      <c r="D38" s="6"/>
      <c r="E38" s="65"/>
      <c r="F38" s="6"/>
      <c r="G38" s="66">
        <f t="shared" si="4"/>
        <v>0</v>
      </c>
      <c r="H38" s="65"/>
      <c r="I38" s="6"/>
      <c r="J38" s="66">
        <f t="shared" si="1"/>
        <v>0</v>
      </c>
      <c r="K38" s="66">
        <f t="shared" si="2"/>
        <v>0</v>
      </c>
      <c r="L38" s="162">
        <v>0</v>
      </c>
      <c r="M38" s="149">
        <f t="shared" si="3"/>
        <v>5617.8127000000022</v>
      </c>
      <c r="N38" s="6"/>
      <c r="O38" s="5"/>
    </row>
    <row r="39" spans="1:15">
      <c r="A39" s="6">
        <v>38</v>
      </c>
      <c r="B39" s="219"/>
      <c r="C39" s="6"/>
      <c r="D39" s="6"/>
      <c r="E39" s="65"/>
      <c r="F39" s="6"/>
      <c r="G39" s="66">
        <f t="shared" si="4"/>
        <v>0</v>
      </c>
      <c r="H39" s="65"/>
      <c r="I39" s="6"/>
      <c r="J39" s="66">
        <f t="shared" si="1"/>
        <v>0</v>
      </c>
      <c r="K39" s="66">
        <f t="shared" si="2"/>
        <v>0</v>
      </c>
      <c r="L39" s="162">
        <v>0</v>
      </c>
      <c r="M39" s="149">
        <f t="shared" si="3"/>
        <v>5617.8127000000022</v>
      </c>
      <c r="N39" s="6"/>
      <c r="O39" s="5"/>
    </row>
    <row r="40" spans="1:15">
      <c r="A40" s="169">
        <v>39</v>
      </c>
      <c r="B40" s="219"/>
      <c r="C40" s="6"/>
      <c r="D40" s="6"/>
      <c r="E40" s="65"/>
      <c r="F40" s="6"/>
      <c r="G40" s="66">
        <f t="shared" si="4"/>
        <v>0</v>
      </c>
      <c r="H40" s="65"/>
      <c r="I40" s="6"/>
      <c r="J40" s="66">
        <f t="shared" si="1"/>
        <v>0</v>
      </c>
      <c r="K40" s="66">
        <f t="shared" si="2"/>
        <v>0</v>
      </c>
      <c r="L40" s="162">
        <v>0</v>
      </c>
      <c r="M40" s="149">
        <f t="shared" si="3"/>
        <v>5617.8127000000022</v>
      </c>
      <c r="N40" s="169"/>
      <c r="O40" s="5"/>
    </row>
    <row r="41" spans="1:15">
      <c r="A41" s="6">
        <v>40</v>
      </c>
      <c r="B41" s="6"/>
      <c r="C41" s="6"/>
      <c r="D41" s="6"/>
      <c r="E41" s="65"/>
      <c r="F41" s="6"/>
      <c r="G41" s="66">
        <f t="shared" si="4"/>
        <v>0</v>
      </c>
      <c r="H41" s="65"/>
      <c r="I41" s="6"/>
      <c r="J41" s="66">
        <f t="shared" si="1"/>
        <v>0</v>
      </c>
      <c r="K41" s="66">
        <f t="shared" si="2"/>
        <v>0</v>
      </c>
      <c r="L41" s="162">
        <v>0</v>
      </c>
      <c r="M41" s="149">
        <f t="shared" si="3"/>
        <v>5617.8127000000022</v>
      </c>
      <c r="N41" s="6"/>
      <c r="O41" s="5"/>
    </row>
    <row r="42" spans="1:15">
      <c r="A42" s="169">
        <v>41</v>
      </c>
      <c r="B42" s="169"/>
      <c r="C42" s="169"/>
      <c r="D42" s="6"/>
      <c r="E42" s="65"/>
      <c r="F42" s="6"/>
      <c r="G42" s="66">
        <f t="shared" si="4"/>
        <v>0</v>
      </c>
      <c r="H42" s="65"/>
      <c r="I42" s="6"/>
      <c r="J42" s="66">
        <f t="shared" si="1"/>
        <v>0</v>
      </c>
      <c r="K42" s="66">
        <f t="shared" si="2"/>
        <v>0</v>
      </c>
      <c r="L42" s="162">
        <v>0</v>
      </c>
      <c r="M42" s="149">
        <f t="shared" si="3"/>
        <v>5617.8127000000022</v>
      </c>
      <c r="N42" s="169"/>
      <c r="O42" s="5"/>
    </row>
    <row r="43" spans="1:15">
      <c r="A43" s="169">
        <v>42</v>
      </c>
      <c r="B43" s="169"/>
      <c r="C43" s="169"/>
      <c r="D43" s="6"/>
      <c r="E43" s="65"/>
      <c r="F43" s="6"/>
      <c r="G43" s="66">
        <f t="shared" ref="G43" si="5">E43*F43</f>
        <v>0</v>
      </c>
      <c r="H43" s="65"/>
      <c r="I43" s="6"/>
      <c r="J43" s="66">
        <f t="shared" ref="J43" si="6">H43*I43</f>
        <v>0</v>
      </c>
      <c r="K43" s="66">
        <f t="shared" ref="K43" si="7">G43+J43</f>
        <v>0</v>
      </c>
      <c r="L43" s="162">
        <v>0</v>
      </c>
      <c r="M43" s="149">
        <f t="shared" si="3"/>
        <v>5617.8127000000022</v>
      </c>
      <c r="N43" s="169"/>
      <c r="O43" s="5"/>
    </row>
    <row r="44" spans="1:15">
      <c r="A44" s="62"/>
      <c r="B44" s="62"/>
      <c r="C44" s="62"/>
      <c r="D44" s="62"/>
      <c r="E44" s="63">
        <f>SUM(E4:E43)</f>
        <v>318</v>
      </c>
      <c r="F44" s="63"/>
      <c r="G44" s="63">
        <f>SUM(G4:G43)</f>
        <v>29017.5</v>
      </c>
      <c r="H44" s="63">
        <f>SUM(H4:H43)</f>
        <v>5</v>
      </c>
      <c r="I44" s="63"/>
      <c r="J44" s="63">
        <f>SUM(J4:J43)</f>
        <v>515.90000000000009</v>
      </c>
      <c r="K44" s="63">
        <f>SUM(K4:K43)</f>
        <v>29533.4</v>
      </c>
      <c r="L44" s="63">
        <f>SUM(L4:L43)</f>
        <v>39500</v>
      </c>
      <c r="M44" s="63"/>
      <c r="N44" s="63"/>
      <c r="O44" s="59"/>
    </row>
    <row r="45" spans="1:15">
      <c r="A45" s="5"/>
      <c r="B45" s="5"/>
      <c r="C45" s="5"/>
      <c r="D45" s="5"/>
      <c r="E45" s="5"/>
      <c r="F45" s="5"/>
      <c r="G45" s="102"/>
      <c r="H45" s="5"/>
      <c r="I45" s="5"/>
      <c r="J45" s="102"/>
      <c r="K45" s="5"/>
      <c r="L45" s="102"/>
      <c r="M45" s="102"/>
      <c r="N45" s="5"/>
      <c r="O45" s="5"/>
    </row>
    <row r="46" spans="1:15">
      <c r="A46" s="5"/>
      <c r="B46" s="5"/>
      <c r="C46" s="5"/>
      <c r="D46" s="5"/>
      <c r="E46" s="5"/>
      <c r="F46" s="5"/>
      <c r="G46" s="102"/>
      <c r="H46" s="5"/>
      <c r="I46" s="5"/>
      <c r="J46" s="102"/>
      <c r="K46" s="5"/>
      <c r="L46" s="102"/>
      <c r="M46" s="102"/>
      <c r="N46" s="5"/>
      <c r="O46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2058-2F8F-4405-8583-71BCC6F7E6DD}">
  <sheetPr>
    <tabColor theme="9" tint="0.39997558519241921"/>
  </sheetPr>
  <dimension ref="A1:O51"/>
  <sheetViews>
    <sheetView topLeftCell="A9" workbookViewId="0">
      <selection activeCell="D24" sqref="D24"/>
    </sheetView>
  </sheetViews>
  <sheetFormatPr defaultRowHeight="15"/>
  <cols>
    <col min="2" max="2" width="10.85546875" bestFit="1" customWidth="1"/>
    <col min="7" max="7" width="10.5703125" bestFit="1" customWidth="1"/>
    <col min="11" max="11" width="13.5703125" bestFit="1" customWidth="1"/>
    <col min="12" max="12" width="12.42578125" bestFit="1" customWidth="1"/>
    <col min="13" max="13" width="11.5703125" bestFit="1" customWidth="1"/>
  </cols>
  <sheetData>
    <row r="1" spans="1:15" ht="15.75">
      <c r="A1" s="495" t="s">
        <v>156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5"/>
    </row>
    <row r="2" spans="1:15" ht="45">
      <c r="A2" s="64" t="s">
        <v>0</v>
      </c>
      <c r="B2" s="83" t="s">
        <v>164</v>
      </c>
      <c r="C2" s="83" t="s">
        <v>165</v>
      </c>
      <c r="D2" s="83" t="s">
        <v>208</v>
      </c>
      <c r="E2" s="83" t="s">
        <v>167</v>
      </c>
      <c r="F2" s="83" t="s">
        <v>168</v>
      </c>
      <c r="G2" s="90" t="s">
        <v>169</v>
      </c>
      <c r="H2" s="83" t="s">
        <v>170</v>
      </c>
      <c r="I2" s="83" t="s">
        <v>168</v>
      </c>
      <c r="J2" s="90" t="s">
        <v>169</v>
      </c>
      <c r="K2" s="64" t="s">
        <v>171</v>
      </c>
      <c r="L2" s="91" t="s">
        <v>172</v>
      </c>
      <c r="M2" s="85" t="s">
        <v>209</v>
      </c>
      <c r="N2" s="83" t="s">
        <v>174</v>
      </c>
      <c r="O2" s="5"/>
    </row>
    <row r="3" spans="1:15">
      <c r="A3" s="519" t="s">
        <v>175</v>
      </c>
      <c r="B3" s="520"/>
      <c r="C3" s="520"/>
      <c r="D3" s="520"/>
      <c r="E3" s="520"/>
      <c r="F3" s="520"/>
      <c r="G3" s="520"/>
      <c r="H3" s="520"/>
      <c r="I3" s="520"/>
      <c r="J3" s="520"/>
      <c r="K3" s="520"/>
      <c r="L3" s="521"/>
      <c r="M3" s="522">
        <v>59806.35</v>
      </c>
      <c r="N3" s="523"/>
      <c r="O3" s="5"/>
    </row>
    <row r="4" spans="1:15">
      <c r="A4" s="196">
        <v>1</v>
      </c>
      <c r="B4" s="219" t="s">
        <v>272</v>
      </c>
      <c r="C4" s="6"/>
      <c r="D4" s="6"/>
      <c r="E4" s="65">
        <v>95.61</v>
      </c>
      <c r="F4" s="6">
        <v>91.42</v>
      </c>
      <c r="G4" s="66">
        <f>E4*F4</f>
        <v>8740.6661999999997</v>
      </c>
      <c r="H4" s="65">
        <v>5</v>
      </c>
      <c r="I4" s="6">
        <v>103.35</v>
      </c>
      <c r="J4" s="66">
        <f>H4*I4</f>
        <v>516.75</v>
      </c>
      <c r="K4" s="66">
        <f>G4+J4</f>
        <v>9257.4161999999997</v>
      </c>
      <c r="L4" s="298">
        <v>59770</v>
      </c>
      <c r="M4" s="149">
        <f>M3+K4-L4</f>
        <v>9293.7661999999982</v>
      </c>
      <c r="N4" s="46"/>
      <c r="O4" s="5"/>
    </row>
    <row r="5" spans="1:15">
      <c r="A5" s="46">
        <v>2</v>
      </c>
      <c r="B5" s="219" t="s">
        <v>274</v>
      </c>
      <c r="C5" s="6"/>
      <c r="D5" s="6"/>
      <c r="E5" s="65">
        <v>120</v>
      </c>
      <c r="F5" s="6">
        <v>91.42</v>
      </c>
      <c r="G5" s="66">
        <f t="shared" ref="G5:G33" si="0">E5*F5</f>
        <v>10970.4</v>
      </c>
      <c r="H5" s="65"/>
      <c r="I5" s="6"/>
      <c r="J5" s="66">
        <f t="shared" ref="J5:J33" si="1">H5*I5</f>
        <v>0</v>
      </c>
      <c r="K5" s="66">
        <f t="shared" ref="K5:K40" si="2">G5+J5</f>
        <v>10970.4</v>
      </c>
      <c r="L5" s="298">
        <v>0</v>
      </c>
      <c r="M5" s="149">
        <f t="shared" ref="M5:M48" si="3">M4+K5-L5</f>
        <v>20264.1662</v>
      </c>
      <c r="N5" s="46"/>
      <c r="O5" s="5"/>
    </row>
    <row r="6" spans="1:15">
      <c r="A6" s="46">
        <v>3</v>
      </c>
      <c r="B6" s="219" t="s">
        <v>275</v>
      </c>
      <c r="C6" s="6"/>
      <c r="D6" s="6" t="s">
        <v>265</v>
      </c>
      <c r="E6" s="65">
        <v>91.1</v>
      </c>
      <c r="F6" s="6">
        <v>91.42</v>
      </c>
      <c r="G6" s="66">
        <f t="shared" si="0"/>
        <v>8328.3619999999992</v>
      </c>
      <c r="H6" s="65"/>
      <c r="I6" s="6"/>
      <c r="J6" s="66">
        <f t="shared" si="1"/>
        <v>0</v>
      </c>
      <c r="K6" s="66">
        <f t="shared" si="2"/>
        <v>8328.3619999999992</v>
      </c>
      <c r="L6" s="298">
        <v>0</v>
      </c>
      <c r="M6" s="149">
        <f t="shared" si="3"/>
        <v>28592.528200000001</v>
      </c>
      <c r="N6" s="46"/>
      <c r="O6" s="5"/>
    </row>
    <row r="7" spans="1:15">
      <c r="A7" s="196">
        <v>4</v>
      </c>
      <c r="B7" s="219" t="s">
        <v>279</v>
      </c>
      <c r="C7" s="6"/>
      <c r="D7" s="6"/>
      <c r="E7" s="65"/>
      <c r="F7" s="6"/>
      <c r="G7" s="66">
        <f t="shared" si="0"/>
        <v>0</v>
      </c>
      <c r="H7" s="65">
        <v>5</v>
      </c>
      <c r="I7" s="6">
        <v>103.35</v>
      </c>
      <c r="J7" s="66">
        <f t="shared" si="1"/>
        <v>516.75</v>
      </c>
      <c r="K7" s="66">
        <f t="shared" si="2"/>
        <v>516.75</v>
      </c>
      <c r="L7" s="298"/>
      <c r="M7" s="149">
        <f t="shared" si="3"/>
        <v>29109.278200000001</v>
      </c>
      <c r="N7" s="46"/>
      <c r="O7" s="5"/>
    </row>
    <row r="8" spans="1:15">
      <c r="A8" s="46">
        <v>5</v>
      </c>
      <c r="B8" s="219" t="s">
        <v>280</v>
      </c>
      <c r="C8" s="6"/>
      <c r="D8" s="6"/>
      <c r="E8" s="65">
        <v>146.71</v>
      </c>
      <c r="F8" s="6">
        <v>91.42</v>
      </c>
      <c r="G8" s="66">
        <f t="shared" si="0"/>
        <v>13412.228200000001</v>
      </c>
      <c r="H8" s="65">
        <v>6</v>
      </c>
      <c r="I8" s="6">
        <v>103.35</v>
      </c>
      <c r="J8" s="66">
        <f t="shared" si="1"/>
        <v>620.09999999999991</v>
      </c>
      <c r="K8" s="66">
        <f t="shared" si="2"/>
        <v>14032.328200000002</v>
      </c>
      <c r="L8" s="298"/>
      <c r="M8" s="149">
        <f t="shared" si="3"/>
        <v>43141.606400000004</v>
      </c>
      <c r="N8" s="46"/>
      <c r="O8" s="5"/>
    </row>
    <row r="9" spans="1:15">
      <c r="A9" s="46">
        <v>6</v>
      </c>
      <c r="B9" s="219" t="s">
        <v>276</v>
      </c>
      <c r="C9" s="6"/>
      <c r="D9" s="6"/>
      <c r="E9" s="65">
        <v>26.52</v>
      </c>
      <c r="F9" s="6">
        <v>91.42</v>
      </c>
      <c r="G9" s="66">
        <f t="shared" si="0"/>
        <v>2424.4584</v>
      </c>
      <c r="H9" s="65"/>
      <c r="I9" s="6"/>
      <c r="J9" s="66">
        <f t="shared" si="1"/>
        <v>0</v>
      </c>
      <c r="K9" s="66">
        <f t="shared" si="2"/>
        <v>2424.4584</v>
      </c>
      <c r="L9" s="298"/>
      <c r="M9" s="149">
        <f t="shared" si="3"/>
        <v>45566.064800000007</v>
      </c>
      <c r="N9" s="46"/>
      <c r="O9" s="5"/>
    </row>
    <row r="10" spans="1:15">
      <c r="A10" s="196">
        <v>7</v>
      </c>
      <c r="B10" s="219" t="s">
        <v>281</v>
      </c>
      <c r="C10" s="6"/>
      <c r="D10" s="6"/>
      <c r="E10" s="65">
        <v>102.8</v>
      </c>
      <c r="F10" s="6">
        <v>91.42</v>
      </c>
      <c r="G10" s="66">
        <f t="shared" si="0"/>
        <v>9397.9760000000006</v>
      </c>
      <c r="H10" s="65"/>
      <c r="I10" s="6"/>
      <c r="J10" s="66">
        <f t="shared" si="1"/>
        <v>0</v>
      </c>
      <c r="K10" s="66">
        <f t="shared" si="2"/>
        <v>9397.9760000000006</v>
      </c>
      <c r="L10" s="298"/>
      <c r="M10" s="149">
        <f t="shared" si="3"/>
        <v>54964.04080000001</v>
      </c>
      <c r="N10" s="46"/>
      <c r="O10" s="5"/>
    </row>
    <row r="11" spans="1:15">
      <c r="A11" s="46">
        <v>8</v>
      </c>
      <c r="B11" s="219" t="s">
        <v>277</v>
      </c>
      <c r="C11" s="6"/>
      <c r="D11" s="6"/>
      <c r="E11" s="65">
        <v>120</v>
      </c>
      <c r="F11" s="6">
        <v>91.42</v>
      </c>
      <c r="G11" s="66">
        <f t="shared" si="0"/>
        <v>10970.4</v>
      </c>
      <c r="H11" s="65"/>
      <c r="I11" s="6"/>
      <c r="J11" s="66">
        <f t="shared" si="1"/>
        <v>0</v>
      </c>
      <c r="K11" s="66">
        <f t="shared" si="2"/>
        <v>10970.4</v>
      </c>
      <c r="L11" s="298"/>
      <c r="M11" s="149">
        <f t="shared" si="3"/>
        <v>65934.440800000011</v>
      </c>
      <c r="N11" s="46"/>
      <c r="O11" s="5"/>
    </row>
    <row r="12" spans="1:15">
      <c r="A12" s="46">
        <v>9</v>
      </c>
      <c r="B12" s="219" t="s">
        <v>282</v>
      </c>
      <c r="C12" s="6"/>
      <c r="D12" s="6"/>
      <c r="E12" s="65">
        <v>70</v>
      </c>
      <c r="F12" s="6">
        <v>91.42</v>
      </c>
      <c r="G12" s="66">
        <f t="shared" si="0"/>
        <v>6399.4000000000005</v>
      </c>
      <c r="H12" s="65"/>
      <c r="I12" s="6"/>
      <c r="J12" s="66">
        <f t="shared" si="1"/>
        <v>0</v>
      </c>
      <c r="K12" s="66">
        <f t="shared" si="2"/>
        <v>6399.4000000000005</v>
      </c>
      <c r="L12" s="298"/>
      <c r="M12" s="149">
        <f t="shared" si="3"/>
        <v>72333.840800000005</v>
      </c>
      <c r="N12" s="46"/>
      <c r="O12" s="5"/>
    </row>
    <row r="13" spans="1:15">
      <c r="A13" s="196">
        <v>10</v>
      </c>
      <c r="B13" s="219" t="s">
        <v>283</v>
      </c>
      <c r="C13" s="6"/>
      <c r="D13" s="6"/>
      <c r="E13" s="65">
        <v>151.94</v>
      </c>
      <c r="F13" s="6">
        <v>91.42</v>
      </c>
      <c r="G13" s="66">
        <f t="shared" si="0"/>
        <v>13890.354799999999</v>
      </c>
      <c r="H13" s="65"/>
      <c r="I13" s="6"/>
      <c r="J13" s="66">
        <f t="shared" si="1"/>
        <v>0</v>
      </c>
      <c r="K13" s="66">
        <f t="shared" si="2"/>
        <v>13890.354799999999</v>
      </c>
      <c r="L13" s="298"/>
      <c r="M13" s="149">
        <f t="shared" si="3"/>
        <v>86224.195600000006</v>
      </c>
      <c r="N13" s="46"/>
      <c r="O13" s="5"/>
    </row>
    <row r="14" spans="1:15">
      <c r="A14" s="46">
        <v>11</v>
      </c>
      <c r="B14" s="219" t="s">
        <v>284</v>
      </c>
      <c r="C14" s="6"/>
      <c r="D14" s="6"/>
      <c r="E14" s="65">
        <v>35</v>
      </c>
      <c r="F14" s="6">
        <v>91.42</v>
      </c>
      <c r="G14" s="66">
        <f t="shared" si="0"/>
        <v>3199.7000000000003</v>
      </c>
      <c r="H14" s="65">
        <v>7</v>
      </c>
      <c r="I14" s="6">
        <v>103.35</v>
      </c>
      <c r="J14" s="66">
        <f t="shared" si="1"/>
        <v>723.44999999999993</v>
      </c>
      <c r="K14" s="66">
        <f t="shared" si="2"/>
        <v>3923.15</v>
      </c>
      <c r="L14" s="298"/>
      <c r="M14" s="149">
        <f t="shared" si="3"/>
        <v>90147.345600000001</v>
      </c>
      <c r="N14" s="46"/>
      <c r="O14" s="5"/>
    </row>
    <row r="15" spans="1:15">
      <c r="A15" s="46"/>
      <c r="B15" s="219" t="s">
        <v>278</v>
      </c>
      <c r="C15" s="6"/>
      <c r="D15" s="6"/>
      <c r="E15" s="65">
        <v>16.55</v>
      </c>
      <c r="F15" s="6">
        <v>91.42</v>
      </c>
      <c r="G15" s="66">
        <f t="shared" si="0"/>
        <v>1513.0010000000002</v>
      </c>
      <c r="H15" s="65"/>
      <c r="I15" s="6"/>
      <c r="J15" s="66">
        <f t="shared" si="1"/>
        <v>0</v>
      </c>
      <c r="K15" s="66">
        <f t="shared" si="2"/>
        <v>1513.0010000000002</v>
      </c>
      <c r="L15" s="298"/>
      <c r="M15" s="149">
        <f t="shared" si="3"/>
        <v>91660.346600000004</v>
      </c>
      <c r="N15" s="46"/>
      <c r="O15" s="5"/>
    </row>
    <row r="16" spans="1:15">
      <c r="A16" s="46">
        <v>12</v>
      </c>
      <c r="B16" s="219" t="s">
        <v>285</v>
      </c>
      <c r="C16" s="6"/>
      <c r="D16" s="6"/>
      <c r="E16" s="65">
        <v>34.520000000000003</v>
      </c>
      <c r="F16" s="6">
        <v>91.42</v>
      </c>
      <c r="G16" s="66">
        <f t="shared" si="0"/>
        <v>3155.8184000000006</v>
      </c>
      <c r="H16" s="65"/>
      <c r="I16" s="6"/>
      <c r="J16" s="66">
        <f t="shared" si="1"/>
        <v>0</v>
      </c>
      <c r="K16" s="66">
        <f t="shared" si="2"/>
        <v>3155.8184000000006</v>
      </c>
      <c r="L16" s="298"/>
      <c r="M16" s="149">
        <f t="shared" si="3"/>
        <v>94816.165000000008</v>
      </c>
      <c r="N16" s="46"/>
      <c r="O16" s="5"/>
    </row>
    <row r="17" spans="1:15">
      <c r="A17" s="196">
        <v>13</v>
      </c>
      <c r="B17" s="219" t="s">
        <v>187</v>
      </c>
      <c r="C17" s="6"/>
      <c r="D17" s="6"/>
      <c r="E17" s="65">
        <v>100</v>
      </c>
      <c r="F17" s="6">
        <v>91.42</v>
      </c>
      <c r="G17" s="66">
        <f t="shared" si="0"/>
        <v>9142</v>
      </c>
      <c r="H17" s="65"/>
      <c r="I17" s="6"/>
      <c r="J17" s="66">
        <f t="shared" si="1"/>
        <v>0</v>
      </c>
      <c r="K17" s="66">
        <f t="shared" si="2"/>
        <v>9142</v>
      </c>
      <c r="L17" s="298"/>
      <c r="M17" s="149">
        <f t="shared" si="3"/>
        <v>103958.16500000001</v>
      </c>
      <c r="N17" s="46"/>
      <c r="O17" s="5"/>
    </row>
    <row r="18" spans="1:15">
      <c r="A18" s="46">
        <v>14</v>
      </c>
      <c r="B18" s="219" t="s">
        <v>190</v>
      </c>
      <c r="C18" s="6"/>
      <c r="D18" s="6"/>
      <c r="E18" s="65">
        <v>76.319999999999993</v>
      </c>
      <c r="F18" s="6">
        <v>91.42</v>
      </c>
      <c r="G18" s="66">
        <f t="shared" si="0"/>
        <v>6977.1743999999999</v>
      </c>
      <c r="H18" s="65"/>
      <c r="I18" s="6"/>
      <c r="J18" s="66">
        <f t="shared" si="1"/>
        <v>0</v>
      </c>
      <c r="K18" s="66">
        <f t="shared" si="2"/>
        <v>6977.1743999999999</v>
      </c>
      <c r="L18" s="298"/>
      <c r="M18" s="149">
        <f t="shared" si="3"/>
        <v>110935.33940000001</v>
      </c>
      <c r="N18" s="46"/>
      <c r="O18" s="5"/>
    </row>
    <row r="19" spans="1:15">
      <c r="A19" s="46">
        <v>15</v>
      </c>
      <c r="B19" s="219" t="s">
        <v>196</v>
      </c>
      <c r="C19" s="6"/>
      <c r="D19" s="6"/>
      <c r="E19" s="65"/>
      <c r="F19" s="6"/>
      <c r="G19" s="66">
        <f t="shared" si="0"/>
        <v>0</v>
      </c>
      <c r="H19" s="65">
        <v>5</v>
      </c>
      <c r="I19" s="6">
        <v>103.35</v>
      </c>
      <c r="J19" s="66">
        <f t="shared" si="1"/>
        <v>516.75</v>
      </c>
      <c r="K19" s="66">
        <f t="shared" si="2"/>
        <v>516.75</v>
      </c>
      <c r="L19" s="298"/>
      <c r="M19" s="149">
        <f t="shared" si="3"/>
        <v>111452.08940000001</v>
      </c>
      <c r="N19" s="46"/>
      <c r="O19" s="5"/>
    </row>
    <row r="20" spans="1:15">
      <c r="A20" s="196">
        <v>16</v>
      </c>
      <c r="B20" s="219" t="s">
        <v>197</v>
      </c>
      <c r="C20" s="6"/>
      <c r="D20" s="6"/>
      <c r="E20" s="65">
        <v>38.24</v>
      </c>
      <c r="F20" s="6">
        <v>91.42</v>
      </c>
      <c r="G20" s="66">
        <f t="shared" si="0"/>
        <v>3495.9008000000003</v>
      </c>
      <c r="H20" s="65"/>
      <c r="I20" s="6"/>
      <c r="J20" s="66">
        <f t="shared" si="1"/>
        <v>0</v>
      </c>
      <c r="K20" s="66">
        <f t="shared" si="2"/>
        <v>3495.9008000000003</v>
      </c>
      <c r="L20" s="298"/>
      <c r="M20" s="149">
        <f t="shared" si="3"/>
        <v>114947.99020000001</v>
      </c>
      <c r="N20" s="46"/>
      <c r="O20" s="5"/>
    </row>
    <row r="21" spans="1:15">
      <c r="A21" s="46">
        <v>17</v>
      </c>
      <c r="B21" s="219" t="s">
        <v>199</v>
      </c>
      <c r="C21" s="6"/>
      <c r="D21" s="6"/>
      <c r="E21" s="65">
        <v>216.76</v>
      </c>
      <c r="F21" s="6">
        <v>91.42</v>
      </c>
      <c r="G21" s="66">
        <f t="shared" si="0"/>
        <v>19816.199199999999</v>
      </c>
      <c r="H21" s="65">
        <v>5</v>
      </c>
      <c r="I21" s="6">
        <v>103.35</v>
      </c>
      <c r="J21" s="66">
        <f t="shared" si="1"/>
        <v>516.75</v>
      </c>
      <c r="K21" s="66">
        <f t="shared" si="2"/>
        <v>20332.949199999999</v>
      </c>
      <c r="L21" s="298"/>
      <c r="M21" s="149">
        <f t="shared" si="3"/>
        <v>135280.9394</v>
      </c>
      <c r="N21" s="46"/>
      <c r="O21" s="5"/>
    </row>
    <row r="22" spans="1:15">
      <c r="A22" s="46">
        <v>18</v>
      </c>
      <c r="B22" s="219" t="s">
        <v>205</v>
      </c>
      <c r="C22" s="6"/>
      <c r="D22" s="6"/>
      <c r="E22" s="65">
        <v>27.24</v>
      </c>
      <c r="F22" s="6">
        <v>91.42</v>
      </c>
      <c r="G22" s="66">
        <f t="shared" si="0"/>
        <v>2490.2808</v>
      </c>
      <c r="H22" s="65"/>
      <c r="I22" s="6"/>
      <c r="J22" s="66">
        <f t="shared" si="1"/>
        <v>0</v>
      </c>
      <c r="K22" s="66">
        <f t="shared" si="2"/>
        <v>2490.2808</v>
      </c>
      <c r="L22" s="298"/>
      <c r="M22" s="149">
        <f t="shared" si="3"/>
        <v>137771.22020000001</v>
      </c>
      <c r="N22" s="46"/>
      <c r="O22" s="5"/>
    </row>
    <row r="23" spans="1:15">
      <c r="A23" s="196">
        <v>19</v>
      </c>
      <c r="B23" s="219"/>
      <c r="C23" s="6"/>
      <c r="D23" s="6"/>
      <c r="E23" s="65"/>
      <c r="F23" s="6"/>
      <c r="G23" s="66">
        <f t="shared" si="0"/>
        <v>0</v>
      </c>
      <c r="H23" s="65"/>
      <c r="I23" s="6"/>
      <c r="J23" s="66">
        <f t="shared" si="1"/>
        <v>0</v>
      </c>
      <c r="K23" s="66">
        <f t="shared" si="2"/>
        <v>0</v>
      </c>
      <c r="L23" s="298"/>
      <c r="M23" s="149">
        <f t="shared" si="3"/>
        <v>137771.22020000001</v>
      </c>
      <c r="N23" s="46"/>
      <c r="O23" s="5"/>
    </row>
    <row r="24" spans="1:15">
      <c r="A24" s="46">
        <v>20</v>
      </c>
      <c r="B24" s="219"/>
      <c r="C24" s="6"/>
      <c r="D24" s="6"/>
      <c r="E24" s="65"/>
      <c r="F24" s="6"/>
      <c r="G24" s="66">
        <f t="shared" si="0"/>
        <v>0</v>
      </c>
      <c r="H24" s="65"/>
      <c r="I24" s="6"/>
      <c r="J24" s="66">
        <f t="shared" si="1"/>
        <v>0</v>
      </c>
      <c r="K24" s="66">
        <f t="shared" si="2"/>
        <v>0</v>
      </c>
      <c r="L24" s="298"/>
      <c r="M24" s="149">
        <f t="shared" si="3"/>
        <v>137771.22020000001</v>
      </c>
      <c r="N24" s="46"/>
      <c r="O24" s="5"/>
    </row>
    <row r="25" spans="1:15">
      <c r="A25" s="46">
        <v>21</v>
      </c>
      <c r="B25" s="219"/>
      <c r="C25" s="6"/>
      <c r="D25" s="6"/>
      <c r="E25" s="65"/>
      <c r="F25" s="6"/>
      <c r="G25" s="66">
        <f t="shared" si="0"/>
        <v>0</v>
      </c>
      <c r="H25" s="65"/>
      <c r="I25" s="6"/>
      <c r="J25" s="66">
        <f t="shared" si="1"/>
        <v>0</v>
      </c>
      <c r="K25" s="66">
        <f t="shared" si="2"/>
        <v>0</v>
      </c>
      <c r="L25" s="298"/>
      <c r="M25" s="149">
        <f t="shared" si="3"/>
        <v>137771.22020000001</v>
      </c>
      <c r="N25" s="46"/>
      <c r="O25" s="5"/>
    </row>
    <row r="26" spans="1:15">
      <c r="A26" s="196">
        <v>22</v>
      </c>
      <c r="B26" s="219"/>
      <c r="C26" s="6"/>
      <c r="D26" s="6"/>
      <c r="E26" s="65"/>
      <c r="F26" s="6"/>
      <c r="G26" s="66">
        <f t="shared" si="0"/>
        <v>0</v>
      </c>
      <c r="H26" s="65"/>
      <c r="I26" s="6"/>
      <c r="J26" s="66">
        <f t="shared" si="1"/>
        <v>0</v>
      </c>
      <c r="K26" s="66">
        <f t="shared" si="2"/>
        <v>0</v>
      </c>
      <c r="L26" s="298"/>
      <c r="M26" s="149">
        <f t="shared" si="3"/>
        <v>137771.22020000001</v>
      </c>
      <c r="N26" s="46"/>
      <c r="O26" s="5"/>
    </row>
    <row r="27" spans="1:15">
      <c r="A27" s="46">
        <v>23</v>
      </c>
      <c r="B27" s="219"/>
      <c r="C27" s="6"/>
      <c r="D27" s="6"/>
      <c r="E27" s="65"/>
      <c r="F27" s="6"/>
      <c r="G27" s="66">
        <f t="shared" si="0"/>
        <v>0</v>
      </c>
      <c r="H27" s="65"/>
      <c r="I27" s="6"/>
      <c r="J27" s="66">
        <f t="shared" si="1"/>
        <v>0</v>
      </c>
      <c r="K27" s="66">
        <f t="shared" si="2"/>
        <v>0</v>
      </c>
      <c r="L27" s="298"/>
      <c r="M27" s="149">
        <f t="shared" si="3"/>
        <v>137771.22020000001</v>
      </c>
      <c r="N27" s="46"/>
      <c r="O27" s="5"/>
    </row>
    <row r="28" spans="1:15">
      <c r="A28" s="46">
        <v>24</v>
      </c>
      <c r="B28" s="219"/>
      <c r="C28" s="6"/>
      <c r="D28" s="6"/>
      <c r="E28" s="65"/>
      <c r="F28" s="6"/>
      <c r="G28" s="66">
        <f t="shared" si="0"/>
        <v>0</v>
      </c>
      <c r="H28" s="65"/>
      <c r="I28" s="6"/>
      <c r="J28" s="66">
        <f t="shared" si="1"/>
        <v>0</v>
      </c>
      <c r="K28" s="66">
        <f t="shared" si="2"/>
        <v>0</v>
      </c>
      <c r="L28" s="298"/>
      <c r="M28" s="149">
        <f t="shared" si="3"/>
        <v>137771.22020000001</v>
      </c>
      <c r="N28" s="46"/>
      <c r="O28" s="5"/>
    </row>
    <row r="29" spans="1:15">
      <c r="A29" s="196">
        <v>25</v>
      </c>
      <c r="B29" s="219"/>
      <c r="C29" s="6"/>
      <c r="D29" s="6"/>
      <c r="E29" s="65"/>
      <c r="F29" s="6"/>
      <c r="G29" s="66">
        <f t="shared" si="0"/>
        <v>0</v>
      </c>
      <c r="H29" s="65"/>
      <c r="I29" s="6"/>
      <c r="J29" s="66">
        <f t="shared" si="1"/>
        <v>0</v>
      </c>
      <c r="K29" s="66">
        <f t="shared" si="2"/>
        <v>0</v>
      </c>
      <c r="L29" s="298"/>
      <c r="M29" s="149">
        <f t="shared" si="3"/>
        <v>137771.22020000001</v>
      </c>
      <c r="N29" s="46"/>
      <c r="O29" s="5"/>
    </row>
    <row r="30" spans="1:15">
      <c r="A30" s="46">
        <v>26</v>
      </c>
      <c r="B30" s="219"/>
      <c r="C30" s="6"/>
      <c r="D30" s="6"/>
      <c r="E30" s="65"/>
      <c r="F30" s="6"/>
      <c r="G30" s="66">
        <f t="shared" si="0"/>
        <v>0</v>
      </c>
      <c r="H30" s="65"/>
      <c r="I30" s="6"/>
      <c r="J30" s="66">
        <f t="shared" si="1"/>
        <v>0</v>
      </c>
      <c r="K30" s="66">
        <f t="shared" si="2"/>
        <v>0</v>
      </c>
      <c r="L30" s="298"/>
      <c r="M30" s="149">
        <f t="shared" si="3"/>
        <v>137771.22020000001</v>
      </c>
      <c r="N30" s="46"/>
      <c r="O30" s="5"/>
    </row>
    <row r="31" spans="1:15">
      <c r="A31" s="46">
        <v>27</v>
      </c>
      <c r="B31" s="219"/>
      <c r="C31" s="6"/>
      <c r="D31" s="6"/>
      <c r="E31" s="65"/>
      <c r="F31" s="6"/>
      <c r="G31" s="66">
        <f t="shared" si="0"/>
        <v>0</v>
      </c>
      <c r="H31" s="65"/>
      <c r="I31" s="6"/>
      <c r="J31" s="66">
        <f t="shared" si="1"/>
        <v>0</v>
      </c>
      <c r="K31" s="66">
        <f t="shared" si="2"/>
        <v>0</v>
      </c>
      <c r="L31" s="298"/>
      <c r="M31" s="149">
        <f t="shared" si="3"/>
        <v>137771.22020000001</v>
      </c>
      <c r="N31" s="46"/>
      <c r="O31" s="5"/>
    </row>
    <row r="32" spans="1:15">
      <c r="A32" s="196">
        <v>28</v>
      </c>
      <c r="B32" s="219"/>
      <c r="C32" s="6"/>
      <c r="D32" s="6"/>
      <c r="E32" s="65"/>
      <c r="F32" s="6"/>
      <c r="G32" s="66">
        <f t="shared" si="0"/>
        <v>0</v>
      </c>
      <c r="H32" s="65"/>
      <c r="I32" s="6"/>
      <c r="J32" s="66">
        <f t="shared" si="1"/>
        <v>0</v>
      </c>
      <c r="K32" s="66">
        <f t="shared" si="2"/>
        <v>0</v>
      </c>
      <c r="L32" s="298">
        <v>0</v>
      </c>
      <c r="M32" s="149">
        <f t="shared" si="3"/>
        <v>137771.22020000001</v>
      </c>
      <c r="N32" s="46"/>
      <c r="O32" s="5"/>
    </row>
    <row r="33" spans="1:15">
      <c r="A33" s="46">
        <v>29</v>
      </c>
      <c r="B33" s="219"/>
      <c r="C33" s="6"/>
      <c r="D33" s="6"/>
      <c r="E33" s="65"/>
      <c r="F33" s="6"/>
      <c r="G33" s="66">
        <f t="shared" si="0"/>
        <v>0</v>
      </c>
      <c r="H33" s="65"/>
      <c r="I33" s="6"/>
      <c r="J33" s="66">
        <f t="shared" si="1"/>
        <v>0</v>
      </c>
      <c r="K33" s="66">
        <f t="shared" si="2"/>
        <v>0</v>
      </c>
      <c r="L33" s="298">
        <v>0</v>
      </c>
      <c r="M33" s="149">
        <f t="shared" si="3"/>
        <v>137771.22020000001</v>
      </c>
      <c r="N33" s="46"/>
      <c r="O33" s="5"/>
    </row>
    <row r="34" spans="1:15">
      <c r="A34" s="46">
        <v>30</v>
      </c>
      <c r="B34" s="219"/>
      <c r="C34" s="6"/>
      <c r="D34" s="6"/>
      <c r="E34" s="65"/>
      <c r="F34" s="6"/>
      <c r="G34" s="66">
        <f t="shared" ref="G5:G40" si="4">E34*F34</f>
        <v>0</v>
      </c>
      <c r="H34" s="65"/>
      <c r="I34" s="6"/>
      <c r="J34" s="66">
        <f t="shared" ref="J5:J40" si="5">H34*I34</f>
        <v>0</v>
      </c>
      <c r="K34" s="66">
        <f t="shared" si="2"/>
        <v>0</v>
      </c>
      <c r="L34" s="298">
        <v>0</v>
      </c>
      <c r="M34" s="149">
        <f t="shared" si="3"/>
        <v>137771.22020000001</v>
      </c>
      <c r="N34" s="46"/>
      <c r="O34" s="5"/>
    </row>
    <row r="35" spans="1:15">
      <c r="A35" s="196">
        <v>31</v>
      </c>
      <c r="B35" s="219"/>
      <c r="C35" s="6"/>
      <c r="D35" s="6"/>
      <c r="E35" s="65"/>
      <c r="F35" s="6"/>
      <c r="G35" s="66">
        <f t="shared" si="4"/>
        <v>0</v>
      </c>
      <c r="H35" s="65"/>
      <c r="I35" s="6"/>
      <c r="J35" s="66">
        <f t="shared" si="5"/>
        <v>0</v>
      </c>
      <c r="K35" s="66">
        <f t="shared" si="2"/>
        <v>0</v>
      </c>
      <c r="L35" s="298">
        <v>0</v>
      </c>
      <c r="M35" s="149">
        <f t="shared" si="3"/>
        <v>137771.22020000001</v>
      </c>
      <c r="N35" s="46"/>
      <c r="O35" s="5"/>
    </row>
    <row r="36" spans="1:15">
      <c r="A36" s="46">
        <v>32</v>
      </c>
      <c r="B36" s="219"/>
      <c r="C36" s="6"/>
      <c r="D36" s="6"/>
      <c r="E36" s="65"/>
      <c r="F36" s="6"/>
      <c r="G36" s="66">
        <f t="shared" si="4"/>
        <v>0</v>
      </c>
      <c r="H36" s="65"/>
      <c r="I36" s="6"/>
      <c r="J36" s="66">
        <f t="shared" si="5"/>
        <v>0</v>
      </c>
      <c r="K36" s="66">
        <f t="shared" si="2"/>
        <v>0</v>
      </c>
      <c r="L36" s="298">
        <v>0</v>
      </c>
      <c r="M36" s="149">
        <f t="shared" si="3"/>
        <v>137771.22020000001</v>
      </c>
      <c r="N36" s="46"/>
      <c r="O36" s="5"/>
    </row>
    <row r="37" spans="1:15">
      <c r="A37" s="46">
        <v>33</v>
      </c>
      <c r="B37" s="219"/>
      <c r="C37" s="6"/>
      <c r="D37" s="6"/>
      <c r="E37" s="65"/>
      <c r="F37" s="6"/>
      <c r="G37" s="66">
        <f t="shared" si="4"/>
        <v>0</v>
      </c>
      <c r="H37" s="65"/>
      <c r="I37" s="6"/>
      <c r="J37" s="66">
        <f t="shared" si="5"/>
        <v>0</v>
      </c>
      <c r="K37" s="66">
        <f t="shared" si="2"/>
        <v>0</v>
      </c>
      <c r="L37" s="298">
        <v>0</v>
      </c>
      <c r="M37" s="149">
        <f t="shared" si="3"/>
        <v>137771.22020000001</v>
      </c>
      <c r="N37" s="46"/>
      <c r="O37" s="5"/>
    </row>
    <row r="38" spans="1:15">
      <c r="A38" s="196">
        <v>34</v>
      </c>
      <c r="B38" s="219"/>
      <c r="C38" s="6"/>
      <c r="D38" s="6"/>
      <c r="E38" s="65"/>
      <c r="F38" s="6"/>
      <c r="G38" s="66">
        <f t="shared" si="4"/>
        <v>0</v>
      </c>
      <c r="H38" s="65"/>
      <c r="I38" s="6"/>
      <c r="J38" s="66">
        <f t="shared" si="5"/>
        <v>0</v>
      </c>
      <c r="K38" s="66">
        <f t="shared" si="2"/>
        <v>0</v>
      </c>
      <c r="L38" s="298">
        <v>0</v>
      </c>
      <c r="M38" s="149">
        <f t="shared" si="3"/>
        <v>137771.22020000001</v>
      </c>
      <c r="N38" s="46"/>
      <c r="O38" s="5"/>
    </row>
    <row r="39" spans="1:15">
      <c r="A39" s="46">
        <v>35</v>
      </c>
      <c r="B39" s="219"/>
      <c r="C39" s="6"/>
      <c r="D39" s="6"/>
      <c r="E39" s="65"/>
      <c r="F39" s="6"/>
      <c r="G39" s="66">
        <f t="shared" si="4"/>
        <v>0</v>
      </c>
      <c r="H39" s="65"/>
      <c r="I39" s="6"/>
      <c r="J39" s="66">
        <f t="shared" si="5"/>
        <v>0</v>
      </c>
      <c r="K39" s="66">
        <f t="shared" si="2"/>
        <v>0</v>
      </c>
      <c r="L39" s="298">
        <v>0</v>
      </c>
      <c r="M39" s="149">
        <f t="shared" si="3"/>
        <v>137771.22020000001</v>
      </c>
      <c r="N39" s="46"/>
      <c r="O39" s="5"/>
    </row>
    <row r="40" spans="1:15">
      <c r="A40" s="46">
        <v>36</v>
      </c>
      <c r="B40" s="219"/>
      <c r="C40" s="6"/>
      <c r="D40" s="6"/>
      <c r="E40" s="65"/>
      <c r="F40" s="6"/>
      <c r="G40" s="66">
        <f t="shared" si="4"/>
        <v>0</v>
      </c>
      <c r="H40" s="65"/>
      <c r="I40" s="6"/>
      <c r="J40" s="66">
        <f t="shared" si="5"/>
        <v>0</v>
      </c>
      <c r="K40" s="66">
        <f t="shared" si="2"/>
        <v>0</v>
      </c>
      <c r="L40" s="298">
        <v>0</v>
      </c>
      <c r="M40" s="149">
        <f t="shared" si="3"/>
        <v>137771.22020000001</v>
      </c>
      <c r="N40" s="6"/>
      <c r="O40" s="5"/>
    </row>
    <row r="41" spans="1:15">
      <c r="A41" s="196">
        <v>37</v>
      </c>
      <c r="B41" s="219"/>
      <c r="C41" s="6"/>
      <c r="D41" s="6"/>
      <c r="E41" s="65"/>
      <c r="F41" s="6"/>
      <c r="G41" s="66">
        <f t="shared" ref="G24:G48" si="6">E41*F41</f>
        <v>0</v>
      </c>
      <c r="H41" s="65"/>
      <c r="I41" s="6"/>
      <c r="J41" s="66">
        <f t="shared" ref="J24:J48" si="7">H41*I41</f>
        <v>0</v>
      </c>
      <c r="K41" s="66">
        <f t="shared" ref="K5:K48" si="8">G41+J41</f>
        <v>0</v>
      </c>
      <c r="L41" s="298">
        <v>0</v>
      </c>
      <c r="M41" s="149">
        <f t="shared" si="3"/>
        <v>137771.22020000001</v>
      </c>
      <c r="N41" s="6"/>
      <c r="O41" s="5"/>
    </row>
    <row r="42" spans="1:15">
      <c r="A42" s="46">
        <v>38</v>
      </c>
      <c r="B42" s="219"/>
      <c r="C42" s="6"/>
      <c r="D42" s="6"/>
      <c r="E42" s="65"/>
      <c r="F42" s="6"/>
      <c r="G42" s="66">
        <f t="shared" si="6"/>
        <v>0</v>
      </c>
      <c r="H42" s="65"/>
      <c r="I42" s="6"/>
      <c r="J42" s="66">
        <f t="shared" si="7"/>
        <v>0</v>
      </c>
      <c r="K42" s="66">
        <f t="shared" si="8"/>
        <v>0</v>
      </c>
      <c r="L42" s="298">
        <v>0</v>
      </c>
      <c r="M42" s="149">
        <f t="shared" si="3"/>
        <v>137771.22020000001</v>
      </c>
      <c r="N42" s="6"/>
      <c r="O42" s="5"/>
    </row>
    <row r="43" spans="1:15">
      <c r="A43" s="46">
        <v>39</v>
      </c>
      <c r="B43" s="219"/>
      <c r="C43" s="6"/>
      <c r="D43" s="6"/>
      <c r="E43" s="65"/>
      <c r="F43" s="6"/>
      <c r="G43" s="66">
        <f t="shared" si="6"/>
        <v>0</v>
      </c>
      <c r="H43" s="65"/>
      <c r="I43" s="6"/>
      <c r="J43" s="66">
        <f t="shared" si="7"/>
        <v>0</v>
      </c>
      <c r="K43" s="66">
        <f t="shared" si="8"/>
        <v>0</v>
      </c>
      <c r="L43" s="298">
        <v>0</v>
      </c>
      <c r="M43" s="149">
        <f t="shared" si="3"/>
        <v>137771.22020000001</v>
      </c>
      <c r="N43" s="6"/>
      <c r="O43" s="5"/>
    </row>
    <row r="44" spans="1:15">
      <c r="A44" s="196">
        <v>40</v>
      </c>
      <c r="B44" s="219"/>
      <c r="C44" s="6"/>
      <c r="D44" s="6"/>
      <c r="E44" s="65"/>
      <c r="F44" s="6"/>
      <c r="G44" s="66">
        <f t="shared" si="6"/>
        <v>0</v>
      </c>
      <c r="H44" s="65"/>
      <c r="I44" s="6"/>
      <c r="J44" s="66">
        <f t="shared" si="7"/>
        <v>0</v>
      </c>
      <c r="K44" s="66">
        <f t="shared" si="8"/>
        <v>0</v>
      </c>
      <c r="L44" s="298">
        <v>0</v>
      </c>
      <c r="M44" s="149">
        <f t="shared" si="3"/>
        <v>137771.22020000001</v>
      </c>
      <c r="N44" s="6"/>
      <c r="O44" s="5"/>
    </row>
    <row r="45" spans="1:15">
      <c r="A45" s="46">
        <v>41</v>
      </c>
      <c r="B45" s="170"/>
      <c r="C45" s="169"/>
      <c r="D45" s="6"/>
      <c r="E45" s="65"/>
      <c r="F45" s="6"/>
      <c r="G45" s="66">
        <f t="shared" si="6"/>
        <v>0</v>
      </c>
      <c r="H45" s="65"/>
      <c r="I45" s="6"/>
      <c r="J45" s="66">
        <f t="shared" si="7"/>
        <v>0</v>
      </c>
      <c r="K45" s="66">
        <f t="shared" si="8"/>
        <v>0</v>
      </c>
      <c r="L45" s="298">
        <v>0</v>
      </c>
      <c r="M45" s="149">
        <f t="shared" si="3"/>
        <v>137771.22020000001</v>
      </c>
      <c r="N45" s="169"/>
      <c r="O45" s="5"/>
    </row>
    <row r="46" spans="1:15">
      <c r="A46" s="46">
        <v>42</v>
      </c>
      <c r="B46" s="6"/>
      <c r="C46" s="6"/>
      <c r="D46" s="6"/>
      <c r="E46" s="65"/>
      <c r="F46" s="6"/>
      <c r="G46" s="66">
        <f t="shared" si="6"/>
        <v>0</v>
      </c>
      <c r="H46" s="65"/>
      <c r="I46" s="6"/>
      <c r="J46" s="66">
        <f t="shared" si="7"/>
        <v>0</v>
      </c>
      <c r="K46" s="66">
        <f t="shared" si="8"/>
        <v>0</v>
      </c>
      <c r="L46" s="298">
        <v>0</v>
      </c>
      <c r="M46" s="149">
        <f t="shared" si="3"/>
        <v>137771.22020000001</v>
      </c>
      <c r="N46" s="6"/>
      <c r="O46" s="5"/>
    </row>
    <row r="47" spans="1:15">
      <c r="A47" s="196">
        <v>43</v>
      </c>
      <c r="B47" s="169"/>
      <c r="C47" s="169"/>
      <c r="D47" s="6"/>
      <c r="E47" s="65"/>
      <c r="F47" s="6"/>
      <c r="G47" s="66">
        <f t="shared" si="6"/>
        <v>0</v>
      </c>
      <c r="H47" s="65"/>
      <c r="I47" s="6"/>
      <c r="J47" s="66">
        <f t="shared" si="7"/>
        <v>0</v>
      </c>
      <c r="K47" s="171">
        <f t="shared" si="8"/>
        <v>0</v>
      </c>
      <c r="L47" s="162">
        <f t="shared" ref="L47:L48" si="9">+K47</f>
        <v>0</v>
      </c>
      <c r="M47" s="149">
        <f t="shared" si="3"/>
        <v>137771.22020000001</v>
      </c>
      <c r="N47" s="169"/>
      <c r="O47" s="5"/>
    </row>
    <row r="48" spans="1:15">
      <c r="A48" s="46"/>
      <c r="B48" s="169"/>
      <c r="C48" s="169"/>
      <c r="D48" s="6"/>
      <c r="E48" s="65"/>
      <c r="F48" s="6"/>
      <c r="G48" s="66">
        <f t="shared" si="6"/>
        <v>0</v>
      </c>
      <c r="H48" s="65"/>
      <c r="I48" s="6"/>
      <c r="J48" s="66">
        <f t="shared" si="7"/>
        <v>0</v>
      </c>
      <c r="K48" s="171">
        <f t="shared" si="8"/>
        <v>0</v>
      </c>
      <c r="L48" s="172">
        <f t="shared" si="9"/>
        <v>0</v>
      </c>
      <c r="M48" s="149">
        <f t="shared" si="3"/>
        <v>137771.22020000001</v>
      </c>
      <c r="N48" s="169"/>
      <c r="O48" s="5"/>
    </row>
    <row r="49" spans="1:15">
      <c r="A49" s="62"/>
      <c r="B49" s="62"/>
      <c r="C49" s="62"/>
      <c r="D49" s="62"/>
      <c r="E49" s="63">
        <f>SUM(E4:E48)</f>
        <v>1469.31</v>
      </c>
      <c r="F49" s="63"/>
      <c r="G49" s="63">
        <f>SUM(G4:G48)</f>
        <v>134324.32020000002</v>
      </c>
      <c r="H49" s="63">
        <f>SUM(H4:H48)</f>
        <v>33</v>
      </c>
      <c r="I49" s="63"/>
      <c r="J49" s="63">
        <f>SUM(J4:J48)</f>
        <v>3410.5499999999997</v>
      </c>
      <c r="K49" s="63">
        <f>SUM(K4:K48)</f>
        <v>137734.8702</v>
      </c>
      <c r="L49" s="63">
        <f>SUM(L4:L48)</f>
        <v>59770</v>
      </c>
      <c r="M49" s="63"/>
      <c r="N49" s="63"/>
      <c r="O49" s="59"/>
    </row>
    <row r="50" spans="1:15">
      <c r="A50" s="5"/>
      <c r="B50" s="5"/>
      <c r="C50" s="5"/>
      <c r="D50" s="5"/>
      <c r="E50" s="5"/>
      <c r="F50" s="5"/>
      <c r="G50" s="102"/>
      <c r="H50" s="5"/>
      <c r="I50" s="5"/>
      <c r="J50" s="102"/>
      <c r="K50" s="5"/>
      <c r="L50" s="102"/>
      <c r="M50" s="102"/>
      <c r="N50" s="5"/>
      <c r="O50" s="5"/>
    </row>
    <row r="51" spans="1:15">
      <c r="A51" s="5"/>
      <c r="B51" s="5"/>
      <c r="C51" s="5"/>
      <c r="D51" s="5"/>
      <c r="E51" s="5"/>
      <c r="F51" s="5"/>
      <c r="G51" s="102"/>
      <c r="H51" s="5"/>
      <c r="I51" s="5"/>
      <c r="J51" s="102"/>
      <c r="K51" s="5"/>
      <c r="L51" s="102"/>
      <c r="M51" s="102"/>
      <c r="N51" s="5"/>
      <c r="O51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2EB7-2102-4FD0-A2B9-519DAB511885}">
  <sheetPr>
    <tabColor rgb="FF92D050"/>
  </sheetPr>
  <dimension ref="A1:O47"/>
  <sheetViews>
    <sheetView topLeftCell="A15" workbookViewId="0">
      <selection activeCell="L34" sqref="L34"/>
    </sheetView>
  </sheetViews>
  <sheetFormatPr defaultRowHeight="15"/>
  <cols>
    <col min="1" max="1" width="6.140625" customWidth="1"/>
    <col min="2" max="2" width="11.5703125" bestFit="1" customWidth="1"/>
    <col min="6" max="6" width="9.42578125" bestFit="1" customWidth="1"/>
    <col min="7" max="7" width="11.85546875" bestFit="1" customWidth="1"/>
    <col min="11" max="11" width="16.7109375" customWidth="1"/>
    <col min="12" max="12" width="16.5703125" customWidth="1"/>
    <col min="13" max="13" width="16.140625" customWidth="1"/>
    <col min="14" max="14" width="15.140625" customWidth="1"/>
  </cols>
  <sheetData>
    <row r="1" spans="1:15" ht="15.75">
      <c r="A1" s="495" t="s">
        <v>158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5"/>
    </row>
    <row r="2" spans="1:15" ht="45">
      <c r="A2" s="64" t="s">
        <v>0</v>
      </c>
      <c r="B2" s="83" t="s">
        <v>164</v>
      </c>
      <c r="C2" s="83" t="s">
        <v>165</v>
      </c>
      <c r="D2" s="83" t="s">
        <v>208</v>
      </c>
      <c r="E2" s="83" t="s">
        <v>167</v>
      </c>
      <c r="F2" s="83" t="s">
        <v>168</v>
      </c>
      <c r="G2" s="90" t="s">
        <v>169</v>
      </c>
      <c r="H2" s="83" t="s">
        <v>170</v>
      </c>
      <c r="I2" s="83" t="s">
        <v>168</v>
      </c>
      <c r="J2" s="90" t="s">
        <v>169</v>
      </c>
      <c r="K2" s="64" t="s">
        <v>171</v>
      </c>
      <c r="L2" s="91" t="s">
        <v>172</v>
      </c>
      <c r="M2" s="85" t="s">
        <v>209</v>
      </c>
      <c r="N2" s="83" t="s">
        <v>174</v>
      </c>
      <c r="O2" s="5"/>
    </row>
    <row r="3" spans="1:15">
      <c r="A3" s="519" t="s">
        <v>175</v>
      </c>
      <c r="B3" s="520"/>
      <c r="C3" s="520"/>
      <c r="D3" s="520"/>
      <c r="E3" s="520"/>
      <c r="F3" s="520"/>
      <c r="G3" s="520"/>
      <c r="H3" s="520"/>
      <c r="I3" s="520"/>
      <c r="J3" s="520"/>
      <c r="K3" s="520"/>
      <c r="L3" s="521"/>
      <c r="M3" s="522">
        <v>1291.6358999999738</v>
      </c>
      <c r="N3" s="523"/>
      <c r="O3" s="5"/>
    </row>
    <row r="4" spans="1:15">
      <c r="A4" s="196">
        <v>1</v>
      </c>
      <c r="B4" s="219">
        <v>46113</v>
      </c>
      <c r="C4" s="6"/>
      <c r="D4" s="6"/>
      <c r="E4" s="65"/>
      <c r="F4" s="6">
        <v>91.46</v>
      </c>
      <c r="G4" s="66">
        <f>E4*F4</f>
        <v>0</v>
      </c>
      <c r="H4" s="65"/>
      <c r="I4" s="6"/>
      <c r="J4" s="66">
        <f>H4*I4</f>
        <v>0</v>
      </c>
      <c r="K4" s="66">
        <f>G4+J4</f>
        <v>0</v>
      </c>
      <c r="L4" s="162">
        <v>0</v>
      </c>
      <c r="M4" s="301">
        <f>M3+K4-L4</f>
        <v>1291.6358999999738</v>
      </c>
      <c r="N4" s="46" t="s">
        <v>271</v>
      </c>
      <c r="O4" s="5"/>
    </row>
    <row r="5" spans="1:15">
      <c r="A5" s="46">
        <v>2</v>
      </c>
      <c r="B5" s="219">
        <v>46114</v>
      </c>
      <c r="C5" s="6"/>
      <c r="D5" s="6"/>
      <c r="E5" s="65">
        <v>48.73</v>
      </c>
      <c r="F5" s="6">
        <v>91.46</v>
      </c>
      <c r="G5" s="66">
        <f t="shared" ref="G5:G29" si="0">E5*F5</f>
        <v>4456.8457999999991</v>
      </c>
      <c r="H5" s="65">
        <v>5</v>
      </c>
      <c r="I5" s="6">
        <v>103.4</v>
      </c>
      <c r="J5" s="66">
        <f t="shared" ref="J5:J41" si="1">H5*I5</f>
        <v>517</v>
      </c>
      <c r="K5" s="66">
        <f t="shared" ref="K5:K41" si="2">G5+J5</f>
        <v>4973.8457999999991</v>
      </c>
      <c r="L5" s="162">
        <v>0</v>
      </c>
      <c r="M5" s="301">
        <f t="shared" ref="M5:M18" si="3">M4+K5-L5</f>
        <v>6265.481699999973</v>
      </c>
      <c r="N5" s="46" t="s">
        <v>271</v>
      </c>
      <c r="O5" s="5"/>
    </row>
    <row r="6" spans="1:15">
      <c r="A6" s="46">
        <v>3</v>
      </c>
      <c r="B6" s="219">
        <v>46115</v>
      </c>
      <c r="C6" s="6"/>
      <c r="D6" s="6"/>
      <c r="E6" s="65">
        <v>48.73</v>
      </c>
      <c r="F6" s="6">
        <v>91.46</v>
      </c>
      <c r="G6" s="66">
        <f t="shared" si="0"/>
        <v>4456.8457999999991</v>
      </c>
      <c r="H6" s="65"/>
      <c r="I6" s="6">
        <v>103.4</v>
      </c>
      <c r="J6" s="66">
        <f t="shared" si="1"/>
        <v>0</v>
      </c>
      <c r="K6" s="66">
        <f t="shared" si="2"/>
        <v>4456.8457999999991</v>
      </c>
      <c r="L6" s="412">
        <v>1291.6358999999738</v>
      </c>
      <c r="M6" s="301">
        <f t="shared" si="3"/>
        <v>9430.6915999999983</v>
      </c>
      <c r="N6" s="46" t="s">
        <v>271</v>
      </c>
      <c r="O6" s="5"/>
    </row>
    <row r="7" spans="1:15">
      <c r="A7" s="46">
        <v>4</v>
      </c>
      <c r="B7" s="219">
        <v>46116</v>
      </c>
      <c r="C7" s="169"/>
      <c r="D7" s="169"/>
      <c r="E7" s="65">
        <v>30</v>
      </c>
      <c r="F7" s="6">
        <v>91.46</v>
      </c>
      <c r="G7" s="66">
        <f t="shared" si="0"/>
        <v>2743.7999999999997</v>
      </c>
      <c r="H7" s="65"/>
      <c r="I7" s="6"/>
      <c r="J7" s="66">
        <f t="shared" si="1"/>
        <v>0</v>
      </c>
      <c r="K7" s="66">
        <f t="shared" si="2"/>
        <v>2743.7999999999997</v>
      </c>
      <c r="L7" s="162">
        <v>0</v>
      </c>
      <c r="M7" s="301">
        <f t="shared" si="3"/>
        <v>12174.491599999998</v>
      </c>
      <c r="N7" s="46" t="s">
        <v>271</v>
      </c>
      <c r="O7" s="5"/>
    </row>
    <row r="8" spans="1:15">
      <c r="A8" s="221">
        <v>5</v>
      </c>
      <c r="B8" s="219">
        <v>46117</v>
      </c>
      <c r="C8" s="6"/>
      <c r="D8" s="6"/>
      <c r="E8" s="65">
        <v>20</v>
      </c>
      <c r="F8" s="6">
        <v>91.46</v>
      </c>
      <c r="G8" s="66">
        <f t="shared" si="0"/>
        <v>1829.1999999999998</v>
      </c>
      <c r="H8" s="65"/>
      <c r="I8" s="6"/>
      <c r="J8" s="66">
        <f t="shared" si="1"/>
        <v>0</v>
      </c>
      <c r="K8" s="66">
        <f t="shared" si="2"/>
        <v>1829.1999999999998</v>
      </c>
      <c r="L8" s="162">
        <v>0</v>
      </c>
      <c r="M8" s="301">
        <f t="shared" si="3"/>
        <v>14003.691599999998</v>
      </c>
      <c r="N8" s="46" t="s">
        <v>271</v>
      </c>
      <c r="O8" s="5"/>
    </row>
    <row r="9" spans="1:15">
      <c r="A9" s="221">
        <v>6</v>
      </c>
      <c r="B9" s="219">
        <v>46118</v>
      </c>
      <c r="C9" s="6"/>
      <c r="D9" s="6"/>
      <c r="E9" s="65"/>
      <c r="F9" s="6">
        <v>91.46</v>
      </c>
      <c r="G9" s="66">
        <f t="shared" si="0"/>
        <v>0</v>
      </c>
      <c r="H9" s="65">
        <v>6</v>
      </c>
      <c r="I9" s="6">
        <v>103.4</v>
      </c>
      <c r="J9" s="66">
        <f t="shared" si="1"/>
        <v>620.40000000000009</v>
      </c>
      <c r="K9" s="66">
        <f t="shared" si="2"/>
        <v>620.40000000000009</v>
      </c>
      <c r="L9" s="162">
        <v>0</v>
      </c>
      <c r="M9" s="301">
        <f t="shared" si="3"/>
        <v>14624.091599999998</v>
      </c>
      <c r="N9" s="46" t="s">
        <v>271</v>
      </c>
      <c r="O9" s="5"/>
    </row>
    <row r="10" spans="1:15">
      <c r="A10" s="221">
        <v>7</v>
      </c>
      <c r="B10" s="219">
        <v>46119</v>
      </c>
      <c r="C10" s="6"/>
      <c r="D10" s="6"/>
      <c r="E10" s="65"/>
      <c r="F10" s="6">
        <v>91.46</v>
      </c>
      <c r="G10" s="66">
        <f t="shared" si="0"/>
        <v>0</v>
      </c>
      <c r="H10" s="65"/>
      <c r="I10" s="6"/>
      <c r="J10" s="66">
        <f t="shared" si="1"/>
        <v>0</v>
      </c>
      <c r="K10" s="66">
        <f t="shared" si="2"/>
        <v>0</v>
      </c>
      <c r="L10" s="162">
        <v>0</v>
      </c>
      <c r="M10" s="301">
        <f t="shared" si="3"/>
        <v>14624.091599999998</v>
      </c>
      <c r="N10" s="46" t="s">
        <v>271</v>
      </c>
      <c r="O10" s="5"/>
    </row>
    <row r="11" spans="1:15">
      <c r="A11" s="221">
        <v>8</v>
      </c>
      <c r="B11" s="219">
        <v>46120</v>
      </c>
      <c r="C11" s="6"/>
      <c r="D11" s="6"/>
      <c r="E11" s="65"/>
      <c r="F11" s="6">
        <v>91.46</v>
      </c>
      <c r="G11" s="66">
        <f t="shared" si="0"/>
        <v>0</v>
      </c>
      <c r="H11" s="65"/>
      <c r="I11" s="6"/>
      <c r="J11" s="66">
        <f t="shared" si="1"/>
        <v>0</v>
      </c>
      <c r="K11" s="66">
        <f>G11+J11</f>
        <v>0</v>
      </c>
      <c r="L11" s="162">
        <v>0</v>
      </c>
      <c r="M11" s="301">
        <f t="shared" si="3"/>
        <v>14624.091599999998</v>
      </c>
      <c r="N11" s="46" t="s">
        <v>271</v>
      </c>
      <c r="O11" s="5"/>
    </row>
    <row r="12" spans="1:15">
      <c r="A12" s="221">
        <v>9</v>
      </c>
      <c r="B12" s="219">
        <v>46121</v>
      </c>
      <c r="C12" s="6"/>
      <c r="D12" s="6"/>
      <c r="E12" s="65">
        <v>82</v>
      </c>
      <c r="F12" s="6">
        <v>91.46</v>
      </c>
      <c r="G12" s="66">
        <f t="shared" si="0"/>
        <v>7499.7199999999993</v>
      </c>
      <c r="H12" s="65">
        <v>5</v>
      </c>
      <c r="I12" s="6">
        <v>103.4</v>
      </c>
      <c r="J12" s="66">
        <f t="shared" si="1"/>
        <v>517</v>
      </c>
      <c r="K12" s="66">
        <f>G12+J12</f>
        <v>8016.7199999999993</v>
      </c>
      <c r="L12" s="162">
        <v>0</v>
      </c>
      <c r="M12" s="301">
        <f t="shared" si="3"/>
        <v>22640.811599999997</v>
      </c>
      <c r="N12" s="46" t="s">
        <v>271</v>
      </c>
      <c r="O12" s="5"/>
    </row>
    <row r="13" spans="1:15">
      <c r="A13" s="221">
        <v>10</v>
      </c>
      <c r="B13" s="219">
        <v>46122</v>
      </c>
      <c r="C13" s="6"/>
      <c r="D13" s="6"/>
      <c r="E13" s="65"/>
      <c r="F13" s="6">
        <v>91.46</v>
      </c>
      <c r="G13" s="66">
        <f t="shared" si="0"/>
        <v>0</v>
      </c>
      <c r="H13" s="65"/>
      <c r="I13" s="6"/>
      <c r="J13" s="66">
        <f t="shared" si="1"/>
        <v>0</v>
      </c>
      <c r="K13" s="66">
        <f>G13+J13</f>
        <v>0</v>
      </c>
      <c r="L13" s="162">
        <v>0</v>
      </c>
      <c r="M13" s="301">
        <f t="shared" si="3"/>
        <v>22640.811599999997</v>
      </c>
      <c r="N13" s="46" t="s">
        <v>271</v>
      </c>
      <c r="O13" s="5"/>
    </row>
    <row r="14" spans="1:15">
      <c r="A14" s="221">
        <v>11</v>
      </c>
      <c r="B14" s="219">
        <v>46123</v>
      </c>
      <c r="C14" s="6"/>
      <c r="D14" s="6"/>
      <c r="E14" s="65"/>
      <c r="F14" s="6">
        <v>91.46</v>
      </c>
      <c r="G14" s="66">
        <f t="shared" si="0"/>
        <v>0</v>
      </c>
      <c r="H14" s="65"/>
      <c r="I14" s="6"/>
      <c r="J14" s="66">
        <f t="shared" si="1"/>
        <v>0</v>
      </c>
      <c r="K14" s="66">
        <f t="shared" si="2"/>
        <v>0</v>
      </c>
      <c r="L14" s="162">
        <v>0</v>
      </c>
      <c r="M14" s="301">
        <f t="shared" si="3"/>
        <v>22640.811599999997</v>
      </c>
      <c r="N14" s="46" t="s">
        <v>271</v>
      </c>
      <c r="O14" s="5"/>
    </row>
    <row r="15" spans="1:15">
      <c r="A15" s="221">
        <v>12</v>
      </c>
      <c r="B15" s="219">
        <v>46124</v>
      </c>
      <c r="C15" s="6"/>
      <c r="D15" s="6"/>
      <c r="E15" s="65"/>
      <c r="F15" s="6">
        <v>91.46</v>
      </c>
      <c r="G15" s="66">
        <f t="shared" si="0"/>
        <v>0</v>
      </c>
      <c r="H15" s="65"/>
      <c r="I15" s="6"/>
      <c r="J15" s="66">
        <f t="shared" si="1"/>
        <v>0</v>
      </c>
      <c r="K15" s="66">
        <f t="shared" si="2"/>
        <v>0</v>
      </c>
      <c r="L15" s="162">
        <v>0</v>
      </c>
      <c r="M15" s="301">
        <f t="shared" si="3"/>
        <v>22640.811599999997</v>
      </c>
      <c r="N15" s="46" t="s">
        <v>271</v>
      </c>
      <c r="O15" s="5"/>
    </row>
    <row r="16" spans="1:15">
      <c r="A16" s="221">
        <v>13</v>
      </c>
      <c r="B16" s="219">
        <v>46125</v>
      </c>
      <c r="C16" s="6"/>
      <c r="D16" s="6"/>
      <c r="E16" s="65"/>
      <c r="F16" s="6">
        <v>91.46</v>
      </c>
      <c r="G16" s="66">
        <f t="shared" si="0"/>
        <v>0</v>
      </c>
      <c r="H16" s="65"/>
      <c r="I16" s="6"/>
      <c r="J16" s="66">
        <f t="shared" si="1"/>
        <v>0</v>
      </c>
      <c r="K16" s="66">
        <f t="shared" si="2"/>
        <v>0</v>
      </c>
      <c r="L16" s="162">
        <v>0</v>
      </c>
      <c r="M16" s="301">
        <f t="shared" si="3"/>
        <v>22640.811599999997</v>
      </c>
      <c r="N16" s="46" t="s">
        <v>271</v>
      </c>
      <c r="O16" s="5"/>
    </row>
    <row r="17" spans="1:15">
      <c r="A17" s="221">
        <v>14</v>
      </c>
      <c r="B17" s="219">
        <v>46126</v>
      </c>
      <c r="C17" s="6"/>
      <c r="D17" s="6"/>
      <c r="E17" s="65"/>
      <c r="F17" s="6">
        <v>91.46</v>
      </c>
      <c r="G17" s="66">
        <f t="shared" si="0"/>
        <v>0</v>
      </c>
      <c r="H17" s="65">
        <v>4</v>
      </c>
      <c r="I17" s="6">
        <v>103.4</v>
      </c>
      <c r="J17" s="66">
        <f t="shared" si="1"/>
        <v>413.6</v>
      </c>
      <c r="K17" s="66">
        <f t="shared" si="2"/>
        <v>413.6</v>
      </c>
      <c r="L17" s="162">
        <v>0</v>
      </c>
      <c r="M17" s="301">
        <f t="shared" si="3"/>
        <v>23054.411599999996</v>
      </c>
      <c r="N17" s="46" t="s">
        <v>271</v>
      </c>
      <c r="O17" s="5"/>
    </row>
    <row r="18" spans="1:15">
      <c r="A18" s="221">
        <v>15</v>
      </c>
      <c r="B18" s="219">
        <v>46127</v>
      </c>
      <c r="C18" s="6"/>
      <c r="D18" s="6"/>
      <c r="E18" s="65">
        <v>30</v>
      </c>
      <c r="F18" s="6">
        <v>91.46</v>
      </c>
      <c r="G18" s="66">
        <f t="shared" si="0"/>
        <v>2743.7999999999997</v>
      </c>
      <c r="H18" s="65">
        <v>6.63</v>
      </c>
      <c r="I18" s="6">
        <v>103.4</v>
      </c>
      <c r="J18" s="66">
        <f t="shared" si="1"/>
        <v>685.54200000000003</v>
      </c>
      <c r="K18" s="66">
        <f t="shared" si="2"/>
        <v>3429.3419999999996</v>
      </c>
      <c r="L18" s="162">
        <v>0</v>
      </c>
      <c r="M18" s="301">
        <f t="shared" si="3"/>
        <v>26483.753599999996</v>
      </c>
      <c r="N18" s="46" t="s">
        <v>271</v>
      </c>
      <c r="O18" s="5"/>
    </row>
    <row r="19" spans="1:15">
      <c r="A19" s="221">
        <v>16</v>
      </c>
      <c r="B19" s="219">
        <v>46128</v>
      </c>
      <c r="C19" s="6"/>
      <c r="D19" s="6"/>
      <c r="E19" s="65"/>
      <c r="F19" s="6">
        <v>91.46</v>
      </c>
      <c r="G19" s="66">
        <f t="shared" si="0"/>
        <v>0</v>
      </c>
      <c r="H19" s="65"/>
      <c r="I19" s="6"/>
      <c r="J19" s="66">
        <f t="shared" si="1"/>
        <v>0</v>
      </c>
      <c r="K19" s="66">
        <f t="shared" si="2"/>
        <v>0</v>
      </c>
      <c r="L19" s="162">
        <v>0</v>
      </c>
      <c r="M19" s="302">
        <f t="shared" ref="M15:M42" si="4">M18+K19-L19</f>
        <v>26483.753599999996</v>
      </c>
      <c r="N19" s="46" t="s">
        <v>271</v>
      </c>
      <c r="O19" s="5"/>
    </row>
    <row r="20" spans="1:15">
      <c r="A20" s="221">
        <v>17</v>
      </c>
      <c r="B20" s="219">
        <v>46129</v>
      </c>
      <c r="C20" s="6"/>
      <c r="D20" s="6"/>
      <c r="E20" s="65"/>
      <c r="F20" s="6">
        <v>91.46</v>
      </c>
      <c r="G20" s="66">
        <f t="shared" si="0"/>
        <v>0</v>
      </c>
      <c r="H20" s="65"/>
      <c r="I20" s="6"/>
      <c r="J20" s="66">
        <f t="shared" si="1"/>
        <v>0</v>
      </c>
      <c r="K20" s="66">
        <f t="shared" si="2"/>
        <v>0</v>
      </c>
      <c r="L20" s="162">
        <v>0</v>
      </c>
      <c r="M20" s="302">
        <f t="shared" si="4"/>
        <v>26483.753599999996</v>
      </c>
      <c r="N20" s="46" t="s">
        <v>271</v>
      </c>
      <c r="O20" s="5"/>
    </row>
    <row r="21" spans="1:15">
      <c r="A21" s="221">
        <v>18</v>
      </c>
      <c r="B21" s="219">
        <v>46130</v>
      </c>
      <c r="C21" s="6"/>
      <c r="D21" s="6"/>
      <c r="E21" s="65">
        <v>20</v>
      </c>
      <c r="F21" s="6">
        <v>91.46</v>
      </c>
      <c r="G21" s="66">
        <f t="shared" si="0"/>
        <v>1829.1999999999998</v>
      </c>
      <c r="H21" s="65"/>
      <c r="I21" s="6"/>
      <c r="J21" s="66">
        <f t="shared" si="1"/>
        <v>0</v>
      </c>
      <c r="K21" s="66">
        <f t="shared" si="2"/>
        <v>1829.1999999999998</v>
      </c>
      <c r="L21" s="162">
        <v>26000</v>
      </c>
      <c r="M21" s="302">
        <f t="shared" si="4"/>
        <v>2312.9535999999971</v>
      </c>
      <c r="N21" s="46" t="s">
        <v>271</v>
      </c>
      <c r="O21" s="5"/>
    </row>
    <row r="22" spans="1:15">
      <c r="A22" s="221">
        <v>19</v>
      </c>
      <c r="B22" s="219">
        <v>46131</v>
      </c>
      <c r="C22" s="6"/>
      <c r="D22" s="6"/>
      <c r="E22" s="65"/>
      <c r="F22" s="6">
        <v>91.46</v>
      </c>
      <c r="G22" s="66">
        <f t="shared" si="0"/>
        <v>0</v>
      </c>
      <c r="H22" s="65"/>
      <c r="I22" s="6"/>
      <c r="J22" s="66">
        <f t="shared" si="1"/>
        <v>0</v>
      </c>
      <c r="K22" s="66">
        <f t="shared" si="2"/>
        <v>0</v>
      </c>
      <c r="L22" s="162">
        <v>0</v>
      </c>
      <c r="M22" s="302">
        <f t="shared" si="4"/>
        <v>2312.9535999999971</v>
      </c>
      <c r="N22" s="46" t="s">
        <v>271</v>
      </c>
      <c r="O22" s="5"/>
    </row>
    <row r="23" spans="1:15">
      <c r="A23" s="221">
        <v>20</v>
      </c>
      <c r="B23" s="219">
        <v>46132</v>
      </c>
      <c r="C23" s="6"/>
      <c r="D23" s="6"/>
      <c r="E23" s="65"/>
      <c r="F23" s="6">
        <v>91.46</v>
      </c>
      <c r="G23" s="66">
        <f t="shared" si="0"/>
        <v>0</v>
      </c>
      <c r="H23" s="65"/>
      <c r="I23" s="6"/>
      <c r="J23" s="66">
        <f t="shared" si="1"/>
        <v>0</v>
      </c>
      <c r="K23" s="66">
        <f t="shared" si="2"/>
        <v>0</v>
      </c>
      <c r="L23" s="162">
        <v>0</v>
      </c>
      <c r="M23" s="302">
        <f t="shared" si="4"/>
        <v>2312.9535999999971</v>
      </c>
      <c r="N23" s="46"/>
      <c r="O23" s="5"/>
    </row>
    <row r="24" spans="1:15">
      <c r="A24" s="221">
        <v>21</v>
      </c>
      <c r="B24" s="219">
        <v>46133</v>
      </c>
      <c r="C24" s="6"/>
      <c r="D24" s="6"/>
      <c r="E24" s="65">
        <v>36.5</v>
      </c>
      <c r="F24" s="6">
        <v>91.46</v>
      </c>
      <c r="G24" s="66">
        <f t="shared" si="0"/>
        <v>3338.29</v>
      </c>
      <c r="H24" s="65">
        <v>5</v>
      </c>
      <c r="I24" s="6">
        <v>103.4</v>
      </c>
      <c r="J24" s="66">
        <f t="shared" si="1"/>
        <v>517</v>
      </c>
      <c r="K24" s="66">
        <f t="shared" si="2"/>
        <v>3855.29</v>
      </c>
      <c r="L24" s="162">
        <v>0</v>
      </c>
      <c r="M24" s="302">
        <f t="shared" si="4"/>
        <v>6168.2435999999971</v>
      </c>
      <c r="N24" s="46"/>
      <c r="O24" s="5"/>
    </row>
    <row r="25" spans="1:15">
      <c r="A25" s="46">
        <v>22</v>
      </c>
      <c r="B25" s="219">
        <v>46134</v>
      </c>
      <c r="C25" s="336"/>
      <c r="D25" s="336"/>
      <c r="E25" s="65"/>
      <c r="F25" s="6">
        <v>91.46</v>
      </c>
      <c r="G25" s="66">
        <f t="shared" si="0"/>
        <v>0</v>
      </c>
      <c r="H25" s="65"/>
      <c r="I25" s="6"/>
      <c r="J25" s="66">
        <f t="shared" si="1"/>
        <v>0</v>
      </c>
      <c r="K25" s="66">
        <f t="shared" si="2"/>
        <v>0</v>
      </c>
      <c r="L25" s="162">
        <v>0</v>
      </c>
      <c r="M25" s="259">
        <f t="shared" si="4"/>
        <v>6168.2435999999971</v>
      </c>
      <c r="N25" s="46"/>
      <c r="O25" s="5"/>
    </row>
    <row r="26" spans="1:15">
      <c r="A26" s="46">
        <v>23</v>
      </c>
      <c r="B26" s="219">
        <v>46135</v>
      </c>
      <c r="C26" s="6"/>
      <c r="D26" s="6"/>
      <c r="E26" s="65"/>
      <c r="F26" s="6">
        <v>91.46</v>
      </c>
      <c r="G26" s="66">
        <f t="shared" si="0"/>
        <v>0</v>
      </c>
      <c r="H26" s="65">
        <v>6</v>
      </c>
      <c r="I26" s="6">
        <v>103.4</v>
      </c>
      <c r="J26" s="66">
        <f t="shared" si="1"/>
        <v>620.40000000000009</v>
      </c>
      <c r="K26" s="66">
        <f t="shared" si="2"/>
        <v>620.40000000000009</v>
      </c>
      <c r="L26" s="162">
        <v>0</v>
      </c>
      <c r="M26" s="259">
        <f t="shared" si="4"/>
        <v>6788.6435999999976</v>
      </c>
      <c r="N26" s="6"/>
      <c r="O26" s="5"/>
    </row>
    <row r="27" spans="1:15">
      <c r="A27" s="46">
        <v>24</v>
      </c>
      <c r="B27" s="219">
        <v>46136</v>
      </c>
      <c r="C27" s="6"/>
      <c r="D27" s="6"/>
      <c r="E27" s="65"/>
      <c r="F27" s="6">
        <v>91.46</v>
      </c>
      <c r="G27" s="66">
        <f t="shared" si="0"/>
        <v>0</v>
      </c>
      <c r="H27" s="65">
        <v>5</v>
      </c>
      <c r="I27" s="6">
        <v>103.4</v>
      </c>
      <c r="J27" s="66">
        <f t="shared" si="1"/>
        <v>517</v>
      </c>
      <c r="K27" s="66">
        <f t="shared" si="2"/>
        <v>517</v>
      </c>
      <c r="L27" s="162">
        <v>0</v>
      </c>
      <c r="M27" s="259">
        <f t="shared" si="4"/>
        <v>7305.6435999999976</v>
      </c>
      <c r="N27" s="6"/>
      <c r="O27" s="5"/>
    </row>
    <row r="28" spans="1:15">
      <c r="A28" s="221">
        <v>25</v>
      </c>
      <c r="B28" s="219">
        <v>46137</v>
      </c>
      <c r="C28" s="6"/>
      <c r="D28" s="6"/>
      <c r="E28" s="65"/>
      <c r="F28" s="6">
        <v>91.46</v>
      </c>
      <c r="G28" s="66">
        <f t="shared" si="0"/>
        <v>0</v>
      </c>
      <c r="H28" s="65">
        <v>5</v>
      </c>
      <c r="I28" s="6">
        <v>103.4</v>
      </c>
      <c r="J28" s="66">
        <f t="shared" si="1"/>
        <v>517</v>
      </c>
      <c r="K28" s="66">
        <f t="shared" si="2"/>
        <v>517</v>
      </c>
      <c r="L28" s="162">
        <v>0</v>
      </c>
      <c r="M28" s="259">
        <f t="shared" si="4"/>
        <v>7822.6435999999976</v>
      </c>
      <c r="N28" s="6"/>
      <c r="O28" s="5"/>
    </row>
    <row r="29" spans="1:15">
      <c r="A29" s="221">
        <v>26</v>
      </c>
      <c r="B29" s="219">
        <v>46138</v>
      </c>
      <c r="C29" s="6"/>
      <c r="D29" s="6"/>
      <c r="E29" s="65"/>
      <c r="F29" s="6">
        <v>91.46</v>
      </c>
      <c r="G29" s="66">
        <f t="shared" si="0"/>
        <v>0</v>
      </c>
      <c r="H29" s="65"/>
      <c r="I29" s="6"/>
      <c r="J29" s="66">
        <f t="shared" si="1"/>
        <v>0</v>
      </c>
      <c r="K29" s="66">
        <f t="shared" si="2"/>
        <v>0</v>
      </c>
      <c r="L29" s="162">
        <v>0</v>
      </c>
      <c r="M29" s="259">
        <f t="shared" si="4"/>
        <v>7822.6435999999976</v>
      </c>
      <c r="N29" s="6"/>
      <c r="O29" s="5"/>
    </row>
    <row r="30" spans="1:15">
      <c r="A30" s="221">
        <v>27</v>
      </c>
      <c r="B30" s="219">
        <v>46139</v>
      </c>
      <c r="C30" s="6"/>
      <c r="D30" s="6"/>
      <c r="E30" s="65"/>
      <c r="F30" s="6"/>
      <c r="G30" s="66">
        <f t="shared" ref="G7:G31" si="5">E30*F30</f>
        <v>0</v>
      </c>
      <c r="H30" s="65">
        <v>5</v>
      </c>
      <c r="I30" s="6">
        <v>103.4</v>
      </c>
      <c r="J30" s="66">
        <f t="shared" si="1"/>
        <v>517</v>
      </c>
      <c r="K30" s="66">
        <f t="shared" si="2"/>
        <v>517</v>
      </c>
      <c r="L30" s="162">
        <v>0</v>
      </c>
      <c r="M30" s="259">
        <f t="shared" si="4"/>
        <v>8339.6435999999976</v>
      </c>
      <c r="N30" s="6"/>
      <c r="O30" s="5"/>
    </row>
    <row r="31" spans="1:15">
      <c r="A31" s="221">
        <v>28</v>
      </c>
      <c r="B31" s="219">
        <v>46140</v>
      </c>
      <c r="C31" s="6"/>
      <c r="D31" s="6"/>
      <c r="E31" s="65">
        <v>82.12</v>
      </c>
      <c r="F31" s="6">
        <v>91.46</v>
      </c>
      <c r="G31" s="66">
        <f t="shared" si="5"/>
        <v>7510.6952000000001</v>
      </c>
      <c r="H31" s="65"/>
      <c r="I31" s="6"/>
      <c r="J31" s="66">
        <f t="shared" si="1"/>
        <v>0</v>
      </c>
      <c r="K31" s="66">
        <f t="shared" si="2"/>
        <v>7510.6952000000001</v>
      </c>
      <c r="L31" s="162">
        <v>0</v>
      </c>
      <c r="M31" s="259">
        <f t="shared" si="4"/>
        <v>15850.338799999998</v>
      </c>
      <c r="N31" s="6"/>
      <c r="O31" s="5"/>
    </row>
    <row r="32" spans="1:15">
      <c r="A32" s="222">
        <v>29</v>
      </c>
      <c r="B32" s="219">
        <v>46141</v>
      </c>
      <c r="C32" s="6"/>
      <c r="D32" s="6"/>
      <c r="E32" s="65"/>
      <c r="F32" s="6"/>
      <c r="G32" s="66">
        <v>0</v>
      </c>
      <c r="H32" s="65"/>
      <c r="I32" s="6"/>
      <c r="J32" s="66">
        <f t="shared" si="1"/>
        <v>0</v>
      </c>
      <c r="K32" s="66">
        <f t="shared" si="2"/>
        <v>0</v>
      </c>
      <c r="L32" s="162">
        <v>0</v>
      </c>
      <c r="M32" s="259">
        <f t="shared" si="4"/>
        <v>15850.338799999998</v>
      </c>
      <c r="N32" s="6"/>
      <c r="O32" s="5"/>
    </row>
    <row r="33" spans="1:15">
      <c r="A33" s="222">
        <v>30</v>
      </c>
      <c r="B33" s="219">
        <v>46142</v>
      </c>
      <c r="C33" s="6"/>
      <c r="D33" s="6"/>
      <c r="E33" s="65"/>
      <c r="F33" s="6"/>
      <c r="G33" s="66">
        <v>0</v>
      </c>
      <c r="H33" s="65"/>
      <c r="I33" s="6"/>
      <c r="J33" s="66">
        <f t="shared" si="1"/>
        <v>0</v>
      </c>
      <c r="K33" s="66">
        <f t="shared" si="2"/>
        <v>0</v>
      </c>
      <c r="L33" s="162">
        <v>0</v>
      </c>
      <c r="M33" s="259">
        <f t="shared" si="4"/>
        <v>15850.338799999998</v>
      </c>
      <c r="N33" s="6"/>
      <c r="O33" s="5"/>
    </row>
    <row r="34" spans="1:15">
      <c r="A34" s="222">
        <v>31</v>
      </c>
      <c r="B34" s="219"/>
      <c r="C34" s="6"/>
      <c r="D34" s="6"/>
      <c r="E34" s="65"/>
      <c r="F34" s="6"/>
      <c r="G34" s="66">
        <v>0</v>
      </c>
      <c r="H34" s="65"/>
      <c r="I34" s="6"/>
      <c r="J34" s="66">
        <f t="shared" si="1"/>
        <v>0</v>
      </c>
      <c r="K34" s="66">
        <f t="shared" si="2"/>
        <v>0</v>
      </c>
      <c r="L34" s="162">
        <v>0</v>
      </c>
      <c r="M34" s="259">
        <f t="shared" si="4"/>
        <v>15850.338799999998</v>
      </c>
      <c r="N34" s="6"/>
      <c r="O34" s="5"/>
    </row>
    <row r="35" spans="1:15">
      <c r="A35" s="6">
        <v>35</v>
      </c>
      <c r="B35" s="78"/>
      <c r="C35" s="6"/>
      <c r="D35" s="6"/>
      <c r="E35" s="65"/>
      <c r="F35" s="6"/>
      <c r="G35" s="66">
        <v>0</v>
      </c>
      <c r="H35" s="65"/>
      <c r="I35" s="6"/>
      <c r="J35" s="66">
        <f t="shared" si="1"/>
        <v>0</v>
      </c>
      <c r="K35" s="66">
        <f t="shared" si="2"/>
        <v>0</v>
      </c>
      <c r="L35" s="162">
        <v>0</v>
      </c>
      <c r="M35" s="259">
        <f t="shared" si="4"/>
        <v>15850.338799999998</v>
      </c>
      <c r="N35" s="6"/>
      <c r="O35" s="5"/>
    </row>
    <row r="36" spans="1:15">
      <c r="A36" s="6">
        <v>36</v>
      </c>
      <c r="B36" s="78"/>
      <c r="C36" s="6"/>
      <c r="D36" s="6"/>
      <c r="E36" s="65"/>
      <c r="F36" s="6"/>
      <c r="G36" s="66">
        <v>0</v>
      </c>
      <c r="H36" s="65"/>
      <c r="I36" s="6"/>
      <c r="J36" s="66">
        <f t="shared" si="1"/>
        <v>0</v>
      </c>
      <c r="K36" s="66">
        <f t="shared" si="2"/>
        <v>0</v>
      </c>
      <c r="L36" s="162">
        <v>0</v>
      </c>
      <c r="M36" s="259">
        <f t="shared" si="4"/>
        <v>15850.338799999998</v>
      </c>
      <c r="N36" s="6"/>
      <c r="O36" s="5"/>
    </row>
    <row r="37" spans="1:15">
      <c r="A37" s="6">
        <v>37</v>
      </c>
      <c r="B37" s="78"/>
      <c r="C37" s="6"/>
      <c r="D37" s="6"/>
      <c r="E37" s="65"/>
      <c r="F37" s="6"/>
      <c r="G37" s="66">
        <v>0</v>
      </c>
      <c r="H37" s="65"/>
      <c r="I37" s="6"/>
      <c r="J37" s="66">
        <f t="shared" si="1"/>
        <v>0</v>
      </c>
      <c r="K37" s="66">
        <f t="shared" si="2"/>
        <v>0</v>
      </c>
      <c r="L37" s="162">
        <v>0</v>
      </c>
      <c r="M37" s="259">
        <f t="shared" si="4"/>
        <v>15850.338799999998</v>
      </c>
      <c r="N37" s="6"/>
      <c r="O37" s="5"/>
    </row>
    <row r="38" spans="1:15">
      <c r="A38" s="6">
        <v>38</v>
      </c>
      <c r="B38" s="78"/>
      <c r="C38" s="6"/>
      <c r="D38" s="6"/>
      <c r="E38" s="65"/>
      <c r="F38" s="6"/>
      <c r="G38" s="66">
        <v>0</v>
      </c>
      <c r="H38" s="65"/>
      <c r="I38" s="6"/>
      <c r="J38" s="66">
        <f t="shared" si="1"/>
        <v>0</v>
      </c>
      <c r="K38" s="66">
        <f t="shared" si="2"/>
        <v>0</v>
      </c>
      <c r="L38" s="162">
        <v>0</v>
      </c>
      <c r="M38" s="259">
        <f t="shared" si="4"/>
        <v>15850.338799999998</v>
      </c>
      <c r="N38" s="6"/>
      <c r="O38" s="5"/>
    </row>
    <row r="39" spans="1:15">
      <c r="A39" s="169">
        <v>39</v>
      </c>
      <c r="B39" s="170"/>
      <c r="C39" s="169"/>
      <c r="D39" s="6"/>
      <c r="E39" s="65"/>
      <c r="F39" s="6"/>
      <c r="G39" s="66">
        <v>0</v>
      </c>
      <c r="H39" s="65"/>
      <c r="I39" s="6"/>
      <c r="J39" s="66">
        <f t="shared" si="1"/>
        <v>0</v>
      </c>
      <c r="K39" s="66">
        <f t="shared" si="2"/>
        <v>0</v>
      </c>
      <c r="L39" s="162">
        <v>0</v>
      </c>
      <c r="M39" s="259">
        <f t="shared" si="4"/>
        <v>15850.338799999998</v>
      </c>
      <c r="N39" s="169"/>
      <c r="O39" s="5"/>
    </row>
    <row r="40" spans="1:15">
      <c r="A40" s="6">
        <v>40</v>
      </c>
      <c r="B40" s="6"/>
      <c r="C40" s="6"/>
      <c r="D40" s="6"/>
      <c r="E40" s="65"/>
      <c r="F40" s="6"/>
      <c r="G40" s="66">
        <v>0</v>
      </c>
      <c r="H40" s="65"/>
      <c r="I40" s="6"/>
      <c r="J40" s="66">
        <f t="shared" si="1"/>
        <v>0</v>
      </c>
      <c r="K40" s="66">
        <f t="shared" si="2"/>
        <v>0</v>
      </c>
      <c r="L40" s="162">
        <v>0</v>
      </c>
      <c r="M40" s="259">
        <f t="shared" si="4"/>
        <v>15850.338799999998</v>
      </c>
      <c r="N40" s="6"/>
      <c r="O40" s="5"/>
    </row>
    <row r="41" spans="1:15">
      <c r="A41" s="169">
        <v>41</v>
      </c>
      <c r="B41" s="169"/>
      <c r="C41" s="169"/>
      <c r="D41" s="6"/>
      <c r="E41" s="65"/>
      <c r="F41" s="6"/>
      <c r="G41" s="66">
        <v>0</v>
      </c>
      <c r="H41" s="65"/>
      <c r="I41" s="6"/>
      <c r="J41" s="66">
        <f t="shared" si="1"/>
        <v>0</v>
      </c>
      <c r="K41" s="66">
        <f t="shared" si="2"/>
        <v>0</v>
      </c>
      <c r="L41" s="162">
        <v>0</v>
      </c>
      <c r="M41" s="259">
        <f t="shared" si="4"/>
        <v>15850.338799999998</v>
      </c>
      <c r="N41" s="169"/>
      <c r="O41" s="5"/>
    </row>
    <row r="42" spans="1:15">
      <c r="A42" s="169">
        <v>42</v>
      </c>
      <c r="B42" s="169"/>
      <c r="C42" s="169"/>
      <c r="D42" s="6"/>
      <c r="E42" s="65"/>
      <c r="F42" s="6"/>
      <c r="G42" s="66">
        <f t="shared" ref="G42" si="6">E42*F42</f>
        <v>0</v>
      </c>
      <c r="H42" s="65"/>
      <c r="I42" s="6"/>
      <c r="J42" s="66">
        <f t="shared" ref="J42" si="7">H42*I42</f>
        <v>0</v>
      </c>
      <c r="K42" s="171">
        <f t="shared" ref="K42" si="8">G42+J42</f>
        <v>0</v>
      </c>
      <c r="L42" s="172">
        <f t="shared" ref="L42" si="9">+K42</f>
        <v>0</v>
      </c>
      <c r="M42" s="259">
        <f t="shared" si="4"/>
        <v>15850.338799999998</v>
      </c>
      <c r="N42" s="169"/>
      <c r="O42" s="5"/>
    </row>
    <row r="43" spans="1:15">
      <c r="A43" s="62"/>
      <c r="B43" s="62"/>
      <c r="C43" s="62"/>
      <c r="D43" s="62"/>
      <c r="E43" s="63">
        <f>SUM(E4:E42)</f>
        <v>398.08</v>
      </c>
      <c r="F43" s="63"/>
      <c r="G43" s="63">
        <f>SUM(G4:G42)</f>
        <v>36408.396800000002</v>
      </c>
      <c r="H43" s="63">
        <f>SUM(H4:H42)</f>
        <v>52.629999999999995</v>
      </c>
      <c r="I43" s="63"/>
      <c r="J43" s="63">
        <f>SUM(J4:J42)</f>
        <v>5441.942</v>
      </c>
      <c r="K43" s="63">
        <f>SUM(K4:K42)</f>
        <v>41850.338799999998</v>
      </c>
      <c r="L43" s="63">
        <f>SUM(L4:L42)</f>
        <v>27291.635899999972</v>
      </c>
      <c r="M43" s="63"/>
      <c r="N43" s="63"/>
      <c r="O43" s="59"/>
    </row>
    <row r="44" spans="1:15">
      <c r="A44" s="5"/>
      <c r="B44" s="5"/>
      <c r="C44" s="5"/>
      <c r="D44" s="5"/>
      <c r="E44" s="5"/>
      <c r="F44" s="5"/>
      <c r="G44" s="102"/>
      <c r="H44" s="5"/>
      <c r="I44" s="5"/>
      <c r="J44" s="102"/>
      <c r="K44" s="5"/>
      <c r="L44" s="102"/>
      <c r="M44" s="102"/>
      <c r="N44" s="5"/>
      <c r="O44" s="5"/>
    </row>
    <row r="45" spans="1:15">
      <c r="A45" s="5"/>
      <c r="B45" s="5"/>
      <c r="C45" s="5"/>
      <c r="D45" s="5"/>
      <c r="E45" s="5"/>
      <c r="F45" s="5"/>
      <c r="G45" s="102"/>
      <c r="H45" s="5"/>
      <c r="I45" s="5"/>
      <c r="J45" s="102"/>
      <c r="K45" s="5"/>
      <c r="L45" s="102"/>
      <c r="M45" s="102"/>
      <c r="N45" s="5"/>
      <c r="O45" s="5"/>
    </row>
    <row r="46" spans="1:15">
      <c r="L46">
        <v>41648.541499999999</v>
      </c>
    </row>
    <row r="47" spans="1:15">
      <c r="L47" s="174">
        <f>L43+L46</f>
        <v>68940.177399999971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4E54-D29F-438F-9AA9-C122252DB046}">
  <sheetPr>
    <tabColor rgb="FF92D050"/>
  </sheetPr>
  <dimension ref="A1:R47"/>
  <sheetViews>
    <sheetView topLeftCell="A13" workbookViewId="0">
      <selection activeCell="P37" sqref="P37"/>
    </sheetView>
  </sheetViews>
  <sheetFormatPr defaultRowHeight="15"/>
  <cols>
    <col min="2" max="2" width="10.5703125" bestFit="1" customWidth="1"/>
    <col min="7" max="7" width="11.85546875" bestFit="1" customWidth="1"/>
    <col min="10" max="10" width="10.85546875" bestFit="1" customWidth="1"/>
    <col min="11" max="11" width="13.140625" bestFit="1" customWidth="1"/>
    <col min="12" max="12" width="12.140625" bestFit="1" customWidth="1"/>
    <col min="13" max="13" width="17.42578125" customWidth="1"/>
    <col min="14" max="14" width="11.85546875" customWidth="1"/>
    <col min="17" max="17" width="12" bestFit="1" customWidth="1"/>
  </cols>
  <sheetData>
    <row r="1" spans="1:18" ht="15.75">
      <c r="A1" s="495" t="s">
        <v>160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</row>
    <row r="2" spans="1:18" ht="45">
      <c r="A2" s="64" t="s">
        <v>0</v>
      </c>
      <c r="B2" s="83" t="s">
        <v>164</v>
      </c>
      <c r="C2" s="83" t="s">
        <v>165</v>
      </c>
      <c r="D2" s="83" t="s">
        <v>208</v>
      </c>
      <c r="E2" s="83" t="s">
        <v>167</v>
      </c>
      <c r="F2" s="83" t="s">
        <v>168</v>
      </c>
      <c r="G2" s="90" t="s">
        <v>169</v>
      </c>
      <c r="H2" s="83" t="s">
        <v>170</v>
      </c>
      <c r="I2" s="83" t="s">
        <v>168</v>
      </c>
      <c r="J2" s="90" t="s">
        <v>169</v>
      </c>
      <c r="K2" s="64" t="s">
        <v>171</v>
      </c>
      <c r="L2" s="91" t="s">
        <v>172</v>
      </c>
      <c r="M2" s="85" t="s">
        <v>209</v>
      </c>
      <c r="N2" s="83" t="s">
        <v>174</v>
      </c>
    </row>
    <row r="3" spans="1:18">
      <c r="A3" s="519" t="s">
        <v>175</v>
      </c>
      <c r="B3" s="520"/>
      <c r="C3" s="520"/>
      <c r="D3" s="520"/>
      <c r="E3" s="520"/>
      <c r="F3" s="520"/>
      <c r="G3" s="520"/>
      <c r="H3" s="520"/>
      <c r="I3" s="520"/>
      <c r="J3" s="520"/>
      <c r="K3" s="520"/>
      <c r="L3" s="521"/>
      <c r="M3" s="522">
        <v>53172.94170000001</v>
      </c>
      <c r="N3" s="523"/>
    </row>
    <row r="4" spans="1:18">
      <c r="A4" s="196">
        <v>1</v>
      </c>
      <c r="B4" s="219">
        <v>46113</v>
      </c>
      <c r="C4" s="6"/>
      <c r="D4" s="6"/>
      <c r="E4" s="65">
        <v>21.83</v>
      </c>
      <c r="F4" s="317">
        <v>91.62</v>
      </c>
      <c r="G4" s="66">
        <f>E4*F4</f>
        <v>2000.0645999999999</v>
      </c>
      <c r="H4" s="65"/>
      <c r="I4" s="6"/>
      <c r="J4" s="66">
        <f>H4*I4</f>
        <v>0</v>
      </c>
      <c r="K4" s="66">
        <f>G4+J4</f>
        <v>2000.0645999999999</v>
      </c>
      <c r="L4" s="162">
        <v>0</v>
      </c>
      <c r="M4" s="149">
        <f>M3+K4-L4</f>
        <v>55173.006300000008</v>
      </c>
      <c r="N4" s="46" t="s">
        <v>271</v>
      </c>
    </row>
    <row r="5" spans="1:18">
      <c r="A5" s="46">
        <v>2</v>
      </c>
      <c r="B5" s="219">
        <v>46114</v>
      </c>
      <c r="C5" s="6"/>
      <c r="D5" s="6"/>
      <c r="E5" s="65">
        <v>21.83</v>
      </c>
      <c r="F5" s="317">
        <v>91.62</v>
      </c>
      <c r="G5" s="66">
        <f t="shared" ref="G5:G38" si="0">E5*F5</f>
        <v>2000.0645999999999</v>
      </c>
      <c r="H5" s="65"/>
      <c r="I5" s="6"/>
      <c r="J5" s="66">
        <f t="shared" ref="J5:J40" si="1">H5*I5</f>
        <v>0</v>
      </c>
      <c r="K5" s="66">
        <f t="shared" ref="K5:K40" si="2">G5+J5</f>
        <v>2000.0645999999999</v>
      </c>
      <c r="L5" s="162">
        <v>0</v>
      </c>
      <c r="M5" s="149">
        <f t="shared" ref="M5:M33" si="3">M4+K5-L5</f>
        <v>57173.070900000006</v>
      </c>
      <c r="N5" s="46" t="s">
        <v>271</v>
      </c>
    </row>
    <row r="6" spans="1:18">
      <c r="A6" s="46">
        <v>3</v>
      </c>
      <c r="B6" s="219">
        <v>46115</v>
      </c>
      <c r="C6" s="6"/>
      <c r="D6" s="6"/>
      <c r="E6" s="65">
        <v>76.53</v>
      </c>
      <c r="F6" s="317">
        <v>91.62</v>
      </c>
      <c r="G6" s="66">
        <f t="shared" si="0"/>
        <v>7011.6786000000002</v>
      </c>
      <c r="H6" s="65"/>
      <c r="I6" s="6"/>
      <c r="J6" s="66">
        <f t="shared" si="1"/>
        <v>0</v>
      </c>
      <c r="K6" s="66">
        <f t="shared" si="2"/>
        <v>7011.6786000000002</v>
      </c>
      <c r="L6" s="162">
        <v>53172.94170000001</v>
      </c>
      <c r="M6" s="149">
        <f t="shared" si="3"/>
        <v>11011.807799999995</v>
      </c>
      <c r="N6" s="46" t="s">
        <v>271</v>
      </c>
    </row>
    <row r="7" spans="1:18">
      <c r="A7" s="46">
        <v>4</v>
      </c>
      <c r="B7" s="219">
        <v>46116</v>
      </c>
      <c r="C7" s="6"/>
      <c r="D7" s="6"/>
      <c r="E7" s="65">
        <v>32.74</v>
      </c>
      <c r="F7" s="317">
        <v>91.62</v>
      </c>
      <c r="G7" s="66">
        <f t="shared" si="0"/>
        <v>2999.6388000000002</v>
      </c>
      <c r="H7" s="65">
        <v>4.42</v>
      </c>
      <c r="I7" s="6">
        <v>113.05</v>
      </c>
      <c r="J7" s="66">
        <f t="shared" si="1"/>
        <v>499.68099999999998</v>
      </c>
      <c r="K7" s="66">
        <f t="shared" si="2"/>
        <v>3499.3198000000002</v>
      </c>
      <c r="L7" s="162">
        <v>0</v>
      </c>
      <c r="M7" s="149">
        <f>M6+K7-L7</f>
        <v>14511.127599999996</v>
      </c>
      <c r="N7" s="46" t="s">
        <v>271</v>
      </c>
    </row>
    <row r="8" spans="1:18">
      <c r="A8" s="46">
        <v>5</v>
      </c>
      <c r="B8" s="219">
        <v>46117</v>
      </c>
      <c r="C8" s="6"/>
      <c r="D8" s="6"/>
      <c r="E8" s="65"/>
      <c r="F8" s="317">
        <v>91.62</v>
      </c>
      <c r="G8" s="66">
        <f t="shared" si="0"/>
        <v>0</v>
      </c>
      <c r="H8" s="65"/>
      <c r="I8" s="6"/>
      <c r="J8" s="66">
        <f t="shared" si="1"/>
        <v>0</v>
      </c>
      <c r="K8" s="66">
        <f t="shared" si="2"/>
        <v>0</v>
      </c>
      <c r="L8" s="162">
        <v>0</v>
      </c>
      <c r="M8" s="149">
        <f t="shared" si="3"/>
        <v>14511.127599999996</v>
      </c>
      <c r="N8" s="46" t="s">
        <v>271</v>
      </c>
    </row>
    <row r="9" spans="1:18">
      <c r="A9" s="46">
        <v>6</v>
      </c>
      <c r="B9" s="219">
        <v>46118</v>
      </c>
      <c r="C9" s="6"/>
      <c r="D9" s="6"/>
      <c r="E9" s="65">
        <v>43.66</v>
      </c>
      <c r="F9" s="317">
        <v>91.62</v>
      </c>
      <c r="G9" s="66">
        <f t="shared" si="0"/>
        <v>4000.1291999999999</v>
      </c>
      <c r="H9" s="65"/>
      <c r="I9" s="6"/>
      <c r="J9" s="66">
        <f t="shared" si="1"/>
        <v>0</v>
      </c>
      <c r="K9" s="66">
        <f t="shared" si="2"/>
        <v>4000.1291999999999</v>
      </c>
      <c r="L9" s="162">
        <v>0</v>
      </c>
      <c r="M9" s="149">
        <f t="shared" si="3"/>
        <v>18511.256799999996</v>
      </c>
      <c r="N9" s="46" t="s">
        <v>271</v>
      </c>
    </row>
    <row r="10" spans="1:18">
      <c r="A10" s="46">
        <v>7</v>
      </c>
      <c r="B10" s="219">
        <v>46119</v>
      </c>
      <c r="C10" s="6"/>
      <c r="D10" s="6"/>
      <c r="E10" s="65"/>
      <c r="F10" s="317">
        <v>91.62</v>
      </c>
      <c r="G10" s="66">
        <f t="shared" si="0"/>
        <v>0</v>
      </c>
      <c r="H10" s="65">
        <v>9.25</v>
      </c>
      <c r="I10" s="6">
        <v>113.05</v>
      </c>
      <c r="J10" s="66">
        <f t="shared" si="1"/>
        <v>1045.7124999999999</v>
      </c>
      <c r="K10" s="66">
        <f t="shared" si="2"/>
        <v>1045.7124999999999</v>
      </c>
      <c r="L10" s="162">
        <v>0</v>
      </c>
      <c r="M10" s="149">
        <f t="shared" si="3"/>
        <v>19556.969299999997</v>
      </c>
      <c r="N10" s="46" t="s">
        <v>271</v>
      </c>
    </row>
    <row r="11" spans="1:18">
      <c r="A11" s="46">
        <v>8</v>
      </c>
      <c r="B11" s="219">
        <v>46120</v>
      </c>
      <c r="C11" s="6"/>
      <c r="D11" s="6"/>
      <c r="E11" s="65">
        <v>31.7</v>
      </c>
      <c r="F11" s="317">
        <v>91.62</v>
      </c>
      <c r="G11" s="66">
        <f t="shared" si="0"/>
        <v>2904.3540000000003</v>
      </c>
      <c r="H11" s="65"/>
      <c r="I11" s="6"/>
      <c r="J11" s="66">
        <f t="shared" si="1"/>
        <v>0</v>
      </c>
      <c r="K11" s="66">
        <f t="shared" si="2"/>
        <v>2904.3540000000003</v>
      </c>
      <c r="L11" s="162">
        <v>0</v>
      </c>
      <c r="M11" s="149">
        <f t="shared" si="3"/>
        <v>22461.323299999996</v>
      </c>
      <c r="N11" s="46" t="s">
        <v>271</v>
      </c>
    </row>
    <row r="12" spans="1:18">
      <c r="A12" s="46">
        <v>9</v>
      </c>
      <c r="B12" s="219">
        <v>46121</v>
      </c>
      <c r="C12" s="6"/>
      <c r="D12" s="6"/>
      <c r="E12" s="65">
        <v>21.83</v>
      </c>
      <c r="F12" s="317">
        <v>91.62</v>
      </c>
      <c r="G12" s="66">
        <f t="shared" si="0"/>
        <v>2000.0645999999999</v>
      </c>
      <c r="H12" s="65"/>
      <c r="I12" s="6"/>
      <c r="J12" s="66">
        <f t="shared" si="1"/>
        <v>0</v>
      </c>
      <c r="K12" s="66">
        <f t="shared" si="2"/>
        <v>2000.0645999999999</v>
      </c>
      <c r="L12" s="162">
        <v>0</v>
      </c>
      <c r="M12" s="149">
        <f t="shared" si="3"/>
        <v>24461.387899999998</v>
      </c>
      <c r="N12" s="46" t="s">
        <v>271</v>
      </c>
      <c r="R12" s="238"/>
    </row>
    <row r="13" spans="1:18">
      <c r="A13" s="46">
        <v>10</v>
      </c>
      <c r="B13" s="219">
        <v>46122</v>
      </c>
      <c r="C13" s="6"/>
      <c r="D13" s="6"/>
      <c r="E13" s="65">
        <v>27.29</v>
      </c>
      <c r="F13" s="317">
        <v>91.62</v>
      </c>
      <c r="G13" s="66">
        <f t="shared" si="0"/>
        <v>2500.3098</v>
      </c>
      <c r="H13" s="65"/>
      <c r="I13" s="6"/>
      <c r="J13" s="66">
        <f t="shared" si="1"/>
        <v>0</v>
      </c>
      <c r="K13" s="66">
        <f t="shared" si="2"/>
        <v>2500.3098</v>
      </c>
      <c r="L13" s="162">
        <v>0</v>
      </c>
      <c r="M13" s="149">
        <f t="shared" si="3"/>
        <v>26961.697699999997</v>
      </c>
      <c r="N13" s="46" t="s">
        <v>271</v>
      </c>
    </row>
    <row r="14" spans="1:18">
      <c r="A14" s="46">
        <v>11</v>
      </c>
      <c r="B14" s="219">
        <v>46123</v>
      </c>
      <c r="C14" s="6"/>
      <c r="D14" s="6"/>
      <c r="E14" s="65">
        <v>132.28</v>
      </c>
      <c r="F14" s="317">
        <v>91.62</v>
      </c>
      <c r="G14" s="66">
        <f t="shared" si="0"/>
        <v>12119.493600000002</v>
      </c>
      <c r="H14" s="65"/>
      <c r="I14" s="6"/>
      <c r="J14" s="66">
        <f t="shared" si="1"/>
        <v>0</v>
      </c>
      <c r="K14" s="66">
        <f t="shared" si="2"/>
        <v>12119.493600000002</v>
      </c>
      <c r="L14" s="162">
        <v>0</v>
      </c>
      <c r="M14" s="149">
        <f t="shared" si="3"/>
        <v>39081.191299999999</v>
      </c>
      <c r="N14" s="46" t="s">
        <v>271</v>
      </c>
    </row>
    <row r="15" spans="1:18">
      <c r="A15" s="46">
        <v>12</v>
      </c>
      <c r="B15" s="219">
        <v>46124</v>
      </c>
      <c r="C15" s="6"/>
      <c r="D15" s="6"/>
      <c r="E15" s="65"/>
      <c r="F15" s="317"/>
      <c r="G15" s="66">
        <f t="shared" si="0"/>
        <v>0</v>
      </c>
      <c r="H15" s="65"/>
      <c r="I15" s="6"/>
      <c r="J15" s="66">
        <f t="shared" si="1"/>
        <v>0</v>
      </c>
      <c r="K15" s="66">
        <f t="shared" si="2"/>
        <v>0</v>
      </c>
      <c r="L15" s="162">
        <v>0</v>
      </c>
      <c r="M15" s="149">
        <f>M14+K15-L15</f>
        <v>39081.191299999999</v>
      </c>
      <c r="N15" s="46" t="s">
        <v>271</v>
      </c>
    </row>
    <row r="16" spans="1:18">
      <c r="A16" s="46">
        <v>13</v>
      </c>
      <c r="B16" s="219">
        <v>46125</v>
      </c>
      <c r="C16" s="6"/>
      <c r="D16" s="6"/>
      <c r="E16" s="65">
        <v>35</v>
      </c>
      <c r="F16" s="317">
        <v>91.62</v>
      </c>
      <c r="G16" s="66">
        <f t="shared" si="0"/>
        <v>3206.7000000000003</v>
      </c>
      <c r="H16" s="65">
        <v>4.83</v>
      </c>
      <c r="I16" s="6">
        <v>103.57</v>
      </c>
      <c r="J16" s="66">
        <f t="shared" si="1"/>
        <v>500.24309999999997</v>
      </c>
      <c r="K16" s="66">
        <f t="shared" si="2"/>
        <v>3706.9431000000004</v>
      </c>
      <c r="L16" s="162">
        <v>0</v>
      </c>
      <c r="M16" s="149">
        <f t="shared" si="3"/>
        <v>42788.134399999995</v>
      </c>
      <c r="N16" s="46" t="s">
        <v>271</v>
      </c>
    </row>
    <row r="17" spans="1:14">
      <c r="A17" s="46">
        <v>14</v>
      </c>
      <c r="B17" s="219">
        <v>46126</v>
      </c>
      <c r="C17" s="6"/>
      <c r="D17" s="6"/>
      <c r="E17" s="65">
        <v>27.28</v>
      </c>
      <c r="F17" s="317">
        <v>91.62</v>
      </c>
      <c r="G17" s="66">
        <f t="shared" si="0"/>
        <v>2499.3936000000003</v>
      </c>
      <c r="H17" s="65"/>
      <c r="I17" s="6"/>
      <c r="J17" s="66">
        <f t="shared" si="1"/>
        <v>0</v>
      </c>
      <c r="K17" s="66">
        <f t="shared" si="2"/>
        <v>2499.3936000000003</v>
      </c>
      <c r="L17" s="162">
        <v>0</v>
      </c>
      <c r="M17" s="149">
        <f t="shared" si="3"/>
        <v>45287.527999999998</v>
      </c>
      <c r="N17" s="46" t="s">
        <v>271</v>
      </c>
    </row>
    <row r="18" spans="1:14">
      <c r="A18" s="46">
        <v>15</v>
      </c>
      <c r="B18" s="219">
        <v>46127</v>
      </c>
      <c r="C18" s="6"/>
      <c r="D18" s="6"/>
      <c r="E18" s="65"/>
      <c r="F18" s="317"/>
      <c r="G18" s="66">
        <f t="shared" si="0"/>
        <v>0</v>
      </c>
      <c r="H18" s="65"/>
      <c r="I18" s="6"/>
      <c r="J18" s="66">
        <f t="shared" si="1"/>
        <v>0</v>
      </c>
      <c r="K18" s="66">
        <f t="shared" si="2"/>
        <v>0</v>
      </c>
      <c r="L18" s="162">
        <v>0</v>
      </c>
      <c r="M18" s="149">
        <f t="shared" si="3"/>
        <v>45287.527999999998</v>
      </c>
      <c r="N18" s="46" t="s">
        <v>271</v>
      </c>
    </row>
    <row r="19" spans="1:14">
      <c r="A19" s="46">
        <v>16</v>
      </c>
      <c r="B19" s="219">
        <v>46128</v>
      </c>
      <c r="C19" s="6"/>
      <c r="D19" s="6"/>
      <c r="E19" s="65">
        <v>60.57</v>
      </c>
      <c r="F19" s="317">
        <v>91.62</v>
      </c>
      <c r="G19" s="66">
        <f t="shared" si="0"/>
        <v>5549.4234000000006</v>
      </c>
      <c r="H19" s="65"/>
      <c r="I19" s="6"/>
      <c r="J19" s="66">
        <f t="shared" si="1"/>
        <v>0</v>
      </c>
      <c r="K19" s="66">
        <f t="shared" si="2"/>
        <v>5549.4234000000006</v>
      </c>
      <c r="L19" s="162">
        <v>0</v>
      </c>
      <c r="M19" s="149">
        <f t="shared" si="3"/>
        <v>50836.951399999998</v>
      </c>
      <c r="N19" s="46" t="s">
        <v>271</v>
      </c>
    </row>
    <row r="20" spans="1:14">
      <c r="A20" s="46">
        <v>17</v>
      </c>
      <c r="B20" s="219">
        <v>46129</v>
      </c>
      <c r="C20" s="6"/>
      <c r="D20" s="6"/>
      <c r="E20" s="65"/>
      <c r="F20" s="317"/>
      <c r="G20" s="66">
        <f t="shared" si="0"/>
        <v>0</v>
      </c>
      <c r="H20" s="65"/>
      <c r="I20" s="6"/>
      <c r="J20" s="66">
        <f t="shared" si="1"/>
        <v>0</v>
      </c>
      <c r="K20" s="66">
        <f t="shared" si="2"/>
        <v>0</v>
      </c>
      <c r="L20" s="162">
        <v>0</v>
      </c>
      <c r="M20" s="149">
        <f t="shared" si="3"/>
        <v>50836.951399999998</v>
      </c>
      <c r="N20" s="46" t="s">
        <v>271</v>
      </c>
    </row>
    <row r="21" spans="1:14">
      <c r="A21" s="46">
        <v>18</v>
      </c>
      <c r="B21" s="219">
        <v>46130</v>
      </c>
      <c r="C21" s="6"/>
      <c r="D21" s="6"/>
      <c r="E21" s="65"/>
      <c r="F21" s="317"/>
      <c r="G21" s="66">
        <f t="shared" si="0"/>
        <v>0</v>
      </c>
      <c r="H21" s="65"/>
      <c r="I21" s="6"/>
      <c r="J21" s="66">
        <f t="shared" si="1"/>
        <v>0</v>
      </c>
      <c r="K21" s="66">
        <f t="shared" si="2"/>
        <v>0</v>
      </c>
      <c r="L21" s="162">
        <v>0</v>
      </c>
      <c r="M21" s="149">
        <f t="shared" si="3"/>
        <v>50836.951399999998</v>
      </c>
      <c r="N21" s="46" t="s">
        <v>271</v>
      </c>
    </row>
    <row r="22" spans="1:14">
      <c r="A22" s="46">
        <v>19</v>
      </c>
      <c r="B22" s="219">
        <v>46131</v>
      </c>
      <c r="C22" s="6"/>
      <c r="D22" s="6"/>
      <c r="E22" s="65">
        <v>27.29</v>
      </c>
      <c r="F22" s="317">
        <v>91.62</v>
      </c>
      <c r="G22" s="66">
        <f t="shared" si="0"/>
        <v>2500.3098</v>
      </c>
      <c r="H22" s="65">
        <v>4.83</v>
      </c>
      <c r="I22" s="6">
        <v>103.57</v>
      </c>
      <c r="J22" s="66">
        <f t="shared" si="1"/>
        <v>500.24309999999997</v>
      </c>
      <c r="K22" s="66">
        <f t="shared" si="2"/>
        <v>3000.5529000000001</v>
      </c>
      <c r="L22" s="162">
        <v>0</v>
      </c>
      <c r="M22" s="149">
        <f t="shared" si="3"/>
        <v>53837.504300000001</v>
      </c>
      <c r="N22" s="46" t="s">
        <v>271</v>
      </c>
    </row>
    <row r="23" spans="1:14">
      <c r="A23" s="46">
        <v>20</v>
      </c>
      <c r="B23" s="219">
        <v>46132</v>
      </c>
      <c r="C23" s="6"/>
      <c r="D23" s="6"/>
      <c r="E23" s="65">
        <v>54.16</v>
      </c>
      <c r="F23" s="317">
        <v>91.62</v>
      </c>
      <c r="G23" s="66">
        <f t="shared" si="0"/>
        <v>4962.1391999999996</v>
      </c>
      <c r="H23" s="65"/>
      <c r="I23" s="6"/>
      <c r="J23" s="66">
        <f t="shared" si="1"/>
        <v>0</v>
      </c>
      <c r="K23" s="66">
        <f t="shared" si="2"/>
        <v>4962.1391999999996</v>
      </c>
      <c r="L23" s="162">
        <v>0</v>
      </c>
      <c r="M23" s="149">
        <f t="shared" si="3"/>
        <v>58799.643499999998</v>
      </c>
      <c r="N23" s="46"/>
    </row>
    <row r="24" spans="1:14">
      <c r="A24" s="46">
        <v>21</v>
      </c>
      <c r="B24" s="219">
        <v>46133</v>
      </c>
      <c r="C24" s="6"/>
      <c r="D24" s="6"/>
      <c r="E24" s="65">
        <v>56.32</v>
      </c>
      <c r="F24" s="317">
        <v>91.62</v>
      </c>
      <c r="G24" s="66">
        <f t="shared" si="0"/>
        <v>5160.0384000000004</v>
      </c>
      <c r="H24" s="65"/>
      <c r="I24" s="6"/>
      <c r="J24" s="66">
        <f t="shared" si="1"/>
        <v>0</v>
      </c>
      <c r="K24" s="66">
        <f t="shared" si="2"/>
        <v>5160.0384000000004</v>
      </c>
      <c r="L24" s="162">
        <v>0</v>
      </c>
      <c r="M24" s="149">
        <f>M23+K24-L24</f>
        <v>63959.681899999996</v>
      </c>
      <c r="N24" s="46"/>
    </row>
    <row r="25" spans="1:14">
      <c r="A25" s="46">
        <v>22</v>
      </c>
      <c r="B25" s="219">
        <v>46134</v>
      </c>
      <c r="C25" s="6"/>
      <c r="D25" s="6"/>
      <c r="E25" s="65">
        <v>35</v>
      </c>
      <c r="F25" s="317">
        <v>91.62</v>
      </c>
      <c r="G25" s="66">
        <f t="shared" si="0"/>
        <v>3206.7000000000003</v>
      </c>
      <c r="H25" s="65"/>
      <c r="I25" s="6"/>
      <c r="J25" s="66">
        <f t="shared" si="1"/>
        <v>0</v>
      </c>
      <c r="K25" s="66">
        <f t="shared" si="2"/>
        <v>3206.7000000000003</v>
      </c>
      <c r="L25" s="162">
        <v>0</v>
      </c>
      <c r="M25" s="149">
        <f t="shared" si="3"/>
        <v>67166.381899999993</v>
      </c>
      <c r="N25" s="46"/>
    </row>
    <row r="26" spans="1:14">
      <c r="A26" s="46">
        <v>23</v>
      </c>
      <c r="B26" s="219">
        <v>46135</v>
      </c>
      <c r="C26" s="6"/>
      <c r="D26" s="6"/>
      <c r="E26" s="65"/>
      <c r="F26" s="317"/>
      <c r="G26" s="66">
        <f t="shared" si="0"/>
        <v>0</v>
      </c>
      <c r="H26" s="65"/>
      <c r="I26" s="6"/>
      <c r="J26" s="66">
        <f t="shared" si="1"/>
        <v>0</v>
      </c>
      <c r="K26" s="66">
        <f t="shared" si="2"/>
        <v>0</v>
      </c>
      <c r="L26" s="162">
        <v>0</v>
      </c>
      <c r="M26" s="149">
        <f t="shared" si="3"/>
        <v>67166.381899999993</v>
      </c>
      <c r="N26" s="6"/>
    </row>
    <row r="27" spans="1:14">
      <c r="A27" s="46">
        <v>24</v>
      </c>
      <c r="B27" s="219">
        <v>46136</v>
      </c>
      <c r="C27" s="6"/>
      <c r="D27" s="6"/>
      <c r="E27" s="65">
        <v>36.380000000000003</v>
      </c>
      <c r="F27" s="317">
        <v>91.62</v>
      </c>
      <c r="G27" s="66">
        <f t="shared" si="0"/>
        <v>3333.1356000000005</v>
      </c>
      <c r="H27" s="65">
        <v>4.83</v>
      </c>
      <c r="I27" s="6">
        <v>103.57</v>
      </c>
      <c r="J27" s="66">
        <f t="shared" si="1"/>
        <v>500.24309999999997</v>
      </c>
      <c r="K27" s="66">
        <f t="shared" si="2"/>
        <v>3833.3787000000007</v>
      </c>
      <c r="L27" s="162">
        <v>0</v>
      </c>
      <c r="M27" s="149">
        <f t="shared" si="3"/>
        <v>70999.760599999994</v>
      </c>
      <c r="N27" s="6"/>
    </row>
    <row r="28" spans="1:14">
      <c r="A28" s="221">
        <v>25</v>
      </c>
      <c r="B28" s="219">
        <v>46137</v>
      </c>
      <c r="C28" s="6"/>
      <c r="D28" s="6"/>
      <c r="E28" s="65">
        <v>27.29</v>
      </c>
      <c r="F28" s="317">
        <v>91.62</v>
      </c>
      <c r="G28" s="66">
        <f t="shared" si="0"/>
        <v>2500.3098</v>
      </c>
      <c r="H28" s="65"/>
      <c r="I28" s="6"/>
      <c r="J28" s="66">
        <f t="shared" si="1"/>
        <v>0</v>
      </c>
      <c r="K28" s="66">
        <f t="shared" si="2"/>
        <v>2500.3098</v>
      </c>
      <c r="L28" s="162">
        <v>0</v>
      </c>
      <c r="M28" s="149">
        <f t="shared" si="3"/>
        <v>73500.070399999997</v>
      </c>
      <c r="N28" s="6"/>
    </row>
    <row r="29" spans="1:14">
      <c r="A29" s="221">
        <v>26</v>
      </c>
      <c r="B29" s="219">
        <v>46138</v>
      </c>
      <c r="C29" s="6"/>
      <c r="D29" s="6"/>
      <c r="E29" s="65"/>
      <c r="F29" s="317"/>
      <c r="G29" s="66">
        <f t="shared" si="0"/>
        <v>0</v>
      </c>
      <c r="H29" s="65"/>
      <c r="I29" s="6"/>
      <c r="J29" s="66">
        <f t="shared" si="1"/>
        <v>0</v>
      </c>
      <c r="K29" s="66">
        <f t="shared" si="2"/>
        <v>0</v>
      </c>
      <c r="L29" s="162">
        <v>0</v>
      </c>
      <c r="M29" s="149">
        <f t="shared" si="3"/>
        <v>73500.070399999997</v>
      </c>
      <c r="N29" s="6"/>
    </row>
    <row r="30" spans="1:14">
      <c r="A30" s="221">
        <v>27</v>
      </c>
      <c r="B30" s="219">
        <v>46139</v>
      </c>
      <c r="C30" s="6"/>
      <c r="D30" s="6"/>
      <c r="E30" s="65">
        <v>35</v>
      </c>
      <c r="F30" s="317">
        <v>91.62</v>
      </c>
      <c r="G30" s="66">
        <f t="shared" si="0"/>
        <v>3206.7000000000003</v>
      </c>
      <c r="H30" s="65"/>
      <c r="I30" s="6"/>
      <c r="J30" s="66">
        <f t="shared" si="1"/>
        <v>0</v>
      </c>
      <c r="K30" s="66">
        <f t="shared" si="2"/>
        <v>3206.7000000000003</v>
      </c>
      <c r="L30" s="162">
        <v>0</v>
      </c>
      <c r="M30" s="149">
        <f t="shared" si="3"/>
        <v>76706.770399999994</v>
      </c>
      <c r="N30" s="6"/>
    </row>
    <row r="31" spans="1:14">
      <c r="A31" s="221">
        <v>28</v>
      </c>
      <c r="B31" s="219">
        <v>46140</v>
      </c>
      <c r="C31" s="6"/>
      <c r="D31" s="6"/>
      <c r="E31" s="65">
        <v>32.739999999999995</v>
      </c>
      <c r="F31" s="317">
        <v>91.62</v>
      </c>
      <c r="G31" s="66">
        <f t="shared" si="0"/>
        <v>2999.6387999999997</v>
      </c>
      <c r="H31" s="65"/>
      <c r="I31" s="6"/>
      <c r="J31" s="66">
        <f t="shared" si="1"/>
        <v>0</v>
      </c>
      <c r="K31" s="66">
        <f t="shared" si="2"/>
        <v>2999.6387999999997</v>
      </c>
      <c r="L31" s="162">
        <v>0</v>
      </c>
      <c r="M31" s="149">
        <f t="shared" si="3"/>
        <v>79706.409199999995</v>
      </c>
      <c r="N31" s="6"/>
    </row>
    <row r="32" spans="1:14">
      <c r="A32" s="222">
        <v>29</v>
      </c>
      <c r="B32" s="219">
        <v>46141</v>
      </c>
      <c r="C32" s="6"/>
      <c r="D32" s="6"/>
      <c r="E32" s="65">
        <v>31.47</v>
      </c>
      <c r="F32" s="317">
        <v>91.62</v>
      </c>
      <c r="G32" s="66">
        <f t="shared" si="0"/>
        <v>2883.2813999999998</v>
      </c>
      <c r="H32" s="65">
        <v>4.83</v>
      </c>
      <c r="I32" s="6">
        <v>103.57</v>
      </c>
      <c r="J32" s="66">
        <f t="shared" si="1"/>
        <v>500.24309999999997</v>
      </c>
      <c r="K32" s="66">
        <f t="shared" si="2"/>
        <v>3383.5245</v>
      </c>
      <c r="L32" s="162">
        <v>0</v>
      </c>
      <c r="M32" s="149">
        <f t="shared" si="3"/>
        <v>83089.933699999994</v>
      </c>
      <c r="N32" s="6"/>
    </row>
    <row r="33" spans="1:17">
      <c r="A33" s="222">
        <v>30</v>
      </c>
      <c r="B33" s="219">
        <v>46142</v>
      </c>
      <c r="C33" s="6"/>
      <c r="D33" s="6"/>
      <c r="E33" s="65"/>
      <c r="F33" s="317"/>
      <c r="G33" s="66">
        <f t="shared" si="0"/>
        <v>0</v>
      </c>
      <c r="H33" s="65"/>
      <c r="I33" s="6"/>
      <c r="J33" s="66">
        <f t="shared" si="1"/>
        <v>0</v>
      </c>
      <c r="K33" s="66">
        <f t="shared" si="2"/>
        <v>0</v>
      </c>
      <c r="L33" s="162">
        <v>0</v>
      </c>
      <c r="M33" s="149">
        <f t="shared" si="3"/>
        <v>83089.933699999994</v>
      </c>
      <c r="N33" s="6"/>
    </row>
    <row r="34" spans="1:17">
      <c r="A34" s="222">
        <v>31</v>
      </c>
      <c r="B34" s="219"/>
      <c r="C34" s="6"/>
      <c r="D34" s="6"/>
      <c r="E34" s="65"/>
      <c r="F34" s="317"/>
      <c r="G34" s="66">
        <f t="shared" si="0"/>
        <v>0</v>
      </c>
      <c r="H34" s="65"/>
      <c r="I34" s="6"/>
      <c r="J34" s="66">
        <f t="shared" si="1"/>
        <v>0</v>
      </c>
      <c r="K34" s="66">
        <f t="shared" si="2"/>
        <v>0</v>
      </c>
      <c r="L34" s="162">
        <v>0</v>
      </c>
      <c r="M34" s="149">
        <f t="shared" ref="M34:M39" si="4">M33+K34-L34</f>
        <v>83089.933699999994</v>
      </c>
      <c r="N34" s="6"/>
    </row>
    <row r="35" spans="1:17">
      <c r="A35" s="6">
        <v>35</v>
      </c>
      <c r="B35" s="78"/>
      <c r="C35" s="6"/>
      <c r="D35" s="6"/>
      <c r="E35" s="65"/>
      <c r="F35" s="317"/>
      <c r="G35" s="66">
        <f t="shared" si="0"/>
        <v>0</v>
      </c>
      <c r="H35" s="65"/>
      <c r="I35" s="6"/>
      <c r="J35" s="66">
        <f t="shared" si="1"/>
        <v>0</v>
      </c>
      <c r="K35" s="66">
        <f t="shared" si="2"/>
        <v>0</v>
      </c>
      <c r="L35" s="162">
        <v>0</v>
      </c>
      <c r="M35" s="149">
        <f t="shared" si="4"/>
        <v>83089.933699999994</v>
      </c>
      <c r="N35" s="6"/>
    </row>
    <row r="36" spans="1:17">
      <c r="A36" s="6">
        <v>36</v>
      </c>
      <c r="B36" s="78"/>
      <c r="C36" s="6"/>
      <c r="D36" s="6"/>
      <c r="E36" s="65"/>
      <c r="F36" s="317"/>
      <c r="G36" s="66">
        <f t="shared" si="0"/>
        <v>0</v>
      </c>
      <c r="H36" s="65"/>
      <c r="I36" s="6"/>
      <c r="J36" s="66">
        <f t="shared" si="1"/>
        <v>0</v>
      </c>
      <c r="K36" s="66">
        <f t="shared" si="2"/>
        <v>0</v>
      </c>
      <c r="L36" s="162">
        <v>0</v>
      </c>
      <c r="M36" s="149">
        <f t="shared" si="4"/>
        <v>83089.933699999994</v>
      </c>
      <c r="N36" s="6"/>
    </row>
    <row r="37" spans="1:17">
      <c r="A37" s="6">
        <v>37</v>
      </c>
      <c r="B37" s="78"/>
      <c r="C37" s="6"/>
      <c r="D37" s="6"/>
      <c r="E37" s="65"/>
      <c r="F37" s="317"/>
      <c r="G37" s="66">
        <f t="shared" si="0"/>
        <v>0</v>
      </c>
      <c r="H37" s="65"/>
      <c r="I37" s="6"/>
      <c r="J37" s="66">
        <f t="shared" si="1"/>
        <v>0</v>
      </c>
      <c r="K37" s="66">
        <f t="shared" si="2"/>
        <v>0</v>
      </c>
      <c r="L37" s="162">
        <v>0</v>
      </c>
      <c r="M37" s="149">
        <f t="shared" si="4"/>
        <v>83089.933699999994</v>
      </c>
      <c r="N37" s="6"/>
    </row>
    <row r="38" spans="1:17">
      <c r="A38" s="6">
        <v>38</v>
      </c>
      <c r="B38" s="78"/>
      <c r="C38" s="6"/>
      <c r="D38" s="6"/>
      <c r="E38" s="65"/>
      <c r="F38" s="317"/>
      <c r="G38" s="66">
        <f t="shared" si="0"/>
        <v>0</v>
      </c>
      <c r="H38" s="65"/>
      <c r="I38" s="6"/>
      <c r="J38" s="66">
        <f t="shared" si="1"/>
        <v>0</v>
      </c>
      <c r="K38" s="66">
        <f t="shared" si="2"/>
        <v>0</v>
      </c>
      <c r="L38" s="162">
        <v>0</v>
      </c>
      <c r="M38" s="149">
        <f t="shared" si="4"/>
        <v>83089.933699999994</v>
      </c>
      <c r="N38" s="6"/>
    </row>
    <row r="39" spans="1:17">
      <c r="A39" s="169">
        <v>39</v>
      </c>
      <c r="B39" s="170"/>
      <c r="C39" s="169"/>
      <c r="D39" s="6"/>
      <c r="E39" s="65"/>
      <c r="F39" s="317"/>
      <c r="G39" s="66">
        <f t="shared" ref="G5:G40" si="5">E39*F39</f>
        <v>0</v>
      </c>
      <c r="H39" s="65"/>
      <c r="I39" s="6"/>
      <c r="J39" s="66">
        <f t="shared" si="1"/>
        <v>0</v>
      </c>
      <c r="K39" s="66">
        <f t="shared" si="2"/>
        <v>0</v>
      </c>
      <c r="L39" s="162">
        <v>0</v>
      </c>
      <c r="M39" s="149">
        <f>M38+K39-L39</f>
        <v>83089.933699999994</v>
      </c>
      <c r="N39" s="169"/>
    </row>
    <row r="40" spans="1:17">
      <c r="A40" s="6">
        <v>40</v>
      </c>
      <c r="B40" s="6"/>
      <c r="C40" s="6"/>
      <c r="D40" s="6"/>
      <c r="E40" s="65"/>
      <c r="F40" s="317"/>
      <c r="G40" s="66">
        <f t="shared" ref="G40:G42" si="6">E40*F40</f>
        <v>0</v>
      </c>
      <c r="H40" s="65"/>
      <c r="I40" s="6"/>
      <c r="J40" s="66">
        <f t="shared" si="1"/>
        <v>0</v>
      </c>
      <c r="K40" s="66">
        <f t="shared" si="2"/>
        <v>0</v>
      </c>
      <c r="L40" s="162">
        <v>0</v>
      </c>
      <c r="M40" s="149">
        <v>0</v>
      </c>
      <c r="N40" s="6"/>
    </row>
    <row r="41" spans="1:17">
      <c r="A41" s="169">
        <v>41</v>
      </c>
      <c r="B41" s="169"/>
      <c r="C41" s="169"/>
      <c r="D41" s="6"/>
      <c r="E41" s="65"/>
      <c r="F41" s="317"/>
      <c r="G41" s="66">
        <f t="shared" si="6"/>
        <v>0</v>
      </c>
      <c r="H41" s="65"/>
      <c r="I41" s="6"/>
      <c r="J41" s="66">
        <f t="shared" ref="J5:J41" si="7">H41*I41</f>
        <v>0</v>
      </c>
      <c r="K41" s="66">
        <f t="shared" ref="K5:K41" si="8">G41+J41</f>
        <v>0</v>
      </c>
      <c r="L41" s="162">
        <v>0</v>
      </c>
      <c r="M41" s="173">
        <v>0</v>
      </c>
      <c r="N41" s="169"/>
    </row>
    <row r="42" spans="1:17">
      <c r="A42" s="169">
        <v>42</v>
      </c>
      <c r="B42" s="169"/>
      <c r="C42" s="169"/>
      <c r="D42" s="6"/>
      <c r="E42" s="65"/>
      <c r="F42" s="317"/>
      <c r="G42" s="66">
        <f t="shared" si="6"/>
        <v>0</v>
      </c>
      <c r="H42" s="65"/>
      <c r="I42" s="6"/>
      <c r="J42" s="66">
        <f t="shared" ref="J42" si="9">H42*I42</f>
        <v>0</v>
      </c>
      <c r="K42" s="171">
        <f t="shared" ref="K42" si="10">G42+J42</f>
        <v>0</v>
      </c>
      <c r="L42" s="172">
        <f t="shared" ref="L42" si="11">+K42</f>
        <v>0</v>
      </c>
      <c r="M42" s="173">
        <v>0</v>
      </c>
      <c r="N42" s="169"/>
    </row>
    <row r="43" spans="1:17">
      <c r="A43" s="62"/>
      <c r="B43" s="62"/>
      <c r="C43" s="62"/>
      <c r="D43" s="62"/>
      <c r="E43" s="63">
        <f>SUM(E4:E42)</f>
        <v>868.19</v>
      </c>
      <c r="F43" s="63"/>
      <c r="G43" s="63">
        <f>SUM(G4:G42)</f>
        <v>79543.56779999999</v>
      </c>
      <c r="H43" s="63">
        <f>SUM(H4:H42)</f>
        <v>32.989999999999995</v>
      </c>
      <c r="I43" s="63"/>
      <c r="J43" s="63">
        <f>SUM(J4:J42)</f>
        <v>3546.3659000000002</v>
      </c>
      <c r="K43" s="63">
        <f>SUM(K4:K42)</f>
        <v>83089.933700000009</v>
      </c>
      <c r="L43" s="63">
        <f>SUM(L4:L42)</f>
        <v>53172.94170000001</v>
      </c>
      <c r="M43" s="63"/>
      <c r="N43" s="63"/>
    </row>
    <row r="47" spans="1:17">
      <c r="Q47">
        <v>9542400867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BF21-978C-45C0-87AC-3079BCB517B4}">
  <dimension ref="A1:O44"/>
  <sheetViews>
    <sheetView workbookViewId="0">
      <pane ySplit="2" topLeftCell="A3" activePane="bottomLeft" state="frozen"/>
      <selection pane="bottomLeft" activeCell="S10" sqref="S10"/>
    </sheetView>
  </sheetViews>
  <sheetFormatPr defaultRowHeight="15"/>
  <cols>
    <col min="1" max="1" width="5.140625" bestFit="1" customWidth="1"/>
    <col min="2" max="2" width="10.140625" bestFit="1" customWidth="1"/>
    <col min="3" max="3" width="8" bestFit="1" customWidth="1"/>
    <col min="4" max="4" width="13.28515625" bestFit="1" customWidth="1"/>
    <col min="5" max="5" width="10.7109375" bestFit="1" customWidth="1"/>
    <col min="6" max="6" width="9.7109375" bestFit="1" customWidth="1"/>
    <col min="7" max="7" width="13.140625" customWidth="1"/>
    <col min="8" max="8" width="10.7109375" bestFit="1" customWidth="1"/>
    <col min="9" max="9" width="7.140625" bestFit="1" customWidth="1"/>
    <col min="10" max="10" width="9.7109375" bestFit="1" customWidth="1"/>
    <col min="11" max="12" width="13.5703125" bestFit="1" customWidth="1"/>
    <col min="13" max="13" width="14.42578125" customWidth="1"/>
    <col min="14" max="14" width="16.42578125" bestFit="1" customWidth="1"/>
  </cols>
  <sheetData>
    <row r="1" spans="1:15" ht="15.75" customHeight="1">
      <c r="A1" s="481" t="s">
        <v>162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82"/>
    </row>
    <row r="2" spans="1:15" ht="16.5" customHeight="1">
      <c r="A2" s="98" t="s">
        <v>0</v>
      </c>
      <c r="B2" s="99" t="s">
        <v>164</v>
      </c>
      <c r="C2" s="99" t="s">
        <v>165</v>
      </c>
      <c r="D2" s="99" t="s">
        <v>208</v>
      </c>
      <c r="E2" s="99" t="s">
        <v>167</v>
      </c>
      <c r="F2" s="99" t="s">
        <v>168</v>
      </c>
      <c r="G2" s="99" t="s">
        <v>169</v>
      </c>
      <c r="H2" s="99" t="s">
        <v>170</v>
      </c>
      <c r="I2" s="99" t="s">
        <v>168</v>
      </c>
      <c r="J2" s="138" t="s">
        <v>169</v>
      </c>
      <c r="K2" s="100" t="s">
        <v>171</v>
      </c>
      <c r="L2" s="139" t="s">
        <v>172</v>
      </c>
      <c r="M2" s="143" t="s">
        <v>209</v>
      </c>
      <c r="N2" s="101" t="s">
        <v>174</v>
      </c>
      <c r="O2" s="59"/>
    </row>
    <row r="3" spans="1:15" ht="16.5" customHeight="1">
      <c r="A3" s="482" t="s">
        <v>175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4"/>
      <c r="M3" s="148">
        <v>0</v>
      </c>
      <c r="N3" s="156"/>
      <c r="O3" s="59"/>
    </row>
    <row r="4" spans="1:15">
      <c r="A4" s="196">
        <v>1</v>
      </c>
      <c r="B4" s="219">
        <v>46113</v>
      </c>
      <c r="C4" s="67"/>
      <c r="D4" s="159"/>
      <c r="E4" s="65"/>
      <c r="F4" s="65"/>
      <c r="G4" s="8">
        <f>E4*F4</f>
        <v>0</v>
      </c>
      <c r="H4" s="65"/>
      <c r="I4" s="66"/>
      <c r="J4" s="8">
        <f>H4*I4</f>
        <v>0</v>
      </c>
      <c r="K4" s="8">
        <f>G4+J4</f>
        <v>0</v>
      </c>
      <c r="L4" s="68">
        <f>+K4</f>
        <v>0</v>
      </c>
      <c r="M4" s="68">
        <v>0</v>
      </c>
      <c r="N4" s="8"/>
    </row>
    <row r="5" spans="1:15">
      <c r="A5" s="46">
        <v>2</v>
      </c>
      <c r="B5" s="219">
        <v>46114</v>
      </c>
      <c r="C5" s="67"/>
      <c r="D5" s="159"/>
      <c r="E5" s="65"/>
      <c r="F5" s="65"/>
      <c r="G5" s="8">
        <f t="shared" ref="G5:G34" si="0">E5*F5</f>
        <v>0</v>
      </c>
      <c r="H5" s="65"/>
      <c r="I5" s="66"/>
      <c r="J5" s="8">
        <f t="shared" ref="J5:J8" si="1">H5*I5</f>
        <v>0</v>
      </c>
      <c r="K5" s="8">
        <f t="shared" ref="K5:K33" si="2">G5+J5</f>
        <v>0</v>
      </c>
      <c r="L5" s="68">
        <f t="shared" ref="L5:L33" si="3">+K5</f>
        <v>0</v>
      </c>
      <c r="M5" s="68">
        <v>0</v>
      </c>
      <c r="N5" s="8"/>
    </row>
    <row r="6" spans="1:15">
      <c r="A6" s="46">
        <v>3</v>
      </c>
      <c r="B6" s="219">
        <v>46115</v>
      </c>
      <c r="C6" s="67"/>
      <c r="D6" s="159"/>
      <c r="E6" s="65"/>
      <c r="F6" s="65"/>
      <c r="G6" s="8">
        <f t="shared" si="0"/>
        <v>0</v>
      </c>
      <c r="H6" s="65"/>
      <c r="I6" s="66"/>
      <c r="J6" s="8">
        <f t="shared" si="1"/>
        <v>0</v>
      </c>
      <c r="K6" s="8">
        <f t="shared" si="2"/>
        <v>0</v>
      </c>
      <c r="L6" s="68">
        <f t="shared" si="3"/>
        <v>0</v>
      </c>
      <c r="M6" s="68">
        <v>0</v>
      </c>
      <c r="N6" s="8"/>
    </row>
    <row r="7" spans="1:15">
      <c r="A7" s="46">
        <v>4</v>
      </c>
      <c r="B7" s="219">
        <v>46116</v>
      </c>
      <c r="C7" s="67"/>
      <c r="D7" s="159"/>
      <c r="E7" s="65"/>
      <c r="F7" s="65"/>
      <c r="G7" s="8">
        <f t="shared" si="0"/>
        <v>0</v>
      </c>
      <c r="H7" s="65"/>
      <c r="I7" s="66"/>
      <c r="J7" s="8">
        <f t="shared" ref="J7" si="4">H7*I7</f>
        <v>0</v>
      </c>
      <c r="K7" s="8">
        <f t="shared" si="2"/>
        <v>0</v>
      </c>
      <c r="L7" s="68">
        <f t="shared" si="3"/>
        <v>0</v>
      </c>
      <c r="M7" s="68">
        <v>0</v>
      </c>
      <c r="N7" s="8"/>
    </row>
    <row r="8" spans="1:15">
      <c r="A8" s="46">
        <v>5</v>
      </c>
      <c r="B8" s="219">
        <v>46117</v>
      </c>
      <c r="C8" s="67"/>
      <c r="D8" s="159"/>
      <c r="E8" s="65"/>
      <c r="F8" s="65"/>
      <c r="G8" s="8">
        <f t="shared" si="0"/>
        <v>0</v>
      </c>
      <c r="H8" s="65"/>
      <c r="I8" s="66"/>
      <c r="J8" s="8">
        <f t="shared" si="1"/>
        <v>0</v>
      </c>
      <c r="K8" s="8">
        <f t="shared" si="2"/>
        <v>0</v>
      </c>
      <c r="L8" s="68">
        <f t="shared" si="3"/>
        <v>0</v>
      </c>
      <c r="M8" s="68">
        <v>0</v>
      </c>
      <c r="N8" s="8"/>
      <c r="O8" s="69"/>
    </row>
    <row r="9" spans="1:15">
      <c r="A9" s="46">
        <v>6</v>
      </c>
      <c r="B9" s="219">
        <v>46118</v>
      </c>
      <c r="C9" s="67"/>
      <c r="D9" s="159"/>
      <c r="E9" s="65"/>
      <c r="F9" s="65"/>
      <c r="G9" s="8">
        <f t="shared" si="0"/>
        <v>0</v>
      </c>
      <c r="H9" s="65">
        <v>19.89</v>
      </c>
      <c r="I9" s="66">
        <v>102.47</v>
      </c>
      <c r="J9" s="8">
        <f t="shared" ref="J9:J34" si="5">H9*I9</f>
        <v>2038.1283000000001</v>
      </c>
      <c r="K9" s="8">
        <f t="shared" si="2"/>
        <v>2038.1283000000001</v>
      </c>
      <c r="L9" s="68">
        <f t="shared" si="3"/>
        <v>2038.1283000000001</v>
      </c>
      <c r="M9" s="68">
        <v>0</v>
      </c>
      <c r="N9" s="8"/>
      <c r="O9" s="69"/>
    </row>
    <row r="10" spans="1:15">
      <c r="A10" s="46">
        <v>7</v>
      </c>
      <c r="B10" s="219">
        <v>46119</v>
      </c>
      <c r="C10" s="67"/>
      <c r="D10" s="159"/>
      <c r="E10" s="65"/>
      <c r="F10" s="65"/>
      <c r="G10" s="8">
        <f t="shared" si="0"/>
        <v>0</v>
      </c>
      <c r="H10" s="65"/>
      <c r="I10" s="66"/>
      <c r="J10" s="8">
        <f t="shared" si="5"/>
        <v>0</v>
      </c>
      <c r="K10" s="8">
        <f t="shared" si="2"/>
        <v>0</v>
      </c>
      <c r="L10" s="68">
        <f t="shared" si="3"/>
        <v>0</v>
      </c>
      <c r="M10" s="68">
        <v>0</v>
      </c>
      <c r="N10" s="8"/>
      <c r="O10" s="69"/>
    </row>
    <row r="11" spans="1:15">
      <c r="A11" s="46">
        <v>8</v>
      </c>
      <c r="B11" s="219">
        <v>46120</v>
      </c>
      <c r="C11" s="67"/>
      <c r="D11" s="159"/>
      <c r="E11" s="65"/>
      <c r="F11" s="65"/>
      <c r="G11" s="8">
        <f t="shared" si="0"/>
        <v>0</v>
      </c>
      <c r="H11" s="65"/>
      <c r="I11" s="66"/>
      <c r="J11" s="8">
        <f t="shared" si="5"/>
        <v>0</v>
      </c>
      <c r="K11" s="8">
        <f t="shared" si="2"/>
        <v>0</v>
      </c>
      <c r="L11" s="68">
        <f t="shared" si="3"/>
        <v>0</v>
      </c>
      <c r="M11" s="68">
        <v>0</v>
      </c>
      <c r="N11" s="8"/>
      <c r="O11" s="69"/>
    </row>
    <row r="12" spans="1:15">
      <c r="A12" s="46">
        <v>9</v>
      </c>
      <c r="B12" s="219">
        <v>46121</v>
      </c>
      <c r="C12" s="67"/>
      <c r="D12" s="159"/>
      <c r="E12" s="65"/>
      <c r="F12" s="65"/>
      <c r="G12" s="8">
        <f t="shared" si="0"/>
        <v>0</v>
      </c>
      <c r="H12" s="65"/>
      <c r="I12" s="66"/>
      <c r="J12" s="8">
        <f t="shared" si="5"/>
        <v>0</v>
      </c>
      <c r="K12" s="8">
        <f t="shared" si="2"/>
        <v>0</v>
      </c>
      <c r="L12" s="68">
        <f t="shared" si="3"/>
        <v>0</v>
      </c>
      <c r="M12" s="68">
        <v>0</v>
      </c>
      <c r="N12" s="8"/>
      <c r="O12" s="69"/>
    </row>
    <row r="13" spans="1:15">
      <c r="A13" s="46">
        <v>10</v>
      </c>
      <c r="B13" s="219">
        <v>46122</v>
      </c>
      <c r="C13" s="67"/>
      <c r="D13" s="159"/>
      <c r="E13" s="65"/>
      <c r="F13" s="65"/>
      <c r="G13" s="8">
        <f t="shared" si="0"/>
        <v>0</v>
      </c>
      <c r="H13" s="65"/>
      <c r="I13" s="66"/>
      <c r="J13" s="8">
        <f t="shared" si="5"/>
        <v>0</v>
      </c>
      <c r="K13" s="8">
        <f t="shared" si="2"/>
        <v>0</v>
      </c>
      <c r="L13" s="68">
        <f t="shared" si="3"/>
        <v>0</v>
      </c>
      <c r="M13" s="68">
        <v>0</v>
      </c>
      <c r="N13" s="8"/>
      <c r="O13" s="69"/>
    </row>
    <row r="14" spans="1:15">
      <c r="A14" s="46">
        <v>11</v>
      </c>
      <c r="B14" s="219">
        <v>46123</v>
      </c>
      <c r="C14" s="67"/>
      <c r="D14" s="159"/>
      <c r="E14" s="65"/>
      <c r="F14" s="65"/>
      <c r="G14" s="8">
        <f t="shared" si="0"/>
        <v>0</v>
      </c>
      <c r="H14" s="65"/>
      <c r="I14" s="66"/>
      <c r="J14" s="8">
        <f t="shared" si="5"/>
        <v>0</v>
      </c>
      <c r="K14" s="8">
        <f t="shared" si="2"/>
        <v>0</v>
      </c>
      <c r="L14" s="68">
        <f t="shared" si="3"/>
        <v>0</v>
      </c>
      <c r="M14" s="68">
        <v>0</v>
      </c>
      <c r="N14" s="8"/>
      <c r="O14" s="69"/>
    </row>
    <row r="15" spans="1:15">
      <c r="A15" s="46">
        <v>12</v>
      </c>
      <c r="B15" s="219">
        <v>46124</v>
      </c>
      <c r="C15" s="67"/>
      <c r="D15" s="159"/>
      <c r="E15" s="65"/>
      <c r="F15" s="65"/>
      <c r="G15" s="8">
        <f t="shared" si="0"/>
        <v>0</v>
      </c>
      <c r="H15" s="65"/>
      <c r="I15" s="66"/>
      <c r="J15" s="8">
        <f t="shared" si="5"/>
        <v>0</v>
      </c>
      <c r="K15" s="8">
        <f t="shared" si="2"/>
        <v>0</v>
      </c>
      <c r="L15" s="68">
        <f t="shared" si="3"/>
        <v>0</v>
      </c>
      <c r="M15" s="68">
        <v>0</v>
      </c>
      <c r="N15" s="8"/>
      <c r="O15" s="69"/>
    </row>
    <row r="16" spans="1:15">
      <c r="A16" s="46">
        <v>13</v>
      </c>
      <c r="B16" s="219">
        <v>46125</v>
      </c>
      <c r="C16" s="67"/>
      <c r="D16" s="159"/>
      <c r="E16" s="65"/>
      <c r="F16" s="65"/>
      <c r="G16" s="8">
        <f t="shared" si="0"/>
        <v>0</v>
      </c>
      <c r="H16" s="65"/>
      <c r="I16" s="66"/>
      <c r="J16" s="8">
        <f t="shared" si="5"/>
        <v>0</v>
      </c>
      <c r="K16" s="8">
        <f t="shared" si="2"/>
        <v>0</v>
      </c>
      <c r="L16" s="68">
        <f t="shared" si="3"/>
        <v>0</v>
      </c>
      <c r="M16" s="68">
        <v>0</v>
      </c>
      <c r="N16" s="8"/>
      <c r="O16" s="69"/>
    </row>
    <row r="17" spans="1:15">
      <c r="A17" s="46">
        <v>14</v>
      </c>
      <c r="B17" s="219">
        <v>46126</v>
      </c>
      <c r="C17" s="67"/>
      <c r="D17" s="159"/>
      <c r="E17" s="65"/>
      <c r="F17" s="65"/>
      <c r="G17" s="8">
        <f t="shared" si="0"/>
        <v>0</v>
      </c>
      <c r="H17" s="65"/>
      <c r="I17" s="66"/>
      <c r="J17" s="8">
        <f t="shared" si="5"/>
        <v>0</v>
      </c>
      <c r="K17" s="8">
        <f t="shared" si="2"/>
        <v>0</v>
      </c>
      <c r="L17" s="68">
        <f t="shared" si="3"/>
        <v>0</v>
      </c>
      <c r="M17" s="68">
        <v>0</v>
      </c>
      <c r="N17" s="8"/>
      <c r="O17" s="69"/>
    </row>
    <row r="18" spans="1:15">
      <c r="A18" s="46">
        <v>15</v>
      </c>
      <c r="B18" s="219">
        <v>46127</v>
      </c>
      <c r="C18" s="67"/>
      <c r="D18" s="159"/>
      <c r="E18" s="65"/>
      <c r="F18" s="65"/>
      <c r="G18" s="8">
        <f t="shared" si="0"/>
        <v>0</v>
      </c>
      <c r="H18" s="65"/>
      <c r="I18" s="66"/>
      <c r="J18" s="8">
        <f t="shared" si="5"/>
        <v>0</v>
      </c>
      <c r="K18" s="8">
        <f t="shared" si="2"/>
        <v>0</v>
      </c>
      <c r="L18" s="68">
        <f t="shared" si="3"/>
        <v>0</v>
      </c>
      <c r="M18" s="68">
        <v>0</v>
      </c>
      <c r="N18" s="8"/>
      <c r="O18" s="69"/>
    </row>
    <row r="19" spans="1:15">
      <c r="A19" s="46">
        <v>16</v>
      </c>
      <c r="B19" s="219">
        <v>46128</v>
      </c>
      <c r="C19" s="67"/>
      <c r="D19" s="159"/>
      <c r="E19" s="65"/>
      <c r="F19" s="65"/>
      <c r="G19" s="8">
        <f t="shared" si="0"/>
        <v>0</v>
      </c>
      <c r="H19" s="65"/>
      <c r="I19" s="66"/>
      <c r="J19" s="8">
        <f t="shared" si="5"/>
        <v>0</v>
      </c>
      <c r="K19" s="8">
        <f t="shared" si="2"/>
        <v>0</v>
      </c>
      <c r="L19" s="68">
        <f>+K19</f>
        <v>0</v>
      </c>
      <c r="M19" s="68">
        <v>0</v>
      </c>
      <c r="N19" s="8"/>
      <c r="O19" s="69"/>
    </row>
    <row r="20" spans="1:15">
      <c r="A20" s="46">
        <v>17</v>
      </c>
      <c r="B20" s="219">
        <v>46129</v>
      </c>
      <c r="C20" s="67"/>
      <c r="D20" s="159"/>
      <c r="E20" s="65"/>
      <c r="F20" s="65"/>
      <c r="G20" s="8">
        <f t="shared" si="0"/>
        <v>0</v>
      </c>
      <c r="H20" s="65"/>
      <c r="I20" s="66"/>
      <c r="J20" s="8">
        <f t="shared" si="5"/>
        <v>0</v>
      </c>
      <c r="K20" s="8">
        <f t="shared" si="2"/>
        <v>0</v>
      </c>
      <c r="L20" s="68">
        <f t="shared" si="3"/>
        <v>0</v>
      </c>
      <c r="M20" s="68">
        <v>0</v>
      </c>
      <c r="N20" s="8"/>
      <c r="O20" s="69"/>
    </row>
    <row r="21" spans="1:15">
      <c r="A21" s="46">
        <v>18</v>
      </c>
      <c r="B21" s="219">
        <v>46130</v>
      </c>
      <c r="C21" s="67"/>
      <c r="D21" s="159"/>
      <c r="E21" s="65"/>
      <c r="F21" s="65"/>
      <c r="G21" s="8">
        <f t="shared" si="0"/>
        <v>0</v>
      </c>
      <c r="H21" s="65"/>
      <c r="I21" s="66"/>
      <c r="J21" s="8">
        <f t="shared" si="5"/>
        <v>0</v>
      </c>
      <c r="K21" s="8">
        <f t="shared" si="2"/>
        <v>0</v>
      </c>
      <c r="L21" s="68">
        <f t="shared" si="3"/>
        <v>0</v>
      </c>
      <c r="M21" s="68">
        <v>0</v>
      </c>
      <c r="N21" s="8"/>
      <c r="O21" s="69"/>
    </row>
    <row r="22" spans="1:15">
      <c r="A22" s="46">
        <v>19</v>
      </c>
      <c r="B22" s="219">
        <v>46131</v>
      </c>
      <c r="C22" s="67"/>
      <c r="D22" s="159"/>
      <c r="E22" s="65"/>
      <c r="F22" s="65"/>
      <c r="G22" s="8">
        <f t="shared" si="0"/>
        <v>0</v>
      </c>
      <c r="H22" s="65"/>
      <c r="I22" s="66"/>
      <c r="J22" s="8">
        <f t="shared" si="5"/>
        <v>0</v>
      </c>
      <c r="K22" s="8">
        <f t="shared" si="2"/>
        <v>0</v>
      </c>
      <c r="L22" s="68">
        <f t="shared" si="3"/>
        <v>0</v>
      </c>
      <c r="M22" s="68">
        <v>0</v>
      </c>
      <c r="N22" s="8"/>
      <c r="O22" s="69"/>
    </row>
    <row r="23" spans="1:15">
      <c r="A23" s="46">
        <v>20</v>
      </c>
      <c r="B23" s="219">
        <v>46132</v>
      </c>
      <c r="C23" s="67"/>
      <c r="D23" s="159"/>
      <c r="E23" s="65"/>
      <c r="F23" s="65"/>
      <c r="G23" s="8">
        <f t="shared" si="0"/>
        <v>0</v>
      </c>
      <c r="H23" s="65"/>
      <c r="I23" s="66"/>
      <c r="J23" s="8">
        <f t="shared" si="5"/>
        <v>0</v>
      </c>
      <c r="K23" s="8">
        <f t="shared" si="2"/>
        <v>0</v>
      </c>
      <c r="L23" s="68">
        <f t="shared" si="3"/>
        <v>0</v>
      </c>
      <c r="M23" s="68">
        <v>0</v>
      </c>
      <c r="N23" s="8"/>
      <c r="O23" s="69"/>
    </row>
    <row r="24" spans="1:15">
      <c r="A24" s="46">
        <v>21</v>
      </c>
      <c r="B24" s="219">
        <v>46133</v>
      </c>
      <c r="C24" s="67"/>
      <c r="D24" s="159"/>
      <c r="E24" s="65"/>
      <c r="F24" s="65"/>
      <c r="G24" s="8">
        <f t="shared" si="0"/>
        <v>0</v>
      </c>
      <c r="H24" s="65"/>
      <c r="I24" s="66"/>
      <c r="J24" s="8">
        <f t="shared" si="5"/>
        <v>0</v>
      </c>
      <c r="K24" s="8">
        <f t="shared" si="2"/>
        <v>0</v>
      </c>
      <c r="L24" s="68">
        <f t="shared" si="3"/>
        <v>0</v>
      </c>
      <c r="M24" s="68">
        <v>0</v>
      </c>
      <c r="N24" s="8"/>
      <c r="O24" s="69"/>
    </row>
    <row r="25" spans="1:15">
      <c r="A25" s="46">
        <v>22</v>
      </c>
      <c r="B25" s="219">
        <v>46134</v>
      </c>
      <c r="C25" s="67"/>
      <c r="D25" s="159"/>
      <c r="E25" s="65"/>
      <c r="F25" s="65"/>
      <c r="G25" s="8">
        <f t="shared" si="0"/>
        <v>0</v>
      </c>
      <c r="H25" s="65"/>
      <c r="I25" s="66"/>
      <c r="J25" s="8">
        <f t="shared" si="5"/>
        <v>0</v>
      </c>
      <c r="K25" s="8">
        <f t="shared" si="2"/>
        <v>0</v>
      </c>
      <c r="L25" s="68">
        <f t="shared" si="3"/>
        <v>0</v>
      </c>
      <c r="M25" s="68">
        <v>0</v>
      </c>
      <c r="N25" s="8"/>
      <c r="O25" s="69"/>
    </row>
    <row r="26" spans="1:15">
      <c r="A26" s="46">
        <v>23</v>
      </c>
      <c r="B26" s="219">
        <v>46135</v>
      </c>
      <c r="C26" s="67"/>
      <c r="D26" s="159"/>
      <c r="E26" s="65"/>
      <c r="F26" s="65"/>
      <c r="G26" s="8">
        <f t="shared" si="0"/>
        <v>0</v>
      </c>
      <c r="H26" s="65"/>
      <c r="I26" s="66"/>
      <c r="J26" s="8">
        <f t="shared" si="5"/>
        <v>0</v>
      </c>
      <c r="K26" s="8">
        <f t="shared" si="2"/>
        <v>0</v>
      </c>
      <c r="L26" s="68">
        <f t="shared" si="3"/>
        <v>0</v>
      </c>
      <c r="M26" s="68">
        <v>0</v>
      </c>
      <c r="N26" s="8"/>
      <c r="O26" s="69"/>
    </row>
    <row r="27" spans="1:15">
      <c r="A27" s="46">
        <v>24</v>
      </c>
      <c r="B27" s="219">
        <v>46136</v>
      </c>
      <c r="C27" s="67"/>
      <c r="D27" s="159"/>
      <c r="E27" s="65"/>
      <c r="F27" s="65"/>
      <c r="G27" s="8">
        <f t="shared" si="0"/>
        <v>0</v>
      </c>
      <c r="H27" s="65"/>
      <c r="I27" s="66"/>
      <c r="J27" s="8">
        <f t="shared" si="5"/>
        <v>0</v>
      </c>
      <c r="K27" s="8">
        <f t="shared" si="2"/>
        <v>0</v>
      </c>
      <c r="L27" s="68">
        <f t="shared" si="3"/>
        <v>0</v>
      </c>
      <c r="M27" s="68">
        <v>0</v>
      </c>
      <c r="N27" s="8"/>
      <c r="O27" s="69"/>
    </row>
    <row r="28" spans="1:15">
      <c r="A28" s="221">
        <v>25</v>
      </c>
      <c r="B28" s="219">
        <v>46137</v>
      </c>
      <c r="C28" s="67"/>
      <c r="D28" s="159"/>
      <c r="E28" s="65"/>
      <c r="F28" s="65"/>
      <c r="G28" s="8">
        <f t="shared" si="0"/>
        <v>0</v>
      </c>
      <c r="H28" s="65"/>
      <c r="I28" s="66"/>
      <c r="J28" s="8">
        <f t="shared" si="5"/>
        <v>0</v>
      </c>
      <c r="K28" s="8">
        <f t="shared" si="2"/>
        <v>0</v>
      </c>
      <c r="L28" s="68">
        <f t="shared" si="3"/>
        <v>0</v>
      </c>
      <c r="M28" s="68">
        <v>0</v>
      </c>
      <c r="N28" s="8"/>
      <c r="O28" s="69"/>
    </row>
    <row r="29" spans="1:15">
      <c r="A29" s="221">
        <v>26</v>
      </c>
      <c r="B29" s="219">
        <v>46138</v>
      </c>
      <c r="C29" s="67"/>
      <c r="D29" s="159"/>
      <c r="E29" s="65"/>
      <c r="F29" s="65"/>
      <c r="G29" s="8">
        <f t="shared" si="0"/>
        <v>0</v>
      </c>
      <c r="H29" s="65"/>
      <c r="I29" s="66"/>
      <c r="J29" s="8">
        <f t="shared" si="5"/>
        <v>0</v>
      </c>
      <c r="K29" s="8">
        <f t="shared" si="2"/>
        <v>0</v>
      </c>
      <c r="L29" s="68">
        <f t="shared" si="3"/>
        <v>0</v>
      </c>
      <c r="M29" s="68">
        <v>0</v>
      </c>
      <c r="N29" s="8"/>
      <c r="O29" s="69"/>
    </row>
    <row r="30" spans="1:15">
      <c r="A30" s="221">
        <v>27</v>
      </c>
      <c r="B30" s="219">
        <v>46139</v>
      </c>
      <c r="C30" s="67"/>
      <c r="D30" s="159"/>
      <c r="E30" s="65"/>
      <c r="F30" s="65"/>
      <c r="G30" s="8">
        <f t="shared" si="0"/>
        <v>0</v>
      </c>
      <c r="H30" s="65"/>
      <c r="I30" s="66"/>
      <c r="J30" s="8">
        <f t="shared" si="5"/>
        <v>0</v>
      </c>
      <c r="K30" s="8">
        <f t="shared" si="2"/>
        <v>0</v>
      </c>
      <c r="L30" s="68">
        <f t="shared" si="3"/>
        <v>0</v>
      </c>
      <c r="M30" s="68">
        <v>0</v>
      </c>
      <c r="N30" s="8"/>
      <c r="O30" s="69"/>
    </row>
    <row r="31" spans="1:15">
      <c r="A31" s="221">
        <v>28</v>
      </c>
      <c r="B31" s="219">
        <v>46140</v>
      </c>
      <c r="C31" s="67"/>
      <c r="D31" s="159"/>
      <c r="E31" s="65"/>
      <c r="F31" s="65"/>
      <c r="G31" s="8">
        <f t="shared" si="0"/>
        <v>0</v>
      </c>
      <c r="H31" s="65"/>
      <c r="I31" s="66"/>
      <c r="J31" s="8">
        <f t="shared" si="5"/>
        <v>0</v>
      </c>
      <c r="K31" s="8">
        <f t="shared" si="2"/>
        <v>0</v>
      </c>
      <c r="L31" s="68">
        <f t="shared" si="3"/>
        <v>0</v>
      </c>
      <c r="M31" s="68">
        <v>0</v>
      </c>
      <c r="N31" s="8"/>
      <c r="O31" s="69"/>
    </row>
    <row r="32" spans="1:15">
      <c r="A32" s="222">
        <v>29</v>
      </c>
      <c r="B32" s="219">
        <v>46141</v>
      </c>
      <c r="C32" s="67"/>
      <c r="D32" s="159"/>
      <c r="E32" s="65"/>
      <c r="F32" s="65"/>
      <c r="G32" s="8">
        <f t="shared" ref="G32:G33" si="6">E32*F32</f>
        <v>0</v>
      </c>
      <c r="H32" s="65"/>
      <c r="I32" s="66"/>
      <c r="J32" s="8">
        <f t="shared" si="5"/>
        <v>0</v>
      </c>
      <c r="K32" s="8">
        <f t="shared" si="2"/>
        <v>0</v>
      </c>
      <c r="L32" s="68">
        <f t="shared" si="3"/>
        <v>0</v>
      </c>
      <c r="M32" s="68">
        <v>0</v>
      </c>
      <c r="N32" s="8"/>
      <c r="O32" s="69"/>
    </row>
    <row r="33" spans="1:15">
      <c r="A33" s="222">
        <v>30</v>
      </c>
      <c r="B33" s="219">
        <v>46142</v>
      </c>
      <c r="C33" s="67"/>
      <c r="D33" s="159"/>
      <c r="E33" s="65"/>
      <c r="F33" s="65"/>
      <c r="G33" s="8">
        <f t="shared" si="6"/>
        <v>0</v>
      </c>
      <c r="H33" s="65"/>
      <c r="I33" s="66"/>
      <c r="J33" s="8">
        <f t="shared" si="5"/>
        <v>0</v>
      </c>
      <c r="K33" s="8">
        <f t="shared" si="2"/>
        <v>0</v>
      </c>
      <c r="L33" s="68">
        <f t="shared" si="3"/>
        <v>0</v>
      </c>
      <c r="M33" s="68">
        <v>0</v>
      </c>
      <c r="N33" s="8"/>
      <c r="O33" s="69"/>
    </row>
    <row r="34" spans="1:15">
      <c r="A34" s="222">
        <v>31</v>
      </c>
      <c r="B34" s="219">
        <v>46143</v>
      </c>
      <c r="C34" s="67"/>
      <c r="D34" s="159"/>
      <c r="E34" s="65"/>
      <c r="F34" s="65"/>
      <c r="G34" s="8">
        <f t="shared" si="0"/>
        <v>0</v>
      </c>
      <c r="H34" s="65"/>
      <c r="I34" s="66"/>
      <c r="J34" s="8">
        <f t="shared" si="5"/>
        <v>0</v>
      </c>
      <c r="K34" s="8">
        <f t="shared" ref="K34" si="7">G34+J34</f>
        <v>0</v>
      </c>
      <c r="L34" s="68">
        <f t="shared" ref="L34" si="8">+K34</f>
        <v>0</v>
      </c>
      <c r="M34" s="68">
        <v>0</v>
      </c>
      <c r="N34" s="8"/>
      <c r="O34" s="69"/>
    </row>
    <row r="35" spans="1:15">
      <c r="A35" s="62"/>
      <c r="B35" s="62"/>
      <c r="C35" s="62"/>
      <c r="D35" s="62"/>
      <c r="E35" s="63">
        <f>SUM(E4:E34)</f>
        <v>0</v>
      </c>
      <c r="F35" s="63"/>
      <c r="G35" s="63">
        <f>SUM(G4:G34)</f>
        <v>0</v>
      </c>
      <c r="H35" s="63">
        <f>SUM(H4:H34)</f>
        <v>19.89</v>
      </c>
      <c r="I35" s="63"/>
      <c r="J35" s="63">
        <f>SUM(J4:J34)</f>
        <v>2038.1283000000001</v>
      </c>
      <c r="K35" s="63">
        <f>SUM(K4:K34)</f>
        <v>2038.1283000000001</v>
      </c>
      <c r="L35" s="63">
        <f>SUM(L4:L34)</f>
        <v>2038.1283000000001</v>
      </c>
      <c r="M35" s="63"/>
      <c r="N35" s="63"/>
      <c r="O35" s="59"/>
    </row>
    <row r="36" spans="1:15">
      <c r="A36" s="72"/>
      <c r="B36" s="73"/>
      <c r="C36" s="72"/>
      <c r="D36" s="72"/>
      <c r="E36" s="74"/>
      <c r="F36" s="74"/>
      <c r="G36" s="74"/>
      <c r="H36" s="74"/>
      <c r="I36" s="74"/>
      <c r="J36" s="75"/>
      <c r="K36" s="75"/>
      <c r="L36" s="75"/>
      <c r="M36" s="75"/>
      <c r="N36" s="74"/>
      <c r="O36" s="69"/>
    </row>
    <row r="37" spans="1:15">
      <c r="O37" s="69"/>
    </row>
    <row r="38" spans="1:15">
      <c r="O38" s="69"/>
    </row>
    <row r="39" spans="1:15">
      <c r="O39" s="69"/>
    </row>
    <row r="40" spans="1:15">
      <c r="O40" s="69"/>
    </row>
    <row r="41" spans="1:15">
      <c r="O41" s="69"/>
    </row>
    <row r="42" spans="1:15">
      <c r="A42" s="69"/>
      <c r="B42" s="59"/>
      <c r="C42" s="69"/>
      <c r="D42" s="69"/>
      <c r="E42" s="69"/>
      <c r="F42" s="69"/>
      <c r="G42" s="76"/>
      <c r="H42" s="69"/>
      <c r="I42" s="69"/>
      <c r="J42" s="59"/>
      <c r="K42" s="59"/>
      <c r="L42" s="59"/>
      <c r="M42" s="59"/>
      <c r="N42" s="69"/>
      <c r="O42" s="74"/>
    </row>
    <row r="43" spans="1:15">
      <c r="A43" s="69"/>
      <c r="B43" s="490"/>
      <c r="C43" s="490"/>
      <c r="D43" s="490"/>
      <c r="E43" s="490"/>
      <c r="F43" s="69"/>
      <c r="G43" s="69"/>
      <c r="H43" s="69"/>
      <c r="I43" s="490"/>
      <c r="J43" s="490"/>
      <c r="K43" s="490"/>
      <c r="L43" s="490"/>
      <c r="M43" s="490"/>
      <c r="N43" s="490"/>
      <c r="O43" s="74"/>
    </row>
    <row r="44" spans="1:15">
      <c r="A44" s="69"/>
      <c r="B44" s="59"/>
      <c r="C44" s="69"/>
      <c r="D44" s="69"/>
      <c r="E44" s="69"/>
      <c r="F44" s="69"/>
      <c r="G44" s="69"/>
      <c r="H44" s="69"/>
      <c r="I44" s="69"/>
      <c r="J44" s="59"/>
      <c r="K44" s="59"/>
      <c r="L44" s="59"/>
      <c r="M44" s="59"/>
      <c r="N44" s="69"/>
      <c r="O44" s="74"/>
    </row>
  </sheetData>
  <mergeCells count="4">
    <mergeCell ref="B43:E43"/>
    <mergeCell ref="I43:N43"/>
    <mergeCell ref="A1:N1"/>
    <mergeCell ref="A3:L3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B0F2-641D-4F53-BA0F-B63DE3F29F26}">
  <dimension ref="A1:U122"/>
  <sheetViews>
    <sheetView workbookViewId="0">
      <pane ySplit="4" topLeftCell="A6" activePane="bottomLeft" state="frozen"/>
      <selection pane="bottomLeft" activeCell="C120" sqref="C120"/>
    </sheetView>
  </sheetViews>
  <sheetFormatPr defaultRowHeight="15"/>
  <cols>
    <col min="1" max="1" width="15" customWidth="1"/>
    <col min="2" max="2" width="18.7109375" customWidth="1"/>
    <col min="3" max="3" width="63.5703125" bestFit="1" customWidth="1"/>
    <col min="4" max="4" width="15.5703125" customWidth="1"/>
    <col min="5" max="5" width="12.28515625" style="185" customWidth="1"/>
    <col min="6" max="6" width="12.85546875" style="185" customWidth="1"/>
    <col min="7" max="7" width="12.5703125" style="185" bestFit="1" customWidth="1"/>
    <col min="8" max="8" width="12.5703125" style="185" customWidth="1"/>
    <col min="9" max="10" width="9.140625" style="185"/>
    <col min="11" max="11" width="18.7109375" style="185" customWidth="1"/>
    <col min="12" max="12" width="24.140625" style="185" customWidth="1"/>
    <col min="13" max="13" width="16.5703125" style="185" customWidth="1"/>
    <col min="14" max="14" width="19.85546875" style="185" customWidth="1"/>
    <col min="15" max="15" width="13.42578125" style="185" customWidth="1"/>
    <col min="16" max="21" width="9.140625" style="185"/>
  </cols>
  <sheetData>
    <row r="1" spans="1:15" ht="15.75">
      <c r="A1" s="246" t="s">
        <v>286</v>
      </c>
      <c r="B1" s="246"/>
      <c r="C1" s="246"/>
      <c r="D1" s="246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</row>
    <row r="2" spans="1:15" ht="26.25" customHeight="1">
      <c r="A2" s="64" t="s">
        <v>0</v>
      </c>
      <c r="B2" s="83" t="s">
        <v>164</v>
      </c>
      <c r="C2" s="83" t="s">
        <v>287</v>
      </c>
      <c r="D2" s="83" t="s">
        <v>288</v>
      </c>
      <c r="E2" s="281" t="s">
        <v>167</v>
      </c>
      <c r="F2" s="281" t="s">
        <v>168</v>
      </c>
      <c r="G2" s="282" t="s">
        <v>169</v>
      </c>
      <c r="H2" s="281" t="s">
        <v>170</v>
      </c>
      <c r="I2" s="281" t="s">
        <v>168</v>
      </c>
      <c r="J2" s="282" t="s">
        <v>169</v>
      </c>
      <c r="K2" s="283" t="s">
        <v>171</v>
      </c>
      <c r="L2" s="284" t="s">
        <v>289</v>
      </c>
      <c r="M2" s="285" t="s">
        <v>209</v>
      </c>
      <c r="N2" s="281" t="s">
        <v>174</v>
      </c>
      <c r="O2" s="281" t="s">
        <v>290</v>
      </c>
    </row>
    <row r="3" spans="1:15" ht="15.75">
      <c r="A3" s="247" t="s">
        <v>175</v>
      </c>
      <c r="B3" s="247"/>
      <c r="C3" s="247"/>
      <c r="D3" s="247"/>
      <c r="E3" s="286"/>
      <c r="F3" s="286"/>
      <c r="G3" s="286"/>
      <c r="H3" s="286"/>
      <c r="I3" s="286"/>
      <c r="J3" s="286"/>
      <c r="K3" s="309">
        <v>890355.23</v>
      </c>
      <c r="L3" s="309"/>
      <c r="M3" s="309"/>
      <c r="N3" s="287"/>
      <c r="O3" s="288"/>
    </row>
    <row r="4" spans="1:15">
      <c r="A4" s="307">
        <v>1</v>
      </c>
      <c r="B4" s="330" t="s">
        <v>272</v>
      </c>
      <c r="C4" s="104" t="s">
        <v>291</v>
      </c>
      <c r="D4" s="104" t="s">
        <v>292</v>
      </c>
      <c r="E4" s="289">
        <v>30</v>
      </c>
      <c r="F4" s="289">
        <v>92.07</v>
      </c>
      <c r="G4" s="289">
        <f>E4*F4</f>
        <v>2762.1</v>
      </c>
      <c r="H4" s="104"/>
      <c r="I4" s="104"/>
      <c r="J4" s="289"/>
      <c r="K4" s="289">
        <f t="shared" ref="K4:K70" si="0">G4+J4</f>
        <v>2762.1</v>
      </c>
      <c r="L4" s="290"/>
      <c r="M4" s="306">
        <f>K3+L4-K4</f>
        <v>887593.13</v>
      </c>
      <c r="N4" s="306"/>
      <c r="O4" s="290"/>
    </row>
    <row r="5" spans="1:15">
      <c r="A5" s="97">
        <v>2</v>
      </c>
      <c r="B5" s="330" t="s">
        <v>272</v>
      </c>
      <c r="C5" s="104" t="s">
        <v>293</v>
      </c>
      <c r="D5" s="104" t="s">
        <v>294</v>
      </c>
      <c r="E5" s="311">
        <v>900</v>
      </c>
      <c r="F5" s="311">
        <v>91.67</v>
      </c>
      <c r="G5" s="291">
        <f>E5*F5</f>
        <v>82503</v>
      </c>
      <c r="H5" s="311"/>
      <c r="I5" s="311"/>
      <c r="J5" s="291">
        <f>H5*I5</f>
        <v>0</v>
      </c>
      <c r="K5" s="291">
        <f t="shared" si="0"/>
        <v>82503</v>
      </c>
      <c r="L5" s="398"/>
      <c r="M5" s="313">
        <f>M4+L5-K5</f>
        <v>805090.13</v>
      </c>
      <c r="N5" s="292"/>
      <c r="O5" s="289"/>
    </row>
    <row r="6" spans="1:15">
      <c r="A6" s="97">
        <v>3</v>
      </c>
      <c r="B6" s="330" t="s">
        <v>273</v>
      </c>
      <c r="C6" s="315" t="s">
        <v>295</v>
      </c>
      <c r="D6" s="363" t="s">
        <v>296</v>
      </c>
      <c r="E6" s="184">
        <v>0</v>
      </c>
      <c r="F6" s="184">
        <v>0</v>
      </c>
      <c r="G6" s="289">
        <f>E6*F6</f>
        <v>0</v>
      </c>
      <c r="H6" s="104">
        <v>15</v>
      </c>
      <c r="I6" s="104">
        <v>109.94</v>
      </c>
      <c r="J6" s="289">
        <f t="shared" ref="J6:J45" si="1">H6*I6</f>
        <v>1649.1</v>
      </c>
      <c r="K6" s="289">
        <f t="shared" si="0"/>
        <v>1649.1</v>
      </c>
      <c r="L6" s="290">
        <v>4000000</v>
      </c>
      <c r="M6" s="289">
        <f>M5+L6-K6</f>
        <v>4803441.03</v>
      </c>
      <c r="N6" s="292"/>
      <c r="O6" s="289"/>
    </row>
    <row r="7" spans="1:15">
      <c r="A7" s="307">
        <v>4</v>
      </c>
      <c r="B7" s="330" t="s">
        <v>273</v>
      </c>
      <c r="C7" s="104" t="s">
        <v>297</v>
      </c>
      <c r="D7" s="401" t="s">
        <v>296</v>
      </c>
      <c r="E7" s="184">
        <v>0</v>
      </c>
      <c r="F7" s="184">
        <v>0</v>
      </c>
      <c r="G7" s="289">
        <f>E7*F7</f>
        <v>0</v>
      </c>
      <c r="H7" s="289">
        <v>5</v>
      </c>
      <c r="I7" s="104">
        <v>108.86</v>
      </c>
      <c r="J7" s="289">
        <f t="shared" si="1"/>
        <v>544.29999999999995</v>
      </c>
      <c r="K7" s="289">
        <f t="shared" si="0"/>
        <v>544.29999999999995</v>
      </c>
      <c r="L7" s="290"/>
      <c r="M7" s="289">
        <f t="shared" ref="M7:M71" si="2">M6+L7-K7</f>
        <v>4802896.7300000004</v>
      </c>
      <c r="N7" s="292"/>
      <c r="O7" s="289"/>
    </row>
    <row r="8" spans="1:15">
      <c r="A8" s="97">
        <v>5</v>
      </c>
      <c r="B8" s="330" t="s">
        <v>273</v>
      </c>
      <c r="C8" s="363" t="s">
        <v>298</v>
      </c>
      <c r="D8" s="104" t="s">
        <v>299</v>
      </c>
      <c r="E8" s="326">
        <v>653.79999999999995</v>
      </c>
      <c r="F8" s="294">
        <v>91.42</v>
      </c>
      <c r="G8" s="291">
        <f>E8*F8</f>
        <v>59770.395999999993</v>
      </c>
      <c r="H8" s="291">
        <v>0</v>
      </c>
      <c r="I8" s="311">
        <v>0</v>
      </c>
      <c r="J8" s="289">
        <f t="shared" si="1"/>
        <v>0</v>
      </c>
      <c r="K8" s="289">
        <f t="shared" si="0"/>
        <v>59770.395999999993</v>
      </c>
      <c r="L8" s="290"/>
      <c r="M8" s="289">
        <f>M7+L8-K8</f>
        <v>4743126.3340000007</v>
      </c>
      <c r="N8" s="292"/>
      <c r="O8" s="289"/>
    </row>
    <row r="9" spans="1:15">
      <c r="A9" s="97">
        <v>6</v>
      </c>
      <c r="B9" s="330" t="s">
        <v>273</v>
      </c>
      <c r="C9" s="364" t="s">
        <v>300</v>
      </c>
      <c r="D9" s="104" t="s">
        <v>299</v>
      </c>
      <c r="E9" s="292">
        <v>45.21</v>
      </c>
      <c r="F9" s="289">
        <v>92.06</v>
      </c>
      <c r="G9" s="289">
        <f>E9*F9</f>
        <v>4162.0326000000005</v>
      </c>
      <c r="H9" s="291">
        <v>0</v>
      </c>
      <c r="I9" s="311">
        <v>0</v>
      </c>
      <c r="J9" s="292">
        <f t="shared" si="1"/>
        <v>0</v>
      </c>
      <c r="K9" s="289">
        <f t="shared" si="0"/>
        <v>4162.0326000000005</v>
      </c>
      <c r="L9" s="290"/>
      <c r="M9" s="289">
        <f>M8+L9-K9</f>
        <v>4738964.3014000012</v>
      </c>
      <c r="N9" s="292"/>
      <c r="O9" s="289"/>
    </row>
    <row r="10" spans="1:15">
      <c r="A10" s="307">
        <v>7</v>
      </c>
      <c r="B10" s="330" t="s">
        <v>273</v>
      </c>
      <c r="C10" s="364" t="s">
        <v>301</v>
      </c>
      <c r="D10" s="104" t="s">
        <v>294</v>
      </c>
      <c r="E10" s="292">
        <v>750</v>
      </c>
      <c r="F10" s="289">
        <v>91.67</v>
      </c>
      <c r="G10" s="289">
        <f>E10*F10</f>
        <v>68752.5</v>
      </c>
      <c r="H10" s="104"/>
      <c r="I10" s="104"/>
      <c r="J10" s="292">
        <f t="shared" si="1"/>
        <v>0</v>
      </c>
      <c r="K10" s="289">
        <f t="shared" si="0"/>
        <v>68752.5</v>
      </c>
      <c r="L10" s="290"/>
      <c r="M10" s="289">
        <f t="shared" si="2"/>
        <v>4670211.8014000012</v>
      </c>
      <c r="N10" s="313"/>
      <c r="O10" s="291"/>
    </row>
    <row r="11" spans="1:15">
      <c r="A11" s="97">
        <v>8</v>
      </c>
      <c r="B11" s="330" t="s">
        <v>273</v>
      </c>
      <c r="C11" s="364" t="s">
        <v>302</v>
      </c>
      <c r="D11" s="104" t="s">
        <v>44</v>
      </c>
      <c r="E11" s="292">
        <v>34.49</v>
      </c>
      <c r="F11" s="289">
        <v>95.7</v>
      </c>
      <c r="G11" s="289">
        <f>E11*F11</f>
        <v>3300.6930000000002</v>
      </c>
      <c r="H11" s="104">
        <v>0</v>
      </c>
      <c r="I11" s="104">
        <v>0</v>
      </c>
      <c r="J11" s="292">
        <f t="shared" si="1"/>
        <v>0</v>
      </c>
      <c r="K11" s="289">
        <f t="shared" si="0"/>
        <v>3300.6930000000002</v>
      </c>
      <c r="L11" s="290"/>
      <c r="M11" s="289">
        <f t="shared" si="2"/>
        <v>4666911.1084000012</v>
      </c>
      <c r="N11" s="313"/>
      <c r="O11" s="291"/>
    </row>
    <row r="12" spans="1:15">
      <c r="A12" s="97">
        <v>9</v>
      </c>
      <c r="B12" s="330" t="s">
        <v>273</v>
      </c>
      <c r="C12" s="364" t="s">
        <v>302</v>
      </c>
      <c r="D12" s="104" t="s">
        <v>40</v>
      </c>
      <c r="E12" s="292">
        <v>0</v>
      </c>
      <c r="F12" s="289">
        <v>0</v>
      </c>
      <c r="G12" s="289">
        <f>E12*F12</f>
        <v>0</v>
      </c>
      <c r="H12" s="104">
        <v>4.1900000000000004</v>
      </c>
      <c r="I12" s="104">
        <v>107.46</v>
      </c>
      <c r="J12" s="292">
        <f t="shared" si="1"/>
        <v>450.25740000000002</v>
      </c>
      <c r="K12" s="289">
        <f t="shared" si="0"/>
        <v>450.25740000000002</v>
      </c>
      <c r="L12" s="290"/>
      <c r="M12" s="289">
        <f t="shared" si="2"/>
        <v>4666460.8510000017</v>
      </c>
      <c r="N12" s="313"/>
      <c r="O12" s="291"/>
    </row>
    <row r="13" spans="1:15">
      <c r="A13" s="307">
        <v>10</v>
      </c>
      <c r="B13" s="330" t="s">
        <v>273</v>
      </c>
      <c r="C13" s="364" t="s">
        <v>291</v>
      </c>
      <c r="D13" s="104" t="s">
        <v>299</v>
      </c>
      <c r="E13" s="292">
        <v>2341.29</v>
      </c>
      <c r="F13" s="289">
        <v>92.07</v>
      </c>
      <c r="G13" s="293">
        <f>E13*F13</f>
        <v>215562.57029999999</v>
      </c>
      <c r="H13" s="308">
        <v>0</v>
      </c>
      <c r="I13" s="308">
        <v>0</v>
      </c>
      <c r="J13" s="289">
        <f t="shared" si="1"/>
        <v>0</v>
      </c>
      <c r="K13" s="289">
        <f t="shared" si="0"/>
        <v>215562.57029999999</v>
      </c>
      <c r="L13" s="290"/>
      <c r="M13" s="289">
        <f t="shared" si="2"/>
        <v>4450898.2807000019</v>
      </c>
      <c r="N13" s="292"/>
      <c r="O13" s="289"/>
    </row>
    <row r="14" spans="1:15">
      <c r="A14" s="97">
        <v>11</v>
      </c>
      <c r="B14" s="330" t="s">
        <v>273</v>
      </c>
      <c r="C14" s="364" t="s">
        <v>303</v>
      </c>
      <c r="D14" s="104" t="s">
        <v>304</v>
      </c>
      <c r="E14" s="292">
        <v>14997.46</v>
      </c>
      <c r="F14" s="289">
        <v>91.14</v>
      </c>
      <c r="G14" s="400">
        <f>E14*F14</f>
        <v>1366868.5044</v>
      </c>
      <c r="H14" s="308">
        <v>0</v>
      </c>
      <c r="I14" s="308">
        <v>0</v>
      </c>
      <c r="J14" s="293">
        <f t="shared" si="1"/>
        <v>0</v>
      </c>
      <c r="K14" s="293">
        <f t="shared" si="0"/>
        <v>1366868.5044</v>
      </c>
      <c r="L14" s="310"/>
      <c r="M14" s="399">
        <f t="shared" si="2"/>
        <v>3084029.7763000019</v>
      </c>
      <c r="N14" s="292"/>
      <c r="O14" s="289"/>
    </row>
    <row r="15" spans="1:15">
      <c r="A15" s="97">
        <v>12</v>
      </c>
      <c r="B15" s="330" t="s">
        <v>273</v>
      </c>
      <c r="C15" s="364" t="s">
        <v>305</v>
      </c>
      <c r="D15" s="104" t="s">
        <v>299</v>
      </c>
      <c r="E15" s="292">
        <v>4728.07</v>
      </c>
      <c r="F15" s="289">
        <v>91.93</v>
      </c>
      <c r="G15" s="390">
        <f>E15*F15</f>
        <v>434651.47509999998</v>
      </c>
      <c r="H15" s="308">
        <v>0</v>
      </c>
      <c r="I15" s="308">
        <v>0</v>
      </c>
      <c r="J15" s="289">
        <f t="shared" si="1"/>
        <v>0</v>
      </c>
      <c r="K15" s="289">
        <f t="shared" si="0"/>
        <v>434651.47509999998</v>
      </c>
      <c r="L15" s="290"/>
      <c r="M15" s="292">
        <f t="shared" si="2"/>
        <v>2649378.301200002</v>
      </c>
      <c r="N15" s="292"/>
      <c r="O15" s="289"/>
    </row>
    <row r="16" spans="1:15">
      <c r="A16" s="307">
        <v>13</v>
      </c>
      <c r="B16" s="330" t="s">
        <v>273</v>
      </c>
      <c r="C16" s="364" t="s">
        <v>306</v>
      </c>
      <c r="D16" s="104" t="s">
        <v>299</v>
      </c>
      <c r="E16" s="292">
        <v>200</v>
      </c>
      <c r="F16" s="289">
        <v>91.65</v>
      </c>
      <c r="G16" s="289">
        <f>E16*F16</f>
        <v>18330</v>
      </c>
      <c r="H16" s="314"/>
      <c r="I16" s="104"/>
      <c r="J16" s="289">
        <f t="shared" si="1"/>
        <v>0</v>
      </c>
      <c r="K16" s="289">
        <f t="shared" si="0"/>
        <v>18330</v>
      </c>
      <c r="L16" s="290"/>
      <c r="M16" s="292">
        <f t="shared" si="2"/>
        <v>2631048.301200002</v>
      </c>
      <c r="N16" s="292"/>
      <c r="O16" s="289"/>
    </row>
    <row r="17" spans="1:15">
      <c r="A17" s="97">
        <v>14</v>
      </c>
      <c r="B17" s="330" t="s">
        <v>273</v>
      </c>
      <c r="C17" s="364" t="s">
        <v>307</v>
      </c>
      <c r="D17" s="104" t="s">
        <v>299</v>
      </c>
      <c r="E17" s="292">
        <v>860.35</v>
      </c>
      <c r="F17" s="289">
        <v>92.01</v>
      </c>
      <c r="G17" s="289">
        <f>E17*F17</f>
        <v>79160.803500000009</v>
      </c>
      <c r="H17" s="329"/>
      <c r="I17" s="308"/>
      <c r="J17" s="289">
        <f t="shared" si="1"/>
        <v>0</v>
      </c>
      <c r="K17" s="289">
        <f t="shared" si="0"/>
        <v>79160.803500000009</v>
      </c>
      <c r="L17" s="290"/>
      <c r="M17" s="292">
        <f t="shared" si="2"/>
        <v>2551887.497700002</v>
      </c>
      <c r="N17" s="292"/>
      <c r="O17" s="289"/>
    </row>
    <row r="18" spans="1:15">
      <c r="A18" s="97">
        <v>15</v>
      </c>
      <c r="B18" s="330" t="s">
        <v>273</v>
      </c>
      <c r="C18" s="364" t="s">
        <v>308</v>
      </c>
      <c r="D18" s="308" t="s">
        <v>309</v>
      </c>
      <c r="E18" s="289">
        <v>3366.23</v>
      </c>
      <c r="F18" s="289">
        <v>96.44</v>
      </c>
      <c r="G18" s="293">
        <f>E18*F18</f>
        <v>324639.22119999997</v>
      </c>
      <c r="H18" s="104"/>
      <c r="I18" s="104"/>
      <c r="J18" s="289">
        <f t="shared" si="1"/>
        <v>0</v>
      </c>
      <c r="K18" s="289">
        <f t="shared" si="0"/>
        <v>324639.22119999997</v>
      </c>
      <c r="L18" s="290"/>
      <c r="M18" s="292">
        <f t="shared" si="2"/>
        <v>2227248.276500002</v>
      </c>
      <c r="N18" s="292"/>
      <c r="O18" s="289"/>
    </row>
    <row r="19" spans="1:15">
      <c r="A19" s="307">
        <v>16</v>
      </c>
      <c r="B19" s="330" t="s">
        <v>273</v>
      </c>
      <c r="C19" s="364" t="s">
        <v>310</v>
      </c>
      <c r="D19" s="104" t="s">
        <v>311</v>
      </c>
      <c r="E19" s="289">
        <v>7737.33</v>
      </c>
      <c r="F19" s="289">
        <v>91.32</v>
      </c>
      <c r="G19" s="292">
        <f>E19*F19</f>
        <v>706572.97559999989</v>
      </c>
      <c r="H19" s="104"/>
      <c r="I19" s="104"/>
      <c r="J19" s="289">
        <f t="shared" si="1"/>
        <v>0</v>
      </c>
      <c r="K19" s="289">
        <f t="shared" si="0"/>
        <v>706572.97559999989</v>
      </c>
      <c r="L19" s="290"/>
      <c r="M19" s="292">
        <f t="shared" si="2"/>
        <v>1520675.300900002</v>
      </c>
      <c r="N19" s="313"/>
      <c r="O19" s="291"/>
    </row>
    <row r="20" spans="1:15">
      <c r="A20" s="97">
        <v>17</v>
      </c>
      <c r="B20" s="330" t="s">
        <v>273</v>
      </c>
      <c r="C20" s="364" t="s">
        <v>312</v>
      </c>
      <c r="D20" s="104" t="s">
        <v>299</v>
      </c>
      <c r="E20" s="289">
        <v>372.28</v>
      </c>
      <c r="F20" s="289">
        <v>91.97</v>
      </c>
      <c r="G20" s="292">
        <f>E20*F20</f>
        <v>34238.5916</v>
      </c>
      <c r="H20" s="104"/>
      <c r="I20" s="104"/>
      <c r="J20" s="289">
        <f t="shared" si="1"/>
        <v>0</v>
      </c>
      <c r="K20" s="289">
        <f t="shared" si="0"/>
        <v>34238.5916</v>
      </c>
      <c r="L20" s="290"/>
      <c r="M20" s="292">
        <f t="shared" si="2"/>
        <v>1486436.7093000021</v>
      </c>
      <c r="N20" s="292"/>
      <c r="O20" s="289"/>
    </row>
    <row r="21" spans="1:15">
      <c r="A21" s="97">
        <v>18</v>
      </c>
      <c r="B21" s="330" t="s">
        <v>273</v>
      </c>
      <c r="C21" s="364" t="s">
        <v>313</v>
      </c>
      <c r="D21" s="104" t="s">
        <v>314</v>
      </c>
      <c r="E21" s="289">
        <v>1690.79</v>
      </c>
      <c r="F21" s="289">
        <v>90.88</v>
      </c>
      <c r="G21" s="292">
        <f>E21*F21</f>
        <v>153658.99519999998</v>
      </c>
      <c r="H21" s="104"/>
      <c r="I21" s="104"/>
      <c r="J21" s="289">
        <f t="shared" si="1"/>
        <v>0</v>
      </c>
      <c r="K21" s="289">
        <f t="shared" si="0"/>
        <v>153658.99519999998</v>
      </c>
      <c r="L21" s="290"/>
      <c r="M21" s="292">
        <f t="shared" si="2"/>
        <v>1332777.7141000021</v>
      </c>
      <c r="N21" s="292"/>
      <c r="O21" s="289"/>
    </row>
    <row r="22" spans="1:15">
      <c r="A22" s="307">
        <v>19</v>
      </c>
      <c r="B22" s="330" t="s">
        <v>273</v>
      </c>
      <c r="C22" s="364" t="s">
        <v>293</v>
      </c>
      <c r="D22" s="104" t="s">
        <v>294</v>
      </c>
      <c r="E22" s="289">
        <v>1100</v>
      </c>
      <c r="F22" s="289">
        <v>91.67</v>
      </c>
      <c r="G22" s="289">
        <f>E22*F22</f>
        <v>100837</v>
      </c>
      <c r="H22" s="104"/>
      <c r="I22" s="104"/>
      <c r="J22" s="289">
        <f t="shared" si="1"/>
        <v>0</v>
      </c>
      <c r="K22" s="289">
        <f t="shared" si="0"/>
        <v>100837</v>
      </c>
      <c r="L22" s="290"/>
      <c r="M22" s="292">
        <f t="shared" si="2"/>
        <v>1231940.7141000021</v>
      </c>
      <c r="N22" s="313"/>
      <c r="O22" s="291"/>
    </row>
    <row r="23" spans="1:15">
      <c r="A23" s="97">
        <v>20</v>
      </c>
      <c r="B23" s="330" t="s">
        <v>315</v>
      </c>
      <c r="C23" s="364" t="s">
        <v>316</v>
      </c>
      <c r="D23" s="104" t="s">
        <v>317</v>
      </c>
      <c r="E23" s="289">
        <v>3459.76</v>
      </c>
      <c r="F23" s="289">
        <v>95.5</v>
      </c>
      <c r="G23" s="289">
        <f>E23*F23</f>
        <v>330407.08</v>
      </c>
      <c r="H23" s="104"/>
      <c r="I23" s="104"/>
      <c r="J23" s="289">
        <f t="shared" si="1"/>
        <v>0</v>
      </c>
      <c r="K23" s="289">
        <f t="shared" si="0"/>
        <v>330407.08</v>
      </c>
      <c r="L23" s="290"/>
      <c r="M23" s="292">
        <f t="shared" si="2"/>
        <v>901533.634100002</v>
      </c>
      <c r="N23" s="292"/>
      <c r="O23" s="289"/>
    </row>
    <row r="24" spans="1:15">
      <c r="A24" s="97">
        <v>21</v>
      </c>
      <c r="B24" s="330" t="s">
        <v>315</v>
      </c>
      <c r="C24" s="364" t="s">
        <v>301</v>
      </c>
      <c r="D24" s="104" t="s">
        <v>294</v>
      </c>
      <c r="E24" s="289">
        <v>1250</v>
      </c>
      <c r="F24" s="289">
        <v>91.67</v>
      </c>
      <c r="G24" s="289">
        <f>E24*F24</f>
        <v>114587.5</v>
      </c>
      <c r="H24" s="104"/>
      <c r="I24" s="104"/>
      <c r="J24" s="289">
        <f t="shared" si="1"/>
        <v>0</v>
      </c>
      <c r="K24" s="289">
        <f t="shared" si="0"/>
        <v>114587.5</v>
      </c>
      <c r="L24" s="290"/>
      <c r="M24" s="292">
        <f t="shared" si="2"/>
        <v>786946.134100002</v>
      </c>
      <c r="N24" s="313"/>
      <c r="O24" s="291"/>
    </row>
    <row r="25" spans="1:15">
      <c r="A25" s="307">
        <v>22</v>
      </c>
      <c r="B25" s="330" t="s">
        <v>315</v>
      </c>
      <c r="C25" s="364" t="s">
        <v>291</v>
      </c>
      <c r="D25" s="104" t="s">
        <v>292</v>
      </c>
      <c r="E25" s="289">
        <v>0</v>
      </c>
      <c r="F25" s="289">
        <v>0</v>
      </c>
      <c r="G25" s="289">
        <f>E25*F25</f>
        <v>0</v>
      </c>
      <c r="H25" s="104">
        <v>10</v>
      </c>
      <c r="I25" s="104">
        <v>103.82</v>
      </c>
      <c r="J25" s="289">
        <f t="shared" si="1"/>
        <v>1038.1999999999998</v>
      </c>
      <c r="K25" s="289">
        <f t="shared" si="0"/>
        <v>1038.1999999999998</v>
      </c>
      <c r="L25" s="290"/>
      <c r="M25" s="292">
        <f t="shared" si="2"/>
        <v>785907.93410000205</v>
      </c>
      <c r="N25" s="313"/>
      <c r="O25" s="291"/>
    </row>
    <row r="26" spans="1:15">
      <c r="A26" s="97">
        <v>23</v>
      </c>
      <c r="B26" s="330" t="s">
        <v>315</v>
      </c>
      <c r="C26" s="364" t="s">
        <v>302</v>
      </c>
      <c r="D26" s="104" t="s">
        <v>46</v>
      </c>
      <c r="E26" s="289">
        <v>32.39</v>
      </c>
      <c r="F26" s="289">
        <v>95.7</v>
      </c>
      <c r="G26" s="289">
        <f>E26*F26</f>
        <v>3099.723</v>
      </c>
      <c r="H26" s="104"/>
      <c r="I26" s="104"/>
      <c r="J26" s="289">
        <f t="shared" si="1"/>
        <v>0</v>
      </c>
      <c r="K26" s="289">
        <f t="shared" si="0"/>
        <v>3099.723</v>
      </c>
      <c r="L26" s="290"/>
      <c r="M26" s="292">
        <f t="shared" si="2"/>
        <v>782808.21110000205</v>
      </c>
      <c r="N26" s="289"/>
      <c r="O26" s="289"/>
    </row>
    <row r="27" spans="1:15">
      <c r="A27" s="97">
        <v>24</v>
      </c>
      <c r="B27" s="330" t="s">
        <v>274</v>
      </c>
      <c r="C27" s="364" t="s">
        <v>318</v>
      </c>
      <c r="D27" s="104" t="s">
        <v>53</v>
      </c>
      <c r="E27" s="289">
        <v>20</v>
      </c>
      <c r="F27" s="289">
        <v>91.64</v>
      </c>
      <c r="G27" s="289">
        <f>E27*F27</f>
        <v>1832.8</v>
      </c>
      <c r="H27" s="104"/>
      <c r="I27" s="104"/>
      <c r="J27" s="289">
        <f t="shared" si="1"/>
        <v>0</v>
      </c>
      <c r="K27" s="289">
        <f t="shared" si="0"/>
        <v>1832.8</v>
      </c>
      <c r="L27" s="290"/>
      <c r="M27" s="292">
        <f t="shared" si="2"/>
        <v>780975.41110000201</v>
      </c>
      <c r="N27" s="289"/>
      <c r="O27" s="289"/>
    </row>
    <row r="28" spans="1:15">
      <c r="A28" s="307">
        <v>25</v>
      </c>
      <c r="B28" s="330" t="s">
        <v>319</v>
      </c>
      <c r="C28" s="364" t="s">
        <v>293</v>
      </c>
      <c r="D28" s="104" t="s">
        <v>294</v>
      </c>
      <c r="E28" s="289">
        <v>1800</v>
      </c>
      <c r="F28" s="289">
        <v>91.67</v>
      </c>
      <c r="G28" s="289">
        <f>E28*F28</f>
        <v>165006</v>
      </c>
      <c r="H28" s="104"/>
      <c r="I28" s="104"/>
      <c r="J28" s="289">
        <f t="shared" si="1"/>
        <v>0</v>
      </c>
      <c r="K28" s="289">
        <f t="shared" si="0"/>
        <v>165006</v>
      </c>
      <c r="L28" s="290"/>
      <c r="M28" s="292">
        <f t="shared" si="2"/>
        <v>615969.41110000201</v>
      </c>
      <c r="N28" s="289"/>
      <c r="O28" s="289"/>
    </row>
    <row r="29" spans="1:15" ht="14.25" customHeight="1">
      <c r="A29" s="97">
        <v>26</v>
      </c>
      <c r="B29" s="330" t="s">
        <v>275</v>
      </c>
      <c r="C29" s="364" t="s">
        <v>293</v>
      </c>
      <c r="D29" s="104" t="s">
        <v>294</v>
      </c>
      <c r="E29" s="289">
        <v>200</v>
      </c>
      <c r="F29" s="289">
        <v>91.67</v>
      </c>
      <c r="G29" s="289">
        <f>E29*F29</f>
        <v>18334</v>
      </c>
      <c r="H29" s="104"/>
      <c r="I29" s="104"/>
      <c r="J29" s="289">
        <f t="shared" si="1"/>
        <v>0</v>
      </c>
      <c r="K29" s="289">
        <f t="shared" si="0"/>
        <v>18334</v>
      </c>
      <c r="L29" s="290"/>
      <c r="M29" s="292">
        <f t="shared" si="2"/>
        <v>597635.41110000201</v>
      </c>
      <c r="N29" s="289"/>
      <c r="O29" s="289"/>
    </row>
    <row r="30" spans="1:15">
      <c r="A30" s="97">
        <v>27</v>
      </c>
      <c r="B30" s="330" t="s">
        <v>275</v>
      </c>
      <c r="C30" s="364" t="s">
        <v>320</v>
      </c>
      <c r="D30" s="104" t="s">
        <v>296</v>
      </c>
      <c r="E30" s="291">
        <v>47.51</v>
      </c>
      <c r="F30" s="291">
        <v>96.74</v>
      </c>
      <c r="G30" s="289">
        <f>E30*F30</f>
        <v>4596.1173999999992</v>
      </c>
      <c r="H30" s="104"/>
      <c r="I30" s="104"/>
      <c r="J30" s="289">
        <f t="shared" si="1"/>
        <v>0</v>
      </c>
      <c r="K30" s="289">
        <f t="shared" si="0"/>
        <v>4596.1173999999992</v>
      </c>
      <c r="L30" s="290"/>
      <c r="M30" s="292">
        <f t="shared" si="2"/>
        <v>593039.29370000202</v>
      </c>
      <c r="N30" s="289"/>
      <c r="O30" s="289"/>
    </row>
    <row r="31" spans="1:15">
      <c r="A31" s="307">
        <v>28</v>
      </c>
      <c r="B31" s="330" t="s">
        <v>275</v>
      </c>
      <c r="C31" s="416" t="s">
        <v>302</v>
      </c>
      <c r="D31" s="363" t="s">
        <v>40</v>
      </c>
      <c r="E31" s="289">
        <v>0</v>
      </c>
      <c r="F31" s="289">
        <v>0</v>
      </c>
      <c r="G31" s="292">
        <f>E31*F31</f>
        <v>0</v>
      </c>
      <c r="H31" s="104">
        <v>4.18</v>
      </c>
      <c r="I31" s="104">
        <v>107.46</v>
      </c>
      <c r="J31" s="289">
        <f t="shared" si="1"/>
        <v>449.18279999999993</v>
      </c>
      <c r="K31" s="289">
        <f t="shared" si="0"/>
        <v>449.18279999999993</v>
      </c>
      <c r="L31" s="290"/>
      <c r="M31" s="292">
        <f t="shared" si="2"/>
        <v>592590.11090000207</v>
      </c>
      <c r="N31" s="289"/>
      <c r="O31" s="289"/>
    </row>
    <row r="32" spans="1:15">
      <c r="A32" s="97">
        <v>29</v>
      </c>
      <c r="B32" s="330" t="s">
        <v>279</v>
      </c>
      <c r="C32" s="104" t="s">
        <v>321</v>
      </c>
      <c r="D32" s="383" t="s">
        <v>322</v>
      </c>
      <c r="E32" s="104">
        <v>200</v>
      </c>
      <c r="F32" s="104">
        <v>97</v>
      </c>
      <c r="G32" s="292">
        <f>E32*F32</f>
        <v>19400</v>
      </c>
      <c r="H32" s="104"/>
      <c r="I32" s="104"/>
      <c r="J32" s="289">
        <f t="shared" si="1"/>
        <v>0</v>
      </c>
      <c r="K32" s="289">
        <f t="shared" si="0"/>
        <v>19400</v>
      </c>
      <c r="L32" s="290"/>
      <c r="M32" s="292">
        <f t="shared" si="2"/>
        <v>573190.11090000207</v>
      </c>
      <c r="N32" s="293"/>
      <c r="O32" s="293"/>
    </row>
    <row r="33" spans="1:16">
      <c r="A33" s="97">
        <v>30</v>
      </c>
      <c r="B33" s="330" t="s">
        <v>279</v>
      </c>
      <c r="C33" s="104" t="s">
        <v>302</v>
      </c>
      <c r="D33" s="383" t="s">
        <v>299</v>
      </c>
      <c r="E33" s="104">
        <v>46.83</v>
      </c>
      <c r="F33" s="104">
        <v>95.7</v>
      </c>
      <c r="G33" s="292">
        <f>E33*F33</f>
        <v>4481.6310000000003</v>
      </c>
      <c r="H33" s="104"/>
      <c r="I33" s="104"/>
      <c r="J33" s="289">
        <f t="shared" si="1"/>
        <v>0</v>
      </c>
      <c r="K33" s="289">
        <f t="shared" si="0"/>
        <v>4481.6310000000003</v>
      </c>
      <c r="L33" s="290"/>
      <c r="M33" s="292">
        <f t="shared" si="2"/>
        <v>568708.47990000201</v>
      </c>
      <c r="N33" s="291"/>
      <c r="O33" s="291"/>
    </row>
    <row r="34" spans="1:16">
      <c r="A34" s="307">
        <v>31</v>
      </c>
      <c r="B34" s="392" t="s">
        <v>279</v>
      </c>
      <c r="C34" s="311" t="s">
        <v>318</v>
      </c>
      <c r="D34" s="401" t="s">
        <v>53</v>
      </c>
      <c r="E34" s="311">
        <v>45.02</v>
      </c>
      <c r="F34" s="311">
        <v>91.64</v>
      </c>
      <c r="G34" s="313">
        <f>E34*F34</f>
        <v>4125.6328000000003</v>
      </c>
      <c r="H34" s="311"/>
      <c r="I34" s="311"/>
      <c r="J34" s="291">
        <f t="shared" si="1"/>
        <v>0</v>
      </c>
      <c r="K34" s="291">
        <f t="shared" si="0"/>
        <v>4125.6328000000003</v>
      </c>
      <c r="L34" s="290"/>
      <c r="M34" s="292">
        <f t="shared" si="2"/>
        <v>564582.84710000199</v>
      </c>
      <c r="N34" s="291"/>
      <c r="O34" s="291"/>
    </row>
    <row r="35" spans="1:16">
      <c r="A35" s="97">
        <v>32</v>
      </c>
      <c r="B35" s="223" t="s">
        <v>280</v>
      </c>
      <c r="C35" s="167" t="s">
        <v>320</v>
      </c>
      <c r="D35" s="104" t="s">
        <v>296</v>
      </c>
      <c r="E35" s="104">
        <v>108.8</v>
      </c>
      <c r="F35" s="104">
        <v>96.74</v>
      </c>
      <c r="G35" s="289">
        <f>E35*F35</f>
        <v>10525.312</v>
      </c>
      <c r="H35" s="104"/>
      <c r="I35" s="104"/>
      <c r="J35" s="289">
        <f t="shared" si="1"/>
        <v>0</v>
      </c>
      <c r="K35" s="289">
        <f t="shared" si="0"/>
        <v>10525.312</v>
      </c>
      <c r="L35" s="306"/>
      <c r="M35" s="292">
        <f t="shared" si="2"/>
        <v>554057.53510000196</v>
      </c>
      <c r="N35" s="291"/>
      <c r="O35" s="291"/>
    </row>
    <row r="36" spans="1:16">
      <c r="A36" s="97">
        <v>33</v>
      </c>
      <c r="B36" s="223" t="s">
        <v>323</v>
      </c>
      <c r="C36" s="167" t="s">
        <v>302</v>
      </c>
      <c r="D36" s="104" t="s">
        <v>40</v>
      </c>
      <c r="E36" s="289">
        <v>0</v>
      </c>
      <c r="F36" s="289">
        <v>0</v>
      </c>
      <c r="G36" s="289">
        <f>E36*F36</f>
        <v>0</v>
      </c>
      <c r="H36" s="104">
        <v>3.7</v>
      </c>
      <c r="I36" s="104">
        <v>107.46</v>
      </c>
      <c r="J36" s="289">
        <f t="shared" si="1"/>
        <v>397.60199999999998</v>
      </c>
      <c r="K36" s="289">
        <f t="shared" si="0"/>
        <v>397.60199999999998</v>
      </c>
      <c r="L36" s="306"/>
      <c r="M36" s="292">
        <f t="shared" si="2"/>
        <v>553659.933100002</v>
      </c>
      <c r="N36" s="291"/>
      <c r="O36" s="291"/>
    </row>
    <row r="37" spans="1:16">
      <c r="A37" s="307">
        <v>34</v>
      </c>
      <c r="B37" s="223" t="s">
        <v>323</v>
      </c>
      <c r="C37" s="104" t="s">
        <v>291</v>
      </c>
      <c r="D37" s="104" t="s">
        <v>292</v>
      </c>
      <c r="E37" s="289">
        <v>0</v>
      </c>
      <c r="F37" s="289">
        <v>0</v>
      </c>
      <c r="G37" s="289">
        <f>E37*F37</f>
        <v>0</v>
      </c>
      <c r="H37" s="104">
        <v>6</v>
      </c>
      <c r="I37" s="104">
        <v>103.82</v>
      </c>
      <c r="J37" s="289">
        <f t="shared" si="1"/>
        <v>622.91999999999996</v>
      </c>
      <c r="K37" s="289">
        <f t="shared" si="0"/>
        <v>622.91999999999996</v>
      </c>
      <c r="L37" s="306"/>
      <c r="M37" s="292">
        <f t="shared" si="2"/>
        <v>553037.01310000196</v>
      </c>
      <c r="N37" s="291"/>
      <c r="O37" s="291"/>
    </row>
    <row r="38" spans="1:16">
      <c r="A38" s="97">
        <v>35</v>
      </c>
      <c r="B38" s="223" t="s">
        <v>323</v>
      </c>
      <c r="C38" s="104" t="s">
        <v>324</v>
      </c>
      <c r="D38" s="104" t="s">
        <v>296</v>
      </c>
      <c r="E38" s="104">
        <v>46.04</v>
      </c>
      <c r="F38" s="104">
        <v>97.28</v>
      </c>
      <c r="G38" s="289">
        <f>E38*F38</f>
        <v>4478.7712000000001</v>
      </c>
      <c r="H38" s="104">
        <v>10</v>
      </c>
      <c r="I38" s="104">
        <v>109.47</v>
      </c>
      <c r="J38" s="289">
        <f t="shared" si="1"/>
        <v>1094.7</v>
      </c>
      <c r="K38" s="289">
        <f t="shared" si="0"/>
        <v>5573.4712</v>
      </c>
      <c r="L38" s="306"/>
      <c r="M38" s="292">
        <f t="shared" si="2"/>
        <v>547463.54190000193</v>
      </c>
      <c r="N38" s="291"/>
      <c r="O38" s="291"/>
    </row>
    <row r="39" spans="1:16">
      <c r="A39" s="97">
        <v>36</v>
      </c>
      <c r="B39" s="223" t="s">
        <v>276</v>
      </c>
      <c r="C39" s="104" t="s">
        <v>325</v>
      </c>
      <c r="D39" s="104" t="s">
        <v>53</v>
      </c>
      <c r="E39" s="104">
        <v>40</v>
      </c>
      <c r="F39" s="104">
        <v>91.62</v>
      </c>
      <c r="G39" s="289">
        <f>E39*F39</f>
        <v>3664.8</v>
      </c>
      <c r="H39" s="104"/>
      <c r="I39" s="104"/>
      <c r="J39" s="289">
        <f t="shared" si="1"/>
        <v>0</v>
      </c>
      <c r="K39" s="289">
        <f t="shared" si="0"/>
        <v>3664.8</v>
      </c>
      <c r="L39" s="306"/>
      <c r="M39" s="292">
        <f t="shared" si="2"/>
        <v>543798.74190000189</v>
      </c>
      <c r="N39" s="291"/>
      <c r="O39" s="291"/>
    </row>
    <row r="40" spans="1:16">
      <c r="A40" s="307">
        <v>37</v>
      </c>
      <c r="B40" s="223" t="s">
        <v>276</v>
      </c>
      <c r="C40" s="104" t="s">
        <v>302</v>
      </c>
      <c r="D40" s="104" t="s">
        <v>46</v>
      </c>
      <c r="E40" s="104">
        <v>32.39</v>
      </c>
      <c r="F40" s="104">
        <v>95.7</v>
      </c>
      <c r="G40" s="289">
        <f>E40*F40</f>
        <v>3099.723</v>
      </c>
      <c r="H40" s="104"/>
      <c r="I40" s="104"/>
      <c r="J40" s="289">
        <f t="shared" si="1"/>
        <v>0</v>
      </c>
      <c r="K40" s="289">
        <f t="shared" si="0"/>
        <v>3099.723</v>
      </c>
      <c r="L40" s="306"/>
      <c r="M40" s="292">
        <f t="shared" si="2"/>
        <v>540699.01890000189</v>
      </c>
      <c r="N40" s="289"/>
      <c r="O40" s="289"/>
    </row>
    <row r="41" spans="1:16">
      <c r="A41" s="97">
        <v>38</v>
      </c>
      <c r="B41" s="223" t="s">
        <v>276</v>
      </c>
      <c r="C41" s="104" t="s">
        <v>291</v>
      </c>
      <c r="D41" s="104" t="s">
        <v>292</v>
      </c>
      <c r="E41" s="104">
        <v>35.659999999999997</v>
      </c>
      <c r="F41" s="104">
        <v>92.07</v>
      </c>
      <c r="G41" s="289">
        <f>E41*F41</f>
        <v>3283.2161999999994</v>
      </c>
      <c r="H41" s="104"/>
      <c r="I41" s="104"/>
      <c r="J41" s="289">
        <f t="shared" si="1"/>
        <v>0</v>
      </c>
      <c r="K41" s="289">
        <f t="shared" si="0"/>
        <v>3283.2161999999994</v>
      </c>
      <c r="L41" s="306"/>
      <c r="M41" s="292">
        <f t="shared" si="2"/>
        <v>537415.80270000186</v>
      </c>
      <c r="N41" s="289"/>
      <c r="O41" s="289"/>
    </row>
    <row r="42" spans="1:16">
      <c r="A42" s="97">
        <v>39</v>
      </c>
      <c r="B42" s="223" t="s">
        <v>276</v>
      </c>
      <c r="C42" s="104" t="s">
        <v>308</v>
      </c>
      <c r="D42" s="104" t="s">
        <v>309</v>
      </c>
      <c r="E42" s="289">
        <v>2592.3000000000002</v>
      </c>
      <c r="F42" s="289">
        <v>96.44</v>
      </c>
      <c r="G42" s="289">
        <f>E42*F42</f>
        <v>250001.41200000001</v>
      </c>
      <c r="H42" s="104"/>
      <c r="I42" s="104"/>
      <c r="J42" s="289">
        <f t="shared" si="1"/>
        <v>0</v>
      </c>
      <c r="K42" s="289">
        <f t="shared" si="0"/>
        <v>250001.41200000001</v>
      </c>
      <c r="L42" s="306"/>
      <c r="M42" s="292">
        <f t="shared" si="2"/>
        <v>287414.39070000185</v>
      </c>
      <c r="N42" s="289"/>
      <c r="O42" s="289"/>
    </row>
    <row r="43" spans="1:16">
      <c r="A43" s="307">
        <v>40</v>
      </c>
      <c r="B43" s="223" t="s">
        <v>281</v>
      </c>
      <c r="C43" s="104" t="s">
        <v>326</v>
      </c>
      <c r="D43" s="104" t="s">
        <v>53</v>
      </c>
      <c r="E43" s="289">
        <v>10</v>
      </c>
      <c r="F43" s="289">
        <v>92.22</v>
      </c>
      <c r="G43" s="289">
        <f>E43*F43</f>
        <v>922.2</v>
      </c>
      <c r="H43" s="104"/>
      <c r="I43" s="104"/>
      <c r="J43" s="289">
        <f t="shared" si="1"/>
        <v>0</v>
      </c>
      <c r="K43" s="289">
        <f t="shared" si="0"/>
        <v>922.2</v>
      </c>
      <c r="L43" s="306">
        <v>1116000</v>
      </c>
      <c r="M43" s="292">
        <f t="shared" si="2"/>
        <v>1402492.1907000018</v>
      </c>
      <c r="N43" s="289"/>
      <c r="O43" s="289"/>
    </row>
    <row r="44" spans="1:16">
      <c r="A44" s="97">
        <v>41</v>
      </c>
      <c r="B44" s="223" t="s">
        <v>281</v>
      </c>
      <c r="C44" s="104" t="s">
        <v>327</v>
      </c>
      <c r="D44" s="104" t="s">
        <v>296</v>
      </c>
      <c r="E44" s="289">
        <v>65.89</v>
      </c>
      <c r="F44" s="289">
        <v>97.71</v>
      </c>
      <c r="G44" s="289">
        <f>E44*F44</f>
        <v>6438.1118999999999</v>
      </c>
      <c r="H44" s="104">
        <v>15</v>
      </c>
      <c r="I44" s="104">
        <v>109.94</v>
      </c>
      <c r="J44" s="289">
        <f t="shared" si="1"/>
        <v>1649.1</v>
      </c>
      <c r="K44" s="289">
        <f t="shared" si="0"/>
        <v>8087.2119000000002</v>
      </c>
      <c r="L44" s="306"/>
      <c r="M44" s="292">
        <f t="shared" si="2"/>
        <v>1394404.9788000018</v>
      </c>
      <c r="N44" s="289"/>
      <c r="O44" s="289">
        <v>564582.48</v>
      </c>
      <c r="P44" s="417">
        <f>O44-M44</f>
        <v>-829822.49880000181</v>
      </c>
    </row>
    <row r="45" spans="1:16">
      <c r="A45" s="97">
        <v>42</v>
      </c>
      <c r="B45" s="223" t="s">
        <v>281</v>
      </c>
      <c r="C45" s="104" t="s">
        <v>312</v>
      </c>
      <c r="D45" s="104" t="s">
        <v>299</v>
      </c>
      <c r="E45" s="289">
        <v>967.71</v>
      </c>
      <c r="F45" s="289">
        <v>91.97</v>
      </c>
      <c r="G45" s="289">
        <f>E45*F45</f>
        <v>89000.288700000005</v>
      </c>
      <c r="H45" s="104"/>
      <c r="I45" s="104"/>
      <c r="J45" s="289">
        <f t="shared" si="1"/>
        <v>0</v>
      </c>
      <c r="K45" s="289">
        <f t="shared" si="0"/>
        <v>89000.288700000005</v>
      </c>
      <c r="L45" s="306"/>
      <c r="M45" s="292">
        <f t="shared" si="2"/>
        <v>1305404.6901000019</v>
      </c>
      <c r="N45" s="289"/>
      <c r="O45" s="289"/>
    </row>
    <row r="46" spans="1:16">
      <c r="A46" s="307">
        <v>43</v>
      </c>
      <c r="B46" s="223" t="s">
        <v>281</v>
      </c>
      <c r="C46" s="104" t="s">
        <v>328</v>
      </c>
      <c r="D46" s="104" t="s">
        <v>292</v>
      </c>
      <c r="E46" s="289">
        <v>35</v>
      </c>
      <c r="F46" s="289">
        <v>92.06</v>
      </c>
      <c r="G46" s="289">
        <f>E46*F46</f>
        <v>3222.1</v>
      </c>
      <c r="H46" s="104"/>
      <c r="I46" s="104"/>
      <c r="J46" s="289">
        <f t="shared" ref="J46:J67" si="3">H46*I46</f>
        <v>0</v>
      </c>
      <c r="K46" s="289">
        <f t="shared" si="0"/>
        <v>3222.1</v>
      </c>
      <c r="L46" s="306"/>
      <c r="M46" s="292">
        <f t="shared" si="2"/>
        <v>1302182.5901000018</v>
      </c>
      <c r="N46" s="289"/>
      <c r="O46" s="289"/>
    </row>
    <row r="47" spans="1:16">
      <c r="A47" s="97">
        <v>44</v>
      </c>
      <c r="B47" s="223" t="s">
        <v>329</v>
      </c>
      <c r="C47" s="104" t="s">
        <v>318</v>
      </c>
      <c r="D47" s="311" t="s">
        <v>53</v>
      </c>
      <c r="E47" s="291">
        <v>42</v>
      </c>
      <c r="F47" s="291">
        <v>91.64</v>
      </c>
      <c r="G47" s="291">
        <f>E47*F47</f>
        <v>3848.88</v>
      </c>
      <c r="H47" s="311"/>
      <c r="I47" s="311"/>
      <c r="J47" s="289">
        <f t="shared" si="3"/>
        <v>0</v>
      </c>
      <c r="K47" s="289">
        <f t="shared" si="0"/>
        <v>3848.88</v>
      </c>
      <c r="L47" s="306"/>
      <c r="M47" s="292">
        <f t="shared" si="2"/>
        <v>1298333.7101000019</v>
      </c>
      <c r="N47" s="289"/>
      <c r="O47" s="289"/>
    </row>
    <row r="48" spans="1:16">
      <c r="A48" s="97">
        <v>45</v>
      </c>
      <c r="B48" s="223" t="s">
        <v>277</v>
      </c>
      <c r="C48" s="363" t="s">
        <v>302</v>
      </c>
      <c r="D48" s="104" t="s">
        <v>40</v>
      </c>
      <c r="E48" s="104"/>
      <c r="F48" s="104"/>
      <c r="G48" s="289">
        <f>E48*F48</f>
        <v>0</v>
      </c>
      <c r="H48" s="104">
        <v>4.6399999999999997</v>
      </c>
      <c r="I48" s="104">
        <v>107.46</v>
      </c>
      <c r="J48" s="292">
        <f t="shared" si="3"/>
        <v>498.61439999999993</v>
      </c>
      <c r="K48" s="289">
        <f t="shared" si="0"/>
        <v>498.61439999999993</v>
      </c>
      <c r="L48" s="306"/>
      <c r="M48" s="292">
        <f t="shared" si="2"/>
        <v>1297835.0957000018</v>
      </c>
      <c r="N48" s="289"/>
      <c r="O48" s="289"/>
    </row>
    <row r="49" spans="1:15">
      <c r="A49" s="307">
        <v>46</v>
      </c>
      <c r="B49" s="223" t="s">
        <v>277</v>
      </c>
      <c r="C49" s="365" t="s">
        <v>308</v>
      </c>
      <c r="D49" s="104" t="s">
        <v>309</v>
      </c>
      <c r="E49" s="104">
        <v>3110.73</v>
      </c>
      <c r="F49" s="104">
        <v>96.44</v>
      </c>
      <c r="G49" s="289">
        <f>E49*F49</f>
        <v>299998.80119999999</v>
      </c>
      <c r="H49" s="104"/>
      <c r="I49" s="104"/>
      <c r="J49" s="399">
        <f t="shared" si="3"/>
        <v>0</v>
      </c>
      <c r="K49" s="293">
        <f t="shared" si="0"/>
        <v>299998.80119999999</v>
      </c>
      <c r="L49" s="290"/>
      <c r="M49" s="292">
        <f t="shared" si="2"/>
        <v>997836.29450000182</v>
      </c>
      <c r="N49" s="289"/>
      <c r="O49" s="289"/>
    </row>
    <row r="50" spans="1:15">
      <c r="A50" s="97">
        <v>47</v>
      </c>
      <c r="B50" s="223" t="s">
        <v>277</v>
      </c>
      <c r="C50" s="363" t="s">
        <v>291</v>
      </c>
      <c r="D50" s="433" t="s">
        <v>292</v>
      </c>
      <c r="E50" s="104">
        <v>60</v>
      </c>
      <c r="F50" s="104">
        <v>92.07</v>
      </c>
      <c r="G50" s="289">
        <f>E50*F50</f>
        <v>5524.2</v>
      </c>
      <c r="H50" s="104"/>
      <c r="I50" s="104"/>
      <c r="J50" s="292">
        <f t="shared" si="3"/>
        <v>0</v>
      </c>
      <c r="K50" s="289">
        <f t="shared" si="0"/>
        <v>5524.2</v>
      </c>
      <c r="L50" s="290"/>
      <c r="M50" s="292">
        <f t="shared" si="2"/>
        <v>992312.09450000187</v>
      </c>
      <c r="N50" s="289"/>
      <c r="O50" s="289"/>
    </row>
    <row r="51" spans="1:15">
      <c r="A51" s="97">
        <v>48</v>
      </c>
      <c r="B51" s="223" t="s">
        <v>277</v>
      </c>
      <c r="C51" s="363" t="s">
        <v>330</v>
      </c>
      <c r="D51" s="104" t="s">
        <v>299</v>
      </c>
      <c r="E51" s="104">
        <v>1093.02</v>
      </c>
      <c r="F51" s="104">
        <v>91.49</v>
      </c>
      <c r="G51" s="289">
        <f>E51*F51</f>
        <v>100000.3998</v>
      </c>
      <c r="H51" s="104"/>
      <c r="I51" s="104"/>
      <c r="J51" s="292">
        <f t="shared" si="3"/>
        <v>0</v>
      </c>
      <c r="K51" s="289">
        <f t="shared" si="0"/>
        <v>100000.3998</v>
      </c>
      <c r="L51" s="290"/>
      <c r="M51" s="292">
        <f t="shared" si="2"/>
        <v>892311.69470000186</v>
      </c>
      <c r="N51" s="313"/>
      <c r="O51" s="291"/>
    </row>
    <row r="52" spans="1:15">
      <c r="A52" s="307">
        <v>49</v>
      </c>
      <c r="B52" s="223" t="s">
        <v>277</v>
      </c>
      <c r="C52" s="416" t="s">
        <v>307</v>
      </c>
      <c r="D52" s="104" t="s">
        <v>299</v>
      </c>
      <c r="E52" s="104">
        <v>642.72</v>
      </c>
      <c r="F52" s="104">
        <v>92.01</v>
      </c>
      <c r="G52" s="289">
        <f>E52*F52</f>
        <v>59136.667200000004</v>
      </c>
      <c r="H52" s="104"/>
      <c r="I52" s="104"/>
      <c r="J52" s="292">
        <f t="shared" si="3"/>
        <v>0</v>
      </c>
      <c r="K52" s="289">
        <f t="shared" si="0"/>
        <v>59136.667200000004</v>
      </c>
      <c r="L52" s="290"/>
      <c r="M52" s="292">
        <f t="shared" si="2"/>
        <v>833175.02750000183</v>
      </c>
      <c r="N52" s="313"/>
      <c r="O52" s="291"/>
    </row>
    <row r="53" spans="1:15">
      <c r="A53" s="97">
        <v>50</v>
      </c>
      <c r="B53" s="223" t="s">
        <v>277</v>
      </c>
      <c r="C53" s="363" t="s">
        <v>305</v>
      </c>
      <c r="D53" s="104" t="s">
        <v>299</v>
      </c>
      <c r="E53" s="104">
        <v>2719.47</v>
      </c>
      <c r="F53" s="104">
        <v>91.93</v>
      </c>
      <c r="G53" s="289">
        <f>E53*F53</f>
        <v>250000.87710000001</v>
      </c>
      <c r="H53" s="104"/>
      <c r="I53" s="104"/>
      <c r="J53" s="292">
        <f t="shared" si="3"/>
        <v>0</v>
      </c>
      <c r="K53" s="289">
        <f t="shared" si="0"/>
        <v>250000.87710000001</v>
      </c>
      <c r="L53" s="290"/>
      <c r="M53" s="292">
        <f t="shared" si="2"/>
        <v>583174.15040000179</v>
      </c>
      <c r="N53" s="313"/>
      <c r="O53" s="291"/>
    </row>
    <row r="54" spans="1:15">
      <c r="A54" s="97">
        <v>51</v>
      </c>
      <c r="B54" s="223" t="s">
        <v>277</v>
      </c>
      <c r="C54" s="363" t="s">
        <v>300</v>
      </c>
      <c r="D54" s="104" t="s">
        <v>299</v>
      </c>
      <c r="E54" s="289">
        <v>745.11</v>
      </c>
      <c r="F54" s="289">
        <v>92.06</v>
      </c>
      <c r="G54" s="289">
        <f>E54*F54</f>
        <v>68594.8266</v>
      </c>
      <c r="H54" s="104"/>
      <c r="I54" s="104"/>
      <c r="J54" s="292">
        <f t="shared" si="3"/>
        <v>0</v>
      </c>
      <c r="K54" s="289">
        <f t="shared" si="0"/>
        <v>68594.8266</v>
      </c>
      <c r="L54" s="290"/>
      <c r="M54" s="292">
        <f t="shared" si="2"/>
        <v>514579.32380000176</v>
      </c>
      <c r="N54" s="292"/>
      <c r="O54" s="289"/>
    </row>
    <row r="55" spans="1:15">
      <c r="A55" s="307">
        <v>52</v>
      </c>
      <c r="B55" s="223" t="s">
        <v>277</v>
      </c>
      <c r="C55" s="365" t="s">
        <v>320</v>
      </c>
      <c r="D55" s="104" t="s">
        <v>296</v>
      </c>
      <c r="E55" s="104">
        <v>37.630000000000003</v>
      </c>
      <c r="F55" s="104">
        <v>96.74</v>
      </c>
      <c r="G55" s="289">
        <f>E55*F55</f>
        <v>3640.3262</v>
      </c>
      <c r="H55" s="104"/>
      <c r="I55" s="104"/>
      <c r="J55" s="292">
        <f t="shared" si="3"/>
        <v>0</v>
      </c>
      <c r="K55" s="289">
        <f t="shared" si="0"/>
        <v>3640.3262</v>
      </c>
      <c r="L55" s="290"/>
      <c r="M55" s="292">
        <f t="shared" si="2"/>
        <v>510938.99760000175</v>
      </c>
      <c r="N55" s="289"/>
      <c r="O55" s="289"/>
    </row>
    <row r="56" spans="1:15">
      <c r="A56" s="97">
        <v>53</v>
      </c>
      <c r="B56" s="223" t="s">
        <v>277</v>
      </c>
      <c r="C56" s="365" t="s">
        <v>320</v>
      </c>
      <c r="D56" s="104" t="s">
        <v>296</v>
      </c>
      <c r="E56" s="104">
        <v>40.880000000000003</v>
      </c>
      <c r="F56" s="104">
        <v>96.74</v>
      </c>
      <c r="G56" s="289">
        <f>E56*F56</f>
        <v>3954.7312000000002</v>
      </c>
      <c r="H56" s="104"/>
      <c r="I56" s="104"/>
      <c r="J56" s="292">
        <f t="shared" si="3"/>
        <v>0</v>
      </c>
      <c r="K56" s="289">
        <f t="shared" si="0"/>
        <v>3954.7312000000002</v>
      </c>
      <c r="L56" s="290"/>
      <c r="M56" s="292">
        <f t="shared" si="2"/>
        <v>506984.26640000177</v>
      </c>
      <c r="N56" s="289"/>
      <c r="O56" s="289"/>
    </row>
    <row r="57" spans="1:15">
      <c r="A57" s="97">
        <v>54</v>
      </c>
      <c r="B57" s="223" t="s">
        <v>277</v>
      </c>
      <c r="C57" s="434" t="s">
        <v>331</v>
      </c>
      <c r="D57" s="104" t="s">
        <v>296</v>
      </c>
      <c r="E57" s="104">
        <v>40</v>
      </c>
      <c r="F57" s="104">
        <v>97.4</v>
      </c>
      <c r="G57" s="289">
        <f>E57*F57</f>
        <v>3896</v>
      </c>
      <c r="H57" s="104"/>
      <c r="I57" s="104"/>
      <c r="J57" s="292">
        <f t="shared" si="3"/>
        <v>0</v>
      </c>
      <c r="K57" s="289">
        <f t="shared" si="0"/>
        <v>3896</v>
      </c>
      <c r="L57" s="290"/>
      <c r="M57" s="292">
        <f t="shared" si="2"/>
        <v>503088.26640000177</v>
      </c>
      <c r="N57" s="289"/>
      <c r="O57" s="289"/>
    </row>
    <row r="58" spans="1:15">
      <c r="A58" s="307">
        <v>55</v>
      </c>
      <c r="B58" s="223" t="s">
        <v>282</v>
      </c>
      <c r="C58" s="167" t="s">
        <v>291</v>
      </c>
      <c r="D58" s="329" t="s">
        <v>292</v>
      </c>
      <c r="E58" s="399"/>
      <c r="F58" s="293"/>
      <c r="G58" s="293">
        <f>E58*F58</f>
        <v>0</v>
      </c>
      <c r="H58" s="308">
        <v>6</v>
      </c>
      <c r="I58" s="308">
        <v>103.82</v>
      </c>
      <c r="J58" s="289">
        <f t="shared" si="3"/>
        <v>622.91999999999996</v>
      </c>
      <c r="K58" s="289">
        <f t="shared" si="0"/>
        <v>622.91999999999996</v>
      </c>
      <c r="L58" s="290"/>
      <c r="M58" s="292">
        <f t="shared" si="2"/>
        <v>502465.34640000178</v>
      </c>
      <c r="N58" s="291"/>
      <c r="O58" s="291"/>
    </row>
    <row r="59" spans="1:15">
      <c r="A59" s="97">
        <v>56</v>
      </c>
      <c r="B59" s="223" t="s">
        <v>283</v>
      </c>
      <c r="C59" s="167" t="s">
        <v>295</v>
      </c>
      <c r="D59" s="314" t="s">
        <v>296</v>
      </c>
      <c r="E59" s="292">
        <v>40.94</v>
      </c>
      <c r="F59" s="289">
        <v>97.71</v>
      </c>
      <c r="G59" s="289">
        <f>E59*F59</f>
        <v>4000.2473999999997</v>
      </c>
      <c r="H59" s="104"/>
      <c r="I59" s="104"/>
      <c r="J59" s="289">
        <f t="shared" si="3"/>
        <v>0</v>
      </c>
      <c r="K59" s="289">
        <f t="shared" si="0"/>
        <v>4000.2473999999997</v>
      </c>
      <c r="L59" s="290"/>
      <c r="M59" s="292">
        <f t="shared" si="2"/>
        <v>498465.09900000179</v>
      </c>
      <c r="N59" s="289"/>
      <c r="O59" s="289"/>
    </row>
    <row r="60" spans="1:15">
      <c r="A60" s="97">
        <v>57</v>
      </c>
      <c r="B60" s="223" t="s">
        <v>284</v>
      </c>
      <c r="C60" s="316" t="s">
        <v>332</v>
      </c>
      <c r="D60" s="438" t="s">
        <v>40</v>
      </c>
      <c r="E60" s="313"/>
      <c r="F60" s="291"/>
      <c r="G60" s="289">
        <f>E60*F60</f>
        <v>0</v>
      </c>
      <c r="H60" s="104">
        <v>2.33</v>
      </c>
      <c r="I60" s="104">
        <v>107.46</v>
      </c>
      <c r="J60" s="289">
        <f t="shared" si="3"/>
        <v>250.3818</v>
      </c>
      <c r="K60" s="289">
        <f t="shared" si="0"/>
        <v>250.3818</v>
      </c>
      <c r="L60" s="290"/>
      <c r="M60" s="292">
        <f t="shared" si="2"/>
        <v>498214.71720000182</v>
      </c>
      <c r="N60" s="291"/>
      <c r="O60" s="291"/>
    </row>
    <row r="61" spans="1:15">
      <c r="A61" s="307">
        <v>58</v>
      </c>
      <c r="B61" s="223" t="s">
        <v>284</v>
      </c>
      <c r="C61" s="364" t="s">
        <v>327</v>
      </c>
      <c r="D61" s="104" t="s">
        <v>296</v>
      </c>
      <c r="E61" s="289">
        <v>46.56</v>
      </c>
      <c r="F61" s="289">
        <v>97.71</v>
      </c>
      <c r="G61" s="292">
        <f>E61*F61</f>
        <v>4549.3775999999998</v>
      </c>
      <c r="H61" s="104">
        <v>5</v>
      </c>
      <c r="I61" s="104">
        <v>109.94</v>
      </c>
      <c r="J61" s="289">
        <f t="shared" si="3"/>
        <v>549.70000000000005</v>
      </c>
      <c r="K61" s="289">
        <f t="shared" si="0"/>
        <v>5099.0775999999996</v>
      </c>
      <c r="L61" s="290"/>
      <c r="M61" s="292">
        <f t="shared" si="2"/>
        <v>493115.6396000018</v>
      </c>
      <c r="N61" s="289"/>
      <c r="O61" s="289"/>
    </row>
    <row r="62" spans="1:15">
      <c r="A62" s="97">
        <v>59</v>
      </c>
      <c r="B62" s="223" t="s">
        <v>278</v>
      </c>
      <c r="C62" s="364" t="s">
        <v>320</v>
      </c>
      <c r="D62" s="104" t="s">
        <v>296</v>
      </c>
      <c r="E62" s="289"/>
      <c r="F62" s="289"/>
      <c r="G62" s="292">
        <f>E62*F62</f>
        <v>0</v>
      </c>
      <c r="H62" s="104">
        <v>5</v>
      </c>
      <c r="I62" s="104">
        <v>108.86</v>
      </c>
      <c r="J62" s="289">
        <f t="shared" si="3"/>
        <v>544.29999999999995</v>
      </c>
      <c r="K62" s="289">
        <f t="shared" si="0"/>
        <v>544.29999999999995</v>
      </c>
      <c r="L62" s="290"/>
      <c r="M62" s="292">
        <f t="shared" si="2"/>
        <v>492571.33960000181</v>
      </c>
      <c r="N62" s="289"/>
      <c r="O62" s="289"/>
    </row>
    <row r="63" spans="1:15">
      <c r="A63" s="97">
        <v>60</v>
      </c>
      <c r="B63" s="223" t="s">
        <v>278</v>
      </c>
      <c r="C63" s="364" t="s">
        <v>333</v>
      </c>
      <c r="D63" s="104" t="s">
        <v>53</v>
      </c>
      <c r="E63" s="289">
        <v>40</v>
      </c>
      <c r="F63" s="289">
        <v>90.98</v>
      </c>
      <c r="G63" s="292">
        <f>E63*F63</f>
        <v>3639.2000000000003</v>
      </c>
      <c r="H63" s="104"/>
      <c r="I63" s="104"/>
      <c r="J63" s="289">
        <f t="shared" si="3"/>
        <v>0</v>
      </c>
      <c r="K63" s="289">
        <f t="shared" si="0"/>
        <v>3639.2000000000003</v>
      </c>
      <c r="L63" s="290"/>
      <c r="M63" s="292">
        <f t="shared" si="2"/>
        <v>488932.1396000018</v>
      </c>
      <c r="N63" s="289"/>
      <c r="O63" s="289"/>
    </row>
    <row r="64" spans="1:15">
      <c r="A64" s="307">
        <v>61</v>
      </c>
      <c r="B64" s="223" t="s">
        <v>278</v>
      </c>
      <c r="C64" s="315" t="s">
        <v>293</v>
      </c>
      <c r="D64" s="316" t="s">
        <v>294</v>
      </c>
      <c r="E64" s="293">
        <v>2000</v>
      </c>
      <c r="F64" s="293">
        <v>91.67</v>
      </c>
      <c r="G64" s="289">
        <f>E64*F64</f>
        <v>183340</v>
      </c>
      <c r="H64" s="104"/>
      <c r="I64" s="104"/>
      <c r="J64" s="289">
        <f t="shared" si="3"/>
        <v>0</v>
      </c>
      <c r="K64" s="289">
        <f t="shared" si="0"/>
        <v>183340</v>
      </c>
      <c r="L64" s="290"/>
      <c r="M64" s="292">
        <f t="shared" si="2"/>
        <v>305592.1396000018</v>
      </c>
      <c r="N64" s="289"/>
      <c r="O64" s="289"/>
    </row>
    <row r="65" spans="1:15">
      <c r="A65" s="97">
        <v>62</v>
      </c>
      <c r="B65" s="223" t="s">
        <v>278</v>
      </c>
      <c r="C65" s="315" t="s">
        <v>291</v>
      </c>
      <c r="D65" s="167" t="s">
        <v>292</v>
      </c>
      <c r="E65" s="291">
        <v>55.38</v>
      </c>
      <c r="F65" s="291">
        <v>92.07</v>
      </c>
      <c r="G65" s="289">
        <f>E65*F65</f>
        <v>5098.8365999999996</v>
      </c>
      <c r="H65" s="311">
        <v>6</v>
      </c>
      <c r="I65" s="311">
        <v>103.82</v>
      </c>
      <c r="J65" s="289">
        <f t="shared" si="3"/>
        <v>622.91999999999996</v>
      </c>
      <c r="K65" s="289">
        <f t="shared" si="0"/>
        <v>5721.7565999999997</v>
      </c>
      <c r="L65" s="290"/>
      <c r="M65" s="292">
        <f t="shared" si="2"/>
        <v>299870.38300000178</v>
      </c>
      <c r="N65" s="384"/>
      <c r="O65" s="289">
        <f>M65-N65</f>
        <v>299870.38300000178</v>
      </c>
    </row>
    <row r="66" spans="1:15">
      <c r="A66" s="97">
        <v>63</v>
      </c>
      <c r="B66" s="223" t="s">
        <v>334</v>
      </c>
      <c r="C66" s="315" t="s">
        <v>335</v>
      </c>
      <c r="D66" s="167" t="s">
        <v>48</v>
      </c>
      <c r="E66" s="104">
        <v>54.54</v>
      </c>
      <c r="F66" s="104">
        <v>95.7</v>
      </c>
      <c r="G66" s="289">
        <f>E66*F66</f>
        <v>5219.4780000000001</v>
      </c>
      <c r="H66" s="104"/>
      <c r="I66" s="104"/>
      <c r="J66" s="289">
        <f t="shared" si="3"/>
        <v>0</v>
      </c>
      <c r="K66" s="289">
        <f t="shared" si="0"/>
        <v>5219.4780000000001</v>
      </c>
      <c r="L66" s="290">
        <v>1200000</v>
      </c>
      <c r="M66" s="292">
        <f t="shared" si="2"/>
        <v>1494650.9050000019</v>
      </c>
      <c r="N66" s="325"/>
      <c r="O66" s="184"/>
    </row>
    <row r="67" spans="1:15">
      <c r="A67" s="307">
        <v>64</v>
      </c>
      <c r="B67" s="223" t="s">
        <v>334</v>
      </c>
      <c r="C67" s="315" t="s">
        <v>327</v>
      </c>
      <c r="D67" s="167" t="s">
        <v>296</v>
      </c>
      <c r="E67" s="104">
        <v>0</v>
      </c>
      <c r="F67" s="104"/>
      <c r="G67" s="289">
        <f>E67*F67</f>
        <v>0</v>
      </c>
      <c r="H67" s="104">
        <v>5</v>
      </c>
      <c r="I67" s="104">
        <v>109.94</v>
      </c>
      <c r="J67" s="289">
        <f t="shared" si="3"/>
        <v>549.70000000000005</v>
      </c>
      <c r="K67" s="289">
        <f t="shared" si="0"/>
        <v>549.70000000000005</v>
      </c>
      <c r="L67" s="290"/>
      <c r="M67" s="292">
        <f t="shared" si="2"/>
        <v>1494101.2050000019</v>
      </c>
      <c r="N67" s="325"/>
      <c r="O67" s="184"/>
    </row>
    <row r="68" spans="1:15">
      <c r="A68" s="97">
        <v>65</v>
      </c>
      <c r="B68" s="223" t="s">
        <v>334</v>
      </c>
      <c r="C68" s="315" t="s">
        <v>312</v>
      </c>
      <c r="D68" s="167" t="s">
        <v>299</v>
      </c>
      <c r="E68" s="104">
        <v>761.12</v>
      </c>
      <c r="F68" s="104">
        <v>91.97</v>
      </c>
      <c r="G68" s="289">
        <f>E68*F68</f>
        <v>70000.206399999995</v>
      </c>
      <c r="H68" s="289"/>
      <c r="I68" s="289"/>
      <c r="J68" s="289">
        <f t="shared" ref="J68:J117" si="4">H68*I68</f>
        <v>0</v>
      </c>
      <c r="K68" s="289">
        <f t="shared" si="0"/>
        <v>70000.206399999995</v>
      </c>
      <c r="L68" s="290"/>
      <c r="M68" s="292">
        <f t="shared" si="2"/>
        <v>1424100.9986000019</v>
      </c>
      <c r="N68" s="325"/>
      <c r="O68" s="184"/>
    </row>
    <row r="69" spans="1:15">
      <c r="A69" s="97">
        <v>66</v>
      </c>
      <c r="B69" s="223" t="s">
        <v>334</v>
      </c>
      <c r="C69" s="315" t="s">
        <v>305</v>
      </c>
      <c r="D69" s="167" t="s">
        <v>299</v>
      </c>
      <c r="E69" s="104">
        <v>2175.58</v>
      </c>
      <c r="F69" s="104">
        <v>91.93</v>
      </c>
      <c r="G69" s="289">
        <f>E69*F69</f>
        <v>200001.06940000001</v>
      </c>
      <c r="H69" s="289"/>
      <c r="I69" s="289"/>
      <c r="J69" s="289">
        <f t="shared" si="4"/>
        <v>0</v>
      </c>
      <c r="K69" s="289">
        <f t="shared" si="0"/>
        <v>200001.06940000001</v>
      </c>
      <c r="L69" s="290"/>
      <c r="M69" s="292">
        <f t="shared" si="2"/>
        <v>1224099.929200002</v>
      </c>
      <c r="N69" s="326"/>
      <c r="O69" s="294"/>
    </row>
    <row r="70" spans="1:15">
      <c r="A70" s="307">
        <v>67</v>
      </c>
      <c r="B70" s="223" t="s">
        <v>334</v>
      </c>
      <c r="C70" s="315" t="s">
        <v>336</v>
      </c>
      <c r="D70" s="167" t="s">
        <v>299</v>
      </c>
      <c r="E70" s="293">
        <v>120</v>
      </c>
      <c r="F70" s="293">
        <v>97.66</v>
      </c>
      <c r="G70" s="289">
        <f>E70*F70</f>
        <v>11719.199999999999</v>
      </c>
      <c r="H70" s="391"/>
      <c r="I70" s="391"/>
      <c r="J70" s="289">
        <f t="shared" si="4"/>
        <v>0</v>
      </c>
      <c r="K70" s="289">
        <f t="shared" si="0"/>
        <v>11719.199999999999</v>
      </c>
      <c r="L70" s="310"/>
      <c r="M70" s="292">
        <f t="shared" si="2"/>
        <v>1212380.729200002</v>
      </c>
      <c r="N70" s="184"/>
      <c r="O70" s="184"/>
    </row>
    <row r="71" spans="1:15">
      <c r="A71" s="97">
        <v>68</v>
      </c>
      <c r="B71" s="223" t="s">
        <v>334</v>
      </c>
      <c r="C71" s="315" t="s">
        <v>308</v>
      </c>
      <c r="D71" s="167" t="s">
        <v>309</v>
      </c>
      <c r="E71" s="289">
        <v>3110.73</v>
      </c>
      <c r="F71" s="289">
        <v>96.44</v>
      </c>
      <c r="G71" s="289">
        <f>E71*F71</f>
        <v>299998.80119999999</v>
      </c>
      <c r="H71" s="104"/>
      <c r="I71" s="104"/>
      <c r="J71" s="292">
        <f t="shared" si="4"/>
        <v>0</v>
      </c>
      <c r="K71" s="289">
        <f t="shared" ref="K71:K117" si="5">G71+J71</f>
        <v>299998.80119999999</v>
      </c>
      <c r="L71" s="290"/>
      <c r="M71" s="292">
        <f t="shared" si="2"/>
        <v>912381.92800000205</v>
      </c>
      <c r="N71" s="184"/>
      <c r="O71" s="184"/>
    </row>
    <row r="72" spans="1:15">
      <c r="A72" s="97">
        <v>69</v>
      </c>
      <c r="B72" s="223" t="s">
        <v>334</v>
      </c>
      <c r="C72" s="315" t="s">
        <v>293</v>
      </c>
      <c r="D72" s="167" t="s">
        <v>294</v>
      </c>
      <c r="E72" s="289">
        <v>2152.84</v>
      </c>
      <c r="F72" s="289">
        <v>91.67</v>
      </c>
      <c r="G72" s="405">
        <f>E72*F72</f>
        <v>197350.84280000001</v>
      </c>
      <c r="H72" s="104"/>
      <c r="I72" s="104"/>
      <c r="J72" s="292">
        <f t="shared" si="4"/>
        <v>0</v>
      </c>
      <c r="K72" s="289">
        <f t="shared" si="5"/>
        <v>197350.84280000001</v>
      </c>
      <c r="L72" s="290"/>
      <c r="M72" s="292">
        <f t="shared" ref="M72:M92" si="6">M71+L72-K72</f>
        <v>715031.08520000207</v>
      </c>
      <c r="N72" s="184"/>
      <c r="O72" s="184"/>
    </row>
    <row r="73" spans="1:15">
      <c r="A73" s="307">
        <v>70</v>
      </c>
      <c r="B73" s="223" t="s">
        <v>285</v>
      </c>
      <c r="C73" s="315" t="s">
        <v>332</v>
      </c>
      <c r="D73" s="167" t="s">
        <v>40</v>
      </c>
      <c r="E73" s="289"/>
      <c r="F73" s="289"/>
      <c r="G73" s="289">
        <f>E73*F73</f>
        <v>0</v>
      </c>
      <c r="H73" s="293">
        <v>3.5</v>
      </c>
      <c r="I73" s="293">
        <v>107.46</v>
      </c>
      <c r="J73" s="289">
        <f t="shared" si="4"/>
        <v>376.10999999999996</v>
      </c>
      <c r="K73" s="289">
        <f t="shared" si="5"/>
        <v>376.10999999999996</v>
      </c>
      <c r="L73" s="290"/>
      <c r="M73" s="292">
        <f t="shared" si="6"/>
        <v>714654.97520000208</v>
      </c>
      <c r="N73" s="294"/>
      <c r="O73" s="294"/>
    </row>
    <row r="74" spans="1:15">
      <c r="A74" s="97">
        <v>71</v>
      </c>
      <c r="B74" s="223" t="s">
        <v>285</v>
      </c>
      <c r="C74" s="315" t="s">
        <v>291</v>
      </c>
      <c r="D74" s="167" t="s">
        <v>299</v>
      </c>
      <c r="E74" s="289">
        <v>2117.9499999999998</v>
      </c>
      <c r="F74" s="289">
        <v>92.07</v>
      </c>
      <c r="G74" s="289">
        <f>E74*F74</f>
        <v>194999.65649999998</v>
      </c>
      <c r="H74" s="289"/>
      <c r="I74" s="289"/>
      <c r="J74" s="289">
        <f t="shared" si="4"/>
        <v>0</v>
      </c>
      <c r="K74" s="289">
        <f t="shared" si="5"/>
        <v>194999.65649999998</v>
      </c>
      <c r="L74" s="290"/>
      <c r="M74" s="292">
        <f t="shared" si="6"/>
        <v>519655.3187000021</v>
      </c>
      <c r="N74" s="184"/>
      <c r="O74" s="184"/>
    </row>
    <row r="75" spans="1:15">
      <c r="A75" s="97">
        <v>72</v>
      </c>
      <c r="B75" s="223" t="s">
        <v>285</v>
      </c>
      <c r="C75" t="s">
        <v>310</v>
      </c>
      <c r="D75" s="167" t="s">
        <v>311</v>
      </c>
      <c r="E75" s="289">
        <v>3285.15</v>
      </c>
      <c r="F75" s="289">
        <v>91.32</v>
      </c>
      <c r="G75" s="289">
        <f>E75*F75</f>
        <v>299999.89799999999</v>
      </c>
      <c r="H75" s="289"/>
      <c r="I75" s="289"/>
      <c r="J75" s="289">
        <f t="shared" si="4"/>
        <v>0</v>
      </c>
      <c r="K75" s="289">
        <f t="shared" si="5"/>
        <v>299999.89799999999</v>
      </c>
      <c r="L75" s="290"/>
      <c r="M75" s="292">
        <f t="shared" si="6"/>
        <v>219655.42070000211</v>
      </c>
      <c r="N75" s="294"/>
      <c r="O75" s="294"/>
    </row>
    <row r="76" spans="1:15">
      <c r="A76" s="307">
        <v>73</v>
      </c>
      <c r="B76" s="223" t="s">
        <v>285</v>
      </c>
      <c r="C76" s="315" t="s">
        <v>337</v>
      </c>
      <c r="D76" s="167" t="s">
        <v>46</v>
      </c>
      <c r="E76" s="289">
        <v>35</v>
      </c>
      <c r="F76" s="289">
        <v>95.7</v>
      </c>
      <c r="G76" s="289">
        <f>E76*F76</f>
        <v>3349.5</v>
      </c>
      <c r="H76" s="289"/>
      <c r="I76" s="289"/>
      <c r="J76" s="289">
        <f t="shared" si="4"/>
        <v>0</v>
      </c>
      <c r="K76" s="289">
        <f t="shared" si="5"/>
        <v>3349.5</v>
      </c>
      <c r="L76" s="290"/>
      <c r="M76" s="292">
        <f t="shared" si="6"/>
        <v>216305.92070000211</v>
      </c>
      <c r="N76" s="294"/>
      <c r="O76" s="294"/>
    </row>
    <row r="77" spans="1:15">
      <c r="A77" s="97">
        <v>74</v>
      </c>
      <c r="B77" s="223" t="s">
        <v>338</v>
      </c>
      <c r="C77" s="315" t="s">
        <v>302</v>
      </c>
      <c r="D77" s="167" t="s">
        <v>44</v>
      </c>
      <c r="E77" s="289">
        <v>37.31</v>
      </c>
      <c r="F77" s="289">
        <v>95.7</v>
      </c>
      <c r="G77" s="289">
        <f>E77*F77</f>
        <v>3570.5670000000005</v>
      </c>
      <c r="H77" s="289"/>
      <c r="I77" s="289"/>
      <c r="J77" s="289">
        <f t="shared" si="4"/>
        <v>0</v>
      </c>
      <c r="K77" s="289">
        <f t="shared" si="5"/>
        <v>3570.5670000000005</v>
      </c>
      <c r="L77" s="290"/>
      <c r="M77" s="292">
        <f t="shared" si="6"/>
        <v>212735.3537000021</v>
      </c>
      <c r="N77" s="294"/>
      <c r="O77" s="294"/>
    </row>
    <row r="78" spans="1:15">
      <c r="A78" s="97">
        <v>75</v>
      </c>
      <c r="B78" s="223" t="s">
        <v>339</v>
      </c>
      <c r="C78" s="315" t="s">
        <v>293</v>
      </c>
      <c r="D78" s="167" t="s">
        <v>294</v>
      </c>
      <c r="E78" s="289">
        <v>1500</v>
      </c>
      <c r="F78" s="289">
        <v>91.67</v>
      </c>
      <c r="G78" s="289">
        <f>E78*F78</f>
        <v>137505</v>
      </c>
      <c r="H78" s="289"/>
      <c r="I78" s="289"/>
      <c r="J78" s="289">
        <f>H78*I78</f>
        <v>0</v>
      </c>
      <c r="K78" s="289">
        <f t="shared" si="5"/>
        <v>137505</v>
      </c>
      <c r="L78" s="290">
        <v>850000</v>
      </c>
      <c r="M78" s="292">
        <f t="shared" si="6"/>
        <v>925230.35370000219</v>
      </c>
      <c r="N78" s="294"/>
      <c r="O78" s="294"/>
    </row>
    <row r="79" spans="1:15">
      <c r="A79" s="307">
        <v>76</v>
      </c>
      <c r="B79" s="223" t="s">
        <v>339</v>
      </c>
      <c r="C79" s="315" t="s">
        <v>318</v>
      </c>
      <c r="D79" s="167" t="s">
        <v>53</v>
      </c>
      <c r="E79" s="289">
        <v>35</v>
      </c>
      <c r="F79" s="289">
        <v>91.64</v>
      </c>
      <c r="G79" s="289">
        <f>E79*F79</f>
        <v>3207.4</v>
      </c>
      <c r="H79" s="289"/>
      <c r="I79" s="289"/>
      <c r="J79" s="289">
        <f>H79*I79</f>
        <v>0</v>
      </c>
      <c r="K79" s="289">
        <f t="shared" si="5"/>
        <v>3207.4</v>
      </c>
      <c r="L79" s="290"/>
      <c r="M79" s="292">
        <f>M78+L79-K79</f>
        <v>922022.95370000217</v>
      </c>
      <c r="N79" s="184"/>
      <c r="O79" s="184"/>
    </row>
    <row r="80" spans="1:15">
      <c r="A80" s="97">
        <v>77</v>
      </c>
      <c r="B80" s="223" t="s">
        <v>339</v>
      </c>
      <c r="C80" s="315" t="s">
        <v>295</v>
      </c>
      <c r="D80" s="167" t="s">
        <v>296</v>
      </c>
      <c r="E80" s="289">
        <v>0</v>
      </c>
      <c r="F80" s="289">
        <v>0</v>
      </c>
      <c r="G80" s="289">
        <f>E80*F80</f>
        <v>0</v>
      </c>
      <c r="H80" s="289">
        <v>5</v>
      </c>
      <c r="I80" s="289">
        <v>109.94</v>
      </c>
      <c r="J80" s="289">
        <f>H80*I80</f>
        <v>549.70000000000005</v>
      </c>
      <c r="K80" s="289">
        <f t="shared" si="5"/>
        <v>549.70000000000005</v>
      </c>
      <c r="L80" s="290"/>
      <c r="M80" s="292">
        <f t="shared" ref="M80:M118" si="7">M79+L80-K80</f>
        <v>921473.25370000221</v>
      </c>
      <c r="N80" s="294"/>
      <c r="O80" s="294"/>
    </row>
    <row r="81" spans="1:15">
      <c r="A81" s="97">
        <v>78</v>
      </c>
      <c r="B81" s="223" t="s">
        <v>339</v>
      </c>
      <c r="C81" s="315" t="s">
        <v>291</v>
      </c>
      <c r="D81" s="167" t="s">
        <v>292</v>
      </c>
      <c r="E81" s="289">
        <v>40</v>
      </c>
      <c r="F81" s="289">
        <v>92.07</v>
      </c>
      <c r="G81" s="289">
        <f>E81*F81</f>
        <v>3682.7999999999997</v>
      </c>
      <c r="H81" s="289">
        <v>5</v>
      </c>
      <c r="I81" s="289">
        <v>103.82</v>
      </c>
      <c r="J81" s="289">
        <f>H81*I81</f>
        <v>519.09999999999991</v>
      </c>
      <c r="K81" s="289">
        <f t="shared" si="5"/>
        <v>4201.8999999999996</v>
      </c>
      <c r="L81" s="290"/>
      <c r="M81" s="292">
        <f t="shared" si="7"/>
        <v>917271.35370000219</v>
      </c>
      <c r="N81" s="294"/>
      <c r="O81" s="294"/>
    </row>
    <row r="82" spans="1:15">
      <c r="A82" s="307">
        <v>79</v>
      </c>
      <c r="B82" s="223" t="s">
        <v>339</v>
      </c>
      <c r="C82" s="315" t="s">
        <v>313</v>
      </c>
      <c r="D82" s="167" t="s">
        <v>314</v>
      </c>
      <c r="E82" s="289">
        <v>923.86</v>
      </c>
      <c r="F82" s="289">
        <v>90.88</v>
      </c>
      <c r="G82" s="289">
        <f>E82*F82</f>
        <v>83960.396800000002</v>
      </c>
      <c r="H82" s="289"/>
      <c r="I82" s="289"/>
      <c r="J82" s="289">
        <f t="shared" ref="J82:J86" si="8">H82*I82</f>
        <v>0</v>
      </c>
      <c r="K82" s="289">
        <f t="shared" si="5"/>
        <v>83960.396800000002</v>
      </c>
      <c r="L82" s="290"/>
      <c r="M82" s="292">
        <f t="shared" si="7"/>
        <v>833310.9569000022</v>
      </c>
      <c r="N82" s="294"/>
      <c r="O82" s="294"/>
    </row>
    <row r="83" spans="1:15">
      <c r="A83" s="97">
        <v>80</v>
      </c>
      <c r="B83" s="223" t="s">
        <v>187</v>
      </c>
      <c r="C83" s="315" t="s">
        <v>293</v>
      </c>
      <c r="D83" s="167" t="s">
        <v>294</v>
      </c>
      <c r="E83" s="289">
        <v>2000</v>
      </c>
      <c r="F83" s="289">
        <v>91.67</v>
      </c>
      <c r="G83" s="289">
        <f>E83*F83</f>
        <v>183340</v>
      </c>
      <c r="H83" s="289"/>
      <c r="I83" s="289"/>
      <c r="J83" s="289">
        <f t="shared" si="8"/>
        <v>0</v>
      </c>
      <c r="K83" s="289">
        <f t="shared" si="5"/>
        <v>183340</v>
      </c>
      <c r="L83" s="290"/>
      <c r="M83" s="292">
        <f t="shared" si="7"/>
        <v>649970.9569000022</v>
      </c>
      <c r="N83" s="294"/>
      <c r="O83" s="294"/>
    </row>
    <row r="84" spans="1:15">
      <c r="A84" s="97">
        <v>81</v>
      </c>
      <c r="B84" s="223" t="s">
        <v>187</v>
      </c>
      <c r="C84" s="315" t="s">
        <v>308</v>
      </c>
      <c r="D84" s="167" t="s">
        <v>309</v>
      </c>
      <c r="E84" s="289">
        <v>20.74</v>
      </c>
      <c r="F84" s="289">
        <v>96.44</v>
      </c>
      <c r="G84" s="289">
        <f>E84*F84</f>
        <v>2000.1655999999998</v>
      </c>
      <c r="H84" s="289"/>
      <c r="I84" s="289"/>
      <c r="J84" s="289">
        <f t="shared" si="8"/>
        <v>0</v>
      </c>
      <c r="K84" s="289">
        <f t="shared" si="5"/>
        <v>2000.1655999999998</v>
      </c>
      <c r="L84" s="290"/>
      <c r="M84" s="292">
        <f t="shared" si="7"/>
        <v>647970.79130000225</v>
      </c>
      <c r="N84" s="294"/>
      <c r="O84" s="294"/>
    </row>
    <row r="85" spans="1:15">
      <c r="A85" s="307">
        <v>82</v>
      </c>
      <c r="B85" s="223" t="s">
        <v>187</v>
      </c>
      <c r="C85" s="315" t="s">
        <v>308</v>
      </c>
      <c r="D85" s="167" t="s">
        <v>309</v>
      </c>
      <c r="E85" s="291">
        <v>1400</v>
      </c>
      <c r="F85" s="291">
        <v>96.44</v>
      </c>
      <c r="G85" s="289">
        <f>E85*F85</f>
        <v>135016</v>
      </c>
      <c r="H85" s="289"/>
      <c r="I85" s="289"/>
      <c r="J85" s="289">
        <f t="shared" si="8"/>
        <v>0</v>
      </c>
      <c r="K85" s="289">
        <f t="shared" si="5"/>
        <v>135016</v>
      </c>
      <c r="L85" s="290"/>
      <c r="M85" s="292">
        <f t="shared" si="7"/>
        <v>512954.79130000225</v>
      </c>
      <c r="N85" s="294"/>
      <c r="O85" s="294"/>
    </row>
    <row r="86" spans="1:15">
      <c r="A86" s="97">
        <v>83</v>
      </c>
      <c r="B86" s="223" t="s">
        <v>187</v>
      </c>
      <c r="C86" s="315" t="s">
        <v>340</v>
      </c>
      <c r="D86" s="416" t="s">
        <v>341</v>
      </c>
      <c r="E86" s="289">
        <v>1500</v>
      </c>
      <c r="F86" s="289">
        <v>96.42</v>
      </c>
      <c r="G86" s="292">
        <f>E86*F86</f>
        <v>144630</v>
      </c>
      <c r="H86" s="289"/>
      <c r="I86" s="289"/>
      <c r="J86" s="289">
        <f t="shared" si="8"/>
        <v>0</v>
      </c>
      <c r="K86" s="289">
        <f t="shared" si="5"/>
        <v>144630</v>
      </c>
      <c r="L86" s="289"/>
      <c r="M86" s="292">
        <f t="shared" si="7"/>
        <v>368324.79130000225</v>
      </c>
      <c r="N86" s="184"/>
      <c r="O86" s="184"/>
    </row>
    <row r="87" spans="1:15">
      <c r="A87" s="97">
        <v>84</v>
      </c>
      <c r="B87" s="464" t="s">
        <v>187</v>
      </c>
      <c r="C87" s="416" t="s">
        <v>342</v>
      </c>
      <c r="D87" s="167" t="s">
        <v>40</v>
      </c>
      <c r="E87" s="292">
        <v>0</v>
      </c>
      <c r="F87" s="289">
        <v>0</v>
      </c>
      <c r="G87" s="313">
        <f>E87*F87</f>
        <v>0</v>
      </c>
      <c r="H87" s="291">
        <v>4.1900000000000004</v>
      </c>
      <c r="I87" s="291">
        <v>107.46</v>
      </c>
      <c r="J87" s="291">
        <f t="shared" si="4"/>
        <v>450.25740000000002</v>
      </c>
      <c r="K87" s="291">
        <f t="shared" si="5"/>
        <v>450.25740000000002</v>
      </c>
      <c r="L87" s="291"/>
      <c r="M87" s="313">
        <f t="shared" si="7"/>
        <v>367874.53390000225</v>
      </c>
      <c r="N87" s="294"/>
      <c r="O87" s="294"/>
    </row>
    <row r="88" spans="1:15">
      <c r="A88" s="307">
        <v>85</v>
      </c>
      <c r="B88" s="464" t="s">
        <v>190</v>
      </c>
      <c r="C88" s="364" t="s">
        <v>343</v>
      </c>
      <c r="D88" s="104" t="s">
        <v>299</v>
      </c>
      <c r="E88" s="314">
        <v>17</v>
      </c>
      <c r="F88" s="104">
        <v>90.6</v>
      </c>
      <c r="G88" s="292">
        <f>E88*F88</f>
        <v>1540.1999999999998</v>
      </c>
      <c r="H88" s="289"/>
      <c r="I88" s="289"/>
      <c r="J88" s="289">
        <f t="shared" si="4"/>
        <v>0</v>
      </c>
      <c r="K88" s="291">
        <f t="shared" si="5"/>
        <v>1540.1999999999998</v>
      </c>
      <c r="L88" s="289"/>
      <c r="M88" s="289">
        <f t="shared" si="7"/>
        <v>366334.33390000224</v>
      </c>
      <c r="N88" s="184"/>
      <c r="O88" s="184"/>
    </row>
    <row r="89" spans="1:15">
      <c r="A89" s="97">
        <v>86</v>
      </c>
      <c r="B89" s="464" t="s">
        <v>190</v>
      </c>
      <c r="C89" s="364" t="s">
        <v>344</v>
      </c>
      <c r="D89" s="104" t="s">
        <v>296</v>
      </c>
      <c r="E89" s="314">
        <v>46.24</v>
      </c>
      <c r="F89" s="104">
        <v>97.31</v>
      </c>
      <c r="G89" s="292">
        <f>E89*F89</f>
        <v>4499.6144000000004</v>
      </c>
      <c r="H89" s="289"/>
      <c r="I89" s="289"/>
      <c r="J89" s="289">
        <f t="shared" si="4"/>
        <v>0</v>
      </c>
      <c r="K89" s="291">
        <f t="shared" si="5"/>
        <v>4499.6144000000004</v>
      </c>
      <c r="L89" s="289"/>
      <c r="M89" s="289">
        <f t="shared" si="7"/>
        <v>361834.71950000222</v>
      </c>
      <c r="N89" s="184"/>
      <c r="O89" s="184"/>
    </row>
    <row r="90" spans="1:15">
      <c r="A90" s="466">
        <v>87</v>
      </c>
      <c r="B90" s="464" t="s">
        <v>190</v>
      </c>
      <c r="C90" s="416" t="s">
        <v>307</v>
      </c>
      <c r="D90" s="104" t="s">
        <v>299</v>
      </c>
      <c r="E90" s="292">
        <v>1075.97</v>
      </c>
      <c r="F90" s="289">
        <v>92.01</v>
      </c>
      <c r="G90" s="292">
        <f t="shared" ref="G90:G117" si="9">E90*F90</f>
        <v>98999.999700000015</v>
      </c>
      <c r="H90" s="291"/>
      <c r="I90" s="291"/>
      <c r="J90" s="291">
        <f t="shared" si="4"/>
        <v>0</v>
      </c>
      <c r="K90" s="291">
        <f t="shared" si="5"/>
        <v>98999.999700000015</v>
      </c>
      <c r="L90" s="291"/>
      <c r="M90" s="291">
        <f t="shared" si="7"/>
        <v>262834.71980000217</v>
      </c>
      <c r="N90" s="406"/>
      <c r="O90" s="406"/>
    </row>
    <row r="91" spans="1:15">
      <c r="A91" s="465">
        <v>88</v>
      </c>
      <c r="B91" s="464" t="s">
        <v>190</v>
      </c>
      <c r="C91" s="364" t="s">
        <v>345</v>
      </c>
      <c r="D91" s="167" t="s">
        <v>296</v>
      </c>
      <c r="E91" s="292">
        <v>105.98</v>
      </c>
      <c r="F91" s="289">
        <v>97.11</v>
      </c>
      <c r="G91" s="292">
        <f t="shared" si="9"/>
        <v>10291.7178</v>
      </c>
      <c r="H91" s="289"/>
      <c r="I91" s="289"/>
      <c r="J91" s="291">
        <f t="shared" si="4"/>
        <v>0</v>
      </c>
      <c r="K91" s="291">
        <f t="shared" si="5"/>
        <v>10291.7178</v>
      </c>
      <c r="L91" s="289"/>
      <c r="M91" s="289">
        <f t="shared" si="7"/>
        <v>252543.00200000216</v>
      </c>
      <c r="N91" s="184"/>
      <c r="O91" s="184"/>
    </row>
    <row r="92" spans="1:15">
      <c r="A92" s="17">
        <v>89</v>
      </c>
      <c r="B92" s="464" t="s">
        <v>194</v>
      </c>
      <c r="C92" s="167" t="s">
        <v>291</v>
      </c>
      <c r="D92" s="468" t="s">
        <v>292</v>
      </c>
      <c r="E92" s="289">
        <v>25</v>
      </c>
      <c r="F92" s="289">
        <v>92.07</v>
      </c>
      <c r="G92" s="292">
        <f t="shared" si="9"/>
        <v>2301.75</v>
      </c>
      <c r="H92" s="289">
        <v>5.01</v>
      </c>
      <c r="I92" s="289">
        <v>103.82</v>
      </c>
      <c r="J92" s="291">
        <f t="shared" si="4"/>
        <v>520.13819999999998</v>
      </c>
      <c r="K92" s="291">
        <f t="shared" si="5"/>
        <v>2821.8881999999999</v>
      </c>
      <c r="L92" s="289"/>
      <c r="M92" s="289">
        <f t="shared" si="7"/>
        <v>249721.11380000217</v>
      </c>
      <c r="N92" s="184"/>
      <c r="O92" s="184"/>
    </row>
    <row r="93" spans="1:15">
      <c r="A93" s="17">
        <v>90</v>
      </c>
      <c r="B93" s="464" t="s">
        <v>194</v>
      </c>
      <c r="C93" s="167" t="s">
        <v>308</v>
      </c>
      <c r="D93" s="167" t="s">
        <v>309</v>
      </c>
      <c r="E93" s="293">
        <v>939</v>
      </c>
      <c r="F93" s="293">
        <v>96.44</v>
      </c>
      <c r="G93" s="292">
        <f t="shared" si="9"/>
        <v>90557.16</v>
      </c>
      <c r="H93" s="289"/>
      <c r="I93" s="289"/>
      <c r="J93" s="291">
        <f t="shared" si="4"/>
        <v>0</v>
      </c>
      <c r="K93" s="291">
        <f t="shared" si="5"/>
        <v>90557.16</v>
      </c>
      <c r="L93" s="289"/>
      <c r="M93" s="289">
        <f t="shared" si="7"/>
        <v>159163.95380000217</v>
      </c>
      <c r="N93" s="184"/>
      <c r="O93" s="184"/>
    </row>
    <row r="94" spans="1:15">
      <c r="A94" s="465">
        <v>91</v>
      </c>
      <c r="B94" s="464" t="s">
        <v>194</v>
      </c>
      <c r="C94" s="94" t="s">
        <v>346</v>
      </c>
      <c r="D94" s="94" t="s">
        <v>296</v>
      </c>
      <c r="E94" s="184">
        <v>57.64</v>
      </c>
      <c r="F94" s="184">
        <v>86.75</v>
      </c>
      <c r="G94" s="292">
        <f t="shared" si="9"/>
        <v>5000.2700000000004</v>
      </c>
      <c r="H94" s="184">
        <v>10.01</v>
      </c>
      <c r="I94" s="184">
        <v>96.91</v>
      </c>
      <c r="J94" s="291">
        <f t="shared" si="4"/>
        <v>970.06909999999993</v>
      </c>
      <c r="K94" s="291">
        <f t="shared" si="5"/>
        <v>5970.3391000000001</v>
      </c>
      <c r="L94" s="184"/>
      <c r="M94" s="289">
        <f t="shared" si="7"/>
        <v>153193.61470000216</v>
      </c>
      <c r="N94" s="184"/>
      <c r="O94" s="184"/>
    </row>
    <row r="95" spans="1:15">
      <c r="A95" s="17">
        <v>92</v>
      </c>
      <c r="B95" s="392" t="s">
        <v>194</v>
      </c>
      <c r="C95" s="17" t="s">
        <v>293</v>
      </c>
      <c r="D95" s="17" t="s">
        <v>294</v>
      </c>
      <c r="E95" s="325">
        <v>1000</v>
      </c>
      <c r="F95" s="184">
        <v>91.67</v>
      </c>
      <c r="G95" s="292">
        <f t="shared" si="9"/>
        <v>91670</v>
      </c>
      <c r="H95" s="184">
        <v>0</v>
      </c>
      <c r="I95" s="184">
        <v>0</v>
      </c>
      <c r="J95" s="291">
        <f t="shared" si="4"/>
        <v>0</v>
      </c>
      <c r="K95" s="291">
        <f t="shared" si="5"/>
        <v>91670</v>
      </c>
      <c r="L95" s="184"/>
      <c r="M95" s="289">
        <f t="shared" si="7"/>
        <v>61523.614700002159</v>
      </c>
      <c r="N95" s="184"/>
      <c r="O95" s="184"/>
    </row>
    <row r="96" spans="1:15">
      <c r="A96" s="17">
        <v>93</v>
      </c>
      <c r="B96" s="392" t="s">
        <v>196</v>
      </c>
      <c r="C96" s="104" t="s">
        <v>295</v>
      </c>
      <c r="D96" s="104" t="s">
        <v>296</v>
      </c>
      <c r="E96" s="325"/>
      <c r="F96" s="184"/>
      <c r="G96" s="292">
        <f t="shared" si="9"/>
        <v>0</v>
      </c>
      <c r="H96" s="434">
        <v>5</v>
      </c>
      <c r="I96" s="434">
        <v>109.94</v>
      </c>
      <c r="J96" s="291">
        <f t="shared" si="4"/>
        <v>549.70000000000005</v>
      </c>
      <c r="K96" s="291">
        <f t="shared" si="5"/>
        <v>549.70000000000005</v>
      </c>
      <c r="L96" s="184">
        <v>1000000</v>
      </c>
      <c r="M96" s="289">
        <f t="shared" si="7"/>
        <v>1060973.9147000022</v>
      </c>
      <c r="N96" s="184"/>
      <c r="O96" s="184"/>
    </row>
    <row r="97" spans="1:15">
      <c r="A97" s="465">
        <v>94</v>
      </c>
      <c r="B97" s="392" t="s">
        <v>196</v>
      </c>
      <c r="C97" s="104" t="s">
        <v>318</v>
      </c>
      <c r="D97" s="104" t="s">
        <v>53</v>
      </c>
      <c r="E97" s="325">
        <v>30</v>
      </c>
      <c r="F97" s="184">
        <v>91.64</v>
      </c>
      <c r="G97" s="292">
        <f t="shared" si="9"/>
        <v>2749.2</v>
      </c>
      <c r="H97" s="184"/>
      <c r="I97" s="184"/>
      <c r="J97" s="291">
        <f t="shared" si="4"/>
        <v>0</v>
      </c>
      <c r="K97" s="291">
        <f t="shared" si="5"/>
        <v>2749.2</v>
      </c>
      <c r="L97" s="184"/>
      <c r="M97" s="289">
        <f t="shared" si="7"/>
        <v>1058224.7147000022</v>
      </c>
      <c r="N97" s="184"/>
      <c r="O97" s="184"/>
    </row>
    <row r="98" spans="1:15">
      <c r="A98" s="17">
        <v>95</v>
      </c>
      <c r="B98" s="392" t="s">
        <v>196</v>
      </c>
      <c r="C98" s="104" t="s">
        <v>320</v>
      </c>
      <c r="D98" s="104" t="s">
        <v>296</v>
      </c>
      <c r="E98" s="325">
        <v>0</v>
      </c>
      <c r="F98" s="184">
        <v>0</v>
      </c>
      <c r="G98" s="292">
        <f t="shared" si="9"/>
        <v>0</v>
      </c>
      <c r="H98" s="184">
        <v>5</v>
      </c>
      <c r="I98" s="184">
        <v>118.33</v>
      </c>
      <c r="J98" s="291">
        <f t="shared" si="4"/>
        <v>591.65</v>
      </c>
      <c r="K98" s="291">
        <f t="shared" si="5"/>
        <v>591.65</v>
      </c>
      <c r="L98" s="184"/>
      <c r="M98" s="289">
        <f t="shared" si="7"/>
        <v>1057633.0647000023</v>
      </c>
      <c r="N98" s="184"/>
      <c r="O98" s="184"/>
    </row>
    <row r="99" spans="1:15">
      <c r="A99" s="17">
        <v>96</v>
      </c>
      <c r="B99" s="392" t="s">
        <v>347</v>
      </c>
      <c r="C99" s="137" t="s">
        <v>293</v>
      </c>
      <c r="D99" s="137" t="s">
        <v>294</v>
      </c>
      <c r="E99" s="184">
        <v>2000</v>
      </c>
      <c r="F99" s="184">
        <v>91.67</v>
      </c>
      <c r="G99" s="292">
        <f t="shared" si="9"/>
        <v>183340</v>
      </c>
      <c r="H99" s="184">
        <v>0</v>
      </c>
      <c r="I99" s="184">
        <v>0</v>
      </c>
      <c r="J99" s="291">
        <f t="shared" si="4"/>
        <v>0</v>
      </c>
      <c r="K99" s="291">
        <f t="shared" si="5"/>
        <v>183340</v>
      </c>
      <c r="L99" s="184"/>
      <c r="M99" s="289">
        <f t="shared" si="7"/>
        <v>874293.06470000232</v>
      </c>
      <c r="N99" s="184"/>
      <c r="O99" s="184"/>
    </row>
    <row r="100" spans="1:15">
      <c r="A100" s="465">
        <v>97</v>
      </c>
      <c r="B100" s="392" t="s">
        <v>347</v>
      </c>
      <c r="C100" s="94" t="s">
        <v>291</v>
      </c>
      <c r="D100" s="94" t="s">
        <v>292</v>
      </c>
      <c r="E100" s="184">
        <v>40</v>
      </c>
      <c r="F100" s="184">
        <v>92.07</v>
      </c>
      <c r="G100" s="292">
        <f t="shared" si="9"/>
        <v>3682.7999999999997</v>
      </c>
      <c r="H100" s="184">
        <v>0</v>
      </c>
      <c r="I100" s="184">
        <v>0</v>
      </c>
      <c r="J100" s="291">
        <f t="shared" si="4"/>
        <v>0</v>
      </c>
      <c r="K100" s="291">
        <f t="shared" si="5"/>
        <v>3682.7999999999997</v>
      </c>
      <c r="L100" s="184">
        <v>500000</v>
      </c>
      <c r="M100" s="289">
        <f t="shared" si="7"/>
        <v>1370610.2647000023</v>
      </c>
      <c r="N100" s="184"/>
      <c r="O100" s="184"/>
    </row>
    <row r="101" spans="1:15">
      <c r="A101" s="17">
        <v>98</v>
      </c>
      <c r="B101" s="392" t="s">
        <v>197</v>
      </c>
      <c r="C101" s="104" t="s">
        <v>320</v>
      </c>
      <c r="D101" s="104" t="s">
        <v>296</v>
      </c>
      <c r="E101" s="434">
        <v>47.79</v>
      </c>
      <c r="F101" s="434">
        <v>96.74</v>
      </c>
      <c r="G101" s="292">
        <f t="shared" si="9"/>
        <v>4623.2046</v>
      </c>
      <c r="H101" s="184">
        <v>15</v>
      </c>
      <c r="I101" s="184">
        <v>108.86</v>
      </c>
      <c r="J101" s="291">
        <f t="shared" si="4"/>
        <v>1632.9</v>
      </c>
      <c r="K101" s="291">
        <f t="shared" si="5"/>
        <v>6256.1046000000006</v>
      </c>
      <c r="L101" s="184"/>
      <c r="M101" s="289">
        <f t="shared" si="7"/>
        <v>1364354.1601000023</v>
      </c>
      <c r="N101" s="184"/>
      <c r="O101" s="184"/>
    </row>
    <row r="102" spans="1:15">
      <c r="A102" s="17">
        <v>99</v>
      </c>
      <c r="B102" s="392" t="s">
        <v>197</v>
      </c>
      <c r="C102" s="104" t="s">
        <v>330</v>
      </c>
      <c r="D102" s="434" t="s">
        <v>299</v>
      </c>
      <c r="E102" s="325">
        <v>1967.43</v>
      </c>
      <c r="F102" s="184">
        <v>91.49</v>
      </c>
      <c r="G102" s="292">
        <f t="shared" si="9"/>
        <v>180000.17069999999</v>
      </c>
      <c r="H102" s="184"/>
      <c r="I102" s="184"/>
      <c r="J102" s="291">
        <f t="shared" si="4"/>
        <v>0</v>
      </c>
      <c r="K102" s="291">
        <f t="shared" si="5"/>
        <v>180000.17069999999</v>
      </c>
      <c r="L102" s="184"/>
      <c r="M102" s="289">
        <f t="shared" si="7"/>
        <v>1184353.9894000024</v>
      </c>
      <c r="N102" s="184"/>
      <c r="O102" s="184"/>
    </row>
    <row r="103" spans="1:15">
      <c r="A103" s="465">
        <v>100</v>
      </c>
      <c r="B103" s="392" t="s">
        <v>197</v>
      </c>
      <c r="C103" s="137" t="s">
        <v>302</v>
      </c>
      <c r="D103" s="137" t="s">
        <v>40</v>
      </c>
      <c r="E103" s="184">
        <v>0</v>
      </c>
      <c r="F103" s="184">
        <v>0</v>
      </c>
      <c r="G103" s="292">
        <f t="shared" si="9"/>
        <v>0</v>
      </c>
      <c r="H103" s="184">
        <v>4.1900000000000004</v>
      </c>
      <c r="I103" s="184">
        <v>107.46</v>
      </c>
      <c r="J103" s="291">
        <f t="shared" si="4"/>
        <v>450.25740000000002</v>
      </c>
      <c r="K103" s="291">
        <f t="shared" si="5"/>
        <v>450.25740000000002</v>
      </c>
      <c r="L103" s="184"/>
      <c r="M103" s="289">
        <f t="shared" si="7"/>
        <v>1183903.7320000024</v>
      </c>
      <c r="N103" s="184"/>
      <c r="O103" s="184"/>
    </row>
    <row r="104" spans="1:15">
      <c r="A104" s="17">
        <v>101</v>
      </c>
      <c r="B104" s="392" t="s">
        <v>197</v>
      </c>
      <c r="C104" s="17" t="s">
        <v>310</v>
      </c>
      <c r="D104" s="17" t="s">
        <v>311</v>
      </c>
      <c r="E104" s="184">
        <v>3285.15</v>
      </c>
      <c r="F104" s="184">
        <v>91.32</v>
      </c>
      <c r="G104" s="292">
        <f t="shared" si="9"/>
        <v>299999.89799999999</v>
      </c>
      <c r="H104" s="184">
        <v>0</v>
      </c>
      <c r="I104" s="184">
        <v>0</v>
      </c>
      <c r="J104" s="291">
        <f t="shared" si="4"/>
        <v>0</v>
      </c>
      <c r="K104" s="291">
        <f t="shared" si="5"/>
        <v>299999.89799999999</v>
      </c>
      <c r="L104" s="184"/>
      <c r="M104" s="289">
        <f t="shared" si="7"/>
        <v>883903.83400000236</v>
      </c>
      <c r="N104" s="184"/>
      <c r="O104" s="184"/>
    </row>
    <row r="105" spans="1:15">
      <c r="A105" s="17">
        <v>102</v>
      </c>
      <c r="B105" s="392" t="s">
        <v>199</v>
      </c>
      <c r="C105" s="17" t="s">
        <v>291</v>
      </c>
      <c r="D105" s="17" t="s">
        <v>292</v>
      </c>
      <c r="E105" s="184">
        <v>40</v>
      </c>
      <c r="F105" s="184">
        <v>92.07</v>
      </c>
      <c r="G105" s="292">
        <f t="shared" si="9"/>
        <v>3682.7999999999997</v>
      </c>
      <c r="H105" s="184"/>
      <c r="I105" s="184"/>
      <c r="J105" s="291">
        <f t="shared" si="4"/>
        <v>0</v>
      </c>
      <c r="K105" s="291">
        <f t="shared" si="5"/>
        <v>3682.7999999999997</v>
      </c>
      <c r="L105" s="184"/>
      <c r="M105" s="289">
        <f t="shared" si="7"/>
        <v>880221.03400000231</v>
      </c>
      <c r="N105" s="184"/>
      <c r="O105" s="184"/>
    </row>
    <row r="106" spans="1:15">
      <c r="A106" s="465">
        <v>103</v>
      </c>
      <c r="B106" s="392" t="s">
        <v>199</v>
      </c>
      <c r="C106" s="17" t="s">
        <v>320</v>
      </c>
      <c r="D106" s="17" t="s">
        <v>296</v>
      </c>
      <c r="E106" s="184">
        <v>32.28</v>
      </c>
      <c r="F106" s="184">
        <v>96.74</v>
      </c>
      <c r="G106" s="292">
        <f t="shared" si="9"/>
        <v>3122.7671999999998</v>
      </c>
      <c r="H106" s="184"/>
      <c r="I106" s="184"/>
      <c r="J106" s="291">
        <f t="shared" si="4"/>
        <v>0</v>
      </c>
      <c r="K106" s="291">
        <f t="shared" si="5"/>
        <v>3122.7671999999998</v>
      </c>
      <c r="L106" s="184"/>
      <c r="M106" s="289">
        <f t="shared" si="7"/>
        <v>877098.26680000231</v>
      </c>
      <c r="N106" s="184"/>
      <c r="O106" s="184"/>
    </row>
    <row r="107" spans="1:15">
      <c r="A107" s="17">
        <v>104</v>
      </c>
      <c r="B107" s="392" t="s">
        <v>199</v>
      </c>
      <c r="C107" s="17" t="s">
        <v>301</v>
      </c>
      <c r="D107" s="17" t="s">
        <v>294</v>
      </c>
      <c r="E107" s="184">
        <v>1613.6</v>
      </c>
      <c r="F107" s="184">
        <v>91.67</v>
      </c>
      <c r="G107" s="292">
        <f t="shared" si="9"/>
        <v>147918.712</v>
      </c>
      <c r="H107" s="184"/>
      <c r="I107" s="184"/>
      <c r="J107" s="291">
        <f t="shared" si="4"/>
        <v>0</v>
      </c>
      <c r="K107" s="291">
        <f t="shared" si="5"/>
        <v>147918.712</v>
      </c>
      <c r="L107" s="184"/>
      <c r="M107" s="289">
        <f t="shared" si="7"/>
        <v>729179.55480000237</v>
      </c>
      <c r="N107" s="384">
        <v>728702.39</v>
      </c>
      <c r="O107" s="289">
        <f>M107-N107</f>
        <v>477.16480000235606</v>
      </c>
    </row>
    <row r="108" spans="1:15">
      <c r="A108" s="17">
        <v>105</v>
      </c>
      <c r="B108" s="392" t="s">
        <v>203</v>
      </c>
      <c r="C108" s="17" t="s">
        <v>320</v>
      </c>
      <c r="D108" s="17" t="s">
        <v>296</v>
      </c>
      <c r="E108" s="184">
        <v>38.32</v>
      </c>
      <c r="F108" s="184">
        <v>96.74</v>
      </c>
      <c r="G108" s="292">
        <f t="shared" si="9"/>
        <v>3707.0767999999998</v>
      </c>
      <c r="H108" s="184"/>
      <c r="I108" s="184"/>
      <c r="J108" s="291">
        <f t="shared" si="4"/>
        <v>0</v>
      </c>
      <c r="K108" s="291">
        <f t="shared" si="5"/>
        <v>3707.0767999999998</v>
      </c>
      <c r="L108" s="184"/>
      <c r="M108" s="289">
        <f t="shared" si="7"/>
        <v>725472.47800000233</v>
      </c>
      <c r="N108" s="184"/>
      <c r="O108" s="184"/>
    </row>
    <row r="109" spans="1:15">
      <c r="A109" s="465">
        <v>106</v>
      </c>
      <c r="B109" s="392" t="s">
        <v>203</v>
      </c>
      <c r="C109" s="17" t="s">
        <v>332</v>
      </c>
      <c r="D109" s="17" t="s">
        <v>40</v>
      </c>
      <c r="E109" s="184"/>
      <c r="F109" s="184"/>
      <c r="G109" s="292">
        <f t="shared" si="9"/>
        <v>0</v>
      </c>
      <c r="H109" s="184">
        <v>3.72</v>
      </c>
      <c r="I109" s="184">
        <v>107.46</v>
      </c>
      <c r="J109" s="291">
        <f t="shared" si="4"/>
        <v>399.75119999999998</v>
      </c>
      <c r="K109" s="291">
        <f t="shared" si="5"/>
        <v>399.75119999999998</v>
      </c>
      <c r="L109" s="184"/>
      <c r="M109" s="289">
        <f t="shared" si="7"/>
        <v>725072.72680000227</v>
      </c>
      <c r="N109" s="184"/>
      <c r="O109" s="184"/>
    </row>
    <row r="110" spans="1:15">
      <c r="A110" s="17">
        <v>107</v>
      </c>
      <c r="B110" s="392" t="s">
        <v>203</v>
      </c>
      <c r="C110" s="17" t="s">
        <v>301</v>
      </c>
      <c r="D110" s="17" t="s">
        <v>294</v>
      </c>
      <c r="E110" s="184">
        <v>386.39</v>
      </c>
      <c r="F110" s="184">
        <v>91.67</v>
      </c>
      <c r="G110" s="292">
        <f t="shared" si="9"/>
        <v>35420.371299999999</v>
      </c>
      <c r="H110" s="184">
        <v>0</v>
      </c>
      <c r="I110" s="184">
        <v>0</v>
      </c>
      <c r="J110" s="291">
        <f t="shared" si="4"/>
        <v>0</v>
      </c>
      <c r="K110" s="291">
        <f t="shared" si="5"/>
        <v>35420.371299999999</v>
      </c>
      <c r="L110" s="184"/>
      <c r="M110" s="289">
        <f t="shared" si="7"/>
        <v>689652.35550000228</v>
      </c>
      <c r="N110" s="184"/>
      <c r="O110" s="184"/>
    </row>
    <row r="111" spans="1:15">
      <c r="A111" s="17">
        <v>108</v>
      </c>
      <c r="B111" s="392" t="s">
        <v>203</v>
      </c>
      <c r="C111" s="17" t="s">
        <v>321</v>
      </c>
      <c r="D111" s="17" t="s">
        <v>322</v>
      </c>
      <c r="E111" s="184">
        <v>100</v>
      </c>
      <c r="F111" s="184">
        <v>97</v>
      </c>
      <c r="G111" s="292">
        <f t="shared" si="9"/>
        <v>9700</v>
      </c>
      <c r="H111" s="184"/>
      <c r="I111" s="184"/>
      <c r="J111" s="291">
        <f t="shared" si="4"/>
        <v>0</v>
      </c>
      <c r="K111" s="291">
        <f t="shared" si="5"/>
        <v>9700</v>
      </c>
      <c r="L111" s="184"/>
      <c r="M111" s="289">
        <f t="shared" si="7"/>
        <v>679952.35550000228</v>
      </c>
      <c r="N111" s="184"/>
      <c r="O111" s="184"/>
    </row>
    <row r="112" spans="1:15">
      <c r="A112" s="465">
        <v>109</v>
      </c>
      <c r="B112" s="392" t="s">
        <v>203</v>
      </c>
      <c r="C112" s="17" t="s">
        <v>293</v>
      </c>
      <c r="D112" s="17" t="s">
        <v>294</v>
      </c>
      <c r="E112" s="184">
        <v>2353</v>
      </c>
      <c r="F112" s="184">
        <v>91.67</v>
      </c>
      <c r="G112" s="292">
        <f t="shared" si="9"/>
        <v>215699.51</v>
      </c>
      <c r="H112" s="184"/>
      <c r="I112" s="184"/>
      <c r="J112" s="291">
        <f t="shared" si="4"/>
        <v>0</v>
      </c>
      <c r="K112" s="291">
        <f t="shared" si="5"/>
        <v>215699.51</v>
      </c>
      <c r="L112" s="184"/>
      <c r="M112" s="289">
        <f t="shared" si="7"/>
        <v>464252.84550000227</v>
      </c>
      <c r="N112" s="384">
        <v>463775.55</v>
      </c>
      <c r="O112" s="289">
        <f>M112-N112</f>
        <v>477.29550000227755</v>
      </c>
    </row>
    <row r="113" spans="1:15">
      <c r="A113" s="17">
        <v>110</v>
      </c>
      <c r="B113" s="392" t="s">
        <v>205</v>
      </c>
      <c r="C113" s="94" t="s">
        <v>295</v>
      </c>
      <c r="D113" s="94" t="s">
        <v>296</v>
      </c>
      <c r="E113" s="294">
        <v>0</v>
      </c>
      <c r="F113" s="294">
        <v>0</v>
      </c>
      <c r="G113" s="313">
        <f t="shared" si="9"/>
        <v>0</v>
      </c>
      <c r="H113" s="294">
        <v>5</v>
      </c>
      <c r="I113" s="294">
        <v>109.94</v>
      </c>
      <c r="J113" s="291">
        <f t="shared" si="4"/>
        <v>549.70000000000005</v>
      </c>
      <c r="K113" s="291">
        <f t="shared" si="5"/>
        <v>549.70000000000005</v>
      </c>
      <c r="L113" s="184"/>
      <c r="M113" s="289">
        <f t="shared" si="7"/>
        <v>463703.14550000225</v>
      </c>
      <c r="N113" s="184"/>
      <c r="O113" s="184"/>
    </row>
    <row r="114" spans="1:15">
      <c r="A114" s="97">
        <v>111</v>
      </c>
      <c r="B114" s="223" t="s">
        <v>205</v>
      </c>
      <c r="C114" s="17" t="s">
        <v>320</v>
      </c>
      <c r="D114" s="17" t="s">
        <v>296</v>
      </c>
      <c r="E114" s="184">
        <v>56.57</v>
      </c>
      <c r="F114" s="184">
        <v>96.74</v>
      </c>
      <c r="G114" s="289">
        <f t="shared" si="9"/>
        <v>5472.5817999999999</v>
      </c>
      <c r="H114" s="294"/>
      <c r="I114" s="294"/>
      <c r="J114" s="291">
        <f t="shared" si="4"/>
        <v>0</v>
      </c>
      <c r="K114" s="291">
        <f t="shared" si="5"/>
        <v>5472.5817999999999</v>
      </c>
      <c r="L114" s="325"/>
      <c r="M114" s="289">
        <f t="shared" si="7"/>
        <v>458230.56370000227</v>
      </c>
      <c r="N114" s="184"/>
      <c r="O114" s="184"/>
    </row>
    <row r="115" spans="1:15">
      <c r="A115" s="307">
        <v>112</v>
      </c>
      <c r="B115" s="223" t="s">
        <v>205</v>
      </c>
      <c r="C115" s="17" t="s">
        <v>340</v>
      </c>
      <c r="D115" s="17" t="s">
        <v>341</v>
      </c>
      <c r="E115" s="184">
        <v>1037.1199999999999</v>
      </c>
      <c r="F115" s="184">
        <v>96.42</v>
      </c>
      <c r="G115" s="405">
        <f t="shared" si="9"/>
        <v>99999.11039999999</v>
      </c>
      <c r="H115" s="184"/>
      <c r="I115" s="184"/>
      <c r="J115" s="289">
        <f t="shared" si="4"/>
        <v>0</v>
      </c>
      <c r="K115" s="289">
        <f t="shared" si="5"/>
        <v>99999.11039999999</v>
      </c>
      <c r="L115" s="325"/>
      <c r="M115" s="289">
        <f t="shared" si="7"/>
        <v>358231.45330000226</v>
      </c>
      <c r="N115" s="184"/>
      <c r="O115" s="184"/>
    </row>
    <row r="116" spans="1:15">
      <c r="A116" s="97">
        <v>113</v>
      </c>
      <c r="B116" s="223" t="s">
        <v>205</v>
      </c>
      <c r="C116" s="104" t="s">
        <v>348</v>
      </c>
      <c r="D116" s="104" t="s">
        <v>51</v>
      </c>
      <c r="E116" s="104">
        <v>248.1</v>
      </c>
      <c r="F116" s="104">
        <v>92.09</v>
      </c>
      <c r="G116" s="405">
        <f t="shared" si="9"/>
        <v>22847.528999999999</v>
      </c>
      <c r="H116" s="184"/>
      <c r="I116" s="184"/>
      <c r="J116" s="289">
        <f t="shared" si="4"/>
        <v>0</v>
      </c>
      <c r="K116" s="289">
        <f t="shared" si="5"/>
        <v>22847.528999999999</v>
      </c>
      <c r="L116" s="325"/>
      <c r="M116" s="289">
        <f t="shared" si="7"/>
        <v>335383.92430000228</v>
      </c>
      <c r="N116" s="184"/>
      <c r="O116" s="184"/>
    </row>
    <row r="117" spans="1:15">
      <c r="A117" s="97">
        <v>114</v>
      </c>
      <c r="B117" s="223" t="s">
        <v>205</v>
      </c>
      <c r="C117" s="104" t="s">
        <v>312</v>
      </c>
      <c r="D117" s="104" t="s">
        <v>299</v>
      </c>
      <c r="E117" s="104">
        <v>543.66</v>
      </c>
      <c r="F117" s="104">
        <v>91.97</v>
      </c>
      <c r="G117" s="405">
        <f t="shared" si="9"/>
        <v>50000.410199999998</v>
      </c>
      <c r="H117" s="184"/>
      <c r="I117" s="184"/>
      <c r="J117" s="289">
        <f t="shared" si="4"/>
        <v>0</v>
      </c>
      <c r="K117" s="289">
        <f t="shared" si="5"/>
        <v>50000.410199999998</v>
      </c>
      <c r="L117" s="325"/>
      <c r="M117" s="289">
        <f t="shared" si="7"/>
        <v>285383.5141000023</v>
      </c>
      <c r="N117" s="184"/>
      <c r="O117" s="184"/>
    </row>
    <row r="118" spans="1:15">
      <c r="A118" s="465">
        <v>115</v>
      </c>
      <c r="B118" s="223" t="s">
        <v>205</v>
      </c>
      <c r="C118" s="137"/>
      <c r="D118" s="137"/>
      <c r="E118" s="467"/>
      <c r="F118" s="467"/>
      <c r="G118" s="469"/>
      <c r="H118" s="184"/>
      <c r="I118" s="184"/>
      <c r="J118" s="184"/>
      <c r="K118" s="184"/>
      <c r="L118" s="325">
        <v>500000</v>
      </c>
      <c r="M118" s="289">
        <f t="shared" si="7"/>
        <v>785383.51410000236</v>
      </c>
      <c r="N118" s="384"/>
      <c r="O118" s="289"/>
    </row>
    <row r="119" spans="1:15">
      <c r="A119" s="17">
        <v>116</v>
      </c>
      <c r="B119" s="17"/>
      <c r="C119" s="17"/>
      <c r="D119" s="17"/>
      <c r="E119" s="184"/>
      <c r="F119" s="184"/>
      <c r="G119" s="184"/>
      <c r="H119" s="467"/>
      <c r="I119" s="467"/>
      <c r="J119" s="467"/>
      <c r="K119" s="467"/>
      <c r="L119" s="184"/>
      <c r="M119" s="184"/>
      <c r="N119" s="184"/>
      <c r="O119" s="184"/>
    </row>
    <row r="122" spans="1:15">
      <c r="I122" s="185" t="s">
        <v>349</v>
      </c>
    </row>
  </sheetData>
  <pageMargins left="0.7" right="0.7" top="0.75" bottom="0.75" header="0.3" footer="0.3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BD2A-34DD-4CE3-849C-464A244C338A}">
  <dimension ref="A1:P56"/>
  <sheetViews>
    <sheetView topLeftCell="A34" workbookViewId="0">
      <selection activeCell="C14" sqref="C14"/>
    </sheetView>
  </sheetViews>
  <sheetFormatPr defaultRowHeight="15"/>
  <cols>
    <col min="1" max="1" width="9.140625" style="5"/>
    <col min="2" max="2" width="11.5703125" style="5" customWidth="1"/>
    <col min="3" max="3" width="46" style="5" bestFit="1" customWidth="1"/>
    <col min="4" max="4" width="34.5703125" style="5" customWidth="1"/>
    <col min="5" max="5" width="40.85546875" style="5" bestFit="1" customWidth="1"/>
    <col min="6" max="6" width="15.7109375" style="5" customWidth="1"/>
    <col min="7" max="7" width="9.140625" style="5"/>
    <col min="8" max="8" width="22.42578125" style="5" customWidth="1"/>
    <col min="9" max="9" width="22.140625" style="5" customWidth="1"/>
    <col min="10" max="10" width="17.7109375" style="5" bestFit="1" customWidth="1"/>
    <col min="11" max="11" width="10.42578125" style="5" bestFit="1" customWidth="1"/>
    <col min="12" max="12" width="15.42578125" style="5" customWidth="1"/>
    <col min="13" max="13" width="17.7109375" style="5" customWidth="1"/>
    <col min="14" max="14" width="12.7109375" style="5" customWidth="1"/>
    <col min="15" max="15" width="15.140625" style="5" customWidth="1"/>
    <col min="16" max="16" width="20.5703125" style="5" customWidth="1"/>
    <col min="17" max="16384" width="9.140625" style="5"/>
  </cols>
  <sheetData>
    <row r="1" spans="1:16" ht="15.75">
      <c r="A1" s="495" t="s">
        <v>350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</row>
    <row r="2" spans="1:16">
      <c r="A2" s="64" t="s">
        <v>0</v>
      </c>
      <c r="B2" s="83" t="s">
        <v>164</v>
      </c>
      <c r="C2" s="83" t="s">
        <v>287</v>
      </c>
      <c r="D2" s="83"/>
      <c r="E2" s="83" t="s">
        <v>288</v>
      </c>
      <c r="F2" s="83" t="s">
        <v>167</v>
      </c>
      <c r="G2" s="83" t="s">
        <v>168</v>
      </c>
      <c r="H2" s="90" t="s">
        <v>169</v>
      </c>
      <c r="I2" s="83" t="s">
        <v>170</v>
      </c>
      <c r="J2" s="83" t="s">
        <v>168</v>
      </c>
      <c r="K2" s="90" t="s">
        <v>169</v>
      </c>
      <c r="L2" s="64" t="s">
        <v>171</v>
      </c>
      <c r="M2" s="91" t="s">
        <v>289</v>
      </c>
      <c r="N2" s="85" t="s">
        <v>209</v>
      </c>
      <c r="O2" s="83" t="s">
        <v>174</v>
      </c>
      <c r="P2" s="83" t="s">
        <v>290</v>
      </c>
    </row>
    <row r="3" spans="1:16">
      <c r="A3" s="524" t="s">
        <v>175</v>
      </c>
      <c r="B3" s="524"/>
      <c r="C3" s="524"/>
      <c r="D3" s="524"/>
      <c r="E3" s="524"/>
      <c r="F3" s="524"/>
      <c r="G3" s="524"/>
      <c r="H3" s="524"/>
      <c r="I3" s="524"/>
      <c r="J3" s="524"/>
      <c r="K3" s="524"/>
      <c r="L3" s="102">
        <v>175209.06</v>
      </c>
      <c r="M3" s="224"/>
      <c r="N3" s="385">
        <f>+L3</f>
        <v>175209.06</v>
      </c>
      <c r="O3" s="169"/>
      <c r="P3" s="169"/>
    </row>
    <row r="4" spans="1:16">
      <c r="A4" s="6">
        <v>1</v>
      </c>
      <c r="B4" s="78" t="s">
        <v>272</v>
      </c>
      <c r="C4" s="6" t="s">
        <v>351</v>
      </c>
      <c r="D4" s="6" t="s">
        <v>352</v>
      </c>
      <c r="E4" s="386" t="s">
        <v>353</v>
      </c>
      <c r="F4" s="66">
        <v>10.93</v>
      </c>
      <c r="G4" s="66">
        <v>91.51</v>
      </c>
      <c r="H4" s="66">
        <v>1000</v>
      </c>
      <c r="I4" s="66"/>
      <c r="J4" s="66"/>
      <c r="K4" s="66"/>
      <c r="L4" s="66">
        <f>H4+K4</f>
        <v>1000</v>
      </c>
      <c r="M4" s="44"/>
      <c r="N4" s="432">
        <f>SUM(N3+M4-L4)</f>
        <v>174209.06</v>
      </c>
      <c r="O4" s="6"/>
      <c r="P4" s="6"/>
    </row>
    <row r="5" spans="1:16">
      <c r="A5" s="6">
        <v>2</v>
      </c>
      <c r="B5" s="78" t="s">
        <v>273</v>
      </c>
      <c r="C5" s="6" t="s">
        <v>354</v>
      </c>
      <c r="D5" s="6" t="s">
        <v>177</v>
      </c>
      <c r="E5" s="386" t="s">
        <v>355</v>
      </c>
      <c r="F5" s="66">
        <v>0</v>
      </c>
      <c r="G5" s="66">
        <v>0</v>
      </c>
      <c r="H5" s="66">
        <v>0</v>
      </c>
      <c r="I5" s="66">
        <v>90</v>
      </c>
      <c r="J5" s="66">
        <v>108.1</v>
      </c>
      <c r="K5" s="66">
        <v>9729</v>
      </c>
      <c r="L5" s="66">
        <f>H5+K5</f>
        <v>9729</v>
      </c>
      <c r="M5" s="44">
        <v>6000000</v>
      </c>
      <c r="N5" s="432">
        <f t="shared" ref="N5:N39" si="0">SUM(N4+M5-L5)</f>
        <v>6164480.0599999996</v>
      </c>
      <c r="O5" s="6"/>
      <c r="P5" s="6"/>
    </row>
    <row r="6" spans="1:16">
      <c r="A6" s="6">
        <v>3</v>
      </c>
      <c r="B6" s="78" t="s">
        <v>273</v>
      </c>
      <c r="C6" s="6" t="s">
        <v>356</v>
      </c>
      <c r="D6" s="6" t="s">
        <v>357</v>
      </c>
      <c r="E6" s="386" t="s">
        <v>358</v>
      </c>
      <c r="F6" s="66">
        <v>3584.4</v>
      </c>
      <c r="G6" s="66">
        <v>91.48</v>
      </c>
      <c r="H6" s="66">
        <v>327900</v>
      </c>
      <c r="I6" s="66"/>
      <c r="J6" s="66"/>
      <c r="K6" s="66"/>
      <c r="L6" s="66">
        <f>H6+K6</f>
        <v>327900</v>
      </c>
      <c r="M6" s="44"/>
      <c r="N6" s="432">
        <f t="shared" si="0"/>
        <v>5836580.0599999996</v>
      </c>
      <c r="O6" s="6"/>
      <c r="P6" s="6"/>
    </row>
    <row r="7" spans="1:16">
      <c r="A7" s="6">
        <v>4</v>
      </c>
      <c r="B7" s="78" t="s">
        <v>273</v>
      </c>
      <c r="C7" s="6" t="s">
        <v>359</v>
      </c>
      <c r="D7" s="6" t="s">
        <v>176</v>
      </c>
      <c r="E7" s="386" t="s">
        <v>358</v>
      </c>
      <c r="F7" s="66">
        <v>43649.72</v>
      </c>
      <c r="G7" s="66">
        <v>95.68</v>
      </c>
      <c r="H7" s="66">
        <v>4176407</v>
      </c>
      <c r="I7" s="66"/>
      <c r="J7" s="66"/>
      <c r="K7" s="66"/>
      <c r="L7" s="66">
        <f>H7+K7</f>
        <v>4176407</v>
      </c>
      <c r="M7" s="44"/>
      <c r="N7" s="432">
        <f t="shared" si="0"/>
        <v>1660173.0599999996</v>
      </c>
      <c r="O7" s="6"/>
      <c r="P7" s="6"/>
    </row>
    <row r="8" spans="1:16">
      <c r="A8" s="6">
        <v>5</v>
      </c>
      <c r="B8" s="78" t="s">
        <v>273</v>
      </c>
      <c r="C8" s="6" t="s">
        <v>351</v>
      </c>
      <c r="D8" s="6" t="s">
        <v>352</v>
      </c>
      <c r="E8" s="386" t="s">
        <v>353</v>
      </c>
      <c r="F8" s="66">
        <v>0</v>
      </c>
      <c r="G8" s="66">
        <v>0</v>
      </c>
      <c r="H8" s="66">
        <v>0</v>
      </c>
      <c r="I8" s="66">
        <v>4.83</v>
      </c>
      <c r="J8" s="66">
        <v>103.44</v>
      </c>
      <c r="K8" s="66">
        <v>500</v>
      </c>
      <c r="L8" s="66">
        <f>H8+K8</f>
        <v>500</v>
      </c>
      <c r="M8" s="44"/>
      <c r="N8" s="432">
        <f t="shared" si="0"/>
        <v>1659673.0599999996</v>
      </c>
      <c r="O8" s="6"/>
      <c r="P8" s="6"/>
    </row>
    <row r="9" spans="1:16">
      <c r="A9" s="6">
        <v>6</v>
      </c>
      <c r="B9" s="78" t="s">
        <v>273</v>
      </c>
      <c r="C9" s="6" t="s">
        <v>360</v>
      </c>
      <c r="D9" s="6" t="s">
        <v>361</v>
      </c>
      <c r="E9" s="403" t="s">
        <v>362</v>
      </c>
      <c r="F9" s="66">
        <v>2221.94</v>
      </c>
      <c r="G9" s="66">
        <v>91.78</v>
      </c>
      <c r="H9" s="66">
        <v>203929</v>
      </c>
      <c r="I9" s="66"/>
      <c r="J9" s="66"/>
      <c r="K9" s="66"/>
      <c r="L9" s="66">
        <f>H9+K9</f>
        <v>203929</v>
      </c>
      <c r="M9" s="44"/>
      <c r="N9" s="432">
        <f t="shared" si="0"/>
        <v>1455744.0599999996</v>
      </c>
      <c r="O9" s="6"/>
      <c r="P9" s="6"/>
    </row>
    <row r="10" spans="1:16">
      <c r="A10" s="6">
        <v>7</v>
      </c>
      <c r="B10" s="78" t="s">
        <v>273</v>
      </c>
      <c r="C10" s="6" t="s">
        <v>363</v>
      </c>
      <c r="D10" s="6" t="s">
        <v>364</v>
      </c>
      <c r="E10" s="386" t="s">
        <v>365</v>
      </c>
      <c r="F10" s="66">
        <v>2740.94</v>
      </c>
      <c r="G10" s="66">
        <v>91.33</v>
      </c>
      <c r="H10" s="66">
        <v>250330</v>
      </c>
      <c r="I10" s="66"/>
      <c r="J10" s="66"/>
      <c r="K10" s="66"/>
      <c r="L10" s="66">
        <f>H10+K10</f>
        <v>250330</v>
      </c>
      <c r="M10" s="44"/>
      <c r="N10" s="432">
        <f t="shared" si="0"/>
        <v>1205414.0599999996</v>
      </c>
      <c r="O10" s="6"/>
      <c r="P10" s="6"/>
    </row>
    <row r="11" spans="1:16">
      <c r="A11" s="6">
        <v>8</v>
      </c>
      <c r="B11" s="78" t="s">
        <v>273</v>
      </c>
      <c r="C11" s="6" t="s">
        <v>366</v>
      </c>
      <c r="D11" s="388" t="s">
        <v>367</v>
      </c>
      <c r="E11" s="386" t="s">
        <v>368</v>
      </c>
      <c r="F11" s="66">
        <v>2870.2</v>
      </c>
      <c r="G11" s="66">
        <v>91.89</v>
      </c>
      <c r="H11" s="66">
        <v>263742</v>
      </c>
      <c r="I11" s="66"/>
      <c r="J11" s="66"/>
      <c r="K11" s="66"/>
      <c r="L11" s="66">
        <f t="shared" ref="L11:L36" si="1">H11+K11</f>
        <v>263742</v>
      </c>
      <c r="M11" s="66"/>
      <c r="N11" s="432">
        <f t="shared" si="0"/>
        <v>941672.05999999959</v>
      </c>
      <c r="O11" s="6"/>
      <c r="P11" s="6"/>
    </row>
    <row r="12" spans="1:16">
      <c r="A12" s="6">
        <v>9</v>
      </c>
      <c r="B12" s="78" t="s">
        <v>273</v>
      </c>
      <c r="C12" s="6" t="s">
        <v>369</v>
      </c>
      <c r="D12" s="6" t="s">
        <v>352</v>
      </c>
      <c r="E12" s="386" t="s">
        <v>353</v>
      </c>
      <c r="F12" s="66">
        <v>6630.9</v>
      </c>
      <c r="G12" s="66">
        <v>91.54</v>
      </c>
      <c r="H12" s="66">
        <v>607000</v>
      </c>
      <c r="I12" s="66"/>
      <c r="J12" s="66"/>
      <c r="K12" s="66"/>
      <c r="L12" s="66">
        <f t="shared" si="1"/>
        <v>607000</v>
      </c>
      <c r="M12" s="387"/>
      <c r="N12" s="432">
        <f t="shared" si="0"/>
        <v>334672.05999999959</v>
      </c>
      <c r="O12" s="6"/>
      <c r="P12" s="6"/>
    </row>
    <row r="13" spans="1:16">
      <c r="A13" s="6">
        <v>10</v>
      </c>
      <c r="B13" s="78" t="s">
        <v>315</v>
      </c>
      <c r="C13" s="6" t="s">
        <v>370</v>
      </c>
      <c r="D13" s="6" t="s">
        <v>43</v>
      </c>
      <c r="E13" s="386" t="s">
        <v>358</v>
      </c>
      <c r="F13" s="66">
        <v>20.47</v>
      </c>
      <c r="G13" s="66">
        <v>95.64</v>
      </c>
      <c r="H13" s="66">
        <v>1957.75</v>
      </c>
      <c r="I13" s="66"/>
      <c r="J13" s="66"/>
      <c r="K13" s="66"/>
      <c r="L13" s="66">
        <f t="shared" si="1"/>
        <v>1957.75</v>
      </c>
      <c r="M13" s="387"/>
      <c r="N13" s="432">
        <f t="shared" si="0"/>
        <v>332714.30999999959</v>
      </c>
      <c r="O13" s="6"/>
      <c r="P13" s="6"/>
    </row>
    <row r="14" spans="1:16">
      <c r="A14" s="6">
        <v>11</v>
      </c>
      <c r="B14" s="78" t="s">
        <v>315</v>
      </c>
      <c r="C14" s="66" t="s">
        <v>371</v>
      </c>
      <c r="D14" s="66" t="s">
        <v>43</v>
      </c>
      <c r="E14" s="418" t="s">
        <v>358</v>
      </c>
      <c r="F14" s="66">
        <v>35</v>
      </c>
      <c r="G14" s="66">
        <v>95.64</v>
      </c>
      <c r="H14" s="66">
        <v>3347.4</v>
      </c>
      <c r="I14" s="66"/>
      <c r="J14" s="66"/>
      <c r="K14" s="66"/>
      <c r="L14" s="66">
        <f t="shared" si="1"/>
        <v>3347.4</v>
      </c>
      <c r="M14" s="66"/>
      <c r="N14" s="66">
        <f t="shared" si="0"/>
        <v>329366.90999999957</v>
      </c>
      <c r="O14" s="6"/>
      <c r="P14" s="6"/>
    </row>
    <row r="15" spans="1:16">
      <c r="A15" s="6">
        <v>12</v>
      </c>
      <c r="B15" s="78" t="s">
        <v>315</v>
      </c>
      <c r="C15" s="66" t="s">
        <v>351</v>
      </c>
      <c r="D15" s="66" t="s">
        <v>352</v>
      </c>
      <c r="E15" s="418" t="s">
        <v>353</v>
      </c>
      <c r="F15" s="66">
        <v>0</v>
      </c>
      <c r="G15" s="66">
        <v>0</v>
      </c>
      <c r="H15" s="66">
        <v>0</v>
      </c>
      <c r="I15" s="66">
        <v>4.83</v>
      </c>
      <c r="J15" s="66">
        <v>103.44</v>
      </c>
      <c r="K15" s="66">
        <v>500</v>
      </c>
      <c r="L15" s="66">
        <f t="shared" si="1"/>
        <v>500</v>
      </c>
      <c r="M15" s="66"/>
      <c r="N15" s="66">
        <f t="shared" si="0"/>
        <v>328866.90999999957</v>
      </c>
      <c r="O15" s="6"/>
      <c r="P15" s="6"/>
    </row>
    <row r="16" spans="1:16">
      <c r="A16" s="6">
        <v>13</v>
      </c>
      <c r="B16" s="78" t="s">
        <v>274</v>
      </c>
      <c r="C16" s="66" t="s">
        <v>371</v>
      </c>
      <c r="D16" s="66" t="s">
        <v>43</v>
      </c>
      <c r="E16" s="418" t="s">
        <v>358</v>
      </c>
      <c r="F16" s="66">
        <v>36.590000000000003</v>
      </c>
      <c r="G16" s="66">
        <v>95.64</v>
      </c>
      <c r="H16" s="66">
        <v>3499.46</v>
      </c>
      <c r="I16" s="66"/>
      <c r="J16" s="66"/>
      <c r="K16" s="66"/>
      <c r="L16" s="66">
        <f>H16+K16</f>
        <v>3499.46</v>
      </c>
      <c r="M16" s="66"/>
      <c r="N16" s="66">
        <f t="shared" si="0"/>
        <v>325367.44999999955</v>
      </c>
      <c r="O16" s="6"/>
      <c r="P16" s="6"/>
    </row>
    <row r="17" spans="1:16">
      <c r="A17" s="6">
        <v>14</v>
      </c>
      <c r="B17" s="78" t="s">
        <v>275</v>
      </c>
      <c r="C17" s="66" t="s">
        <v>351</v>
      </c>
      <c r="D17" s="66" t="s">
        <v>352</v>
      </c>
      <c r="E17" s="418" t="s">
        <v>353</v>
      </c>
      <c r="F17" s="66">
        <v>21.86</v>
      </c>
      <c r="G17" s="66">
        <v>91.51</v>
      </c>
      <c r="H17" s="66">
        <v>2000</v>
      </c>
      <c r="I17" s="66"/>
      <c r="J17" s="66"/>
      <c r="K17" s="66"/>
      <c r="L17" s="66">
        <f>H17+K17</f>
        <v>2000</v>
      </c>
      <c r="M17" s="66"/>
      <c r="N17" s="66">
        <f t="shared" si="0"/>
        <v>323367.44999999955</v>
      </c>
      <c r="O17" s="6"/>
      <c r="P17" s="6"/>
    </row>
    <row r="18" spans="1:16">
      <c r="A18" s="6">
        <v>15</v>
      </c>
      <c r="B18" s="78" t="s">
        <v>279</v>
      </c>
      <c r="C18" s="66" t="s">
        <v>351</v>
      </c>
      <c r="D18" s="66" t="s">
        <v>352</v>
      </c>
      <c r="E18" s="418" t="s">
        <v>353</v>
      </c>
      <c r="F18" s="66">
        <v>5.46</v>
      </c>
      <c r="G18" s="66">
        <v>91.51</v>
      </c>
      <c r="H18" s="66">
        <v>500</v>
      </c>
      <c r="I18" s="66"/>
      <c r="J18" s="66"/>
      <c r="K18" s="66"/>
      <c r="L18" s="66">
        <f t="shared" si="1"/>
        <v>500</v>
      </c>
      <c r="M18" s="66"/>
      <c r="N18" s="66">
        <f t="shared" si="0"/>
        <v>322867.44999999955</v>
      </c>
      <c r="O18" s="6"/>
      <c r="P18" s="6"/>
    </row>
    <row r="19" spans="1:16">
      <c r="A19" s="6">
        <v>16</v>
      </c>
      <c r="B19" s="78" t="s">
        <v>323</v>
      </c>
      <c r="C19" s="66" t="s">
        <v>351</v>
      </c>
      <c r="D19" s="66" t="s">
        <v>352</v>
      </c>
      <c r="E19" s="418" t="s">
        <v>353</v>
      </c>
      <c r="F19" s="66">
        <v>5.46</v>
      </c>
      <c r="G19" s="66">
        <v>91.51</v>
      </c>
      <c r="H19" s="66">
        <v>500</v>
      </c>
      <c r="I19" s="66">
        <v>9.73</v>
      </c>
      <c r="J19" s="66">
        <v>103.44</v>
      </c>
      <c r="K19" s="66">
        <v>1006</v>
      </c>
      <c r="L19" s="66">
        <f t="shared" si="1"/>
        <v>1506</v>
      </c>
      <c r="M19" s="66"/>
      <c r="N19" s="66">
        <f t="shared" si="0"/>
        <v>321361.44999999955</v>
      </c>
      <c r="O19" s="6"/>
      <c r="P19" s="6"/>
    </row>
    <row r="20" spans="1:16">
      <c r="A20" s="6">
        <v>17</v>
      </c>
      <c r="B20" s="78" t="s">
        <v>276</v>
      </c>
      <c r="C20" s="6" t="s">
        <v>363</v>
      </c>
      <c r="D20" s="6" t="s">
        <v>364</v>
      </c>
      <c r="E20" s="386" t="s">
        <v>365</v>
      </c>
      <c r="F20" s="66">
        <v>1642.4</v>
      </c>
      <c r="G20" s="66">
        <v>91.33</v>
      </c>
      <c r="H20" s="66">
        <v>150000</v>
      </c>
      <c r="I20" s="66"/>
      <c r="J20" s="66"/>
      <c r="K20" s="66"/>
      <c r="L20" s="66">
        <f t="shared" si="1"/>
        <v>150000</v>
      </c>
      <c r="M20" s="44"/>
      <c r="N20" s="432">
        <f t="shared" si="0"/>
        <v>171361.44999999955</v>
      </c>
      <c r="O20" s="6"/>
      <c r="P20" s="6"/>
    </row>
    <row r="21" spans="1:16">
      <c r="A21" s="6">
        <v>18</v>
      </c>
      <c r="B21" s="78" t="s">
        <v>281</v>
      </c>
      <c r="C21" s="66" t="s">
        <v>351</v>
      </c>
      <c r="D21" s="66" t="s">
        <v>352</v>
      </c>
      <c r="E21" s="418" t="s">
        <v>353</v>
      </c>
      <c r="F21" s="66">
        <v>0</v>
      </c>
      <c r="G21" s="66">
        <v>0</v>
      </c>
      <c r="H21" s="66">
        <v>0</v>
      </c>
      <c r="I21" s="66">
        <v>4.83</v>
      </c>
      <c r="J21" s="66">
        <v>103.44</v>
      </c>
      <c r="K21" s="66">
        <v>500</v>
      </c>
      <c r="L21" s="66">
        <f t="shared" si="1"/>
        <v>500</v>
      </c>
      <c r="M21" s="44">
        <v>400000</v>
      </c>
      <c r="N21" s="432">
        <f t="shared" si="0"/>
        <v>570861.44999999949</v>
      </c>
      <c r="O21" s="6"/>
      <c r="P21" s="6"/>
    </row>
    <row r="22" spans="1:16">
      <c r="A22" s="6">
        <v>19</v>
      </c>
      <c r="B22" s="78" t="s">
        <v>281</v>
      </c>
      <c r="C22" s="6" t="s">
        <v>360</v>
      </c>
      <c r="D22" s="6" t="s">
        <v>361</v>
      </c>
      <c r="E22" s="403" t="s">
        <v>362</v>
      </c>
      <c r="F22" s="66">
        <v>1089.56</v>
      </c>
      <c r="G22" s="66">
        <v>91.78</v>
      </c>
      <c r="H22" s="66">
        <v>100000</v>
      </c>
      <c r="I22" s="66"/>
      <c r="J22" s="66"/>
      <c r="K22" s="66"/>
      <c r="L22" s="66">
        <f t="shared" si="1"/>
        <v>100000</v>
      </c>
      <c r="M22" s="44"/>
      <c r="N22" s="432">
        <f t="shared" si="0"/>
        <v>470861.44999999949</v>
      </c>
      <c r="O22" s="6"/>
      <c r="P22" s="6"/>
    </row>
    <row r="23" spans="1:16">
      <c r="A23" s="6">
        <v>20</v>
      </c>
      <c r="B23" s="78" t="s">
        <v>281</v>
      </c>
      <c r="C23" s="66" t="s">
        <v>351</v>
      </c>
      <c r="D23" s="66" t="s">
        <v>352</v>
      </c>
      <c r="E23" s="418" t="s">
        <v>353</v>
      </c>
      <c r="F23" s="66">
        <v>5.46</v>
      </c>
      <c r="G23" s="66">
        <v>91.51</v>
      </c>
      <c r="H23" s="66">
        <v>500</v>
      </c>
      <c r="I23" s="66"/>
      <c r="J23" s="66"/>
      <c r="K23" s="66"/>
      <c r="L23" s="66">
        <f t="shared" si="1"/>
        <v>500</v>
      </c>
      <c r="M23" s="44"/>
      <c r="N23" s="432">
        <f t="shared" si="0"/>
        <v>470361.44999999949</v>
      </c>
      <c r="O23" s="6"/>
      <c r="P23" s="6"/>
    </row>
    <row r="24" spans="1:16">
      <c r="A24" s="6">
        <v>21</v>
      </c>
      <c r="B24" s="78" t="s">
        <v>281</v>
      </c>
      <c r="C24" s="6" t="s">
        <v>366</v>
      </c>
      <c r="D24" s="388" t="s">
        <v>367</v>
      </c>
      <c r="E24" s="386" t="s">
        <v>368</v>
      </c>
      <c r="F24" s="66">
        <v>1088.26</v>
      </c>
      <c r="G24" s="66">
        <v>91.89</v>
      </c>
      <c r="H24" s="66">
        <v>100000</v>
      </c>
      <c r="I24" s="66"/>
      <c r="J24" s="66"/>
      <c r="K24" s="66"/>
      <c r="L24" s="66">
        <f t="shared" si="1"/>
        <v>100000</v>
      </c>
      <c r="M24" s="44"/>
      <c r="N24" s="432">
        <f t="shared" si="0"/>
        <v>370361.44999999949</v>
      </c>
      <c r="O24" s="6"/>
      <c r="P24" s="6"/>
    </row>
    <row r="25" spans="1:16">
      <c r="A25" s="6">
        <v>22</v>
      </c>
      <c r="B25" s="78" t="s">
        <v>277</v>
      </c>
      <c r="C25" s="66" t="s">
        <v>351</v>
      </c>
      <c r="D25" s="66" t="s">
        <v>352</v>
      </c>
      <c r="E25" s="418" t="s">
        <v>353</v>
      </c>
      <c r="F25" s="66">
        <v>0</v>
      </c>
      <c r="G25" s="66">
        <v>0</v>
      </c>
      <c r="H25" s="66">
        <v>0</v>
      </c>
      <c r="I25" s="66">
        <v>9.66</v>
      </c>
      <c r="J25" s="66">
        <v>103.44</v>
      </c>
      <c r="K25" s="66">
        <v>1000</v>
      </c>
      <c r="L25" s="66">
        <f t="shared" si="1"/>
        <v>1000</v>
      </c>
      <c r="M25" s="44"/>
      <c r="N25" s="432">
        <f t="shared" si="0"/>
        <v>369361.44999999949</v>
      </c>
      <c r="O25" s="6"/>
      <c r="P25" s="6"/>
    </row>
    <row r="26" spans="1:16">
      <c r="A26" s="6">
        <v>23</v>
      </c>
      <c r="B26" s="78" t="s">
        <v>277</v>
      </c>
      <c r="C26" s="6" t="s">
        <v>372</v>
      </c>
      <c r="D26" s="6" t="s">
        <v>124</v>
      </c>
      <c r="E26" s="386" t="s">
        <v>373</v>
      </c>
      <c r="F26" s="66">
        <v>1000</v>
      </c>
      <c r="G26" s="66">
        <v>91.61</v>
      </c>
      <c r="H26" s="66">
        <v>91610</v>
      </c>
      <c r="I26" s="66"/>
      <c r="J26" s="66"/>
      <c r="K26" s="66"/>
      <c r="L26" s="66">
        <f t="shared" si="1"/>
        <v>91610</v>
      </c>
      <c r="M26" s="44"/>
      <c r="N26" s="432">
        <f t="shared" si="0"/>
        <v>277751.44999999949</v>
      </c>
      <c r="O26" s="6"/>
      <c r="P26" s="6"/>
    </row>
    <row r="27" spans="1:16">
      <c r="A27" s="6">
        <v>24</v>
      </c>
      <c r="B27" s="78" t="s">
        <v>282</v>
      </c>
      <c r="C27" s="6" t="s">
        <v>354</v>
      </c>
      <c r="D27" s="6" t="s">
        <v>374</v>
      </c>
      <c r="E27" s="403" t="s">
        <v>375</v>
      </c>
      <c r="F27" s="66">
        <v>720</v>
      </c>
      <c r="G27" s="66">
        <v>96.3</v>
      </c>
      <c r="H27" s="66">
        <v>69336</v>
      </c>
      <c r="I27" s="66"/>
      <c r="J27" s="66"/>
      <c r="K27" s="66"/>
      <c r="L27" s="66">
        <f t="shared" si="1"/>
        <v>69336</v>
      </c>
      <c r="M27" s="44"/>
      <c r="N27" s="432">
        <f t="shared" si="0"/>
        <v>208415.44999999949</v>
      </c>
      <c r="O27" s="6"/>
      <c r="P27" s="6"/>
    </row>
    <row r="28" spans="1:16">
      <c r="A28" s="6">
        <v>25</v>
      </c>
      <c r="B28" s="78" t="s">
        <v>282</v>
      </c>
      <c r="C28" s="388" t="s">
        <v>371</v>
      </c>
      <c r="D28" s="6" t="s">
        <v>43</v>
      </c>
      <c r="E28" s="386" t="s">
        <v>358</v>
      </c>
      <c r="F28" s="66">
        <v>70</v>
      </c>
      <c r="G28" s="66">
        <v>95.64</v>
      </c>
      <c r="H28" s="66">
        <v>6694.8</v>
      </c>
      <c r="I28" s="66"/>
      <c r="J28" s="66"/>
      <c r="K28" s="66"/>
      <c r="L28" s="66">
        <f t="shared" si="1"/>
        <v>6694.8</v>
      </c>
      <c r="M28" s="44"/>
      <c r="N28" s="432">
        <f t="shared" si="0"/>
        <v>201720.6499999995</v>
      </c>
      <c r="O28" s="6"/>
      <c r="P28" s="6"/>
    </row>
    <row r="29" spans="1:16">
      <c r="A29" s="6">
        <v>26</v>
      </c>
      <c r="B29" s="78" t="s">
        <v>282</v>
      </c>
      <c r="C29" s="388" t="s">
        <v>351</v>
      </c>
      <c r="D29" s="66" t="s">
        <v>352</v>
      </c>
      <c r="E29" s="418" t="s">
        <v>353</v>
      </c>
      <c r="F29" s="66">
        <v>5.46</v>
      </c>
      <c r="G29" s="66">
        <v>91.51</v>
      </c>
      <c r="H29" s="66">
        <v>500</v>
      </c>
      <c r="I29" s="66"/>
      <c r="J29" s="66"/>
      <c r="K29" s="66"/>
      <c r="L29" s="66">
        <f t="shared" si="1"/>
        <v>500</v>
      </c>
      <c r="M29" s="47"/>
      <c r="N29" s="432">
        <f t="shared" si="0"/>
        <v>201220.6499999995</v>
      </c>
      <c r="O29" s="6"/>
      <c r="P29" s="6"/>
    </row>
    <row r="30" spans="1:16">
      <c r="A30" s="6">
        <v>27</v>
      </c>
      <c r="B30" s="78" t="s">
        <v>283</v>
      </c>
      <c r="C30" s="388" t="s">
        <v>351</v>
      </c>
      <c r="D30" s="66" t="s">
        <v>352</v>
      </c>
      <c r="E30" s="418" t="s">
        <v>353</v>
      </c>
      <c r="F30" s="66">
        <v>32.9</v>
      </c>
      <c r="G30" s="66">
        <v>91.19</v>
      </c>
      <c r="H30" s="66">
        <v>3000</v>
      </c>
      <c r="I30" s="66">
        <v>19.329999999999998</v>
      </c>
      <c r="J30" s="66">
        <v>103.44</v>
      </c>
      <c r="K30" s="66">
        <v>2000</v>
      </c>
      <c r="L30" s="66">
        <f t="shared" si="1"/>
        <v>5000</v>
      </c>
      <c r="M30" s="47"/>
      <c r="N30" s="432">
        <f t="shared" si="0"/>
        <v>196220.6499999995</v>
      </c>
      <c r="O30" s="6"/>
      <c r="P30" s="6"/>
    </row>
    <row r="31" spans="1:16">
      <c r="A31" s="6">
        <v>28</v>
      </c>
      <c r="B31" s="78" t="s">
        <v>283</v>
      </c>
      <c r="C31" s="388" t="s">
        <v>371</v>
      </c>
      <c r="D31" s="6" t="s">
        <v>43</v>
      </c>
      <c r="E31" s="386" t="s">
        <v>358</v>
      </c>
      <c r="F31" s="66">
        <v>35</v>
      </c>
      <c r="G31" s="66">
        <v>95.64</v>
      </c>
      <c r="H31" s="66">
        <v>3347.4</v>
      </c>
      <c r="I31" s="66"/>
      <c r="J31" s="66"/>
      <c r="K31" s="66"/>
      <c r="L31" s="66">
        <f t="shared" si="1"/>
        <v>3347.4</v>
      </c>
      <c r="M31" s="47"/>
      <c r="N31" s="432">
        <f t="shared" si="0"/>
        <v>192873.24999999951</v>
      </c>
      <c r="O31" s="6"/>
      <c r="P31" s="6"/>
    </row>
    <row r="32" spans="1:16">
      <c r="A32" s="6">
        <v>29</v>
      </c>
      <c r="B32" s="78" t="s">
        <v>284</v>
      </c>
      <c r="C32" s="388" t="s">
        <v>371</v>
      </c>
      <c r="D32" s="6" t="s">
        <v>43</v>
      </c>
      <c r="E32" s="386" t="s">
        <v>358</v>
      </c>
      <c r="F32" s="66">
        <v>35</v>
      </c>
      <c r="G32" s="66">
        <v>95.64</v>
      </c>
      <c r="H32" s="66">
        <v>3347.4</v>
      </c>
      <c r="I32" s="66"/>
      <c r="J32" s="66"/>
      <c r="K32" s="66"/>
      <c r="L32" s="66">
        <f t="shared" si="1"/>
        <v>3347.4</v>
      </c>
      <c r="M32" s="47"/>
      <c r="N32" s="432">
        <f t="shared" si="0"/>
        <v>189525.84999999951</v>
      </c>
      <c r="O32" s="6"/>
      <c r="P32" s="6"/>
    </row>
    <row r="33" spans="1:16">
      <c r="A33" s="6">
        <v>30</v>
      </c>
      <c r="B33" s="78" t="s">
        <v>284</v>
      </c>
      <c r="C33" s="388" t="s">
        <v>351</v>
      </c>
      <c r="D33" s="66" t="s">
        <v>352</v>
      </c>
      <c r="E33" s="418" t="s">
        <v>353</v>
      </c>
      <c r="F33" s="6">
        <v>300</v>
      </c>
      <c r="G33" s="6">
        <v>91.51</v>
      </c>
      <c r="H33" s="6">
        <v>27453</v>
      </c>
      <c r="I33" s="6"/>
      <c r="J33" s="6"/>
      <c r="K33" s="6"/>
      <c r="L33" s="66">
        <f t="shared" si="1"/>
        <v>27453</v>
      </c>
      <c r="M33" s="6"/>
      <c r="N33" s="432">
        <f t="shared" si="0"/>
        <v>162072.84999999951</v>
      </c>
      <c r="O33" s="6"/>
      <c r="P33" s="6"/>
    </row>
    <row r="34" spans="1:16">
      <c r="A34" s="6">
        <v>31</v>
      </c>
      <c r="B34" s="78" t="s">
        <v>278</v>
      </c>
      <c r="C34" s="388" t="s">
        <v>351</v>
      </c>
      <c r="D34" s="66" t="s">
        <v>352</v>
      </c>
      <c r="E34" s="418" t="s">
        <v>353</v>
      </c>
      <c r="F34" s="6">
        <v>10.92</v>
      </c>
      <c r="G34" s="6">
        <v>91.51</v>
      </c>
      <c r="H34" s="6">
        <v>1000</v>
      </c>
      <c r="I34" s="6">
        <v>0</v>
      </c>
      <c r="J34" s="6">
        <v>0</v>
      </c>
      <c r="K34" s="6"/>
      <c r="L34" s="66">
        <f t="shared" si="1"/>
        <v>1000</v>
      </c>
      <c r="M34" s="6"/>
      <c r="N34" s="432">
        <f t="shared" si="0"/>
        <v>161072.84999999951</v>
      </c>
      <c r="O34" s="6"/>
      <c r="P34" s="6"/>
    </row>
    <row r="35" spans="1:16">
      <c r="A35" s="6">
        <v>32</v>
      </c>
      <c r="B35" s="78" t="s">
        <v>334</v>
      </c>
      <c r="C35" s="388" t="s">
        <v>351</v>
      </c>
      <c r="D35" s="66" t="s">
        <v>352</v>
      </c>
      <c r="E35" s="418" t="s">
        <v>353</v>
      </c>
      <c r="F35" s="6">
        <v>0</v>
      </c>
      <c r="G35" s="6">
        <v>0</v>
      </c>
      <c r="H35" s="6">
        <v>0</v>
      </c>
      <c r="I35" s="6">
        <v>4.83</v>
      </c>
      <c r="J35" s="6">
        <v>103.44</v>
      </c>
      <c r="K35" s="6">
        <v>500</v>
      </c>
      <c r="L35" s="66">
        <f t="shared" si="1"/>
        <v>500</v>
      </c>
      <c r="M35" s="6"/>
      <c r="N35" s="432">
        <f t="shared" si="0"/>
        <v>160572.84999999951</v>
      </c>
      <c r="O35" s="6"/>
      <c r="P35" s="6"/>
    </row>
    <row r="36" spans="1:16">
      <c r="A36" s="6">
        <v>33</v>
      </c>
      <c r="B36" s="78" t="s">
        <v>334</v>
      </c>
      <c r="C36" s="169" t="s">
        <v>354</v>
      </c>
      <c r="D36" s="169" t="s">
        <v>177</v>
      </c>
      <c r="E36" s="403" t="s">
        <v>375</v>
      </c>
      <c r="F36" s="169">
        <v>800</v>
      </c>
      <c r="G36" s="169">
        <v>96.3</v>
      </c>
      <c r="H36" s="169">
        <v>77040</v>
      </c>
      <c r="I36" s="169"/>
      <c r="J36" s="169"/>
      <c r="K36" s="169"/>
      <c r="L36" s="171">
        <f t="shared" si="1"/>
        <v>77040</v>
      </c>
      <c r="M36" s="169"/>
      <c r="N36" s="385">
        <f t="shared" si="0"/>
        <v>83532.849999999511</v>
      </c>
      <c r="O36" s="169"/>
      <c r="P36" s="169"/>
    </row>
    <row r="37" spans="1:16">
      <c r="A37" s="470">
        <v>34</v>
      </c>
      <c r="B37" s="78" t="s">
        <v>334</v>
      </c>
      <c r="C37" s="6" t="s">
        <v>369</v>
      </c>
      <c r="D37" s="66" t="s">
        <v>352</v>
      </c>
      <c r="E37" s="403" t="s">
        <v>353</v>
      </c>
      <c r="F37" s="6"/>
      <c r="G37" s="6"/>
      <c r="H37" s="6"/>
      <c r="I37" s="6">
        <v>5</v>
      </c>
      <c r="J37" s="6">
        <v>113.41</v>
      </c>
      <c r="K37" s="6">
        <v>567.04999999999995</v>
      </c>
      <c r="L37" s="66">
        <f t="shared" ref="L37:L39" si="2">H37+K37</f>
        <v>567.04999999999995</v>
      </c>
      <c r="M37" s="6"/>
      <c r="N37" s="432">
        <f t="shared" si="0"/>
        <v>82965.799999999508</v>
      </c>
      <c r="O37" s="6"/>
      <c r="P37" s="6"/>
    </row>
    <row r="38" spans="1:16">
      <c r="A38" s="470">
        <v>35</v>
      </c>
      <c r="B38" s="78" t="s">
        <v>334</v>
      </c>
      <c r="C38" s="6" t="s">
        <v>363</v>
      </c>
      <c r="D38" s="6" t="s">
        <v>364</v>
      </c>
      <c r="E38" s="386" t="s">
        <v>365</v>
      </c>
      <c r="F38" s="6">
        <v>1642.4</v>
      </c>
      <c r="G38" s="6">
        <v>91.33</v>
      </c>
      <c r="H38" s="6">
        <v>150000</v>
      </c>
      <c r="I38" s="6"/>
      <c r="J38" s="6"/>
      <c r="K38" s="6"/>
      <c r="L38" s="66">
        <f t="shared" si="2"/>
        <v>150000</v>
      </c>
      <c r="M38" s="6"/>
      <c r="N38" s="432">
        <f t="shared" si="0"/>
        <v>-67034.200000000492</v>
      </c>
      <c r="O38" s="6"/>
      <c r="P38" s="66"/>
    </row>
    <row r="39" spans="1:16">
      <c r="A39" s="470">
        <v>36</v>
      </c>
      <c r="B39" s="78" t="s">
        <v>334</v>
      </c>
      <c r="C39" s="6" t="s">
        <v>369</v>
      </c>
      <c r="D39" s="66" t="s">
        <v>352</v>
      </c>
      <c r="E39" s="386" t="s">
        <v>358</v>
      </c>
      <c r="F39" s="6">
        <v>3277.26</v>
      </c>
      <c r="G39" s="6">
        <v>91.54</v>
      </c>
      <c r="H39" s="6">
        <v>300000</v>
      </c>
      <c r="I39" s="6"/>
      <c r="J39" s="6"/>
      <c r="K39" s="6"/>
      <c r="L39" s="66">
        <f t="shared" si="2"/>
        <v>300000</v>
      </c>
      <c r="M39" s="6"/>
      <c r="N39" s="432">
        <f t="shared" si="0"/>
        <v>-367034.20000000048</v>
      </c>
      <c r="O39" s="6"/>
      <c r="P39" s="6"/>
    </row>
    <row r="40" spans="1:16">
      <c r="A40" s="470">
        <v>37</v>
      </c>
      <c r="B40" s="78" t="s">
        <v>334</v>
      </c>
      <c r="C40" s="6" t="s">
        <v>356</v>
      </c>
      <c r="D40" s="6" t="s">
        <v>357</v>
      </c>
      <c r="E40" s="46" t="s">
        <v>358</v>
      </c>
      <c r="F40" s="6">
        <v>3279.42</v>
      </c>
      <c r="G40" s="6">
        <v>91.48</v>
      </c>
      <c r="H40" s="6">
        <v>300000</v>
      </c>
      <c r="I40" s="6"/>
      <c r="J40" s="6"/>
      <c r="K40" s="6"/>
      <c r="L40" s="6"/>
      <c r="M40" s="6"/>
      <c r="N40" s="6"/>
      <c r="O40" s="6"/>
      <c r="P40" s="6"/>
    </row>
    <row r="41" spans="1:16">
      <c r="A41" s="470">
        <v>38</v>
      </c>
      <c r="B41" s="78" t="s">
        <v>334</v>
      </c>
      <c r="C41" s="6" t="s">
        <v>360</v>
      </c>
      <c r="D41" s="6" t="s">
        <v>361</v>
      </c>
      <c r="E41" s="46" t="s">
        <v>362</v>
      </c>
      <c r="F41" s="6">
        <v>2179.13</v>
      </c>
      <c r="G41" s="6">
        <v>91.78</v>
      </c>
      <c r="H41" s="6">
        <v>200000</v>
      </c>
      <c r="I41" s="6"/>
      <c r="J41" s="6"/>
      <c r="K41" s="6"/>
      <c r="L41" s="6"/>
      <c r="M41" s="6"/>
      <c r="N41" s="6"/>
      <c r="O41" s="6"/>
      <c r="P41" s="6"/>
    </row>
    <row r="42" spans="1:16">
      <c r="A42" s="470">
        <v>39</v>
      </c>
      <c r="B42" s="78" t="s">
        <v>285</v>
      </c>
      <c r="C42" s="6" t="s">
        <v>351</v>
      </c>
      <c r="D42" s="6" t="s">
        <v>352</v>
      </c>
      <c r="E42" s="46" t="s">
        <v>353</v>
      </c>
      <c r="F42" s="6">
        <v>0</v>
      </c>
      <c r="G42" s="6">
        <v>0</v>
      </c>
      <c r="H42" s="6">
        <v>0</v>
      </c>
      <c r="I42" s="6">
        <v>14.5</v>
      </c>
      <c r="J42" s="6">
        <v>103.44</v>
      </c>
      <c r="K42" s="6">
        <v>1500</v>
      </c>
      <c r="L42" s="6"/>
      <c r="M42" s="6"/>
      <c r="N42" s="6"/>
      <c r="O42" s="6"/>
      <c r="P42" s="6"/>
    </row>
    <row r="43" spans="1:16">
      <c r="A43" s="470">
        <v>40</v>
      </c>
      <c r="B43" s="78" t="s">
        <v>338</v>
      </c>
      <c r="C43" s="6" t="s">
        <v>351</v>
      </c>
      <c r="D43" s="6" t="s">
        <v>352</v>
      </c>
      <c r="E43" s="46" t="s">
        <v>353</v>
      </c>
      <c r="F43" s="6">
        <v>0</v>
      </c>
      <c r="G43" s="6">
        <v>0</v>
      </c>
      <c r="H43" s="6">
        <v>0</v>
      </c>
      <c r="I43" s="6">
        <v>5.46</v>
      </c>
      <c r="J43" s="6">
        <v>91.51</v>
      </c>
      <c r="K43" s="6">
        <v>500</v>
      </c>
      <c r="L43" s="6"/>
      <c r="M43" s="6"/>
      <c r="N43" s="6"/>
      <c r="O43" s="6"/>
      <c r="P43" s="6"/>
    </row>
    <row r="44" spans="1:16">
      <c r="A44" s="470">
        <v>41</v>
      </c>
      <c r="B44" s="78" t="s">
        <v>338</v>
      </c>
      <c r="C44" s="6" t="s">
        <v>356</v>
      </c>
      <c r="D44" s="6" t="s">
        <v>357</v>
      </c>
      <c r="E44" s="46" t="s">
        <v>358</v>
      </c>
      <c r="F44" s="6">
        <v>2732.85</v>
      </c>
      <c r="G44" s="6">
        <v>91.51</v>
      </c>
      <c r="H44" s="6">
        <v>250000</v>
      </c>
      <c r="I44" s="6"/>
      <c r="J44" s="6"/>
      <c r="K44" s="6"/>
      <c r="L44" s="6"/>
      <c r="M44" s="6"/>
      <c r="N44" s="6"/>
      <c r="O44" s="6"/>
      <c r="P44" s="6"/>
    </row>
    <row r="45" spans="1:16">
      <c r="A45" s="470">
        <v>42</v>
      </c>
      <c r="B45" s="78" t="s">
        <v>339</v>
      </c>
      <c r="C45" s="6" t="s">
        <v>371</v>
      </c>
      <c r="D45" s="6" t="s">
        <v>43</v>
      </c>
      <c r="E45" s="46" t="s">
        <v>358</v>
      </c>
      <c r="F45" s="6">
        <v>59.08</v>
      </c>
      <c r="G45" s="6">
        <v>95.64</v>
      </c>
      <c r="H45" s="6">
        <v>5650.41</v>
      </c>
      <c r="I45" s="6"/>
      <c r="J45" s="6"/>
      <c r="K45" s="6"/>
      <c r="L45" s="6"/>
      <c r="M45" s="6"/>
      <c r="N45" s="6"/>
      <c r="O45" s="6"/>
      <c r="P45" s="6"/>
    </row>
    <row r="46" spans="1:16">
      <c r="A46" s="470">
        <v>43</v>
      </c>
      <c r="B46" s="78" t="s">
        <v>339</v>
      </c>
      <c r="C46" s="6" t="s">
        <v>369</v>
      </c>
      <c r="D46" s="6" t="s">
        <v>352</v>
      </c>
      <c r="E46" s="46" t="s">
        <v>358</v>
      </c>
      <c r="F46" s="6">
        <v>2636.37</v>
      </c>
      <c r="G46" s="6">
        <v>91.54</v>
      </c>
      <c r="H46" s="6">
        <v>241333.33</v>
      </c>
      <c r="I46" s="6"/>
      <c r="J46" s="6"/>
      <c r="K46" s="6"/>
      <c r="L46" s="6"/>
      <c r="M46" s="6"/>
      <c r="N46" s="6"/>
      <c r="O46" s="6"/>
      <c r="P46" s="6"/>
    </row>
    <row r="47" spans="1:16">
      <c r="A47" s="470">
        <v>44</v>
      </c>
      <c r="B47" s="78" t="s">
        <v>339</v>
      </c>
      <c r="C47" s="6" t="s">
        <v>376</v>
      </c>
      <c r="D47" s="6" t="s">
        <v>176</v>
      </c>
      <c r="E47" s="386" t="s">
        <v>377</v>
      </c>
      <c r="F47" s="6">
        <v>3135.45</v>
      </c>
      <c r="G47" s="6">
        <v>95.68</v>
      </c>
      <c r="H47" s="6">
        <v>300000</v>
      </c>
      <c r="I47" s="6"/>
      <c r="J47" s="6"/>
      <c r="K47" s="6"/>
      <c r="L47" s="6"/>
      <c r="M47" s="6"/>
      <c r="N47" s="6"/>
      <c r="O47" s="6"/>
      <c r="P47" s="6"/>
    </row>
    <row r="48" spans="1:16">
      <c r="A48" s="470">
        <v>45</v>
      </c>
      <c r="B48" s="78" t="s">
        <v>187</v>
      </c>
      <c r="C48" s="388" t="s">
        <v>351</v>
      </c>
      <c r="D48" s="66" t="s">
        <v>352</v>
      </c>
      <c r="E48" s="418" t="s">
        <v>353</v>
      </c>
      <c r="F48" s="6"/>
      <c r="G48" s="6"/>
      <c r="H48" s="6"/>
      <c r="I48" s="6">
        <v>14.49</v>
      </c>
      <c r="J48" s="6">
        <v>103.44</v>
      </c>
      <c r="K48" s="6">
        <v>1500</v>
      </c>
      <c r="L48" s="6"/>
      <c r="M48" s="6"/>
      <c r="N48" s="6"/>
      <c r="O48" s="6"/>
      <c r="P48" s="6"/>
    </row>
    <row r="49" spans="1:16">
      <c r="A49" s="470">
        <v>46</v>
      </c>
      <c r="B49" s="78" t="s">
        <v>187</v>
      </c>
      <c r="C49" s="6" t="s">
        <v>371</v>
      </c>
      <c r="D49" s="6" t="s">
        <v>43</v>
      </c>
      <c r="E49" s="46" t="s">
        <v>358</v>
      </c>
      <c r="F49" s="6">
        <v>77.73</v>
      </c>
      <c r="G49" s="6">
        <v>95.64</v>
      </c>
      <c r="H49" s="6">
        <v>7434.09</v>
      </c>
      <c r="I49" s="6"/>
      <c r="J49" s="6"/>
      <c r="K49" s="6"/>
      <c r="L49" s="6"/>
      <c r="M49" s="6"/>
      <c r="N49" s="6"/>
      <c r="O49" s="6"/>
      <c r="P49" s="6"/>
    </row>
    <row r="50" spans="1:16">
      <c r="A50" s="470">
        <v>47</v>
      </c>
      <c r="B50" s="78" t="s">
        <v>187</v>
      </c>
      <c r="C50" s="169" t="s">
        <v>354</v>
      </c>
      <c r="D50" s="169" t="s">
        <v>177</v>
      </c>
      <c r="E50" s="403" t="s">
        <v>375</v>
      </c>
      <c r="F50" s="6">
        <v>996.88</v>
      </c>
      <c r="G50" s="6">
        <v>96.3</v>
      </c>
      <c r="H50" s="6">
        <v>96000</v>
      </c>
      <c r="I50" s="6"/>
      <c r="J50" s="6"/>
      <c r="K50" s="6"/>
      <c r="L50" s="6"/>
      <c r="M50" s="6"/>
      <c r="N50" s="6"/>
      <c r="O50" s="6"/>
      <c r="P50" s="6"/>
    </row>
    <row r="51" spans="1:16">
      <c r="A51" s="470">
        <v>48</v>
      </c>
      <c r="B51" s="46" t="s">
        <v>378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>
      <c r="A52" s="470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>
      <c r="A53" s="470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>
      <c r="A54" s="470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>
      <c r="A55" s="470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>
      <c r="A56" s="470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</sheetData>
  <mergeCells count="2">
    <mergeCell ref="A1:P1"/>
    <mergeCell ref="A3:K3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36F0-8AEE-4D71-B274-AD3D9F13445A}">
  <dimension ref="B2:B7"/>
  <sheetViews>
    <sheetView workbookViewId="0">
      <selection activeCell="C2" sqref="C2:D6"/>
    </sheetView>
  </sheetViews>
  <sheetFormatPr defaultRowHeight="15"/>
  <cols>
    <col min="2" max="2" width="29.28515625" customWidth="1"/>
  </cols>
  <sheetData>
    <row r="2" spans="2:2" ht="30" customHeight="1">
      <c r="B2" s="395" t="s">
        <v>53</v>
      </c>
    </row>
    <row r="3" spans="2:2" ht="30" customHeight="1">
      <c r="B3" s="395" t="s">
        <v>292</v>
      </c>
    </row>
    <row r="4" spans="2:2" ht="30" customHeight="1">
      <c r="B4" s="395" t="s">
        <v>296</v>
      </c>
    </row>
    <row r="5" spans="2:2" ht="30" customHeight="1">
      <c r="B5" s="395" t="s">
        <v>40</v>
      </c>
    </row>
    <row r="6" spans="2:2" ht="30" customHeight="1">
      <c r="B6" s="395" t="s">
        <v>379</v>
      </c>
    </row>
    <row r="7" spans="2:2" ht="30" customHeight="1">
      <c r="B7" s="396"/>
    </row>
  </sheetData>
  <dataValidations count="1">
    <dataValidation type="list" allowBlank="1" showInputMessage="1" showErrorMessage="1" sqref="C15" xr:uid="{D64AB095-6DAA-485D-A4E6-9BA7B6FD6BF7}">
      <formula1>$B$2:$B$5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</cp:lastModifiedBy>
  <cp:revision/>
  <dcterms:created xsi:type="dcterms:W3CDTF">2015-06-05T18:17:20Z</dcterms:created>
  <dcterms:modified xsi:type="dcterms:W3CDTF">2026-10-07T05:27:02Z</dcterms:modified>
  <cp:category/>
  <cp:contentStatus/>
</cp:coreProperties>
</file>