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7947" documentId="8_{21E78461-8472-4FC4-9B9A-C4551723630E}" xr6:coauthVersionLast="47" xr6:coauthVersionMax="47" xr10:uidLastSave="{A30950F9-FC9C-4258-819D-0318DE1539F2}"/>
  <bookViews>
    <workbookView xWindow="-60" yWindow="-60" windowWidth="15480" windowHeight="11640" firstSheet="32" activeTab="15" xr2:uid="{00000000-000D-0000-FFFF-FFFF00000000}"/>
  </bookViews>
  <sheets>
    <sheet name="Dec-25 " sheetId="56" r:id="rId1"/>
    <sheet name="Sheet1" sheetId="77" r:id="rId2"/>
    <sheet name=" Ho(DG)" sheetId="79" r:id="rId3"/>
    <sheet name="Khammam-1" sheetId="50" r:id="rId4"/>
    <sheet name="Khammam-2" sheetId="47" r:id="rId5"/>
    <sheet name="Jadcherla -1" sheetId="18" r:id="rId6"/>
    <sheet name="Jadcharla-2" sheetId="54" r:id="rId7"/>
    <sheet name="Jadcherla-3" sheetId="72" r:id="rId8"/>
    <sheet name="Jadcherla-4" sheetId="78" r:id="rId9"/>
    <sheet name="Devarakhadra" sheetId="59" r:id="rId10"/>
    <sheet name="Devarakhadra-2" sheetId="70" r:id="rId11"/>
    <sheet name="Dindi" sheetId="58" r:id="rId12"/>
    <sheet name="Amalapuram" sheetId="65" r:id="rId13"/>
    <sheet name="Madana palli" sheetId="71" r:id="rId14"/>
    <sheet name="Kadur" sheetId="7" r:id="rId15"/>
    <sheet name="YG Gudda " sheetId="2" r:id="rId16"/>
    <sheet name="YG Gudda-2" sheetId="62" r:id="rId17"/>
    <sheet name="Hosadurga" sheetId="1" r:id="rId18"/>
    <sheet name="Hosadurga -2" sheetId="52" r:id="rId19"/>
    <sheet name="Hiriyur(VJNL)" sheetId="3" r:id="rId20"/>
    <sheet name="Malebenur(KUWSDB)" sheetId="16" r:id="rId21"/>
    <sheet name="Chellakere -1" sheetId="68" r:id="rId22"/>
    <sheet name=" Chellakere-PKG-9" sheetId="73" r:id="rId23"/>
    <sheet name="Molakamuru" sheetId="63" r:id="rId24"/>
    <sheet name=" Chennagiri" sheetId="74" r:id="rId25"/>
    <sheet name="Khanapur" sheetId="24" r:id="rId26"/>
    <sheet name="Munavali-2" sheetId="61" r:id="rId27"/>
    <sheet name="Ugar,Khagwad,Kudichi" sheetId="11" r:id="rId28"/>
    <sheet name="Borgaon" sheetId="10" r:id="rId29"/>
    <sheet name="Kabbur" sheetId="40" r:id="rId30"/>
    <sheet name="kumta" sheetId="25" r:id="rId31"/>
    <sheet name="Jalgaon" sheetId="22" r:id="rId32"/>
    <sheet name="MKBD" sheetId="14" r:id="rId33"/>
    <sheet name="Haveri" sheetId="15" r:id="rId34"/>
    <sheet name=" Haveri-2" sheetId="75" r:id="rId35"/>
    <sheet name="Guttal" sheetId="36" r:id="rId36"/>
    <sheet name="Rattihali" sheetId="37" r:id="rId37"/>
    <sheet name="Rattihali-2" sheetId="76" r:id="rId38"/>
    <sheet name="Gajendragada" sheetId="12" r:id="rId39"/>
    <sheet name="Gokak Dharwad PKG 3" sheetId="41" r:id="rId40"/>
    <sheet name="Ankalgi" sheetId="60" r:id="rId41"/>
    <sheet name=" Shankeshwar" sheetId="57" r:id="rId42"/>
    <sheet name=" Talikote" sheetId="26" r:id="rId43"/>
    <sheet name="Chadchan" sheetId="9" r:id="rId44"/>
    <sheet name="Sindagi" sheetId="33" r:id="rId45"/>
    <sheet name="Muddebihal" sheetId="34" r:id="rId46"/>
    <sheet name="Muddebhihal-2" sheetId="69" r:id="rId47"/>
    <sheet name="Alemela" sheetId="35" r:id="rId48"/>
    <sheet name="Nalatwad" sheetId="51" r:id="rId49"/>
    <sheet name="Srirangapatna" sheetId="19" r:id="rId50"/>
    <sheet name="BPCL March 25" sheetId="44" r:id="rId51"/>
    <sheet name=" HPCL March 2025" sheetId="45" r:id="rId52"/>
  </sheets>
  <definedNames>
    <definedName name="_xlnm._FilterDatabase" localSheetId="1" hidden="1">Sheet1!$B$2:$I$2</definedName>
    <definedName name="_xlnm.Print_Area" localSheetId="17">Hosadurga!$A$2:$N$39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56" l="1"/>
  <c r="F50" i="56"/>
  <c r="E50" i="56"/>
  <c r="D50" i="56"/>
  <c r="H50" i="56"/>
  <c r="E40" i="47"/>
  <c r="M28" i="45"/>
  <c r="M26" i="45"/>
  <c r="M27" i="45"/>
  <c r="K28" i="45"/>
  <c r="K27" i="45"/>
  <c r="K26" i="45"/>
  <c r="K48" i="56"/>
  <c r="J49" i="56"/>
  <c r="I49" i="56"/>
  <c r="G49" i="56"/>
  <c r="F49" i="56"/>
  <c r="D49" i="56"/>
  <c r="M47" i="79"/>
  <c r="L36" i="79"/>
  <c r="H36" i="79"/>
  <c r="E36" i="79"/>
  <c r="J35" i="79"/>
  <c r="G35" i="79"/>
  <c r="K35" i="79" s="1"/>
  <c r="J34" i="79"/>
  <c r="G34" i="79"/>
  <c r="K34" i="79" s="1"/>
  <c r="J33" i="79"/>
  <c r="G33" i="79"/>
  <c r="K33" i="79" s="1"/>
  <c r="J32" i="79"/>
  <c r="G32" i="79"/>
  <c r="K32" i="79" s="1"/>
  <c r="J31" i="79"/>
  <c r="G31" i="79"/>
  <c r="K31" i="79" s="1"/>
  <c r="J30" i="79"/>
  <c r="G30" i="79"/>
  <c r="K30" i="79" s="1"/>
  <c r="J29" i="79"/>
  <c r="G29" i="79"/>
  <c r="K29" i="79" s="1"/>
  <c r="J28" i="79"/>
  <c r="G28" i="79"/>
  <c r="K28" i="79" s="1"/>
  <c r="J27" i="79"/>
  <c r="G27" i="79"/>
  <c r="K27" i="79" s="1"/>
  <c r="J26" i="79"/>
  <c r="G26" i="79"/>
  <c r="K26" i="79" s="1"/>
  <c r="J25" i="79"/>
  <c r="G25" i="79"/>
  <c r="K25" i="79" s="1"/>
  <c r="J24" i="79"/>
  <c r="G24" i="79"/>
  <c r="K24" i="79" s="1"/>
  <c r="J23" i="79"/>
  <c r="G23" i="79"/>
  <c r="K23" i="79" s="1"/>
  <c r="J22" i="79"/>
  <c r="G22" i="79"/>
  <c r="K22" i="79" s="1"/>
  <c r="J21" i="79"/>
  <c r="G21" i="79"/>
  <c r="K21" i="79" s="1"/>
  <c r="J20" i="79"/>
  <c r="G20" i="79"/>
  <c r="K20" i="79" s="1"/>
  <c r="J19" i="79"/>
  <c r="G19" i="79"/>
  <c r="K19" i="79" s="1"/>
  <c r="J18" i="79"/>
  <c r="G18" i="79"/>
  <c r="K18" i="79" s="1"/>
  <c r="J17" i="79"/>
  <c r="G17" i="79"/>
  <c r="K17" i="79" s="1"/>
  <c r="J16" i="79"/>
  <c r="G16" i="79"/>
  <c r="K16" i="79" s="1"/>
  <c r="G15" i="79"/>
  <c r="K15" i="79" s="1"/>
  <c r="G14" i="79"/>
  <c r="K14" i="79" s="1"/>
  <c r="G13" i="79"/>
  <c r="K13" i="79" s="1"/>
  <c r="G12" i="79"/>
  <c r="K12" i="79" s="1"/>
  <c r="J11" i="79"/>
  <c r="G11" i="79"/>
  <c r="K11" i="79" s="1"/>
  <c r="J10" i="79"/>
  <c r="G10" i="79"/>
  <c r="K10" i="79" s="1"/>
  <c r="J9" i="79"/>
  <c r="G9" i="79"/>
  <c r="K9" i="79" s="1"/>
  <c r="J8" i="79"/>
  <c r="G8" i="79"/>
  <c r="K8" i="79" s="1"/>
  <c r="J7" i="79"/>
  <c r="G7" i="79"/>
  <c r="K7" i="79" s="1"/>
  <c r="J6" i="79"/>
  <c r="G6" i="79"/>
  <c r="K6" i="79" s="1"/>
  <c r="J5" i="79"/>
  <c r="G5" i="79"/>
  <c r="K5" i="79" s="1"/>
  <c r="J4" i="79"/>
  <c r="J36" i="79" s="1"/>
  <c r="G4" i="79"/>
  <c r="L34" i="73"/>
  <c r="K34" i="73"/>
  <c r="J34" i="73"/>
  <c r="G31" i="73"/>
  <c r="G32" i="73"/>
  <c r="G33" i="73"/>
  <c r="G34" i="73"/>
  <c r="M34" i="36"/>
  <c r="M34" i="24"/>
  <c r="K34" i="24"/>
  <c r="J34" i="24"/>
  <c r="G34" i="60"/>
  <c r="K34" i="60"/>
  <c r="G17" i="35"/>
  <c r="M34" i="10"/>
  <c r="L33" i="63"/>
  <c r="K28" i="63"/>
  <c r="K29" i="63"/>
  <c r="K30" i="63"/>
  <c r="K31" i="63"/>
  <c r="K32" i="63"/>
  <c r="K33" i="63"/>
  <c r="G28" i="63"/>
  <c r="G29" i="63"/>
  <c r="G30" i="63"/>
  <c r="G31" i="63"/>
  <c r="G32" i="63"/>
  <c r="G33" i="63"/>
  <c r="G34" i="63"/>
  <c r="K34" i="63" s="1"/>
  <c r="K30" i="74"/>
  <c r="K31" i="74"/>
  <c r="K32" i="74"/>
  <c r="K33" i="74"/>
  <c r="K34" i="74"/>
  <c r="L27" i="74"/>
  <c r="L28" i="74"/>
  <c r="L29" i="74"/>
  <c r="L30" i="74"/>
  <c r="L31" i="74"/>
  <c r="L32" i="74"/>
  <c r="L33" i="74"/>
  <c r="L34" i="74"/>
  <c r="E35" i="74"/>
  <c r="G27" i="74"/>
  <c r="G28" i="74"/>
  <c r="G29" i="74"/>
  <c r="G30" i="74"/>
  <c r="G31" i="74"/>
  <c r="G32" i="74"/>
  <c r="G33" i="74"/>
  <c r="G34" i="74"/>
  <c r="J27" i="50"/>
  <c r="J28" i="50"/>
  <c r="J29" i="50"/>
  <c r="J30" i="50"/>
  <c r="J31" i="50"/>
  <c r="J32" i="50"/>
  <c r="J33" i="50"/>
  <c r="G33" i="60"/>
  <c r="E7" i="56"/>
  <c r="D7" i="56"/>
  <c r="J7" i="56"/>
  <c r="I7" i="56"/>
  <c r="G7" i="56"/>
  <c r="H7" i="56" s="1"/>
  <c r="K7" i="56" s="1"/>
  <c r="F7" i="56"/>
  <c r="G32" i="78"/>
  <c r="J32" i="78"/>
  <c r="K32" i="78"/>
  <c r="G33" i="78"/>
  <c r="J33" i="78"/>
  <c r="K33" i="78"/>
  <c r="G34" i="78"/>
  <c r="J34" i="78"/>
  <c r="K34" i="78"/>
  <c r="L35" i="78"/>
  <c r="H35" i="78"/>
  <c r="E35" i="78"/>
  <c r="J31" i="78"/>
  <c r="G31" i="78"/>
  <c r="K31" i="78" s="1"/>
  <c r="J30" i="78"/>
  <c r="G30" i="78"/>
  <c r="K30" i="78" s="1"/>
  <c r="J29" i="78"/>
  <c r="G29" i="78"/>
  <c r="K29" i="78" s="1"/>
  <c r="J28" i="78"/>
  <c r="G28" i="78"/>
  <c r="K28" i="78" s="1"/>
  <c r="J27" i="78"/>
  <c r="G27" i="78"/>
  <c r="K27" i="78" s="1"/>
  <c r="J26" i="78"/>
  <c r="J35" i="78" s="1"/>
  <c r="G26" i="78"/>
  <c r="J25" i="78"/>
  <c r="G25" i="78"/>
  <c r="K25" i="78" s="1"/>
  <c r="J24" i="78"/>
  <c r="G24" i="78"/>
  <c r="K24" i="78" s="1"/>
  <c r="J23" i="78"/>
  <c r="G23" i="78"/>
  <c r="K23" i="78" s="1"/>
  <c r="J22" i="78"/>
  <c r="G22" i="78"/>
  <c r="K22" i="78" s="1"/>
  <c r="J21" i="78"/>
  <c r="G21" i="78"/>
  <c r="K21" i="78" s="1"/>
  <c r="J20" i="78"/>
  <c r="G20" i="78"/>
  <c r="K20" i="78" s="1"/>
  <c r="J19" i="78"/>
  <c r="G19" i="78"/>
  <c r="K19" i="78" s="1"/>
  <c r="J18" i="78"/>
  <c r="G18" i="78"/>
  <c r="K18" i="78" s="1"/>
  <c r="J17" i="78"/>
  <c r="G17" i="78"/>
  <c r="K17" i="78" s="1"/>
  <c r="J16" i="78"/>
  <c r="G16" i="78"/>
  <c r="K16" i="78" s="1"/>
  <c r="G15" i="78"/>
  <c r="K15" i="78" s="1"/>
  <c r="G14" i="78"/>
  <c r="K14" i="78" s="1"/>
  <c r="G13" i="78"/>
  <c r="K13" i="78" s="1"/>
  <c r="G12" i="78"/>
  <c r="K12" i="78" s="1"/>
  <c r="J11" i="78"/>
  <c r="G11" i="78"/>
  <c r="K11" i="78" s="1"/>
  <c r="J10" i="78"/>
  <c r="G10" i="78"/>
  <c r="K10" i="78" s="1"/>
  <c r="J9" i="78"/>
  <c r="G9" i="78"/>
  <c r="K9" i="78" s="1"/>
  <c r="J8" i="78"/>
  <c r="G8" i="78"/>
  <c r="K8" i="78" s="1"/>
  <c r="J7" i="78"/>
  <c r="G7" i="78"/>
  <c r="K7" i="78" s="1"/>
  <c r="J6" i="78"/>
  <c r="G6" i="78"/>
  <c r="K6" i="78" s="1"/>
  <c r="J5" i="78"/>
  <c r="G5" i="78"/>
  <c r="K5" i="78" s="1"/>
  <c r="J4" i="78"/>
  <c r="G4" i="78"/>
  <c r="K4" i="78" s="1"/>
  <c r="M4" i="78" s="1"/>
  <c r="M5" i="78" s="1"/>
  <c r="M6" i="78" s="1"/>
  <c r="M7" i="78" s="1"/>
  <c r="M8" i="78" s="1"/>
  <c r="M9" i="78" s="1"/>
  <c r="M10" i="78" s="1"/>
  <c r="M11" i="78" s="1"/>
  <c r="M12" i="78" s="1"/>
  <c r="M13" i="78" s="1"/>
  <c r="M14" i="78" s="1"/>
  <c r="M15" i="78" s="1"/>
  <c r="M16" i="78" s="1"/>
  <c r="M17" i="78" s="1"/>
  <c r="M18" i="78" s="1"/>
  <c r="M19" i="78" s="1"/>
  <c r="M20" i="78" s="1"/>
  <c r="M21" i="78" s="1"/>
  <c r="M22" i="78" s="1"/>
  <c r="M23" i="78" s="1"/>
  <c r="M24" i="78" s="1"/>
  <c r="M25" i="78" s="1"/>
  <c r="F49" i="77"/>
  <c r="M25" i="45"/>
  <c r="K25" i="45"/>
  <c r="K81" i="44"/>
  <c r="K82" i="44"/>
  <c r="K83" i="44"/>
  <c r="K84" i="44"/>
  <c r="K85" i="44"/>
  <c r="K86" i="44"/>
  <c r="E37" i="61"/>
  <c r="G32" i="60"/>
  <c r="J31" i="76"/>
  <c r="G31" i="76"/>
  <c r="J30" i="76"/>
  <c r="G30" i="76"/>
  <c r="K80" i="44"/>
  <c r="K77" i="44"/>
  <c r="K78" i="44"/>
  <c r="K76" i="44"/>
  <c r="J29" i="57"/>
  <c r="J10" i="69"/>
  <c r="K10" i="69"/>
  <c r="G18" i="58"/>
  <c r="G19" i="58"/>
  <c r="G20" i="58"/>
  <c r="G21" i="58"/>
  <c r="G22" i="58"/>
  <c r="G23" i="58"/>
  <c r="G24" i="58"/>
  <c r="G25" i="58"/>
  <c r="G26" i="58"/>
  <c r="G27" i="58"/>
  <c r="K29" i="14"/>
  <c r="J29" i="14"/>
  <c r="Q22" i="14"/>
  <c r="K24" i="45"/>
  <c r="M24" i="45" s="1"/>
  <c r="K75" i="44"/>
  <c r="K71" i="44"/>
  <c r="K72" i="44"/>
  <c r="K73" i="44"/>
  <c r="J24" i="50"/>
  <c r="J25" i="50"/>
  <c r="J26" i="50"/>
  <c r="J25" i="22"/>
  <c r="K23" i="45"/>
  <c r="K22" i="45"/>
  <c r="K21" i="45"/>
  <c r="K69" i="44"/>
  <c r="K70" i="44"/>
  <c r="K65" i="44"/>
  <c r="K66" i="44"/>
  <c r="J18" i="50"/>
  <c r="J19" i="50"/>
  <c r="J20" i="50"/>
  <c r="J21" i="50"/>
  <c r="J22" i="50"/>
  <c r="J23" i="50"/>
  <c r="J6" i="14"/>
  <c r="J23" i="14"/>
  <c r="K23" i="14"/>
  <c r="J23" i="65"/>
  <c r="J36" i="56"/>
  <c r="I36" i="56"/>
  <c r="L37" i="76"/>
  <c r="H37" i="76"/>
  <c r="F36" i="56" s="1"/>
  <c r="E37" i="76"/>
  <c r="D36" i="56" s="1"/>
  <c r="J35" i="76"/>
  <c r="G35" i="76"/>
  <c r="K35" i="76" s="1"/>
  <c r="J34" i="76"/>
  <c r="G34" i="76"/>
  <c r="K34" i="76" s="1"/>
  <c r="J33" i="76"/>
  <c r="G33" i="76"/>
  <c r="K33" i="76" s="1"/>
  <c r="J32" i="76"/>
  <c r="G32" i="76"/>
  <c r="K32" i="76" s="1"/>
  <c r="K31" i="76"/>
  <c r="K30" i="76"/>
  <c r="J29" i="76"/>
  <c r="G29" i="76"/>
  <c r="K29" i="76" s="1"/>
  <c r="J28" i="76"/>
  <c r="G28" i="76"/>
  <c r="K28" i="76" s="1"/>
  <c r="J27" i="76"/>
  <c r="G27" i="76"/>
  <c r="K27" i="76" s="1"/>
  <c r="J26" i="76"/>
  <c r="G26" i="76"/>
  <c r="K26" i="76" s="1"/>
  <c r="J25" i="76"/>
  <c r="G25" i="76"/>
  <c r="K25" i="76" s="1"/>
  <c r="I40" i="76" s="1"/>
  <c r="J24" i="76"/>
  <c r="G24" i="76"/>
  <c r="K24" i="76" s="1"/>
  <c r="J23" i="76"/>
  <c r="G23" i="76"/>
  <c r="K23" i="76" s="1"/>
  <c r="J22" i="76"/>
  <c r="G22" i="76"/>
  <c r="K22" i="76" s="1"/>
  <c r="J21" i="76"/>
  <c r="G21" i="76"/>
  <c r="K21" i="76" s="1"/>
  <c r="J20" i="76"/>
  <c r="G20" i="76"/>
  <c r="K20" i="76" s="1"/>
  <c r="J19" i="76"/>
  <c r="G19" i="76"/>
  <c r="K19" i="76" s="1"/>
  <c r="J18" i="76"/>
  <c r="G18" i="76"/>
  <c r="K18" i="76" s="1"/>
  <c r="G17" i="76"/>
  <c r="K17" i="76" s="1"/>
  <c r="J16" i="76"/>
  <c r="G16" i="76"/>
  <c r="K16" i="76" s="1"/>
  <c r="J15" i="76"/>
  <c r="G15" i="76"/>
  <c r="K15" i="76" s="1"/>
  <c r="J14" i="76"/>
  <c r="G14" i="76"/>
  <c r="K14" i="76" s="1"/>
  <c r="J13" i="76"/>
  <c r="G13" i="76"/>
  <c r="K13" i="76" s="1"/>
  <c r="J12" i="76"/>
  <c r="G12" i="76"/>
  <c r="K12" i="76" s="1"/>
  <c r="J11" i="76"/>
  <c r="G11" i="76"/>
  <c r="K11" i="76" s="1"/>
  <c r="J10" i="76"/>
  <c r="G10" i="76"/>
  <c r="K10" i="76" s="1"/>
  <c r="J9" i="76"/>
  <c r="G9" i="76"/>
  <c r="K9" i="76" s="1"/>
  <c r="J8" i="76"/>
  <c r="G8" i="76"/>
  <c r="K8" i="76" s="1"/>
  <c r="J7" i="76"/>
  <c r="G7" i="76"/>
  <c r="K7" i="76" s="1"/>
  <c r="J6" i="76"/>
  <c r="G6" i="76"/>
  <c r="K6" i="76" s="1"/>
  <c r="J5" i="76"/>
  <c r="G5" i="76"/>
  <c r="J4" i="76"/>
  <c r="G21" i="7"/>
  <c r="M10" i="69"/>
  <c r="M11" i="69"/>
  <c r="M12" i="69"/>
  <c r="K20" i="45"/>
  <c r="K19" i="45"/>
  <c r="K18" i="45"/>
  <c r="K61" i="44"/>
  <c r="K62" i="44"/>
  <c r="K63" i="44"/>
  <c r="M55" i="44"/>
  <c r="M56" i="44"/>
  <c r="M57" i="44"/>
  <c r="M58" i="44"/>
  <c r="M59" i="44"/>
  <c r="J63" i="44"/>
  <c r="J33" i="56"/>
  <c r="I33" i="56"/>
  <c r="E35" i="57"/>
  <c r="G44" i="44"/>
  <c r="K44" i="44" s="1"/>
  <c r="G45" i="44"/>
  <c r="K45" i="44" s="1"/>
  <c r="G46" i="44"/>
  <c r="K46" i="44" s="1"/>
  <c r="G47" i="44"/>
  <c r="K47" i="44" s="1"/>
  <c r="G48" i="44"/>
  <c r="K48" i="44" s="1"/>
  <c r="L35" i="9"/>
  <c r="K16" i="54"/>
  <c r="E35" i="10"/>
  <c r="J14" i="22"/>
  <c r="J13" i="50"/>
  <c r="J14" i="50"/>
  <c r="J15" i="50"/>
  <c r="J16" i="50"/>
  <c r="J17" i="50"/>
  <c r="E35" i="60"/>
  <c r="G12" i="58"/>
  <c r="G13" i="58"/>
  <c r="G14" i="58"/>
  <c r="G15" i="58"/>
  <c r="G16" i="58"/>
  <c r="G17" i="58"/>
  <c r="K12" i="58"/>
  <c r="L12" i="58"/>
  <c r="K13" i="58"/>
  <c r="L13" i="58"/>
  <c r="K14" i="58"/>
  <c r="L14" i="58"/>
  <c r="K15" i="58"/>
  <c r="L15" i="58"/>
  <c r="K16" i="58"/>
  <c r="L16" i="58"/>
  <c r="K17" i="58"/>
  <c r="L17" i="58"/>
  <c r="K18" i="58"/>
  <c r="L18" i="58"/>
  <c r="G15" i="68"/>
  <c r="K6" i="45"/>
  <c r="K7" i="45"/>
  <c r="K8" i="45"/>
  <c r="P12" i="41"/>
  <c r="J12" i="50"/>
  <c r="G12" i="61"/>
  <c r="J5" i="18"/>
  <c r="J6" i="18"/>
  <c r="J7" i="18"/>
  <c r="J8" i="18"/>
  <c r="J9" i="18"/>
  <c r="J10" i="18"/>
  <c r="J11" i="18"/>
  <c r="J10" i="50"/>
  <c r="J11" i="50"/>
  <c r="G9" i="58"/>
  <c r="G10" i="58"/>
  <c r="G11" i="58"/>
  <c r="J9" i="50"/>
  <c r="J7" i="50"/>
  <c r="J8" i="50"/>
  <c r="E7" i="75"/>
  <c r="L37" i="75"/>
  <c r="H37" i="75"/>
  <c r="F33" i="56" s="1"/>
  <c r="E37" i="75"/>
  <c r="D33" i="56" s="1"/>
  <c r="J35" i="75"/>
  <c r="G35" i="75"/>
  <c r="K35" i="75" s="1"/>
  <c r="J34" i="75"/>
  <c r="G34" i="75"/>
  <c r="K34" i="75" s="1"/>
  <c r="J33" i="75"/>
  <c r="G33" i="75"/>
  <c r="K33" i="75" s="1"/>
  <c r="J32" i="75"/>
  <c r="G32" i="75"/>
  <c r="K32" i="75" s="1"/>
  <c r="J31" i="75"/>
  <c r="G31" i="75"/>
  <c r="K31" i="75" s="1"/>
  <c r="J30" i="75"/>
  <c r="G30" i="75"/>
  <c r="K30" i="75" s="1"/>
  <c r="J29" i="75"/>
  <c r="G29" i="75"/>
  <c r="K29" i="75" s="1"/>
  <c r="J28" i="75"/>
  <c r="G28" i="75"/>
  <c r="K28" i="75" s="1"/>
  <c r="J27" i="75"/>
  <c r="G27" i="75"/>
  <c r="K27" i="75" s="1"/>
  <c r="J26" i="75"/>
  <c r="G26" i="75"/>
  <c r="K26" i="75" s="1"/>
  <c r="J25" i="75"/>
  <c r="G25" i="75"/>
  <c r="K25" i="75" s="1"/>
  <c r="I40" i="75" s="1"/>
  <c r="J24" i="75"/>
  <c r="G24" i="75"/>
  <c r="K24" i="75" s="1"/>
  <c r="J23" i="75"/>
  <c r="G23" i="75"/>
  <c r="K23" i="75" s="1"/>
  <c r="J22" i="75"/>
  <c r="G22" i="75"/>
  <c r="K22" i="75" s="1"/>
  <c r="J21" i="75"/>
  <c r="G21" i="75"/>
  <c r="K21" i="75" s="1"/>
  <c r="J20" i="75"/>
  <c r="G20" i="75"/>
  <c r="K20" i="75" s="1"/>
  <c r="J19" i="75"/>
  <c r="G19" i="75"/>
  <c r="K19" i="75" s="1"/>
  <c r="J18" i="75"/>
  <c r="G18" i="75"/>
  <c r="K18" i="75" s="1"/>
  <c r="G17" i="75"/>
  <c r="K17" i="75" s="1"/>
  <c r="J16" i="75"/>
  <c r="G16" i="75"/>
  <c r="K16" i="75" s="1"/>
  <c r="J15" i="75"/>
  <c r="G15" i="75"/>
  <c r="K15" i="75" s="1"/>
  <c r="J14" i="75"/>
  <c r="G14" i="75"/>
  <c r="K14" i="75" s="1"/>
  <c r="J13" i="75"/>
  <c r="G13" i="75"/>
  <c r="K13" i="75" s="1"/>
  <c r="J12" i="75"/>
  <c r="G12" i="75"/>
  <c r="K12" i="75" s="1"/>
  <c r="J11" i="75"/>
  <c r="G11" i="75"/>
  <c r="K11" i="75" s="1"/>
  <c r="J10" i="75"/>
  <c r="G10" i="75"/>
  <c r="K10" i="75" s="1"/>
  <c r="J9" i="75"/>
  <c r="G9" i="75"/>
  <c r="K9" i="75" s="1"/>
  <c r="J8" i="75"/>
  <c r="G8" i="75"/>
  <c r="K8" i="75" s="1"/>
  <c r="J7" i="75"/>
  <c r="G7" i="75"/>
  <c r="K7" i="75" s="1"/>
  <c r="J6" i="75"/>
  <c r="G6" i="75"/>
  <c r="K6" i="75" s="1"/>
  <c r="J5" i="75"/>
  <c r="G5" i="75"/>
  <c r="J4" i="75"/>
  <c r="M7" i="51"/>
  <c r="J6" i="50"/>
  <c r="J8" i="44"/>
  <c r="J7" i="44"/>
  <c r="G6" i="44"/>
  <c r="G7" i="44"/>
  <c r="G8" i="44"/>
  <c r="G9" i="44"/>
  <c r="J6" i="44"/>
  <c r="J5" i="50"/>
  <c r="I23" i="56"/>
  <c r="J4" i="18"/>
  <c r="J4" i="25"/>
  <c r="G4" i="60"/>
  <c r="K4" i="16"/>
  <c r="K4" i="68"/>
  <c r="J4" i="68"/>
  <c r="G4" i="68"/>
  <c r="M3" i="14"/>
  <c r="G19" i="2"/>
  <c r="P3" i="11"/>
  <c r="J32" i="51"/>
  <c r="G25" i="22"/>
  <c r="K25" i="22" s="1"/>
  <c r="E54" i="22"/>
  <c r="G30" i="60"/>
  <c r="G31" i="60"/>
  <c r="G30" i="50"/>
  <c r="G17" i="65"/>
  <c r="G26" i="60"/>
  <c r="G27" i="60"/>
  <c r="G28" i="60"/>
  <c r="G29" i="60"/>
  <c r="I21" i="56"/>
  <c r="K15" i="45"/>
  <c r="K17" i="45"/>
  <c r="K10" i="45"/>
  <c r="K9" i="45"/>
  <c r="K11" i="45"/>
  <c r="K12" i="45"/>
  <c r="K13" i="45"/>
  <c r="K14" i="45"/>
  <c r="K16" i="45"/>
  <c r="J26" i="25"/>
  <c r="G26" i="25"/>
  <c r="G18" i="60"/>
  <c r="G19" i="60"/>
  <c r="G20" i="60"/>
  <c r="G21" i="60"/>
  <c r="G22" i="60"/>
  <c r="G23" i="60"/>
  <c r="G24" i="60"/>
  <c r="G25" i="60"/>
  <c r="H35" i="74"/>
  <c r="F23" i="56" s="1"/>
  <c r="D23" i="56"/>
  <c r="J33" i="74"/>
  <c r="J32" i="74"/>
  <c r="J31" i="74"/>
  <c r="J30" i="74"/>
  <c r="J29" i="74"/>
  <c r="K29" i="74"/>
  <c r="J28" i="74"/>
  <c r="K28" i="74"/>
  <c r="J27" i="74"/>
  <c r="K27" i="74"/>
  <c r="J26" i="74"/>
  <c r="G26" i="74"/>
  <c r="K26" i="74" s="1"/>
  <c r="L26" i="74" s="1"/>
  <c r="J25" i="74"/>
  <c r="G25" i="74"/>
  <c r="K25" i="74" s="1"/>
  <c r="L25" i="74" s="1"/>
  <c r="J24" i="74"/>
  <c r="G24" i="74"/>
  <c r="K24" i="74" s="1"/>
  <c r="L24" i="74" s="1"/>
  <c r="J23" i="74"/>
  <c r="G23" i="74"/>
  <c r="K23" i="74" s="1"/>
  <c r="L23" i="74" s="1"/>
  <c r="J22" i="74"/>
  <c r="G22" i="74"/>
  <c r="K22" i="74" s="1"/>
  <c r="L22" i="74" s="1"/>
  <c r="J21" i="74"/>
  <c r="G21" i="74"/>
  <c r="K21" i="74" s="1"/>
  <c r="L21" i="74" s="1"/>
  <c r="J20" i="74"/>
  <c r="G20" i="74"/>
  <c r="K20" i="74" s="1"/>
  <c r="L20" i="74" s="1"/>
  <c r="J19" i="74"/>
  <c r="G19" i="74"/>
  <c r="K19" i="74" s="1"/>
  <c r="L19" i="74" s="1"/>
  <c r="J18" i="74"/>
  <c r="G18" i="74"/>
  <c r="K18" i="74" s="1"/>
  <c r="L18" i="74" s="1"/>
  <c r="J17" i="74"/>
  <c r="G17" i="74"/>
  <c r="K17" i="74" s="1"/>
  <c r="L17" i="74" s="1"/>
  <c r="J16" i="74"/>
  <c r="G16" i="74"/>
  <c r="K16" i="74" s="1"/>
  <c r="L16" i="74" s="1"/>
  <c r="J15" i="74"/>
  <c r="G15" i="74"/>
  <c r="K15" i="74" s="1"/>
  <c r="L15" i="74" s="1"/>
  <c r="J14" i="74"/>
  <c r="G14" i="74"/>
  <c r="K14" i="74" s="1"/>
  <c r="L14" i="74" s="1"/>
  <c r="J13" i="74"/>
  <c r="G13" i="74"/>
  <c r="K13" i="74" s="1"/>
  <c r="L13" i="74" s="1"/>
  <c r="J12" i="74"/>
  <c r="G12" i="74"/>
  <c r="K12" i="74" s="1"/>
  <c r="L12" i="74" s="1"/>
  <c r="J11" i="74"/>
  <c r="G11" i="74"/>
  <c r="K11" i="74" s="1"/>
  <c r="L11" i="74" s="1"/>
  <c r="J10" i="74"/>
  <c r="G10" i="74"/>
  <c r="K10" i="74" s="1"/>
  <c r="L10" i="74" s="1"/>
  <c r="J9" i="74"/>
  <c r="G9" i="74"/>
  <c r="K9" i="74" s="1"/>
  <c r="L9" i="74" s="1"/>
  <c r="J8" i="74"/>
  <c r="G8" i="74"/>
  <c r="K8" i="74" s="1"/>
  <c r="L8" i="74" s="1"/>
  <c r="J7" i="74"/>
  <c r="G7" i="74"/>
  <c r="K7" i="74" s="1"/>
  <c r="L7" i="74" s="1"/>
  <c r="J6" i="74"/>
  <c r="G6" i="74"/>
  <c r="K6" i="74" s="1"/>
  <c r="L6" i="74" s="1"/>
  <c r="J5" i="74"/>
  <c r="G5" i="74"/>
  <c r="K5" i="74" s="1"/>
  <c r="L5" i="74" s="1"/>
  <c r="J4" i="74"/>
  <c r="J35" i="74" s="1"/>
  <c r="G23" i="56" s="1"/>
  <c r="G4" i="74"/>
  <c r="M3" i="74"/>
  <c r="H35" i="73"/>
  <c r="F21" i="56" s="1"/>
  <c r="E35" i="73"/>
  <c r="D21" i="56" s="1"/>
  <c r="J33" i="73"/>
  <c r="K33" i="73"/>
  <c r="L33" i="73" s="1"/>
  <c r="J32" i="73"/>
  <c r="K32" i="73"/>
  <c r="L32" i="73" s="1"/>
  <c r="J31" i="73"/>
  <c r="K31" i="73"/>
  <c r="L31" i="73" s="1"/>
  <c r="J30" i="73"/>
  <c r="G30" i="73"/>
  <c r="K30" i="73" s="1"/>
  <c r="L30" i="73" s="1"/>
  <c r="J29" i="73"/>
  <c r="G29" i="73"/>
  <c r="K29" i="73" s="1"/>
  <c r="L29" i="73" s="1"/>
  <c r="J28" i="73"/>
  <c r="G28" i="73"/>
  <c r="K28" i="73" s="1"/>
  <c r="L28" i="73" s="1"/>
  <c r="J27" i="73"/>
  <c r="G27" i="73"/>
  <c r="K27" i="73" s="1"/>
  <c r="L27" i="73" s="1"/>
  <c r="J26" i="73"/>
  <c r="G26" i="73"/>
  <c r="K26" i="73" s="1"/>
  <c r="L26" i="73" s="1"/>
  <c r="J25" i="73"/>
  <c r="G25" i="73"/>
  <c r="K25" i="73" s="1"/>
  <c r="L25" i="73" s="1"/>
  <c r="J24" i="73"/>
  <c r="G24" i="73"/>
  <c r="K24" i="73" s="1"/>
  <c r="L24" i="73" s="1"/>
  <c r="J23" i="73"/>
  <c r="G23" i="73"/>
  <c r="K23" i="73" s="1"/>
  <c r="L23" i="73" s="1"/>
  <c r="J22" i="73"/>
  <c r="G22" i="73"/>
  <c r="K22" i="73" s="1"/>
  <c r="L22" i="73" s="1"/>
  <c r="J21" i="73"/>
  <c r="G21" i="73"/>
  <c r="K21" i="73" s="1"/>
  <c r="L21" i="73" s="1"/>
  <c r="J20" i="73"/>
  <c r="G20" i="73"/>
  <c r="K20" i="73" s="1"/>
  <c r="L20" i="73" s="1"/>
  <c r="J19" i="73"/>
  <c r="G19" i="73"/>
  <c r="K19" i="73" s="1"/>
  <c r="L19" i="73" s="1"/>
  <c r="J18" i="73"/>
  <c r="G18" i="73"/>
  <c r="K18" i="73" s="1"/>
  <c r="L18" i="73" s="1"/>
  <c r="J17" i="73"/>
  <c r="G17" i="73"/>
  <c r="K17" i="73" s="1"/>
  <c r="L17" i="73" s="1"/>
  <c r="J16" i="73"/>
  <c r="G16" i="73"/>
  <c r="K16" i="73" s="1"/>
  <c r="L16" i="73" s="1"/>
  <c r="J15" i="73"/>
  <c r="G15" i="73"/>
  <c r="K15" i="73" s="1"/>
  <c r="L15" i="73" s="1"/>
  <c r="J14" i="73"/>
  <c r="G14" i="73"/>
  <c r="K14" i="73" s="1"/>
  <c r="L14" i="73" s="1"/>
  <c r="J13" i="73"/>
  <c r="G13" i="73"/>
  <c r="K13" i="73" s="1"/>
  <c r="L13" i="73" s="1"/>
  <c r="J12" i="73"/>
  <c r="G12" i="73"/>
  <c r="K12" i="73" s="1"/>
  <c r="L12" i="73" s="1"/>
  <c r="J11" i="73"/>
  <c r="G11" i="73"/>
  <c r="K11" i="73" s="1"/>
  <c r="L11" i="73" s="1"/>
  <c r="J10" i="73"/>
  <c r="G10" i="73"/>
  <c r="K10" i="73" s="1"/>
  <c r="L10" i="73" s="1"/>
  <c r="J9" i="73"/>
  <c r="G9" i="73"/>
  <c r="K9" i="73" s="1"/>
  <c r="L9" i="73" s="1"/>
  <c r="J8" i="73"/>
  <c r="G8" i="73"/>
  <c r="K8" i="73" s="1"/>
  <c r="L8" i="73" s="1"/>
  <c r="J7" i="73"/>
  <c r="G7" i="73"/>
  <c r="K7" i="73" s="1"/>
  <c r="L7" i="73" s="1"/>
  <c r="J6" i="73"/>
  <c r="G6" i="73"/>
  <c r="K6" i="73" s="1"/>
  <c r="L6" i="73" s="1"/>
  <c r="J5" i="73"/>
  <c r="G5" i="73"/>
  <c r="K5" i="73" s="1"/>
  <c r="L5" i="73" s="1"/>
  <c r="J4" i="73"/>
  <c r="J35" i="73" s="1"/>
  <c r="G21" i="56" s="1"/>
  <c r="G4" i="73"/>
  <c r="M3" i="73"/>
  <c r="G17" i="22"/>
  <c r="K17" i="22" s="1"/>
  <c r="G22" i="22"/>
  <c r="K22" i="22" s="1"/>
  <c r="G21" i="22"/>
  <c r="K21" i="22" s="1"/>
  <c r="G18" i="72"/>
  <c r="G19" i="72"/>
  <c r="G17" i="15"/>
  <c r="K17" i="15" s="1"/>
  <c r="G17" i="72"/>
  <c r="G17" i="60"/>
  <c r="G15" i="60"/>
  <c r="G16" i="60"/>
  <c r="J15" i="34"/>
  <c r="J13" i="14"/>
  <c r="G13" i="14"/>
  <c r="K13" i="14" s="1"/>
  <c r="G21" i="44"/>
  <c r="G14" i="60"/>
  <c r="H35" i="9"/>
  <c r="G11" i="68"/>
  <c r="G15" i="22"/>
  <c r="K15" i="22" s="1"/>
  <c r="G13" i="60"/>
  <c r="G11" i="60"/>
  <c r="G12" i="60"/>
  <c r="K5" i="45"/>
  <c r="K4" i="45"/>
  <c r="P17" i="71"/>
  <c r="Q12" i="71"/>
  <c r="O12" i="71"/>
  <c r="G10" i="60"/>
  <c r="G9" i="60"/>
  <c r="G7" i="60"/>
  <c r="G8" i="60"/>
  <c r="I8" i="56"/>
  <c r="I6" i="56"/>
  <c r="G6" i="56"/>
  <c r="F6" i="56"/>
  <c r="G8" i="56"/>
  <c r="L35" i="72"/>
  <c r="J6" i="56" s="1"/>
  <c r="H35" i="72"/>
  <c r="E35" i="72"/>
  <c r="D6" i="56" s="1"/>
  <c r="J34" i="72"/>
  <c r="G34" i="72"/>
  <c r="K34" i="72" s="1"/>
  <c r="J33" i="72"/>
  <c r="G33" i="72"/>
  <c r="K33" i="72" s="1"/>
  <c r="J32" i="72"/>
  <c r="G32" i="72"/>
  <c r="K32" i="72" s="1"/>
  <c r="J31" i="72"/>
  <c r="G31" i="72"/>
  <c r="K31" i="72" s="1"/>
  <c r="J30" i="72"/>
  <c r="G30" i="72"/>
  <c r="K30" i="72" s="1"/>
  <c r="J29" i="72"/>
  <c r="G29" i="72"/>
  <c r="K29" i="72" s="1"/>
  <c r="J28" i="72"/>
  <c r="G28" i="72"/>
  <c r="K28" i="72" s="1"/>
  <c r="J27" i="72"/>
  <c r="G27" i="72"/>
  <c r="K27" i="72" s="1"/>
  <c r="J26" i="72"/>
  <c r="G26" i="72"/>
  <c r="K26" i="72" s="1"/>
  <c r="J25" i="72"/>
  <c r="G25" i="72"/>
  <c r="K25" i="72" s="1"/>
  <c r="J24" i="72"/>
  <c r="G24" i="72"/>
  <c r="K24" i="72" s="1"/>
  <c r="J23" i="72"/>
  <c r="G23" i="72"/>
  <c r="K23" i="72" s="1"/>
  <c r="J22" i="72"/>
  <c r="G22" i="72"/>
  <c r="K22" i="72" s="1"/>
  <c r="J21" i="72"/>
  <c r="G21" i="72"/>
  <c r="K21" i="72" s="1"/>
  <c r="J20" i="72"/>
  <c r="G20" i="72"/>
  <c r="K20" i="72" s="1"/>
  <c r="J19" i="72"/>
  <c r="K19" i="72" s="1"/>
  <c r="J18" i="72"/>
  <c r="K18" i="72" s="1"/>
  <c r="J17" i="72"/>
  <c r="K17" i="72" s="1"/>
  <c r="J16" i="72"/>
  <c r="G16" i="72"/>
  <c r="K16" i="72" s="1"/>
  <c r="J15" i="72"/>
  <c r="G15" i="72"/>
  <c r="K15" i="72" s="1"/>
  <c r="J14" i="72"/>
  <c r="G14" i="72"/>
  <c r="K14" i="72" s="1"/>
  <c r="J13" i="72"/>
  <c r="G13" i="72"/>
  <c r="K13" i="72" s="1"/>
  <c r="J12" i="72"/>
  <c r="G12" i="72"/>
  <c r="K12" i="72" s="1"/>
  <c r="J11" i="72"/>
  <c r="G11" i="72"/>
  <c r="K11" i="72" s="1"/>
  <c r="J10" i="72"/>
  <c r="G10" i="72"/>
  <c r="K10" i="72" s="1"/>
  <c r="J9" i="72"/>
  <c r="G9" i="72"/>
  <c r="K9" i="72" s="1"/>
  <c r="J8" i="72"/>
  <c r="G8" i="72"/>
  <c r="K8" i="72" s="1"/>
  <c r="J7" i="72"/>
  <c r="G7" i="72"/>
  <c r="K7" i="72" s="1"/>
  <c r="J6" i="72"/>
  <c r="G6" i="72"/>
  <c r="K6" i="72" s="1"/>
  <c r="J5" i="72"/>
  <c r="G5" i="72"/>
  <c r="K5" i="72" s="1"/>
  <c r="J4" i="72"/>
  <c r="J35" i="72" s="1"/>
  <c r="G4" i="72"/>
  <c r="J7" i="61"/>
  <c r="J7" i="22"/>
  <c r="K7" i="22" s="1"/>
  <c r="I20" i="56"/>
  <c r="G6" i="60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5" i="40"/>
  <c r="J4" i="40"/>
  <c r="J7" i="68"/>
  <c r="J8" i="68"/>
  <c r="J9" i="68"/>
  <c r="J10" i="68"/>
  <c r="J11" i="68"/>
  <c r="K11" i="68" s="1"/>
  <c r="J12" i="68"/>
  <c r="J13" i="68"/>
  <c r="J14" i="68"/>
  <c r="J15" i="68"/>
  <c r="J16" i="68"/>
  <c r="J17" i="68"/>
  <c r="J18" i="68"/>
  <c r="J19" i="68"/>
  <c r="J20" i="68"/>
  <c r="J21" i="68"/>
  <c r="J22" i="68"/>
  <c r="J23" i="68"/>
  <c r="J24" i="68"/>
  <c r="J25" i="68"/>
  <c r="J26" i="68"/>
  <c r="J27" i="68"/>
  <c r="J28" i="68"/>
  <c r="J29" i="68"/>
  <c r="J30" i="68"/>
  <c r="J31" i="68"/>
  <c r="J32" i="68"/>
  <c r="J33" i="68"/>
  <c r="J6" i="68"/>
  <c r="G7" i="68"/>
  <c r="K7" i="68" s="1"/>
  <c r="G8" i="68"/>
  <c r="K8" i="68" s="1"/>
  <c r="G9" i="68"/>
  <c r="K9" i="68" s="1"/>
  <c r="G10" i="68"/>
  <c r="K10" i="68" s="1"/>
  <c r="G12" i="68"/>
  <c r="K12" i="68" s="1"/>
  <c r="G13" i="68"/>
  <c r="K13" i="68" s="1"/>
  <c r="G14" i="68"/>
  <c r="K15" i="68"/>
  <c r="G16" i="68"/>
  <c r="K16" i="68" s="1"/>
  <c r="G17" i="68"/>
  <c r="K17" i="68" s="1"/>
  <c r="G18" i="68"/>
  <c r="K18" i="68" s="1"/>
  <c r="G19" i="68"/>
  <c r="K19" i="68" s="1"/>
  <c r="G20" i="68"/>
  <c r="K20" i="68" s="1"/>
  <c r="G21" i="68"/>
  <c r="K21" i="68" s="1"/>
  <c r="G22" i="68"/>
  <c r="K22" i="68" s="1"/>
  <c r="G23" i="68"/>
  <c r="K23" i="68" s="1"/>
  <c r="G24" i="68"/>
  <c r="K24" i="68" s="1"/>
  <c r="G25" i="68"/>
  <c r="K25" i="68" s="1"/>
  <c r="G26" i="68"/>
  <c r="K26" i="68" s="1"/>
  <c r="G27" i="68"/>
  <c r="K27" i="68" s="1"/>
  <c r="G28" i="68"/>
  <c r="K28" i="68" s="1"/>
  <c r="G29" i="68"/>
  <c r="K29" i="68" s="1"/>
  <c r="G30" i="68"/>
  <c r="K30" i="68" s="1"/>
  <c r="G31" i="68"/>
  <c r="K31" i="68" s="1"/>
  <c r="G32" i="68"/>
  <c r="K32" i="68" s="1"/>
  <c r="G33" i="68"/>
  <c r="K33" i="68" s="1"/>
  <c r="G6" i="68"/>
  <c r="K6" i="68" s="1"/>
  <c r="G10" i="7"/>
  <c r="J10" i="7"/>
  <c r="K10" i="7"/>
  <c r="G11" i="7"/>
  <c r="J11" i="7"/>
  <c r="K11" i="7"/>
  <c r="G12" i="7"/>
  <c r="J12" i="7"/>
  <c r="K12" i="7"/>
  <c r="G13" i="7"/>
  <c r="J13" i="7"/>
  <c r="K13" i="7"/>
  <c r="G14" i="7"/>
  <c r="J14" i="7"/>
  <c r="K14" i="7"/>
  <c r="G15" i="7"/>
  <c r="J15" i="7"/>
  <c r="K15" i="7"/>
  <c r="G16" i="7"/>
  <c r="J16" i="7"/>
  <c r="K16" i="7"/>
  <c r="G17" i="7"/>
  <c r="J17" i="7"/>
  <c r="K17" i="7"/>
  <c r="H35" i="71"/>
  <c r="J5" i="63"/>
  <c r="G5" i="63"/>
  <c r="K5" i="63" s="1"/>
  <c r="G5" i="54"/>
  <c r="G4" i="54"/>
  <c r="G4" i="18"/>
  <c r="G5" i="60"/>
  <c r="M47" i="18"/>
  <c r="G16" i="35"/>
  <c r="H43" i="35"/>
  <c r="G14" i="35"/>
  <c r="G15" i="35"/>
  <c r="K11" i="56"/>
  <c r="E11" i="77" s="1"/>
  <c r="I11" i="56"/>
  <c r="F11" i="56"/>
  <c r="E35" i="71"/>
  <c r="D11" i="56" s="1"/>
  <c r="J34" i="71"/>
  <c r="G34" i="71"/>
  <c r="K34" i="71" s="1"/>
  <c r="L34" i="71" s="1"/>
  <c r="J33" i="71"/>
  <c r="G33" i="71"/>
  <c r="K33" i="71" s="1"/>
  <c r="L33" i="71" s="1"/>
  <c r="J32" i="71"/>
  <c r="G32" i="71"/>
  <c r="K32" i="71" s="1"/>
  <c r="L32" i="71" s="1"/>
  <c r="J31" i="71"/>
  <c r="G31" i="71"/>
  <c r="K31" i="71" s="1"/>
  <c r="L31" i="71" s="1"/>
  <c r="J30" i="71"/>
  <c r="G30" i="71"/>
  <c r="K30" i="71" s="1"/>
  <c r="L30" i="71" s="1"/>
  <c r="J29" i="71"/>
  <c r="G29" i="71"/>
  <c r="K29" i="71" s="1"/>
  <c r="L29" i="71" s="1"/>
  <c r="J28" i="71"/>
  <c r="G28" i="71"/>
  <c r="K28" i="71" s="1"/>
  <c r="L28" i="71" s="1"/>
  <c r="J27" i="71"/>
  <c r="G27" i="71"/>
  <c r="K27" i="71" s="1"/>
  <c r="L27" i="71" s="1"/>
  <c r="J26" i="71"/>
  <c r="G26" i="71"/>
  <c r="K26" i="71" s="1"/>
  <c r="L26" i="71" s="1"/>
  <c r="J25" i="71"/>
  <c r="G25" i="71"/>
  <c r="K25" i="71" s="1"/>
  <c r="L25" i="71" s="1"/>
  <c r="J24" i="71"/>
  <c r="G24" i="71"/>
  <c r="K24" i="71" s="1"/>
  <c r="L24" i="71" s="1"/>
  <c r="J23" i="71"/>
  <c r="G23" i="71"/>
  <c r="K23" i="71" s="1"/>
  <c r="L23" i="71" s="1"/>
  <c r="J22" i="71"/>
  <c r="G22" i="71"/>
  <c r="K22" i="71" s="1"/>
  <c r="L22" i="71" s="1"/>
  <c r="J21" i="71"/>
  <c r="G21" i="71"/>
  <c r="K21" i="71" s="1"/>
  <c r="L21" i="71" s="1"/>
  <c r="J20" i="71"/>
  <c r="G20" i="71"/>
  <c r="K20" i="71" s="1"/>
  <c r="L20" i="71" s="1"/>
  <c r="J19" i="71"/>
  <c r="G19" i="71"/>
  <c r="K19" i="71" s="1"/>
  <c r="L19" i="71" s="1"/>
  <c r="J18" i="71"/>
  <c r="G18" i="71"/>
  <c r="K18" i="71" s="1"/>
  <c r="L18" i="71" s="1"/>
  <c r="J17" i="71"/>
  <c r="G17" i="71"/>
  <c r="K17" i="71" s="1"/>
  <c r="L17" i="71" s="1"/>
  <c r="J16" i="71"/>
  <c r="G16" i="71"/>
  <c r="K16" i="71" s="1"/>
  <c r="L16" i="71" s="1"/>
  <c r="J15" i="71"/>
  <c r="G15" i="71"/>
  <c r="K15" i="71" s="1"/>
  <c r="L15" i="71" s="1"/>
  <c r="J14" i="71"/>
  <c r="G14" i="71"/>
  <c r="K14" i="71" s="1"/>
  <c r="L14" i="71" s="1"/>
  <c r="J13" i="71"/>
  <c r="G13" i="71"/>
  <c r="K13" i="71" s="1"/>
  <c r="L13" i="71" s="1"/>
  <c r="J12" i="71"/>
  <c r="G12" i="71"/>
  <c r="K12" i="71" s="1"/>
  <c r="L12" i="71" s="1"/>
  <c r="J11" i="71"/>
  <c r="G11" i="71"/>
  <c r="K11" i="71" s="1"/>
  <c r="L11" i="71" s="1"/>
  <c r="J10" i="71"/>
  <c r="G10" i="71"/>
  <c r="K10" i="71" s="1"/>
  <c r="L10" i="71" s="1"/>
  <c r="J9" i="71"/>
  <c r="G9" i="71"/>
  <c r="K9" i="71" s="1"/>
  <c r="L9" i="71" s="1"/>
  <c r="J8" i="71"/>
  <c r="G8" i="71"/>
  <c r="K8" i="71" s="1"/>
  <c r="L8" i="71" s="1"/>
  <c r="J7" i="71"/>
  <c r="G7" i="71"/>
  <c r="K7" i="71" s="1"/>
  <c r="L7" i="71" s="1"/>
  <c r="J6" i="71"/>
  <c r="G6" i="71"/>
  <c r="K6" i="71" s="1"/>
  <c r="L6" i="71" s="1"/>
  <c r="J5" i="71"/>
  <c r="G5" i="71"/>
  <c r="K5" i="71" s="1"/>
  <c r="L5" i="71" s="1"/>
  <c r="J4" i="71"/>
  <c r="J35" i="71" s="1"/>
  <c r="G11" i="56" s="1"/>
  <c r="G4" i="71"/>
  <c r="Y24" i="19"/>
  <c r="Y22" i="19"/>
  <c r="Y23" i="19"/>
  <c r="Y21" i="19"/>
  <c r="Y25" i="19"/>
  <c r="X22" i="19"/>
  <c r="X23" i="19"/>
  <c r="X24" i="19"/>
  <c r="X25" i="19"/>
  <c r="T23" i="19"/>
  <c r="T24" i="19"/>
  <c r="T25" i="19"/>
  <c r="J36" i="22"/>
  <c r="G36" i="22"/>
  <c r="K36" i="22" s="1"/>
  <c r="J26" i="22"/>
  <c r="H54" i="22"/>
  <c r="U22" i="34"/>
  <c r="U21" i="34"/>
  <c r="V22" i="34"/>
  <c r="V21" i="34"/>
  <c r="T22" i="34"/>
  <c r="T21" i="34"/>
  <c r="I45" i="56"/>
  <c r="I10" i="56"/>
  <c r="G10" i="56"/>
  <c r="F10" i="56"/>
  <c r="L35" i="70"/>
  <c r="J10" i="56" s="1"/>
  <c r="H35" i="70"/>
  <c r="E35" i="70"/>
  <c r="D10" i="56" s="1"/>
  <c r="J34" i="70"/>
  <c r="G34" i="70"/>
  <c r="K34" i="70" s="1"/>
  <c r="J33" i="70"/>
  <c r="G33" i="70"/>
  <c r="K33" i="70" s="1"/>
  <c r="J32" i="70"/>
  <c r="G32" i="70"/>
  <c r="K32" i="70" s="1"/>
  <c r="J31" i="70"/>
  <c r="G31" i="70"/>
  <c r="K31" i="70" s="1"/>
  <c r="J30" i="70"/>
  <c r="G30" i="70"/>
  <c r="K30" i="70" s="1"/>
  <c r="J29" i="70"/>
  <c r="G29" i="70"/>
  <c r="K29" i="70" s="1"/>
  <c r="J28" i="70"/>
  <c r="G28" i="70"/>
  <c r="K28" i="70" s="1"/>
  <c r="J27" i="70"/>
  <c r="G27" i="70"/>
  <c r="K27" i="70" s="1"/>
  <c r="J26" i="70"/>
  <c r="G26" i="70"/>
  <c r="K26" i="70" s="1"/>
  <c r="J25" i="70"/>
  <c r="G25" i="70"/>
  <c r="K25" i="70" s="1"/>
  <c r="J24" i="70"/>
  <c r="G24" i="70"/>
  <c r="K24" i="70" s="1"/>
  <c r="J23" i="70"/>
  <c r="G23" i="70"/>
  <c r="K23" i="70" s="1"/>
  <c r="J22" i="70"/>
  <c r="G22" i="70"/>
  <c r="K22" i="70" s="1"/>
  <c r="J21" i="70"/>
  <c r="G21" i="70"/>
  <c r="K21" i="70" s="1"/>
  <c r="J20" i="70"/>
  <c r="G20" i="70"/>
  <c r="K20" i="70" s="1"/>
  <c r="J19" i="70"/>
  <c r="K19" i="70"/>
  <c r="J18" i="70"/>
  <c r="K18" i="70"/>
  <c r="J17" i="70"/>
  <c r="K17" i="70"/>
  <c r="J16" i="70"/>
  <c r="G16" i="70"/>
  <c r="K16" i="70" s="1"/>
  <c r="J15" i="70"/>
  <c r="G15" i="70"/>
  <c r="K15" i="70" s="1"/>
  <c r="J14" i="70"/>
  <c r="G14" i="70"/>
  <c r="K14" i="70" s="1"/>
  <c r="J13" i="70"/>
  <c r="G13" i="70"/>
  <c r="K13" i="70" s="1"/>
  <c r="J12" i="70"/>
  <c r="G12" i="70"/>
  <c r="K12" i="70" s="1"/>
  <c r="J11" i="70"/>
  <c r="G11" i="70"/>
  <c r="K11" i="70" s="1"/>
  <c r="J10" i="70"/>
  <c r="G10" i="70"/>
  <c r="K10" i="70" s="1"/>
  <c r="J9" i="70"/>
  <c r="G9" i="70"/>
  <c r="K9" i="70" s="1"/>
  <c r="J8" i="70"/>
  <c r="G8" i="70"/>
  <c r="K8" i="70" s="1"/>
  <c r="J7" i="70"/>
  <c r="G7" i="70"/>
  <c r="K7" i="70" s="1"/>
  <c r="J6" i="70"/>
  <c r="G6" i="70"/>
  <c r="K6" i="70" s="1"/>
  <c r="J5" i="70"/>
  <c r="G5" i="70"/>
  <c r="K5" i="70" s="1"/>
  <c r="J4" i="70"/>
  <c r="J35" i="70" s="1"/>
  <c r="G4" i="70"/>
  <c r="H46" i="26"/>
  <c r="T22" i="19"/>
  <c r="X21" i="19"/>
  <c r="T21" i="19"/>
  <c r="G20" i="10"/>
  <c r="G21" i="10"/>
  <c r="G13" i="35"/>
  <c r="G5" i="69"/>
  <c r="J5" i="69"/>
  <c r="G6" i="69"/>
  <c r="J6" i="69"/>
  <c r="G7" i="69"/>
  <c r="J7" i="69"/>
  <c r="G8" i="69"/>
  <c r="J8" i="69"/>
  <c r="G9" i="69"/>
  <c r="J9" i="69"/>
  <c r="G11" i="69"/>
  <c r="J11" i="69"/>
  <c r="G12" i="69"/>
  <c r="J12" i="69"/>
  <c r="G13" i="69"/>
  <c r="J13" i="69"/>
  <c r="G14" i="69"/>
  <c r="J14" i="69"/>
  <c r="G15" i="69"/>
  <c r="J15" i="69"/>
  <c r="G16" i="69"/>
  <c r="J16" i="69"/>
  <c r="G17" i="69"/>
  <c r="J17" i="69"/>
  <c r="G18" i="69"/>
  <c r="J18" i="69"/>
  <c r="G19" i="69"/>
  <c r="J19" i="69"/>
  <c r="G20" i="69"/>
  <c r="J20" i="69"/>
  <c r="G21" i="69"/>
  <c r="J21" i="69"/>
  <c r="G22" i="69"/>
  <c r="J22" i="69"/>
  <c r="H48" i="69"/>
  <c r="F45" i="56" s="1"/>
  <c r="J47" i="69"/>
  <c r="G47" i="69"/>
  <c r="K47" i="69" s="1"/>
  <c r="L47" i="69" s="1"/>
  <c r="J46" i="69"/>
  <c r="G46" i="69"/>
  <c r="K46" i="69" s="1"/>
  <c r="L46" i="69" s="1"/>
  <c r="L48" i="69" s="1"/>
  <c r="J45" i="56" s="1"/>
  <c r="J45" i="69"/>
  <c r="G45" i="69"/>
  <c r="K45" i="69" s="1"/>
  <c r="J44" i="69"/>
  <c r="G44" i="69"/>
  <c r="K44" i="69" s="1"/>
  <c r="J43" i="69"/>
  <c r="G43" i="69"/>
  <c r="K43" i="69" s="1"/>
  <c r="J42" i="69"/>
  <c r="G42" i="69"/>
  <c r="K42" i="69" s="1"/>
  <c r="J41" i="69"/>
  <c r="G41" i="69"/>
  <c r="K41" i="69" s="1"/>
  <c r="J40" i="69"/>
  <c r="G40" i="69"/>
  <c r="K40" i="69" s="1"/>
  <c r="J39" i="69"/>
  <c r="G39" i="69"/>
  <c r="K39" i="69" s="1"/>
  <c r="J38" i="69"/>
  <c r="G38" i="69"/>
  <c r="K38" i="69" s="1"/>
  <c r="J37" i="69"/>
  <c r="G37" i="69"/>
  <c r="K37" i="69" s="1"/>
  <c r="J36" i="69"/>
  <c r="G36" i="69"/>
  <c r="K36" i="69" s="1"/>
  <c r="J35" i="69"/>
  <c r="G35" i="69"/>
  <c r="K35" i="69" s="1"/>
  <c r="J34" i="69"/>
  <c r="G34" i="69"/>
  <c r="K34" i="69" s="1"/>
  <c r="J33" i="69"/>
  <c r="G33" i="69"/>
  <c r="K33" i="69" s="1"/>
  <c r="J32" i="69"/>
  <c r="G32" i="69"/>
  <c r="K32" i="69" s="1"/>
  <c r="J31" i="69"/>
  <c r="G31" i="69"/>
  <c r="K31" i="69" s="1"/>
  <c r="J30" i="69"/>
  <c r="G30" i="69"/>
  <c r="K30" i="69" s="1"/>
  <c r="J29" i="69"/>
  <c r="G29" i="69"/>
  <c r="K29" i="69" s="1"/>
  <c r="J28" i="69"/>
  <c r="G28" i="69"/>
  <c r="K28" i="69" s="1"/>
  <c r="J27" i="69"/>
  <c r="G27" i="69"/>
  <c r="K27" i="69" s="1"/>
  <c r="J26" i="69"/>
  <c r="G26" i="69"/>
  <c r="K26" i="69" s="1"/>
  <c r="J25" i="69"/>
  <c r="G25" i="69"/>
  <c r="K25" i="69" s="1"/>
  <c r="J24" i="69"/>
  <c r="G24" i="69"/>
  <c r="K24" i="69" s="1"/>
  <c r="J23" i="69"/>
  <c r="G23" i="69"/>
  <c r="K23" i="69" s="1"/>
  <c r="K22" i="69"/>
  <c r="K21" i="69"/>
  <c r="K20" i="69"/>
  <c r="K19" i="69"/>
  <c r="K18" i="69"/>
  <c r="K17" i="69"/>
  <c r="K16" i="69"/>
  <c r="K15" i="69"/>
  <c r="K14" i="69"/>
  <c r="K13" i="69"/>
  <c r="M13" i="69" s="1"/>
  <c r="K11" i="69"/>
  <c r="K9" i="69"/>
  <c r="K8" i="69"/>
  <c r="K7" i="69"/>
  <c r="K6" i="69"/>
  <c r="K5" i="69"/>
  <c r="J4" i="69"/>
  <c r="J48" i="69" s="1"/>
  <c r="G45" i="56" s="1"/>
  <c r="G4" i="69"/>
  <c r="G12" i="35"/>
  <c r="J19" i="57"/>
  <c r="H35" i="68"/>
  <c r="F20" i="56" s="1"/>
  <c r="E35" i="68"/>
  <c r="D20" i="56" s="1"/>
  <c r="J35" i="68"/>
  <c r="G20" i="56" s="1"/>
  <c r="M3" i="68"/>
  <c r="G26" i="22"/>
  <c r="K26" i="22" s="1"/>
  <c r="J14" i="65"/>
  <c r="J15" i="65"/>
  <c r="J16" i="65"/>
  <c r="J17" i="65"/>
  <c r="K17" i="65"/>
  <c r="G11" i="35"/>
  <c r="G15" i="54"/>
  <c r="J15" i="54"/>
  <c r="K15" i="54"/>
  <c r="G10" i="35"/>
  <c r="G14" i="22"/>
  <c r="K14" i="22" s="1"/>
  <c r="G7" i="35"/>
  <c r="G8" i="35"/>
  <c r="G9" i="35"/>
  <c r="G10" i="54"/>
  <c r="I24" i="56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K27" i="40" s="1"/>
  <c r="G28" i="40"/>
  <c r="K28" i="40" s="1"/>
  <c r="G29" i="40"/>
  <c r="K29" i="40" s="1"/>
  <c r="G30" i="40"/>
  <c r="K30" i="40" s="1"/>
  <c r="G31" i="40"/>
  <c r="K31" i="40" s="1"/>
  <c r="G32" i="40"/>
  <c r="K32" i="40" s="1"/>
  <c r="G9" i="14"/>
  <c r="J9" i="14"/>
  <c r="K9" i="14"/>
  <c r="G10" i="14"/>
  <c r="J10" i="14"/>
  <c r="K10" i="14"/>
  <c r="G11" i="14"/>
  <c r="J11" i="14"/>
  <c r="K11" i="14"/>
  <c r="G12" i="14"/>
  <c r="J12" i="14"/>
  <c r="K12" i="14"/>
  <c r="G14" i="14"/>
  <c r="J14" i="14"/>
  <c r="K14" i="14"/>
  <c r="G15" i="14"/>
  <c r="J15" i="14"/>
  <c r="K15" i="14"/>
  <c r="G16" i="14"/>
  <c r="J16" i="14"/>
  <c r="K16" i="14"/>
  <c r="G17" i="14"/>
  <c r="J17" i="14"/>
  <c r="K17" i="14"/>
  <c r="G18" i="14"/>
  <c r="J18" i="14"/>
  <c r="K18" i="14"/>
  <c r="G19" i="14"/>
  <c r="J19" i="14"/>
  <c r="K19" i="14"/>
  <c r="G20" i="14"/>
  <c r="J20" i="14"/>
  <c r="K20" i="14"/>
  <c r="G21" i="14"/>
  <c r="J21" i="14"/>
  <c r="K21" i="14"/>
  <c r="G22" i="14"/>
  <c r="J22" i="14"/>
  <c r="K22" i="14"/>
  <c r="G24" i="14"/>
  <c r="J24" i="14"/>
  <c r="K24" i="14"/>
  <c r="G25" i="14"/>
  <c r="J25" i="14"/>
  <c r="K25" i="14"/>
  <c r="G26" i="14"/>
  <c r="J26" i="14"/>
  <c r="K26" i="14"/>
  <c r="G27" i="14"/>
  <c r="J27" i="14"/>
  <c r="K27" i="14"/>
  <c r="G28" i="14"/>
  <c r="J28" i="14"/>
  <c r="K28" i="14"/>
  <c r="G30" i="14"/>
  <c r="J30" i="14"/>
  <c r="K30" i="14"/>
  <c r="G31" i="14"/>
  <c r="J31" i="14"/>
  <c r="K31" i="14"/>
  <c r="G32" i="14"/>
  <c r="J32" i="14"/>
  <c r="K32" i="14"/>
  <c r="G33" i="14"/>
  <c r="J33" i="14"/>
  <c r="K33" i="14"/>
  <c r="G34" i="14"/>
  <c r="J34" i="14"/>
  <c r="K34" i="14"/>
  <c r="G35" i="14"/>
  <c r="J35" i="14"/>
  <c r="K35" i="14"/>
  <c r="G36" i="14"/>
  <c r="J36" i="14"/>
  <c r="K36" i="14"/>
  <c r="G9" i="65"/>
  <c r="R13" i="25"/>
  <c r="R11" i="25"/>
  <c r="J8" i="25"/>
  <c r="G6" i="35"/>
  <c r="G5" i="35"/>
  <c r="J7" i="3"/>
  <c r="G7" i="3"/>
  <c r="K7" i="3" s="1"/>
  <c r="G5" i="22"/>
  <c r="J5" i="22"/>
  <c r="K5" i="22"/>
  <c r="G6" i="22"/>
  <c r="J6" i="22"/>
  <c r="K6" i="22"/>
  <c r="G8" i="22"/>
  <c r="J8" i="22"/>
  <c r="K8" i="22"/>
  <c r="G9" i="22"/>
  <c r="J9" i="22"/>
  <c r="K9" i="22"/>
  <c r="G10" i="22"/>
  <c r="J10" i="22"/>
  <c r="K10" i="22"/>
  <c r="G11" i="22"/>
  <c r="J11" i="22"/>
  <c r="K11" i="22"/>
  <c r="G12" i="22"/>
  <c r="J12" i="22"/>
  <c r="K12" i="22"/>
  <c r="G13" i="22"/>
  <c r="J13" i="22"/>
  <c r="K13" i="22"/>
  <c r="G16" i="22"/>
  <c r="J16" i="22"/>
  <c r="K16" i="22"/>
  <c r="G18" i="22"/>
  <c r="J18" i="22"/>
  <c r="K18" i="22"/>
  <c r="G19" i="22"/>
  <c r="J19" i="22"/>
  <c r="K19" i="22"/>
  <c r="G20" i="22"/>
  <c r="J20" i="22"/>
  <c r="K20" i="22"/>
  <c r="G23" i="22"/>
  <c r="J23" i="22"/>
  <c r="K23" i="22"/>
  <c r="G24" i="22"/>
  <c r="J24" i="22"/>
  <c r="K24" i="22"/>
  <c r="G27" i="22"/>
  <c r="J27" i="22"/>
  <c r="K27" i="22"/>
  <c r="G28" i="22"/>
  <c r="J28" i="22"/>
  <c r="K28" i="22"/>
  <c r="G29" i="22"/>
  <c r="J29" i="22"/>
  <c r="K29" i="22"/>
  <c r="G30" i="22"/>
  <c r="J30" i="22"/>
  <c r="K30" i="22"/>
  <c r="G31" i="22"/>
  <c r="J31" i="22"/>
  <c r="K31" i="22"/>
  <c r="G32" i="22"/>
  <c r="J32" i="22"/>
  <c r="K32" i="22"/>
  <c r="G33" i="22"/>
  <c r="J33" i="22"/>
  <c r="K33" i="22"/>
  <c r="G34" i="22"/>
  <c r="J34" i="22"/>
  <c r="K34" i="22"/>
  <c r="G35" i="22"/>
  <c r="J35" i="22"/>
  <c r="K35" i="22"/>
  <c r="G37" i="22"/>
  <c r="J37" i="22"/>
  <c r="K37" i="22"/>
  <c r="G38" i="22"/>
  <c r="J38" i="22"/>
  <c r="K38" i="22"/>
  <c r="G39" i="22"/>
  <c r="J39" i="22"/>
  <c r="K39" i="22"/>
  <c r="G40" i="22"/>
  <c r="J40" i="22"/>
  <c r="K40" i="22"/>
  <c r="G41" i="22"/>
  <c r="J41" i="22"/>
  <c r="K41" i="22"/>
  <c r="G42" i="22"/>
  <c r="J42" i="22"/>
  <c r="K42" i="22"/>
  <c r="G43" i="22"/>
  <c r="J43" i="22"/>
  <c r="K43" i="22"/>
  <c r="G44" i="22"/>
  <c r="J44" i="22"/>
  <c r="K44" i="22"/>
  <c r="G45" i="22"/>
  <c r="J45" i="22"/>
  <c r="K45" i="22"/>
  <c r="G46" i="22"/>
  <c r="J46" i="22"/>
  <c r="K46" i="22"/>
  <c r="G47" i="22"/>
  <c r="J47" i="22"/>
  <c r="K47" i="22"/>
  <c r="G48" i="22"/>
  <c r="J48" i="22"/>
  <c r="K48" i="22"/>
  <c r="G49" i="22"/>
  <c r="J49" i="22"/>
  <c r="K49" i="22"/>
  <c r="G50" i="22"/>
  <c r="J50" i="22"/>
  <c r="K50" i="22"/>
  <c r="G51" i="22"/>
  <c r="J51" i="22"/>
  <c r="K51" i="22"/>
  <c r="G52" i="22"/>
  <c r="J52" i="22"/>
  <c r="K52" i="22"/>
  <c r="M3" i="22"/>
  <c r="G5" i="12"/>
  <c r="J5" i="12"/>
  <c r="K5" i="12"/>
  <c r="G6" i="12"/>
  <c r="J6" i="12"/>
  <c r="K6" i="12"/>
  <c r="G7" i="12"/>
  <c r="J7" i="12"/>
  <c r="K7" i="12"/>
  <c r="G8" i="12"/>
  <c r="J8" i="12"/>
  <c r="K8" i="12"/>
  <c r="G9" i="12"/>
  <c r="J9" i="12"/>
  <c r="K9" i="12"/>
  <c r="G10" i="12"/>
  <c r="J10" i="12"/>
  <c r="K10" i="12"/>
  <c r="G11" i="12"/>
  <c r="J11" i="12"/>
  <c r="K11" i="12"/>
  <c r="G12" i="12"/>
  <c r="J12" i="12"/>
  <c r="K12" i="12"/>
  <c r="G13" i="12"/>
  <c r="J13" i="12"/>
  <c r="K13" i="12"/>
  <c r="G14" i="12"/>
  <c r="J14" i="12"/>
  <c r="K14" i="12"/>
  <c r="G15" i="12"/>
  <c r="J15" i="12"/>
  <c r="K15" i="12"/>
  <c r="G16" i="12"/>
  <c r="J16" i="12"/>
  <c r="K16" i="12"/>
  <c r="G17" i="12"/>
  <c r="J17" i="12"/>
  <c r="K17" i="12"/>
  <c r="G18" i="12"/>
  <c r="J18" i="12"/>
  <c r="K18" i="12"/>
  <c r="G19" i="12"/>
  <c r="J19" i="12"/>
  <c r="K19" i="12"/>
  <c r="G20" i="12"/>
  <c r="J20" i="12"/>
  <c r="K20" i="12"/>
  <c r="G21" i="12"/>
  <c r="J21" i="12"/>
  <c r="K21" i="12"/>
  <c r="G22" i="12"/>
  <c r="J22" i="12"/>
  <c r="K22" i="12"/>
  <c r="G23" i="12"/>
  <c r="J23" i="12"/>
  <c r="K23" i="12"/>
  <c r="G24" i="12"/>
  <c r="J24" i="12"/>
  <c r="K24" i="12"/>
  <c r="G25" i="12"/>
  <c r="J25" i="12"/>
  <c r="K25" i="12"/>
  <c r="G26" i="12"/>
  <c r="J26" i="12"/>
  <c r="K26" i="12"/>
  <c r="G27" i="12"/>
  <c r="J27" i="12"/>
  <c r="K27" i="12"/>
  <c r="G28" i="12"/>
  <c r="J28" i="12"/>
  <c r="K28" i="12"/>
  <c r="G29" i="12"/>
  <c r="J29" i="12"/>
  <c r="K29" i="12"/>
  <c r="G30" i="12"/>
  <c r="J30" i="12"/>
  <c r="K30" i="12"/>
  <c r="G31" i="12"/>
  <c r="J31" i="12"/>
  <c r="K31" i="12"/>
  <c r="G32" i="12"/>
  <c r="J32" i="12"/>
  <c r="K32" i="12"/>
  <c r="G33" i="12"/>
  <c r="J33" i="12"/>
  <c r="K33" i="12"/>
  <c r="G34" i="12"/>
  <c r="J34" i="12"/>
  <c r="K34" i="12"/>
  <c r="G5" i="37"/>
  <c r="J5" i="37"/>
  <c r="K5" i="37"/>
  <c r="G6" i="37"/>
  <c r="J6" i="37"/>
  <c r="K6" i="37"/>
  <c r="G7" i="37"/>
  <c r="J7" i="37"/>
  <c r="K7" i="37"/>
  <c r="G8" i="37"/>
  <c r="J8" i="37"/>
  <c r="K8" i="37"/>
  <c r="G9" i="37"/>
  <c r="J9" i="37"/>
  <c r="K9" i="37"/>
  <c r="G10" i="37"/>
  <c r="J10" i="37"/>
  <c r="K10" i="37"/>
  <c r="G11" i="37"/>
  <c r="J11" i="37"/>
  <c r="K11" i="37"/>
  <c r="G12" i="37"/>
  <c r="J12" i="37"/>
  <c r="K12" i="37"/>
  <c r="G13" i="37"/>
  <c r="J13" i="37"/>
  <c r="K13" i="37"/>
  <c r="G14" i="37"/>
  <c r="J14" i="37"/>
  <c r="K14" i="37"/>
  <c r="G15" i="37"/>
  <c r="J15" i="37"/>
  <c r="K15" i="37"/>
  <c r="G16" i="37"/>
  <c r="J16" i="37"/>
  <c r="K16" i="37"/>
  <c r="G17" i="37"/>
  <c r="J17" i="37"/>
  <c r="K17" i="37"/>
  <c r="G18" i="37"/>
  <c r="J18" i="37"/>
  <c r="K18" i="37"/>
  <c r="G19" i="37"/>
  <c r="J19" i="37"/>
  <c r="K19" i="37"/>
  <c r="G20" i="37"/>
  <c r="J20" i="37"/>
  <c r="K20" i="37"/>
  <c r="G21" i="37"/>
  <c r="J21" i="37"/>
  <c r="K21" i="37"/>
  <c r="G22" i="37"/>
  <c r="J22" i="37"/>
  <c r="K22" i="37"/>
  <c r="G23" i="37"/>
  <c r="J23" i="37"/>
  <c r="K23" i="37"/>
  <c r="G24" i="37"/>
  <c r="J24" i="37"/>
  <c r="K24" i="37"/>
  <c r="G25" i="37"/>
  <c r="J25" i="37"/>
  <c r="K25" i="37"/>
  <c r="G26" i="37"/>
  <c r="J26" i="37"/>
  <c r="K26" i="37"/>
  <c r="G27" i="37"/>
  <c r="J27" i="37"/>
  <c r="K27" i="37"/>
  <c r="G28" i="37"/>
  <c r="J28" i="37"/>
  <c r="K28" i="37"/>
  <c r="G29" i="37"/>
  <c r="J29" i="37"/>
  <c r="K29" i="37"/>
  <c r="G30" i="37"/>
  <c r="J30" i="37"/>
  <c r="K30" i="37"/>
  <c r="G31" i="37"/>
  <c r="J31" i="37"/>
  <c r="K31" i="37"/>
  <c r="G32" i="37"/>
  <c r="J32" i="37"/>
  <c r="K32" i="37"/>
  <c r="G33" i="37"/>
  <c r="J33" i="37"/>
  <c r="K33" i="37"/>
  <c r="G5" i="36"/>
  <c r="J5" i="36"/>
  <c r="K5" i="36"/>
  <c r="G6" i="36"/>
  <c r="J6" i="36"/>
  <c r="K6" i="36"/>
  <c r="G7" i="36"/>
  <c r="J7" i="36"/>
  <c r="K7" i="36"/>
  <c r="G8" i="36"/>
  <c r="J8" i="36"/>
  <c r="K8" i="36"/>
  <c r="G9" i="36"/>
  <c r="J9" i="36"/>
  <c r="K9" i="36"/>
  <c r="G10" i="36"/>
  <c r="J10" i="36"/>
  <c r="K10" i="36"/>
  <c r="G11" i="36"/>
  <c r="J11" i="36"/>
  <c r="K11" i="36"/>
  <c r="G12" i="36"/>
  <c r="J12" i="36"/>
  <c r="K12" i="36"/>
  <c r="G13" i="36"/>
  <c r="J13" i="36"/>
  <c r="K13" i="36"/>
  <c r="G14" i="36"/>
  <c r="J14" i="36"/>
  <c r="K14" i="36"/>
  <c r="G15" i="36"/>
  <c r="J15" i="36"/>
  <c r="K15" i="36"/>
  <c r="G16" i="36"/>
  <c r="J16" i="36"/>
  <c r="K16" i="36"/>
  <c r="G17" i="36"/>
  <c r="J17" i="36"/>
  <c r="K17" i="36"/>
  <c r="G18" i="36"/>
  <c r="J18" i="36"/>
  <c r="K18" i="36"/>
  <c r="G19" i="36"/>
  <c r="J19" i="36"/>
  <c r="K19" i="36"/>
  <c r="G20" i="36"/>
  <c r="J20" i="36"/>
  <c r="K20" i="36"/>
  <c r="G21" i="36"/>
  <c r="J21" i="36"/>
  <c r="K21" i="36"/>
  <c r="G22" i="36"/>
  <c r="J22" i="36"/>
  <c r="K22" i="36"/>
  <c r="G23" i="36"/>
  <c r="J23" i="36"/>
  <c r="K23" i="36"/>
  <c r="G24" i="36"/>
  <c r="J24" i="36"/>
  <c r="K24" i="36"/>
  <c r="G25" i="36"/>
  <c r="J25" i="36"/>
  <c r="K25" i="36"/>
  <c r="G26" i="36"/>
  <c r="J26" i="36"/>
  <c r="K26" i="36"/>
  <c r="G27" i="36"/>
  <c r="J27" i="36"/>
  <c r="K27" i="36"/>
  <c r="G28" i="36"/>
  <c r="J28" i="36"/>
  <c r="K28" i="36"/>
  <c r="G29" i="36"/>
  <c r="J29" i="36"/>
  <c r="K29" i="36"/>
  <c r="G30" i="36"/>
  <c r="J30" i="36"/>
  <c r="K30" i="36"/>
  <c r="G31" i="36"/>
  <c r="J31" i="36"/>
  <c r="K31" i="36"/>
  <c r="G32" i="36"/>
  <c r="J32" i="36"/>
  <c r="K32" i="36"/>
  <c r="G33" i="36"/>
  <c r="J33" i="36"/>
  <c r="K33" i="36"/>
  <c r="G5" i="15"/>
  <c r="J5" i="15"/>
  <c r="K5" i="15"/>
  <c r="G6" i="15"/>
  <c r="J6" i="15"/>
  <c r="K6" i="15"/>
  <c r="G7" i="15"/>
  <c r="J7" i="15"/>
  <c r="K7" i="15"/>
  <c r="G8" i="15"/>
  <c r="J8" i="15"/>
  <c r="K8" i="15"/>
  <c r="G9" i="15"/>
  <c r="J9" i="15"/>
  <c r="K9" i="15"/>
  <c r="G10" i="15"/>
  <c r="J10" i="15"/>
  <c r="K10" i="15"/>
  <c r="G11" i="15"/>
  <c r="J11" i="15"/>
  <c r="K11" i="15"/>
  <c r="G12" i="15"/>
  <c r="J12" i="15"/>
  <c r="K12" i="15"/>
  <c r="G13" i="15"/>
  <c r="J13" i="15"/>
  <c r="K13" i="15"/>
  <c r="G14" i="15"/>
  <c r="J14" i="15"/>
  <c r="K14" i="15"/>
  <c r="G15" i="15"/>
  <c r="J15" i="15"/>
  <c r="K15" i="15"/>
  <c r="G16" i="15"/>
  <c r="J16" i="15"/>
  <c r="K16" i="15"/>
  <c r="G18" i="15"/>
  <c r="J18" i="15"/>
  <c r="K18" i="15"/>
  <c r="G19" i="15"/>
  <c r="J19" i="15"/>
  <c r="K19" i="15"/>
  <c r="G20" i="15"/>
  <c r="J20" i="15"/>
  <c r="K20" i="15"/>
  <c r="G21" i="15"/>
  <c r="J21" i="15"/>
  <c r="K21" i="15"/>
  <c r="G22" i="15"/>
  <c r="J22" i="15"/>
  <c r="K22" i="15"/>
  <c r="G23" i="15"/>
  <c r="J23" i="15"/>
  <c r="K23" i="15"/>
  <c r="G24" i="15"/>
  <c r="J24" i="15"/>
  <c r="K24" i="15"/>
  <c r="G25" i="15"/>
  <c r="J25" i="15"/>
  <c r="K25" i="15"/>
  <c r="G26" i="15"/>
  <c r="J26" i="15"/>
  <c r="K26" i="15"/>
  <c r="G27" i="15"/>
  <c r="J27" i="15"/>
  <c r="K27" i="15"/>
  <c r="G28" i="15"/>
  <c r="J28" i="15"/>
  <c r="K28" i="15"/>
  <c r="G29" i="15"/>
  <c r="J29" i="15"/>
  <c r="K29" i="15"/>
  <c r="G30" i="15"/>
  <c r="J30" i="15"/>
  <c r="K30" i="15"/>
  <c r="G31" i="15"/>
  <c r="J31" i="15"/>
  <c r="K31" i="15"/>
  <c r="G32" i="15"/>
  <c r="J32" i="15"/>
  <c r="K32" i="15"/>
  <c r="G33" i="15"/>
  <c r="J33" i="15"/>
  <c r="K33" i="15"/>
  <c r="G34" i="15"/>
  <c r="J34" i="15"/>
  <c r="K34" i="15"/>
  <c r="G5" i="16"/>
  <c r="J5" i="16"/>
  <c r="K5" i="16"/>
  <c r="G6" i="16"/>
  <c r="J6" i="16"/>
  <c r="K6" i="16"/>
  <c r="G7" i="16"/>
  <c r="J7" i="16"/>
  <c r="K7" i="16"/>
  <c r="G8" i="16"/>
  <c r="J8" i="16"/>
  <c r="K8" i="16"/>
  <c r="G9" i="16"/>
  <c r="J9" i="16"/>
  <c r="K9" i="16"/>
  <c r="G10" i="16"/>
  <c r="J10" i="16"/>
  <c r="K10" i="16"/>
  <c r="G11" i="16"/>
  <c r="J11" i="16"/>
  <c r="K11" i="16"/>
  <c r="G12" i="16"/>
  <c r="J12" i="16"/>
  <c r="K12" i="16"/>
  <c r="G13" i="16"/>
  <c r="J13" i="16"/>
  <c r="K13" i="16"/>
  <c r="G14" i="16"/>
  <c r="J14" i="16"/>
  <c r="K14" i="16"/>
  <c r="G15" i="16"/>
  <c r="J15" i="16"/>
  <c r="K15" i="16"/>
  <c r="G16" i="16"/>
  <c r="J16" i="16"/>
  <c r="K16" i="16"/>
  <c r="G17" i="16"/>
  <c r="J17" i="16"/>
  <c r="K17" i="16"/>
  <c r="G18" i="16"/>
  <c r="J18" i="16"/>
  <c r="K18" i="16"/>
  <c r="G19" i="16"/>
  <c r="J19" i="16"/>
  <c r="K19" i="16"/>
  <c r="G20" i="16"/>
  <c r="J20" i="16"/>
  <c r="K20" i="16"/>
  <c r="G21" i="16"/>
  <c r="J21" i="16"/>
  <c r="K21" i="16"/>
  <c r="G22" i="16"/>
  <c r="J22" i="16"/>
  <c r="K22" i="16"/>
  <c r="G23" i="16"/>
  <c r="J23" i="16"/>
  <c r="K23" i="16"/>
  <c r="G24" i="16"/>
  <c r="J24" i="16"/>
  <c r="K24" i="16"/>
  <c r="G25" i="16"/>
  <c r="J25" i="16"/>
  <c r="K25" i="16"/>
  <c r="G26" i="16"/>
  <c r="J26" i="16"/>
  <c r="K26" i="16"/>
  <c r="G27" i="16"/>
  <c r="J27" i="16"/>
  <c r="K27" i="16"/>
  <c r="G28" i="16"/>
  <c r="J28" i="16"/>
  <c r="K28" i="16"/>
  <c r="G29" i="16"/>
  <c r="J29" i="16"/>
  <c r="K29" i="16"/>
  <c r="G30" i="16"/>
  <c r="J30" i="16"/>
  <c r="K30" i="16"/>
  <c r="G31" i="16"/>
  <c r="J31" i="16"/>
  <c r="K31" i="16"/>
  <c r="G32" i="16"/>
  <c r="J32" i="16"/>
  <c r="K32" i="16"/>
  <c r="G33" i="16"/>
  <c r="J33" i="16"/>
  <c r="K33" i="16"/>
  <c r="G34" i="16"/>
  <c r="J34" i="16"/>
  <c r="K34" i="16"/>
  <c r="M3" i="16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7" i="19"/>
  <c r="G5" i="25"/>
  <c r="J5" i="25"/>
  <c r="K5" i="25"/>
  <c r="L5" i="25"/>
  <c r="G6" i="25"/>
  <c r="J6" i="25"/>
  <c r="K6" i="25"/>
  <c r="L6" i="25"/>
  <c r="G7" i="25"/>
  <c r="J7" i="25"/>
  <c r="K7" i="25"/>
  <c r="L7" i="25"/>
  <c r="G8" i="25"/>
  <c r="K8" i="25"/>
  <c r="L8" i="25"/>
  <c r="G9" i="25"/>
  <c r="J9" i="25"/>
  <c r="K9" i="25"/>
  <c r="L9" i="25"/>
  <c r="G10" i="25"/>
  <c r="J10" i="25"/>
  <c r="K10" i="25"/>
  <c r="L10" i="25"/>
  <c r="G11" i="25"/>
  <c r="J11" i="25"/>
  <c r="K11" i="25"/>
  <c r="L11" i="25"/>
  <c r="G12" i="25"/>
  <c r="J12" i="25"/>
  <c r="K12" i="25"/>
  <c r="L12" i="25"/>
  <c r="G13" i="25"/>
  <c r="J13" i="25"/>
  <c r="K13" i="25"/>
  <c r="L13" i="25"/>
  <c r="G14" i="25"/>
  <c r="J14" i="25"/>
  <c r="K14" i="25"/>
  <c r="L14" i="25"/>
  <c r="G15" i="25"/>
  <c r="J15" i="25"/>
  <c r="K15" i="25"/>
  <c r="L15" i="25"/>
  <c r="G16" i="25"/>
  <c r="J16" i="25"/>
  <c r="K16" i="25"/>
  <c r="L16" i="25"/>
  <c r="G17" i="25"/>
  <c r="J17" i="25"/>
  <c r="K17" i="25"/>
  <c r="L17" i="25"/>
  <c r="G18" i="25"/>
  <c r="J18" i="25"/>
  <c r="K18" i="25"/>
  <c r="L18" i="25"/>
  <c r="G19" i="25"/>
  <c r="J19" i="25"/>
  <c r="K19" i="25"/>
  <c r="L19" i="25"/>
  <c r="G20" i="25"/>
  <c r="J20" i="25"/>
  <c r="K20" i="25"/>
  <c r="L20" i="25"/>
  <c r="G21" i="25"/>
  <c r="J21" i="25"/>
  <c r="K21" i="25"/>
  <c r="L21" i="25"/>
  <c r="G22" i="25"/>
  <c r="J22" i="25"/>
  <c r="K22" i="25"/>
  <c r="L22" i="25"/>
  <c r="G23" i="25"/>
  <c r="J23" i="25"/>
  <c r="K23" i="25"/>
  <c r="L23" i="25"/>
  <c r="G24" i="25"/>
  <c r="J24" i="25"/>
  <c r="K24" i="25"/>
  <c r="L24" i="25"/>
  <c r="G25" i="25"/>
  <c r="J25" i="25"/>
  <c r="K25" i="25"/>
  <c r="L25" i="25"/>
  <c r="K26" i="25"/>
  <c r="L26" i="25"/>
  <c r="G27" i="25"/>
  <c r="J27" i="25"/>
  <c r="K27" i="25"/>
  <c r="L27" i="25"/>
  <c r="G28" i="25"/>
  <c r="J28" i="25"/>
  <c r="K28" i="25"/>
  <c r="L28" i="25"/>
  <c r="G29" i="25"/>
  <c r="J29" i="25"/>
  <c r="K29" i="25"/>
  <c r="L29" i="25"/>
  <c r="G30" i="25"/>
  <c r="J30" i="25"/>
  <c r="K30" i="25"/>
  <c r="L30" i="25"/>
  <c r="G31" i="25"/>
  <c r="J31" i="25"/>
  <c r="K31" i="25"/>
  <c r="L31" i="25"/>
  <c r="G32" i="25"/>
  <c r="J32" i="25"/>
  <c r="K32" i="25"/>
  <c r="L32" i="25"/>
  <c r="G33" i="25"/>
  <c r="J33" i="25"/>
  <c r="K33" i="25"/>
  <c r="L33" i="25"/>
  <c r="G34" i="25"/>
  <c r="J34" i="25"/>
  <c r="K34" i="25"/>
  <c r="G5" i="24"/>
  <c r="J5" i="24"/>
  <c r="K5" i="24"/>
  <c r="G6" i="24"/>
  <c r="J6" i="24"/>
  <c r="K6" i="24"/>
  <c r="G7" i="24"/>
  <c r="J7" i="24"/>
  <c r="K7" i="24"/>
  <c r="G8" i="24"/>
  <c r="J8" i="24"/>
  <c r="K8" i="24"/>
  <c r="G9" i="24"/>
  <c r="J9" i="24"/>
  <c r="K9" i="24"/>
  <c r="G10" i="24"/>
  <c r="J10" i="24"/>
  <c r="K10" i="24"/>
  <c r="G11" i="24"/>
  <c r="J11" i="24"/>
  <c r="K11" i="24"/>
  <c r="G12" i="24"/>
  <c r="J12" i="24"/>
  <c r="K12" i="24"/>
  <c r="G13" i="24"/>
  <c r="J13" i="24"/>
  <c r="K13" i="24"/>
  <c r="G14" i="24"/>
  <c r="J14" i="24"/>
  <c r="K14" i="24"/>
  <c r="G15" i="24"/>
  <c r="J15" i="24"/>
  <c r="K15" i="24"/>
  <c r="G16" i="24"/>
  <c r="J16" i="24"/>
  <c r="K16" i="24"/>
  <c r="G17" i="24"/>
  <c r="J17" i="24"/>
  <c r="K17" i="24"/>
  <c r="G18" i="24"/>
  <c r="J18" i="24"/>
  <c r="K18" i="24"/>
  <c r="G19" i="24"/>
  <c r="J19" i="24"/>
  <c r="K19" i="24"/>
  <c r="G20" i="24"/>
  <c r="J20" i="24"/>
  <c r="K20" i="24"/>
  <c r="G21" i="24"/>
  <c r="J21" i="24"/>
  <c r="K21" i="24"/>
  <c r="G22" i="24"/>
  <c r="J22" i="24"/>
  <c r="K22" i="24"/>
  <c r="G23" i="24"/>
  <c r="J23" i="24"/>
  <c r="K23" i="24"/>
  <c r="G24" i="24"/>
  <c r="J24" i="24"/>
  <c r="K24" i="24"/>
  <c r="G25" i="24"/>
  <c r="J25" i="24"/>
  <c r="K25" i="24"/>
  <c r="G26" i="24"/>
  <c r="J26" i="24"/>
  <c r="K26" i="24"/>
  <c r="G27" i="24"/>
  <c r="J27" i="24"/>
  <c r="K27" i="24"/>
  <c r="G28" i="24"/>
  <c r="J28" i="24"/>
  <c r="K28" i="24"/>
  <c r="G29" i="24"/>
  <c r="J29" i="24"/>
  <c r="K29" i="24"/>
  <c r="G30" i="24"/>
  <c r="J30" i="24"/>
  <c r="K30" i="24"/>
  <c r="G31" i="24"/>
  <c r="J31" i="24"/>
  <c r="K31" i="24"/>
  <c r="G32" i="24"/>
  <c r="J32" i="24"/>
  <c r="K32" i="24"/>
  <c r="G33" i="24"/>
  <c r="J33" i="24"/>
  <c r="K33" i="24"/>
  <c r="L35" i="24"/>
  <c r="J24" i="56" s="1"/>
  <c r="G5" i="61"/>
  <c r="J5" i="61"/>
  <c r="K5" i="61"/>
  <c r="G6" i="61"/>
  <c r="J6" i="61"/>
  <c r="K6" i="61"/>
  <c r="G7" i="61"/>
  <c r="K7" i="61" s="1"/>
  <c r="G8" i="61"/>
  <c r="J8" i="61"/>
  <c r="K8" i="61"/>
  <c r="G9" i="61"/>
  <c r="J9" i="61"/>
  <c r="K9" i="61"/>
  <c r="G10" i="61"/>
  <c r="J10" i="61"/>
  <c r="K10" i="61"/>
  <c r="G11" i="61"/>
  <c r="J11" i="61"/>
  <c r="K11" i="61"/>
  <c r="J12" i="61"/>
  <c r="K12" i="61"/>
  <c r="G13" i="61"/>
  <c r="J13" i="61"/>
  <c r="K13" i="61"/>
  <c r="G14" i="61"/>
  <c r="J14" i="61"/>
  <c r="K14" i="61"/>
  <c r="G15" i="61"/>
  <c r="J15" i="61"/>
  <c r="K15" i="61"/>
  <c r="G16" i="61"/>
  <c r="J16" i="61"/>
  <c r="K16" i="61"/>
  <c r="G17" i="61"/>
  <c r="J17" i="61"/>
  <c r="K17" i="61"/>
  <c r="G18" i="61"/>
  <c r="J18" i="61"/>
  <c r="K18" i="61"/>
  <c r="G19" i="61"/>
  <c r="J19" i="61"/>
  <c r="K19" i="61"/>
  <c r="G20" i="61"/>
  <c r="J20" i="61"/>
  <c r="K20" i="61"/>
  <c r="G21" i="61"/>
  <c r="J21" i="61"/>
  <c r="K21" i="61"/>
  <c r="G22" i="61"/>
  <c r="J22" i="61"/>
  <c r="K22" i="61"/>
  <c r="G23" i="61"/>
  <c r="J23" i="61"/>
  <c r="K23" i="61"/>
  <c r="G24" i="61"/>
  <c r="J24" i="61"/>
  <c r="K24" i="61"/>
  <c r="G25" i="61"/>
  <c r="J25" i="61"/>
  <c r="K25" i="61"/>
  <c r="G26" i="61"/>
  <c r="J26" i="61"/>
  <c r="K26" i="61"/>
  <c r="G27" i="61"/>
  <c r="J27" i="61"/>
  <c r="K27" i="61"/>
  <c r="G28" i="61"/>
  <c r="J28" i="61"/>
  <c r="K28" i="61"/>
  <c r="G29" i="61"/>
  <c r="J29" i="61"/>
  <c r="K29" i="61"/>
  <c r="G30" i="61"/>
  <c r="J30" i="61"/>
  <c r="K30" i="61"/>
  <c r="G31" i="61"/>
  <c r="J31" i="61"/>
  <c r="K31" i="61"/>
  <c r="G32" i="61"/>
  <c r="J32" i="61"/>
  <c r="K32" i="61"/>
  <c r="G33" i="61"/>
  <c r="J33" i="61"/>
  <c r="K33" i="61"/>
  <c r="G34" i="61"/>
  <c r="J34" i="61"/>
  <c r="K34" i="61"/>
  <c r="G35" i="61"/>
  <c r="J35" i="61"/>
  <c r="K35" i="61"/>
  <c r="G36" i="61"/>
  <c r="J36" i="61"/>
  <c r="K36" i="61"/>
  <c r="G15" i="57"/>
  <c r="J15" i="57"/>
  <c r="G16" i="57"/>
  <c r="J16" i="57"/>
  <c r="G17" i="57"/>
  <c r="J17" i="57"/>
  <c r="G18" i="57"/>
  <c r="J18" i="57"/>
  <c r="G19" i="57"/>
  <c r="G20" i="57"/>
  <c r="J20" i="57"/>
  <c r="G21" i="57"/>
  <c r="J21" i="57"/>
  <c r="J5" i="60"/>
  <c r="K5" i="60"/>
  <c r="J6" i="60"/>
  <c r="K6" i="60"/>
  <c r="J7" i="60"/>
  <c r="K7" i="60"/>
  <c r="J8" i="60"/>
  <c r="K8" i="60"/>
  <c r="J9" i="60"/>
  <c r="K9" i="60"/>
  <c r="J10" i="60"/>
  <c r="K10" i="60"/>
  <c r="J11" i="60"/>
  <c r="K11" i="60"/>
  <c r="J12" i="60"/>
  <c r="K12" i="60"/>
  <c r="J13" i="60"/>
  <c r="K13" i="60"/>
  <c r="J14" i="60"/>
  <c r="K14" i="60"/>
  <c r="J15" i="60"/>
  <c r="K15" i="60"/>
  <c r="J16" i="60"/>
  <c r="K16" i="60"/>
  <c r="J17" i="60"/>
  <c r="K17" i="60"/>
  <c r="J18" i="60"/>
  <c r="K18" i="60"/>
  <c r="J19" i="60"/>
  <c r="K19" i="60"/>
  <c r="J20" i="60"/>
  <c r="K20" i="60"/>
  <c r="J21" i="60"/>
  <c r="K21" i="60"/>
  <c r="J22" i="60"/>
  <c r="K22" i="60"/>
  <c r="J23" i="60"/>
  <c r="K23" i="60"/>
  <c r="J24" i="60"/>
  <c r="K24" i="60"/>
  <c r="J25" i="60"/>
  <c r="K25" i="60"/>
  <c r="J26" i="60"/>
  <c r="K26" i="60"/>
  <c r="J27" i="60"/>
  <c r="K27" i="60"/>
  <c r="J28" i="60"/>
  <c r="K28" i="60"/>
  <c r="J29" i="60"/>
  <c r="K29" i="60"/>
  <c r="J30" i="60"/>
  <c r="K30" i="60"/>
  <c r="J31" i="60"/>
  <c r="K31" i="60"/>
  <c r="J32" i="60"/>
  <c r="K32" i="60"/>
  <c r="J33" i="60"/>
  <c r="K33" i="60"/>
  <c r="J34" i="60"/>
  <c r="G5" i="41"/>
  <c r="J5" i="41"/>
  <c r="K5" i="41"/>
  <c r="G6" i="41"/>
  <c r="J6" i="41"/>
  <c r="K6" i="41"/>
  <c r="G7" i="41"/>
  <c r="J7" i="41"/>
  <c r="K7" i="41"/>
  <c r="G8" i="41"/>
  <c r="J8" i="41"/>
  <c r="K8" i="41"/>
  <c r="G9" i="41"/>
  <c r="J9" i="41"/>
  <c r="K9" i="41"/>
  <c r="G10" i="41"/>
  <c r="J10" i="41"/>
  <c r="K10" i="41"/>
  <c r="G11" i="41"/>
  <c r="J11" i="41"/>
  <c r="K11" i="41"/>
  <c r="G12" i="41"/>
  <c r="J12" i="41"/>
  <c r="K12" i="41"/>
  <c r="G13" i="41"/>
  <c r="J13" i="41"/>
  <c r="K13" i="41"/>
  <c r="G14" i="41"/>
  <c r="J14" i="41"/>
  <c r="K14" i="41"/>
  <c r="G15" i="41"/>
  <c r="J15" i="41"/>
  <c r="K15" i="41"/>
  <c r="G16" i="41"/>
  <c r="J16" i="41"/>
  <c r="K16" i="41"/>
  <c r="G17" i="41"/>
  <c r="J17" i="41"/>
  <c r="K17" i="41"/>
  <c r="G18" i="41"/>
  <c r="J18" i="41"/>
  <c r="K18" i="41"/>
  <c r="G19" i="41"/>
  <c r="J19" i="41"/>
  <c r="K19" i="41"/>
  <c r="G20" i="41"/>
  <c r="J20" i="41"/>
  <c r="K20" i="41"/>
  <c r="G21" i="41"/>
  <c r="J21" i="41"/>
  <c r="K21" i="41"/>
  <c r="G22" i="41"/>
  <c r="J22" i="41"/>
  <c r="K22" i="41"/>
  <c r="G23" i="41"/>
  <c r="J23" i="41"/>
  <c r="K23" i="41"/>
  <c r="G24" i="41"/>
  <c r="J24" i="41"/>
  <c r="K24" i="41"/>
  <c r="G25" i="41"/>
  <c r="J25" i="41"/>
  <c r="K25" i="41"/>
  <c r="G26" i="41"/>
  <c r="J26" i="41"/>
  <c r="K26" i="41"/>
  <c r="G27" i="41"/>
  <c r="J27" i="41"/>
  <c r="K27" i="41"/>
  <c r="G28" i="41"/>
  <c r="J28" i="41"/>
  <c r="K28" i="41"/>
  <c r="G29" i="41"/>
  <c r="J29" i="41"/>
  <c r="K29" i="41"/>
  <c r="G30" i="41"/>
  <c r="J30" i="41"/>
  <c r="K30" i="41"/>
  <c r="G31" i="41"/>
  <c r="J31" i="41"/>
  <c r="K31" i="41"/>
  <c r="G32" i="41"/>
  <c r="J32" i="41"/>
  <c r="K32" i="41"/>
  <c r="G33" i="41"/>
  <c r="J33" i="41"/>
  <c r="K33" i="41"/>
  <c r="G34" i="41"/>
  <c r="J34" i="41"/>
  <c r="K34" i="41"/>
  <c r="G35" i="41"/>
  <c r="J35" i="41"/>
  <c r="K35" i="41"/>
  <c r="G36" i="41"/>
  <c r="J36" i="41"/>
  <c r="K36" i="41"/>
  <c r="G37" i="41"/>
  <c r="J37" i="41"/>
  <c r="K37" i="41"/>
  <c r="G38" i="41"/>
  <c r="J38" i="41"/>
  <c r="K38" i="41"/>
  <c r="G39" i="41"/>
  <c r="J39" i="41"/>
  <c r="K39" i="41"/>
  <c r="G5" i="51"/>
  <c r="J5" i="51"/>
  <c r="K5" i="51"/>
  <c r="G6" i="51"/>
  <c r="J6" i="51"/>
  <c r="K6" i="51"/>
  <c r="G7" i="51"/>
  <c r="J7" i="51"/>
  <c r="K7" i="51"/>
  <c r="G8" i="51"/>
  <c r="J8" i="51"/>
  <c r="K8" i="51"/>
  <c r="G9" i="51"/>
  <c r="J9" i="51"/>
  <c r="K9" i="51"/>
  <c r="G10" i="51"/>
  <c r="J10" i="51"/>
  <c r="K10" i="51"/>
  <c r="G11" i="51"/>
  <c r="J11" i="51"/>
  <c r="K11" i="51"/>
  <c r="G12" i="51"/>
  <c r="J12" i="51"/>
  <c r="K12" i="51"/>
  <c r="G13" i="51"/>
  <c r="J13" i="51"/>
  <c r="K13" i="51"/>
  <c r="G14" i="51"/>
  <c r="J14" i="51"/>
  <c r="K14" i="51"/>
  <c r="G15" i="51"/>
  <c r="J15" i="51"/>
  <c r="K15" i="51"/>
  <c r="G16" i="51"/>
  <c r="J16" i="51"/>
  <c r="K16" i="51"/>
  <c r="G17" i="51"/>
  <c r="J17" i="51"/>
  <c r="K17" i="51"/>
  <c r="G18" i="51"/>
  <c r="J18" i="51"/>
  <c r="K18" i="51"/>
  <c r="G19" i="51"/>
  <c r="J19" i="51"/>
  <c r="K19" i="51"/>
  <c r="G20" i="51"/>
  <c r="J20" i="51"/>
  <c r="K20" i="51"/>
  <c r="G21" i="51"/>
  <c r="J21" i="51"/>
  <c r="K21" i="51"/>
  <c r="G22" i="51"/>
  <c r="J22" i="51"/>
  <c r="K22" i="51"/>
  <c r="G23" i="51"/>
  <c r="J23" i="51"/>
  <c r="K23" i="51"/>
  <c r="G24" i="51"/>
  <c r="J24" i="51"/>
  <c r="K24" i="51"/>
  <c r="G25" i="51"/>
  <c r="J25" i="51"/>
  <c r="K25" i="51"/>
  <c r="G26" i="51"/>
  <c r="J26" i="51"/>
  <c r="K26" i="51"/>
  <c r="G27" i="51"/>
  <c r="J27" i="51"/>
  <c r="K27" i="51"/>
  <c r="G28" i="51"/>
  <c r="J28" i="51"/>
  <c r="K28" i="51"/>
  <c r="G29" i="51"/>
  <c r="J29" i="51"/>
  <c r="K29" i="51"/>
  <c r="G30" i="51"/>
  <c r="J30" i="51"/>
  <c r="K30" i="51"/>
  <c r="G31" i="51"/>
  <c r="J31" i="51"/>
  <c r="K31" i="51"/>
  <c r="G32" i="51"/>
  <c r="K32" i="51" s="1"/>
  <c r="G33" i="51"/>
  <c r="J33" i="51"/>
  <c r="K33" i="51"/>
  <c r="G34" i="51"/>
  <c r="J34" i="51"/>
  <c r="K34" i="51"/>
  <c r="G35" i="51"/>
  <c r="J35" i="51"/>
  <c r="K35" i="51"/>
  <c r="G36" i="51"/>
  <c r="J36" i="51"/>
  <c r="K36" i="51"/>
  <c r="G37" i="51"/>
  <c r="J37" i="51"/>
  <c r="K37" i="51"/>
  <c r="G38" i="51"/>
  <c r="J38" i="51"/>
  <c r="K38" i="51"/>
  <c r="G39" i="51"/>
  <c r="J39" i="51"/>
  <c r="K39" i="51"/>
  <c r="G40" i="51"/>
  <c r="J40" i="51"/>
  <c r="K40" i="51"/>
  <c r="G41" i="51"/>
  <c r="J41" i="51"/>
  <c r="K41" i="51"/>
  <c r="J5" i="35"/>
  <c r="K5" i="35"/>
  <c r="J6" i="35"/>
  <c r="K6" i="35"/>
  <c r="J7" i="35"/>
  <c r="K7" i="35"/>
  <c r="J8" i="35"/>
  <c r="K8" i="35"/>
  <c r="J9" i="35"/>
  <c r="K9" i="35"/>
  <c r="J10" i="35"/>
  <c r="K10" i="35"/>
  <c r="J11" i="35"/>
  <c r="J12" i="35"/>
  <c r="K12" i="35" s="1"/>
  <c r="J13" i="35"/>
  <c r="K13" i="35" s="1"/>
  <c r="J14" i="35"/>
  <c r="K14" i="35"/>
  <c r="J15" i="35"/>
  <c r="K15" i="35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J29" i="35"/>
  <c r="K29" i="35"/>
  <c r="J30" i="35"/>
  <c r="K30" i="35"/>
  <c r="J31" i="35"/>
  <c r="K31" i="35"/>
  <c r="J32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G5" i="34"/>
  <c r="G4" i="34"/>
  <c r="G6" i="34"/>
  <c r="G7" i="34"/>
  <c r="G8" i="34"/>
  <c r="G9" i="34"/>
  <c r="G10" i="34"/>
  <c r="G11" i="34"/>
  <c r="G12" i="34"/>
  <c r="G13" i="34"/>
  <c r="G14" i="34"/>
  <c r="G15" i="34"/>
  <c r="K15" i="34" s="1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5" i="9"/>
  <c r="J5" i="9"/>
  <c r="K5" i="9"/>
  <c r="G6" i="9"/>
  <c r="J6" i="9"/>
  <c r="K6" i="9"/>
  <c r="G7" i="9"/>
  <c r="J7" i="9"/>
  <c r="K7" i="9"/>
  <c r="G8" i="9"/>
  <c r="J8" i="9"/>
  <c r="K8" i="9"/>
  <c r="G9" i="9"/>
  <c r="J9" i="9"/>
  <c r="K9" i="9"/>
  <c r="G10" i="9"/>
  <c r="J10" i="9"/>
  <c r="K10" i="9"/>
  <c r="G11" i="9"/>
  <c r="J11" i="9"/>
  <c r="K11" i="9"/>
  <c r="G12" i="9"/>
  <c r="J12" i="9"/>
  <c r="K12" i="9"/>
  <c r="G13" i="9"/>
  <c r="J13" i="9"/>
  <c r="K13" i="9"/>
  <c r="G14" i="9"/>
  <c r="J14" i="9"/>
  <c r="K14" i="9"/>
  <c r="G15" i="9"/>
  <c r="J15" i="9"/>
  <c r="K15" i="9"/>
  <c r="G16" i="9"/>
  <c r="J16" i="9"/>
  <c r="K16" i="9"/>
  <c r="G17" i="9"/>
  <c r="J17" i="9"/>
  <c r="K17" i="9"/>
  <c r="G18" i="9"/>
  <c r="J18" i="9"/>
  <c r="K18" i="9"/>
  <c r="G19" i="9"/>
  <c r="J19" i="9"/>
  <c r="K19" i="9"/>
  <c r="G20" i="9"/>
  <c r="J20" i="9"/>
  <c r="K20" i="9"/>
  <c r="G21" i="9"/>
  <c r="J21" i="9"/>
  <c r="K21" i="9"/>
  <c r="G22" i="9"/>
  <c r="J22" i="9"/>
  <c r="K22" i="9"/>
  <c r="G23" i="9"/>
  <c r="J23" i="9"/>
  <c r="K23" i="9"/>
  <c r="G24" i="9"/>
  <c r="J24" i="9"/>
  <c r="K24" i="9"/>
  <c r="G25" i="9"/>
  <c r="J25" i="9"/>
  <c r="K25" i="9"/>
  <c r="G26" i="9"/>
  <c r="J26" i="9"/>
  <c r="K26" i="9"/>
  <c r="G27" i="9"/>
  <c r="J27" i="9"/>
  <c r="K27" i="9"/>
  <c r="G28" i="9"/>
  <c r="J28" i="9"/>
  <c r="K28" i="9"/>
  <c r="G29" i="9"/>
  <c r="J29" i="9"/>
  <c r="K29" i="9"/>
  <c r="G30" i="9"/>
  <c r="J30" i="9"/>
  <c r="K30" i="9"/>
  <c r="G31" i="9"/>
  <c r="J31" i="9"/>
  <c r="K31" i="9"/>
  <c r="G32" i="9"/>
  <c r="J32" i="9"/>
  <c r="K32" i="9"/>
  <c r="G33" i="9"/>
  <c r="J33" i="9"/>
  <c r="K33" i="9"/>
  <c r="G34" i="9"/>
  <c r="J34" i="9"/>
  <c r="K34" i="9"/>
  <c r="G5" i="26"/>
  <c r="J5" i="26"/>
  <c r="K5" i="26"/>
  <c r="G6" i="26"/>
  <c r="J6" i="26"/>
  <c r="K6" i="26"/>
  <c r="G7" i="26"/>
  <c r="J7" i="26"/>
  <c r="K7" i="26"/>
  <c r="G8" i="26"/>
  <c r="J8" i="26"/>
  <c r="K8" i="26"/>
  <c r="G9" i="26"/>
  <c r="J9" i="26"/>
  <c r="K9" i="26"/>
  <c r="G10" i="26"/>
  <c r="J10" i="26"/>
  <c r="K10" i="26"/>
  <c r="G11" i="26"/>
  <c r="J11" i="26"/>
  <c r="K11" i="26"/>
  <c r="G12" i="26"/>
  <c r="J12" i="26"/>
  <c r="K12" i="26"/>
  <c r="G13" i="26"/>
  <c r="J13" i="26"/>
  <c r="K13" i="26"/>
  <c r="G14" i="26"/>
  <c r="J14" i="26"/>
  <c r="K14" i="26"/>
  <c r="G15" i="26"/>
  <c r="J15" i="26"/>
  <c r="K15" i="26"/>
  <c r="G16" i="26"/>
  <c r="J16" i="26"/>
  <c r="K16" i="26"/>
  <c r="G17" i="26"/>
  <c r="J17" i="26"/>
  <c r="K17" i="26"/>
  <c r="G18" i="26"/>
  <c r="J18" i="26"/>
  <c r="K18" i="26"/>
  <c r="G19" i="26"/>
  <c r="J19" i="26"/>
  <c r="K19" i="26"/>
  <c r="G20" i="26"/>
  <c r="J20" i="26"/>
  <c r="K20" i="26"/>
  <c r="G21" i="26"/>
  <c r="J21" i="26"/>
  <c r="K21" i="26"/>
  <c r="G22" i="26"/>
  <c r="J22" i="26"/>
  <c r="K22" i="26"/>
  <c r="G23" i="26"/>
  <c r="J23" i="26"/>
  <c r="K23" i="26"/>
  <c r="G24" i="26"/>
  <c r="J24" i="26"/>
  <c r="K24" i="26"/>
  <c r="G25" i="26"/>
  <c r="J25" i="26"/>
  <c r="K25" i="26"/>
  <c r="G26" i="26"/>
  <c r="J26" i="26"/>
  <c r="K26" i="26"/>
  <c r="G27" i="26"/>
  <c r="J27" i="26"/>
  <c r="K27" i="26"/>
  <c r="G28" i="26"/>
  <c r="J28" i="26"/>
  <c r="K28" i="26"/>
  <c r="G29" i="26"/>
  <c r="J29" i="26"/>
  <c r="K29" i="26"/>
  <c r="G30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J39" i="26"/>
  <c r="K39" i="26"/>
  <c r="G40" i="26"/>
  <c r="J40" i="26"/>
  <c r="K40" i="26"/>
  <c r="G41" i="26"/>
  <c r="J41" i="26"/>
  <c r="K41" i="26"/>
  <c r="G42" i="26"/>
  <c r="J42" i="26"/>
  <c r="K42" i="26"/>
  <c r="G43" i="26"/>
  <c r="J43" i="26"/>
  <c r="K43" i="26"/>
  <c r="G44" i="26"/>
  <c r="J44" i="26"/>
  <c r="K44" i="26"/>
  <c r="G6" i="10"/>
  <c r="J6" i="10"/>
  <c r="K6" i="10"/>
  <c r="G7" i="10"/>
  <c r="J7" i="10"/>
  <c r="K7" i="10"/>
  <c r="G8" i="10"/>
  <c r="J8" i="10"/>
  <c r="K8" i="10"/>
  <c r="G9" i="10"/>
  <c r="J9" i="10"/>
  <c r="K9" i="10"/>
  <c r="G10" i="10"/>
  <c r="J10" i="10"/>
  <c r="K10" i="10"/>
  <c r="G11" i="10"/>
  <c r="J11" i="10"/>
  <c r="K11" i="10"/>
  <c r="G12" i="10"/>
  <c r="J12" i="10"/>
  <c r="K12" i="10"/>
  <c r="G13" i="10"/>
  <c r="J13" i="10"/>
  <c r="K13" i="10"/>
  <c r="G14" i="10"/>
  <c r="J14" i="10"/>
  <c r="K14" i="10"/>
  <c r="G15" i="10"/>
  <c r="J15" i="10"/>
  <c r="K15" i="10"/>
  <c r="G16" i="10"/>
  <c r="J16" i="10"/>
  <c r="K16" i="10"/>
  <c r="G17" i="10"/>
  <c r="J17" i="10"/>
  <c r="K17" i="10"/>
  <c r="G18" i="10"/>
  <c r="J18" i="10"/>
  <c r="G19" i="10"/>
  <c r="J19" i="10"/>
  <c r="K19" i="10"/>
  <c r="J20" i="10"/>
  <c r="K20" i="10"/>
  <c r="J21" i="10"/>
  <c r="K21" i="10"/>
  <c r="G22" i="10"/>
  <c r="J22" i="10"/>
  <c r="K22" i="10"/>
  <c r="G23" i="10"/>
  <c r="J23" i="10"/>
  <c r="K23" i="10"/>
  <c r="G24" i="10"/>
  <c r="J24" i="10"/>
  <c r="K24" i="10"/>
  <c r="G25" i="10"/>
  <c r="J25" i="10"/>
  <c r="K25" i="10"/>
  <c r="G26" i="10"/>
  <c r="J26" i="10"/>
  <c r="K26" i="10"/>
  <c r="G27" i="10"/>
  <c r="J27" i="10"/>
  <c r="K27" i="10"/>
  <c r="G28" i="10"/>
  <c r="J28" i="10"/>
  <c r="K28" i="10"/>
  <c r="G29" i="10"/>
  <c r="J29" i="10"/>
  <c r="K29" i="10"/>
  <c r="G30" i="10"/>
  <c r="J30" i="10"/>
  <c r="K30" i="10"/>
  <c r="G31" i="10"/>
  <c r="J31" i="10"/>
  <c r="K31" i="10"/>
  <c r="G32" i="10"/>
  <c r="J32" i="10"/>
  <c r="K32" i="10"/>
  <c r="G33" i="10"/>
  <c r="J33" i="10"/>
  <c r="K33" i="10"/>
  <c r="G63" i="44"/>
  <c r="J32" i="65"/>
  <c r="J33" i="65"/>
  <c r="J34" i="65"/>
  <c r="J35" i="65"/>
  <c r="G34" i="65"/>
  <c r="K34" i="65" s="1"/>
  <c r="E38" i="24"/>
  <c r="P32" i="16"/>
  <c r="J43" i="44"/>
  <c r="J40" i="44"/>
  <c r="G40" i="44"/>
  <c r="K40" i="44" s="1"/>
  <c r="G38" i="44"/>
  <c r="J36" i="44"/>
  <c r="J37" i="44"/>
  <c r="J38" i="44"/>
  <c r="G37" i="44"/>
  <c r="K37" i="44" s="1"/>
  <c r="G35" i="44"/>
  <c r="G36" i="44"/>
  <c r="K36" i="44" s="1"/>
  <c r="J35" i="44"/>
  <c r="G5" i="19"/>
  <c r="J5" i="19"/>
  <c r="G6" i="19"/>
  <c r="J6" i="19"/>
  <c r="G7" i="19"/>
  <c r="G8" i="19"/>
  <c r="J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5" i="33"/>
  <c r="J5" i="33"/>
  <c r="K5" i="33"/>
  <c r="G6" i="33"/>
  <c r="J6" i="33"/>
  <c r="K6" i="33"/>
  <c r="G7" i="33"/>
  <c r="J7" i="33"/>
  <c r="K7" i="33"/>
  <c r="G8" i="33"/>
  <c r="J8" i="33"/>
  <c r="K8" i="33"/>
  <c r="G9" i="33"/>
  <c r="J9" i="33"/>
  <c r="K9" i="33"/>
  <c r="G10" i="33"/>
  <c r="J10" i="33"/>
  <c r="K10" i="33"/>
  <c r="G11" i="33"/>
  <c r="J11" i="33"/>
  <c r="K11" i="33"/>
  <c r="G12" i="33"/>
  <c r="J12" i="33"/>
  <c r="K12" i="33"/>
  <c r="G13" i="33"/>
  <c r="J13" i="33"/>
  <c r="K13" i="33"/>
  <c r="G14" i="33"/>
  <c r="J14" i="33"/>
  <c r="K14" i="33"/>
  <c r="G15" i="33"/>
  <c r="J15" i="33"/>
  <c r="K15" i="33"/>
  <c r="G16" i="33"/>
  <c r="J16" i="33"/>
  <c r="K16" i="33"/>
  <c r="G17" i="33"/>
  <c r="J17" i="33"/>
  <c r="K17" i="33"/>
  <c r="G18" i="33"/>
  <c r="J18" i="33"/>
  <c r="K18" i="33"/>
  <c r="G19" i="33"/>
  <c r="J19" i="33"/>
  <c r="K19" i="33"/>
  <c r="G20" i="33"/>
  <c r="J20" i="33"/>
  <c r="K20" i="33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G35" i="33"/>
  <c r="J35" i="33"/>
  <c r="K35" i="33"/>
  <c r="G36" i="33"/>
  <c r="J36" i="33"/>
  <c r="K36" i="33"/>
  <c r="G37" i="33"/>
  <c r="J37" i="33"/>
  <c r="K37" i="33"/>
  <c r="G38" i="33"/>
  <c r="J38" i="33"/>
  <c r="K38" i="33"/>
  <c r="G39" i="33"/>
  <c r="J39" i="33"/>
  <c r="K39" i="33"/>
  <c r="G40" i="33"/>
  <c r="J40" i="33"/>
  <c r="K40" i="33"/>
  <c r="G41" i="33"/>
  <c r="J41" i="33"/>
  <c r="K41" i="33"/>
  <c r="G42" i="33"/>
  <c r="J42" i="33"/>
  <c r="K42" i="33"/>
  <c r="J5" i="57"/>
  <c r="J6" i="57"/>
  <c r="J7" i="57"/>
  <c r="J8" i="57"/>
  <c r="J9" i="57"/>
  <c r="J10" i="57"/>
  <c r="J11" i="57"/>
  <c r="J12" i="57"/>
  <c r="J13" i="57"/>
  <c r="J14" i="57"/>
  <c r="K15" i="57"/>
  <c r="K16" i="57"/>
  <c r="K17" i="57"/>
  <c r="K18" i="57"/>
  <c r="K19" i="57"/>
  <c r="K20" i="57"/>
  <c r="K21" i="57"/>
  <c r="J22" i="57"/>
  <c r="J23" i="57"/>
  <c r="J24" i="57"/>
  <c r="J25" i="57"/>
  <c r="J26" i="57"/>
  <c r="J27" i="57"/>
  <c r="J28" i="57"/>
  <c r="J30" i="57"/>
  <c r="J31" i="57"/>
  <c r="J32" i="57"/>
  <c r="J33" i="57"/>
  <c r="J34" i="57"/>
  <c r="G8" i="14"/>
  <c r="J8" i="14"/>
  <c r="K8" i="14"/>
  <c r="G37" i="14"/>
  <c r="J37" i="14"/>
  <c r="K37" i="14"/>
  <c r="G53" i="22"/>
  <c r="J53" i="22"/>
  <c r="K53" i="22"/>
  <c r="L34" i="25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G33" i="40"/>
  <c r="K33" i="40" s="1"/>
  <c r="G34" i="40"/>
  <c r="K34" i="40"/>
  <c r="G5" i="10"/>
  <c r="J5" i="10"/>
  <c r="K5" i="10"/>
  <c r="G34" i="10"/>
  <c r="J34" i="10"/>
  <c r="K34" i="10"/>
  <c r="H35" i="10"/>
  <c r="L35" i="10"/>
  <c r="G5" i="11"/>
  <c r="J5" i="11"/>
  <c r="K5" i="11"/>
  <c r="G6" i="11"/>
  <c r="J6" i="11"/>
  <c r="K6" i="11"/>
  <c r="G7" i="11"/>
  <c r="J7" i="11"/>
  <c r="K7" i="11"/>
  <c r="G8" i="11"/>
  <c r="J8" i="11"/>
  <c r="K8" i="11"/>
  <c r="G9" i="11"/>
  <c r="J9" i="11"/>
  <c r="K9" i="11"/>
  <c r="G10" i="11"/>
  <c r="J10" i="11"/>
  <c r="K10" i="11"/>
  <c r="G11" i="11"/>
  <c r="J11" i="11"/>
  <c r="K11" i="11"/>
  <c r="G12" i="11"/>
  <c r="J12" i="11"/>
  <c r="K12" i="11"/>
  <c r="G13" i="11"/>
  <c r="J13" i="11"/>
  <c r="K13" i="11"/>
  <c r="G14" i="11"/>
  <c r="J14" i="11"/>
  <c r="K14" i="11"/>
  <c r="G15" i="11"/>
  <c r="J15" i="11"/>
  <c r="K15" i="11"/>
  <c r="G16" i="11"/>
  <c r="J16" i="11"/>
  <c r="K16" i="11"/>
  <c r="G17" i="11"/>
  <c r="J17" i="11"/>
  <c r="K17" i="11"/>
  <c r="G18" i="11"/>
  <c r="J18" i="11"/>
  <c r="K18" i="11"/>
  <c r="G19" i="11"/>
  <c r="J19" i="11"/>
  <c r="K19" i="11"/>
  <c r="G20" i="11"/>
  <c r="J20" i="11"/>
  <c r="K20" i="11"/>
  <c r="G21" i="11"/>
  <c r="J21" i="11"/>
  <c r="K21" i="11"/>
  <c r="G22" i="11"/>
  <c r="J22" i="11"/>
  <c r="K22" i="11"/>
  <c r="G23" i="11"/>
  <c r="J23" i="11"/>
  <c r="K23" i="11"/>
  <c r="G24" i="11"/>
  <c r="J24" i="11"/>
  <c r="K24" i="11"/>
  <c r="G25" i="11"/>
  <c r="J25" i="11"/>
  <c r="K25" i="11"/>
  <c r="G26" i="11"/>
  <c r="J26" i="11"/>
  <c r="K26" i="11"/>
  <c r="G27" i="11"/>
  <c r="J27" i="11"/>
  <c r="K27" i="11"/>
  <c r="G28" i="11"/>
  <c r="J28" i="11"/>
  <c r="K28" i="11"/>
  <c r="G29" i="11"/>
  <c r="J29" i="11"/>
  <c r="K29" i="11"/>
  <c r="G30" i="11"/>
  <c r="J30" i="11"/>
  <c r="K30" i="11"/>
  <c r="G31" i="11"/>
  <c r="J31" i="11"/>
  <c r="K31" i="11"/>
  <c r="G32" i="11"/>
  <c r="J32" i="11"/>
  <c r="K32" i="11"/>
  <c r="G33" i="11"/>
  <c r="J33" i="11"/>
  <c r="K33" i="11"/>
  <c r="G34" i="11"/>
  <c r="J34" i="11"/>
  <c r="K34" i="11"/>
  <c r="G6" i="63"/>
  <c r="J6" i="63"/>
  <c r="G7" i="63"/>
  <c r="J7" i="63"/>
  <c r="G8" i="63"/>
  <c r="J8" i="63"/>
  <c r="G9" i="63"/>
  <c r="J9" i="63"/>
  <c r="G10" i="63"/>
  <c r="J10" i="63"/>
  <c r="G11" i="63"/>
  <c r="J11" i="63"/>
  <c r="G12" i="63"/>
  <c r="J12" i="63"/>
  <c r="G13" i="63"/>
  <c r="J13" i="63"/>
  <c r="G14" i="63"/>
  <c r="J14" i="63"/>
  <c r="G15" i="63"/>
  <c r="J15" i="63"/>
  <c r="G16" i="63"/>
  <c r="J16" i="63"/>
  <c r="G17" i="63"/>
  <c r="J17" i="63"/>
  <c r="G18" i="63"/>
  <c r="J18" i="63"/>
  <c r="G19" i="63"/>
  <c r="J19" i="63"/>
  <c r="G20" i="63"/>
  <c r="J20" i="63"/>
  <c r="G21" i="63"/>
  <c r="J21" i="63"/>
  <c r="G22" i="63"/>
  <c r="J22" i="63"/>
  <c r="G23" i="63"/>
  <c r="J23" i="63"/>
  <c r="G24" i="63"/>
  <c r="J24" i="63"/>
  <c r="G25" i="63"/>
  <c r="J25" i="63"/>
  <c r="G26" i="63"/>
  <c r="J26" i="63"/>
  <c r="G27" i="63"/>
  <c r="J27" i="63"/>
  <c r="J28" i="63"/>
  <c r="J29" i="63"/>
  <c r="J30" i="63"/>
  <c r="J31" i="63"/>
  <c r="J32" i="63"/>
  <c r="J33" i="63"/>
  <c r="G5" i="3"/>
  <c r="J5" i="3"/>
  <c r="K5" i="3"/>
  <c r="G6" i="3"/>
  <c r="J6" i="3"/>
  <c r="K6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G21" i="3"/>
  <c r="J21" i="3"/>
  <c r="K21" i="3"/>
  <c r="G22" i="3"/>
  <c r="J22" i="3"/>
  <c r="K22" i="3"/>
  <c r="G23" i="3"/>
  <c r="J23" i="3"/>
  <c r="K23" i="3"/>
  <c r="G24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35" i="16"/>
  <c r="J35" i="16"/>
  <c r="K35" i="16"/>
  <c r="G5" i="52"/>
  <c r="J5" i="52"/>
  <c r="K5" i="52"/>
  <c r="G6" i="52"/>
  <c r="J6" i="52"/>
  <c r="K6" i="52"/>
  <c r="G7" i="52"/>
  <c r="J7" i="52"/>
  <c r="K7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K20" i="52"/>
  <c r="G21" i="52"/>
  <c r="J21" i="52"/>
  <c r="K21" i="52"/>
  <c r="G22" i="52"/>
  <c r="J22" i="52"/>
  <c r="K22" i="52"/>
  <c r="G23" i="52"/>
  <c r="J23" i="52"/>
  <c r="K23" i="52"/>
  <c r="G24" i="52"/>
  <c r="J24" i="52"/>
  <c r="K24" i="52"/>
  <c r="G25" i="52"/>
  <c r="J25" i="52"/>
  <c r="K25" i="52"/>
  <c r="G26" i="52"/>
  <c r="J26" i="52"/>
  <c r="K26" i="52"/>
  <c r="G27" i="52"/>
  <c r="J27" i="52"/>
  <c r="K27" i="52"/>
  <c r="G28" i="52"/>
  <c r="J28" i="52"/>
  <c r="K28" i="52"/>
  <c r="G29" i="52"/>
  <c r="J29" i="52"/>
  <c r="K29" i="52"/>
  <c r="G30" i="52"/>
  <c r="J30" i="52"/>
  <c r="K30" i="52"/>
  <c r="G31" i="52"/>
  <c r="J31" i="52"/>
  <c r="K31" i="52"/>
  <c r="G32" i="52"/>
  <c r="J32" i="52"/>
  <c r="K32" i="52"/>
  <c r="G33" i="52"/>
  <c r="J33" i="52"/>
  <c r="K33" i="52"/>
  <c r="J26" i="1"/>
  <c r="K26" i="1"/>
  <c r="J27" i="1"/>
  <c r="K27" i="1"/>
  <c r="J28" i="1"/>
  <c r="K28" i="1"/>
  <c r="J29" i="1"/>
  <c r="K29" i="1"/>
  <c r="J30" i="1"/>
  <c r="K30" i="1"/>
  <c r="J31" i="1"/>
  <c r="K31" i="1"/>
  <c r="G5" i="62"/>
  <c r="J5" i="62"/>
  <c r="K5" i="62"/>
  <c r="G6" i="62"/>
  <c r="J6" i="62"/>
  <c r="K6" i="62"/>
  <c r="G7" i="62"/>
  <c r="J7" i="62"/>
  <c r="K7" i="62"/>
  <c r="G8" i="62"/>
  <c r="J8" i="62"/>
  <c r="K8" i="62"/>
  <c r="G9" i="62"/>
  <c r="J9" i="62"/>
  <c r="K9" i="62"/>
  <c r="G10" i="62"/>
  <c r="J10" i="62"/>
  <c r="K10" i="62"/>
  <c r="G11" i="62"/>
  <c r="J11" i="62"/>
  <c r="K11" i="62"/>
  <c r="G12" i="62"/>
  <c r="J12" i="62"/>
  <c r="K12" i="62"/>
  <c r="G13" i="62"/>
  <c r="J13" i="62"/>
  <c r="K13" i="62"/>
  <c r="G14" i="62"/>
  <c r="J14" i="62"/>
  <c r="K14" i="62"/>
  <c r="G15" i="62"/>
  <c r="J15" i="62"/>
  <c r="K15" i="62"/>
  <c r="G16" i="62"/>
  <c r="J16" i="62"/>
  <c r="K16" i="62"/>
  <c r="G17" i="62"/>
  <c r="J17" i="62"/>
  <c r="K17" i="62"/>
  <c r="G18" i="62"/>
  <c r="J18" i="62"/>
  <c r="K18" i="62"/>
  <c r="G19" i="62"/>
  <c r="J19" i="62"/>
  <c r="K19" i="62"/>
  <c r="G20" i="62"/>
  <c r="J20" i="62"/>
  <c r="K20" i="62"/>
  <c r="G21" i="62"/>
  <c r="J21" i="62"/>
  <c r="K21" i="62"/>
  <c r="G22" i="62"/>
  <c r="J22" i="62"/>
  <c r="K22" i="62"/>
  <c r="G23" i="62"/>
  <c r="J23" i="62"/>
  <c r="K23" i="62"/>
  <c r="G24" i="62"/>
  <c r="J24" i="62"/>
  <c r="K24" i="62"/>
  <c r="G25" i="62"/>
  <c r="J25" i="62"/>
  <c r="K25" i="62"/>
  <c r="G26" i="62"/>
  <c r="J26" i="62"/>
  <c r="K26" i="62"/>
  <c r="G27" i="62"/>
  <c r="J27" i="62"/>
  <c r="K27" i="62"/>
  <c r="G28" i="62"/>
  <c r="J28" i="62"/>
  <c r="K28" i="62"/>
  <c r="G29" i="62"/>
  <c r="J29" i="62"/>
  <c r="K29" i="62"/>
  <c r="G30" i="62"/>
  <c r="J30" i="62"/>
  <c r="K30" i="62"/>
  <c r="G31" i="62"/>
  <c r="J31" i="62"/>
  <c r="K31" i="62"/>
  <c r="G32" i="62"/>
  <c r="J32" i="62"/>
  <c r="K32" i="62"/>
  <c r="G33" i="62"/>
  <c r="J33" i="62"/>
  <c r="K33" i="62"/>
  <c r="G34" i="62"/>
  <c r="J34" i="62"/>
  <c r="K34" i="62"/>
  <c r="G35" i="62"/>
  <c r="J35" i="62"/>
  <c r="K35" i="62"/>
  <c r="G5" i="2"/>
  <c r="J5" i="2"/>
  <c r="K5" i="2"/>
  <c r="G6" i="2"/>
  <c r="J6" i="2"/>
  <c r="K6" i="2"/>
  <c r="G7" i="2"/>
  <c r="J7" i="2"/>
  <c r="K7" i="2"/>
  <c r="G8" i="2"/>
  <c r="J8" i="2"/>
  <c r="K8" i="2"/>
  <c r="G9" i="2"/>
  <c r="J9" i="2"/>
  <c r="K9" i="2"/>
  <c r="G10" i="2"/>
  <c r="J10" i="2"/>
  <c r="K10" i="2"/>
  <c r="G11" i="2"/>
  <c r="J11" i="2"/>
  <c r="K11" i="2"/>
  <c r="G12" i="2"/>
  <c r="J12" i="2"/>
  <c r="K12" i="2"/>
  <c r="G13" i="2"/>
  <c r="J13" i="2"/>
  <c r="K13" i="2"/>
  <c r="G14" i="2"/>
  <c r="J14" i="2"/>
  <c r="K14" i="2"/>
  <c r="G15" i="2"/>
  <c r="J15" i="2"/>
  <c r="K15" i="2"/>
  <c r="G16" i="2"/>
  <c r="J16" i="2"/>
  <c r="K16" i="2"/>
  <c r="G17" i="2"/>
  <c r="J17" i="2"/>
  <c r="K17" i="2"/>
  <c r="G18" i="2"/>
  <c r="J18" i="2"/>
  <c r="K18" i="2"/>
  <c r="J19" i="2"/>
  <c r="K19" i="2"/>
  <c r="G20" i="2"/>
  <c r="J20" i="2"/>
  <c r="K20" i="2"/>
  <c r="G21" i="2"/>
  <c r="J21" i="2"/>
  <c r="K21" i="2"/>
  <c r="G22" i="2"/>
  <c r="J22" i="2"/>
  <c r="K22" i="2"/>
  <c r="G23" i="2"/>
  <c r="J23" i="2"/>
  <c r="K23" i="2"/>
  <c r="G24" i="2"/>
  <c r="J24" i="2"/>
  <c r="K24" i="2"/>
  <c r="G25" i="2"/>
  <c r="J25" i="2"/>
  <c r="K25" i="2"/>
  <c r="G26" i="2"/>
  <c r="J26" i="2"/>
  <c r="K26" i="2"/>
  <c r="G27" i="2"/>
  <c r="J27" i="2"/>
  <c r="K27" i="2"/>
  <c r="G28" i="2"/>
  <c r="J28" i="2"/>
  <c r="K28" i="2"/>
  <c r="G29" i="2"/>
  <c r="J29" i="2"/>
  <c r="K29" i="2"/>
  <c r="G30" i="2"/>
  <c r="J30" i="2"/>
  <c r="K30" i="2"/>
  <c r="G31" i="2"/>
  <c r="J31" i="2"/>
  <c r="K31" i="2"/>
  <c r="G32" i="2"/>
  <c r="J32" i="2"/>
  <c r="K32" i="2"/>
  <c r="G33" i="2"/>
  <c r="J33" i="2"/>
  <c r="K33" i="2"/>
  <c r="G34" i="2"/>
  <c r="J34" i="2"/>
  <c r="K34" i="2"/>
  <c r="G35" i="2"/>
  <c r="J35" i="2"/>
  <c r="K35" i="2"/>
  <c r="G5" i="65"/>
  <c r="J5" i="65"/>
  <c r="K5" i="65"/>
  <c r="G6" i="65"/>
  <c r="J6" i="65"/>
  <c r="K6" i="65"/>
  <c r="G7" i="65"/>
  <c r="J7" i="65"/>
  <c r="K7" i="65"/>
  <c r="G8" i="65"/>
  <c r="J8" i="65"/>
  <c r="K8" i="65"/>
  <c r="J9" i="65"/>
  <c r="K9" i="65"/>
  <c r="G10" i="65"/>
  <c r="J10" i="65"/>
  <c r="K10" i="65"/>
  <c r="G11" i="65"/>
  <c r="J11" i="65"/>
  <c r="K11" i="65"/>
  <c r="G12" i="65"/>
  <c r="J12" i="65"/>
  <c r="K12" i="65"/>
  <c r="G13" i="65"/>
  <c r="J13" i="65"/>
  <c r="K13" i="65"/>
  <c r="G14" i="65"/>
  <c r="K14" i="65"/>
  <c r="G15" i="65"/>
  <c r="K15" i="65"/>
  <c r="G16" i="65"/>
  <c r="K16" i="65"/>
  <c r="L37" i="65" s="1"/>
  <c r="J12" i="56" s="1"/>
  <c r="G18" i="65"/>
  <c r="J18" i="65"/>
  <c r="K18" i="65"/>
  <c r="G19" i="65"/>
  <c r="J19" i="65"/>
  <c r="K19" i="65"/>
  <c r="G20" i="65"/>
  <c r="J20" i="65"/>
  <c r="K20" i="65"/>
  <c r="G21" i="65"/>
  <c r="J21" i="65"/>
  <c r="K21" i="65"/>
  <c r="G22" i="65"/>
  <c r="J22" i="65"/>
  <c r="K22" i="65"/>
  <c r="G24" i="65"/>
  <c r="J24" i="65"/>
  <c r="K24" i="65"/>
  <c r="G25" i="65"/>
  <c r="J25" i="65"/>
  <c r="K25" i="65"/>
  <c r="G26" i="65"/>
  <c r="J26" i="65"/>
  <c r="K26" i="65"/>
  <c r="G27" i="65"/>
  <c r="J27" i="65"/>
  <c r="K27" i="65"/>
  <c r="G28" i="65"/>
  <c r="J28" i="65"/>
  <c r="K28" i="65"/>
  <c r="G29" i="65"/>
  <c r="J29" i="65"/>
  <c r="K29" i="65"/>
  <c r="G30" i="65"/>
  <c r="J30" i="65"/>
  <c r="K30" i="65"/>
  <c r="G31" i="65"/>
  <c r="J31" i="65"/>
  <c r="K31" i="65"/>
  <c r="G32" i="65"/>
  <c r="K32" i="65" s="1"/>
  <c r="G33" i="65"/>
  <c r="K33" i="65" s="1"/>
  <c r="K35" i="65"/>
  <c r="G36" i="65"/>
  <c r="J36" i="65"/>
  <c r="K36" i="65"/>
  <c r="G5" i="59"/>
  <c r="J5" i="59"/>
  <c r="K5" i="59"/>
  <c r="G6" i="59"/>
  <c r="J6" i="59"/>
  <c r="K6" i="59"/>
  <c r="G7" i="59"/>
  <c r="J7" i="59"/>
  <c r="K7" i="59"/>
  <c r="G8" i="59"/>
  <c r="J8" i="59"/>
  <c r="K8" i="59"/>
  <c r="G9" i="59"/>
  <c r="J9" i="59"/>
  <c r="K9" i="59"/>
  <c r="G10" i="59"/>
  <c r="J10" i="59"/>
  <c r="K10" i="59"/>
  <c r="G11" i="59"/>
  <c r="J11" i="59"/>
  <c r="K11" i="59"/>
  <c r="G12" i="59"/>
  <c r="J12" i="59"/>
  <c r="K12" i="59"/>
  <c r="G13" i="59"/>
  <c r="J13" i="59"/>
  <c r="K13" i="59"/>
  <c r="G14" i="59"/>
  <c r="J14" i="59"/>
  <c r="K14" i="59"/>
  <c r="G15" i="59"/>
  <c r="J15" i="59"/>
  <c r="K15" i="59"/>
  <c r="G16" i="59"/>
  <c r="J16" i="59"/>
  <c r="K16" i="59"/>
  <c r="G17" i="59"/>
  <c r="J17" i="59"/>
  <c r="K17" i="59"/>
  <c r="G18" i="59"/>
  <c r="J18" i="59"/>
  <c r="K18" i="59"/>
  <c r="G19" i="59"/>
  <c r="J19" i="59"/>
  <c r="K19" i="59"/>
  <c r="G20" i="59"/>
  <c r="J20" i="59"/>
  <c r="K20" i="59"/>
  <c r="G21" i="59"/>
  <c r="J21" i="59"/>
  <c r="K21" i="59"/>
  <c r="G22" i="59"/>
  <c r="J22" i="59"/>
  <c r="K22" i="59"/>
  <c r="G23" i="59"/>
  <c r="J23" i="59"/>
  <c r="K23" i="59"/>
  <c r="G24" i="59"/>
  <c r="J24" i="59"/>
  <c r="K24" i="59"/>
  <c r="G25" i="59"/>
  <c r="J25" i="59"/>
  <c r="K25" i="59"/>
  <c r="G26" i="59"/>
  <c r="J26" i="59"/>
  <c r="K26" i="59"/>
  <c r="G27" i="59"/>
  <c r="J27" i="59"/>
  <c r="K27" i="59"/>
  <c r="G28" i="59"/>
  <c r="J28" i="59"/>
  <c r="K28" i="59"/>
  <c r="G29" i="59"/>
  <c r="J29" i="59"/>
  <c r="K29" i="59"/>
  <c r="G30" i="59"/>
  <c r="J30" i="59"/>
  <c r="K30" i="59"/>
  <c r="G31" i="59"/>
  <c r="J31" i="59"/>
  <c r="K31" i="59"/>
  <c r="G32" i="59"/>
  <c r="J32" i="59"/>
  <c r="K32" i="59"/>
  <c r="G33" i="59"/>
  <c r="J33" i="59"/>
  <c r="K33" i="59"/>
  <c r="G34" i="59"/>
  <c r="J34" i="59"/>
  <c r="K34" i="59"/>
  <c r="G5" i="58"/>
  <c r="J5" i="58"/>
  <c r="K5" i="58"/>
  <c r="L5" i="58"/>
  <c r="G6" i="58"/>
  <c r="J6" i="58"/>
  <c r="K6" i="58"/>
  <c r="L6" i="58"/>
  <c r="G7" i="58"/>
  <c r="J7" i="58"/>
  <c r="K7" i="58"/>
  <c r="L7" i="58"/>
  <c r="G8" i="58"/>
  <c r="J8" i="58"/>
  <c r="K8" i="58"/>
  <c r="L8" i="58"/>
  <c r="J9" i="58"/>
  <c r="K9" i="58"/>
  <c r="L9" i="58"/>
  <c r="J10" i="58"/>
  <c r="K10" i="58"/>
  <c r="L10" i="58"/>
  <c r="J11" i="58"/>
  <c r="K11" i="58"/>
  <c r="L11" i="58"/>
  <c r="J12" i="58"/>
  <c r="J13" i="58"/>
  <c r="J14" i="58"/>
  <c r="J15" i="58"/>
  <c r="J16" i="58"/>
  <c r="J17" i="58"/>
  <c r="J18" i="58"/>
  <c r="J19" i="58"/>
  <c r="K19" i="58"/>
  <c r="L19" i="58"/>
  <c r="J20" i="58"/>
  <c r="K20" i="58"/>
  <c r="L20" i="58"/>
  <c r="J21" i="58"/>
  <c r="K21" i="58"/>
  <c r="L21" i="58"/>
  <c r="J22" i="58"/>
  <c r="K22" i="58"/>
  <c r="L22" i="58"/>
  <c r="J23" i="58"/>
  <c r="K23" i="58"/>
  <c r="L23" i="58"/>
  <c r="J24" i="58"/>
  <c r="K24" i="58"/>
  <c r="L24" i="58"/>
  <c r="J25" i="58"/>
  <c r="K25" i="58"/>
  <c r="L25" i="58"/>
  <c r="J26" i="58"/>
  <c r="K26" i="58"/>
  <c r="L26" i="58"/>
  <c r="J27" i="58"/>
  <c r="K27" i="58"/>
  <c r="L27" i="58"/>
  <c r="J28" i="58"/>
  <c r="K28" i="58"/>
  <c r="L28" i="58"/>
  <c r="G29" i="58"/>
  <c r="J29" i="58"/>
  <c r="K29" i="58"/>
  <c r="L29" i="58"/>
  <c r="G30" i="58"/>
  <c r="J30" i="58"/>
  <c r="K30" i="58"/>
  <c r="L30" i="58"/>
  <c r="G31" i="58"/>
  <c r="J31" i="58"/>
  <c r="K31" i="58"/>
  <c r="L31" i="58"/>
  <c r="G32" i="58"/>
  <c r="J32" i="58"/>
  <c r="K32" i="58"/>
  <c r="L32" i="58"/>
  <c r="G33" i="58"/>
  <c r="J33" i="58"/>
  <c r="K33" i="58"/>
  <c r="L33" i="58"/>
  <c r="G5" i="18"/>
  <c r="K5" i="18"/>
  <c r="G6" i="18"/>
  <c r="K6" i="18"/>
  <c r="G7" i="18"/>
  <c r="K7" i="18"/>
  <c r="G8" i="18"/>
  <c r="K8" i="18"/>
  <c r="G9" i="18"/>
  <c r="K9" i="18"/>
  <c r="G10" i="18"/>
  <c r="K10" i="18"/>
  <c r="G11" i="18"/>
  <c r="K11" i="18"/>
  <c r="G12" i="18"/>
  <c r="K12" i="18"/>
  <c r="G13" i="18"/>
  <c r="K13" i="18"/>
  <c r="G14" i="18"/>
  <c r="K14" i="18"/>
  <c r="G15" i="18"/>
  <c r="K15" i="18"/>
  <c r="G16" i="18"/>
  <c r="J16" i="18"/>
  <c r="K16" i="18"/>
  <c r="G17" i="18"/>
  <c r="J17" i="18"/>
  <c r="K17" i="18"/>
  <c r="G18" i="18"/>
  <c r="J18" i="18"/>
  <c r="K18" i="18"/>
  <c r="G19" i="18"/>
  <c r="J19" i="18"/>
  <c r="K19" i="18"/>
  <c r="G20" i="18"/>
  <c r="J20" i="18"/>
  <c r="K20" i="18"/>
  <c r="G21" i="18"/>
  <c r="J21" i="18"/>
  <c r="K21" i="18"/>
  <c r="G22" i="18"/>
  <c r="J22" i="18"/>
  <c r="K22" i="18"/>
  <c r="G23" i="18"/>
  <c r="J23" i="18"/>
  <c r="K23" i="18"/>
  <c r="G24" i="18"/>
  <c r="J24" i="18"/>
  <c r="K24" i="18"/>
  <c r="G25" i="18"/>
  <c r="J25" i="18"/>
  <c r="K25" i="18"/>
  <c r="G26" i="18"/>
  <c r="J26" i="18"/>
  <c r="K26" i="18"/>
  <c r="G27" i="18"/>
  <c r="J27" i="18"/>
  <c r="K27" i="18"/>
  <c r="G28" i="18"/>
  <c r="J28" i="18"/>
  <c r="K28" i="18"/>
  <c r="G29" i="18"/>
  <c r="J29" i="18"/>
  <c r="K29" i="18"/>
  <c r="G30" i="18"/>
  <c r="J30" i="18"/>
  <c r="K30" i="18"/>
  <c r="G31" i="18"/>
  <c r="J31" i="18"/>
  <c r="K31" i="18"/>
  <c r="G32" i="18"/>
  <c r="J32" i="18"/>
  <c r="K32" i="18"/>
  <c r="G33" i="18"/>
  <c r="J33" i="18"/>
  <c r="K33" i="18"/>
  <c r="G34" i="18"/>
  <c r="J34" i="18"/>
  <c r="K34" i="18"/>
  <c r="G5" i="47"/>
  <c r="J5" i="47"/>
  <c r="K5" i="47"/>
  <c r="G6" i="47"/>
  <c r="J6" i="47"/>
  <c r="K6" i="47"/>
  <c r="G7" i="47"/>
  <c r="J7" i="47"/>
  <c r="K7" i="47"/>
  <c r="G8" i="47"/>
  <c r="J8" i="47"/>
  <c r="K8" i="47"/>
  <c r="G9" i="47"/>
  <c r="J9" i="47"/>
  <c r="K9" i="47"/>
  <c r="G10" i="47"/>
  <c r="J10" i="47"/>
  <c r="K10" i="47"/>
  <c r="G11" i="47"/>
  <c r="J11" i="47"/>
  <c r="K11" i="47"/>
  <c r="G12" i="47"/>
  <c r="J12" i="47"/>
  <c r="K12" i="47"/>
  <c r="G13" i="47"/>
  <c r="J13" i="47"/>
  <c r="K13" i="47"/>
  <c r="G14" i="47"/>
  <c r="J14" i="47"/>
  <c r="K14" i="47"/>
  <c r="G15" i="47"/>
  <c r="J15" i="47"/>
  <c r="K15" i="47"/>
  <c r="G16" i="47"/>
  <c r="J16" i="47"/>
  <c r="K16" i="47"/>
  <c r="G17" i="47"/>
  <c r="J17" i="47"/>
  <c r="K17" i="47"/>
  <c r="G18" i="47"/>
  <c r="J18" i="47"/>
  <c r="K18" i="47"/>
  <c r="G19" i="47"/>
  <c r="J19" i="47"/>
  <c r="K19" i="47"/>
  <c r="G20" i="47"/>
  <c r="J20" i="47"/>
  <c r="K20" i="47"/>
  <c r="G21" i="47"/>
  <c r="J21" i="47"/>
  <c r="K21" i="47"/>
  <c r="G22" i="47"/>
  <c r="J22" i="47"/>
  <c r="K22" i="47"/>
  <c r="G23" i="47"/>
  <c r="J23" i="47"/>
  <c r="K23" i="47"/>
  <c r="G24" i="47"/>
  <c r="J24" i="47"/>
  <c r="K24" i="47"/>
  <c r="G25" i="47"/>
  <c r="J25" i="47"/>
  <c r="K25" i="47"/>
  <c r="G26" i="47"/>
  <c r="J26" i="47"/>
  <c r="K26" i="47"/>
  <c r="G27" i="47"/>
  <c r="J27" i="47"/>
  <c r="K27" i="47"/>
  <c r="G28" i="47"/>
  <c r="J28" i="47"/>
  <c r="K28" i="47"/>
  <c r="G29" i="47"/>
  <c r="J29" i="47"/>
  <c r="K29" i="47"/>
  <c r="G30" i="47"/>
  <c r="J30" i="47"/>
  <c r="K30" i="47"/>
  <c r="G31" i="47"/>
  <c r="J31" i="47"/>
  <c r="K31" i="47"/>
  <c r="G32" i="47"/>
  <c r="J32" i="47"/>
  <c r="K32" i="47"/>
  <c r="G33" i="47"/>
  <c r="J33" i="47"/>
  <c r="K33" i="47"/>
  <c r="G34" i="47"/>
  <c r="J34" i="47"/>
  <c r="K34" i="47"/>
  <c r="G5" i="50"/>
  <c r="K5" i="50"/>
  <c r="G6" i="50"/>
  <c r="K6" i="50"/>
  <c r="G7" i="50"/>
  <c r="K7" i="50"/>
  <c r="G8" i="50"/>
  <c r="K8" i="50"/>
  <c r="G9" i="50"/>
  <c r="K9" i="50"/>
  <c r="G10" i="50"/>
  <c r="K10" i="50"/>
  <c r="G11" i="50"/>
  <c r="K11" i="50"/>
  <c r="G12" i="50"/>
  <c r="K12" i="50"/>
  <c r="G13" i="50"/>
  <c r="K13" i="50"/>
  <c r="G14" i="50"/>
  <c r="K14" i="50"/>
  <c r="G15" i="50"/>
  <c r="K15" i="50"/>
  <c r="G16" i="50"/>
  <c r="K16" i="50"/>
  <c r="G17" i="50"/>
  <c r="K17" i="50"/>
  <c r="G18" i="50"/>
  <c r="K18" i="50"/>
  <c r="G19" i="50"/>
  <c r="K19" i="50"/>
  <c r="G20" i="50"/>
  <c r="K20" i="50"/>
  <c r="G21" i="50"/>
  <c r="K21" i="50"/>
  <c r="G22" i="50"/>
  <c r="K22" i="50"/>
  <c r="G23" i="50"/>
  <c r="K23" i="50"/>
  <c r="G24" i="50"/>
  <c r="K24" i="50"/>
  <c r="G25" i="50"/>
  <c r="K25" i="50"/>
  <c r="G26" i="50"/>
  <c r="K26" i="50"/>
  <c r="G27" i="50"/>
  <c r="K27" i="50"/>
  <c r="G28" i="50"/>
  <c r="K28" i="50"/>
  <c r="G29" i="50"/>
  <c r="K29" i="50"/>
  <c r="K30" i="50"/>
  <c r="G31" i="50"/>
  <c r="K31" i="50"/>
  <c r="G32" i="50"/>
  <c r="K32" i="50"/>
  <c r="G33" i="50"/>
  <c r="K33" i="50"/>
  <c r="G34" i="50"/>
  <c r="K34" i="50"/>
  <c r="G35" i="50"/>
  <c r="J35" i="50"/>
  <c r="K35" i="50"/>
  <c r="G36" i="50"/>
  <c r="J36" i="50"/>
  <c r="K36" i="50"/>
  <c r="G37" i="50"/>
  <c r="J37" i="50"/>
  <c r="K37" i="50"/>
  <c r="H35" i="59"/>
  <c r="I12" i="56"/>
  <c r="H37" i="65"/>
  <c r="F12" i="56" s="1"/>
  <c r="E37" i="65"/>
  <c r="D12" i="56" s="1"/>
  <c r="J4" i="65"/>
  <c r="J37" i="65" s="1"/>
  <c r="G12" i="56" s="1"/>
  <c r="G4" i="65"/>
  <c r="I22" i="56"/>
  <c r="H35" i="63"/>
  <c r="F22" i="56" s="1"/>
  <c r="E35" i="63"/>
  <c r="D22" i="56" s="1"/>
  <c r="L32" i="63"/>
  <c r="L31" i="63"/>
  <c r="L30" i="63"/>
  <c r="L29" i="63"/>
  <c r="K27" i="63"/>
  <c r="K26" i="63"/>
  <c r="L26" i="63" s="1"/>
  <c r="K25" i="63"/>
  <c r="L25" i="63" s="1"/>
  <c r="K24" i="63"/>
  <c r="L24" i="63" s="1"/>
  <c r="K23" i="63"/>
  <c r="L23" i="63" s="1"/>
  <c r="K22" i="63"/>
  <c r="L22" i="63" s="1"/>
  <c r="K21" i="63"/>
  <c r="L21" i="63" s="1"/>
  <c r="K20" i="63"/>
  <c r="L20" i="63" s="1"/>
  <c r="K19" i="63"/>
  <c r="L19" i="63" s="1"/>
  <c r="K18" i="63"/>
  <c r="L18" i="63" s="1"/>
  <c r="K17" i="63"/>
  <c r="L17" i="63" s="1"/>
  <c r="K16" i="63"/>
  <c r="L16" i="63" s="1"/>
  <c r="K15" i="63"/>
  <c r="L15" i="63" s="1"/>
  <c r="K14" i="63"/>
  <c r="L14" i="63" s="1"/>
  <c r="K13" i="63"/>
  <c r="L13" i="63" s="1"/>
  <c r="K12" i="63"/>
  <c r="L12" i="63" s="1"/>
  <c r="K11" i="63"/>
  <c r="L11" i="63" s="1"/>
  <c r="K10" i="63"/>
  <c r="L10" i="63" s="1"/>
  <c r="K9" i="63"/>
  <c r="L9" i="63" s="1"/>
  <c r="K8" i="63"/>
  <c r="L8" i="63" s="1"/>
  <c r="K7" i="63"/>
  <c r="L7" i="63" s="1"/>
  <c r="K6" i="63"/>
  <c r="L6" i="63" s="1"/>
  <c r="L5" i="63"/>
  <c r="J4" i="63"/>
  <c r="J35" i="63" s="1"/>
  <c r="G22" i="56" s="1"/>
  <c r="G4" i="63"/>
  <c r="M3" i="63"/>
  <c r="G5" i="44"/>
  <c r="G10" i="44"/>
  <c r="G11" i="44"/>
  <c r="G12" i="44"/>
  <c r="G13" i="44"/>
  <c r="G14" i="44"/>
  <c r="G15" i="44"/>
  <c r="G16" i="44"/>
  <c r="G17" i="44"/>
  <c r="G18" i="44"/>
  <c r="G19" i="44"/>
  <c r="G20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9" i="44"/>
  <c r="G41" i="44"/>
  <c r="G42" i="44"/>
  <c r="G43" i="44"/>
  <c r="K43" i="44" s="1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I27" i="56"/>
  <c r="L36" i="62"/>
  <c r="J14" i="56" s="1"/>
  <c r="H36" i="62"/>
  <c r="F14" i="56" s="1"/>
  <c r="E36" i="62"/>
  <c r="D14" i="56" s="1"/>
  <c r="J4" i="62"/>
  <c r="J36" i="62" s="1"/>
  <c r="G14" i="56" s="1"/>
  <c r="G4" i="62"/>
  <c r="M3" i="62"/>
  <c r="I14" i="56" s="1"/>
  <c r="K5" i="19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 s="1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27" i="19"/>
  <c r="L27" i="19"/>
  <c r="K28" i="19"/>
  <c r="L28" i="19"/>
  <c r="K29" i="19"/>
  <c r="L29" i="19"/>
  <c r="K30" i="19"/>
  <c r="L30" i="19"/>
  <c r="K31" i="19"/>
  <c r="L31" i="19"/>
  <c r="K32" i="19"/>
  <c r="L32" i="19"/>
  <c r="K33" i="19"/>
  <c r="L33" i="19"/>
  <c r="G43" i="33"/>
  <c r="J43" i="33"/>
  <c r="K43" i="33"/>
  <c r="G5" i="57"/>
  <c r="K5" i="57" s="1"/>
  <c r="L5" i="57"/>
  <c r="G6" i="57"/>
  <c r="K6" i="57" s="1"/>
  <c r="L6" i="57"/>
  <c r="G7" i="57"/>
  <c r="K7" i="57" s="1"/>
  <c r="L7" i="57"/>
  <c r="G8" i="57"/>
  <c r="K8" i="57" s="1"/>
  <c r="L8" i="57"/>
  <c r="G9" i="57"/>
  <c r="K9" i="57" s="1"/>
  <c r="L9" i="57"/>
  <c r="G10" i="57"/>
  <c r="K10" i="57" s="1"/>
  <c r="L10" i="57"/>
  <c r="G11" i="57"/>
  <c r="K11" i="57" s="1"/>
  <c r="L11" i="57"/>
  <c r="G12" i="57"/>
  <c r="K12" i="57" s="1"/>
  <c r="L12" i="57"/>
  <c r="G13" i="57"/>
  <c r="K13" i="57" s="1"/>
  <c r="L13" i="57"/>
  <c r="G14" i="57"/>
  <c r="K14" i="57" s="1"/>
  <c r="L14" i="57"/>
  <c r="L15" i="57"/>
  <c r="L16" i="57"/>
  <c r="L17" i="57"/>
  <c r="L18" i="57"/>
  <c r="L19" i="57"/>
  <c r="L20" i="57"/>
  <c r="L21" i="57"/>
  <c r="G22" i="57"/>
  <c r="K22" i="57" s="1"/>
  <c r="L22" i="57"/>
  <c r="G23" i="57"/>
  <c r="K23" i="57" s="1"/>
  <c r="L23" i="57"/>
  <c r="G24" i="57"/>
  <c r="K24" i="57" s="1"/>
  <c r="L24" i="57"/>
  <c r="G25" i="57"/>
  <c r="K25" i="57" s="1"/>
  <c r="L25" i="57"/>
  <c r="G26" i="57"/>
  <c r="K26" i="57" s="1"/>
  <c r="L26" i="57"/>
  <c r="G27" i="57"/>
  <c r="K27" i="57" s="1"/>
  <c r="L27" i="57"/>
  <c r="G28" i="57"/>
  <c r="K28" i="57" s="1"/>
  <c r="L28" i="57"/>
  <c r="G29" i="57"/>
  <c r="K29" i="57" s="1"/>
  <c r="L29" i="57"/>
  <c r="G30" i="57"/>
  <c r="K30" i="57" s="1"/>
  <c r="L30" i="57"/>
  <c r="G31" i="57"/>
  <c r="K31" i="57" s="1"/>
  <c r="L31" i="57"/>
  <c r="G32" i="57"/>
  <c r="K32" i="57" s="1"/>
  <c r="L32" i="57"/>
  <c r="G34" i="36"/>
  <c r="J34" i="36"/>
  <c r="K34" i="36"/>
  <c r="G34" i="37"/>
  <c r="J34" i="37"/>
  <c r="K34" i="37"/>
  <c r="L34" i="37"/>
  <c r="G6" i="14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G34" i="3"/>
  <c r="J34" i="3"/>
  <c r="K34" i="3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G32" i="7"/>
  <c r="J32" i="7"/>
  <c r="K32" i="7"/>
  <c r="G8" i="1"/>
  <c r="J8" i="1"/>
  <c r="K8" i="1"/>
  <c r="G9" i="1"/>
  <c r="J9" i="1"/>
  <c r="K9" i="1"/>
  <c r="G10" i="1"/>
  <c r="J10" i="1"/>
  <c r="K10" i="1"/>
  <c r="G11" i="1"/>
  <c r="J11" i="1"/>
  <c r="K11" i="1"/>
  <c r="G12" i="1"/>
  <c r="J12" i="1"/>
  <c r="K12" i="1"/>
  <c r="G13" i="1"/>
  <c r="J13" i="1"/>
  <c r="K13" i="1"/>
  <c r="G14" i="1"/>
  <c r="J14" i="1"/>
  <c r="K14" i="1"/>
  <c r="G15" i="1"/>
  <c r="J15" i="1"/>
  <c r="K15" i="1"/>
  <c r="G16" i="1"/>
  <c r="J16" i="1"/>
  <c r="K16" i="1"/>
  <c r="G17" i="1"/>
  <c r="J17" i="1"/>
  <c r="K17" i="1"/>
  <c r="G18" i="1"/>
  <c r="J18" i="1"/>
  <c r="K18" i="1"/>
  <c r="G19" i="1"/>
  <c r="J19" i="1"/>
  <c r="K19" i="1"/>
  <c r="G20" i="1"/>
  <c r="J20" i="1"/>
  <c r="K20" i="1"/>
  <c r="G21" i="1"/>
  <c r="J21" i="1"/>
  <c r="K21" i="1"/>
  <c r="G22" i="1"/>
  <c r="J22" i="1"/>
  <c r="K22" i="1"/>
  <c r="G23" i="1"/>
  <c r="J23" i="1"/>
  <c r="K23" i="1"/>
  <c r="G24" i="1"/>
  <c r="J24" i="1"/>
  <c r="K24" i="1"/>
  <c r="G25" i="1"/>
  <c r="J25" i="1"/>
  <c r="K25" i="1"/>
  <c r="G26" i="1"/>
  <c r="G27" i="1"/>
  <c r="G28" i="1"/>
  <c r="G29" i="1"/>
  <c r="G30" i="1"/>
  <c r="G31" i="1"/>
  <c r="G32" i="1"/>
  <c r="J32" i="1"/>
  <c r="K32" i="1"/>
  <c r="G33" i="1"/>
  <c r="J33" i="1"/>
  <c r="K33" i="1"/>
  <c r="G34" i="1"/>
  <c r="J34" i="1"/>
  <c r="K34" i="1"/>
  <c r="J5" i="54"/>
  <c r="K5" i="54"/>
  <c r="G6" i="54"/>
  <c r="J6" i="54"/>
  <c r="K6" i="54"/>
  <c r="G7" i="54"/>
  <c r="J7" i="54"/>
  <c r="K7" i="54"/>
  <c r="G8" i="54"/>
  <c r="J8" i="54"/>
  <c r="K8" i="54"/>
  <c r="G9" i="54"/>
  <c r="J9" i="54"/>
  <c r="K9" i="54"/>
  <c r="J10" i="54"/>
  <c r="K10" i="54"/>
  <c r="G11" i="54"/>
  <c r="J11" i="54"/>
  <c r="K11" i="54"/>
  <c r="G12" i="54"/>
  <c r="J12" i="54"/>
  <c r="K12" i="54"/>
  <c r="G13" i="54"/>
  <c r="J13" i="54"/>
  <c r="K13" i="54"/>
  <c r="G14" i="54"/>
  <c r="J14" i="54"/>
  <c r="K14" i="54"/>
  <c r="G16" i="54"/>
  <c r="J16" i="54"/>
  <c r="G17" i="54"/>
  <c r="J17" i="54"/>
  <c r="K17" i="54"/>
  <c r="G18" i="54"/>
  <c r="J18" i="54"/>
  <c r="K18" i="54"/>
  <c r="G19" i="54"/>
  <c r="J19" i="54"/>
  <c r="K19" i="54"/>
  <c r="G20" i="54"/>
  <c r="J20" i="54"/>
  <c r="K20" i="54"/>
  <c r="G21" i="54"/>
  <c r="J21" i="54"/>
  <c r="K21" i="54"/>
  <c r="G22" i="54"/>
  <c r="J22" i="54"/>
  <c r="G23" i="54"/>
  <c r="J23" i="54"/>
  <c r="K23" i="54"/>
  <c r="G24" i="54"/>
  <c r="J24" i="54"/>
  <c r="K24" i="54"/>
  <c r="G25" i="54"/>
  <c r="J25" i="54"/>
  <c r="K25" i="54"/>
  <c r="G26" i="54"/>
  <c r="J26" i="54"/>
  <c r="K26" i="54"/>
  <c r="G27" i="54"/>
  <c r="J27" i="54"/>
  <c r="K27" i="54"/>
  <c r="G28" i="54"/>
  <c r="J28" i="54"/>
  <c r="K28" i="54"/>
  <c r="G29" i="54"/>
  <c r="J29" i="54"/>
  <c r="K29" i="54"/>
  <c r="G30" i="54"/>
  <c r="J30" i="54"/>
  <c r="K30" i="54"/>
  <c r="G31" i="54"/>
  <c r="J31" i="54"/>
  <c r="K31" i="54"/>
  <c r="G32" i="54"/>
  <c r="J32" i="54"/>
  <c r="K32" i="54"/>
  <c r="G33" i="54"/>
  <c r="J33" i="54"/>
  <c r="K33" i="54"/>
  <c r="G34" i="54"/>
  <c r="J34" i="54"/>
  <c r="K34" i="54"/>
  <c r="H35" i="37"/>
  <c r="E43" i="35"/>
  <c r="E35" i="11"/>
  <c r="Q34" i="54"/>
  <c r="H40" i="41"/>
  <c r="J34" i="44"/>
  <c r="I39" i="56"/>
  <c r="I25" i="56"/>
  <c r="H37" i="61"/>
  <c r="F25" i="56" s="1"/>
  <c r="D25" i="56"/>
  <c r="L37" i="61"/>
  <c r="J25" i="56" s="1"/>
  <c r="J4" i="61"/>
  <c r="J37" i="61" s="1"/>
  <c r="G25" i="56" s="1"/>
  <c r="G4" i="61"/>
  <c r="H35" i="12"/>
  <c r="E37" i="15"/>
  <c r="E35" i="37"/>
  <c r="J42" i="44"/>
  <c r="Q21" i="34"/>
  <c r="E47" i="34"/>
  <c r="G5" i="1"/>
  <c r="G6" i="1"/>
  <c r="G7" i="1"/>
  <c r="I46" i="56"/>
  <c r="I43" i="56"/>
  <c r="H35" i="60"/>
  <c r="F39" i="56" s="1"/>
  <c r="D39" i="56"/>
  <c r="J4" i="60"/>
  <c r="J35" i="60" s="1"/>
  <c r="G39" i="56" s="1"/>
  <c r="I4" i="56"/>
  <c r="I35" i="56"/>
  <c r="I5" i="56"/>
  <c r="I32" i="56"/>
  <c r="I44" i="56"/>
  <c r="I41" i="56"/>
  <c r="G4" i="52"/>
  <c r="G64" i="44"/>
  <c r="K64" i="44" s="1"/>
  <c r="G65" i="44"/>
  <c r="G66" i="44"/>
  <c r="G67" i="44"/>
  <c r="G68" i="44"/>
  <c r="K68" i="44" s="1"/>
  <c r="G69" i="44"/>
  <c r="G70" i="44"/>
  <c r="G71" i="44"/>
  <c r="G72" i="44"/>
  <c r="G73" i="44"/>
  <c r="G74" i="44"/>
  <c r="K74" i="44" s="1"/>
  <c r="G75" i="44"/>
  <c r="G76" i="44"/>
  <c r="G77" i="44"/>
  <c r="G78" i="44"/>
  <c r="G79" i="44"/>
  <c r="K79" i="44" s="1"/>
  <c r="G80" i="44"/>
  <c r="G81" i="44"/>
  <c r="G82" i="44"/>
  <c r="G83" i="44"/>
  <c r="J4" i="47"/>
  <c r="J5" i="14"/>
  <c r="H36" i="2"/>
  <c r="P11" i="33"/>
  <c r="I9" i="56"/>
  <c r="F9" i="56"/>
  <c r="E35" i="59"/>
  <c r="D9" i="56" s="1"/>
  <c r="J4" i="59"/>
  <c r="J35" i="59" s="1"/>
  <c r="G9" i="56" s="1"/>
  <c r="G4" i="59"/>
  <c r="L40" i="41"/>
  <c r="I47" i="56"/>
  <c r="I42" i="56"/>
  <c r="I38" i="56"/>
  <c r="I37" i="56"/>
  <c r="I31" i="56"/>
  <c r="I50" i="56" s="1"/>
  <c r="I30" i="56"/>
  <c r="I26" i="56"/>
  <c r="I19" i="56"/>
  <c r="I18" i="56"/>
  <c r="I17" i="56"/>
  <c r="I16" i="56"/>
  <c r="I15" i="56"/>
  <c r="G35" i="18"/>
  <c r="M3" i="45"/>
  <c r="J5" i="44"/>
  <c r="J9" i="44"/>
  <c r="J10" i="44"/>
  <c r="J11" i="44"/>
  <c r="J12" i="44"/>
  <c r="J13" i="44"/>
  <c r="J14" i="44"/>
  <c r="J15" i="44"/>
  <c r="J16" i="44"/>
  <c r="J17" i="44"/>
  <c r="J18" i="44"/>
  <c r="J19" i="44"/>
  <c r="J20" i="44"/>
  <c r="J21" i="44"/>
  <c r="J22" i="44"/>
  <c r="J23" i="44"/>
  <c r="J24" i="44"/>
  <c r="J25" i="44"/>
  <c r="J26" i="44"/>
  <c r="J27" i="44"/>
  <c r="J28" i="44"/>
  <c r="J29" i="44"/>
  <c r="J30" i="44"/>
  <c r="J31" i="44"/>
  <c r="J32" i="44"/>
  <c r="J33" i="44"/>
  <c r="J39" i="44"/>
  <c r="J41" i="44"/>
  <c r="J49" i="44"/>
  <c r="J50" i="44"/>
  <c r="J51" i="44"/>
  <c r="J52" i="44"/>
  <c r="J53" i="44"/>
  <c r="J54" i="44"/>
  <c r="J55" i="44"/>
  <c r="J56" i="44"/>
  <c r="J57" i="44"/>
  <c r="J58" i="44"/>
  <c r="J59" i="44"/>
  <c r="J60" i="44"/>
  <c r="J61" i="44"/>
  <c r="J62" i="44"/>
  <c r="J64" i="44"/>
  <c r="J65" i="44"/>
  <c r="J66" i="44"/>
  <c r="J67" i="44"/>
  <c r="K67" i="44" s="1"/>
  <c r="G4" i="9"/>
  <c r="G4" i="1"/>
  <c r="K34" i="19"/>
  <c r="L34" i="19"/>
  <c r="G33" i="57"/>
  <c r="K33" i="57" s="1"/>
  <c r="L33" i="57" s="1"/>
  <c r="G34" i="57"/>
  <c r="K34" i="57" s="1"/>
  <c r="L34" i="57" s="1"/>
  <c r="G4" i="41"/>
  <c r="G4" i="37"/>
  <c r="G35" i="15"/>
  <c r="J35" i="15"/>
  <c r="K35" i="15"/>
  <c r="G5" i="14"/>
  <c r="K5" i="14" s="1"/>
  <c r="M3" i="3"/>
  <c r="G5" i="7"/>
  <c r="J5" i="7"/>
  <c r="G6" i="7"/>
  <c r="J6" i="7"/>
  <c r="G7" i="7"/>
  <c r="J7" i="7"/>
  <c r="G8" i="7"/>
  <c r="J8" i="7"/>
  <c r="G9" i="7"/>
  <c r="J9" i="7"/>
  <c r="G18" i="7"/>
  <c r="J18" i="7"/>
  <c r="G19" i="7"/>
  <c r="J19" i="7"/>
  <c r="G20" i="7"/>
  <c r="J20" i="7"/>
  <c r="J21" i="7"/>
  <c r="J22" i="7"/>
  <c r="G33" i="7"/>
  <c r="J33" i="7"/>
  <c r="J5" i="1"/>
  <c r="K5" i="1"/>
  <c r="J6" i="1"/>
  <c r="K6" i="1"/>
  <c r="J7" i="1"/>
  <c r="K7" i="1"/>
  <c r="J35" i="18"/>
  <c r="K35" i="18"/>
  <c r="G4" i="50"/>
  <c r="K4" i="50"/>
  <c r="G34" i="58"/>
  <c r="J34" i="58"/>
  <c r="K34" i="58"/>
  <c r="L34" i="58"/>
  <c r="J4" i="58"/>
  <c r="G4" i="58"/>
  <c r="H35" i="58"/>
  <c r="F8" i="56" s="1"/>
  <c r="E35" i="58"/>
  <c r="D8" i="56" s="1"/>
  <c r="J35" i="58"/>
  <c r="H35" i="36"/>
  <c r="E35" i="36"/>
  <c r="D34" i="56"/>
  <c r="H35" i="19"/>
  <c r="E35" i="19"/>
  <c r="H43" i="51"/>
  <c r="E43" i="51"/>
  <c r="F48" i="56"/>
  <c r="D48" i="56"/>
  <c r="F47" i="56"/>
  <c r="D47" i="56"/>
  <c r="D46" i="56"/>
  <c r="D44" i="56"/>
  <c r="E44" i="33"/>
  <c r="D43" i="56" s="1"/>
  <c r="F42" i="56"/>
  <c r="E35" i="9"/>
  <c r="D42" i="56" s="1"/>
  <c r="F41" i="56"/>
  <c r="E46" i="26"/>
  <c r="D41" i="56" s="1"/>
  <c r="H35" i="57"/>
  <c r="F40" i="56" s="1"/>
  <c r="D40" i="56"/>
  <c r="J4" i="57"/>
  <c r="J35" i="57" s="1"/>
  <c r="G40" i="56" s="1"/>
  <c r="G4" i="57"/>
  <c r="J38" i="56"/>
  <c r="F38" i="56"/>
  <c r="E40" i="41"/>
  <c r="D38" i="56" s="1"/>
  <c r="E35" i="12"/>
  <c r="L35" i="12"/>
  <c r="J37" i="56"/>
  <c r="F37" i="56"/>
  <c r="D37" i="56"/>
  <c r="F30" i="56"/>
  <c r="D30" i="56"/>
  <c r="I13" i="56"/>
  <c r="H47" i="34"/>
  <c r="F44" i="56" s="1"/>
  <c r="D35" i="56"/>
  <c r="D32" i="56"/>
  <c r="E38" i="14"/>
  <c r="D31" i="56" s="1"/>
  <c r="E35" i="25"/>
  <c r="D29" i="56" s="1"/>
  <c r="E35" i="40"/>
  <c r="D28" i="56" s="1"/>
  <c r="D27" i="56"/>
  <c r="J26" i="56"/>
  <c r="D26" i="56"/>
  <c r="E35" i="24"/>
  <c r="D24" i="56" s="1"/>
  <c r="E35" i="3"/>
  <c r="D19" i="56" s="1"/>
  <c r="E35" i="7"/>
  <c r="D18" i="56" s="1"/>
  <c r="E36" i="16"/>
  <c r="D17" i="56" s="1"/>
  <c r="L36" i="16"/>
  <c r="E35" i="52"/>
  <c r="D16" i="56" s="1"/>
  <c r="E35" i="1"/>
  <c r="D15" i="56" s="1"/>
  <c r="E36" i="2"/>
  <c r="D13" i="56" s="1"/>
  <c r="E35" i="54"/>
  <c r="D5" i="56" s="1"/>
  <c r="J42" i="56"/>
  <c r="F35" i="56"/>
  <c r="F34" i="56"/>
  <c r="L35" i="11"/>
  <c r="J27" i="56" s="1"/>
  <c r="H35" i="11"/>
  <c r="F27" i="56" s="1"/>
  <c r="F26" i="56"/>
  <c r="H35" i="3"/>
  <c r="F19" i="56" s="1"/>
  <c r="L35" i="3"/>
  <c r="J19" i="56" s="1"/>
  <c r="H35" i="7"/>
  <c r="F18" i="56" s="1"/>
  <c r="L36" i="2"/>
  <c r="J13" i="56" s="1"/>
  <c r="H36" i="18"/>
  <c r="F4" i="56" s="1"/>
  <c r="E36" i="18"/>
  <c r="D4" i="56" s="1"/>
  <c r="I3" i="56"/>
  <c r="I2" i="56"/>
  <c r="L38" i="50"/>
  <c r="J2" i="56" s="1"/>
  <c r="H38" i="50"/>
  <c r="F2" i="56" s="1"/>
  <c r="E38" i="50"/>
  <c r="D2" i="56" s="1"/>
  <c r="F46" i="56"/>
  <c r="L37" i="15"/>
  <c r="J32" i="56" s="1"/>
  <c r="H37" i="15"/>
  <c r="F32" i="56" s="1"/>
  <c r="L38" i="14"/>
  <c r="J31" i="56" s="1"/>
  <c r="H38" i="14"/>
  <c r="F31" i="56" s="1"/>
  <c r="H35" i="25"/>
  <c r="F29" i="56" s="1"/>
  <c r="J35" i="40"/>
  <c r="G28" i="56" s="1"/>
  <c r="H35" i="40"/>
  <c r="F28" i="56" s="1"/>
  <c r="H35" i="24"/>
  <c r="F24" i="56" s="1"/>
  <c r="K37" i="16"/>
  <c r="L35" i="52"/>
  <c r="J16" i="56" s="1"/>
  <c r="H35" i="52"/>
  <c r="F16" i="56" s="1"/>
  <c r="H35" i="1"/>
  <c r="F15" i="56" s="1"/>
  <c r="G35" i="1"/>
  <c r="E15" i="56" s="1"/>
  <c r="L35" i="1"/>
  <c r="J15" i="56" s="1"/>
  <c r="F13" i="56"/>
  <c r="E35" i="47"/>
  <c r="D3" i="56" s="1"/>
  <c r="L35" i="47"/>
  <c r="J3" i="56" s="1"/>
  <c r="H35" i="47"/>
  <c r="F3" i="56" s="1"/>
  <c r="L35" i="54"/>
  <c r="J5" i="56" s="1"/>
  <c r="H35" i="54"/>
  <c r="F5" i="56" s="1"/>
  <c r="J4" i="54"/>
  <c r="J35" i="54" s="1"/>
  <c r="G5" i="56" s="1"/>
  <c r="M3" i="54"/>
  <c r="G37" i="15"/>
  <c r="E32" i="56" s="1"/>
  <c r="J4" i="44"/>
  <c r="G4" i="44"/>
  <c r="J68" i="44"/>
  <c r="J69" i="44"/>
  <c r="J70" i="44"/>
  <c r="J71" i="44"/>
  <c r="J72" i="44"/>
  <c r="J73" i="44"/>
  <c r="J74" i="44"/>
  <c r="J75" i="44"/>
  <c r="J76" i="44"/>
  <c r="J77" i="44"/>
  <c r="J78" i="44"/>
  <c r="J79" i="44"/>
  <c r="J80" i="44"/>
  <c r="J81" i="44"/>
  <c r="J82" i="44"/>
  <c r="J83" i="44"/>
  <c r="G84" i="44"/>
  <c r="J84" i="44"/>
  <c r="G85" i="44"/>
  <c r="J85" i="44"/>
  <c r="G86" i="44"/>
  <c r="J86" i="44"/>
  <c r="G87" i="44"/>
  <c r="J87" i="44"/>
  <c r="G88" i="44"/>
  <c r="J88" i="44"/>
  <c r="G89" i="44"/>
  <c r="J89" i="44"/>
  <c r="G90" i="44"/>
  <c r="J90" i="44"/>
  <c r="G4" i="51"/>
  <c r="G4" i="22"/>
  <c r="K5" i="7"/>
  <c r="K6" i="7"/>
  <c r="K7" i="7"/>
  <c r="K8" i="7"/>
  <c r="K9" i="7"/>
  <c r="K18" i="7"/>
  <c r="K19" i="7"/>
  <c r="K20" i="7"/>
  <c r="K21" i="7"/>
  <c r="K22" i="7"/>
  <c r="K33" i="7"/>
  <c r="M3" i="52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/>
  <c r="M18" i="52"/>
  <c r="M19" i="52"/>
  <c r="M20" i="52"/>
  <c r="M21" i="52"/>
  <c r="M22" i="52"/>
  <c r="M23" i="52"/>
  <c r="M24" i="52"/>
  <c r="M25" i="52"/>
  <c r="M26" i="52"/>
  <c r="M27" i="52"/>
  <c r="M28" i="52"/>
  <c r="M29" i="52"/>
  <c r="M30" i="52"/>
  <c r="M31" i="52"/>
  <c r="J45" i="26"/>
  <c r="J4" i="41"/>
  <c r="J42" i="51"/>
  <c r="G42" i="51"/>
  <c r="K42" i="51" s="1"/>
  <c r="L42" i="51" s="1"/>
  <c r="J4" i="51"/>
  <c r="G45" i="26"/>
  <c r="K45" i="26"/>
  <c r="G34" i="7"/>
  <c r="J34" i="7"/>
  <c r="K34" i="7"/>
  <c r="G4" i="47"/>
  <c r="M3" i="50"/>
  <c r="L35" i="36"/>
  <c r="J34" i="56" s="1"/>
  <c r="X16" i="1"/>
  <c r="V21" i="16"/>
  <c r="V20" i="16"/>
  <c r="G4" i="40"/>
  <c r="G4" i="25"/>
  <c r="J4" i="24"/>
  <c r="J35" i="24" s="1"/>
  <c r="G24" i="56" s="1"/>
  <c r="G4" i="12"/>
  <c r="G35" i="12" s="1"/>
  <c r="E37" i="56" s="1"/>
  <c r="H36" i="16"/>
  <c r="F17" i="56" s="1"/>
  <c r="L36" i="18"/>
  <c r="J4" i="56" s="1"/>
  <c r="M3" i="40"/>
  <c r="I38" i="37"/>
  <c r="J4" i="37"/>
  <c r="I38" i="36"/>
  <c r="J4" i="36"/>
  <c r="J35" i="36" s="1"/>
  <c r="G4" i="36"/>
  <c r="G35" i="36" s="1"/>
  <c r="E34" i="56" s="1"/>
  <c r="M3" i="36"/>
  <c r="I34" i="56" s="1"/>
  <c r="J42" i="35"/>
  <c r="G42" i="35"/>
  <c r="K42" i="35" s="1"/>
  <c r="L42" i="35" s="1"/>
  <c r="J4" i="35"/>
  <c r="G46" i="34"/>
  <c r="L46" i="34" s="1"/>
  <c r="G45" i="34"/>
  <c r="L45" i="34" s="1"/>
  <c r="H44" i="33"/>
  <c r="F43" i="56" s="1"/>
  <c r="J4" i="33"/>
  <c r="J44" i="33" s="1"/>
  <c r="G43" i="56" s="1"/>
  <c r="G4" i="33"/>
  <c r="J4" i="10"/>
  <c r="J35" i="10" s="1"/>
  <c r="M3" i="9"/>
  <c r="J4" i="22"/>
  <c r="J54" i="22" s="1"/>
  <c r="G30" i="56" s="1"/>
  <c r="L35" i="7"/>
  <c r="J18" i="56" s="1"/>
  <c r="M3" i="1"/>
  <c r="I40" i="15"/>
  <c r="J4" i="26"/>
  <c r="G4" i="26"/>
  <c r="J4" i="9"/>
  <c r="J4" i="15"/>
  <c r="M3" i="25"/>
  <c r="G4" i="7"/>
  <c r="G4" i="24"/>
  <c r="G4" i="19"/>
  <c r="G35" i="19" s="1"/>
  <c r="E48" i="56" s="1"/>
  <c r="J4" i="19"/>
  <c r="K4" i="19"/>
  <c r="J4" i="16"/>
  <c r="G4" i="16"/>
  <c r="J4" i="14"/>
  <c r="G4" i="14"/>
  <c r="K4" i="14"/>
  <c r="J4" i="7"/>
  <c r="J35" i="7" s="1"/>
  <c r="G18" i="56" s="1"/>
  <c r="J4" i="12"/>
  <c r="G4" i="11"/>
  <c r="J4" i="11"/>
  <c r="J35" i="11" s="1"/>
  <c r="G27" i="56" s="1"/>
  <c r="K4" i="11"/>
  <c r="M4" i="11" s="1"/>
  <c r="M5" i="11" s="1"/>
  <c r="G4" i="10"/>
  <c r="G35" i="10" s="1"/>
  <c r="J4" i="3"/>
  <c r="J35" i="3" s="1"/>
  <c r="G19" i="56" s="1"/>
  <c r="G4" i="3"/>
  <c r="G35" i="3" s="1"/>
  <c r="E19" i="56" s="1"/>
  <c r="J4" i="2"/>
  <c r="J36" i="2" s="1"/>
  <c r="G13" i="56" s="1"/>
  <c r="G4" i="2"/>
  <c r="G36" i="2" s="1"/>
  <c r="E13" i="56" s="1"/>
  <c r="H13" i="56" s="1"/>
  <c r="J4" i="1"/>
  <c r="J35" i="1" s="1"/>
  <c r="G15" i="56" s="1"/>
  <c r="K4" i="1"/>
  <c r="K35" i="1" s="1"/>
  <c r="M14" i="69" l="1"/>
  <c r="M15" i="69" s="1"/>
  <c r="M16" i="69" s="1"/>
  <c r="M17" i="69" s="1"/>
  <c r="M18" i="69" s="1"/>
  <c r="M19" i="69" s="1"/>
  <c r="M20" i="69" s="1"/>
  <c r="M21" i="69" s="1"/>
  <c r="M22" i="69"/>
  <c r="M23" i="69" s="1"/>
  <c r="M24" i="69" s="1"/>
  <c r="M25" i="69" s="1"/>
  <c r="M26" i="69" s="1"/>
  <c r="M27" i="69" s="1"/>
  <c r="M28" i="69" s="1"/>
  <c r="M29" i="69" s="1"/>
  <c r="M30" i="69" s="1"/>
  <c r="M31" i="69" s="1"/>
  <c r="M32" i="69" s="1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G36" i="79"/>
  <c r="E49" i="56" s="1"/>
  <c r="H49" i="56" s="1"/>
  <c r="K49" i="56" s="1"/>
  <c r="K4" i="79"/>
  <c r="K26" i="78"/>
  <c r="G35" i="78"/>
  <c r="K6" i="14"/>
  <c r="J37" i="76"/>
  <c r="G36" i="56" s="1"/>
  <c r="K4" i="76"/>
  <c r="G37" i="76"/>
  <c r="E36" i="56" s="1"/>
  <c r="H36" i="56" s="1"/>
  <c r="K36" i="56" s="1"/>
  <c r="E36" i="77" s="1"/>
  <c r="K5" i="76"/>
  <c r="J37" i="75"/>
  <c r="G33" i="56" s="1"/>
  <c r="K4" i="75"/>
  <c r="G37" i="75"/>
  <c r="E33" i="56" s="1"/>
  <c r="H33" i="56" s="1"/>
  <c r="K33" i="56" s="1"/>
  <c r="E33" i="77" s="1"/>
  <c r="K5" i="75"/>
  <c r="K18" i="10"/>
  <c r="K14" i="68"/>
  <c r="G35" i="74"/>
  <c r="E23" i="56" s="1"/>
  <c r="H23" i="56" s="1"/>
  <c r="K4" i="74"/>
  <c r="G35" i="73"/>
  <c r="E21" i="56" s="1"/>
  <c r="H21" i="56" s="1"/>
  <c r="K4" i="73"/>
  <c r="G35" i="72"/>
  <c r="E6" i="56" s="1"/>
  <c r="H6" i="56" s="1"/>
  <c r="K6" i="56" s="1"/>
  <c r="E7" i="77" s="1"/>
  <c r="K4" i="72"/>
  <c r="K60" i="44"/>
  <c r="M60" i="44" s="1"/>
  <c r="M61" i="44" s="1"/>
  <c r="M62" i="44" s="1"/>
  <c r="M63" i="44" s="1"/>
  <c r="M64" i="44" s="1"/>
  <c r="K59" i="44"/>
  <c r="K58" i="44"/>
  <c r="K57" i="44"/>
  <c r="K56" i="44"/>
  <c r="K55" i="44"/>
  <c r="K54" i="44"/>
  <c r="K53" i="44"/>
  <c r="K52" i="44"/>
  <c r="K51" i="44"/>
  <c r="K50" i="44"/>
  <c r="K49" i="44"/>
  <c r="K42" i="44"/>
  <c r="K41" i="44"/>
  <c r="K39" i="44"/>
  <c r="K34" i="44"/>
  <c r="K33" i="44"/>
  <c r="K32" i="44"/>
  <c r="K31" i="44"/>
  <c r="K30" i="44"/>
  <c r="K29" i="44"/>
  <c r="K28" i="44"/>
  <c r="K27" i="44"/>
  <c r="K26" i="44"/>
  <c r="K25" i="44"/>
  <c r="K24" i="44"/>
  <c r="K23" i="44"/>
  <c r="K22" i="44"/>
  <c r="K21" i="44"/>
  <c r="K20" i="44"/>
  <c r="K19" i="44"/>
  <c r="K18" i="44"/>
  <c r="K17" i="44"/>
  <c r="K16" i="44"/>
  <c r="K15" i="44"/>
  <c r="K14" i="44"/>
  <c r="K13" i="44"/>
  <c r="K12" i="44"/>
  <c r="K35" i="44"/>
  <c r="K38" i="44"/>
  <c r="H19" i="56"/>
  <c r="K19" i="56" s="1"/>
  <c r="E19" i="77" s="1"/>
  <c r="M32" i="52"/>
  <c r="M33" i="52" s="1"/>
  <c r="K22" i="54"/>
  <c r="K11" i="35"/>
  <c r="G35" i="71"/>
  <c r="E11" i="56" s="1"/>
  <c r="H11" i="56" s="1"/>
  <c r="K4" i="71"/>
  <c r="G35" i="70"/>
  <c r="E10" i="56" s="1"/>
  <c r="H10" i="56" s="1"/>
  <c r="K4" i="70"/>
  <c r="M4" i="45"/>
  <c r="M5" i="45" s="1"/>
  <c r="M6" i="45" s="1"/>
  <c r="M7" i="45" s="1"/>
  <c r="M8" i="45" s="1"/>
  <c r="K4" i="69"/>
  <c r="E48" i="69"/>
  <c r="D45" i="56" s="1"/>
  <c r="G35" i="68"/>
  <c r="E20" i="56" s="1"/>
  <c r="K4" i="44"/>
  <c r="M4" i="44" s="1"/>
  <c r="K11" i="44"/>
  <c r="K10" i="44"/>
  <c r="K9" i="44"/>
  <c r="K8" i="44"/>
  <c r="K7" i="44"/>
  <c r="K6" i="44"/>
  <c r="K5" i="44"/>
  <c r="L28" i="63"/>
  <c r="M6" i="11"/>
  <c r="G37" i="65"/>
  <c r="E12" i="56" s="1"/>
  <c r="H12" i="56" s="1"/>
  <c r="K12" i="56" s="1"/>
  <c r="E12" i="77" s="1"/>
  <c r="K4" i="65"/>
  <c r="K37" i="65" s="1"/>
  <c r="J36" i="16"/>
  <c r="G17" i="56" s="1"/>
  <c r="L46" i="26"/>
  <c r="G35" i="63"/>
  <c r="E22" i="56" s="1"/>
  <c r="H22" i="56" s="1"/>
  <c r="K4" i="63"/>
  <c r="M7" i="1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G36" i="62"/>
  <c r="E14" i="56" s="1"/>
  <c r="H14" i="56" s="1"/>
  <c r="K14" i="56" s="1"/>
  <c r="E14" i="77" s="1"/>
  <c r="K4" i="62"/>
  <c r="G37" i="61"/>
  <c r="E25" i="56" s="1"/>
  <c r="H25" i="56" s="1"/>
  <c r="K25" i="56" s="1"/>
  <c r="E25" i="77" s="1"/>
  <c r="K4" i="61"/>
  <c r="G35" i="60"/>
  <c r="E39" i="56" s="1"/>
  <c r="H39" i="56" s="1"/>
  <c r="K4" i="60"/>
  <c r="J43" i="51"/>
  <c r="G47" i="56" s="1"/>
  <c r="G47" i="34"/>
  <c r="E44" i="56" s="1"/>
  <c r="J17" i="56"/>
  <c r="G35" i="59"/>
  <c r="E9" i="56" s="1"/>
  <c r="H9" i="56" s="1"/>
  <c r="K4" i="59"/>
  <c r="M4" i="59" s="1"/>
  <c r="M5" i="59" s="1"/>
  <c r="M6" i="59" s="1"/>
  <c r="M7" i="59" s="1"/>
  <c r="M8" i="59" s="1"/>
  <c r="M9" i="59" s="1"/>
  <c r="M10" i="59" s="1"/>
  <c r="M11" i="59" s="1"/>
  <c r="M12" i="59" s="1"/>
  <c r="M13" i="59" s="1"/>
  <c r="M14" i="59" s="1"/>
  <c r="M15" i="59" s="1"/>
  <c r="M16" i="59" s="1"/>
  <c r="M17" i="59" s="1"/>
  <c r="M18" i="59" s="1"/>
  <c r="M19" i="59" s="1"/>
  <c r="M20" i="59" s="1"/>
  <c r="M21" i="59" s="1"/>
  <c r="M22" i="59" s="1"/>
  <c r="M23" i="59" s="1"/>
  <c r="G36" i="18"/>
  <c r="K4" i="12"/>
  <c r="K35" i="12" s="1"/>
  <c r="J35" i="12"/>
  <c r="G37" i="56" s="1"/>
  <c r="H37" i="56"/>
  <c r="K37" i="56" s="1"/>
  <c r="E37" i="77" s="1"/>
  <c r="H15" i="56"/>
  <c r="K15" i="56" s="1"/>
  <c r="E15" i="77" s="1"/>
  <c r="J47" i="34"/>
  <c r="G44" i="56" s="1"/>
  <c r="H44" i="56" s="1"/>
  <c r="G44" i="33"/>
  <c r="E43" i="56" s="1"/>
  <c r="H43" i="56" s="1"/>
  <c r="J35" i="9"/>
  <c r="G42" i="56" s="1"/>
  <c r="J46" i="26"/>
  <c r="G41" i="56" s="1"/>
  <c r="G54" i="22"/>
  <c r="E30" i="56" s="1"/>
  <c r="H30" i="56" s="1"/>
  <c r="K4" i="40"/>
  <c r="L4" i="40" s="1"/>
  <c r="G35" i="40"/>
  <c r="E28" i="56" s="1"/>
  <c r="H28" i="56" s="1"/>
  <c r="L35" i="40"/>
  <c r="J28" i="56" s="1"/>
  <c r="K35" i="40"/>
  <c r="J35" i="52"/>
  <c r="G16" i="56" s="1"/>
  <c r="K35" i="52"/>
  <c r="H16" i="56" s="1"/>
  <c r="K16" i="56" s="1"/>
  <c r="E16" i="77" s="1"/>
  <c r="G35" i="52"/>
  <c r="K13" i="56"/>
  <c r="E13" i="77" s="1"/>
  <c r="J40" i="41"/>
  <c r="G38" i="56" s="1"/>
  <c r="J37" i="15"/>
  <c r="G32" i="56" s="1"/>
  <c r="H32" i="56" s="1"/>
  <c r="G35" i="11"/>
  <c r="E27" i="56" s="1"/>
  <c r="G43" i="35"/>
  <c r="E46" i="56" s="1"/>
  <c r="G43" i="51"/>
  <c r="E47" i="56" s="1"/>
  <c r="H47" i="56" s="1"/>
  <c r="J41" i="56"/>
  <c r="G46" i="26"/>
  <c r="E41" i="56" s="1"/>
  <c r="E4" i="56"/>
  <c r="J35" i="19"/>
  <c r="G48" i="56" s="1"/>
  <c r="H48" i="56" s="1"/>
  <c r="H41" i="56"/>
  <c r="J43" i="35"/>
  <c r="G46" i="56" s="1"/>
  <c r="H46" i="56" s="1"/>
  <c r="G35" i="9"/>
  <c r="E42" i="56" s="1"/>
  <c r="G40" i="41"/>
  <c r="E38" i="56" s="1"/>
  <c r="H38" i="56" s="1"/>
  <c r="K32" i="56"/>
  <c r="E32" i="77" s="1"/>
  <c r="G35" i="58"/>
  <c r="E8" i="56" s="1"/>
  <c r="H8" i="56" s="1"/>
  <c r="K4" i="58"/>
  <c r="G35" i="57"/>
  <c r="E40" i="56" s="1"/>
  <c r="H40" i="56" s="1"/>
  <c r="K4" i="57"/>
  <c r="L4" i="57" s="1"/>
  <c r="L35" i="57" s="1"/>
  <c r="J40" i="56" s="1"/>
  <c r="H27" i="56"/>
  <c r="K27" i="56" s="1"/>
  <c r="E27" i="77" s="1"/>
  <c r="G35" i="7"/>
  <c r="E18" i="56" s="1"/>
  <c r="J35" i="47"/>
  <c r="G3" i="56" s="1"/>
  <c r="G26" i="56"/>
  <c r="J35" i="37"/>
  <c r="G35" i="56" s="1"/>
  <c r="J38" i="14"/>
  <c r="G31" i="56" s="1"/>
  <c r="G38" i="14"/>
  <c r="E31" i="56" s="1"/>
  <c r="H31" i="56" s="1"/>
  <c r="K31" i="56" s="1"/>
  <c r="E31" i="77" s="1"/>
  <c r="G35" i="47"/>
  <c r="E3" i="56" s="1"/>
  <c r="K35" i="19"/>
  <c r="H20" i="56"/>
  <c r="J36" i="18"/>
  <c r="G4" i="56" s="1"/>
  <c r="J38" i="50"/>
  <c r="G2" i="56" s="1"/>
  <c r="G38" i="50"/>
  <c r="E2" i="56" s="1"/>
  <c r="H2" i="56" s="1"/>
  <c r="G34" i="56"/>
  <c r="G35" i="25"/>
  <c r="E29" i="56" s="1"/>
  <c r="J35" i="25"/>
  <c r="G29" i="56" s="1"/>
  <c r="H29" i="56" s="1"/>
  <c r="K35" i="11"/>
  <c r="E26" i="56"/>
  <c r="G35" i="54"/>
  <c r="E5" i="56" s="1"/>
  <c r="G35" i="24"/>
  <c r="E24" i="56" s="1"/>
  <c r="H24" i="56" s="1"/>
  <c r="G35" i="37"/>
  <c r="E35" i="56" s="1"/>
  <c r="H35" i="56" s="1"/>
  <c r="K4" i="54"/>
  <c r="K4" i="41"/>
  <c r="K38" i="14"/>
  <c r="K4" i="22"/>
  <c r="M4" i="22" s="1"/>
  <c r="M5" i="22" s="1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P53" i="22" s="1"/>
  <c r="K4" i="51"/>
  <c r="K4" i="24"/>
  <c r="K38" i="50"/>
  <c r="K4" i="47"/>
  <c r="K35" i="47" s="1"/>
  <c r="M4" i="47"/>
  <c r="O4" i="47" s="1"/>
  <c r="G36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22" i="47" s="1"/>
  <c r="M23" i="47" s="1"/>
  <c r="M24" i="47" s="1"/>
  <c r="M4" i="12"/>
  <c r="K4" i="18"/>
  <c r="K36" i="18" s="1"/>
  <c r="M4" i="18"/>
  <c r="K4" i="37"/>
  <c r="K4" i="36"/>
  <c r="K35" i="36" s="1"/>
  <c r="K4" i="35"/>
  <c r="M4" i="35" s="1"/>
  <c r="M5" i="35" s="1"/>
  <c r="M6" i="35" s="1"/>
  <c r="M7" i="35" s="1"/>
  <c r="M8" i="35" s="1"/>
  <c r="M4" i="34"/>
  <c r="K4" i="33"/>
  <c r="L4" i="19"/>
  <c r="L35" i="19" s="1"/>
  <c r="J48" i="56" s="1"/>
  <c r="M5" i="18"/>
  <c r="M6" i="18" s="1"/>
  <c r="M7" i="18" s="1"/>
  <c r="M8" i="18" s="1"/>
  <c r="K4" i="7"/>
  <c r="K35" i="7" s="1"/>
  <c r="M4" i="14"/>
  <c r="M5" i="14" s="1"/>
  <c r="M6" i="14" s="1"/>
  <c r="M7" i="14" s="1"/>
  <c r="M8" i="14" s="1"/>
  <c r="M9" i="14" s="1"/>
  <c r="M10" i="14" s="1"/>
  <c r="K4" i="9"/>
  <c r="K4" i="10"/>
  <c r="K35" i="10" s="1"/>
  <c r="K4" i="2"/>
  <c r="K36" i="2" s="1"/>
  <c r="K4" i="26"/>
  <c r="M4" i="26" s="1"/>
  <c r="M11" i="14"/>
  <c r="M12" i="14" s="1"/>
  <c r="M13" i="14" s="1"/>
  <c r="M14" i="14" s="1"/>
  <c r="M15" i="14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K4" i="25"/>
  <c r="K4" i="15"/>
  <c r="K37" i="15" s="1"/>
  <c r="K4" i="3"/>
  <c r="K36" i="79" l="1"/>
  <c r="M4" i="79"/>
  <c r="M5" i="79" s="1"/>
  <c r="M6" i="79" s="1"/>
  <c r="M7" i="79" s="1"/>
  <c r="M8" i="79" s="1"/>
  <c r="M9" i="79" s="1"/>
  <c r="M10" i="79" s="1"/>
  <c r="M11" i="79" s="1"/>
  <c r="M12" i="79" s="1"/>
  <c r="M13" i="79" s="1"/>
  <c r="M14" i="79" s="1"/>
  <c r="K35" i="78"/>
  <c r="M26" i="78"/>
  <c r="M27" i="78" s="1"/>
  <c r="M28" i="78" s="1"/>
  <c r="M29" i="78" s="1"/>
  <c r="M30" i="78" s="1"/>
  <c r="M31" i="78" s="1"/>
  <c r="M32" i="78" s="1"/>
  <c r="M33" i="78" s="1"/>
  <c r="M34" i="78" s="1"/>
  <c r="K37" i="76"/>
  <c r="M4" i="76"/>
  <c r="M5" i="76" s="1"/>
  <c r="M6" i="76" s="1"/>
  <c r="M7" i="76" s="1"/>
  <c r="M8" i="76" s="1"/>
  <c r="M9" i="76" s="1"/>
  <c r="M10" i="76" s="1"/>
  <c r="M11" i="76" s="1"/>
  <c r="M12" i="76" s="1"/>
  <c r="M13" i="76" s="1"/>
  <c r="M14" i="76" s="1"/>
  <c r="M15" i="76" s="1"/>
  <c r="M16" i="76" s="1"/>
  <c r="M17" i="76" s="1"/>
  <c r="M18" i="76" s="1"/>
  <c r="M19" i="76" s="1"/>
  <c r="M20" i="76" s="1"/>
  <c r="M21" i="76" s="1"/>
  <c r="M22" i="76" s="1"/>
  <c r="M23" i="76" s="1"/>
  <c r="M24" i="76" s="1"/>
  <c r="M25" i="76" s="1"/>
  <c r="M26" i="76" s="1"/>
  <c r="M27" i="76" s="1"/>
  <c r="M28" i="76" s="1"/>
  <c r="M29" i="76" s="1"/>
  <c r="M30" i="76" s="1"/>
  <c r="M31" i="76" s="1"/>
  <c r="M32" i="76" s="1"/>
  <c r="M33" i="76" s="1"/>
  <c r="M34" i="76" s="1"/>
  <c r="M35" i="76" s="1"/>
  <c r="M36" i="76" s="1"/>
  <c r="M65" i="44"/>
  <c r="M66" i="44" s="1"/>
  <c r="M67" i="44" s="1"/>
  <c r="M68" i="44" s="1"/>
  <c r="M69" i="44" s="1"/>
  <c r="M70" i="44" s="1"/>
  <c r="M71" i="44" s="1"/>
  <c r="M72" i="44" s="1"/>
  <c r="M73" i="44" s="1"/>
  <c r="K37" i="75"/>
  <c r="M4" i="75"/>
  <c r="M5" i="75" s="1"/>
  <c r="M6" i="75" s="1"/>
  <c r="M7" i="75" s="1"/>
  <c r="M8" i="75" s="1"/>
  <c r="M9" i="75" s="1"/>
  <c r="M10" i="75" s="1"/>
  <c r="M11" i="75" s="1"/>
  <c r="M12" i="75" s="1"/>
  <c r="M13" i="75" s="1"/>
  <c r="M14" i="75" s="1"/>
  <c r="M15" i="75" s="1"/>
  <c r="M16" i="75" s="1"/>
  <c r="M17" i="75" s="1"/>
  <c r="M18" i="75" s="1"/>
  <c r="M19" i="75" s="1"/>
  <c r="M20" i="75" s="1"/>
  <c r="M21" i="75" s="1"/>
  <c r="M22" i="75" s="1"/>
  <c r="M23" i="75" s="1"/>
  <c r="M24" i="75" s="1"/>
  <c r="M25" i="75" s="1"/>
  <c r="M26" i="75" s="1"/>
  <c r="M27" i="75" s="1"/>
  <c r="M28" i="75" s="1"/>
  <c r="M29" i="75" s="1"/>
  <c r="M30" i="75" s="1"/>
  <c r="M31" i="75" s="1"/>
  <c r="M32" i="75" s="1"/>
  <c r="M33" i="75" s="1"/>
  <c r="M34" i="75" s="1"/>
  <c r="M35" i="75" s="1"/>
  <c r="M36" i="75" s="1"/>
  <c r="M9" i="45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M22" i="45" s="1"/>
  <c r="M23" i="45" s="1"/>
  <c r="K35" i="74"/>
  <c r="L4" i="74"/>
  <c r="L35" i="74" s="1"/>
  <c r="J23" i="56" s="1"/>
  <c r="K23" i="56" s="1"/>
  <c r="E23" i="77" s="1"/>
  <c r="M4" i="74"/>
  <c r="M5" i="74" s="1"/>
  <c r="M6" i="74" s="1"/>
  <c r="M7" i="74" s="1"/>
  <c r="M8" i="74" s="1"/>
  <c r="M9" i="74" s="1"/>
  <c r="M10" i="74" s="1"/>
  <c r="M11" i="74" s="1"/>
  <c r="M12" i="74" s="1"/>
  <c r="M13" i="74" s="1"/>
  <c r="M14" i="74" s="1"/>
  <c r="M15" i="74" s="1"/>
  <c r="M16" i="74" s="1"/>
  <c r="M17" i="74" s="1"/>
  <c r="M18" i="74" s="1"/>
  <c r="M19" i="74" s="1"/>
  <c r="M20" i="74" s="1"/>
  <c r="M21" i="74" s="1"/>
  <c r="M22" i="74" s="1"/>
  <c r="M23" i="74" s="1"/>
  <c r="M24" i="74" s="1"/>
  <c r="M25" i="74" s="1"/>
  <c r="M26" i="74" s="1"/>
  <c r="M27" i="74" s="1"/>
  <c r="K35" i="73"/>
  <c r="L4" i="73"/>
  <c r="L35" i="73" s="1"/>
  <c r="J21" i="56" s="1"/>
  <c r="K21" i="56" s="1"/>
  <c r="E21" i="77" s="1"/>
  <c r="M4" i="73"/>
  <c r="M5" i="73" s="1"/>
  <c r="M6" i="73" s="1"/>
  <c r="M7" i="73" s="1"/>
  <c r="M8" i="73" s="1"/>
  <c r="M9" i="73" s="1"/>
  <c r="M10" i="73" s="1"/>
  <c r="M11" i="73" s="1"/>
  <c r="M12" i="73" s="1"/>
  <c r="M13" i="73" s="1"/>
  <c r="M14" i="73" s="1"/>
  <c r="M15" i="73" s="1"/>
  <c r="M16" i="73" s="1"/>
  <c r="M17" i="73" s="1"/>
  <c r="M18" i="73" s="1"/>
  <c r="M19" i="73" s="1"/>
  <c r="M20" i="73" s="1"/>
  <c r="M21" i="73" s="1"/>
  <c r="M22" i="73" s="1"/>
  <c r="M23" i="73" s="1"/>
  <c r="M24" i="73" s="1"/>
  <c r="M25" i="73" s="1"/>
  <c r="M26" i="73" s="1"/>
  <c r="M27" i="73" s="1"/>
  <c r="K35" i="72"/>
  <c r="M4" i="72"/>
  <c r="M5" i="72" s="1"/>
  <c r="M6" i="72" s="1"/>
  <c r="M7" i="72" s="1"/>
  <c r="M8" i="72" s="1"/>
  <c r="M9" i="72" s="1"/>
  <c r="M10" i="72" s="1"/>
  <c r="M11" i="72" s="1"/>
  <c r="M12" i="72" s="1"/>
  <c r="M13" i="72" s="1"/>
  <c r="M14" i="72" s="1"/>
  <c r="M15" i="72" s="1"/>
  <c r="M16" i="72" s="1"/>
  <c r="M17" i="72" s="1"/>
  <c r="M18" i="72" s="1"/>
  <c r="M19" i="72" s="1"/>
  <c r="M20" i="72" s="1"/>
  <c r="M21" i="72" s="1"/>
  <c r="M22" i="72" s="1"/>
  <c r="M23" i="72" s="1"/>
  <c r="M24" i="72" s="1"/>
  <c r="M25" i="72" s="1"/>
  <c r="M26" i="72" s="1"/>
  <c r="M27" i="72" s="1"/>
  <c r="M28" i="72" s="1"/>
  <c r="M29" i="72" s="1"/>
  <c r="M30" i="72" s="1"/>
  <c r="M31" i="72" s="1"/>
  <c r="M32" i="72" s="1"/>
  <c r="M33" i="72" s="1"/>
  <c r="M34" i="72" s="1"/>
  <c r="M4" i="24"/>
  <c r="M5" i="24" s="1"/>
  <c r="M6" i="24" s="1"/>
  <c r="M7" i="24" s="1"/>
  <c r="M8" i="24" s="1"/>
  <c r="M9" i="24" s="1"/>
  <c r="M10" i="24" s="1"/>
  <c r="M11" i="24" s="1"/>
  <c r="M12" i="24" s="1"/>
  <c r="K35" i="24"/>
  <c r="H3" i="56"/>
  <c r="K3" i="56" s="1"/>
  <c r="E4" i="77" s="1"/>
  <c r="H5" i="56"/>
  <c r="K5" i="56" s="1"/>
  <c r="E6" i="77" s="1"/>
  <c r="H4" i="56"/>
  <c r="K35" i="71"/>
  <c r="L4" i="71"/>
  <c r="L35" i="71" s="1"/>
  <c r="J11" i="56" s="1"/>
  <c r="K35" i="70"/>
  <c r="M4" i="70"/>
  <c r="M5" i="70" s="1"/>
  <c r="M6" i="70" s="1"/>
  <c r="M7" i="70" s="1"/>
  <c r="M8" i="70" s="1"/>
  <c r="M9" i="70" s="1"/>
  <c r="M10" i="70" s="1"/>
  <c r="M11" i="70" s="1"/>
  <c r="M12" i="70" s="1"/>
  <c r="M13" i="70" s="1"/>
  <c r="M14" i="70" s="1"/>
  <c r="M15" i="70" s="1"/>
  <c r="M16" i="70" s="1"/>
  <c r="M17" i="70" s="1"/>
  <c r="M18" i="70" s="1"/>
  <c r="M19" i="70" s="1"/>
  <c r="M20" i="70" s="1"/>
  <c r="M21" i="70" s="1"/>
  <c r="M22" i="70" s="1"/>
  <c r="M23" i="70" s="1"/>
  <c r="M24" i="70" s="1"/>
  <c r="M25" i="70" s="1"/>
  <c r="M26" i="70" s="1"/>
  <c r="M27" i="70" s="1"/>
  <c r="M28" i="70" s="1"/>
  <c r="M29" i="70" s="1"/>
  <c r="M30" i="70" s="1"/>
  <c r="M31" i="70" s="1"/>
  <c r="M32" i="70" s="1"/>
  <c r="M33" i="70" s="1"/>
  <c r="M34" i="70" s="1"/>
  <c r="K10" i="56" s="1"/>
  <c r="E10" i="77" s="1"/>
  <c r="K12" i="69"/>
  <c r="G48" i="69"/>
  <c r="E45" i="56" s="1"/>
  <c r="K48" i="69"/>
  <c r="H45" i="56" s="1"/>
  <c r="M4" i="69"/>
  <c r="M5" i="69" s="1"/>
  <c r="M6" i="69" s="1"/>
  <c r="M7" i="69" s="1"/>
  <c r="M8" i="69" s="1"/>
  <c r="M9" i="69" s="1"/>
  <c r="M43" i="69" s="1"/>
  <c r="M44" i="69" s="1"/>
  <c r="M45" i="69" s="1"/>
  <c r="M46" i="69" s="1"/>
  <c r="M47" i="69" s="1"/>
  <c r="K45" i="56" s="1"/>
  <c r="E45" i="77" s="1"/>
  <c r="K35" i="68"/>
  <c r="L35" i="68"/>
  <c r="J20" i="56" s="1"/>
  <c r="M4" i="68"/>
  <c r="M5" i="68" s="1"/>
  <c r="M6" i="68" s="1"/>
  <c r="M7" i="68" s="1"/>
  <c r="M8" i="68" s="1"/>
  <c r="M9" i="68" s="1"/>
  <c r="M10" i="68" s="1"/>
  <c r="M11" i="68" s="1"/>
  <c r="M12" i="68" s="1"/>
  <c r="M13" i="68" s="1"/>
  <c r="M14" i="68" s="1"/>
  <c r="M15" i="68" s="1"/>
  <c r="M16" i="68" s="1"/>
  <c r="M17" i="68" s="1"/>
  <c r="M18" i="68" s="1"/>
  <c r="M19" i="68" s="1"/>
  <c r="M20" i="68" s="1"/>
  <c r="M21" i="68" s="1"/>
  <c r="M22" i="68" s="1"/>
  <c r="M23" i="68" s="1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M5" i="44"/>
  <c r="M6" i="44" s="1"/>
  <c r="M7" i="44" s="1"/>
  <c r="M8" i="44" s="1"/>
  <c r="M9" i="44" s="1"/>
  <c r="M10" i="44" s="1"/>
  <c r="M11" i="44" s="1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K35" i="25"/>
  <c r="M25" i="47"/>
  <c r="M26" i="47" s="1"/>
  <c r="M27" i="47" s="1"/>
  <c r="M28" i="47" s="1"/>
  <c r="M29" i="47" s="1"/>
  <c r="M30" i="47" s="1"/>
  <c r="M31" i="47" s="1"/>
  <c r="M32" i="47" s="1"/>
  <c r="M33" i="47" s="1"/>
  <c r="M34" i="47" s="1"/>
  <c r="H42" i="56"/>
  <c r="K42" i="56" s="1"/>
  <c r="E42" i="77" s="1"/>
  <c r="M9" i="35"/>
  <c r="M10" i="35" s="1"/>
  <c r="M11" i="35" s="1"/>
  <c r="M12" i="35" s="1"/>
  <c r="M13" i="35" s="1"/>
  <c r="M14" i="35" s="1"/>
  <c r="M15" i="35" s="1"/>
  <c r="M16" i="35" s="1"/>
  <c r="M17" i="35" s="1"/>
  <c r="H18" i="56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K35" i="3"/>
  <c r="M20" i="1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4" i="65"/>
  <c r="M5" i="65" s="1"/>
  <c r="M6" i="65" s="1"/>
  <c r="M7" i="65" s="1"/>
  <c r="M8" i="65" s="1"/>
  <c r="M9" i="65" s="1"/>
  <c r="M10" i="65" s="1"/>
  <c r="M11" i="65" s="1"/>
  <c r="M12" i="65" s="1"/>
  <c r="M13" i="65" s="1"/>
  <c r="M14" i="65" s="1"/>
  <c r="M15" i="65" s="1"/>
  <c r="M16" i="65" s="1"/>
  <c r="E17" i="56"/>
  <c r="H17" i="56" s="1"/>
  <c r="K17" i="56" s="1"/>
  <c r="E17" i="77" s="1"/>
  <c r="K35" i="63"/>
  <c r="L4" i="63"/>
  <c r="L35" i="63" s="1"/>
  <c r="J22" i="56" s="1"/>
  <c r="K22" i="56" s="1"/>
  <c r="E22" i="77" s="1"/>
  <c r="M4" i="63"/>
  <c r="M5" i="63" s="1"/>
  <c r="M6" i="63" s="1"/>
  <c r="M7" i="63" s="1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M28" i="63" s="1"/>
  <c r="M29" i="63" s="1"/>
  <c r="M30" i="63" s="1"/>
  <c r="M31" i="63" s="1"/>
  <c r="M32" i="63" s="1"/>
  <c r="M33" i="63" s="1"/>
  <c r="M34" i="63" s="1"/>
  <c r="K36" i="62"/>
  <c r="M4" i="62"/>
  <c r="M5" i="62" s="1"/>
  <c r="M6" i="62" s="1"/>
  <c r="M7" i="62" s="1"/>
  <c r="M8" i="62" s="1"/>
  <c r="M9" i="62" s="1"/>
  <c r="M10" i="62" s="1"/>
  <c r="M11" i="62" s="1"/>
  <c r="M12" i="62" s="1"/>
  <c r="M13" i="62" s="1"/>
  <c r="M14" i="62" s="1"/>
  <c r="M15" i="62" s="1"/>
  <c r="M16" i="62" s="1"/>
  <c r="M17" i="62" s="1"/>
  <c r="M18" i="62" s="1"/>
  <c r="M19" i="62" s="1"/>
  <c r="M20" i="62" s="1"/>
  <c r="M21" i="62" s="1"/>
  <c r="L43" i="51"/>
  <c r="J47" i="56" s="1"/>
  <c r="K47" i="56" s="1"/>
  <c r="E47" i="77" s="1"/>
  <c r="M4" i="51"/>
  <c r="M5" i="51" s="1"/>
  <c r="M6" i="51" s="1"/>
  <c r="M8" i="51" s="1"/>
  <c r="M9" i="51" s="1"/>
  <c r="M10" i="51" s="1"/>
  <c r="M11" i="51" s="1"/>
  <c r="M12" i="51" s="1"/>
  <c r="M13" i="51" s="1"/>
  <c r="M14" i="51" s="1"/>
  <c r="M15" i="51" s="1"/>
  <c r="M16" i="51" s="1"/>
  <c r="M17" i="51" s="1"/>
  <c r="M18" i="51" s="1"/>
  <c r="M19" i="51" s="1"/>
  <c r="K43" i="51"/>
  <c r="K41" i="56"/>
  <c r="E41" i="77" s="1"/>
  <c r="K37" i="61"/>
  <c r="M4" i="61"/>
  <c r="M5" i="61" s="1"/>
  <c r="M6" i="61" s="1"/>
  <c r="M7" i="61" s="1"/>
  <c r="M8" i="61" s="1"/>
  <c r="M9" i="61" s="1"/>
  <c r="M10" i="61" s="1"/>
  <c r="M11" i="61" s="1"/>
  <c r="M12" i="61" s="1"/>
  <c r="M13" i="61" s="1"/>
  <c r="K38" i="56"/>
  <c r="E38" i="77" s="1"/>
  <c r="K35" i="60"/>
  <c r="K46" i="26"/>
  <c r="M4" i="10"/>
  <c r="K44" i="33"/>
  <c r="K35" i="9"/>
  <c r="M4" i="9"/>
  <c r="K40" i="56"/>
  <c r="E40" i="77" s="1"/>
  <c r="M16" i="14"/>
  <c r="M17" i="14" s="1"/>
  <c r="M18" i="14" s="1"/>
  <c r="M19" i="14" s="1"/>
  <c r="M20" i="14" s="1"/>
  <c r="M21" i="14" s="1"/>
  <c r="M22" i="14" s="1"/>
  <c r="K47" i="34"/>
  <c r="E16" i="56"/>
  <c r="K35" i="59"/>
  <c r="M16" i="12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K35" i="37"/>
  <c r="K28" i="56"/>
  <c r="E28" i="77" s="1"/>
  <c r="H26" i="56"/>
  <c r="K26" i="56" s="1"/>
  <c r="E26" i="77" s="1"/>
  <c r="M4" i="41"/>
  <c r="M5" i="41" s="1"/>
  <c r="M6" i="41" s="1"/>
  <c r="M7" i="41" s="1"/>
  <c r="M8" i="41" s="1"/>
  <c r="M9" i="41" s="1"/>
  <c r="M10" i="41" s="1"/>
  <c r="M11" i="41" s="1"/>
  <c r="M12" i="41" s="1"/>
  <c r="M13" i="41" s="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M35" i="41" s="1"/>
  <c r="M36" i="41" s="1"/>
  <c r="M37" i="41" s="1"/>
  <c r="M38" i="41" s="1"/>
  <c r="M39" i="41" s="1"/>
  <c r="K40" i="41"/>
  <c r="M4" i="16"/>
  <c r="K36" i="16"/>
  <c r="E48" i="77"/>
  <c r="K35" i="58"/>
  <c r="L4" i="58"/>
  <c r="L35" i="58" s="1"/>
  <c r="J8" i="56" s="1"/>
  <c r="H34" i="56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54" i="22"/>
  <c r="K34" i="56"/>
  <c r="E34" i="77" s="1"/>
  <c r="K4" i="56"/>
  <c r="E5" i="77" s="1"/>
  <c r="K2" i="56"/>
  <c r="E3" i="77" s="1"/>
  <c r="M23" i="44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K35" i="54"/>
  <c r="M4" i="54"/>
  <c r="M5" i="54" s="1"/>
  <c r="M6" i="54" s="1"/>
  <c r="M7" i="54" s="1"/>
  <c r="M5" i="26"/>
  <c r="M6" i="26" s="1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" i="50"/>
  <c r="L4" i="25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4" i="36"/>
  <c r="M5" i="36" s="1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6" i="36" s="1"/>
  <c r="M27" i="36" s="1"/>
  <c r="M28" i="36" s="1"/>
  <c r="M29" i="36" s="1"/>
  <c r="M30" i="36" s="1"/>
  <c r="K43" i="35"/>
  <c r="L43" i="35"/>
  <c r="J46" i="56" s="1"/>
  <c r="K46" i="56" s="1"/>
  <c r="E46" i="77" s="1"/>
  <c r="M9" i="18"/>
  <c r="M10" i="18" s="1"/>
  <c r="M11" i="18" s="1"/>
  <c r="M12" i="18" s="1"/>
  <c r="M13" i="18" s="1"/>
  <c r="M14" i="18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M4" i="15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K20" i="56"/>
  <c r="M22" i="62" l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M15" i="79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Q14" i="79"/>
  <c r="C59" i="56" a="1"/>
  <c r="C59" i="56" s="1"/>
  <c r="E20" i="77"/>
  <c r="M24" i="14"/>
  <c r="M25" i="14" s="1"/>
  <c r="M26" i="14" s="1"/>
  <c r="M27" i="14" s="1"/>
  <c r="M28" i="14" s="1"/>
  <c r="M23" i="14"/>
  <c r="M5" i="10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3" i="24"/>
  <c r="M18" i="65"/>
  <c r="M19" i="65" s="1"/>
  <c r="M20" i="65" s="1"/>
  <c r="M21" i="65" s="1"/>
  <c r="M22" i="65" s="1"/>
  <c r="M23" i="65" s="1"/>
  <c r="M24" i="65" s="1"/>
  <c r="M25" i="65" s="1"/>
  <c r="M26" i="65" s="1"/>
  <c r="M27" i="65" s="1"/>
  <c r="M28" i="65" s="1"/>
  <c r="M29" i="65" s="1"/>
  <c r="M30" i="65" s="1"/>
  <c r="M31" i="65" s="1"/>
  <c r="M32" i="65" s="1"/>
  <c r="M33" i="65" s="1"/>
  <c r="M35" i="65" s="1"/>
  <c r="M36" i="65" s="1"/>
  <c r="M17" i="65"/>
  <c r="M15" i="18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Q14" i="18"/>
  <c r="M15" i="3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19" i="16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S17" i="16"/>
  <c r="M31" i="36"/>
  <c r="M32" i="36" s="1"/>
  <c r="M33" i="36" s="1"/>
  <c r="M18" i="10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L35" i="25"/>
  <c r="J29" i="56" s="1"/>
  <c r="K29" i="56" s="1"/>
  <c r="E29" i="77" s="1"/>
  <c r="M4" i="25"/>
  <c r="M5" i="25" s="1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K18" i="56"/>
  <c r="E18" i="77" s="1"/>
  <c r="M20" i="5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14" i="61"/>
  <c r="M15" i="61" s="1"/>
  <c r="M16" i="61"/>
  <c r="M17" i="61" s="1"/>
  <c r="M18" i="61" s="1"/>
  <c r="M19" i="61" s="1"/>
  <c r="M20" i="61" s="1"/>
  <c r="M21" i="61" s="1"/>
  <c r="M22" i="61" s="1"/>
  <c r="M23" i="61" s="1"/>
  <c r="M24" i="61" s="1"/>
  <c r="M25" i="61" s="1"/>
  <c r="M26" i="61" s="1"/>
  <c r="M27" i="61" s="1"/>
  <c r="M28" i="61" s="1"/>
  <c r="M29" i="61" s="1"/>
  <c r="M30" i="61" s="1"/>
  <c r="M31" i="61" s="1"/>
  <c r="M32" i="61" s="1"/>
  <c r="L35" i="37"/>
  <c r="J35" i="56" s="1"/>
  <c r="K35" i="56" s="1"/>
  <c r="E35" i="77" s="1"/>
  <c r="M4" i="37"/>
  <c r="M5" i="37" s="1"/>
  <c r="M6" i="37" s="1"/>
  <c r="M7" i="37" s="1"/>
  <c r="M8" i="37" s="1"/>
  <c r="M9" i="37" s="1"/>
  <c r="M10" i="37" s="1"/>
  <c r="M11" i="37" s="1"/>
  <c r="M12" i="37" s="1"/>
  <c r="M13" i="37" s="1"/>
  <c r="M14" i="37" s="1"/>
  <c r="M15" i="37" s="1"/>
  <c r="M16" i="37" s="1"/>
  <c r="P19" i="41"/>
  <c r="L35" i="60"/>
  <c r="J39" i="56" s="1"/>
  <c r="K39" i="56" s="1"/>
  <c r="E39" i="77" s="1"/>
  <c r="M4" i="60"/>
  <c r="M5" i="60" s="1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M8" i="54"/>
  <c r="M9" i="54" s="1"/>
  <c r="M10" i="54" s="1"/>
  <c r="M11" i="54" s="1"/>
  <c r="M12" i="54" s="1"/>
  <c r="M13" i="54" s="1"/>
  <c r="M14" i="54" s="1"/>
  <c r="M15" i="54" s="1"/>
  <c r="M16" i="54" s="1"/>
  <c r="M17" i="54" s="1"/>
  <c r="M18" i="54" s="1"/>
  <c r="M19" i="54" s="1"/>
  <c r="M20" i="54" s="1"/>
  <c r="M21" i="54" s="1"/>
  <c r="M22" i="54" s="1"/>
  <c r="M23" i="54" s="1"/>
  <c r="M24" i="54" s="1"/>
  <c r="M25" i="54" s="1"/>
  <c r="M26" i="54" s="1"/>
  <c r="M27" i="54" s="1"/>
  <c r="M28" i="54" s="1"/>
  <c r="M29" i="54" s="1"/>
  <c r="M30" i="54" s="1"/>
  <c r="M31" i="54" s="1"/>
  <c r="M32" i="54" s="1"/>
  <c r="M33" i="54" s="1"/>
  <c r="M34" i="54" s="1"/>
  <c r="L35" i="59"/>
  <c r="J9" i="56" s="1"/>
  <c r="K9" i="56" s="1"/>
  <c r="E9" i="77" s="1"/>
  <c r="M24" i="59"/>
  <c r="M25" i="59" s="1"/>
  <c r="M26" i="59" s="1"/>
  <c r="M27" i="59" s="1"/>
  <c r="M28" i="59" s="1"/>
  <c r="M29" i="59" s="1"/>
  <c r="M30" i="59" s="1"/>
  <c r="M31" i="59" s="1"/>
  <c r="M32" i="59" s="1"/>
  <c r="M33" i="59" s="1"/>
  <c r="M34" i="59" s="1"/>
  <c r="L44" i="33"/>
  <c r="J43" i="56" s="1"/>
  <c r="M4" i="33"/>
  <c r="M30" i="18"/>
  <c r="M31" i="18" s="1"/>
  <c r="M32" i="18" s="1"/>
  <c r="M33" i="18" s="1"/>
  <c r="M34" i="18" s="1"/>
  <c r="L47" i="34"/>
  <c r="J44" i="56" s="1"/>
  <c r="J50" i="56" s="1"/>
  <c r="K50" i="56" s="1"/>
  <c r="M5" i="34"/>
  <c r="M6" i="34" s="1"/>
  <c r="M7" i="34" s="1"/>
  <c r="M8" i="34" s="1"/>
  <c r="M9" i="34" s="1"/>
  <c r="M10" i="34" s="1"/>
  <c r="M11" i="34" s="1"/>
  <c r="M12" i="34" s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M23" i="34" s="1"/>
  <c r="M24" i="34" s="1"/>
  <c r="M25" i="34" s="1"/>
  <c r="M26" i="34" s="1"/>
  <c r="M27" i="34" s="1"/>
  <c r="M28" i="34" s="1"/>
  <c r="K8" i="56"/>
  <c r="E8" i="77" s="1"/>
  <c r="L54" i="22"/>
  <c r="J30" i="56" s="1"/>
  <c r="M5" i="50"/>
  <c r="M6" i="50" s="1"/>
  <c r="M7" i="50" s="1"/>
  <c r="M8" i="50" s="1"/>
  <c r="M9" i="50" s="1"/>
  <c r="M10" i="50" s="1"/>
  <c r="M11" i="50" s="1"/>
  <c r="M12" i="50" s="1"/>
  <c r="M13" i="50" s="1"/>
  <c r="M13" i="9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L47" i="35"/>
  <c r="M16" i="15"/>
  <c r="M29" i="14" l="1"/>
  <c r="M30" i="14" s="1"/>
  <c r="M31" i="14" s="1"/>
  <c r="M32" i="14" s="1"/>
  <c r="M33" i="14" s="1"/>
  <c r="M34" i="14" s="1"/>
  <c r="M35" i="14" s="1"/>
  <c r="M36" i="14" s="1"/>
  <c r="M37" i="14" s="1"/>
  <c r="Q37" i="14" s="1"/>
  <c r="M35" i="79"/>
  <c r="P34" i="79"/>
  <c r="K43" i="56"/>
  <c r="E43" i="77" s="1"/>
  <c r="B56" i="56" a="1"/>
  <c r="B56" i="56" s="1"/>
  <c r="M32" i="51"/>
  <c r="M33" i="51" s="1"/>
  <c r="M34" i="51" s="1"/>
  <c r="M35" i="51" s="1"/>
  <c r="M36" i="51" s="1"/>
  <c r="M37" i="51" s="1"/>
  <c r="M38" i="51" s="1"/>
  <c r="M39" i="51" s="1"/>
  <c r="M14" i="24"/>
  <c r="M17" i="15"/>
  <c r="M18" i="15" s="1"/>
  <c r="M19" i="15" s="1"/>
  <c r="M20" i="15" s="1"/>
  <c r="M21" i="15" s="1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35" i="15" s="1"/>
  <c r="M36" i="15" s="1"/>
  <c r="M17" i="37"/>
  <c r="M18" i="37" s="1"/>
  <c r="M19" i="37" s="1"/>
  <c r="M20" i="37" s="1"/>
  <c r="M21" i="37" s="1"/>
  <c r="M22" i="37" s="1"/>
  <c r="M23" i="37" s="1"/>
  <c r="M24" i="37" s="1"/>
  <c r="M25" i="37" s="1"/>
  <c r="M26" i="37" s="1"/>
  <c r="M27" i="37" s="1"/>
  <c r="M28" i="37" s="1"/>
  <c r="M29" i="37" s="1"/>
  <c r="M30" i="37" s="1"/>
  <c r="M31" i="37" s="1"/>
  <c r="M32" i="37" s="1"/>
  <c r="M35" i="18"/>
  <c r="P34" i="18"/>
  <c r="M16" i="60"/>
  <c r="M17" i="60" s="1"/>
  <c r="M18" i="60" s="1"/>
  <c r="M19" i="60" s="1"/>
  <c r="M20" i="60" s="1"/>
  <c r="M21" i="60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14" i="50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28" i="9"/>
  <c r="M29" i="9" s="1"/>
  <c r="M30" i="9" s="1"/>
  <c r="M31" i="9" s="1"/>
  <c r="M32" i="9" s="1"/>
  <c r="M33" i="9" s="1"/>
  <c r="M34" i="9" s="1"/>
  <c r="M33" i="61"/>
  <c r="M34" i="61" s="1"/>
  <c r="M35" i="61" s="1"/>
  <c r="M36" i="61" s="1"/>
  <c r="M31" i="50"/>
  <c r="M32" i="50" s="1"/>
  <c r="M29" i="34"/>
  <c r="M30" i="34" s="1"/>
  <c r="M31" i="34" s="1"/>
  <c r="M32" i="34" s="1"/>
  <c r="M33" i="34" s="1"/>
  <c r="M34" i="34" s="1"/>
  <c r="M35" i="34" s="1"/>
  <c r="M36" i="34" s="1"/>
  <c r="M37" i="34" s="1"/>
  <c r="M38" i="34" s="1"/>
  <c r="M39" i="34" s="1"/>
  <c r="M40" i="34" s="1"/>
  <c r="M41" i="34" s="1"/>
  <c r="M42" i="34" s="1"/>
  <c r="M43" i="34" s="1"/>
  <c r="M44" i="34" s="1"/>
  <c r="M45" i="34" s="1"/>
  <c r="M46" i="34" s="1"/>
  <c r="K44" i="56"/>
  <c r="E44" i="77" s="1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K30" i="56"/>
  <c r="E30" i="77" s="1"/>
  <c r="M33" i="37" l="1"/>
  <c r="M34" i="37" s="1"/>
  <c r="M15" i="24"/>
  <c r="M16" i="24" s="1"/>
  <c r="M17" i="24" s="1"/>
  <c r="M50" i="56"/>
  <c r="M33" i="50"/>
  <c r="M34" i="50" s="1"/>
  <c r="M35" i="50" s="1"/>
  <c r="M74" i="44"/>
  <c r="M75" i="44" s="1"/>
  <c r="M76" i="44" s="1"/>
  <c r="M77" i="44" s="1"/>
  <c r="M78" i="44" s="1"/>
  <c r="M79" i="44" s="1"/>
  <c r="M80" i="44" s="1"/>
  <c r="M81" i="44" s="1"/>
  <c r="M82" i="44" s="1"/>
  <c r="M83" i="44" s="1"/>
  <c r="M84" i="44" s="1"/>
  <c r="M85" i="44" s="1"/>
  <c r="M86" i="44" s="1"/>
  <c r="M87" i="44" s="1"/>
  <c r="M88" i="44" s="1"/>
  <c r="M89" i="44" s="1"/>
  <c r="M90" i="44" s="1"/>
  <c r="M18" i="35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18" i="24" l="1"/>
  <c r="M19" i="24" l="1"/>
  <c r="M20" i="24" l="1"/>
  <c r="M21" i="24" l="1"/>
  <c r="M22" i="24" l="1"/>
  <c r="M23" i="24" l="1"/>
  <c r="M24" i="24" s="1"/>
  <c r="M25" i="24" s="1"/>
  <c r="M26" i="24" s="1"/>
  <c r="M27" i="24" s="1"/>
  <c r="M28" i="24" s="1"/>
  <c r="M29" i="24" s="1"/>
  <c r="M30" i="24" s="1"/>
  <c r="M31" i="24" s="1"/>
  <c r="M32" i="24" s="1"/>
  <c r="M33" i="24" s="1"/>
  <c r="M35" i="24"/>
  <c r="K24" i="56" s="1"/>
  <c r="E24" i="77" s="1"/>
  <c r="E49" i="7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L19" authorId="0" shapeId="0" xr:uid="{9479D3FB-A555-43E5-AA0B-D5142AD0A03C}">
      <text>
        <r>
          <rPr>
            <sz val="11"/>
            <color theme="1"/>
            <rFont val="Calibri"/>
            <family val="2"/>
            <scheme val="minor"/>
          </rPr>
          <t>MIS:
Round Off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L20" authorId="0" shapeId="0" xr:uid="{73E07DE6-8839-4D25-8C63-5E80894A1FC9}">
      <text>
        <r>
          <rPr>
            <sz val="11"/>
            <color theme="1"/>
            <rFont val="Calibri"/>
            <family val="2"/>
            <scheme val="minor"/>
          </rPr>
          <t>MIS:
Roundoff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tc={F5FEB28E-D18E-475C-A6DF-67EACC7BAABB}</author>
  </authors>
  <commentList>
    <comment ref="L12" authorId="0" shapeId="0" xr:uid="{F5FEB28E-D18E-475C-A6DF-67EACC7BAABB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paid HPCL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tc={03BB019A-CD7D-45F2-A549-57257EDC88E6}</author>
    <author>tc={8F8ABC2A-7FC8-407A-A2B4-09E847F30108}</author>
    <author>tc={4E9CF956-EFA3-4175-A59C-0ACB55EBD985}</author>
  </authors>
  <commentList>
    <comment ref="H6" authorId="0" shapeId="0" xr:uid="{03BB019A-CD7D-45F2-A549-57257EDC88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Lubricant </t>
      </text>
    </comment>
    <comment ref="H23" authorId="1" shapeId="0" xr:uid="{8F8ABC2A-7FC8-407A-A2B4-09E847F301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Lubricant </t>
      </text>
    </comment>
    <comment ref="H28" authorId="2" shapeId="0" xr:uid="{4E9CF956-EFA3-4175-A59C-0ACB55EBD985}">
      <text>
        <t>[Threaded comment]
Your version of Excel allows you to read this threaded comment; however, any edits to it will get removed if the file is opened in a newer version of Excel. Learn more: https://go.microsoft.com/fwlink/?linkid=870924
Comment:
    Civet:
Hydraulic Oil VG 68 - 26 Ltr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</authors>
  <commentList>
    <comment ref="L21" authorId="0" shapeId="0" xr:uid="{5302867A-B14F-49ED-8108-516050B2C47D}">
      <text>
        <r>
          <rPr>
            <sz val="11"/>
            <color theme="1"/>
            <rFont val="Calibri"/>
            <family val="2"/>
            <scheme val="minor"/>
          </rPr>
          <t>MIS:
Roundoff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tc={218C1FC9-3D57-4680-A5C1-259CAD9A6846}</author>
  </authors>
  <commentList>
    <comment ref="L24" authorId="0" shapeId="0" xr:uid="{218C1FC9-3D57-4680-A5C1-259CAD9A68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Redeem cash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<sst xmlns="http://schemas.openxmlformats.org/spreadsheetml/2006/main" count="1787" uniqueCount="292">
  <si>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</si>
  <si>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</si>
  <si>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</si>
  <si>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</si>
  <si>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</si>
  <si>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</si>
  <si>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</si>
  <si>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</si>
  <si>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</si>
  <si>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</si>
  <si>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</si>
  <si>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</si>
  <si>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</si>
  <si>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</si>
  <si>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</si>
  <si>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Jadcherla-1</t>
  </si>
  <si>
    <t>Sai Baba Fuel Station</t>
  </si>
  <si>
    <t>Jadcherla-2</t>
  </si>
  <si>
    <t xml:space="preserve">ADHOC FILLING STATION STATION </t>
  </si>
  <si>
    <t>Jadcherla-3</t>
  </si>
  <si>
    <t>JSASFuel Genie India Pvt.Ltd</t>
  </si>
  <si>
    <t>Jadcherla-4</t>
  </si>
  <si>
    <t>Shree Poornima F/S</t>
  </si>
  <si>
    <t>Dindi</t>
  </si>
  <si>
    <t>Akarapu Balakistamma Fillling</t>
  </si>
  <si>
    <t>Devarkhadra-1</t>
  </si>
  <si>
    <t>Kurumurthy Swami  F/S</t>
  </si>
  <si>
    <t>Devarkhadra-3</t>
  </si>
  <si>
    <t>Madanapalli</t>
  </si>
  <si>
    <t>Amalapuram</t>
  </si>
  <si>
    <t>Sathya Filling Station</t>
  </si>
  <si>
    <t>YG Gudda-1</t>
  </si>
  <si>
    <t>Pallavi Petrolium</t>
  </si>
  <si>
    <t>YG Gudda-2</t>
  </si>
  <si>
    <t>Pankaja HP Fuel Center</t>
  </si>
  <si>
    <t>Hosadurga-1</t>
  </si>
  <si>
    <t>Merchant Petroliums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</si>
  <si>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</si>
  <si>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</si>
  <si>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</si>
  <si>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</si>
  <si>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</si>
  <si>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</si>
  <si>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</si>
  <si>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</si>
  <si>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</si>
  <si>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Shivaganga Service Station</t>
  </si>
  <si>
    <t>Chellakere(KUWSDB)-09</t>
  </si>
  <si>
    <t>Molakalmuru</t>
  </si>
  <si>
    <t>Sri Lakshmi Venkateshwara Filling Station</t>
  </si>
  <si>
    <t>Chennagiri</t>
  </si>
  <si>
    <t>Khanapur(PKG-3)</t>
  </si>
  <si>
    <t>V.V.Varde</t>
  </si>
  <si>
    <t>Munavalli(PKG-3)-2</t>
  </si>
  <si>
    <t xml:space="preserve">Shri Daneshwari </t>
  </si>
  <si>
    <t>Borgaon(PKG-3)</t>
  </si>
  <si>
    <t>Aadisagar Petrolium</t>
  </si>
  <si>
    <t>Ugar,Kudichi(PKG-3)</t>
  </si>
  <si>
    <t>Shiri Bhrhmanath Petrolium</t>
  </si>
  <si>
    <t>Kabbur(PKG-3)</t>
  </si>
  <si>
    <t>Shri Jai Hanuman Petrolium</t>
  </si>
  <si>
    <t>Kumta (PKG-1)</t>
  </si>
  <si>
    <t>Krishma fuel station</t>
  </si>
  <si>
    <t>Jalgaon</t>
  </si>
  <si>
    <t>Sri Sai Petrol Pump</t>
  </si>
  <si>
    <t>MKBD</t>
  </si>
  <si>
    <t>Shree Sai Samarth Petroleum</t>
  </si>
  <si>
    <t>Haveri</t>
  </si>
  <si>
    <t>Shivalingeshwar Petroleum</t>
  </si>
  <si>
    <t>M/s Magavi City Fuels</t>
  </si>
  <si>
    <t>Guttal</t>
  </si>
  <si>
    <t>Taware filling station</t>
  </si>
  <si>
    <t>Rattihali</t>
  </si>
  <si>
    <t xml:space="preserve"> Shree Siri Gowari petroliam</t>
  </si>
  <si>
    <t>Rattihali-2</t>
  </si>
  <si>
    <t>Shiva Oil Traders</t>
  </si>
  <si>
    <t>Gajendragada</t>
  </si>
  <si>
    <t>Vanasri Petrol Pump</t>
  </si>
  <si>
    <t>Gokak(PKG-3)</t>
  </si>
  <si>
    <t>AJ Petrolinks</t>
  </si>
  <si>
    <t>Ankaligi</t>
  </si>
  <si>
    <t>Shiv ganga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</si>
  <si>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</si>
  <si>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</si>
  <si>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</si>
  <si>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</si>
  <si>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</si>
  <si>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</si>
  <si>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</si>
  <si>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</si>
  <si>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</t>
  </si>
  <si>
    <t xml:space="preserve"> Bhosle Service Station</t>
  </si>
  <si>
    <t>Muddebihal(PKG-1)2</t>
  </si>
  <si>
    <t xml:space="preserve">PS NAGATHAN PETROLIUM </t>
  </si>
  <si>
    <t>Almela(PKG-1)</t>
  </si>
  <si>
    <t>Shiddeshwar Petroleums</t>
  </si>
  <si>
    <t>Nalatwad(PKG-1)</t>
  </si>
  <si>
    <t>Shri Pawad Basaweshwar Petroleums</t>
  </si>
  <si>
    <t>Srirangapatna</t>
  </si>
  <si>
    <t>Anupama F/S</t>
  </si>
  <si>
    <t>HO(DG)</t>
  </si>
  <si>
    <t>Total</t>
  </si>
  <si>
    <t>Outstannding</t>
  </si>
  <si>
    <t xml:space="preserve">Last Payment </t>
  </si>
  <si>
    <t>L.P Date</t>
  </si>
  <si>
    <t>Credit  period in Days</t>
  </si>
  <si>
    <t>Next Payment Date</t>
  </si>
  <si>
    <t>15.12.2025</t>
  </si>
  <si>
    <t>30.01.2025</t>
  </si>
  <si>
    <t>Close</t>
  </si>
  <si>
    <t>13.12.2025</t>
  </si>
  <si>
    <t>16.12.2025</t>
  </si>
  <si>
    <t>05.01.2026</t>
  </si>
  <si>
    <t>C&amp;C</t>
  </si>
  <si>
    <t>27.12.2025</t>
  </si>
  <si>
    <t>15.01.2026</t>
  </si>
  <si>
    <t>30.12.2025</t>
  </si>
  <si>
    <t>03.01.2025</t>
  </si>
  <si>
    <t xml:space="preserve">Priyanka Petroleum </t>
  </si>
  <si>
    <t>New</t>
  </si>
  <si>
    <t>12.12.2025</t>
  </si>
  <si>
    <t>24.12.2025</t>
  </si>
  <si>
    <t>S.No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</si>
  <si>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</si>
  <si>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</si>
  <si>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</si>
  <si>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</si>
  <si>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</si>
  <si>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</si>
  <si>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</si>
  <si>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</si>
  <si>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</si>
  <si>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</si>
  <si>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</si>
  <si>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</si>
  <si>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As 0n Date</t>
  </si>
  <si>
    <t>Round Off</t>
  </si>
  <si>
    <t xml:space="preserve">Jadcherla  FILLING STATION STATION </t>
  </si>
  <si>
    <t>As on Date</t>
  </si>
  <si>
    <t>Ind no/Bill No</t>
  </si>
  <si>
    <t>/</t>
  </si>
  <si>
    <t xml:space="preserve"> Fuel bills </t>
  </si>
  <si>
    <t>Narayana Swamy</t>
  </si>
  <si>
    <t>Palakol</t>
  </si>
  <si>
    <t>BP-Lalacheruvu Bharat Petroleum</t>
  </si>
  <si>
    <t>Rajahmundry</t>
  </si>
  <si>
    <t>Bharat Filling Station</t>
  </si>
  <si>
    <t>Nuziveedu</t>
  </si>
  <si>
    <t>Sri Sathya Enterprises Bharat Petroleum</t>
  </si>
  <si>
    <t>Mettacur(Yanam)</t>
  </si>
  <si>
    <t>Shree Surya Prakash Bharat Petroleum</t>
  </si>
  <si>
    <t> </t>
  </si>
  <si>
    <t>Sri Venkateswara Enterprises</t>
  </si>
  <si>
    <t>Yanam</t>
  </si>
  <si>
    <t>Sree Suryaprakash Service</t>
  </si>
  <si>
    <t xml:space="preserve">SREE SURYAPRAKASH SERVICE STAT  </t>
  </si>
  <si>
    <t xml:space="preserve"> </t>
  </si>
  <si>
    <t>Bill No</t>
  </si>
  <si>
    <t>Sree Veerabhadreshwara Service Station</t>
  </si>
  <si>
    <t>Shivaganga Service Station (BPCL)</t>
  </si>
  <si>
    <t>Chellakere-PKG-09</t>
  </si>
  <si>
    <t>Molakamuru</t>
  </si>
  <si>
    <t>Priyanka Petroleum (BPCL)</t>
  </si>
  <si>
    <t>HPCL</t>
  </si>
  <si>
    <t>Date of payment</t>
  </si>
  <si>
    <t>d</t>
  </si>
  <si>
    <t>IOCL Card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</si>
  <si>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</si>
  <si>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</si>
  <si>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</si>
  <si>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</si>
  <si>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</si>
  <si>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</si>
  <si>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</si>
  <si>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</si>
  <si>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</si>
  <si>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</si>
  <si>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</si>
  <si>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14.12.2025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</si>
  <si>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</si>
  <si>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</si>
  <si>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</si>
  <si>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</si>
  <si>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</si>
  <si>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</si>
  <si>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</si>
  <si>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26.12.2025</t>
  </si>
  <si>
    <t>28.12.2025</t>
  </si>
  <si>
    <t>29.12.2025</t>
  </si>
  <si>
    <t>31.12.2025</t>
  </si>
  <si>
    <t>.</t>
  </si>
  <si>
    <t>BPCL OTP</t>
  </si>
  <si>
    <t xml:space="preserve"> Magavi fuel F/S</t>
  </si>
  <si>
    <t xml:space="preserve">  Shree Siri Gowari petroliam</t>
  </si>
  <si>
    <t>raja bhakshi</t>
  </si>
  <si>
    <t>Shiva ganga</t>
  </si>
  <si>
    <t xml:space="preserve"> S R PATIL</t>
  </si>
  <si>
    <t>Talikote</t>
  </si>
  <si>
    <t>20-.12.2025</t>
  </si>
  <si>
    <t>21-.12.2025</t>
  </si>
  <si>
    <t>23-.12.2025</t>
  </si>
  <si>
    <t>24-.12.2025</t>
  </si>
  <si>
    <t>25-.12.2025</t>
  </si>
  <si>
    <t>26-.12.2025</t>
  </si>
  <si>
    <t>27-.12.2025</t>
  </si>
  <si>
    <t>28-.12.2025</t>
  </si>
  <si>
    <t>30-.12.2025</t>
  </si>
  <si>
    <t>31-.12.2025</t>
  </si>
  <si>
    <t>25.12.2025</t>
  </si>
  <si>
    <t>iocl</t>
  </si>
  <si>
    <t>hpcl</t>
  </si>
  <si>
    <t>BPCL Card Ledger</t>
  </si>
  <si>
    <t>Petrol Bunk Name</t>
  </si>
  <si>
    <t>Card No</t>
  </si>
  <si>
    <t>Recharge Amount</t>
  </si>
  <si>
    <t>Redeem</t>
  </si>
  <si>
    <t xml:space="preserve">AMBATI PUSHPALATHA CHANNAIAH F </t>
  </si>
  <si>
    <t>FC3450698859</t>
  </si>
  <si>
    <t xml:space="preserve">VIJAYA BHARAT FUEL &amp; SERVICES </t>
  </si>
  <si>
    <t>FC3450698865</t>
  </si>
  <si>
    <t xml:space="preserve">SANDHYA FUEL STATION </t>
  </si>
  <si>
    <t>FC3450563999</t>
  </si>
  <si>
    <t xml:space="preserve">P. NARASIMHA SWAMY </t>
  </si>
  <si>
    <t>FC8000207659</t>
  </si>
  <si>
    <t xml:space="preserve">SAI BABA FILLING STATION </t>
  </si>
  <si>
    <t>FC3450563998</t>
  </si>
  <si>
    <t>POOCHENDU FILLING STATION</t>
  </si>
  <si>
    <t>SHIVAGANGA SERVICE STATION BHARAT PETROLEUM DEALERS</t>
  </si>
  <si>
    <t>FC3450698863</t>
  </si>
  <si>
    <t>FC8000207658</t>
  </si>
  <si>
    <t>SAPTHAGIRI SERVICE STATION BHARAT PETROLEUM DEALERS</t>
  </si>
  <si>
    <t>W SRINIVAS RAO &amp; SONS BHARAT PETROLEUM DEALERS</t>
  </si>
  <si>
    <t>FC3450698864</t>
  </si>
  <si>
    <t>SANDHYA FUEL STATION BHARAT PETROLEUM DEALERS</t>
  </si>
  <si>
    <t>SHAHAPUR PETROLEUM BHARAT PETROLEUM DEALERS</t>
  </si>
  <si>
    <t>FC8000207648</t>
  </si>
  <si>
    <t>SREE VEERABHADRESHWARA SER.STA BHARAT PETROLEUM DEALERS</t>
  </si>
  <si>
    <t>FC8000207650</t>
  </si>
  <si>
    <t>VIJAYA BHARAT FUEL &amp; SERVICES BHARAT PETROLEUM DEALERS</t>
  </si>
  <si>
    <t>SAI BABA FILLING STATION BHARAT PETROLEUM DEALERS</t>
  </si>
  <si>
    <t>AKARAPU BALAKISTAMMA FILLLING BHARAT PETROLEUM DEALERS</t>
  </si>
  <si>
    <t>FC3450676134</t>
  </si>
  <si>
    <t>MY MITRA FUELS BHARAT PETROLEUM DEALERS</t>
  </si>
  <si>
    <t>JUBILEE HILLS FILL. STN. BHARAT PETROLEUM DEALERS</t>
  </si>
  <si>
    <t>BP-LALLACHERUVU BHARAT PETROLEUM DEALERS</t>
  </si>
  <si>
    <t>JAGALUR MAHALINGAPPA PETRO AGE BHARAT PETROLEUM DEALERS</t>
  </si>
  <si>
    <t>SRI MARUTHI FILLING STATION BHARAT PETROLEUM DEALERS</t>
  </si>
  <si>
    <t>DANESWARI PETROLEUM BHARAT PETROLEUM DEALERS</t>
  </si>
  <si>
    <t>V.V.VARDE BHARAT PETROLEUM DEALERS</t>
  </si>
  <si>
    <t>FC8000207649</t>
  </si>
  <si>
    <t>SHRI BRAHMANATH PETROLEUM BHARAT PETROLEUM DEALERS</t>
  </si>
  <si>
    <t>MAGAVI CITY FUELS BHARAT PETROLEUM DEALERS</t>
  </si>
  <si>
    <t>KSG FILLING STATION BHARAT PETROLEUM DEALERS</t>
  </si>
  <si>
    <t>FC3450698868</t>
  </si>
  <si>
    <t>BACHUPALLY PETROFILL BHARAT PETROLEUM DEALERS</t>
  </si>
  <si>
    <t>SRI MANIKANTA SERVICE STATION BHARAT PETROLEUM DEALERS</t>
  </si>
  <si>
    <t>P S NAGATHAN PETROLEUMS BHARAT PETROLEUM DEALERS</t>
  </si>
  <si>
    <t>SHREE SAI SAMARTH PETROLEUM BHARAT PETROLEUM DEALERS</t>
  </si>
  <si>
    <t>FC0323247261</t>
  </si>
  <si>
    <t xml:space="preserve"> FC3450698865</t>
  </si>
  <si>
    <t>BHARATH FILLING STATION BHARAT PETROLEUM</t>
  </si>
  <si>
    <t>VEERABHADRESHWARA FUELS BHARAT PETROLEUM DEALERS</t>
  </si>
  <si>
    <t>BASAVESWARA HIGHWAY STATION BHARAT PETROLEUM DEALERS</t>
  </si>
  <si>
    <t>SRI SATYA ENTERPRISES BHARAT PETROLEUM DEALERS</t>
  </si>
  <si>
    <t>SREE SURYAPRAKASH SERVICE STAT BHARAT PETROLEUM DEALERS</t>
  </si>
  <si>
    <t>SHIVANANDI FUELS BHARAT PETROLEUM DEALERS</t>
  </si>
  <si>
    <t>SRI VENKATESWARA ENTERPRISES BHARAT PETROLEUM DEALERS</t>
  </si>
  <si>
    <t>KESHAV PETROFIL BHARAT PETROLEUM DEALERS</t>
  </si>
  <si>
    <t>FC3450676131</t>
  </si>
  <si>
    <t>HPCL Card Ledger</t>
  </si>
  <si>
    <t>2.12.2025</t>
  </si>
  <si>
    <t>DIVYA LAXMI GANAPATHI AUTO SERVICES</t>
  </si>
  <si>
    <t>8200079000522050</t>
  </si>
  <si>
    <t>TUMCOS FUEL STATION</t>
  </si>
  <si>
    <t>8200079004507062</t>
  </si>
  <si>
    <t>4.12.2025</t>
  </si>
  <si>
    <t>SVBS FILLING STATION</t>
  </si>
  <si>
    <t>6.12.2025</t>
  </si>
  <si>
    <t>7.12.2025</t>
  </si>
  <si>
    <t>8.12.2025</t>
  </si>
  <si>
    <t>PANKAJA HP FUEL CENTRE</t>
  </si>
  <si>
    <t>8200079004507150</t>
  </si>
  <si>
    <t>9.12.2025</t>
  </si>
  <si>
    <t>JAMBGI AUTO SERVICE</t>
  </si>
  <si>
    <t>L FUELS</t>
  </si>
  <si>
    <t>MS HSD SATHEESH FUEL STATION</t>
  </si>
  <si>
    <t>8200079004507053</t>
  </si>
  <si>
    <t>AJ PETROLINKS</t>
  </si>
  <si>
    <t>8200079000522057</t>
  </si>
  <si>
    <t>MOSCO</t>
  </si>
  <si>
    <t>NATH SERVICE CENTRE</t>
  </si>
  <si>
    <t>DIVYA FUEL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</si>
</sst>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  <numFmt numFmtId="171" formatCode="0_ "/>
    <numFmt numFmtId="172" formatCode="0.0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sz val="8"/>
      <color rgb="FF212529"/>
      <name val="Roboto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9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mbria"/>
      <family val="1"/>
    </font>
    <font>
      <sz val="11"/>
      <color rgb="FF000000"/>
      <name val="Aptos Narrow"/>
      <family val="2"/>
    </font>
    <font>
      <sz val="11"/>
      <color rgb="FF000000"/>
      <name val="Cambria"/>
      <charset val="134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499">
    <xf numFmtId="0" fontId="0" fillId="0" borderId="0" xfId="0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164" fontId="3" fillId="0" borderId="2" xfId="1" applyFont="1" applyBorder="1" applyAlignment="1">
      <alignment horizontal="center" vertical="center"/>
    </xf>
    <xf numFmtId="164" fontId="3" fillId="0" borderId="5" xfId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164" fontId="3" fillId="0" borderId="2" xfId="1" applyFont="1" applyBorder="1" applyAlignment="1">
      <alignment horizontal="center" vertical="top"/>
    </xf>
    <xf numFmtId="164" fontId="3" fillId="0" borderId="6" xfId="1" applyFont="1" applyBorder="1" applyAlignment="1">
      <alignment horizontal="center" vertical="top"/>
    </xf>
    <xf numFmtId="164" fontId="3" fillId="0" borderId="4" xfId="1" applyFont="1" applyBorder="1" applyAlignment="1">
      <alignment horizontal="center" vertical="center"/>
    </xf>
    <xf numFmtId="0" fontId="0" fillId="0" borderId="5" xfId="0" applyBorder="1"/>
    <xf numFmtId="0" fontId="3" fillId="0" borderId="5" xfId="0" applyFont="1" applyBorder="1" applyAlignment="1">
      <alignment horizontal="center" vertical="center" wrapText="1"/>
    </xf>
    <xf numFmtId="164" fontId="3" fillId="0" borderId="14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2" fontId="0" fillId="0" borderId="0" xfId="0" applyNumberFormat="1"/>
    <xf numFmtId="0" fontId="7" fillId="0" borderId="2" xfId="3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2" xfId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164" fontId="10" fillId="0" borderId="5" xfId="1" applyFont="1" applyFill="1" applyBorder="1" applyAlignment="1">
      <alignment horizontal="center" vertical="center"/>
    </xf>
    <xf numFmtId="164" fontId="10" fillId="0" borderId="5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2" fontId="0" fillId="0" borderId="5" xfId="0" applyNumberFormat="1" applyBorder="1"/>
    <xf numFmtId="164" fontId="3" fillId="0" borderId="5" xfId="1" applyFont="1" applyBorder="1" applyAlignment="1">
      <alignment vertical="center"/>
    </xf>
    <xf numFmtId="164" fontId="9" fillId="4" borderId="8" xfId="1" applyFont="1" applyFill="1" applyBorder="1" applyAlignment="1">
      <alignment horizontal="center" vertical="center"/>
    </xf>
    <xf numFmtId="164" fontId="9" fillId="4" borderId="9" xfId="1" applyFont="1" applyFill="1" applyBorder="1" applyAlignment="1">
      <alignment horizontal="center" vertical="center"/>
    </xf>
    <xf numFmtId="2" fontId="9" fillId="4" borderId="5" xfId="0" applyNumberFormat="1" applyFont="1" applyFill="1" applyBorder="1" applyAlignment="1">
      <alignment horizontal="center" vertical="center"/>
    </xf>
    <xf numFmtId="164" fontId="9" fillId="4" borderId="5" xfId="1" applyFont="1" applyFill="1" applyBorder="1" applyAlignment="1">
      <alignment horizontal="center" vertical="center"/>
    </xf>
    <xf numFmtId="0" fontId="5" fillId="0" borderId="5" xfId="0" applyFont="1" applyBorder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43" fontId="3" fillId="0" borderId="5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43" fontId="3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43" fontId="13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43" fontId="13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0" borderId="0" xfId="0" applyFont="1"/>
    <xf numFmtId="2" fontId="4" fillId="4" borderId="5" xfId="0" applyNumberFormat="1" applyFont="1" applyFill="1" applyBorder="1" applyAlignment="1">
      <alignment horizontal="center" vertical="center"/>
    </xf>
    <xf numFmtId="164" fontId="4" fillId="4" borderId="5" xfId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/>
    </xf>
    <xf numFmtId="2" fontId="3" fillId="0" borderId="5" xfId="0" applyNumberFormat="1" applyFont="1" applyBorder="1"/>
    <xf numFmtId="0" fontId="3" fillId="0" borderId="5" xfId="0" applyFont="1" applyBorder="1" applyAlignment="1">
      <alignment vertical="center"/>
    </xf>
    <xf numFmtId="164" fontId="3" fillId="0" borderId="5" xfId="1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64" fontId="3" fillId="0" borderId="5" xfId="1" applyFont="1" applyBorder="1" applyAlignment="1">
      <alignment horizontal="center" inden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14" xfId="0" applyFont="1" applyBorder="1"/>
    <xf numFmtId="0" fontId="0" fillId="0" borderId="15" xfId="0" applyBorder="1"/>
    <xf numFmtId="0" fontId="17" fillId="0" borderId="5" xfId="0" applyFont="1" applyBorder="1"/>
    <xf numFmtId="2" fontId="17" fillId="0" borderId="5" xfId="0" applyNumberFormat="1" applyFont="1" applyBorder="1"/>
    <xf numFmtId="0" fontId="0" fillId="0" borderId="12" xfId="0" applyBorder="1"/>
    <xf numFmtId="0" fontId="13" fillId="3" borderId="16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1" fillId="3" borderId="5" xfId="0" applyFont="1" applyFill="1" applyBorder="1" applyAlignment="1">
      <alignment horizontal="center" vertical="center"/>
    </xf>
    <xf numFmtId="0" fontId="18" fillId="0" borderId="5" xfId="0" applyFont="1" applyBorder="1"/>
    <xf numFmtId="164" fontId="9" fillId="4" borderId="20" xfId="1" applyFont="1" applyFill="1" applyBorder="1" applyAlignment="1">
      <alignment horizontal="center" vertical="center"/>
    </xf>
    <xf numFmtId="164" fontId="0" fillId="0" borderId="5" xfId="0" applyNumberFormat="1" applyBorder="1"/>
    <xf numFmtId="0" fontId="11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43" fontId="3" fillId="0" borderId="12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4" fontId="3" fillId="0" borderId="21" xfId="1" applyFont="1" applyFill="1" applyBorder="1" applyAlignment="1">
      <alignment horizontal="center" vertical="center"/>
    </xf>
    <xf numFmtId="43" fontId="11" fillId="3" borderId="19" xfId="0" applyNumberFormat="1" applyFont="1" applyFill="1" applyBorder="1" applyAlignment="1">
      <alignment horizontal="center" vertical="center" wrapText="1"/>
    </xf>
    <xf numFmtId="43" fontId="11" fillId="3" borderId="6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/>
    </xf>
    <xf numFmtId="0" fontId="11" fillId="3" borderId="6" xfId="0" applyFont="1" applyFill="1" applyBorder="1" applyAlignment="1">
      <alignment horizontal="center" vertical="center"/>
    </xf>
    <xf numFmtId="43" fontId="11" fillId="3" borderId="6" xfId="0" applyNumberFormat="1" applyFont="1" applyFill="1" applyBorder="1" applyAlignment="1">
      <alignment horizontal="center" vertical="center"/>
    </xf>
    <xf numFmtId="43" fontId="11" fillId="3" borderId="19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12" fillId="0" borderId="7" xfId="3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4" fontId="6" fillId="0" borderId="14" xfId="0" applyNumberFormat="1" applyFont="1" applyBorder="1" applyAlignment="1">
      <alignment horizontal="center"/>
    </xf>
    <xf numFmtId="0" fontId="13" fillId="3" borderId="15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 wrapText="1"/>
    </xf>
    <xf numFmtId="43" fontId="13" fillId="3" borderId="15" xfId="0" applyNumberFormat="1" applyFont="1" applyFill="1" applyBorder="1" applyAlignment="1">
      <alignment horizontal="center" vertical="center" wrapText="1"/>
    </xf>
    <xf numFmtId="43" fontId="13" fillId="3" borderId="15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0" borderId="14" xfId="1" applyFont="1" applyBorder="1" applyAlignment="1">
      <alignment horizontal="center" vertical="top"/>
    </xf>
    <xf numFmtId="164" fontId="9" fillId="0" borderId="5" xfId="1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4" xfId="0" applyBorder="1"/>
    <xf numFmtId="43" fontId="13" fillId="3" borderId="6" xfId="0" applyNumberFormat="1" applyFont="1" applyFill="1" applyBorder="1" applyAlignment="1">
      <alignment horizontal="center" vertical="center" wrapText="1"/>
    </xf>
    <xf numFmtId="43" fontId="13" fillId="3" borderId="6" xfId="0" applyNumberFormat="1" applyFont="1" applyFill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top"/>
    </xf>
    <xf numFmtId="164" fontId="3" fillId="0" borderId="7" xfId="1" applyFont="1" applyBorder="1" applyAlignment="1">
      <alignment vertical="center"/>
    </xf>
    <xf numFmtId="43" fontId="13" fillId="3" borderId="19" xfId="0" applyNumberFormat="1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/>
    </xf>
    <xf numFmtId="43" fontId="5" fillId="2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6" fontId="3" fillId="0" borderId="14" xfId="0" applyNumberFormat="1" applyFont="1" applyBorder="1" applyAlignment="1">
      <alignment horizontal="center"/>
    </xf>
    <xf numFmtId="2" fontId="3" fillId="0" borderId="14" xfId="0" applyNumberFormat="1" applyFont="1" applyBorder="1"/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/>
    </xf>
    <xf numFmtId="2" fontId="4" fillId="4" borderId="14" xfId="0" applyNumberFormat="1" applyFont="1" applyFill="1" applyBorder="1" applyAlignment="1">
      <alignment horizontal="center" vertical="center"/>
    </xf>
    <xf numFmtId="164" fontId="4" fillId="4" borderId="14" xfId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/>
    </xf>
    <xf numFmtId="164" fontId="4" fillId="0" borderId="5" xfId="1" applyFont="1" applyBorder="1" applyAlignment="1">
      <alignment horizontal="center" vertical="center" indent="1"/>
    </xf>
    <xf numFmtId="0" fontId="5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43" fontId="11" fillId="3" borderId="5" xfId="0" applyNumberFormat="1" applyFont="1" applyFill="1" applyBorder="1" applyAlignment="1">
      <alignment horizontal="center" vertical="center"/>
    </xf>
    <xf numFmtId="0" fontId="18" fillId="2" borderId="5" xfId="0" applyFont="1" applyFill="1" applyBorder="1"/>
    <xf numFmtId="0" fontId="5" fillId="0" borderId="15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15" xfId="0" applyNumberFormat="1" applyFont="1" applyBorder="1" applyAlignment="1">
      <alignment horizontal="center"/>
    </xf>
    <xf numFmtId="2" fontId="3" fillId="0" borderId="15" xfId="0" applyNumberFormat="1" applyFont="1" applyBorder="1"/>
    <xf numFmtId="2" fontId="3" fillId="0" borderId="15" xfId="0" applyNumberFormat="1" applyFont="1" applyBorder="1" applyAlignment="1">
      <alignment horizontal="right"/>
    </xf>
    <xf numFmtId="43" fontId="5" fillId="2" borderId="15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3" fillId="3" borderId="15" xfId="0" applyNumberFormat="1" applyFont="1" applyFill="1" applyBorder="1" applyAlignment="1">
      <alignment horizontal="center" vertical="center"/>
    </xf>
    <xf numFmtId="0" fontId="3" fillId="0" borderId="5" xfId="1" applyNumberFormat="1" applyFont="1" applyBorder="1" applyAlignment="1">
      <alignment vertical="center"/>
    </xf>
    <xf numFmtId="0" fontId="3" fillId="0" borderId="13" xfId="0" applyFont="1" applyBorder="1"/>
    <xf numFmtId="2" fontId="4" fillId="0" borderId="0" xfId="0" applyNumberFormat="1" applyFont="1"/>
    <xf numFmtId="2" fontId="9" fillId="4" borderId="8" xfId="0" applyNumberFormat="1" applyFont="1" applyFill="1" applyBorder="1" applyAlignment="1">
      <alignment horizontal="center" vertical="center"/>
    </xf>
    <xf numFmtId="2" fontId="0" fillId="0" borderId="14" xfId="0" applyNumberFormat="1" applyBorder="1"/>
    <xf numFmtId="0" fontId="10" fillId="0" borderId="15" xfId="0" applyFont="1" applyBorder="1" applyAlignment="1">
      <alignment horizontal="center" vertical="center"/>
    </xf>
    <xf numFmtId="2" fontId="9" fillId="4" borderId="29" xfId="0" applyNumberFormat="1" applyFont="1" applyFill="1" applyBorder="1" applyAlignment="1">
      <alignment horizontal="center" vertical="center"/>
    </xf>
    <xf numFmtId="164" fontId="3" fillId="0" borderId="15" xfId="1" applyFont="1" applyBorder="1" applyAlignment="1">
      <alignment horizontal="center" vertical="center"/>
    </xf>
    <xf numFmtId="0" fontId="13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43" fontId="13" fillId="3" borderId="6" xfId="0" applyNumberFormat="1" applyFont="1" applyFill="1" applyBorder="1" applyAlignment="1">
      <alignment horizontal="right" vertical="center" wrapText="1"/>
    </xf>
    <xf numFmtId="0" fontId="3" fillId="0" borderId="5" xfId="3" applyNumberFormat="1" applyFont="1" applyBorder="1" applyAlignment="1">
      <alignment vertical="center"/>
    </xf>
    <xf numFmtId="3" fontId="3" fillId="0" borderId="5" xfId="3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164" fontId="3" fillId="0" borderId="15" xfId="1" applyFont="1" applyBorder="1" applyAlignment="1">
      <alignment vertical="center"/>
    </xf>
    <xf numFmtId="164" fontId="3" fillId="0" borderId="13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1" fillId="3" borderId="5" xfId="0" applyFont="1" applyFill="1" applyBorder="1" applyAlignment="1">
      <alignment horizontal="right" vertical="center" wrapText="1"/>
    </xf>
    <xf numFmtId="164" fontId="9" fillId="4" borderId="5" xfId="1" applyFont="1" applyFill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4" xfId="0" applyFont="1" applyBorder="1" applyAlignment="1">
      <alignment horizontal="center"/>
    </xf>
    <xf numFmtId="164" fontId="10" fillId="0" borderId="12" xfId="1" applyFont="1" applyBorder="1" applyAlignment="1">
      <alignment horizontal="center" vertical="center"/>
    </xf>
    <xf numFmtId="164" fontId="10" fillId="0" borderId="13" xfId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0" borderId="5" xfId="1" applyFont="1" applyBorder="1" applyAlignment="1">
      <alignment horizontal="left" vertical="top"/>
    </xf>
    <xf numFmtId="165" fontId="3" fillId="0" borderId="12" xfId="0" applyNumberFormat="1" applyFont="1" applyBorder="1" applyAlignment="1">
      <alignment horizontal="center"/>
    </xf>
    <xf numFmtId="164" fontId="9" fillId="0" borderId="15" xfId="1" applyFont="1" applyBorder="1" applyAlignment="1">
      <alignment horizontal="center" vertical="center"/>
    </xf>
    <xf numFmtId="0" fontId="10" fillId="0" borderId="15" xfId="0" applyFont="1" applyBorder="1"/>
    <xf numFmtId="2" fontId="9" fillId="4" borderId="14" xfId="0" applyNumberFormat="1" applyFont="1" applyFill="1" applyBorder="1" applyAlignment="1">
      <alignment horizontal="center" vertical="center"/>
    </xf>
    <xf numFmtId="164" fontId="9" fillId="4" borderId="14" xfId="1" applyFont="1" applyFill="1" applyBorder="1" applyAlignment="1">
      <alignment horizontal="center" vertical="center"/>
    </xf>
    <xf numFmtId="0" fontId="12" fillId="0" borderId="5" xfId="3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2" fillId="0" borderId="19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3" fillId="0" borderId="14" xfId="1" applyNumberFormat="1" applyFont="1" applyBorder="1" applyAlignment="1">
      <alignment vertical="center"/>
    </xf>
    <xf numFmtId="164" fontId="3" fillId="0" borderId="14" xfId="1" applyFont="1" applyBorder="1" applyAlignment="1">
      <alignment vertical="center"/>
    </xf>
    <xf numFmtId="2" fontId="0" fillId="0" borderId="15" xfId="0" applyNumberFormat="1" applyBorder="1"/>
    <xf numFmtId="2" fontId="13" fillId="3" borderId="15" xfId="0" applyNumberFormat="1" applyFont="1" applyFill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/>
    </xf>
    <xf numFmtId="0" fontId="13" fillId="2" borderId="15" xfId="0" applyFont="1" applyFill="1" applyBorder="1" applyAlignment="1">
      <alignment horizontal="center" vertical="center" wrapText="1"/>
    </xf>
    <xf numFmtId="164" fontId="9" fillId="0" borderId="15" xfId="1" applyFont="1" applyBorder="1" applyAlignment="1">
      <alignment vertical="center"/>
    </xf>
    <xf numFmtId="164" fontId="0" fillId="0" borderId="15" xfId="0" applyNumberFormat="1" applyBorder="1"/>
    <xf numFmtId="164" fontId="10" fillId="0" borderId="14" xfId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165" fontId="3" fillId="0" borderId="30" xfId="0" applyNumberFormat="1" applyFont="1" applyBorder="1" applyAlignment="1">
      <alignment horizontal="center"/>
    </xf>
    <xf numFmtId="0" fontId="0" fillId="0" borderId="24" xfId="0" applyBorder="1"/>
    <xf numFmtId="0" fontId="3" fillId="0" borderId="12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5" fontId="18" fillId="2" borderId="5" xfId="0" applyNumberFormat="1" applyFont="1" applyFill="1" applyBorder="1"/>
    <xf numFmtId="2" fontId="18" fillId="0" borderId="15" xfId="0" applyNumberFormat="1" applyFont="1" applyBorder="1"/>
    <xf numFmtId="0" fontId="5" fillId="0" borderId="15" xfId="0" applyFont="1" applyBorder="1"/>
    <xf numFmtId="0" fontId="20" fillId="0" borderId="0" xfId="0" applyFont="1"/>
    <xf numFmtId="2" fontId="13" fillId="3" borderId="6" xfId="0" applyNumberFormat="1" applyFont="1" applyFill="1" applyBorder="1" applyAlignment="1">
      <alignment horizontal="center" vertical="center" wrapText="1"/>
    </xf>
    <xf numFmtId="2" fontId="13" fillId="3" borderId="6" xfId="0" applyNumberFormat="1" applyFont="1" applyFill="1" applyBorder="1" applyAlignment="1">
      <alignment horizontal="center" vertical="center"/>
    </xf>
    <xf numFmtId="0" fontId="17" fillId="0" borderId="15" xfId="0" applyFont="1" applyBorder="1"/>
    <xf numFmtId="2" fontId="9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3" fillId="2" borderId="5" xfId="1" applyFont="1" applyFill="1" applyBorder="1" applyAlignment="1">
      <alignment horizontal="center" vertical="center"/>
    </xf>
    <xf numFmtId="164" fontId="9" fillId="0" borderId="12" xfId="1" applyFont="1" applyBorder="1" applyAlignment="1">
      <alignment vertical="center"/>
    </xf>
    <xf numFmtId="0" fontId="0" fillId="0" borderId="13" xfId="0" applyBorder="1"/>
    <xf numFmtId="164" fontId="10" fillId="0" borderId="10" xfId="1" applyFont="1" applyBorder="1" applyAlignment="1">
      <alignment horizontal="center" vertical="center"/>
    </xf>
    <xf numFmtId="164" fontId="10" fillId="0" borderId="4" xfId="1" applyFont="1" applyBorder="1" applyAlignment="1">
      <alignment horizontal="center" vertical="center"/>
    </xf>
    <xf numFmtId="164" fontId="10" fillId="0" borderId="21" xfId="1" applyFont="1" applyBorder="1" applyAlignment="1">
      <alignment horizontal="center" vertical="center"/>
    </xf>
    <xf numFmtId="164" fontId="10" fillId="0" borderId="27" xfId="1" applyFont="1" applyBorder="1" applyAlignment="1">
      <alignment horizontal="center" vertical="center"/>
    </xf>
    <xf numFmtId="167" fontId="0" fillId="0" borderId="0" xfId="0" applyNumberFormat="1"/>
    <xf numFmtId="4" fontId="3" fillId="0" borderId="0" xfId="0" applyNumberFormat="1" applyFont="1" applyAlignment="1">
      <alignment vertical="center" wrapText="1"/>
    </xf>
    <xf numFmtId="43" fontId="3" fillId="0" borderId="0" xfId="0" applyNumberFormat="1" applyFont="1" applyAlignment="1">
      <alignment vertical="center"/>
    </xf>
    <xf numFmtId="4" fontId="0" fillId="0" borderId="0" xfId="0" applyNumberFormat="1"/>
    <xf numFmtId="168" fontId="3" fillId="0" borderId="2" xfId="1" applyNumberFormat="1" applyFont="1" applyBorder="1" applyAlignment="1">
      <alignment horizontal="center" vertical="top"/>
    </xf>
    <xf numFmtId="0" fontId="4" fillId="7" borderId="0" xfId="0" applyFont="1" applyFill="1" applyAlignment="1">
      <alignment vertical="center"/>
    </xf>
    <xf numFmtId="0" fontId="17" fillId="7" borderId="0" xfId="0" applyFont="1" applyFill="1"/>
    <xf numFmtId="0" fontId="0" fillId="0" borderId="14" xfId="0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23" fillId="6" borderId="15" xfId="0" applyFont="1" applyFill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2" fontId="3" fillId="0" borderId="5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4" fontId="5" fillId="0" borderId="5" xfId="0" applyNumberFormat="1" applyFont="1" applyBorder="1"/>
    <xf numFmtId="164" fontId="0" fillId="0" borderId="0" xfId="0" applyNumberFormat="1" applyAlignment="1">
      <alignment horizontal="center"/>
    </xf>
    <xf numFmtId="0" fontId="13" fillId="3" borderId="6" xfId="0" applyFont="1" applyFill="1" applyBorder="1" applyAlignment="1">
      <alignment vertical="center" wrapText="1"/>
    </xf>
    <xf numFmtId="166" fontId="3" fillId="0" borderId="5" xfId="0" applyNumberFormat="1" applyFont="1" applyBorder="1"/>
    <xf numFmtId="164" fontId="4" fillId="4" borderId="5" xfId="1" applyFont="1" applyFill="1" applyBorder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9" fontId="0" fillId="0" borderId="13" xfId="0" applyNumberFormat="1" applyBorder="1"/>
    <xf numFmtId="0" fontId="24" fillId="0" borderId="13" xfId="0" applyFont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64" fontId="19" fillId="0" borderId="35" xfId="1" applyFont="1" applyBorder="1" applyAlignment="1">
      <alignment horizontal="center"/>
    </xf>
    <xf numFmtId="1" fontId="3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8" fillId="0" borderId="5" xfId="0" applyFont="1" applyBorder="1"/>
    <xf numFmtId="166" fontId="26" fillId="0" borderId="5" xfId="0" applyNumberFormat="1" applyFont="1" applyBorder="1" applyAlignment="1">
      <alignment horizontal="center"/>
    </xf>
    <xf numFmtId="166" fontId="24" fillId="0" borderId="5" xfId="0" applyNumberFormat="1" applyFont="1" applyBorder="1" applyAlignment="1">
      <alignment horizontal="center" vertical="center"/>
    </xf>
    <xf numFmtId="164" fontId="24" fillId="0" borderId="5" xfId="1" applyFont="1" applyBorder="1" applyAlignment="1">
      <alignment vertical="center"/>
    </xf>
    <xf numFmtId="0" fontId="27" fillId="8" borderId="31" xfId="0" applyFont="1" applyFill="1" applyBorder="1"/>
    <xf numFmtId="0" fontId="27" fillId="8" borderId="32" xfId="0" applyFont="1" applyFill="1" applyBorder="1"/>
    <xf numFmtId="2" fontId="27" fillId="8" borderId="32" xfId="0" applyNumberFormat="1" applyFont="1" applyFill="1" applyBorder="1"/>
    <xf numFmtId="2" fontId="27" fillId="8" borderId="33" xfId="0" applyNumberFormat="1" applyFont="1" applyFill="1" applyBorder="1"/>
    <xf numFmtId="0" fontId="28" fillId="0" borderId="0" xfId="0" applyFont="1"/>
    <xf numFmtId="0" fontId="28" fillId="0" borderId="5" xfId="0" applyFont="1" applyBorder="1"/>
    <xf numFmtId="1" fontId="28" fillId="2" borderId="5" xfId="0" applyNumberFormat="1" applyFont="1" applyFill="1" applyBorder="1"/>
    <xf numFmtId="0" fontId="28" fillId="0" borderId="5" xfId="0" applyFont="1" applyBorder="1" applyAlignment="1">
      <alignment wrapText="1"/>
    </xf>
    <xf numFmtId="2" fontId="28" fillId="0" borderId="5" xfId="0" applyNumberFormat="1" applyFont="1" applyBorder="1"/>
    <xf numFmtId="1" fontId="28" fillId="2" borderId="3" xfId="1" applyNumberFormat="1" applyFont="1" applyFill="1" applyBorder="1" applyAlignment="1">
      <alignment vertical="center"/>
    </xf>
    <xf numFmtId="2" fontId="28" fillId="0" borderId="0" xfId="0" applyNumberFormat="1" applyFont="1"/>
    <xf numFmtId="1" fontId="28" fillId="0" borderId="0" xfId="0" applyNumberFormat="1" applyFont="1"/>
    <xf numFmtId="164" fontId="30" fillId="0" borderId="5" xfId="4" applyNumberFormat="1" applyBorder="1" applyAlignment="1">
      <alignment horizontal="center" vertical="center"/>
    </xf>
    <xf numFmtId="164" fontId="3" fillId="0" borderId="12" xfId="1" applyFont="1" applyBorder="1" applyAlignment="1">
      <alignment horizontal="center" vertical="top"/>
    </xf>
    <xf numFmtId="0" fontId="14" fillId="5" borderId="5" xfId="0" applyFont="1" applyFill="1" applyBorder="1" applyAlignment="1">
      <alignment horizontal="right" vertical="center"/>
    </xf>
    <xf numFmtId="0" fontId="13" fillId="3" borderId="5" xfId="0" applyFont="1" applyFill="1" applyBorder="1" applyAlignment="1">
      <alignment horizontal="right" vertical="center" wrapText="1"/>
    </xf>
    <xf numFmtId="2" fontId="13" fillId="3" borderId="5" xfId="0" applyNumberFormat="1" applyFont="1" applyFill="1" applyBorder="1" applyAlignment="1">
      <alignment horizontal="right" vertical="center" wrapText="1"/>
    </xf>
    <xf numFmtId="0" fontId="13" fillId="3" borderId="5" xfId="0" applyFont="1" applyFill="1" applyBorder="1" applyAlignment="1">
      <alignment horizontal="right" vertical="center"/>
    </xf>
    <xf numFmtId="2" fontId="13" fillId="3" borderId="5" xfId="0" applyNumberFormat="1" applyFont="1" applyFill="1" applyBorder="1" applyAlignment="1">
      <alignment horizontal="right" vertical="center"/>
    </xf>
    <xf numFmtId="43" fontId="13" fillId="3" borderId="5" xfId="0" applyNumberFormat="1" applyFont="1" applyFill="1" applyBorder="1" applyAlignment="1">
      <alignment horizontal="right" vertical="center"/>
    </xf>
    <xf numFmtId="0" fontId="23" fillId="6" borderId="15" xfId="0" applyFont="1" applyFill="1" applyBorder="1" applyAlignment="1">
      <alignment horizontal="right"/>
    </xf>
    <xf numFmtId="2" fontId="22" fillId="6" borderId="24" xfId="0" applyNumberFormat="1" applyFont="1" applyFill="1" applyBorder="1" applyAlignment="1">
      <alignment horizontal="right"/>
    </xf>
    <xf numFmtId="2" fontId="22" fillId="6" borderId="13" xfId="0" applyNumberFormat="1" applyFon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5" xfId="0" applyNumberFormat="1" applyBorder="1" applyAlignment="1">
      <alignment horizontal="right"/>
    </xf>
    <xf numFmtId="2" fontId="0" fillId="0" borderId="13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0" fontId="0" fillId="0" borderId="15" xfId="0" applyBorder="1" applyAlignment="1">
      <alignment horizontal="right"/>
    </xf>
    <xf numFmtId="2" fontId="4" fillId="2" borderId="13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vertical="center"/>
    </xf>
    <xf numFmtId="43" fontId="5" fillId="2" borderId="14" xfId="0" applyNumberFormat="1" applyFont="1" applyFill="1" applyBorder="1" applyAlignment="1">
      <alignment horizontal="center" vertical="center"/>
    </xf>
    <xf numFmtId="164" fontId="31" fillId="0" borderId="5" xfId="1" applyFont="1" applyBorder="1" applyAlignment="1"/>
    <xf numFmtId="0" fontId="26" fillId="0" borderId="5" xfId="0" applyFont="1" applyBorder="1"/>
    <xf numFmtId="1" fontId="28" fillId="2" borderId="0" xfId="1" applyNumberFormat="1" applyFont="1" applyFill="1" applyBorder="1" applyAlignment="1">
      <alignment vertical="center"/>
    </xf>
    <xf numFmtId="170" fontId="5" fillId="2" borderId="5" xfId="0" applyNumberFormat="1" applyFont="1" applyFill="1" applyBorder="1" applyAlignment="1">
      <alignment horizontal="center" vertical="center"/>
    </xf>
    <xf numFmtId="170" fontId="0" fillId="0" borderId="13" xfId="0" applyNumberFormat="1" applyBorder="1"/>
    <xf numFmtId="43" fontId="32" fillId="0" borderId="0" xfId="0" applyNumberFormat="1" applyFont="1"/>
    <xf numFmtId="2" fontId="13" fillId="3" borderId="19" xfId="0" applyNumberFormat="1" applyFont="1" applyFill="1" applyBorder="1" applyAlignment="1">
      <alignment horizontal="center" vertical="center"/>
    </xf>
    <xf numFmtId="2" fontId="0" fillId="0" borderId="13" xfId="0" applyNumberFormat="1" applyBorder="1"/>
    <xf numFmtId="2" fontId="0" fillId="2" borderId="13" xfId="0" applyNumberFormat="1" applyFill="1" applyBorder="1" applyAlignment="1">
      <alignment horizontal="right"/>
    </xf>
    <xf numFmtId="0" fontId="0" fillId="2" borderId="12" xfId="0" applyFill="1" applyBorder="1"/>
    <xf numFmtId="2" fontId="0" fillId="0" borderId="36" xfId="0" applyNumberFormat="1" applyBorder="1" applyAlignment="1">
      <alignment horizontal="right"/>
    </xf>
    <xf numFmtId="0" fontId="18" fillId="0" borderId="14" xfId="0" applyFont="1" applyBorder="1"/>
    <xf numFmtId="2" fontId="0" fillId="0" borderId="12" xfId="0" applyNumberFormat="1" applyBorder="1" applyAlignment="1">
      <alignment horizontal="right"/>
    </xf>
    <xf numFmtId="2" fontId="22" fillId="6" borderId="28" xfId="0" applyNumberFormat="1" applyFont="1" applyFill="1" applyBorder="1" applyAlignment="1">
      <alignment horizontal="right"/>
    </xf>
    <xf numFmtId="2" fontId="0" fillId="2" borderId="14" xfId="0" applyNumberFormat="1" applyFill="1" applyBorder="1" applyAlignment="1">
      <alignment horizontal="right"/>
    </xf>
    <xf numFmtId="2" fontId="0" fillId="0" borderId="30" xfId="0" applyNumberFormat="1" applyBorder="1" applyAlignment="1">
      <alignment horizontal="right"/>
    </xf>
    <xf numFmtId="0" fontId="18" fillId="0" borderId="15" xfId="0" applyFont="1" applyBorder="1"/>
    <xf numFmtId="0" fontId="33" fillId="0" borderId="5" xfId="0" applyFont="1" applyBorder="1"/>
    <xf numFmtId="0" fontId="33" fillId="0" borderId="14" xfId="0" applyFont="1" applyBorder="1"/>
    <xf numFmtId="0" fontId="3" fillId="2" borderId="34" xfId="0" applyFont="1" applyFill="1" applyBorder="1"/>
    <xf numFmtId="2" fontId="0" fillId="0" borderId="27" xfId="0" applyNumberFormat="1" applyBorder="1" applyAlignment="1">
      <alignment horizontal="right"/>
    </xf>
    <xf numFmtId="0" fontId="18" fillId="0" borderId="13" xfId="0" applyFont="1" applyBorder="1"/>
    <xf numFmtId="0" fontId="18" fillId="2" borderId="15" xfId="0" applyFont="1" applyFill="1" applyBorder="1"/>
    <xf numFmtId="0" fontId="18" fillId="2" borderId="14" xfId="0" applyFont="1" applyFill="1" applyBorder="1"/>
    <xf numFmtId="166" fontId="31" fillId="0" borderId="5" xfId="0" applyNumberFormat="1" applyFont="1" applyBorder="1" applyAlignment="1">
      <alignment horizontal="center"/>
    </xf>
    <xf numFmtId="2" fontId="3" fillId="0" borderId="3" xfId="1" applyNumberFormat="1" applyFont="1" applyBorder="1" applyAlignment="1">
      <alignment vertical="center"/>
    </xf>
    <xf numFmtId="166" fontId="31" fillId="0" borderId="5" xfId="0" applyNumberFormat="1" applyFont="1" applyBorder="1" applyAlignment="1">
      <alignment horizontal="center" vertical="center"/>
    </xf>
    <xf numFmtId="0" fontId="27" fillId="8" borderId="5" xfId="0" applyFont="1" applyFill="1" applyBorder="1"/>
    <xf numFmtId="2" fontId="27" fillId="8" borderId="5" xfId="0" applyNumberFormat="1" applyFont="1" applyFill="1" applyBorder="1"/>
    <xf numFmtId="0" fontId="28" fillId="10" borderId="5" xfId="0" applyFont="1" applyFill="1" applyBorder="1"/>
    <xf numFmtId="164" fontId="31" fillId="0" borderId="5" xfId="1" applyFont="1" applyBorder="1" applyAlignment="1">
      <alignment vertical="center"/>
    </xf>
    <xf numFmtId="0" fontId="0" fillId="0" borderId="5" xfId="0" applyBorder="1" applyAlignment="1">
      <alignment horizontal="left"/>
    </xf>
    <xf numFmtId="0" fontId="18" fillId="0" borderId="0" xfId="0" applyFont="1"/>
    <xf numFmtId="2" fontId="0" fillId="0" borderId="26" xfId="0" applyNumberFormat="1" applyBorder="1" applyAlignment="1">
      <alignment horizontal="right"/>
    </xf>
    <xf numFmtId="2" fontId="0" fillId="2" borderId="15" xfId="0" applyNumberFormat="1" applyFill="1" applyBorder="1" applyAlignment="1">
      <alignment horizontal="right"/>
    </xf>
    <xf numFmtId="0" fontId="5" fillId="0" borderId="26" xfId="0" applyFont="1" applyBorder="1" applyAlignment="1">
      <alignment horizontal="center"/>
    </xf>
    <xf numFmtId="0" fontId="0" fillId="0" borderId="27" xfId="0" applyBorder="1"/>
    <xf numFmtId="0" fontId="32" fillId="0" borderId="0" xfId="0" applyFont="1"/>
    <xf numFmtId="0" fontId="0" fillId="0" borderId="13" xfId="0" applyBorder="1" applyAlignment="1">
      <alignment horizontal="right"/>
    </xf>
    <xf numFmtId="0" fontId="0" fillId="0" borderId="27" xfId="0" applyBorder="1" applyAlignment="1">
      <alignment horizontal="right"/>
    </xf>
    <xf numFmtId="1" fontId="0" fillId="0" borderId="0" xfId="0" applyNumberFormat="1"/>
    <xf numFmtId="0" fontId="26" fillId="0" borderId="5" xfId="0" applyFont="1" applyBorder="1" applyAlignment="1">
      <alignment horizontal="center" vertical="center"/>
    </xf>
    <xf numFmtId="0" fontId="34" fillId="0" borderId="2" xfId="0" applyFont="1" applyBorder="1"/>
    <xf numFmtId="166" fontId="26" fillId="0" borderId="5" xfId="0" applyNumberFormat="1" applyFont="1" applyBorder="1" applyAlignment="1">
      <alignment horizontal="center" indent="1"/>
    </xf>
    <xf numFmtId="0" fontId="31" fillId="0" borderId="5" xfId="0" applyFont="1" applyBorder="1"/>
    <xf numFmtId="0" fontId="0" fillId="0" borderId="2" xfId="0" applyBorder="1" applyAlignment="1">
      <alignment horizontal="center" vertical="center"/>
    </xf>
    <xf numFmtId="166" fontId="34" fillId="0" borderId="2" xfId="0" applyNumberFormat="1" applyFont="1" applyBorder="1" applyAlignment="1">
      <alignment horizontal="center"/>
    </xf>
    <xf numFmtId="0" fontId="18" fillId="0" borderId="36" xfId="0" applyFont="1" applyBorder="1"/>
    <xf numFmtId="0" fontId="6" fillId="0" borderId="14" xfId="0" applyFont="1" applyBorder="1" applyAlignment="1">
      <alignment vertical="top"/>
    </xf>
    <xf numFmtId="15" fontId="18" fillId="2" borderId="12" xfId="0" applyNumberFormat="1" applyFont="1" applyFill="1" applyBorder="1"/>
    <xf numFmtId="164" fontId="3" fillId="0" borderId="12" xfId="0" applyNumberFormat="1" applyFont="1" applyBorder="1" applyAlignment="1">
      <alignment vertical="center"/>
    </xf>
    <xf numFmtId="166" fontId="3" fillId="0" borderId="15" xfId="0" applyNumberFormat="1" applyFont="1" applyBorder="1"/>
    <xf numFmtId="166" fontId="3" fillId="0" borderId="14" xfId="0" applyNumberFormat="1" applyFont="1" applyBorder="1"/>
    <xf numFmtId="166" fontId="3" fillId="0" borderId="15" xfId="0" applyNumberFormat="1" applyFont="1" applyBorder="1" applyAlignment="1">
      <alignment horizontal="center"/>
    </xf>
    <xf numFmtId="164" fontId="3" fillId="0" borderId="15" xfId="1" applyFont="1" applyBorder="1" applyAlignment="1">
      <alignment horizontal="center" vertical="top"/>
    </xf>
    <xf numFmtId="169" fontId="3" fillId="0" borderId="5" xfId="0" applyNumberFormat="1" applyFont="1" applyBorder="1" applyAlignment="1">
      <alignment vertical="center"/>
    </xf>
    <xf numFmtId="169" fontId="3" fillId="10" borderId="5" xfId="0" applyNumberFormat="1" applyFont="1" applyFill="1" applyBorder="1" applyAlignment="1">
      <alignment vertical="center"/>
    </xf>
    <xf numFmtId="171" fontId="31" fillId="0" borderId="5" xfId="0" applyNumberFormat="1" applyFont="1" applyBorder="1" applyAlignment="1">
      <alignment horizontal="right" vertical="center"/>
    </xf>
    <xf numFmtId="171" fontId="0" fillId="0" borderId="5" xfId="0" applyNumberFormat="1" applyBorder="1" applyAlignment="1">
      <alignment horizontal="right"/>
    </xf>
    <xf numFmtId="0" fontId="0" fillId="2" borderId="5" xfId="0" applyFill="1" applyBorder="1"/>
    <xf numFmtId="0" fontId="0" fillId="0" borderId="26" xfId="0" applyBorder="1"/>
    <xf numFmtId="0" fontId="0" fillId="2" borderId="30" xfId="0" applyFill="1" applyBorder="1"/>
    <xf numFmtId="0" fontId="17" fillId="0" borderId="0" xfId="0" applyFont="1"/>
    <xf numFmtId="164" fontId="10" fillId="2" borderId="5" xfId="1" applyFont="1" applyFill="1" applyBorder="1" applyAlignment="1">
      <alignment horizontal="center" vertical="center"/>
    </xf>
    <xf numFmtId="2" fontId="34" fillId="0" borderId="2" xfId="0" applyNumberFormat="1" applyFont="1" applyBorder="1"/>
    <xf numFmtId="165" fontId="3" fillId="0" borderId="5" xfId="0" applyNumberFormat="1" applyFont="1" applyBorder="1" applyAlignment="1">
      <alignment horizontal="center"/>
    </xf>
    <xf numFmtId="166" fontId="3" fillId="0" borderId="13" xfId="0" applyNumberFormat="1" applyFont="1" applyBorder="1" applyAlignment="1">
      <alignment horizontal="center"/>
    </xf>
    <xf numFmtId="0" fontId="3" fillId="0" borderId="14" xfId="0" applyFont="1" applyBorder="1"/>
    <xf numFmtId="1" fontId="0" fillId="0" borderId="5" xfId="0" quotePrefix="1" applyNumberFormat="1" applyBorder="1"/>
    <xf numFmtId="0" fontId="0" fillId="0" borderId="5" xfId="0" quotePrefix="1" applyBorder="1"/>
    <xf numFmtId="0" fontId="0" fillId="0" borderId="15" xfId="0" quotePrefix="1" applyBorder="1"/>
    <xf numFmtId="164" fontId="19" fillId="0" borderId="2" xfId="1" applyFont="1" applyBorder="1" applyAlignment="1">
      <alignment horizontal="center"/>
    </xf>
    <xf numFmtId="16" fontId="0" fillId="0" borderId="0" xfId="0" applyNumberFormat="1"/>
    <xf numFmtId="0" fontId="18" fillId="0" borderId="5" xfId="0" applyFont="1" applyBorder="1" applyAlignment="1">
      <alignment wrapText="1"/>
    </xf>
    <xf numFmtId="2" fontId="0" fillId="2" borderId="36" xfId="0" applyNumberFormat="1" applyFill="1" applyBorder="1" applyAlignment="1">
      <alignment horizontal="right"/>
    </xf>
    <xf numFmtId="0" fontId="18" fillId="2" borderId="36" xfId="0" applyFont="1" applyFill="1" applyBorder="1"/>
    <xf numFmtId="0" fontId="0" fillId="0" borderId="5" xfId="0" quotePrefix="1" applyBorder="1" applyAlignment="1">
      <alignment horizontal="center"/>
    </xf>
    <xf numFmtId="0" fontId="28" fillId="0" borderId="13" xfId="0" applyFont="1" applyBorder="1"/>
    <xf numFmtId="0" fontId="28" fillId="10" borderId="0" xfId="0" applyFont="1" applyFill="1"/>
    <xf numFmtId="0" fontId="28" fillId="11" borderId="0" xfId="0" applyFont="1" applyFill="1"/>
    <xf numFmtId="165" fontId="3" fillId="0" borderId="37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vertical="center"/>
    </xf>
    <xf numFmtId="166" fontId="31" fillId="0" borderId="5" xfId="0" applyNumberFormat="1" applyFont="1" applyBorder="1" applyAlignment="1">
      <alignment horizontal="left" indent="2"/>
    </xf>
    <xf numFmtId="0" fontId="3" fillId="0" borderId="5" xfId="0" applyFont="1" applyBorder="1" applyAlignment="1">
      <alignment horizontal="left" indent="2"/>
    </xf>
    <xf numFmtId="165" fontId="3" fillId="0" borderId="12" xfId="0" applyNumberFormat="1" applyFont="1" applyBorder="1" applyAlignment="1">
      <alignment horizontal="center" vertical="center"/>
    </xf>
    <xf numFmtId="2" fontId="3" fillId="0" borderId="13" xfId="0" applyNumberFormat="1" applyFont="1" applyBorder="1"/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35" fillId="0" borderId="5" xfId="0" applyFont="1" applyBorder="1"/>
    <xf numFmtId="0" fontId="3" fillId="2" borderId="13" xfId="0" applyFont="1" applyFill="1" applyBorder="1"/>
    <xf numFmtId="0" fontId="28" fillId="0" borderId="34" xfId="0" applyFont="1" applyBorder="1" applyAlignment="1">
      <alignment horizontal="center"/>
    </xf>
    <xf numFmtId="1" fontId="28" fillId="2" borderId="38" xfId="0" applyNumberFormat="1" applyFont="1" applyFill="1" applyBorder="1"/>
    <xf numFmtId="1" fontId="28" fillId="9" borderId="42" xfId="0" applyNumberFormat="1" applyFont="1" applyFill="1" applyBorder="1"/>
    <xf numFmtId="1" fontId="28" fillId="9" borderId="43" xfId="0" applyNumberFormat="1" applyFont="1" applyFill="1" applyBorder="1"/>
    <xf numFmtId="166" fontId="26" fillId="0" borderId="14" xfId="0" applyNumberFormat="1" applyFont="1" applyBorder="1" applyAlignment="1">
      <alignment horizontal="left" indent="1"/>
    </xf>
    <xf numFmtId="166" fontId="26" fillId="0" borderId="5" xfId="0" applyNumberFormat="1" applyFont="1" applyBorder="1" applyAlignment="1">
      <alignment horizontal="left" indent="1"/>
    </xf>
    <xf numFmtId="166" fontId="31" fillId="0" borderId="5" xfId="0" applyNumberFormat="1" applyFont="1" applyBorder="1" applyAlignment="1">
      <alignment horizontal="right" vertical="center"/>
    </xf>
    <xf numFmtId="164" fontId="31" fillId="0" borderId="5" xfId="1" applyFont="1" applyBorder="1" applyAlignment="1">
      <alignment horizontal="right" vertical="center"/>
    </xf>
    <xf numFmtId="2" fontId="5" fillId="0" borderId="5" xfId="0" applyNumberFormat="1" applyFont="1" applyBorder="1" applyAlignment="1">
      <alignment horizontal="center"/>
    </xf>
    <xf numFmtId="14" fontId="34" fillId="0" borderId="5" xfId="0" applyNumberFormat="1" applyFont="1" applyBorder="1" applyAlignment="1">
      <alignment horizontal="center"/>
    </xf>
    <xf numFmtId="2" fontId="18" fillId="0" borderId="27" xfId="0" applyNumberFormat="1" applyFont="1" applyBorder="1"/>
    <xf numFmtId="0" fontId="0" fillId="0" borderId="14" xfId="0" quotePrefix="1" applyBorder="1" applyAlignment="1">
      <alignment horizontal="center"/>
    </xf>
    <xf numFmtId="2" fontId="0" fillId="0" borderId="44" xfId="0" applyNumberFormat="1" applyBorder="1"/>
    <xf numFmtId="0" fontId="5" fillId="0" borderId="37" xfId="0" applyFont="1" applyBorder="1" applyAlignment="1">
      <alignment horizontal="center"/>
    </xf>
    <xf numFmtId="15" fontId="18" fillId="2" borderId="26" xfId="0" applyNumberFormat="1" applyFont="1" applyFill="1" applyBorder="1"/>
    <xf numFmtId="2" fontId="0" fillId="0" borderId="5" xfId="0" applyNumberFormat="1" applyBorder="1" applyAlignment="1">
      <alignment horizontal="center" vertical="center"/>
    </xf>
    <xf numFmtId="0" fontId="36" fillId="0" borderId="5" xfId="0" applyFont="1" applyBorder="1"/>
    <xf numFmtId="4" fontId="0" fillId="0" borderId="5" xfId="0" applyNumberFormat="1" applyBorder="1"/>
    <xf numFmtId="164" fontId="3" fillId="0" borderId="13" xfId="0" applyNumberFormat="1" applyFont="1" applyBorder="1" applyAlignment="1">
      <alignment vertical="center"/>
    </xf>
    <xf numFmtId="0" fontId="18" fillId="0" borderId="27" xfId="0" applyFont="1" applyBorder="1"/>
    <xf numFmtId="0" fontId="3" fillId="0" borderId="44" xfId="0" applyFont="1" applyBorder="1" applyAlignment="1">
      <alignment vertical="center"/>
    </xf>
    <xf numFmtId="0" fontId="37" fillId="0" borderId="14" xfId="0" applyFont="1" applyBorder="1" applyAlignment="1">
      <alignment horizontal="center" vertical="top"/>
    </xf>
    <xf numFmtId="0" fontId="38" fillId="2" borderId="14" xfId="0" applyFont="1" applyFill="1" applyBorder="1" applyAlignment="1">
      <alignment horizontal="center" vertical="top"/>
    </xf>
    <xf numFmtId="0" fontId="18" fillId="2" borderId="13" xfId="0" applyFont="1" applyFill="1" applyBorder="1"/>
    <xf numFmtId="0" fontId="27" fillId="8" borderId="45" xfId="0" applyFont="1" applyFill="1" applyBorder="1"/>
    <xf numFmtId="0" fontId="28" fillId="0" borderId="12" xfId="0" applyFont="1" applyBorder="1"/>
    <xf numFmtId="0" fontId="28" fillId="0" borderId="12" xfId="0" applyFont="1" applyBorder="1" applyAlignment="1">
      <alignment wrapText="1"/>
    </xf>
    <xf numFmtId="0" fontId="28" fillId="0" borderId="24" xfId="0" applyFont="1" applyBorder="1"/>
    <xf numFmtId="0" fontId="3" fillId="2" borderId="46" xfId="0" applyFont="1" applyFill="1" applyBorder="1"/>
    <xf numFmtId="0" fontId="3" fillId="2" borderId="24" xfId="0" applyFont="1" applyFill="1" applyBorder="1"/>
    <xf numFmtId="2" fontId="28" fillId="0" borderId="12" xfId="0" applyNumberFormat="1" applyFont="1" applyBorder="1"/>
    <xf numFmtId="1" fontId="0" fillId="0" borderId="5" xfId="0" applyNumberFormat="1" applyBorder="1"/>
    <xf numFmtId="0" fontId="28" fillId="0" borderId="47" xfId="0" applyFont="1" applyBorder="1" applyAlignment="1">
      <alignment horizontal="center"/>
    </xf>
    <xf numFmtId="2" fontId="28" fillId="0" borderId="15" xfId="0" applyNumberFormat="1" applyFont="1" applyBorder="1"/>
    <xf numFmtId="2" fontId="28" fillId="0" borderId="26" xfId="0" applyNumberFormat="1" applyFont="1" applyBorder="1"/>
    <xf numFmtId="0" fontId="0" fillId="0" borderId="15" xfId="0" quotePrefix="1" applyBorder="1" applyAlignment="1">
      <alignment horizontal="center"/>
    </xf>
    <xf numFmtId="172" fontId="0" fillId="0" borderId="0" xfId="0" applyNumberFormat="1"/>
    <xf numFmtId="0" fontId="18" fillId="0" borderId="48" xfId="0" applyFont="1" applyBorder="1"/>
    <xf numFmtId="0" fontId="39" fillId="8" borderId="5" xfId="0" applyFont="1" applyFill="1" applyBorder="1"/>
    <xf numFmtId="1" fontId="28" fillId="2" borderId="15" xfId="0" applyNumberFormat="1" applyFont="1" applyFill="1" applyBorder="1"/>
    <xf numFmtId="0" fontId="21" fillId="0" borderId="5" xfId="0" applyFont="1" applyBorder="1"/>
    <xf numFmtId="2" fontId="18" fillId="0" borderId="5" xfId="0" applyNumberFormat="1" applyFont="1" applyBorder="1"/>
    <xf numFmtId="0" fontId="5" fillId="10" borderId="14" xfId="0" applyFont="1" applyFill="1" applyBorder="1"/>
    <xf numFmtId="0" fontId="4" fillId="0" borderId="0" xfId="0" applyFont="1" applyAlignment="1">
      <alignment horizontal="center" vertical="center"/>
    </xf>
    <xf numFmtId="0" fontId="14" fillId="5" borderId="11" xfId="0" applyFont="1" applyFill="1" applyBorder="1" applyAlignment="1">
      <alignment horizontal="center"/>
    </xf>
    <xf numFmtId="0" fontId="29" fillId="9" borderId="39" xfId="0" applyFont="1" applyFill="1" applyBorder="1" applyAlignment="1">
      <alignment horizontal="center"/>
    </xf>
    <xf numFmtId="0" fontId="29" fillId="9" borderId="40" xfId="0" applyFont="1" applyFill="1" applyBorder="1" applyAlignment="1">
      <alignment horizontal="center"/>
    </xf>
    <xf numFmtId="0" fontId="29" fillId="9" borderId="4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14" fillId="5" borderId="11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4" fillId="5" borderId="49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7" fillId="0" borderId="27" xfId="0" applyFont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5" borderId="11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4" fillId="5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14" fillId="5" borderId="0" xfId="0" applyFont="1" applyFill="1" applyAlignment="1">
      <alignment horizontal="center" wrapText="1"/>
    </xf>
    <xf numFmtId="0" fontId="4" fillId="0" borderId="24" xfId="0" applyFont="1" applyBorder="1" applyAlignment="1">
      <alignment horizontal="center"/>
    </xf>
    <xf numFmtId="0" fontId="14" fillId="5" borderId="0" xfId="0" applyFont="1" applyFill="1" applyAlignment="1">
      <alignment horizontal="center"/>
    </xf>
    <xf numFmtId="43" fontId="4" fillId="0" borderId="0" xfId="0" applyNumberFormat="1" applyFont="1" applyAlignment="1">
      <alignment horizontal="center" vertical="center"/>
    </xf>
    <xf numFmtId="2" fontId="14" fillId="5" borderId="5" xfId="0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43" fontId="4" fillId="2" borderId="12" xfId="0" applyNumberFormat="1" applyFont="1" applyFill="1" applyBorder="1" applyAlignment="1">
      <alignment horizontal="center" vertical="center"/>
    </xf>
    <xf numFmtId="43" fontId="4" fillId="2" borderId="13" xfId="0" applyNumberFormat="1" applyFont="1" applyFill="1" applyBorder="1" applyAlignment="1">
      <alignment horizontal="center" vertical="center"/>
    </xf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17/10/relationships/person" Target="persons/perso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ECDA2E53-E796-4FA2-B0EA-83016F93297E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2" dT="2025-12-10T06:07:44.77" personId="{ECDA2E53-E796-4FA2-B0EA-83016F93297E}" id="{F5FEB28E-D18E-475C-A6DF-67EACC7BAABB}">
    <text>Amount paid HPCL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6" dT="2025-12-22T05:50:33.51" personId="{ECDA2E53-E796-4FA2-B0EA-83016F93297E}" id="{03BB019A-CD7D-45F2-A549-57257EDC88E6}">
    <text xml:space="preserve">Lubricant </text>
  </threadedComment>
  <threadedComment ref="H23" dT="2025-12-22T05:50:33.51" personId="{ECDA2E53-E796-4FA2-B0EA-83016F93297E}" id="{8F8ABC2A-7FC8-407A-A2B4-09E847F30108}">
    <text xml:space="preserve">Lubricant </text>
  </threadedComment>
  <threadedComment ref="H28" dT="2025-12-26T05:17:28.75" personId="{ECDA2E53-E796-4FA2-B0EA-83016F93297E}" id="{4E9CF956-EFA3-4175-A59C-0ACB55EBD985}">
    <text>Civet:
Hydraulic Oil VG 68 - 26 Ltr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24" dT="2025-12-16T10:23:24.72" personId="{ECDA2E53-E796-4FA2-B0EA-83016F93297E}" id="{218C1FC9-3D57-4680-A5C1-259CAD9A6846}">
    <text>Redeem cash</text>
  </threadedComment>
</ThreadedComment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civetprojectss-my.sharepoint.com/:x:/g/personal/mis_civetprojects_com/EaN7JETNVtRCqKO_Lcark7UBOl55m2ikPSDC63AQ1xDxNg?e=f6qb82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5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N75"/>
  <sheetViews>
    <sheetView topLeftCell="A32" workbookViewId="0">
      <selection activeCell="L54" sqref="L54"/>
    </sheetView>
  </sheetViews>
  <sheetFormatPr defaultColWidth="8.28515625" defaultRowHeight="15.75"/>
  <cols>
    <col min="1" max="1" width="8.28515625" style="291"/>
    <col min="2" max="2" width="25" style="291" customWidth="1"/>
    <col min="3" max="3" width="34.5703125" style="291" bestFit="1" customWidth="1"/>
    <col min="4" max="4" width="14.85546875" style="291" customWidth="1"/>
    <col min="5" max="5" width="15.42578125" style="291" customWidth="1"/>
    <col min="6" max="6" width="14.5703125" style="291" customWidth="1"/>
    <col min="7" max="7" width="16.5703125" style="291" customWidth="1"/>
    <col min="8" max="8" width="23.5703125" style="291" customWidth="1"/>
    <col min="9" max="9" width="17.42578125" style="291" customWidth="1"/>
    <col min="10" max="10" width="16.7109375" style="291" customWidth="1"/>
    <col min="11" max="11" width="20.42578125" style="291" customWidth="1"/>
    <col min="12" max="12" width="22.7109375" style="291" customWidth="1"/>
    <col min="13" max="13" width="16.85546875" style="291" customWidth="1"/>
    <col min="14" max="16384" width="8.28515625" style="291"/>
  </cols>
  <sheetData>
    <row r="1" spans="1:11">
      <c r="A1" s="287" t="s">
        <v>0</v>
      </c>
      <c r="B1" s="288" t="s">
        <v>1</v>
      </c>
      <c r="C1" s="288" t="s">
        <v>2</v>
      </c>
      <c r="D1" s="289" t="s">
        <v>3</v>
      </c>
      <c r="E1" s="289" t="s">
        <v>4</v>
      </c>
      <c r="F1" s="289" t="s">
        <v>5</v>
      </c>
      <c r="G1" s="289" t="s">
        <v>6</v>
      </c>
      <c r="H1" s="289" t="s">
        <v>7</v>
      </c>
      <c r="I1" s="289" t="s">
        <v>8</v>
      </c>
      <c r="J1" s="289" t="s">
        <v>9</v>
      </c>
      <c r="K1" s="290" t="s">
        <v>10</v>
      </c>
    </row>
    <row r="2" spans="1:11">
      <c r="A2" s="411">
        <v>1</v>
      </c>
      <c r="B2" s="292" t="s">
        <v>11</v>
      </c>
      <c r="C2" s="292" t="s">
        <v>12</v>
      </c>
      <c r="D2" s="293">
        <f>+'Khammam-1'!E38</f>
        <v>83600</v>
      </c>
      <c r="E2" s="293">
        <f>+'Khammam-1'!G38</f>
        <v>7998848</v>
      </c>
      <c r="F2" s="293">
        <f>+'Khammam-1'!H38</f>
        <v>335</v>
      </c>
      <c r="G2" s="293">
        <f>+'Khammam-1'!J38</f>
        <v>35999.1</v>
      </c>
      <c r="H2" s="293">
        <f>E2+G2</f>
        <v>8034847.0999999996</v>
      </c>
      <c r="I2" s="293">
        <f>+'Khammam-1'!K3</f>
        <v>4574619.2412999934</v>
      </c>
      <c r="J2" s="293">
        <f>+'Khammam-1'!L38</f>
        <v>8653305</v>
      </c>
      <c r="K2" s="412">
        <f>H2+I2-J2</f>
        <v>3956161.3412999921</v>
      </c>
    </row>
    <row r="3" spans="1:11">
      <c r="A3" s="411">
        <v>2</v>
      </c>
      <c r="B3" s="292" t="s">
        <v>13</v>
      </c>
      <c r="C3" s="292" t="s">
        <v>14</v>
      </c>
      <c r="D3" s="293">
        <f>+'Khammam-2'!E35</f>
        <v>38100</v>
      </c>
      <c r="E3" s="293">
        <f>+'Khammam-2'!G35</f>
        <v>3646170</v>
      </c>
      <c r="F3" s="293">
        <f>+'Khammam-2'!H35</f>
        <v>220</v>
      </c>
      <c r="G3" s="293">
        <f>+'Khammam-2'!J35</f>
        <v>23645.599999999999</v>
      </c>
      <c r="H3" s="293">
        <f>E3+G3</f>
        <v>3669815.6</v>
      </c>
      <c r="I3" s="293">
        <f>+'Khammam-2'!K3</f>
        <v>9561944.7799999993</v>
      </c>
      <c r="J3" s="293">
        <f>+'Khammam-2'!L35</f>
        <v>9561944.7799999993</v>
      </c>
      <c r="K3" s="412">
        <f>H3+I3-J3</f>
        <v>3669815.5999999996</v>
      </c>
    </row>
    <row r="4" spans="1:11">
      <c r="A4" s="411">
        <v>3</v>
      </c>
      <c r="B4" s="292" t="s">
        <v>15</v>
      </c>
      <c r="C4" s="292" t="s">
        <v>16</v>
      </c>
      <c r="D4" s="293">
        <f>+'Jadcherla -1'!E36</f>
        <v>0</v>
      </c>
      <c r="E4" s="293">
        <f>+'Jadcherla -1'!G36</f>
        <v>0</v>
      </c>
      <c r="F4" s="293">
        <f>+'Jadcherla -1'!H36</f>
        <v>142.19791185</v>
      </c>
      <c r="G4" s="293">
        <f>+'Jadcherla -1'!J36</f>
        <v>15390.0799995255</v>
      </c>
      <c r="H4" s="293">
        <f>E4+G4</f>
        <v>15390.0799995255</v>
      </c>
      <c r="I4" s="293">
        <f>+'Jadcherla -1'!M3</f>
        <v>801890.19560000021</v>
      </c>
      <c r="J4" s="293">
        <f>+'Jadcherla -1'!L36</f>
        <v>817280.28</v>
      </c>
      <c r="K4" s="412">
        <f>H4+I4-J4</f>
        <v>-4.4004743685945868E-3</v>
      </c>
    </row>
    <row r="5" spans="1:11">
      <c r="A5" s="411">
        <v>4</v>
      </c>
      <c r="B5" s="292" t="s">
        <v>17</v>
      </c>
      <c r="C5" s="292" t="s">
        <v>18</v>
      </c>
      <c r="D5" s="293">
        <f>+'Jadcharla-2'!E35</f>
        <v>0</v>
      </c>
      <c r="E5" s="293">
        <f>+'Jadcharla-2'!G35</f>
        <v>0</v>
      </c>
      <c r="F5" s="293">
        <f>+'Jadcharla-2'!H35</f>
        <v>0</v>
      </c>
      <c r="G5" s="293">
        <f>+'Jadcharla-2'!J35</f>
        <v>0</v>
      </c>
      <c r="H5" s="293">
        <f>E5+G5</f>
        <v>0</v>
      </c>
      <c r="I5" s="293">
        <f>+'Jadcharla-2'!K3</f>
        <v>1123622.9000000004</v>
      </c>
      <c r="J5" s="293">
        <f>+'Jadcharla-2'!L35</f>
        <v>1123622.8999999999</v>
      </c>
      <c r="K5" s="412">
        <f>H5+I5-J5</f>
        <v>0</v>
      </c>
    </row>
    <row r="6" spans="1:11">
      <c r="A6" s="411">
        <v>5</v>
      </c>
      <c r="B6" s="292" t="s">
        <v>19</v>
      </c>
      <c r="C6" s="292" t="s">
        <v>20</v>
      </c>
      <c r="D6" s="293">
        <f>+'Jadcherla-3'!E35</f>
        <v>22000</v>
      </c>
      <c r="E6" s="293">
        <f>+'Jadcherla-3'!G35</f>
        <v>2099460</v>
      </c>
      <c r="F6" s="293">
        <f>+'Jadcherla-3'!H35</f>
        <v>0</v>
      </c>
      <c r="G6" s="293">
        <f>+'Jadcherla-3'!J35</f>
        <v>0</v>
      </c>
      <c r="H6" s="293">
        <f>E6+G6</f>
        <v>2099460</v>
      </c>
      <c r="I6" s="293">
        <f>+'Jadcherla-3'!M3</f>
        <v>1839042.5</v>
      </c>
      <c r="J6" s="293">
        <f>+'Jadcherla-3'!L35</f>
        <v>2755171</v>
      </c>
      <c r="K6" s="412">
        <f>H6+I6-J6</f>
        <v>1183331.5</v>
      </c>
    </row>
    <row r="7" spans="1:11">
      <c r="A7" s="411">
        <v>6</v>
      </c>
      <c r="B7" s="292" t="s">
        <v>21</v>
      </c>
      <c r="C7" s="292" t="s">
        <v>22</v>
      </c>
      <c r="D7" s="293">
        <f>+'Jadcherla-4'!E35</f>
        <v>0</v>
      </c>
      <c r="E7" s="293">
        <f>+'Jadcherla-4'!G35</f>
        <v>0</v>
      </c>
      <c r="F7" s="293">
        <f>+'Jadcherla-4'!H35</f>
        <v>50</v>
      </c>
      <c r="G7" s="293">
        <f>+'Jadcherla-4'!J35</f>
        <v>5405</v>
      </c>
      <c r="H7" s="293">
        <f>E7+G7</f>
        <v>5405</v>
      </c>
      <c r="I7" s="293">
        <f>+'Jadcherla-4'!M3</f>
        <v>0</v>
      </c>
      <c r="J7" s="293">
        <f>+'Jadcherla-4'!L35</f>
        <v>0</v>
      </c>
      <c r="K7" s="412">
        <f>H7+I7-J7</f>
        <v>5405</v>
      </c>
    </row>
    <row r="8" spans="1:11">
      <c r="A8" s="411">
        <v>7</v>
      </c>
      <c r="B8" s="292" t="s">
        <v>23</v>
      </c>
      <c r="C8" s="292" t="s">
        <v>24</v>
      </c>
      <c r="D8" s="293">
        <f>+Dindi!E35</f>
        <v>115.95000000000002</v>
      </c>
      <c r="E8" s="293">
        <f>+Dindi!G35</f>
        <v>11188.886399999999</v>
      </c>
      <c r="F8" s="293">
        <f>+Dindi!H35</f>
        <v>0</v>
      </c>
      <c r="G8" s="293">
        <f>+Dindi!J35</f>
        <v>0</v>
      </c>
      <c r="H8" s="293">
        <f>E8+G8</f>
        <v>11188.886399999999</v>
      </c>
      <c r="I8" s="293">
        <f>+Dindi!M3</f>
        <v>0</v>
      </c>
      <c r="J8" s="293">
        <f>+Dindi!L35</f>
        <v>11188.886399999999</v>
      </c>
      <c r="K8" s="412">
        <f t="shared" ref="K8:K48" si="0">H8+I8-J8</f>
        <v>0</v>
      </c>
    </row>
    <row r="9" spans="1:11">
      <c r="A9" s="411">
        <v>8</v>
      </c>
      <c r="B9" s="292" t="s">
        <v>25</v>
      </c>
      <c r="C9" s="292" t="s">
        <v>26</v>
      </c>
      <c r="D9" s="293">
        <f>+Devarakhadra!E35</f>
        <v>239.68</v>
      </c>
      <c r="E9" s="293">
        <f>+Devarakhadra!G35</f>
        <v>23272.928</v>
      </c>
      <c r="F9" s="293">
        <f>+Devarakhadra!H35</f>
        <v>25</v>
      </c>
      <c r="G9" s="293">
        <f>+Devarakhadra!J35</f>
        <v>2715.9500000000003</v>
      </c>
      <c r="H9" s="293">
        <f>E9+G9</f>
        <v>25988.878000000001</v>
      </c>
      <c r="I9" s="293">
        <f>+Devarakhadra!M3</f>
        <v>34600.432999999888</v>
      </c>
      <c r="J9" s="293">
        <f>+Devarakhadra!L35</f>
        <v>55563</v>
      </c>
      <c r="K9" s="412">
        <f t="shared" si="0"/>
        <v>5026.3109999998851</v>
      </c>
    </row>
    <row r="10" spans="1:11">
      <c r="A10" s="411">
        <v>9</v>
      </c>
      <c r="B10" s="292" t="s">
        <v>27</v>
      </c>
      <c r="C10" s="292" t="s">
        <v>20</v>
      </c>
      <c r="D10" s="293">
        <f>+'Devarakhadra-2'!E35</f>
        <v>0</v>
      </c>
      <c r="E10" s="293">
        <f>+'Devarakhadra-2'!G35</f>
        <v>0</v>
      </c>
      <c r="F10" s="293">
        <f>+'Devarakhadra-2'!H35</f>
        <v>0</v>
      </c>
      <c r="G10" s="293">
        <f>+'Devarakhadra-2'!I35</f>
        <v>0</v>
      </c>
      <c r="H10" s="293">
        <f>E10+G10</f>
        <v>0</v>
      </c>
      <c r="I10" s="293">
        <f>+'Devarakhadra-2'!M3</f>
        <v>66053.768499999976</v>
      </c>
      <c r="J10" s="293">
        <f>+'Devarakhadra-2'!L35</f>
        <v>66053.77</v>
      </c>
      <c r="K10" s="412">
        <f>+'Devarakhadra-2'!M34</f>
        <v>-1.5000000275904313E-3</v>
      </c>
    </row>
    <row r="11" spans="1:11">
      <c r="A11" s="411">
        <v>10</v>
      </c>
      <c r="B11" s="292" t="s">
        <v>28</v>
      </c>
      <c r="C11" s="292"/>
      <c r="D11" s="293">
        <f>+'Madana palli'!E35</f>
        <v>600</v>
      </c>
      <c r="E11" s="293">
        <f>+'Madana palli'!G35</f>
        <v>58656</v>
      </c>
      <c r="F11" s="293">
        <f>+'Madana palli'!H35</f>
        <v>10.029999999999999</v>
      </c>
      <c r="G11" s="293">
        <f>+'Madana palli'!J35</f>
        <v>1099.3882999999998</v>
      </c>
      <c r="H11" s="293">
        <f>E11+G11</f>
        <v>59755.388299999999</v>
      </c>
      <c r="I11" s="293">
        <f>+'Madana palli'!M3</f>
        <v>0</v>
      </c>
      <c r="J11" s="293">
        <f>+'Madana palli'!L35</f>
        <v>59755.388299999999</v>
      </c>
      <c r="K11" s="412">
        <f>+'Devarakhadra-2'!M35</f>
        <v>0</v>
      </c>
    </row>
    <row r="12" spans="1:11">
      <c r="A12" s="411">
        <v>11</v>
      </c>
      <c r="B12" s="292" t="s">
        <v>29</v>
      </c>
      <c r="C12" s="292" t="s">
        <v>30</v>
      </c>
      <c r="D12" s="293">
        <f>+Amalapuram!E37</f>
        <v>258.89</v>
      </c>
      <c r="E12" s="293">
        <f>+Amalapuram!G37</f>
        <v>23815.918599999997</v>
      </c>
      <c r="F12" s="293">
        <f>+Amalapuram!H37</f>
        <v>35</v>
      </c>
      <c r="G12" s="293">
        <f>+Amalapuram!J37</f>
        <v>3813.9654</v>
      </c>
      <c r="H12" s="293">
        <f>E12+G12</f>
        <v>27629.883999999998</v>
      </c>
      <c r="I12" s="293">
        <f>+Amalapuram!M3</f>
        <v>0</v>
      </c>
      <c r="J12" s="293">
        <f>+Amalapuram!L37</f>
        <v>27629.87</v>
      </c>
      <c r="K12" s="412">
        <f t="shared" si="0"/>
        <v>1.3999999999214197E-2</v>
      </c>
    </row>
    <row r="13" spans="1:11">
      <c r="A13" s="411">
        <v>12</v>
      </c>
      <c r="B13" s="292" t="s">
        <v>31</v>
      </c>
      <c r="C13" s="292" t="s">
        <v>32</v>
      </c>
      <c r="D13" s="293">
        <f>+'YG Gudda '!E36</f>
        <v>0</v>
      </c>
      <c r="E13" s="293">
        <f>+'YG Gudda '!G36</f>
        <v>0</v>
      </c>
      <c r="F13" s="293">
        <f>+'YG Gudda '!H36</f>
        <v>0</v>
      </c>
      <c r="G13" s="293">
        <f>+'YG Gudda '!J36</f>
        <v>0</v>
      </c>
      <c r="H13" s="293">
        <f t="shared" ref="H13:H14" si="1">E13+G13</f>
        <v>0</v>
      </c>
      <c r="I13" s="293">
        <f>'YG Gudda '!K3</f>
        <v>25021.541513800228</v>
      </c>
      <c r="J13" s="293">
        <f>+'YG Gudda '!L36</f>
        <v>25021.54</v>
      </c>
      <c r="K13" s="412">
        <f t="shared" si="0"/>
        <v>1.5138002272578888E-3</v>
      </c>
    </row>
    <row r="14" spans="1:11">
      <c r="A14" s="411">
        <v>13</v>
      </c>
      <c r="B14" s="292" t="s">
        <v>33</v>
      </c>
      <c r="C14" s="292" t="s">
        <v>34</v>
      </c>
      <c r="D14" s="293">
        <f>+'YG Gudda-2'!E36</f>
        <v>10328.4791</v>
      </c>
      <c r="E14" s="293">
        <f>+'YG Gudda-2'!G36</f>
        <v>943299.99620299996</v>
      </c>
      <c r="F14" s="293">
        <f>+'YG Gudda-2'!H36</f>
        <v>490</v>
      </c>
      <c r="G14" s="293">
        <f>+'YG Gudda-2'!J36</f>
        <v>50602.3</v>
      </c>
      <c r="H14" s="293">
        <f t="shared" si="1"/>
        <v>993902.29620300001</v>
      </c>
      <c r="I14" s="293">
        <f>+'YG Gudda-2'!M3</f>
        <v>340400.90670000005</v>
      </c>
      <c r="J14" s="293">
        <f>+'YG Gudda-2'!L36</f>
        <v>620413</v>
      </c>
      <c r="K14" s="412">
        <f t="shared" si="0"/>
        <v>713890.20290300017</v>
      </c>
    </row>
    <row r="15" spans="1:11">
      <c r="A15" s="411">
        <v>14</v>
      </c>
      <c r="B15" s="292" t="s">
        <v>35</v>
      </c>
      <c r="C15" s="292" t="s">
        <v>36</v>
      </c>
      <c r="D15" s="293">
        <f>+Hosadurga!E35</f>
        <v>0</v>
      </c>
      <c r="E15" s="293">
        <f>+Hosadurga!G35</f>
        <v>0</v>
      </c>
      <c r="F15" s="293">
        <f>+Hosadurga!H35</f>
        <v>0</v>
      </c>
      <c r="G15" s="293">
        <f>+Hosadurga!J35</f>
        <v>0</v>
      </c>
      <c r="H15" s="293">
        <f t="shared" ref="H15:H49" si="2">E15+G15</f>
        <v>0</v>
      </c>
      <c r="I15" s="293">
        <f>+Hosadurga!K3</f>
        <v>2258.5999999999767</v>
      </c>
      <c r="J15" s="293">
        <f>+Hosadurga!L35</f>
        <v>0</v>
      </c>
      <c r="K15" s="412">
        <f t="shared" si="0"/>
        <v>2258.5999999999767</v>
      </c>
    </row>
    <row r="16" spans="1:11">
      <c r="A16" s="411">
        <v>15</v>
      </c>
      <c r="B16" s="292" t="s">
        <v>37</v>
      </c>
      <c r="C16" s="292" t="s">
        <v>38</v>
      </c>
      <c r="D16" s="293">
        <f>+'Hosadurga -2'!E35</f>
        <v>4000</v>
      </c>
      <c r="E16" s="293">
        <f>+'Hosadurga -2'!G35</f>
        <v>366080</v>
      </c>
      <c r="F16" s="293">
        <f>+'Hosadurga -2'!H35</f>
        <v>280</v>
      </c>
      <c r="G16" s="293">
        <f>+'Hosadurga -2'!J35</f>
        <v>29027.600000000002</v>
      </c>
      <c r="H16" s="293">
        <f>+'Hosadurga -2'!K35</f>
        <v>395107.6</v>
      </c>
      <c r="I16" s="293">
        <f>+'Hosadurga -2'!K3</f>
        <v>354228.03690000018</v>
      </c>
      <c r="J16" s="293">
        <f>+'Hosadurga -2'!L35</f>
        <v>551781.84</v>
      </c>
      <c r="K16" s="412">
        <f>H16+I16-J16</f>
        <v>197553.79690000019</v>
      </c>
    </row>
    <row r="17" spans="1:11" ht="15.75" customHeight="1">
      <c r="A17" s="411">
        <v>16</v>
      </c>
      <c r="B17" s="294" t="s">
        <v>39</v>
      </c>
      <c r="C17" s="294" t="s">
        <v>40</v>
      </c>
      <c r="D17" s="293">
        <f>+'Malebenur(KUWSDB)'!E36</f>
        <v>6900</v>
      </c>
      <c r="E17" s="293">
        <f>+'Malebenur(KUWSDB)'!G36</f>
        <v>635766</v>
      </c>
      <c r="F17" s="293">
        <f>+'Malebenur(KUWSDB)'!H36</f>
        <v>255</v>
      </c>
      <c r="G17" s="293">
        <f>+'Malebenur(KUWSDB)'!J36</f>
        <v>26512.35</v>
      </c>
      <c r="H17" s="293">
        <f>E17+G17</f>
        <v>662278.35</v>
      </c>
      <c r="I17" s="293">
        <f>+'Malebenur(KUWSDB)'!K3</f>
        <v>151062.95500000002</v>
      </c>
      <c r="J17" s="293">
        <f>+'Malebenur(KUWSDB)'!L36</f>
        <v>610983.94999999995</v>
      </c>
      <c r="K17" s="412">
        <f>H17+I17-J17</f>
        <v>202357.35499999998</v>
      </c>
    </row>
    <row r="18" spans="1:11">
      <c r="A18" s="411">
        <v>17</v>
      </c>
      <c r="B18" s="292" t="s">
        <v>41</v>
      </c>
      <c r="C18" s="292" t="s">
        <v>42</v>
      </c>
      <c r="D18" s="293">
        <f>+Kadur!E35</f>
        <v>2200</v>
      </c>
      <c r="E18" s="293">
        <f>+Kadur!G35</f>
        <v>202730</v>
      </c>
      <c r="F18" s="293">
        <f>+Kadur!H35</f>
        <v>180</v>
      </c>
      <c r="G18" s="293">
        <f>+Kadur!J35</f>
        <v>18768.599999999999</v>
      </c>
      <c r="H18" s="293">
        <f t="shared" si="2"/>
        <v>221498.6</v>
      </c>
      <c r="I18" s="293">
        <f>+Kadur!K3</f>
        <v>164331.63099999976</v>
      </c>
      <c r="J18" s="293">
        <f>+Kadur!L35</f>
        <v>175801</v>
      </c>
      <c r="K18" s="412">
        <f t="shared" si="0"/>
        <v>210029.2309999998</v>
      </c>
    </row>
    <row r="19" spans="1:11">
      <c r="A19" s="411">
        <v>18</v>
      </c>
      <c r="B19" s="292" t="s">
        <v>43</v>
      </c>
      <c r="C19" s="292" t="s">
        <v>44</v>
      </c>
      <c r="D19" s="293">
        <f>+'Hiriyur(VJNL)'!E35</f>
        <v>4600</v>
      </c>
      <c r="E19" s="293">
        <f>+'Hiriyur(VJNL)'!G35</f>
        <v>424258</v>
      </c>
      <c r="F19" s="293">
        <f>+'Hiriyur(VJNL)'!H35</f>
        <v>140</v>
      </c>
      <c r="G19" s="293">
        <f>+'Hiriyur(VJNL)'!J35</f>
        <v>14571.199999999999</v>
      </c>
      <c r="H19" s="293">
        <f t="shared" si="2"/>
        <v>438829.2</v>
      </c>
      <c r="I19" s="293">
        <f>+'Hiriyur(VJNL)'!K3</f>
        <v>385911.60000000003</v>
      </c>
      <c r="J19" s="293">
        <f>+'Hiriyur(VJNL)'!L35</f>
        <v>385912</v>
      </c>
      <c r="K19" s="412">
        <f t="shared" si="0"/>
        <v>438828.80000000005</v>
      </c>
    </row>
    <row r="20" spans="1:11">
      <c r="A20" s="411">
        <v>19</v>
      </c>
      <c r="B20" s="292" t="s">
        <v>45</v>
      </c>
      <c r="C20" s="292" t="s">
        <v>46</v>
      </c>
      <c r="D20" s="293">
        <f>+'Chellakere -1'!E35</f>
        <v>3270</v>
      </c>
      <c r="E20" s="293">
        <f>+'Chellakere -1'!G35</f>
        <v>301461.3</v>
      </c>
      <c r="F20" s="293">
        <f>+'Chellakere -1'!H35</f>
        <v>235</v>
      </c>
      <c r="G20" s="293">
        <f>+'Chellakere -1'!J35</f>
        <v>24449.4</v>
      </c>
      <c r="H20" s="293">
        <f t="shared" si="2"/>
        <v>325910.7</v>
      </c>
      <c r="I20" s="293">
        <f>+'Chellakere -1'!K3</f>
        <v>128004.75</v>
      </c>
      <c r="J20" s="293">
        <f>+'Chellakere -1'!L35</f>
        <v>308512.34999999998</v>
      </c>
      <c r="K20" s="412">
        <f t="shared" si="0"/>
        <v>145403.10000000003</v>
      </c>
    </row>
    <row r="21" spans="1:11">
      <c r="A21" s="411">
        <v>20</v>
      </c>
      <c r="B21" s="292" t="s">
        <v>47</v>
      </c>
      <c r="C21" s="396"/>
      <c r="D21" s="293">
        <f>+' Chellakere-PKG-9'!E35</f>
        <v>939.66</v>
      </c>
      <c r="E21" s="293">
        <f>+' Chellakere-PKG-9'!G35</f>
        <v>86629.50539999998</v>
      </c>
      <c r="F21" s="293">
        <f>+' Chellakere-PKG-9'!H35</f>
        <v>80.58</v>
      </c>
      <c r="G21" s="293">
        <f>+' Chellakere-PKG-9'!J35</f>
        <v>8382.7374</v>
      </c>
      <c r="H21" s="293">
        <f t="shared" si="2"/>
        <v>95012.242799999978</v>
      </c>
      <c r="I21" s="293">
        <f>+' Chellakere-PKG-9'!M3</f>
        <v>0</v>
      </c>
      <c r="J21" s="293">
        <f>+' Chellakere-PKG-9'!L35</f>
        <v>95012.242799999993</v>
      </c>
      <c r="K21" s="412">
        <f t="shared" si="0"/>
        <v>0</v>
      </c>
    </row>
    <row r="22" spans="1:11">
      <c r="A22" s="411">
        <v>21</v>
      </c>
      <c r="B22" s="292" t="s">
        <v>48</v>
      </c>
      <c r="C22" s="338" t="s">
        <v>49</v>
      </c>
      <c r="D22" s="293">
        <f>+Molakamuru!E35</f>
        <v>1414.99</v>
      </c>
      <c r="E22" s="293">
        <f>+Molakamuru!G35</f>
        <v>130431.02830000001</v>
      </c>
      <c r="F22" s="293">
        <f>+Molakamuru!H35</f>
        <v>50.012</v>
      </c>
      <c r="G22" s="293">
        <f>+Molakamuru!J35</f>
        <v>5202.2482399999999</v>
      </c>
      <c r="H22" s="293">
        <f t="shared" si="2"/>
        <v>135633.27653999999</v>
      </c>
      <c r="I22" s="293">
        <f>+Molakamuru!K3</f>
        <v>0</v>
      </c>
      <c r="J22" s="293">
        <f>+Molakamuru!L35</f>
        <v>82044.776540000006</v>
      </c>
      <c r="K22" s="412">
        <f t="shared" si="0"/>
        <v>53588.499999999985</v>
      </c>
    </row>
    <row r="23" spans="1:11">
      <c r="A23" s="411">
        <v>22</v>
      </c>
      <c r="B23" s="292" t="s">
        <v>50</v>
      </c>
      <c r="C23" s="410"/>
      <c r="D23" s="293">
        <f>+' Chennagiri'!E35</f>
        <v>685</v>
      </c>
      <c r="E23" s="293">
        <f>+' Chennagiri'!G35</f>
        <v>63034.95</v>
      </c>
      <c r="F23" s="293">
        <f>+' Chennagiri'!H35</f>
        <v>49</v>
      </c>
      <c r="G23" s="293">
        <f>+' Chennagiri'!J35</f>
        <v>5099.92</v>
      </c>
      <c r="H23" s="293">
        <f t="shared" si="2"/>
        <v>68134.87</v>
      </c>
      <c r="I23" s="293">
        <f>+' Chennagiri'!K3</f>
        <v>0</v>
      </c>
      <c r="J23" s="293">
        <f>+' Chennagiri'!L35</f>
        <v>68134.87</v>
      </c>
      <c r="K23" s="412">
        <f t="shared" si="0"/>
        <v>0</v>
      </c>
    </row>
    <row r="24" spans="1:11">
      <c r="A24" s="411">
        <v>23</v>
      </c>
      <c r="B24" s="292" t="s">
        <v>51</v>
      </c>
      <c r="C24" s="292" t="s">
        <v>52</v>
      </c>
      <c r="D24" s="293">
        <f>+Khanapur!E35</f>
        <v>1226.17</v>
      </c>
      <c r="E24" s="293">
        <f>+Khanapur!G35</f>
        <v>111434.32959999998</v>
      </c>
      <c r="F24" s="293">
        <f>+Khanapur!H35</f>
        <v>83</v>
      </c>
      <c r="G24" s="293">
        <f>+Khanapur!J35</f>
        <v>8529.9100000000017</v>
      </c>
      <c r="H24" s="293">
        <f t="shared" si="2"/>
        <v>119964.23959999999</v>
      </c>
      <c r="I24" s="293">
        <f>+Khanapur!M3</f>
        <v>29018.260799999989</v>
      </c>
      <c r="J24" s="293">
        <f>+Khanapur!L35</f>
        <v>50000</v>
      </c>
      <c r="K24" s="412">
        <f t="shared" si="0"/>
        <v>98982.500399999961</v>
      </c>
    </row>
    <row r="25" spans="1:11">
      <c r="A25" s="411">
        <v>24</v>
      </c>
      <c r="B25" s="292" t="s">
        <v>53</v>
      </c>
      <c r="C25" s="292" t="s">
        <v>54</v>
      </c>
      <c r="D25" s="293">
        <f>+'Munavali-2'!E37</f>
        <v>8154.25</v>
      </c>
      <c r="E25" s="293">
        <f>+'Munavali-2'!G37</f>
        <v>744736.99419999996</v>
      </c>
      <c r="F25" s="293">
        <f>+'Munavali-2'!H37</f>
        <v>189.70999999999998</v>
      </c>
      <c r="G25" s="293">
        <f>+'Munavali-2'!J37</f>
        <v>19605.803599999999</v>
      </c>
      <c r="H25" s="293">
        <f t="shared" si="2"/>
        <v>764342.79779999994</v>
      </c>
      <c r="I25" s="293">
        <f>+'Munavali-2'!M3</f>
        <v>554212.7041999998</v>
      </c>
      <c r="J25" s="293">
        <f>+'Munavali-2'!L37</f>
        <v>658024.69999999995</v>
      </c>
      <c r="K25" s="412">
        <f t="shared" si="0"/>
        <v>660530.80199999991</v>
      </c>
    </row>
    <row r="26" spans="1:11">
      <c r="A26" s="411">
        <v>25</v>
      </c>
      <c r="B26" s="292" t="s">
        <v>55</v>
      </c>
      <c r="C26" s="292" t="s">
        <v>56</v>
      </c>
      <c r="D26" s="293">
        <f>+Borgaon!E35</f>
        <v>6077.86</v>
      </c>
      <c r="E26" s="293">
        <f>+Borgaon!G35</f>
        <v>557765.21220000007</v>
      </c>
      <c r="F26" s="293">
        <f>+Borgaon!H35</f>
        <v>70</v>
      </c>
      <c r="G26" s="293">
        <f>+Borgaon!J35</f>
        <v>7259</v>
      </c>
      <c r="H26" s="293">
        <f t="shared" si="2"/>
        <v>565024.21220000007</v>
      </c>
      <c r="I26" s="293">
        <f>+Borgaon!K3</f>
        <v>67414.901499999964</v>
      </c>
      <c r="J26" s="293">
        <f>+Borgaon!L35</f>
        <v>512043.30059999996</v>
      </c>
      <c r="K26" s="412">
        <f>H26+I26-J26</f>
        <v>120395.81310000003</v>
      </c>
    </row>
    <row r="27" spans="1:11">
      <c r="A27" s="411">
        <v>26</v>
      </c>
      <c r="B27" s="292" t="s">
        <v>57</v>
      </c>
      <c r="C27" s="292" t="s">
        <v>58</v>
      </c>
      <c r="D27" s="293">
        <f>+'Ugar,Khagwad,Kudichi'!E35</f>
        <v>5246.45</v>
      </c>
      <c r="E27" s="293">
        <f>+'Ugar,Khagwad,Kudichi'!G35</f>
        <v>482306.14850000001</v>
      </c>
      <c r="F27" s="293">
        <f>+'Ugar,Khagwad,Kudichi'!H35</f>
        <v>279.98</v>
      </c>
      <c r="G27" s="293">
        <f>+'Ugar,Khagwad,Kudichi'!J35</f>
        <v>29123.972000000002</v>
      </c>
      <c r="H27" s="293">
        <f t="shared" si="2"/>
        <v>511430.12050000002</v>
      </c>
      <c r="I27" s="293">
        <f>+'Ugar,Khagwad,Kudichi'!M3</f>
        <v>394249.74100000021</v>
      </c>
      <c r="J27" s="293">
        <f>+'Ugar,Khagwad,Kudichi'!L35</f>
        <v>613314</v>
      </c>
      <c r="K27" s="412">
        <f>H27+I27-J27</f>
        <v>292365.86150000023</v>
      </c>
    </row>
    <row r="28" spans="1:11">
      <c r="A28" s="411">
        <v>27</v>
      </c>
      <c r="B28" s="292" t="s">
        <v>59</v>
      </c>
      <c r="C28" s="292" t="s">
        <v>60</v>
      </c>
      <c r="D28" s="293">
        <f>+Kabbur!E35</f>
        <v>240</v>
      </c>
      <c r="E28" s="293">
        <f>+Kabbur!G35</f>
        <v>21981.599999999999</v>
      </c>
      <c r="F28" s="293">
        <f>+Kabbur!H35</f>
        <v>25.58</v>
      </c>
      <c r="G28" s="293">
        <f>+Kabbur!J35</f>
        <v>2648.2973999999999</v>
      </c>
      <c r="H28" s="293">
        <f t="shared" si="2"/>
        <v>24629.897399999998</v>
      </c>
      <c r="I28" s="293">
        <v>0</v>
      </c>
      <c r="J28" s="293">
        <f>+Kabbur!L35</f>
        <v>24629.897400000002</v>
      </c>
      <c r="K28" s="412">
        <f t="shared" si="0"/>
        <v>0</v>
      </c>
    </row>
    <row r="29" spans="1:11">
      <c r="A29" s="411">
        <v>28</v>
      </c>
      <c r="B29" s="292" t="s">
        <v>61</v>
      </c>
      <c r="C29" s="292" t="s">
        <v>62</v>
      </c>
      <c r="D29" s="293">
        <f>+kumta!E35</f>
        <v>2073.27</v>
      </c>
      <c r="E29" s="293">
        <f>+kumta!G35</f>
        <v>190574.97840000005</v>
      </c>
      <c r="F29" s="293">
        <f>+kumta!H35</f>
        <v>121.24000000000001</v>
      </c>
      <c r="G29" s="293">
        <f>+kumta!J35</f>
        <v>12604.110400000001</v>
      </c>
      <c r="H29" s="293">
        <f t="shared" si="2"/>
        <v>203179.08880000006</v>
      </c>
      <c r="I29" s="293">
        <v>0</v>
      </c>
      <c r="J29" s="293">
        <f>+kumta!L35</f>
        <v>203179.08880000003</v>
      </c>
      <c r="K29" s="412">
        <f t="shared" si="0"/>
        <v>0</v>
      </c>
    </row>
    <row r="30" spans="1:11">
      <c r="A30" s="411">
        <v>29</v>
      </c>
      <c r="B30" s="292" t="s">
        <v>63</v>
      </c>
      <c r="C30" s="292" t="s">
        <v>64</v>
      </c>
      <c r="D30" s="293">
        <f>+Jalgaon!E54</f>
        <v>13809.449999999999</v>
      </c>
      <c r="E30" s="293">
        <f>+Jalgaon!G54</f>
        <v>1266325.5377</v>
      </c>
      <c r="F30" s="293">
        <f>+Jalgaon!H54</f>
        <v>242</v>
      </c>
      <c r="G30" s="293">
        <f>+Jalgaon!J54</f>
        <v>25455.98</v>
      </c>
      <c r="H30" s="293">
        <f t="shared" si="2"/>
        <v>1291781.5177</v>
      </c>
      <c r="I30" s="293">
        <f>+Jalgaon!K3</f>
        <v>1148460.7971999999</v>
      </c>
      <c r="J30" s="293">
        <f>+Jalgaon!L54</f>
        <v>1709938.5299999998</v>
      </c>
      <c r="K30" s="412">
        <f t="shared" si="0"/>
        <v>730303.78489999985</v>
      </c>
    </row>
    <row r="31" spans="1:11">
      <c r="A31" s="411">
        <v>30</v>
      </c>
      <c r="B31" s="292" t="s">
        <v>65</v>
      </c>
      <c r="C31" s="292" t="s">
        <v>66</v>
      </c>
      <c r="D31" s="293">
        <f>+MKBD!E38</f>
        <v>4100</v>
      </c>
      <c r="E31" s="293">
        <f>+MKBD!G38</f>
        <v>373674</v>
      </c>
      <c r="F31" s="293">
        <f>+MKBD!H38</f>
        <v>101</v>
      </c>
      <c r="G31" s="293">
        <f>+MKBD!J38</f>
        <v>12871.9</v>
      </c>
      <c r="H31" s="293">
        <f t="shared" si="2"/>
        <v>386545.9</v>
      </c>
      <c r="I31" s="293">
        <f>+MKBD!K3</f>
        <v>437930.64999999991</v>
      </c>
      <c r="J31" s="293">
        <f>+MKBD!L38</f>
        <v>461912.77</v>
      </c>
      <c r="K31" s="412">
        <f t="shared" si="0"/>
        <v>362563.77999999991</v>
      </c>
    </row>
    <row r="32" spans="1:11">
      <c r="A32" s="411">
        <v>31</v>
      </c>
      <c r="B32" s="292" t="s">
        <v>67</v>
      </c>
      <c r="C32" s="292" t="s">
        <v>68</v>
      </c>
      <c r="D32" s="293">
        <f>+Haveri!E37</f>
        <v>100</v>
      </c>
      <c r="E32" s="293">
        <f>+Haveri!G37</f>
        <v>9147</v>
      </c>
      <c r="F32" s="293">
        <f>+Haveri!H37</f>
        <v>0</v>
      </c>
      <c r="G32" s="293">
        <f>+Haveri!J37</f>
        <v>0</v>
      </c>
      <c r="H32" s="293">
        <f t="shared" si="2"/>
        <v>9147</v>
      </c>
      <c r="I32" s="293">
        <f>+Haveri!M3</f>
        <v>225176.0768999999</v>
      </c>
      <c r="J32" s="293">
        <f>+Haveri!L37</f>
        <v>224862</v>
      </c>
      <c r="K32" s="412">
        <f t="shared" si="0"/>
        <v>9461.0768999998982</v>
      </c>
    </row>
    <row r="33" spans="1:13">
      <c r="A33" s="411">
        <v>32</v>
      </c>
      <c r="B33" s="292" t="s">
        <v>67</v>
      </c>
      <c r="C33" s="292" t="s">
        <v>69</v>
      </c>
      <c r="D33" s="293">
        <f>' Haveri-2'!E37</f>
        <v>3340.4700000000003</v>
      </c>
      <c r="E33" s="293">
        <f>' Haveri-2'!G37</f>
        <v>305619.60029999993</v>
      </c>
      <c r="F33" s="293">
        <f>' Haveri-2'!H37</f>
        <v>140.56</v>
      </c>
      <c r="G33" s="293">
        <f>' Haveri-2'!J37</f>
        <v>14538.120800000001</v>
      </c>
      <c r="H33" s="293">
        <f t="shared" si="2"/>
        <v>320157.72109999991</v>
      </c>
      <c r="I33" s="293">
        <f>' Haveri-2'!M3</f>
        <v>0</v>
      </c>
      <c r="J33" s="293">
        <f>+' Haveri-2'!L37</f>
        <v>155714</v>
      </c>
      <c r="K33" s="412">
        <f t="shared" si="0"/>
        <v>164443.72109999991</v>
      </c>
    </row>
    <row r="34" spans="1:13">
      <c r="A34" s="411">
        <v>33</v>
      </c>
      <c r="B34" s="292" t="s">
        <v>70</v>
      </c>
      <c r="C34" s="292" t="s">
        <v>71</v>
      </c>
      <c r="D34" s="293">
        <f>+Guttal!E35</f>
        <v>4725.6000000000004</v>
      </c>
      <c r="E34" s="293">
        <f>+Guttal!G35</f>
        <v>433810.08</v>
      </c>
      <c r="F34" s="293">
        <f>+Guttal!H35</f>
        <v>153</v>
      </c>
      <c r="G34" s="293">
        <f>+Guttal!J35</f>
        <v>15875.279999999999</v>
      </c>
      <c r="H34" s="293">
        <f t="shared" si="2"/>
        <v>449685.36</v>
      </c>
      <c r="I34" s="293">
        <f>+Guttal!M3</f>
        <v>58502.010400000014</v>
      </c>
      <c r="J34" s="293">
        <f>+Guttal!L35</f>
        <v>171500</v>
      </c>
      <c r="K34" s="412">
        <f t="shared" si="0"/>
        <v>336687.37040000001</v>
      </c>
    </row>
    <row r="35" spans="1:13">
      <c r="A35" s="411">
        <v>34</v>
      </c>
      <c r="B35" s="292" t="s">
        <v>72</v>
      </c>
      <c r="C35" s="292" t="s">
        <v>73</v>
      </c>
      <c r="D35" s="293">
        <f>+Rattihali!E35</f>
        <v>1507.83</v>
      </c>
      <c r="E35" s="293">
        <f>+Rattihali!G35</f>
        <v>138780.67319999999</v>
      </c>
      <c r="F35" s="293">
        <f>+Rattihali!H35</f>
        <v>39</v>
      </c>
      <c r="G35" s="293">
        <f>+Rattihali!J35</f>
        <v>4056.7799999999997</v>
      </c>
      <c r="H35" s="293">
        <f t="shared" si="2"/>
        <v>142837.45319999999</v>
      </c>
      <c r="I35" s="293">
        <f>+Rattihali!M3</f>
        <v>135998.27080000003</v>
      </c>
      <c r="J35" s="293">
        <f>+Rattihali!L35</f>
        <v>272393</v>
      </c>
      <c r="K35" s="412">
        <f t="shared" si="0"/>
        <v>6442.7240000000456</v>
      </c>
    </row>
    <row r="36" spans="1:13">
      <c r="A36" s="411">
        <v>35</v>
      </c>
      <c r="B36" s="292" t="s">
        <v>74</v>
      </c>
      <c r="C36" s="292" t="s">
        <v>75</v>
      </c>
      <c r="D36" s="293">
        <f>+'Rattihali-2'!E37</f>
        <v>3253.25</v>
      </c>
      <c r="E36" s="293">
        <f>+'Rattihali-2'!G37</f>
        <v>298941.14250000002</v>
      </c>
      <c r="F36" s="293">
        <f>+'Rattihali-2'!H37</f>
        <v>111</v>
      </c>
      <c r="G36" s="293">
        <f>+'Rattihali-2'!J37</f>
        <v>11939.16</v>
      </c>
      <c r="H36" s="293">
        <f t="shared" si="2"/>
        <v>310880.30249999999</v>
      </c>
      <c r="I36" s="293">
        <f>+'Rattihali-2'!M3</f>
        <v>0</v>
      </c>
      <c r="J36" s="293">
        <f>+'Rattihali-2'!L37</f>
        <v>0</v>
      </c>
      <c r="K36" s="412">
        <f t="shared" si="0"/>
        <v>310880.30249999999</v>
      </c>
    </row>
    <row r="37" spans="1:13">
      <c r="A37" s="411">
        <v>36</v>
      </c>
      <c r="B37" s="292" t="s">
        <v>76</v>
      </c>
      <c r="C37" s="292" t="s">
        <v>77</v>
      </c>
      <c r="D37" s="293">
        <f>+Gajendragada!E35</f>
        <v>18</v>
      </c>
      <c r="E37" s="293">
        <f>+Gajendragada!G35</f>
        <v>1652.94</v>
      </c>
      <c r="F37" s="293">
        <f>+Gajendragada!H35</f>
        <v>15</v>
      </c>
      <c r="G37" s="293">
        <f>+Gajendragada!J35</f>
        <v>1557</v>
      </c>
      <c r="H37" s="293">
        <f t="shared" si="2"/>
        <v>3209.94</v>
      </c>
      <c r="I37" s="293">
        <f>+Gajendragada!K3</f>
        <v>1290.2615000000078</v>
      </c>
      <c r="J37" s="293">
        <f>+Gajendragada!L35</f>
        <v>0</v>
      </c>
      <c r="K37" s="412">
        <f t="shared" si="0"/>
        <v>4500.2015000000083</v>
      </c>
    </row>
    <row r="38" spans="1:13">
      <c r="A38" s="411">
        <v>37</v>
      </c>
      <c r="B38" s="295" t="s">
        <v>78</v>
      </c>
      <c r="C38" s="295" t="s">
        <v>79</v>
      </c>
      <c r="D38" s="293">
        <f>+'Gokak Dharwad PKG 3'!E40</f>
        <v>10248.640000000001</v>
      </c>
      <c r="E38" s="293">
        <f>+'Gokak Dharwad PKG 3'!G40</f>
        <v>937545.5872000003</v>
      </c>
      <c r="F38" s="293">
        <f>+'Gokak Dharwad PKG 3'!H40</f>
        <v>277</v>
      </c>
      <c r="G38" s="293">
        <f>+'Gokak Dharwad PKG 3'!J40</f>
        <v>28644.569999999996</v>
      </c>
      <c r="H38" s="293">
        <f t="shared" si="2"/>
        <v>966190.15720000025</v>
      </c>
      <c r="I38" s="296">
        <f>+'Gokak Dharwad PKG 3'!K3</f>
        <v>619206.32700000051</v>
      </c>
      <c r="J38" s="293">
        <f>+'Gokak Dharwad PKG 3'!L40</f>
        <v>1038037</v>
      </c>
      <c r="K38" s="412">
        <f t="shared" si="0"/>
        <v>547359.48420000076</v>
      </c>
      <c r="M38" s="298"/>
    </row>
    <row r="39" spans="1:13">
      <c r="A39" s="411">
        <v>38</v>
      </c>
      <c r="B39" s="295" t="s">
        <v>80</v>
      </c>
      <c r="C39" s="295" t="s">
        <v>81</v>
      </c>
      <c r="D39" s="293">
        <f>+Ankalgi!E35</f>
        <v>4561.13</v>
      </c>
      <c r="E39" s="293">
        <f>+Ankalgi!G35</f>
        <v>416476.78030000004</v>
      </c>
      <c r="F39" s="293">
        <f>+Ankalgi!H35</f>
        <v>150</v>
      </c>
      <c r="G39" s="293">
        <f>+Ankalgi!J35</f>
        <v>15484.499999999995</v>
      </c>
      <c r="H39" s="293">
        <f t="shared" si="2"/>
        <v>431961.28030000004</v>
      </c>
      <c r="I39" s="321">
        <f>+Ankalgi!M3</f>
        <v>109864.34919999997</v>
      </c>
      <c r="J39" s="293">
        <f>+Ankalgi!L35</f>
        <v>361718.01</v>
      </c>
      <c r="K39" s="412">
        <f t="shared" si="0"/>
        <v>180107.61950000003</v>
      </c>
    </row>
    <row r="40" spans="1:13">
      <c r="A40" s="411">
        <v>39</v>
      </c>
      <c r="B40" s="295" t="s">
        <v>82</v>
      </c>
      <c r="C40" s="295" t="s">
        <v>83</v>
      </c>
      <c r="D40" s="293">
        <f>+' Shankeshwar'!E35</f>
        <v>730</v>
      </c>
      <c r="E40" s="293">
        <f>+' Shankeshwar'!G35</f>
        <v>66652.600000000006</v>
      </c>
      <c r="F40" s="293">
        <f>+' Shankeshwar'!H35</f>
        <v>62</v>
      </c>
      <c r="G40" s="293">
        <f>+' Shankeshwar'!J35</f>
        <v>6399.6399999999994</v>
      </c>
      <c r="H40" s="293">
        <f t="shared" si="2"/>
        <v>73052.240000000005</v>
      </c>
      <c r="I40" s="293"/>
      <c r="J40" s="293">
        <f>+' Shankeshwar'!L35</f>
        <v>73052.239999999991</v>
      </c>
      <c r="K40" s="412">
        <f t="shared" si="0"/>
        <v>0</v>
      </c>
    </row>
    <row r="41" spans="1:13">
      <c r="A41" s="411">
        <v>40</v>
      </c>
      <c r="B41" s="295" t="s">
        <v>84</v>
      </c>
      <c r="C41" s="295" t="s">
        <v>85</v>
      </c>
      <c r="D41" s="293">
        <f>+' Talikote'!E46</f>
        <v>364.21</v>
      </c>
      <c r="E41" s="293">
        <f>+' Talikote'!G46</f>
        <v>33325.214999999997</v>
      </c>
      <c r="F41" s="293">
        <f>+' Talikote'!H46</f>
        <v>59.050000000000004</v>
      </c>
      <c r="G41" s="293">
        <f>+' Talikote'!J46</f>
        <v>6108.1320000000005</v>
      </c>
      <c r="H41" s="293">
        <f t="shared" si="2"/>
        <v>39433.346999999994</v>
      </c>
      <c r="I41" s="293">
        <f>+' Talikote'!N3</f>
        <v>55674.448899999988</v>
      </c>
      <c r="J41" s="293">
        <f>+' Talikote'!L46</f>
        <v>74000</v>
      </c>
      <c r="K41" s="412">
        <f t="shared" si="0"/>
        <v>21107.795899999983</v>
      </c>
    </row>
    <row r="42" spans="1:13">
      <c r="A42" s="411">
        <v>41</v>
      </c>
      <c r="B42" s="295" t="s">
        <v>86</v>
      </c>
      <c r="C42" s="295" t="s">
        <v>87</v>
      </c>
      <c r="D42" s="293">
        <f>+Chadchan!E35</f>
        <v>1901.3199999999997</v>
      </c>
      <c r="E42" s="293">
        <f>+Chadchan!G35</f>
        <v>173457.42359999998</v>
      </c>
      <c r="F42" s="293">
        <f>+Chadchan!H35</f>
        <v>96.77000000000001</v>
      </c>
      <c r="G42" s="293">
        <f>+Chadchan!J35</f>
        <v>9982.7932000000001</v>
      </c>
      <c r="H42" s="293">
        <f t="shared" si="2"/>
        <v>183440.21679999999</v>
      </c>
      <c r="I42" s="293">
        <f>+Chadchan!K3</f>
        <v>71075.95540000005</v>
      </c>
      <c r="J42" s="293">
        <f>+Chadchan!L35</f>
        <v>173004</v>
      </c>
      <c r="K42" s="412">
        <f t="shared" si="0"/>
        <v>81512.17220000003</v>
      </c>
    </row>
    <row r="43" spans="1:13">
      <c r="A43" s="411">
        <v>42</v>
      </c>
      <c r="B43" s="295" t="s">
        <v>88</v>
      </c>
      <c r="C43" s="295" t="s">
        <v>89</v>
      </c>
      <c r="D43" s="293">
        <f>+Sindagi!E44</f>
        <v>137.81</v>
      </c>
      <c r="E43" s="293">
        <f>+Sindagi!G44</f>
        <v>12897.956400000001</v>
      </c>
      <c r="F43" s="293">
        <f>+Sindagi!H44</f>
        <v>0</v>
      </c>
      <c r="G43" s="293">
        <f>+Sindagi!J44</f>
        <v>0</v>
      </c>
      <c r="H43" s="293">
        <f t="shared" si="2"/>
        <v>12897.956400000001</v>
      </c>
      <c r="I43" s="293">
        <f>+Sindagi!M3</f>
        <v>28738.362300000001</v>
      </c>
      <c r="J43" s="293">
        <f>+Sindagi!L44</f>
        <v>37964.83</v>
      </c>
      <c r="K43" s="412">
        <f t="shared" si="0"/>
        <v>3671.4887000000017</v>
      </c>
    </row>
    <row r="44" spans="1:13">
      <c r="A44" s="411">
        <v>43</v>
      </c>
      <c r="B44" s="295" t="s">
        <v>90</v>
      </c>
      <c r="C44" s="295" t="s">
        <v>91</v>
      </c>
      <c r="D44" s="293">
        <f>+Muddebihal!E47</f>
        <v>0</v>
      </c>
      <c r="E44" s="293">
        <f>+Muddebihal!G47</f>
        <v>0</v>
      </c>
      <c r="F44" s="293">
        <f>+Muddebihal!H47</f>
        <v>0</v>
      </c>
      <c r="G44" s="293">
        <f>+Muddebihal!J47</f>
        <v>0</v>
      </c>
      <c r="H44" s="293">
        <f t="shared" si="2"/>
        <v>0</v>
      </c>
      <c r="I44" s="293">
        <f>+Muddebihal!M3</f>
        <v>8551.5867999999937</v>
      </c>
      <c r="J44" s="293">
        <f>+Muddebihal!L47</f>
        <v>8551.59</v>
      </c>
      <c r="K44" s="412">
        <f t="shared" si="0"/>
        <v>-3.2000000064726919E-3</v>
      </c>
    </row>
    <row r="45" spans="1:13">
      <c r="A45" s="411">
        <v>44</v>
      </c>
      <c r="B45" s="295" t="s">
        <v>92</v>
      </c>
      <c r="C45" s="295" t="s">
        <v>93</v>
      </c>
      <c r="D45" s="293">
        <f>+'Muddebhihal-2'!E48</f>
        <v>2004.21</v>
      </c>
      <c r="E45" s="293">
        <f>+'Muddebhihal-2'!G48</f>
        <v>183224.87820000004</v>
      </c>
      <c r="F45" s="293">
        <f>+'Muddebhihal-2'!H48</f>
        <v>74.36</v>
      </c>
      <c r="G45" s="293">
        <f>+'Muddebhihal-2'!J48</f>
        <v>7757.7060000000001</v>
      </c>
      <c r="H45" s="293">
        <f>+'Muddebhihal-2'!K48</f>
        <v>190982.58420000004</v>
      </c>
      <c r="I45" s="293">
        <f>+'Muddebhihal-2'!M3</f>
        <v>75469.959399999992</v>
      </c>
      <c r="J45" s="293">
        <f>+'Muddebhihal-2'!L48</f>
        <v>160000</v>
      </c>
      <c r="K45" s="412">
        <f>+'Muddebhihal-2'!M47</f>
        <v>106452.54359999996</v>
      </c>
    </row>
    <row r="46" spans="1:13">
      <c r="A46" s="411">
        <v>45</v>
      </c>
      <c r="B46" s="295" t="s">
        <v>94</v>
      </c>
      <c r="C46" s="295" t="s">
        <v>95</v>
      </c>
      <c r="D46" s="293">
        <f>+Alemela!E43</f>
        <v>20</v>
      </c>
      <c r="E46" s="293">
        <f>+Alemela!G43</f>
        <v>1826.6</v>
      </c>
      <c r="F46" s="293">
        <f>+Alemela!H43</f>
        <v>67.539999999999992</v>
      </c>
      <c r="G46" s="293">
        <f>+Alemela!J43</f>
        <v>6974.1804000000011</v>
      </c>
      <c r="H46" s="293">
        <f t="shared" si="2"/>
        <v>8800.7804000000015</v>
      </c>
      <c r="I46" s="293">
        <f>+Alemela!M3</f>
        <v>28304.009000000013</v>
      </c>
      <c r="J46" s="293">
        <f>+Alemela!L43</f>
        <v>32000</v>
      </c>
      <c r="K46" s="412">
        <f t="shared" si="0"/>
        <v>5104.789400000016</v>
      </c>
    </row>
    <row r="47" spans="1:13">
      <c r="A47" s="411">
        <v>46</v>
      </c>
      <c r="B47" s="295" t="s">
        <v>96</v>
      </c>
      <c r="C47" s="295" t="s">
        <v>97</v>
      </c>
      <c r="D47" s="293">
        <f>+Nalatwad!E43</f>
        <v>429.07</v>
      </c>
      <c r="E47" s="293">
        <f>+Nalatwad!G43</f>
        <v>39311.393400000001</v>
      </c>
      <c r="F47" s="293">
        <f>+Nalatwad!H43</f>
        <v>109.83</v>
      </c>
      <c r="G47" s="293">
        <f>+Nalatwad!J43</f>
        <v>11454.002700000001</v>
      </c>
      <c r="H47" s="293">
        <f>E47+G47</f>
        <v>50765.396099999998</v>
      </c>
      <c r="I47" s="293">
        <f>+Nalatwad!M3</f>
        <v>47651.889860000018</v>
      </c>
      <c r="J47" s="293">
        <f>+Nalatwad!L43</f>
        <v>66000</v>
      </c>
      <c r="K47" s="412">
        <f>H47+I47-J47</f>
        <v>32417.285960000008</v>
      </c>
    </row>
    <row r="48" spans="1:13">
      <c r="A48" s="411">
        <v>47</v>
      </c>
      <c r="B48" s="295" t="s">
        <v>98</v>
      </c>
      <c r="C48" s="295" t="s">
        <v>99</v>
      </c>
      <c r="D48" s="293">
        <f>+Srirangapatna!E35</f>
        <v>66.239999999999995</v>
      </c>
      <c r="E48" s="293">
        <f>+Srirangapatna!G35</f>
        <v>5999.3567999999987</v>
      </c>
      <c r="F48" s="293">
        <f>+Srirangapatna!H35</f>
        <v>17.7</v>
      </c>
      <c r="G48" s="293">
        <f>+Srirangapatna!J35</f>
        <v>1813.5419999999999</v>
      </c>
      <c r="H48" s="293">
        <f t="shared" si="2"/>
        <v>7812.898799999999</v>
      </c>
      <c r="I48" s="293">
        <v>0</v>
      </c>
      <c r="J48" s="293">
        <f>+Srirangapatna!L35</f>
        <v>7812.898799999999</v>
      </c>
      <c r="K48" s="412">
        <f>H48+I48-J48</f>
        <v>0</v>
      </c>
    </row>
    <row r="49" spans="1:13">
      <c r="A49" s="411">
        <v>48</v>
      </c>
      <c r="B49" s="295" t="s">
        <v>100</v>
      </c>
      <c r="C49" s="292" t="s">
        <v>20</v>
      </c>
      <c r="D49" s="450">
        <f>+' Ho(DG)'!E36</f>
        <v>170.01</v>
      </c>
      <c r="E49" s="450">
        <f>+' Ho(DG)'!G36</f>
        <v>16292.058299999999</v>
      </c>
      <c r="F49" s="450">
        <f>+' Ho(DG)'!H36</f>
        <v>0</v>
      </c>
      <c r="G49" s="450">
        <f>+' Ho(DG)'!J36</f>
        <v>0</v>
      </c>
      <c r="H49" s="293">
        <f t="shared" si="2"/>
        <v>16292.058299999999</v>
      </c>
      <c r="I49" s="450">
        <f>+' Ho(DG)'!M3</f>
        <v>0</v>
      </c>
      <c r="J49" s="450">
        <f>+' Ho(DG)'!L36</f>
        <v>0</v>
      </c>
      <c r="K49" s="412">
        <f>H49+I49-J49</f>
        <v>16292.058299999999</v>
      </c>
    </row>
    <row r="50" spans="1:13">
      <c r="A50" s="456" t="s">
        <v>101</v>
      </c>
      <c r="B50" s="457"/>
      <c r="C50" s="458"/>
      <c r="D50" s="413">
        <f>SUM(D2:D49)</f>
        <v>253757.88910000003</v>
      </c>
      <c r="E50" s="413">
        <f>SUM(E2:E49)</f>
        <v>23838862.598702993</v>
      </c>
      <c r="F50" s="413">
        <f>SUM(F2:F49)</f>
        <v>5062.1399118499994</v>
      </c>
      <c r="G50" s="413">
        <f>SUM(G2:G49)</f>
        <v>531369.8198395255</v>
      </c>
      <c r="H50" s="413">
        <f>SUM(H2:H49)</f>
        <v>24370232.418542519</v>
      </c>
      <c r="I50" s="413">
        <f>SUM(I2:I49)</f>
        <v>23649784.40167379</v>
      </c>
      <c r="J50" s="413">
        <f>SUM(J2:J49)</f>
        <v>33144784.29964</v>
      </c>
      <c r="K50" s="414">
        <f>H50+I50-J50</f>
        <v>14875232.520576313</v>
      </c>
      <c r="L50" s="291">
        <v>14756935.141362999</v>
      </c>
      <c r="M50" s="298">
        <f>L50-K50</f>
        <v>-118297.3792133145</v>
      </c>
    </row>
    <row r="51" spans="1:13">
      <c r="K51" s="297"/>
    </row>
    <row r="53" spans="1:13">
      <c r="K53" s="297"/>
    </row>
    <row r="54" spans="1:13">
      <c r="K54" s="297"/>
    </row>
    <row r="55" spans="1:13">
      <c r="A55" s="346" t="s">
        <v>0</v>
      </c>
      <c r="B55" s="346" t="s">
        <v>1</v>
      </c>
      <c r="C55" s="346" t="s">
        <v>2</v>
      </c>
      <c r="D55" s="347" t="s">
        <v>3</v>
      </c>
      <c r="E55" s="347" t="s">
        <v>4</v>
      </c>
      <c r="F55" s="347" t="s">
        <v>5</v>
      </c>
      <c r="G55" s="347" t="s">
        <v>6</v>
      </c>
      <c r="H55" s="347" t="s">
        <v>7</v>
      </c>
      <c r="I55" s="347" t="s">
        <v>8</v>
      </c>
      <c r="J55" s="347" t="s">
        <v>9</v>
      </c>
      <c r="K55" s="347" t="s">
        <v>10</v>
      </c>
    </row>
    <row r="56" spans="1:13">
      <c r="A56" s="348">
        <v>39</v>
      </c>
      <c r="B56" s="348" t="str" cm="1">
        <f t="array" ref="B56:K56">VLOOKUP(A56,A1:K48,{2,3,4,5,6,7,8,9,10,11},FALSE)</f>
        <v>ShankeshWAR</v>
      </c>
      <c r="C56" s="348" t="str">
        <v>SR Patil</v>
      </c>
      <c r="D56" s="348">
        <v>730</v>
      </c>
      <c r="E56" s="348">
        <v>66652.600000000006</v>
      </c>
      <c r="F56" s="348">
        <v>62</v>
      </c>
      <c r="G56" s="348">
        <v>6399.6399999999994</v>
      </c>
      <c r="H56" s="348">
        <v>73052.240000000005</v>
      </c>
      <c r="I56" s="348">
        <v>0</v>
      </c>
      <c r="J56" s="348">
        <v>73052.239999999991</v>
      </c>
      <c r="K56" s="348">
        <v>0</v>
      </c>
    </row>
    <row r="58" spans="1:13">
      <c r="B58" s="346" t="s">
        <v>1</v>
      </c>
      <c r="C58" s="346" t="s">
        <v>2</v>
      </c>
      <c r="D58" s="347" t="s">
        <v>3</v>
      </c>
      <c r="E58" s="347" t="s">
        <v>4</v>
      </c>
      <c r="F58" s="347" t="s">
        <v>5</v>
      </c>
      <c r="G58" s="347" t="s">
        <v>6</v>
      </c>
      <c r="H58" s="347" t="s">
        <v>7</v>
      </c>
      <c r="I58" s="347" t="s">
        <v>8</v>
      </c>
      <c r="J58" s="347" t="s">
        <v>9</v>
      </c>
      <c r="K58" s="347" t="s">
        <v>10</v>
      </c>
    </row>
    <row r="59" spans="1:13">
      <c r="B59" s="291" t="s">
        <v>45</v>
      </c>
      <c r="C59" s="291" t="str" cm="1">
        <f t="array" ref="C59:K59">VLOOKUP(B59,B1:K48,{2,3,4,5,6,7,8,9,10},FALSE)</f>
        <v>Shivaganga Service Station</v>
      </c>
      <c r="D59" s="291">
        <v>3270</v>
      </c>
      <c r="E59" s="291">
        <v>301461.3</v>
      </c>
      <c r="F59" s="291">
        <v>235</v>
      </c>
      <c r="G59" s="291">
        <v>24449.4</v>
      </c>
      <c r="H59" s="291">
        <v>325910.7</v>
      </c>
      <c r="I59" s="291">
        <v>128004.75</v>
      </c>
      <c r="J59" s="291">
        <v>308512.34999999998</v>
      </c>
      <c r="K59" s="291">
        <v>145403.10000000003</v>
      </c>
    </row>
    <row r="66" spans="2:14">
      <c r="B66" s="291">
        <v>60000</v>
      </c>
    </row>
    <row r="67" spans="2:14">
      <c r="B67" s="291">
        <v>18000</v>
      </c>
    </row>
    <row r="68" spans="2:14">
      <c r="B68" s="291">
        <v>18000</v>
      </c>
    </row>
    <row r="69" spans="2:14">
      <c r="B69" s="291">
        <v>75000</v>
      </c>
    </row>
    <row r="70" spans="2:14">
      <c r="B70" s="291">
        <v>360000</v>
      </c>
    </row>
    <row r="74" spans="2:14">
      <c r="M74" s="398"/>
    </row>
    <row r="75" spans="2:14">
      <c r="M75" s="398"/>
      <c r="N75" s="397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50:C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6632-9320-4CC6-B9BB-ED75FDE9C322}">
  <dimension ref="B2:X49"/>
  <sheetViews>
    <sheetView topLeftCell="A34" workbookViewId="0">
      <selection activeCell="K45" sqref="K45"/>
    </sheetView>
  </sheetViews>
  <sheetFormatPr defaultRowHeight="15"/>
  <cols>
    <col min="2" max="2" width="5.28515625" bestFit="1" customWidth="1"/>
    <col min="3" max="3" width="27.140625" customWidth="1"/>
    <col min="4" max="4" width="38.140625" bestFit="1" customWidth="1"/>
    <col min="5" max="5" width="13" bestFit="1" customWidth="1"/>
    <col min="6" max="6" width="16.5703125" customWidth="1"/>
    <col min="7" max="7" width="13.28515625" customWidth="1"/>
    <col min="8" max="8" width="20.140625" bestFit="1" customWidth="1"/>
    <col min="9" max="9" width="18.28515625" bestFit="1" customWidth="1"/>
  </cols>
  <sheetData>
    <row r="2" spans="2:9" ht="15.75">
      <c r="B2" s="287" t="s">
        <v>0</v>
      </c>
      <c r="C2" s="288" t="s">
        <v>1</v>
      </c>
      <c r="D2" s="435" t="s">
        <v>2</v>
      </c>
      <c r="E2" s="449" t="s">
        <v>102</v>
      </c>
      <c r="F2" s="449" t="s">
        <v>103</v>
      </c>
      <c r="G2" s="449" t="s">
        <v>104</v>
      </c>
      <c r="H2" s="449" t="s">
        <v>105</v>
      </c>
      <c r="I2" s="449" t="s">
        <v>106</v>
      </c>
    </row>
    <row r="3" spans="2:9" ht="15.75">
      <c r="B3" s="411">
        <v>1</v>
      </c>
      <c r="C3" s="292" t="s">
        <v>11</v>
      </c>
      <c r="D3" s="436" t="s">
        <v>12</v>
      </c>
      <c r="E3" s="442">
        <f>+'Dec-25 '!K2</f>
        <v>3956161.3412999921</v>
      </c>
      <c r="F3" s="17">
        <v>7753305</v>
      </c>
      <c r="G3" s="17" t="s">
        <v>107</v>
      </c>
      <c r="H3" s="204">
        <v>45</v>
      </c>
      <c r="I3" s="17" t="s">
        <v>108</v>
      </c>
    </row>
    <row r="4" spans="2:9" ht="15.75">
      <c r="B4" s="411">
        <v>2</v>
      </c>
      <c r="C4" s="292" t="s">
        <v>13</v>
      </c>
      <c r="D4" s="436" t="s">
        <v>14</v>
      </c>
      <c r="E4" s="442">
        <f>+'Dec-25 '!K3</f>
        <v>3669815.5999999996</v>
      </c>
      <c r="F4" s="17">
        <v>9561886</v>
      </c>
      <c r="G4" s="17" t="s">
        <v>107</v>
      </c>
      <c r="H4" s="204">
        <v>45</v>
      </c>
      <c r="I4" s="17" t="s">
        <v>108</v>
      </c>
    </row>
    <row r="5" spans="2:9" ht="15.75">
      <c r="B5" s="411">
        <v>3</v>
      </c>
      <c r="C5" s="292" t="s">
        <v>15</v>
      </c>
      <c r="D5" s="436" t="s">
        <v>16</v>
      </c>
      <c r="E5" s="442">
        <f>+'Dec-25 '!K4</f>
        <v>-4.4004743685945868E-3</v>
      </c>
      <c r="F5" s="17">
        <v>307000</v>
      </c>
      <c r="G5" s="17" t="s">
        <v>107</v>
      </c>
      <c r="H5" s="204" t="s">
        <v>109</v>
      </c>
      <c r="I5" s="204" t="s">
        <v>109</v>
      </c>
    </row>
    <row r="6" spans="2:9" ht="15.75">
      <c r="B6" s="411">
        <v>4</v>
      </c>
      <c r="C6" s="292" t="s">
        <v>17</v>
      </c>
      <c r="D6" s="436" t="s">
        <v>18</v>
      </c>
      <c r="E6" s="442">
        <f>+'Dec-25 '!K5</f>
        <v>0</v>
      </c>
      <c r="F6" s="17">
        <v>1123622.8999999999</v>
      </c>
      <c r="G6" s="17" t="s">
        <v>110</v>
      </c>
      <c r="H6" s="204" t="s">
        <v>109</v>
      </c>
      <c r="I6" s="204" t="s">
        <v>109</v>
      </c>
    </row>
    <row r="7" spans="2:9" ht="15.75">
      <c r="B7" s="411">
        <v>5</v>
      </c>
      <c r="C7" s="292" t="s">
        <v>19</v>
      </c>
      <c r="D7" s="436" t="s">
        <v>20</v>
      </c>
      <c r="E7" s="442">
        <f>+'Dec-25 '!K6</f>
        <v>1183331.5</v>
      </c>
      <c r="F7" s="17">
        <v>2755171</v>
      </c>
      <c r="G7" s="17" t="s">
        <v>111</v>
      </c>
      <c r="H7" s="204">
        <v>15</v>
      </c>
      <c r="I7" s="17" t="s">
        <v>112</v>
      </c>
    </row>
    <row r="8" spans="2:9" ht="15.75">
      <c r="B8" s="411">
        <v>6</v>
      </c>
      <c r="C8" s="292" t="s">
        <v>23</v>
      </c>
      <c r="D8" s="436" t="s">
        <v>24</v>
      </c>
      <c r="E8" s="442">
        <f>+'Dec-25 '!K8</f>
        <v>0</v>
      </c>
      <c r="F8" s="17"/>
      <c r="G8" s="17"/>
      <c r="H8" s="204"/>
      <c r="I8" s="17" t="s">
        <v>113</v>
      </c>
    </row>
    <row r="9" spans="2:9" ht="15.75">
      <c r="B9" s="411">
        <v>7</v>
      </c>
      <c r="C9" s="292" t="s">
        <v>25</v>
      </c>
      <c r="D9" s="436" t="s">
        <v>26</v>
      </c>
      <c r="E9" s="442">
        <f>+'Dec-25 '!K9</f>
        <v>5026.3109999998851</v>
      </c>
      <c r="F9" s="17">
        <v>55563</v>
      </c>
      <c r="G9" s="17" t="s">
        <v>111</v>
      </c>
      <c r="H9" s="204">
        <v>10</v>
      </c>
      <c r="I9" s="17" t="s">
        <v>112</v>
      </c>
    </row>
    <row r="10" spans="2:9" ht="15.75">
      <c r="B10" s="411">
        <v>8</v>
      </c>
      <c r="C10" s="292" t="s">
        <v>27</v>
      </c>
      <c r="D10" s="436" t="s">
        <v>20</v>
      </c>
      <c r="E10" s="442">
        <f>+'Dec-25 '!K10</f>
        <v>-1.5000000275904313E-3</v>
      </c>
      <c r="F10" s="17">
        <v>66053.77</v>
      </c>
      <c r="G10" s="17" t="s">
        <v>111</v>
      </c>
      <c r="H10" s="204">
        <v>15</v>
      </c>
      <c r="I10" s="17" t="s">
        <v>112</v>
      </c>
    </row>
    <row r="11" spans="2:9" ht="15.75">
      <c r="B11" s="411">
        <v>9</v>
      </c>
      <c r="C11" s="292" t="s">
        <v>28</v>
      </c>
      <c r="D11" s="436"/>
      <c r="E11" s="442">
        <f>+'Dec-25 '!K11</f>
        <v>0</v>
      </c>
      <c r="F11" s="17"/>
      <c r="G11" s="17"/>
      <c r="H11" s="204"/>
      <c r="I11" s="17" t="s">
        <v>113</v>
      </c>
    </row>
    <row r="12" spans="2:9" ht="15.75">
      <c r="B12" s="411">
        <v>10</v>
      </c>
      <c r="C12" s="292" t="s">
        <v>29</v>
      </c>
      <c r="D12" s="436" t="s">
        <v>30</v>
      </c>
      <c r="E12" s="442">
        <f>+'Dec-25 '!K12</f>
        <v>1.3999999999214197E-2</v>
      </c>
      <c r="F12" s="17"/>
      <c r="G12" s="17"/>
      <c r="H12" s="204"/>
      <c r="I12" s="17" t="s">
        <v>113</v>
      </c>
    </row>
    <row r="13" spans="2:9" ht="15.75">
      <c r="B13" s="411">
        <v>11</v>
      </c>
      <c r="C13" s="292" t="s">
        <v>31</v>
      </c>
      <c r="D13" s="436" t="s">
        <v>32</v>
      </c>
      <c r="E13" s="442">
        <f>+'Dec-25 '!K13</f>
        <v>1.5138002272578888E-3</v>
      </c>
      <c r="F13" s="17">
        <v>25000</v>
      </c>
      <c r="G13" s="17" t="s">
        <v>111</v>
      </c>
      <c r="H13" s="204">
        <v>10</v>
      </c>
      <c r="I13" s="204">
        <v>0</v>
      </c>
    </row>
    <row r="14" spans="2:9" ht="15.75">
      <c r="B14" s="411">
        <v>12</v>
      </c>
      <c r="C14" s="292" t="s">
        <v>33</v>
      </c>
      <c r="D14" s="436" t="s">
        <v>34</v>
      </c>
      <c r="E14" s="442">
        <f>+'Dec-25 '!K14</f>
        <v>713890.20290300017</v>
      </c>
      <c r="F14" s="17">
        <v>205413</v>
      </c>
      <c r="G14" s="17" t="s">
        <v>107</v>
      </c>
      <c r="H14" s="204">
        <v>15</v>
      </c>
      <c r="I14" s="17" t="s">
        <v>112</v>
      </c>
    </row>
    <row r="15" spans="2:9" ht="15.75">
      <c r="B15" s="411">
        <v>13</v>
      </c>
      <c r="C15" s="292" t="s">
        <v>35</v>
      </c>
      <c r="D15" s="436" t="s">
        <v>36</v>
      </c>
      <c r="E15" s="442">
        <f>+'Dec-25 '!K15</f>
        <v>2258.5999999999767</v>
      </c>
      <c r="F15" s="17"/>
      <c r="G15" s="17"/>
      <c r="H15" s="204"/>
      <c r="I15" s="17">
        <v>0</v>
      </c>
    </row>
    <row r="16" spans="2:9" ht="15.75">
      <c r="B16" s="411">
        <v>14</v>
      </c>
      <c r="C16" s="292" t="s">
        <v>37</v>
      </c>
      <c r="D16" s="436" t="s">
        <v>38</v>
      </c>
      <c r="E16" s="442">
        <f>+'Dec-25 '!K16</f>
        <v>197553.79690000019</v>
      </c>
      <c r="F16" s="17">
        <v>551781.84</v>
      </c>
      <c r="G16" s="17" t="s">
        <v>107</v>
      </c>
      <c r="H16" s="204">
        <v>15</v>
      </c>
      <c r="I16" s="17" t="s">
        <v>112</v>
      </c>
    </row>
    <row r="17" spans="2:24" ht="14.25" customHeight="1">
      <c r="B17" s="411">
        <v>15</v>
      </c>
      <c r="C17" s="294" t="s">
        <v>39</v>
      </c>
      <c r="D17" s="437" t="s">
        <v>40</v>
      </c>
      <c r="E17" s="442">
        <f>+'Dec-25 '!K17</f>
        <v>202357.35499999998</v>
      </c>
      <c r="F17" s="17">
        <v>40495</v>
      </c>
      <c r="G17" s="17" t="s">
        <v>107</v>
      </c>
      <c r="H17" s="204">
        <v>10</v>
      </c>
      <c r="I17" s="17" t="s">
        <v>114</v>
      </c>
    </row>
    <row r="18" spans="2:24" ht="15.75">
      <c r="B18" s="411">
        <v>16</v>
      </c>
      <c r="C18" s="292" t="s">
        <v>41</v>
      </c>
      <c r="D18" s="436" t="s">
        <v>42</v>
      </c>
      <c r="E18" s="442">
        <f>+'Dec-25 '!K18</f>
        <v>210029.2309999998</v>
      </c>
      <c r="F18" s="17">
        <v>175801</v>
      </c>
      <c r="G18" s="17" t="s">
        <v>107</v>
      </c>
      <c r="H18" s="204">
        <v>30</v>
      </c>
      <c r="I18" s="17" t="s">
        <v>115</v>
      </c>
    </row>
    <row r="19" spans="2:24" ht="15.75">
      <c r="B19" s="411">
        <v>17</v>
      </c>
      <c r="C19" s="292" t="s">
        <v>43</v>
      </c>
      <c r="D19" s="436" t="s">
        <v>44</v>
      </c>
      <c r="E19" s="442">
        <f>+'Dec-25 '!K19</f>
        <v>438828.80000000005</v>
      </c>
      <c r="F19" s="17">
        <v>135912</v>
      </c>
      <c r="G19" s="17" t="s">
        <v>107</v>
      </c>
      <c r="H19" s="204">
        <v>10</v>
      </c>
      <c r="I19" s="17" t="s">
        <v>116</v>
      </c>
    </row>
    <row r="20" spans="2:24" ht="15.75">
      <c r="B20" s="411">
        <v>18</v>
      </c>
      <c r="C20" s="292" t="s">
        <v>45</v>
      </c>
      <c r="D20" s="436" t="s">
        <v>46</v>
      </c>
      <c r="E20" s="442">
        <f>+'Dec-25 '!K20</f>
        <v>145403.10000000003</v>
      </c>
      <c r="F20" s="17">
        <v>58955.35</v>
      </c>
      <c r="G20" s="17" t="s">
        <v>107</v>
      </c>
      <c r="H20" s="204">
        <v>15</v>
      </c>
      <c r="I20" s="17" t="s">
        <v>117</v>
      </c>
    </row>
    <row r="21" spans="2:24" ht="15.75">
      <c r="B21" s="411">
        <v>19</v>
      </c>
      <c r="C21" s="292" t="s">
        <v>47</v>
      </c>
      <c r="D21" s="438"/>
      <c r="E21" s="442">
        <f>+'Dec-25 '!K21</f>
        <v>0</v>
      </c>
      <c r="F21" s="17"/>
      <c r="G21" s="17"/>
      <c r="H21" s="204"/>
      <c r="I21" s="17" t="s">
        <v>113</v>
      </c>
    </row>
    <row r="22" spans="2:24" ht="15.75">
      <c r="B22" s="411">
        <v>20</v>
      </c>
      <c r="C22" s="292" t="s">
        <v>48</v>
      </c>
      <c r="D22" s="439" t="s">
        <v>118</v>
      </c>
      <c r="E22" s="442">
        <f>+'Dec-25 '!K22</f>
        <v>53588.499999999985</v>
      </c>
      <c r="F22" s="194" t="s">
        <v>119</v>
      </c>
      <c r="G22" s="17"/>
      <c r="H22" s="204"/>
      <c r="I22" s="17" t="s">
        <v>112</v>
      </c>
    </row>
    <row r="23" spans="2:24" ht="15.75">
      <c r="B23" s="411">
        <v>21</v>
      </c>
      <c r="C23" s="292" t="s">
        <v>50</v>
      </c>
      <c r="D23" s="440"/>
      <c r="E23" s="442">
        <f>+'Dec-25 '!K23</f>
        <v>0</v>
      </c>
      <c r="F23" s="17"/>
      <c r="G23" s="17"/>
      <c r="H23" s="204"/>
      <c r="I23" s="17"/>
    </row>
    <row r="24" spans="2:24" ht="15.75">
      <c r="B24" s="411">
        <v>22</v>
      </c>
      <c r="C24" s="292" t="s">
        <v>51</v>
      </c>
      <c r="D24" s="436" t="s">
        <v>52</v>
      </c>
      <c r="E24" s="442">
        <f>+'Dec-25 '!K24</f>
        <v>98982.500399999961</v>
      </c>
      <c r="F24" s="17">
        <v>50000</v>
      </c>
      <c r="G24" s="17" t="s">
        <v>110</v>
      </c>
      <c r="H24" s="204">
        <v>15</v>
      </c>
      <c r="I24" s="17" t="s">
        <v>117</v>
      </c>
    </row>
    <row r="25" spans="2:24" ht="15.75">
      <c r="B25" s="411">
        <v>23</v>
      </c>
      <c r="C25" s="292" t="s">
        <v>53</v>
      </c>
      <c r="D25" s="436" t="s">
        <v>54</v>
      </c>
      <c r="E25" s="442">
        <f>+'Dec-25 '!K25</f>
        <v>660530.80199999991</v>
      </c>
      <c r="F25" s="17">
        <v>107000</v>
      </c>
      <c r="G25" s="17" t="s">
        <v>107</v>
      </c>
      <c r="H25" s="204">
        <v>10</v>
      </c>
      <c r="I25" s="17" t="s">
        <v>116</v>
      </c>
    </row>
    <row r="26" spans="2:24" ht="15.75">
      <c r="B26" s="411">
        <v>24</v>
      </c>
      <c r="C26" s="292" t="s">
        <v>55</v>
      </c>
      <c r="D26" s="436" t="s">
        <v>56</v>
      </c>
      <c r="E26" s="442">
        <f>+'Dec-25 '!K26</f>
        <v>120395.81310000003</v>
      </c>
      <c r="F26" s="442">
        <v>287043.30059999996</v>
      </c>
      <c r="G26" s="17" t="s">
        <v>111</v>
      </c>
      <c r="H26" s="204">
        <v>30</v>
      </c>
      <c r="I26" s="17" t="s">
        <v>115</v>
      </c>
    </row>
    <row r="27" spans="2:24" ht="15.75">
      <c r="B27" s="411">
        <v>25</v>
      </c>
      <c r="C27" s="292" t="s">
        <v>57</v>
      </c>
      <c r="D27" s="436" t="s">
        <v>58</v>
      </c>
      <c r="E27" s="442">
        <f>+'Dec-25 '!K27</f>
        <v>292365.86150000023</v>
      </c>
      <c r="F27" s="17">
        <v>313314</v>
      </c>
      <c r="G27" s="17" t="s">
        <v>107</v>
      </c>
      <c r="H27" s="204">
        <v>30</v>
      </c>
      <c r="I27" s="17" t="s">
        <v>115</v>
      </c>
    </row>
    <row r="28" spans="2:24" ht="15.75">
      <c r="B28" s="411">
        <v>26</v>
      </c>
      <c r="C28" s="292" t="s">
        <v>59</v>
      </c>
      <c r="D28" s="436" t="s">
        <v>60</v>
      </c>
      <c r="E28" s="442">
        <f>+'Dec-25 '!K28</f>
        <v>0</v>
      </c>
      <c r="F28" s="17"/>
      <c r="G28" s="17"/>
      <c r="H28" s="204"/>
      <c r="I28" s="17"/>
      <c r="X28" s="435"/>
    </row>
    <row r="29" spans="2:24" ht="15.75">
      <c r="B29" s="411">
        <v>27</v>
      </c>
      <c r="C29" s="292" t="s">
        <v>61</v>
      </c>
      <c r="D29" s="436" t="s">
        <v>62</v>
      </c>
      <c r="E29" s="442">
        <f>+'Dec-25 '!K29</f>
        <v>0</v>
      </c>
      <c r="F29" s="17"/>
      <c r="G29" s="17"/>
      <c r="H29" s="204"/>
      <c r="I29" s="17"/>
    </row>
    <row r="30" spans="2:24" ht="15.75">
      <c r="B30" s="411">
        <v>28</v>
      </c>
      <c r="C30" s="292" t="s">
        <v>63</v>
      </c>
      <c r="D30" s="436" t="s">
        <v>64</v>
      </c>
      <c r="E30" s="442">
        <f>+'Dec-25 '!K30</f>
        <v>730303.78489999985</v>
      </c>
      <c r="F30" s="17">
        <v>1700000</v>
      </c>
      <c r="G30" s="17" t="s">
        <v>107</v>
      </c>
      <c r="H30" s="204">
        <v>30</v>
      </c>
      <c r="I30" s="17" t="s">
        <v>115</v>
      </c>
    </row>
    <row r="31" spans="2:24" ht="15.75">
      <c r="B31" s="411">
        <v>29</v>
      </c>
      <c r="C31" s="292" t="s">
        <v>65</v>
      </c>
      <c r="D31" s="436" t="s">
        <v>66</v>
      </c>
      <c r="E31" s="442">
        <f>+'Dec-25 '!K31</f>
        <v>362563.77999999991</v>
      </c>
      <c r="F31" s="17">
        <v>461912.77</v>
      </c>
      <c r="G31" s="17" t="s">
        <v>107</v>
      </c>
      <c r="H31" s="204">
        <v>30</v>
      </c>
      <c r="I31" s="17" t="s">
        <v>115</v>
      </c>
    </row>
    <row r="32" spans="2:24" ht="15.75">
      <c r="B32" s="411">
        <v>30</v>
      </c>
      <c r="C32" s="292" t="s">
        <v>67</v>
      </c>
      <c r="D32" s="436" t="s">
        <v>68</v>
      </c>
      <c r="E32" s="442">
        <f>+'Dec-25 '!K32</f>
        <v>9461.0768999998982</v>
      </c>
      <c r="F32" s="17">
        <v>224862</v>
      </c>
      <c r="G32" s="17" t="s">
        <v>120</v>
      </c>
      <c r="H32" s="204">
        <v>10</v>
      </c>
      <c r="I32" s="17"/>
    </row>
    <row r="33" spans="2:9" ht="15.75">
      <c r="B33" s="411">
        <v>31</v>
      </c>
      <c r="C33" s="292" t="s">
        <v>67</v>
      </c>
      <c r="D33" s="436" t="s">
        <v>69</v>
      </c>
      <c r="E33" s="442">
        <f>+'Dec-25 '!K33</f>
        <v>164443.72109999991</v>
      </c>
      <c r="F33" s="17">
        <v>14064</v>
      </c>
      <c r="G33" s="17" t="s">
        <v>111</v>
      </c>
      <c r="H33" s="204">
        <v>13</v>
      </c>
      <c r="I33" s="17" t="s">
        <v>117</v>
      </c>
    </row>
    <row r="34" spans="2:9" ht="15.75">
      <c r="B34" s="411">
        <v>32</v>
      </c>
      <c r="C34" s="292" t="s">
        <v>70</v>
      </c>
      <c r="D34" s="436" t="s">
        <v>71</v>
      </c>
      <c r="E34" s="442">
        <f>+'Dec-25 '!K34</f>
        <v>336687.37040000001</v>
      </c>
      <c r="F34" s="17">
        <v>50000</v>
      </c>
      <c r="G34" s="17" t="s">
        <v>121</v>
      </c>
      <c r="H34" s="204">
        <v>7</v>
      </c>
      <c r="I34" s="17" t="s">
        <v>116</v>
      </c>
    </row>
    <row r="35" spans="2:9" ht="15.75">
      <c r="B35" s="411">
        <v>33</v>
      </c>
      <c r="C35" s="292" t="s">
        <v>72</v>
      </c>
      <c r="D35" s="436" t="s">
        <v>73</v>
      </c>
      <c r="E35" s="442">
        <f>+'Dec-25 '!K35</f>
        <v>6442.7240000000456</v>
      </c>
      <c r="F35" s="17">
        <v>272393</v>
      </c>
      <c r="G35" s="17" t="s">
        <v>107</v>
      </c>
      <c r="H35" s="204">
        <v>15</v>
      </c>
      <c r="I35" s="17" t="s">
        <v>116</v>
      </c>
    </row>
    <row r="36" spans="2:9" ht="15.75">
      <c r="B36" s="411">
        <v>34</v>
      </c>
      <c r="C36" s="292" t="s">
        <v>74</v>
      </c>
      <c r="D36" s="436" t="s">
        <v>75</v>
      </c>
      <c r="E36" s="442">
        <f>+'Dec-25 '!K36</f>
        <v>310880.30249999999</v>
      </c>
      <c r="F36" s="194" t="s">
        <v>119</v>
      </c>
      <c r="G36" s="17"/>
      <c r="H36" s="204">
        <v>15</v>
      </c>
      <c r="I36" s="17" t="s">
        <v>112</v>
      </c>
    </row>
    <row r="37" spans="2:9" ht="15.75">
      <c r="B37" s="411">
        <v>35</v>
      </c>
      <c r="C37" s="292" t="s">
        <v>76</v>
      </c>
      <c r="D37" s="436" t="s">
        <v>77</v>
      </c>
      <c r="E37" s="442">
        <f>+'Dec-25 '!K37</f>
        <v>4500.2015000000083</v>
      </c>
      <c r="F37" s="17"/>
      <c r="G37" s="17"/>
      <c r="H37" s="204">
        <v>30</v>
      </c>
      <c r="I37" s="17" t="s">
        <v>112</v>
      </c>
    </row>
    <row r="38" spans="2:9" ht="15.75">
      <c r="B38" s="411">
        <v>36</v>
      </c>
      <c r="C38" s="295" t="s">
        <v>78</v>
      </c>
      <c r="D38" s="441" t="s">
        <v>79</v>
      </c>
      <c r="E38" s="442">
        <f>+'Dec-25 '!K38</f>
        <v>547359.48420000076</v>
      </c>
      <c r="F38" s="17">
        <v>1000000</v>
      </c>
      <c r="G38" s="17" t="s">
        <v>110</v>
      </c>
      <c r="H38" s="204">
        <v>15</v>
      </c>
      <c r="I38" s="17" t="s">
        <v>112</v>
      </c>
    </row>
    <row r="39" spans="2:9" ht="15.75">
      <c r="B39" s="411">
        <v>37</v>
      </c>
      <c r="C39" s="295" t="s">
        <v>80</v>
      </c>
      <c r="D39" s="441" t="s">
        <v>81</v>
      </c>
      <c r="E39" s="442">
        <f>+'Dec-25 '!K39</f>
        <v>180107.61950000003</v>
      </c>
      <c r="F39" s="17">
        <v>361718.01</v>
      </c>
      <c r="G39" s="17" t="s">
        <v>107</v>
      </c>
      <c r="H39" s="204">
        <v>15</v>
      </c>
      <c r="I39" s="17" t="s">
        <v>117</v>
      </c>
    </row>
    <row r="40" spans="2:9" ht="15.75">
      <c r="B40" s="411">
        <v>38</v>
      </c>
      <c r="C40" s="295" t="s">
        <v>82</v>
      </c>
      <c r="D40" s="441" t="s">
        <v>83</v>
      </c>
      <c r="E40" s="442">
        <f>+'Dec-25 '!K40</f>
        <v>0</v>
      </c>
      <c r="F40" s="17"/>
      <c r="G40" s="17"/>
      <c r="H40" s="204"/>
      <c r="I40" s="17" t="s">
        <v>113</v>
      </c>
    </row>
    <row r="41" spans="2:9" ht="15.75">
      <c r="B41" s="411">
        <v>39</v>
      </c>
      <c r="C41" s="295" t="s">
        <v>84</v>
      </c>
      <c r="D41" s="441" t="s">
        <v>85</v>
      </c>
      <c r="E41" s="442">
        <f>+'Dec-25 '!K41</f>
        <v>21107.795899999983</v>
      </c>
      <c r="F41" s="17">
        <v>64000</v>
      </c>
      <c r="G41" s="17" t="s">
        <v>107</v>
      </c>
      <c r="H41" s="204">
        <v>10</v>
      </c>
      <c r="I41" s="17" t="s">
        <v>116</v>
      </c>
    </row>
    <row r="42" spans="2:9" ht="15.75">
      <c r="B42" s="411">
        <v>40</v>
      </c>
      <c r="C42" s="295" t="s">
        <v>86</v>
      </c>
      <c r="D42" s="441" t="s">
        <v>87</v>
      </c>
      <c r="E42" s="442">
        <f>+'Dec-25 '!K42</f>
        <v>81512.17220000003</v>
      </c>
      <c r="F42" s="17">
        <v>173004</v>
      </c>
      <c r="G42" s="17" t="s">
        <v>107</v>
      </c>
      <c r="H42" s="204">
        <v>30</v>
      </c>
      <c r="I42" s="17" t="s">
        <v>115</v>
      </c>
    </row>
    <row r="43" spans="2:9" ht="15.75">
      <c r="B43" s="411">
        <v>41</v>
      </c>
      <c r="C43" s="295" t="s">
        <v>88</v>
      </c>
      <c r="D43" s="441" t="s">
        <v>89</v>
      </c>
      <c r="E43" s="442">
        <f>+'Dec-25 '!K43</f>
        <v>3671.4887000000017</v>
      </c>
      <c r="F43" s="17">
        <v>11016</v>
      </c>
      <c r="G43" s="17" t="s">
        <v>107</v>
      </c>
      <c r="H43" s="204">
        <v>15</v>
      </c>
      <c r="I43" s="17" t="s">
        <v>116</v>
      </c>
    </row>
    <row r="44" spans="2:9" ht="15.75">
      <c r="B44" s="411">
        <v>42</v>
      </c>
      <c r="C44" s="295" t="s">
        <v>90</v>
      </c>
      <c r="D44" s="441" t="s">
        <v>91</v>
      </c>
      <c r="E44" s="442">
        <f>+'Dec-25 '!K44</f>
        <v>-3.2000000064726919E-3</v>
      </c>
      <c r="F44" s="17">
        <v>8500</v>
      </c>
      <c r="G44" s="17" t="s">
        <v>107</v>
      </c>
      <c r="H44" s="204"/>
      <c r="I44" s="17"/>
    </row>
    <row r="45" spans="2:9" ht="15.75">
      <c r="B45" s="411">
        <v>43</v>
      </c>
      <c r="C45" s="295" t="s">
        <v>92</v>
      </c>
      <c r="D45" s="441" t="s">
        <v>93</v>
      </c>
      <c r="E45" s="442">
        <f>+'Dec-25 '!K45</f>
        <v>106452.54359999996</v>
      </c>
      <c r="F45" s="17">
        <v>160000</v>
      </c>
      <c r="G45" s="17" t="s">
        <v>107</v>
      </c>
      <c r="H45" s="204">
        <v>15</v>
      </c>
      <c r="I45" s="17" t="s">
        <v>112</v>
      </c>
    </row>
    <row r="46" spans="2:9" ht="15.75">
      <c r="B46" s="411">
        <v>44</v>
      </c>
      <c r="C46" s="295" t="s">
        <v>94</v>
      </c>
      <c r="D46" s="441" t="s">
        <v>95</v>
      </c>
      <c r="E46" s="442">
        <f>+'Dec-25 '!K46</f>
        <v>5104.789400000016</v>
      </c>
      <c r="F46" s="17">
        <v>32000</v>
      </c>
      <c r="G46" s="17" t="s">
        <v>107</v>
      </c>
      <c r="H46" s="204">
        <v>10</v>
      </c>
      <c r="I46" s="17" t="s">
        <v>116</v>
      </c>
    </row>
    <row r="47" spans="2:9" ht="15.75">
      <c r="B47" s="411">
        <v>45</v>
      </c>
      <c r="C47" s="295" t="s">
        <v>96</v>
      </c>
      <c r="D47" s="441" t="s">
        <v>97</v>
      </c>
      <c r="E47" s="442">
        <f>+'Dec-25 '!K47</f>
        <v>32417.285960000008</v>
      </c>
      <c r="F47" s="17">
        <v>66000</v>
      </c>
      <c r="G47" s="17" t="s">
        <v>107</v>
      </c>
      <c r="H47" s="204">
        <v>10</v>
      </c>
      <c r="I47" s="17" t="s">
        <v>116</v>
      </c>
    </row>
    <row r="48" spans="2:9" ht="15.75">
      <c r="B48" s="443">
        <v>46</v>
      </c>
      <c r="C48" s="444" t="s">
        <v>98</v>
      </c>
      <c r="D48" s="445" t="s">
        <v>99</v>
      </c>
      <c r="E48" s="442">
        <f>+'Dec-25 '!K48</f>
        <v>0</v>
      </c>
      <c r="F48" s="17"/>
      <c r="G48" s="17"/>
      <c r="H48" s="204"/>
      <c r="I48" s="17"/>
    </row>
    <row r="49" spans="2:9">
      <c r="B49" s="459" t="s">
        <v>101</v>
      </c>
      <c r="C49" s="459"/>
      <c r="D49" s="460"/>
      <c r="E49" s="442">
        <f>SUM(E3:E48)</f>
        <v>14853535.462276323</v>
      </c>
      <c r="F49" s="442">
        <f>SUM(F3:F48)</f>
        <v>28172786.9406</v>
      </c>
      <c r="G49" s="17"/>
      <c r="H49" s="204"/>
      <c r="I49" s="17"/>
    </row>
  </sheetData>
  <autoFilter ref="B2:I49" xr:uid="{10EB6632-9320-4CC6-B9BB-ED75FDE9C322}"/>
  <mergeCells count="1">
    <mergeCell ref="B49:D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3B24-D71D-4455-83BD-5E5E2544C702}">
  <dimension ref="A1:Q47"/>
  <sheetViews>
    <sheetView topLeftCell="A25" workbookViewId="0">
      <selection activeCell="G34" sqref="G34"/>
    </sheetView>
  </sheetViews>
  <sheetFormatPr defaultRowHeight="15"/>
  <cols>
    <col min="2" max="2" width="20.42578125" customWidth="1"/>
    <col min="13" max="13" width="11.42578125" bestFit="1" customWidth="1"/>
  </cols>
  <sheetData>
    <row r="1" spans="1:17" ht="15.75">
      <c r="A1" s="461" t="s">
        <v>20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</row>
    <row r="2" spans="1:17" ht="27">
      <c r="A2" s="109" t="s">
        <v>122</v>
      </c>
      <c r="B2" s="113" t="s">
        <v>123</v>
      </c>
      <c r="C2" s="113" t="s">
        <v>124</v>
      </c>
      <c r="D2" s="113" t="s">
        <v>125</v>
      </c>
      <c r="E2" s="113" t="s">
        <v>126</v>
      </c>
      <c r="F2" s="113" t="s">
        <v>127</v>
      </c>
      <c r="G2" s="113" t="s">
        <v>128</v>
      </c>
      <c r="H2" s="113" t="s">
        <v>129</v>
      </c>
      <c r="I2" s="113" t="s">
        <v>127</v>
      </c>
      <c r="J2" s="113" t="s">
        <v>128</v>
      </c>
      <c r="K2" s="151" t="s">
        <v>130</v>
      </c>
      <c r="L2" s="151" t="s">
        <v>131</v>
      </c>
      <c r="M2" s="151" t="s">
        <v>132</v>
      </c>
      <c r="N2" s="113" t="s">
        <v>133</v>
      </c>
    </row>
    <row r="3" spans="1:17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4"/>
      <c r="K3" s="138"/>
      <c r="L3" s="247"/>
      <c r="M3" s="359">
        <v>0</v>
      </c>
      <c r="N3" s="248"/>
      <c r="O3">
        <v>2623243.3616999988</v>
      </c>
    </row>
    <row r="4" spans="1:17">
      <c r="A4" s="26">
        <v>1</v>
      </c>
      <c r="B4" s="27">
        <v>45992</v>
      </c>
      <c r="C4" s="114"/>
      <c r="D4" s="35"/>
      <c r="E4" s="37"/>
      <c r="F4" s="37"/>
      <c r="G4" s="37">
        <f>E4*F4</f>
        <v>0</v>
      </c>
      <c r="H4" s="382">
        <v>0</v>
      </c>
      <c r="I4" s="382">
        <v>0</v>
      </c>
      <c r="J4" s="37">
        <f>H4*I4</f>
        <v>0</v>
      </c>
      <c r="K4" s="37">
        <f t="shared" ref="K4:K35" si="0">G4+J4</f>
        <v>0</v>
      </c>
      <c r="L4" s="209">
        <v>0</v>
      </c>
      <c r="M4" s="37">
        <f>M3+K4-L4</f>
        <v>0</v>
      </c>
      <c r="N4" s="249"/>
      <c r="P4" s="22"/>
    </row>
    <row r="5" spans="1:17">
      <c r="A5" s="26">
        <v>2</v>
      </c>
      <c r="B5" s="27">
        <v>45993</v>
      </c>
      <c r="C5" s="114"/>
      <c r="D5" s="35"/>
      <c r="E5" s="37"/>
      <c r="F5" s="37"/>
      <c r="G5" s="37">
        <f t="shared" ref="G5:G34" si="1">E5*F5</f>
        <v>0</v>
      </c>
      <c r="H5" s="382">
        <v>0</v>
      </c>
      <c r="I5" s="382">
        <v>0</v>
      </c>
      <c r="J5" s="37">
        <f t="shared" ref="J5:J11" si="2">H5*I5</f>
        <v>0</v>
      </c>
      <c r="K5" s="37">
        <f t="shared" si="0"/>
        <v>0</v>
      </c>
      <c r="L5" s="209">
        <v>0</v>
      </c>
      <c r="M5" s="37">
        <f t="shared" ref="M5:M35" si="3">M4+K5-L5</f>
        <v>0</v>
      </c>
      <c r="N5" s="250"/>
    </row>
    <row r="6" spans="1:17">
      <c r="A6" s="26">
        <v>3</v>
      </c>
      <c r="B6" s="27">
        <v>45994</v>
      </c>
      <c r="C6" s="114"/>
      <c r="D6" s="35"/>
      <c r="E6" s="37"/>
      <c r="F6" s="37"/>
      <c r="G6" s="37">
        <f t="shared" si="1"/>
        <v>0</v>
      </c>
      <c r="H6" s="382">
        <v>0</v>
      </c>
      <c r="I6" s="382">
        <v>0</v>
      </c>
      <c r="J6" s="37">
        <f t="shared" si="2"/>
        <v>0</v>
      </c>
      <c r="K6" s="37">
        <f t="shared" si="0"/>
        <v>0</v>
      </c>
      <c r="L6" s="209">
        <v>0</v>
      </c>
      <c r="M6" s="37">
        <f t="shared" si="3"/>
        <v>0</v>
      </c>
      <c r="N6" s="251"/>
    </row>
    <row r="7" spans="1:17">
      <c r="A7" s="26">
        <v>4</v>
      </c>
      <c r="B7" s="27">
        <v>45995</v>
      </c>
      <c r="C7" s="114"/>
      <c r="D7" s="35"/>
      <c r="E7" s="37"/>
      <c r="F7" s="37"/>
      <c r="G7" s="37">
        <f t="shared" si="1"/>
        <v>0</v>
      </c>
      <c r="H7" s="382">
        <v>0</v>
      </c>
      <c r="I7" s="382">
        <v>0</v>
      </c>
      <c r="J7" s="37">
        <f t="shared" si="2"/>
        <v>0</v>
      </c>
      <c r="K7" s="37">
        <f t="shared" si="0"/>
        <v>0</v>
      </c>
      <c r="L7" s="209">
        <v>0</v>
      </c>
      <c r="M7" s="37">
        <f>M6+K7-L7</f>
        <v>0</v>
      </c>
      <c r="N7" s="210"/>
      <c r="P7">
        <v>5679</v>
      </c>
    </row>
    <row r="8" spans="1:17">
      <c r="A8" s="26">
        <v>5</v>
      </c>
      <c r="B8" s="27">
        <v>45996</v>
      </c>
      <c r="C8" s="34"/>
      <c r="D8" s="35"/>
      <c r="E8" s="37"/>
      <c r="F8" s="37"/>
      <c r="G8" s="37">
        <f t="shared" si="1"/>
        <v>0</v>
      </c>
      <c r="H8" s="382">
        <v>0</v>
      </c>
      <c r="I8" s="382">
        <v>0</v>
      </c>
      <c r="J8" s="37">
        <f t="shared" si="2"/>
        <v>0</v>
      </c>
      <c r="K8" s="37">
        <f t="shared" si="0"/>
        <v>0</v>
      </c>
      <c r="L8" s="209">
        <v>0</v>
      </c>
      <c r="M8" s="37">
        <f>M7+K8-L8</f>
        <v>0</v>
      </c>
      <c r="N8" s="210"/>
    </row>
    <row r="9" spans="1:17">
      <c r="A9" s="26">
        <v>6</v>
      </c>
      <c r="B9" s="27">
        <v>45997</v>
      </c>
      <c r="C9" s="34"/>
      <c r="D9" s="35"/>
      <c r="E9" s="37"/>
      <c r="F9" s="37"/>
      <c r="G9" s="37">
        <f t="shared" si="1"/>
        <v>0</v>
      </c>
      <c r="H9" s="382">
        <v>0</v>
      </c>
      <c r="I9" s="382">
        <v>0</v>
      </c>
      <c r="J9" s="37">
        <f t="shared" si="2"/>
        <v>0</v>
      </c>
      <c r="K9" s="37">
        <f t="shared" si="0"/>
        <v>0</v>
      </c>
      <c r="L9" s="209">
        <v>0</v>
      </c>
      <c r="M9" s="37">
        <f t="shared" si="3"/>
        <v>0</v>
      </c>
      <c r="N9" s="210"/>
    </row>
    <row r="10" spans="1:17">
      <c r="A10" s="26">
        <v>7</v>
      </c>
      <c r="B10" s="27">
        <v>45998</v>
      </c>
      <c r="C10" s="34"/>
      <c r="D10" s="35"/>
      <c r="E10" s="37"/>
      <c r="F10" s="37"/>
      <c r="G10" s="37">
        <f t="shared" si="1"/>
        <v>0</v>
      </c>
      <c r="H10" s="382">
        <v>0</v>
      </c>
      <c r="I10" s="382">
        <v>0</v>
      </c>
      <c r="J10" s="37">
        <f t="shared" si="2"/>
        <v>0</v>
      </c>
      <c r="K10" s="37">
        <f t="shared" si="0"/>
        <v>0</v>
      </c>
      <c r="L10" s="209">
        <v>0</v>
      </c>
      <c r="M10" s="37">
        <f t="shared" si="3"/>
        <v>0</v>
      </c>
      <c r="N10" s="210"/>
    </row>
    <row r="11" spans="1:17">
      <c r="A11" s="26">
        <v>8</v>
      </c>
      <c r="B11" s="27">
        <v>45999</v>
      </c>
      <c r="C11" s="34"/>
      <c r="D11" s="35"/>
      <c r="E11" s="37"/>
      <c r="F11" s="37"/>
      <c r="G11" s="37">
        <f t="shared" si="1"/>
        <v>0</v>
      </c>
      <c r="H11" s="382">
        <v>0</v>
      </c>
      <c r="I11" s="382">
        <v>0</v>
      </c>
      <c r="J11" s="37">
        <f t="shared" si="2"/>
        <v>0</v>
      </c>
      <c r="K11" s="37">
        <f t="shared" si="0"/>
        <v>0</v>
      </c>
      <c r="L11" s="209">
        <v>0</v>
      </c>
      <c r="M11" s="37">
        <f t="shared" si="3"/>
        <v>0</v>
      </c>
      <c r="N11" s="210"/>
    </row>
    <row r="12" spans="1:17">
      <c r="A12" s="26">
        <v>9</v>
      </c>
      <c r="B12" s="27">
        <v>46000</v>
      </c>
      <c r="C12" s="34"/>
      <c r="D12" s="35"/>
      <c r="E12" s="37"/>
      <c r="F12" s="37"/>
      <c r="G12" s="37">
        <f t="shared" si="1"/>
        <v>0</v>
      </c>
      <c r="H12" s="382">
        <v>0</v>
      </c>
      <c r="I12" s="382">
        <v>0</v>
      </c>
      <c r="J12" s="37"/>
      <c r="K12" s="37">
        <f t="shared" si="0"/>
        <v>0</v>
      </c>
      <c r="L12" s="209">
        <v>0</v>
      </c>
      <c r="M12" s="37">
        <f t="shared" si="3"/>
        <v>0</v>
      </c>
      <c r="N12" s="210"/>
    </row>
    <row r="13" spans="1:17">
      <c r="A13" s="26">
        <v>10</v>
      </c>
      <c r="B13" s="27">
        <v>46001</v>
      </c>
      <c r="C13" s="34"/>
      <c r="D13" s="35"/>
      <c r="E13" s="37"/>
      <c r="F13" s="37"/>
      <c r="G13" s="37">
        <f t="shared" si="1"/>
        <v>0</v>
      </c>
      <c r="H13" s="382">
        <v>0</v>
      </c>
      <c r="I13" s="382">
        <v>0</v>
      </c>
      <c r="J13" s="37"/>
      <c r="K13" s="37">
        <f t="shared" si="0"/>
        <v>0</v>
      </c>
      <c r="L13" s="209">
        <v>0</v>
      </c>
      <c r="M13" s="37">
        <f>M12+K13-L13</f>
        <v>0</v>
      </c>
      <c r="N13" s="210"/>
    </row>
    <row r="14" spans="1:17">
      <c r="A14" s="26">
        <v>11</v>
      </c>
      <c r="B14" s="27">
        <v>46002</v>
      </c>
      <c r="C14" s="34"/>
      <c r="D14" s="35"/>
      <c r="E14" s="37"/>
      <c r="F14" s="37"/>
      <c r="G14" s="37">
        <f t="shared" si="1"/>
        <v>0</v>
      </c>
      <c r="H14" s="382">
        <v>0</v>
      </c>
      <c r="I14" s="382">
        <v>0</v>
      </c>
      <c r="J14" s="37"/>
      <c r="K14" s="37">
        <f t="shared" si="0"/>
        <v>0</v>
      </c>
      <c r="L14" s="209">
        <v>0</v>
      </c>
      <c r="M14" s="37">
        <f>M13+K14-L14</f>
        <v>0</v>
      </c>
      <c r="N14" s="210"/>
      <c r="P14">
        <v>1905988</v>
      </c>
      <c r="Q14" s="183">
        <f>P14-M14</f>
        <v>1905988</v>
      </c>
    </row>
    <row r="15" spans="1:17">
      <c r="A15" s="26">
        <v>12</v>
      </c>
      <c r="B15" s="27">
        <v>46003</v>
      </c>
      <c r="C15" s="34"/>
      <c r="D15" s="35"/>
      <c r="E15" s="37"/>
      <c r="F15" s="37"/>
      <c r="G15" s="37">
        <f t="shared" si="1"/>
        <v>0</v>
      </c>
      <c r="H15" s="382">
        <v>0</v>
      </c>
      <c r="I15" s="382">
        <v>0</v>
      </c>
      <c r="J15" s="37"/>
      <c r="K15" s="37">
        <f t="shared" si="0"/>
        <v>0</v>
      </c>
      <c r="L15" s="209">
        <v>0</v>
      </c>
      <c r="M15" s="37">
        <f t="shared" si="3"/>
        <v>0</v>
      </c>
      <c r="N15" s="210"/>
    </row>
    <row r="16" spans="1:17">
      <c r="A16" s="26">
        <v>13</v>
      </c>
      <c r="B16" s="27">
        <v>46004</v>
      </c>
      <c r="C16" s="34"/>
      <c r="D16" s="35"/>
      <c r="E16" s="37"/>
      <c r="F16" s="37"/>
      <c r="G16" s="37">
        <f t="shared" si="1"/>
        <v>0</v>
      </c>
      <c r="H16" s="382">
        <v>0</v>
      </c>
      <c r="I16" s="382">
        <v>0</v>
      </c>
      <c r="J16" s="37">
        <f t="shared" ref="J16:J45" si="4">H16*I16</f>
        <v>0</v>
      </c>
      <c r="K16" s="37">
        <f t="shared" si="0"/>
        <v>0</v>
      </c>
      <c r="L16" s="209">
        <v>0</v>
      </c>
      <c r="M16" s="37">
        <f t="shared" si="3"/>
        <v>0</v>
      </c>
      <c r="N16" s="210"/>
    </row>
    <row r="17" spans="1:14">
      <c r="A17" s="26">
        <v>14</v>
      </c>
      <c r="B17" s="27">
        <v>46005</v>
      </c>
      <c r="C17" s="34"/>
      <c r="D17" s="35"/>
      <c r="E17" s="37"/>
      <c r="F17" s="37"/>
      <c r="G17" s="37">
        <f t="shared" si="1"/>
        <v>0</v>
      </c>
      <c r="H17" s="382">
        <v>0</v>
      </c>
      <c r="I17" s="382">
        <v>0</v>
      </c>
      <c r="J17" s="37">
        <f t="shared" si="4"/>
        <v>0</v>
      </c>
      <c r="K17" s="37">
        <f t="shared" si="0"/>
        <v>0</v>
      </c>
      <c r="L17" s="209">
        <v>0</v>
      </c>
      <c r="M17" s="37">
        <f t="shared" si="3"/>
        <v>0</v>
      </c>
      <c r="N17" s="210"/>
    </row>
    <row r="18" spans="1:14">
      <c r="A18" s="26">
        <v>15</v>
      </c>
      <c r="B18" s="27">
        <v>46006</v>
      </c>
      <c r="C18" s="177"/>
      <c r="D18" s="35"/>
      <c r="E18" s="37"/>
      <c r="F18" s="37"/>
      <c r="G18" s="37">
        <f t="shared" si="1"/>
        <v>0</v>
      </c>
      <c r="H18" s="382">
        <v>0</v>
      </c>
      <c r="I18" s="382">
        <v>0</v>
      </c>
      <c r="J18" s="37">
        <f t="shared" si="4"/>
        <v>0</v>
      </c>
      <c r="K18" s="37">
        <f t="shared" si="0"/>
        <v>0</v>
      </c>
      <c r="L18" s="209">
        <v>0</v>
      </c>
      <c r="M18" s="37">
        <f t="shared" si="3"/>
        <v>0</v>
      </c>
      <c r="N18" s="252"/>
    </row>
    <row r="19" spans="1:14">
      <c r="A19" s="26">
        <v>16</v>
      </c>
      <c r="B19" s="27">
        <v>46007</v>
      </c>
      <c r="C19" s="114"/>
      <c r="D19" s="35"/>
      <c r="E19" s="37"/>
      <c r="F19" s="37"/>
      <c r="G19" s="37">
        <f t="shared" si="1"/>
        <v>0</v>
      </c>
      <c r="H19" s="382">
        <v>0</v>
      </c>
      <c r="I19" s="382">
        <v>0</v>
      </c>
      <c r="J19" s="37">
        <f t="shared" si="4"/>
        <v>0</v>
      </c>
      <c r="K19" s="37">
        <f t="shared" si="0"/>
        <v>0</v>
      </c>
      <c r="L19" s="209">
        <v>0</v>
      </c>
      <c r="M19" s="37">
        <f t="shared" si="3"/>
        <v>0</v>
      </c>
      <c r="N19" s="252"/>
    </row>
    <row r="20" spans="1:14">
      <c r="A20" s="26">
        <v>17</v>
      </c>
      <c r="B20" s="27">
        <v>46008</v>
      </c>
      <c r="C20" s="190"/>
      <c r="D20" s="35"/>
      <c r="E20" s="37"/>
      <c r="F20" s="37"/>
      <c r="G20" s="37">
        <f t="shared" si="1"/>
        <v>0</v>
      </c>
      <c r="H20" s="382"/>
      <c r="I20" s="382"/>
      <c r="J20" s="37">
        <f t="shared" si="4"/>
        <v>0</v>
      </c>
      <c r="K20" s="37">
        <f t="shared" si="0"/>
        <v>0</v>
      </c>
      <c r="L20" s="209">
        <v>0</v>
      </c>
      <c r="M20" s="37">
        <f t="shared" si="3"/>
        <v>0</v>
      </c>
      <c r="N20" s="252"/>
    </row>
    <row r="21" spans="1:14">
      <c r="A21" s="26">
        <v>18</v>
      </c>
      <c r="B21" s="27">
        <v>46009</v>
      </c>
      <c r="C21" s="190"/>
      <c r="D21" s="35"/>
      <c r="E21" s="37"/>
      <c r="F21" s="37"/>
      <c r="G21" s="37">
        <f t="shared" si="1"/>
        <v>0</v>
      </c>
      <c r="H21" s="382"/>
      <c r="I21" s="382"/>
      <c r="J21" s="37">
        <f t="shared" si="4"/>
        <v>0</v>
      </c>
      <c r="K21" s="37">
        <f t="shared" si="0"/>
        <v>0</v>
      </c>
      <c r="L21" s="209">
        <v>0</v>
      </c>
      <c r="M21" s="37">
        <f t="shared" si="3"/>
        <v>0</v>
      </c>
      <c r="N21" s="252"/>
    </row>
    <row r="22" spans="1:14">
      <c r="A22" s="26">
        <v>19</v>
      </c>
      <c r="B22" s="27">
        <v>46010</v>
      </c>
      <c r="C22" s="114"/>
      <c r="D22" s="35"/>
      <c r="E22" s="37"/>
      <c r="F22" s="37"/>
      <c r="G22" s="37">
        <f t="shared" si="1"/>
        <v>0</v>
      </c>
      <c r="H22" s="382"/>
      <c r="I22" s="382"/>
      <c r="J22" s="37">
        <f t="shared" si="4"/>
        <v>0</v>
      </c>
      <c r="K22" s="37">
        <f t="shared" si="0"/>
        <v>0</v>
      </c>
      <c r="L22" s="209"/>
      <c r="M22" s="37">
        <f t="shared" si="3"/>
        <v>0</v>
      </c>
      <c r="N22" s="210"/>
    </row>
    <row r="23" spans="1:14">
      <c r="A23" s="26">
        <v>20</v>
      </c>
      <c r="B23" s="27">
        <v>46011</v>
      </c>
      <c r="C23" s="114"/>
      <c r="D23" s="35"/>
      <c r="E23" s="37"/>
      <c r="F23" s="37"/>
      <c r="G23" s="37">
        <f t="shared" si="1"/>
        <v>0</v>
      </c>
      <c r="H23" s="382"/>
      <c r="I23" s="382"/>
      <c r="J23" s="37">
        <f t="shared" si="4"/>
        <v>0</v>
      </c>
      <c r="K23" s="37">
        <f t="shared" si="0"/>
        <v>0</v>
      </c>
      <c r="L23" s="209"/>
      <c r="M23" s="37">
        <f t="shared" si="3"/>
        <v>0</v>
      </c>
      <c r="N23" s="210"/>
    </row>
    <row r="24" spans="1:14">
      <c r="A24" s="26">
        <v>21</v>
      </c>
      <c r="B24" s="27">
        <v>46012</v>
      </c>
      <c r="C24" s="114"/>
      <c r="D24" s="35"/>
      <c r="E24" s="37"/>
      <c r="F24" s="37"/>
      <c r="G24" s="37">
        <f t="shared" si="1"/>
        <v>0</v>
      </c>
      <c r="H24" s="382"/>
      <c r="I24" s="382"/>
      <c r="J24" s="37">
        <f t="shared" si="4"/>
        <v>0</v>
      </c>
      <c r="K24" s="37">
        <f t="shared" si="0"/>
        <v>0</v>
      </c>
      <c r="L24" s="209"/>
      <c r="M24" s="37">
        <f t="shared" si="3"/>
        <v>0</v>
      </c>
      <c r="N24" s="210"/>
    </row>
    <row r="25" spans="1:14">
      <c r="A25" s="26">
        <v>22</v>
      </c>
      <c r="B25" s="27">
        <v>46013</v>
      </c>
      <c r="C25" s="114"/>
      <c r="D25" s="35"/>
      <c r="E25" s="37"/>
      <c r="F25" s="37"/>
      <c r="G25" s="37">
        <f t="shared" si="1"/>
        <v>0</v>
      </c>
      <c r="H25" s="382"/>
      <c r="I25" s="382"/>
      <c r="J25" s="37">
        <f t="shared" si="4"/>
        <v>0</v>
      </c>
      <c r="K25" s="37">
        <f t="shared" si="0"/>
        <v>0</v>
      </c>
      <c r="L25" s="209"/>
      <c r="M25" s="37">
        <f t="shared" si="3"/>
        <v>0</v>
      </c>
      <c r="N25" s="210"/>
    </row>
    <row r="26" spans="1:14">
      <c r="A26" s="26">
        <v>23</v>
      </c>
      <c r="B26" s="27">
        <v>46014</v>
      </c>
      <c r="C26" s="114"/>
      <c r="D26" s="35"/>
      <c r="E26" s="37"/>
      <c r="F26" s="37"/>
      <c r="G26" s="37">
        <f t="shared" si="1"/>
        <v>0</v>
      </c>
      <c r="H26" s="382"/>
      <c r="I26" s="382"/>
      <c r="J26" s="37">
        <f t="shared" si="4"/>
        <v>0</v>
      </c>
      <c r="K26" s="37">
        <f t="shared" si="0"/>
        <v>0</v>
      </c>
      <c r="L26" s="209"/>
      <c r="M26" s="37">
        <f t="shared" si="3"/>
        <v>0</v>
      </c>
      <c r="N26" s="210"/>
    </row>
    <row r="27" spans="1:14">
      <c r="A27" s="26">
        <v>24</v>
      </c>
      <c r="B27" s="27">
        <v>46015</v>
      </c>
      <c r="C27" s="114"/>
      <c r="D27" s="35"/>
      <c r="E27" s="37"/>
      <c r="F27" s="37"/>
      <c r="G27" s="37">
        <f t="shared" si="1"/>
        <v>0</v>
      </c>
      <c r="H27" s="382"/>
      <c r="I27" s="382"/>
      <c r="J27" s="37">
        <f t="shared" si="4"/>
        <v>0</v>
      </c>
      <c r="K27" s="37">
        <f t="shared" si="0"/>
        <v>0</v>
      </c>
      <c r="L27" s="209"/>
      <c r="M27" s="37">
        <f t="shared" si="3"/>
        <v>0</v>
      </c>
      <c r="N27" s="210"/>
    </row>
    <row r="28" spans="1:14">
      <c r="A28" s="26">
        <v>25</v>
      </c>
      <c r="B28" s="27">
        <v>46016</v>
      </c>
      <c r="C28" s="114"/>
      <c r="D28" s="35"/>
      <c r="E28" s="37"/>
      <c r="F28" s="37"/>
      <c r="G28" s="37">
        <f t="shared" si="1"/>
        <v>0</v>
      </c>
      <c r="H28" s="382"/>
      <c r="I28" s="382"/>
      <c r="J28" s="37">
        <f t="shared" si="4"/>
        <v>0</v>
      </c>
      <c r="K28" s="37">
        <f t="shared" si="0"/>
        <v>0</v>
      </c>
      <c r="L28" s="209"/>
      <c r="M28" s="37">
        <f t="shared" si="3"/>
        <v>0</v>
      </c>
      <c r="N28" s="210"/>
    </row>
    <row r="29" spans="1:14">
      <c r="A29" s="26">
        <v>26</v>
      </c>
      <c r="B29" s="27">
        <v>46017</v>
      </c>
      <c r="C29" s="114"/>
      <c r="D29" s="35"/>
      <c r="E29" s="37"/>
      <c r="F29" s="37"/>
      <c r="G29" s="37">
        <f t="shared" si="1"/>
        <v>0</v>
      </c>
      <c r="H29" s="382"/>
      <c r="I29" s="382"/>
      <c r="J29" s="37">
        <f t="shared" si="4"/>
        <v>0</v>
      </c>
      <c r="K29" s="37">
        <f t="shared" si="0"/>
        <v>0</v>
      </c>
      <c r="L29" s="209"/>
      <c r="M29" s="37">
        <f t="shared" si="3"/>
        <v>0</v>
      </c>
      <c r="N29" s="210"/>
    </row>
    <row r="30" spans="1:14">
      <c r="A30" s="26">
        <v>27</v>
      </c>
      <c r="B30" s="27">
        <v>46018</v>
      </c>
      <c r="C30" s="114"/>
      <c r="D30" s="35"/>
      <c r="E30" s="37"/>
      <c r="F30" s="37"/>
      <c r="G30" s="37">
        <f t="shared" si="1"/>
        <v>0</v>
      </c>
      <c r="H30" s="382"/>
      <c r="I30" s="382"/>
      <c r="J30" s="37">
        <f t="shared" si="4"/>
        <v>0</v>
      </c>
      <c r="K30" s="37">
        <f t="shared" si="0"/>
        <v>0</v>
      </c>
      <c r="L30" s="209"/>
      <c r="M30" s="37">
        <f>M29+K30-L30</f>
        <v>0</v>
      </c>
      <c r="N30" s="210"/>
    </row>
    <row r="31" spans="1:14">
      <c r="A31" s="26">
        <v>28</v>
      </c>
      <c r="B31" s="27">
        <v>46019</v>
      </c>
      <c r="C31" s="114"/>
      <c r="D31" s="35"/>
      <c r="E31" s="37"/>
      <c r="F31" s="37"/>
      <c r="G31" s="37">
        <f t="shared" si="1"/>
        <v>0</v>
      </c>
      <c r="H31" s="382"/>
      <c r="I31" s="382"/>
      <c r="J31" s="37">
        <f t="shared" si="4"/>
        <v>0</v>
      </c>
      <c r="K31" s="37">
        <f t="shared" si="0"/>
        <v>0</v>
      </c>
      <c r="L31" s="209"/>
      <c r="M31" s="37">
        <f t="shared" si="3"/>
        <v>0</v>
      </c>
      <c r="N31" s="210"/>
    </row>
    <row r="32" spans="1:14">
      <c r="A32" s="26">
        <v>29</v>
      </c>
      <c r="B32" s="27">
        <v>46020</v>
      </c>
      <c r="C32" s="114"/>
      <c r="D32" s="35"/>
      <c r="E32" s="37"/>
      <c r="F32" s="37"/>
      <c r="G32" s="37">
        <f t="shared" si="1"/>
        <v>0</v>
      </c>
      <c r="H32" s="382"/>
      <c r="I32" s="382"/>
      <c r="J32" s="37">
        <f t="shared" si="4"/>
        <v>0</v>
      </c>
      <c r="K32" s="37">
        <f t="shared" si="0"/>
        <v>0</v>
      </c>
      <c r="L32" s="209"/>
      <c r="M32" s="37">
        <f t="shared" si="3"/>
        <v>0</v>
      </c>
      <c r="N32" s="210"/>
    </row>
    <row r="33" spans="1:16">
      <c r="A33" s="26">
        <v>30</v>
      </c>
      <c r="B33" s="27">
        <v>46021</v>
      </c>
      <c r="C33" s="114"/>
      <c r="D33" s="35"/>
      <c r="E33" s="37"/>
      <c r="F33" s="37"/>
      <c r="G33" s="37">
        <f t="shared" si="1"/>
        <v>0</v>
      </c>
      <c r="H33" s="382"/>
      <c r="I33" s="382"/>
      <c r="J33" s="37">
        <f t="shared" si="4"/>
        <v>0</v>
      </c>
      <c r="K33" s="37">
        <f t="shared" si="0"/>
        <v>0</v>
      </c>
      <c r="L33" s="209"/>
      <c r="M33" s="37">
        <f t="shared" si="3"/>
        <v>0</v>
      </c>
      <c r="N33" s="210"/>
    </row>
    <row r="34" spans="1:16">
      <c r="A34" s="26">
        <v>31</v>
      </c>
      <c r="B34" s="27">
        <v>46022</v>
      </c>
      <c r="C34" s="114"/>
      <c r="D34" s="35"/>
      <c r="E34" s="37">
        <v>170.01</v>
      </c>
      <c r="F34" s="37">
        <v>95.83</v>
      </c>
      <c r="G34" s="37">
        <f t="shared" si="1"/>
        <v>16292.058299999999</v>
      </c>
      <c r="H34" s="382"/>
      <c r="I34" s="382"/>
      <c r="J34" s="37">
        <f t="shared" si="4"/>
        <v>0</v>
      </c>
      <c r="K34" s="37">
        <f t="shared" si="0"/>
        <v>16292.058299999999</v>
      </c>
      <c r="L34" s="209">
        <v>0</v>
      </c>
      <c r="M34" s="37">
        <f t="shared" si="3"/>
        <v>16292.058299999999</v>
      </c>
      <c r="N34" s="252"/>
      <c r="O34">
        <v>2669494</v>
      </c>
      <c r="P34" s="183">
        <f>O34-M34</f>
        <v>2653201.9416999999</v>
      </c>
    </row>
    <row r="35" spans="1:16">
      <c r="A35" s="274"/>
      <c r="B35" s="27"/>
      <c r="C35" s="33"/>
      <c r="D35" s="275"/>
      <c r="E35" s="37">
        <v>0</v>
      </c>
      <c r="F35" s="37">
        <v>0</v>
      </c>
      <c r="G35" s="37">
        <f>E35*F35</f>
        <v>0</v>
      </c>
      <c r="H35" s="37"/>
      <c r="I35" s="37"/>
      <c r="J35" s="37">
        <f t="shared" si="4"/>
        <v>0</v>
      </c>
      <c r="K35" s="37">
        <f t="shared" si="0"/>
        <v>0</v>
      </c>
      <c r="L35" s="39"/>
      <c r="M35" s="209">
        <f t="shared" si="3"/>
        <v>16292.058299999999</v>
      </c>
      <c r="N35" s="37"/>
    </row>
    <row r="36" spans="1:16">
      <c r="A36" s="191"/>
      <c r="B36" s="188"/>
      <c r="C36" s="188"/>
      <c r="D36" s="188"/>
      <c r="E36" s="44">
        <f>SUM(E4:E34)</f>
        <v>170.01</v>
      </c>
      <c r="F36" s="44"/>
      <c r="G36" s="44">
        <f>SUM(G4:G34)</f>
        <v>16292.058299999999</v>
      </c>
      <c r="H36" s="44">
        <f>SUM(H4:H34)</f>
        <v>0</v>
      </c>
      <c r="I36" s="44"/>
      <c r="J36" s="44">
        <f>SUM(J4:J34)</f>
        <v>0</v>
      </c>
      <c r="K36" s="44">
        <f>SUM(K4:K34)</f>
        <v>16292.058299999999</v>
      </c>
      <c r="L36" s="44">
        <f>SUM(L4:L34)</f>
        <v>0</v>
      </c>
      <c r="M36" s="111"/>
      <c r="N36" s="45"/>
    </row>
    <row r="37" spans="1:16">
      <c r="A37" s="38"/>
      <c r="B37" s="38"/>
      <c r="C37" s="38"/>
      <c r="D37" s="38"/>
      <c r="E37" s="41"/>
      <c r="F37" s="41"/>
      <c r="G37" s="41"/>
      <c r="H37" s="41"/>
      <c r="I37" s="41"/>
      <c r="J37" s="41"/>
      <c r="K37" s="41"/>
      <c r="L37" s="41"/>
      <c r="M37" s="41"/>
      <c r="N37" s="41"/>
    </row>
    <row r="38" spans="1:16">
      <c r="A38" s="33"/>
      <c r="B38" s="33"/>
      <c r="C38" s="33"/>
      <c r="D38" s="33"/>
      <c r="E38" s="33"/>
      <c r="F38" s="33"/>
      <c r="G38" s="40"/>
      <c r="H38" s="33"/>
      <c r="I38" s="33"/>
      <c r="J38" s="33"/>
      <c r="K38" s="33"/>
      <c r="L38" s="33"/>
      <c r="M38" s="33"/>
      <c r="N38" s="33"/>
    </row>
    <row r="39" spans="1:16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  <row r="43" spans="1:16">
      <c r="E43" s="183"/>
    </row>
    <row r="45" spans="1:16">
      <c r="M45">
        <v>2408309</v>
      </c>
    </row>
    <row r="46" spans="1:16">
      <c r="M46">
        <v>5327.86</v>
      </c>
    </row>
    <row r="47" spans="1:16">
      <c r="M47" s="381">
        <f>M45-M46</f>
        <v>2402981.14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38"/>
  <sheetViews>
    <sheetView topLeftCell="A25" workbookViewId="0">
      <selection activeCell="E38" sqref="E38"/>
    </sheetView>
  </sheetViews>
  <sheetFormatPr defaultRowHeight="15"/>
  <cols>
    <col min="2" max="2" width="10.5703125" bestFit="1" customWidth="1"/>
    <col min="4" max="4" width="31.28515625" bestFit="1" customWidth="1"/>
    <col min="5" max="5" width="16.85546875" customWidth="1"/>
    <col min="7" max="7" width="13.85546875" customWidth="1"/>
    <col min="11" max="11" width="13" customWidth="1"/>
    <col min="12" max="12" width="16.42578125" customWidth="1"/>
    <col min="13" max="13" width="12.28515625" bestFit="1" customWidth="1"/>
    <col min="16" max="16" width="12.140625" bestFit="1" customWidth="1"/>
    <col min="18" max="18" width="13" bestFit="1" customWidth="1"/>
  </cols>
  <sheetData>
    <row r="1" spans="1:18" ht="15.75">
      <c r="A1" s="465" t="s">
        <v>12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</row>
    <row r="2" spans="1:18" ht="30">
      <c r="A2" s="131" t="s">
        <v>122</v>
      </c>
      <c r="B2" s="132" t="s">
        <v>123</v>
      </c>
      <c r="C2" s="132" t="s">
        <v>124</v>
      </c>
      <c r="D2" s="132" t="s">
        <v>125</v>
      </c>
      <c r="E2" s="132" t="s">
        <v>126</v>
      </c>
      <c r="F2" s="132" t="s">
        <v>127</v>
      </c>
      <c r="G2" s="132" t="s">
        <v>128</v>
      </c>
      <c r="H2" s="132" t="s">
        <v>129</v>
      </c>
      <c r="I2" s="132" t="s">
        <v>127</v>
      </c>
      <c r="J2" s="133" t="s">
        <v>128</v>
      </c>
      <c r="K2" s="131" t="s">
        <v>130</v>
      </c>
      <c r="L2" s="134" t="s">
        <v>131</v>
      </c>
      <c r="M2" s="134" t="s">
        <v>135</v>
      </c>
      <c r="N2" s="132" t="s">
        <v>133</v>
      </c>
    </row>
    <row r="3" spans="1:18">
      <c r="A3" s="466" t="s">
        <v>134</v>
      </c>
      <c r="B3" s="466"/>
      <c r="C3" s="466"/>
      <c r="D3" s="466"/>
      <c r="E3" s="466"/>
      <c r="F3" s="466"/>
      <c r="G3" s="466"/>
      <c r="H3" s="466"/>
      <c r="I3" s="466"/>
      <c r="J3" s="466"/>
      <c r="K3">
        <v>4574619.2412999934</v>
      </c>
      <c r="L3" s="243"/>
      <c r="M3" s="224">
        <f>+K3</f>
        <v>4574619.2412999934</v>
      </c>
      <c r="N3" s="100"/>
      <c r="O3">
        <v>11178223.678099994</v>
      </c>
    </row>
    <row r="4" spans="1:18">
      <c r="A4" s="26">
        <v>1</v>
      </c>
      <c r="B4" s="27">
        <v>45992</v>
      </c>
      <c r="C4" s="17"/>
      <c r="D4" s="17"/>
      <c r="E4" s="17"/>
      <c r="F4" s="17"/>
      <c r="G4" s="17">
        <f>E4*F4</f>
        <v>0</v>
      </c>
      <c r="H4" s="350"/>
      <c r="I4" s="17"/>
      <c r="J4" s="17"/>
      <c r="K4" s="17">
        <f>G4+J4</f>
        <v>0</v>
      </c>
      <c r="L4" s="17">
        <v>0</v>
      </c>
      <c r="M4" s="42">
        <f>M3+K4-L4</f>
        <v>4574619.2412999934</v>
      </c>
      <c r="N4" s="17"/>
    </row>
    <row r="5" spans="1:18">
      <c r="A5" s="26">
        <v>2</v>
      </c>
      <c r="B5" s="27">
        <v>45993</v>
      </c>
      <c r="C5" s="17"/>
      <c r="D5" s="17"/>
      <c r="E5" s="194">
        <v>2700</v>
      </c>
      <c r="F5" s="17">
        <v>95.68</v>
      </c>
      <c r="G5" s="17">
        <f>E5*F5</f>
        <v>258336.00000000003</v>
      </c>
      <c r="H5" s="350">
        <v>20</v>
      </c>
      <c r="I5" s="17">
        <v>107.46</v>
      </c>
      <c r="J5" s="17">
        <f>H5*I5</f>
        <v>2149.1999999999998</v>
      </c>
      <c r="K5" s="17">
        <f t="shared" ref="K5:K37" si="0">G5+J5</f>
        <v>260485.20000000004</v>
      </c>
      <c r="L5" s="17">
        <v>900000</v>
      </c>
      <c r="M5" s="42">
        <f>M4+K5-L5</f>
        <v>3935104.4412999935</v>
      </c>
      <c r="N5" s="17"/>
    </row>
    <row r="6" spans="1:18">
      <c r="A6" s="26">
        <v>3</v>
      </c>
      <c r="B6" s="27">
        <v>45994</v>
      </c>
      <c r="C6" s="17"/>
      <c r="D6" s="17"/>
      <c r="E6" s="194">
        <v>5500</v>
      </c>
      <c r="F6" s="17">
        <v>95.68</v>
      </c>
      <c r="G6" s="17">
        <f>E6*F6</f>
        <v>526240</v>
      </c>
      <c r="H6" s="350">
        <v>40</v>
      </c>
      <c r="I6" s="17">
        <v>107.46</v>
      </c>
      <c r="J6" s="17">
        <f>H6*I6</f>
        <v>4298.3999999999996</v>
      </c>
      <c r="K6" s="17">
        <f t="shared" si="0"/>
        <v>530538.4</v>
      </c>
      <c r="L6" s="17"/>
      <c r="M6" s="42">
        <f t="shared" ref="M6:M8" si="1">M5+K6-L6</f>
        <v>4465642.8412999939</v>
      </c>
      <c r="N6" s="17"/>
    </row>
    <row r="7" spans="1:18">
      <c r="A7" s="26">
        <v>4</v>
      </c>
      <c r="B7" s="27">
        <v>45995</v>
      </c>
      <c r="C7" s="17"/>
      <c r="D7" s="17"/>
      <c r="E7" s="194">
        <v>2700</v>
      </c>
      <c r="F7" s="17">
        <v>95.68</v>
      </c>
      <c r="G7" s="17">
        <f>E7*F7</f>
        <v>258336.00000000003</v>
      </c>
      <c r="H7" s="350"/>
      <c r="I7" s="17"/>
      <c r="J7" s="17">
        <f t="shared" ref="J7:J33" si="2">H7*I7</f>
        <v>0</v>
      </c>
      <c r="K7" s="17">
        <f t="shared" si="0"/>
        <v>258336.00000000003</v>
      </c>
      <c r="L7" s="17"/>
      <c r="M7" s="42">
        <f t="shared" si="1"/>
        <v>4723978.8412999939</v>
      </c>
      <c r="N7" s="17"/>
    </row>
    <row r="8" spans="1:18">
      <c r="A8" s="26">
        <v>5</v>
      </c>
      <c r="B8" s="27">
        <v>45996</v>
      </c>
      <c r="C8" s="17"/>
      <c r="D8" s="17"/>
      <c r="E8" s="194">
        <v>5500</v>
      </c>
      <c r="F8" s="17">
        <v>95.68</v>
      </c>
      <c r="G8" s="17">
        <f>E8*F8</f>
        <v>526240</v>
      </c>
      <c r="H8" s="350">
        <v>20</v>
      </c>
      <c r="I8" s="17">
        <v>107.46</v>
      </c>
      <c r="J8" s="17">
        <f t="shared" si="2"/>
        <v>2149.1999999999998</v>
      </c>
      <c r="K8" s="17">
        <f t="shared" si="0"/>
        <v>528389.19999999995</v>
      </c>
      <c r="L8" s="17"/>
      <c r="M8" s="42">
        <f t="shared" si="1"/>
        <v>5252368.0412999941</v>
      </c>
      <c r="N8" s="17"/>
    </row>
    <row r="9" spans="1:18">
      <c r="A9" s="26">
        <v>6</v>
      </c>
      <c r="B9" s="27">
        <v>45997</v>
      </c>
      <c r="C9" s="17"/>
      <c r="D9" s="17"/>
      <c r="E9" s="417">
        <v>5400</v>
      </c>
      <c r="F9" s="418">
        <v>95.68</v>
      </c>
      <c r="G9" s="17">
        <f>E9*F9</f>
        <v>516672.00000000006</v>
      </c>
      <c r="H9" s="350">
        <v>20</v>
      </c>
      <c r="I9" s="17">
        <v>107.46</v>
      </c>
      <c r="J9" s="17">
        <f t="shared" si="2"/>
        <v>2149.1999999999998</v>
      </c>
      <c r="K9" s="17">
        <f t="shared" si="0"/>
        <v>518821.20000000007</v>
      </c>
      <c r="L9" s="17"/>
      <c r="M9" s="42">
        <f>M8+K9-L9</f>
        <v>5771189.2412999943</v>
      </c>
      <c r="N9" s="17"/>
    </row>
    <row r="10" spans="1:18">
      <c r="A10" s="26">
        <v>7</v>
      </c>
      <c r="B10" s="27">
        <v>45998</v>
      </c>
      <c r="C10" s="17"/>
      <c r="D10" s="17"/>
      <c r="E10" s="376">
        <v>4400</v>
      </c>
      <c r="F10" s="418">
        <v>95.68</v>
      </c>
      <c r="G10" s="17">
        <f>E10*F10</f>
        <v>420992.00000000006</v>
      </c>
      <c r="H10" s="350"/>
      <c r="I10" s="17"/>
      <c r="J10" s="17">
        <f t="shared" si="2"/>
        <v>0</v>
      </c>
      <c r="K10" s="17">
        <f t="shared" si="0"/>
        <v>420992.00000000006</v>
      </c>
      <c r="L10" s="17"/>
      <c r="M10" s="42">
        <f>M9+K10-L10</f>
        <v>6192181.2412999943</v>
      </c>
      <c r="N10" s="17"/>
    </row>
    <row r="11" spans="1:18">
      <c r="A11" s="26">
        <v>8</v>
      </c>
      <c r="B11" s="27">
        <v>45999</v>
      </c>
      <c r="C11" s="17"/>
      <c r="D11" s="17"/>
      <c r="E11" s="377">
        <v>2700</v>
      </c>
      <c r="F11" s="418">
        <v>95.68</v>
      </c>
      <c r="G11" s="17">
        <f>E11*F11</f>
        <v>258336.00000000003</v>
      </c>
      <c r="H11" s="350">
        <v>20</v>
      </c>
      <c r="I11" s="17">
        <v>107.46</v>
      </c>
      <c r="J11" s="17">
        <f t="shared" si="2"/>
        <v>2149.1999999999998</v>
      </c>
      <c r="K11" s="17">
        <f t="shared" si="0"/>
        <v>260485.20000000004</v>
      </c>
      <c r="L11" s="17"/>
      <c r="M11" s="42">
        <f>M10+K11-L11</f>
        <v>6452666.4412999945</v>
      </c>
      <c r="N11" s="17"/>
    </row>
    <row r="12" spans="1:18">
      <c r="A12" s="26">
        <v>9</v>
      </c>
      <c r="B12" s="27">
        <v>46000</v>
      </c>
      <c r="C12" s="17"/>
      <c r="D12" s="17"/>
      <c r="E12" s="377">
        <v>5400</v>
      </c>
      <c r="F12" s="349">
        <v>95.68</v>
      </c>
      <c r="G12" s="17">
        <f>E12*F12</f>
        <v>516672.00000000006</v>
      </c>
      <c r="H12" s="350">
        <v>20</v>
      </c>
      <c r="I12" s="17">
        <v>107.46</v>
      </c>
      <c r="J12" s="17">
        <f t="shared" si="2"/>
        <v>2149.1999999999998</v>
      </c>
      <c r="K12" s="17">
        <f t="shared" si="0"/>
        <v>518821.20000000007</v>
      </c>
      <c r="L12" s="17"/>
      <c r="M12" s="42">
        <f>M11+K12-L12</f>
        <v>6971487.6412999947</v>
      </c>
      <c r="N12" s="17"/>
    </row>
    <row r="13" spans="1:18">
      <c r="A13" s="26">
        <v>10</v>
      </c>
      <c r="B13" s="27">
        <v>46001</v>
      </c>
      <c r="C13" s="17"/>
      <c r="D13" s="17"/>
      <c r="E13" s="377"/>
      <c r="F13" s="349"/>
      <c r="G13" s="17">
        <f>E13*F13</f>
        <v>0</v>
      </c>
      <c r="H13" s="17"/>
      <c r="I13" s="17"/>
      <c r="J13" s="17">
        <f t="shared" si="2"/>
        <v>0</v>
      </c>
      <c r="K13" s="17">
        <f t="shared" si="0"/>
        <v>0</v>
      </c>
      <c r="L13" s="17"/>
      <c r="M13" s="42">
        <f t="shared" ref="M13:M35" si="3">M12+K13-L13</f>
        <v>6971487.6412999947</v>
      </c>
      <c r="N13" s="17"/>
      <c r="P13" s="22"/>
    </row>
    <row r="14" spans="1:18">
      <c r="A14" s="26">
        <v>11</v>
      </c>
      <c r="B14" s="27">
        <v>46002</v>
      </c>
      <c r="C14" s="17"/>
      <c r="D14" s="17"/>
      <c r="E14" s="377"/>
      <c r="F14" s="349"/>
      <c r="G14" s="17">
        <f>E14*F14</f>
        <v>0</v>
      </c>
      <c r="H14" s="17"/>
      <c r="I14" s="17"/>
      <c r="J14" s="17">
        <f t="shared" si="2"/>
        <v>0</v>
      </c>
      <c r="K14" s="17">
        <f t="shared" si="0"/>
        <v>0</v>
      </c>
      <c r="L14" s="17"/>
      <c r="M14" s="42">
        <f t="shared" si="3"/>
        <v>6971487.6412999947</v>
      </c>
      <c r="N14" s="17"/>
    </row>
    <row r="15" spans="1:18">
      <c r="A15" s="26">
        <v>12</v>
      </c>
      <c r="B15" s="27">
        <v>46003</v>
      </c>
      <c r="C15" s="17"/>
      <c r="D15" s="17"/>
      <c r="E15" s="377"/>
      <c r="F15" s="17"/>
      <c r="G15" s="17">
        <f>E15*F15</f>
        <v>0</v>
      </c>
      <c r="H15" s="17"/>
      <c r="I15" s="17"/>
      <c r="J15" s="17">
        <f t="shared" si="2"/>
        <v>0</v>
      </c>
      <c r="K15" s="17">
        <f t="shared" si="0"/>
        <v>0</v>
      </c>
      <c r="L15" s="17"/>
      <c r="M15" s="42">
        <f t="shared" si="3"/>
        <v>6971487.6412999947</v>
      </c>
      <c r="N15" s="17"/>
      <c r="R15" s="22"/>
    </row>
    <row r="16" spans="1:18">
      <c r="A16" s="26">
        <v>13</v>
      </c>
      <c r="B16" s="27">
        <v>46004</v>
      </c>
      <c r="C16" s="17"/>
      <c r="D16" s="17"/>
      <c r="E16" s="427">
        <v>5400</v>
      </c>
      <c r="F16" s="349">
        <v>95.68</v>
      </c>
      <c r="G16" s="17">
        <f>E16*F16</f>
        <v>516672.00000000006</v>
      </c>
      <c r="H16" s="17">
        <v>40</v>
      </c>
      <c r="I16" s="17">
        <v>107.46</v>
      </c>
      <c r="J16" s="17">
        <f t="shared" si="2"/>
        <v>4298.3999999999996</v>
      </c>
      <c r="K16" s="17">
        <f t="shared" si="0"/>
        <v>520970.40000000008</v>
      </c>
      <c r="L16" s="17"/>
      <c r="M16" s="42">
        <f t="shared" si="3"/>
        <v>7492458.041299995</v>
      </c>
      <c r="N16" s="17"/>
    </row>
    <row r="17" spans="1:16">
      <c r="A17" s="26">
        <v>14</v>
      </c>
      <c r="B17" s="27">
        <v>46005</v>
      </c>
      <c r="C17" s="17"/>
      <c r="D17" s="17"/>
      <c r="E17" s="427">
        <v>5500</v>
      </c>
      <c r="F17" s="349">
        <v>95.68</v>
      </c>
      <c r="G17" s="17">
        <f>E17*F17</f>
        <v>526240</v>
      </c>
      <c r="H17" s="17">
        <v>20</v>
      </c>
      <c r="I17" s="17">
        <v>107.46</v>
      </c>
      <c r="J17" s="17">
        <f t="shared" si="2"/>
        <v>2149.1999999999998</v>
      </c>
      <c r="K17" s="17">
        <f t="shared" si="0"/>
        <v>528389.19999999995</v>
      </c>
      <c r="L17" s="17"/>
      <c r="M17" s="42">
        <f t="shared" si="3"/>
        <v>8020847.2412999952</v>
      </c>
      <c r="N17" s="17"/>
    </row>
    <row r="18" spans="1:16">
      <c r="A18" s="26">
        <v>15</v>
      </c>
      <c r="B18" s="27">
        <v>46006</v>
      </c>
      <c r="C18" s="17"/>
      <c r="D18" s="17"/>
      <c r="E18" s="17"/>
      <c r="F18" s="17"/>
      <c r="G18" s="17">
        <f>E18*F18</f>
        <v>0</v>
      </c>
      <c r="H18" s="17"/>
      <c r="I18" s="17"/>
      <c r="J18" s="17">
        <f t="shared" si="2"/>
        <v>0</v>
      </c>
      <c r="K18" s="17">
        <f t="shared" si="0"/>
        <v>0</v>
      </c>
      <c r="L18" s="428">
        <v>7753305</v>
      </c>
      <c r="M18" s="42">
        <f t="shared" si="3"/>
        <v>267542.24129999522</v>
      </c>
      <c r="N18" s="17"/>
    </row>
    <row r="19" spans="1:16">
      <c r="A19" s="26">
        <v>16</v>
      </c>
      <c r="B19" s="27">
        <v>46007</v>
      </c>
      <c r="C19" s="17"/>
      <c r="D19" s="17"/>
      <c r="E19" s="17">
        <v>5500</v>
      </c>
      <c r="F19" s="349">
        <v>95.68</v>
      </c>
      <c r="G19" s="17">
        <f>E19*F19</f>
        <v>526240</v>
      </c>
      <c r="H19" s="17"/>
      <c r="I19" s="17"/>
      <c r="J19" s="17">
        <f t="shared" si="2"/>
        <v>0</v>
      </c>
      <c r="K19" s="17">
        <f t="shared" si="0"/>
        <v>526240</v>
      </c>
      <c r="L19" s="17"/>
      <c r="M19" s="42">
        <f t="shared" si="3"/>
        <v>793782.24129999522</v>
      </c>
      <c r="N19" s="17"/>
    </row>
    <row r="20" spans="1:16">
      <c r="A20" s="26">
        <v>17</v>
      </c>
      <c r="B20" s="27">
        <v>46008</v>
      </c>
      <c r="C20" s="17"/>
      <c r="D20" s="17"/>
      <c r="E20" s="17">
        <v>5500</v>
      </c>
      <c r="F20" s="349">
        <v>95.68</v>
      </c>
      <c r="G20" s="17">
        <f>E20*F20</f>
        <v>526240</v>
      </c>
      <c r="H20" s="17"/>
      <c r="I20" s="17"/>
      <c r="J20" s="17">
        <f t="shared" si="2"/>
        <v>0</v>
      </c>
      <c r="K20" s="17">
        <f t="shared" si="0"/>
        <v>526240</v>
      </c>
      <c r="L20" s="17"/>
      <c r="M20" s="42">
        <f t="shared" si="3"/>
        <v>1320022.2412999952</v>
      </c>
      <c r="N20" s="17"/>
    </row>
    <row r="21" spans="1:16">
      <c r="A21" s="26">
        <v>18</v>
      </c>
      <c r="B21" s="27">
        <v>46009</v>
      </c>
      <c r="C21" s="17"/>
      <c r="D21" s="17"/>
      <c r="E21" s="17">
        <v>0</v>
      </c>
      <c r="F21" s="349">
        <v>0</v>
      </c>
      <c r="G21" s="17">
        <f>E21*F21</f>
        <v>0</v>
      </c>
      <c r="H21" s="17"/>
      <c r="I21" s="17"/>
      <c r="J21" s="17">
        <f t="shared" si="2"/>
        <v>0</v>
      </c>
      <c r="K21" s="17">
        <f t="shared" si="0"/>
        <v>0</v>
      </c>
      <c r="L21" s="17"/>
      <c r="M21" s="42">
        <f t="shared" si="3"/>
        <v>1320022.2412999952</v>
      </c>
      <c r="N21" s="17"/>
    </row>
    <row r="22" spans="1:16">
      <c r="A22" s="26">
        <v>19</v>
      </c>
      <c r="B22" s="27">
        <v>46010</v>
      </c>
      <c r="C22" s="17"/>
      <c r="D22" s="17"/>
      <c r="E22" s="17">
        <v>2800</v>
      </c>
      <c r="F22" s="349">
        <v>95.68</v>
      </c>
      <c r="G22" s="17">
        <f>E22*F22</f>
        <v>267904</v>
      </c>
      <c r="H22" s="17"/>
      <c r="I22" s="17"/>
      <c r="J22" s="17">
        <f t="shared" si="2"/>
        <v>0</v>
      </c>
      <c r="K22" s="17">
        <f t="shared" si="0"/>
        <v>267904</v>
      </c>
      <c r="L22" s="17"/>
      <c r="M22" s="42">
        <f t="shared" si="3"/>
        <v>1587926.2412999952</v>
      </c>
      <c r="N22" s="17"/>
    </row>
    <row r="23" spans="1:16">
      <c r="A23" s="26">
        <v>20</v>
      </c>
      <c r="B23" s="27">
        <v>46011</v>
      </c>
      <c r="C23" s="17"/>
      <c r="D23" s="17"/>
      <c r="E23" s="17">
        <v>2800</v>
      </c>
      <c r="F23" s="17">
        <v>95.68</v>
      </c>
      <c r="G23" s="17">
        <f>E23*F23</f>
        <v>267904</v>
      </c>
      <c r="H23" s="17">
        <v>40</v>
      </c>
      <c r="I23" s="17">
        <v>107.46</v>
      </c>
      <c r="J23" s="17">
        <f t="shared" si="2"/>
        <v>4298.3999999999996</v>
      </c>
      <c r="K23" s="17">
        <f t="shared" si="0"/>
        <v>272202.40000000002</v>
      </c>
      <c r="L23" s="17"/>
      <c r="M23" s="42">
        <f t="shared" si="3"/>
        <v>1860128.6412999951</v>
      </c>
      <c r="N23" s="17"/>
    </row>
    <row r="24" spans="1:16">
      <c r="A24" s="26">
        <v>21</v>
      </c>
      <c r="B24" s="27">
        <v>46012</v>
      </c>
      <c r="C24" s="17"/>
      <c r="D24" s="17"/>
      <c r="E24" s="17">
        <v>2000</v>
      </c>
      <c r="F24" s="17">
        <v>95.68</v>
      </c>
      <c r="G24" s="17">
        <f>E24*F24</f>
        <v>191360</v>
      </c>
      <c r="H24" s="17"/>
      <c r="I24" s="17"/>
      <c r="J24" s="17">
        <f t="shared" si="2"/>
        <v>0</v>
      </c>
      <c r="K24" s="17">
        <f t="shared" si="0"/>
        <v>191360</v>
      </c>
      <c r="L24" s="17"/>
      <c r="M24" s="42">
        <f t="shared" si="3"/>
        <v>2051488.6412999951</v>
      </c>
      <c r="N24" s="17"/>
    </row>
    <row r="25" spans="1:16">
      <c r="A25" s="26">
        <v>22</v>
      </c>
      <c r="B25" s="27">
        <v>46013</v>
      </c>
      <c r="C25" s="17"/>
      <c r="D25" s="17"/>
      <c r="E25" s="17">
        <v>1000</v>
      </c>
      <c r="F25" s="17">
        <v>95.68</v>
      </c>
      <c r="G25" s="17">
        <f>E25*F25</f>
        <v>95680</v>
      </c>
      <c r="H25" s="17"/>
      <c r="I25" s="17"/>
      <c r="J25" s="17">
        <f t="shared" si="2"/>
        <v>0</v>
      </c>
      <c r="K25" s="17">
        <f t="shared" si="0"/>
        <v>95680</v>
      </c>
      <c r="L25" s="17"/>
      <c r="M25" s="42">
        <f t="shared" si="3"/>
        <v>2147168.6412999951</v>
      </c>
      <c r="N25" s="17"/>
    </row>
    <row r="26" spans="1:16">
      <c r="A26" s="26">
        <v>23</v>
      </c>
      <c r="B26" s="27">
        <v>46014</v>
      </c>
      <c r="C26" s="17"/>
      <c r="D26" s="17"/>
      <c r="E26" s="17">
        <v>4300</v>
      </c>
      <c r="F26" s="17">
        <v>95.68</v>
      </c>
      <c r="G26" s="17">
        <f>E26*F26</f>
        <v>411424.00000000006</v>
      </c>
      <c r="H26" s="17">
        <v>55</v>
      </c>
      <c r="I26" s="17">
        <v>107.46</v>
      </c>
      <c r="J26" s="17">
        <f t="shared" si="2"/>
        <v>5910.2999999999993</v>
      </c>
      <c r="K26" s="17">
        <f t="shared" si="0"/>
        <v>417334.30000000005</v>
      </c>
      <c r="L26" s="17"/>
      <c r="M26" s="42">
        <f t="shared" si="3"/>
        <v>2564502.9412999954</v>
      </c>
      <c r="N26" s="17"/>
    </row>
    <row r="27" spans="1:16">
      <c r="A27" s="26">
        <v>24</v>
      </c>
      <c r="B27" s="27">
        <v>46015</v>
      </c>
      <c r="C27" s="17"/>
      <c r="D27" s="17"/>
      <c r="E27" s="17">
        <v>4300</v>
      </c>
      <c r="F27" s="17">
        <v>95.68</v>
      </c>
      <c r="G27" s="17">
        <f>E27*F27</f>
        <v>411424.00000000006</v>
      </c>
      <c r="H27" s="17"/>
      <c r="I27" s="17"/>
      <c r="J27" s="17">
        <f t="shared" si="2"/>
        <v>0</v>
      </c>
      <c r="K27" s="17">
        <f t="shared" si="0"/>
        <v>411424.00000000006</v>
      </c>
      <c r="L27" s="17"/>
      <c r="M27" s="42">
        <f t="shared" si="3"/>
        <v>2975926.9412999954</v>
      </c>
      <c r="N27" s="17"/>
    </row>
    <row r="28" spans="1:16">
      <c r="A28" s="26">
        <v>25</v>
      </c>
      <c r="B28" s="27">
        <v>46016</v>
      </c>
      <c r="C28" s="17"/>
      <c r="D28" s="17"/>
      <c r="E28" s="17">
        <v>1500</v>
      </c>
      <c r="F28" s="17">
        <v>95.68</v>
      </c>
      <c r="G28" s="17">
        <f>E28*F28</f>
        <v>143520</v>
      </c>
      <c r="H28" s="17"/>
      <c r="I28" s="17"/>
      <c r="J28" s="17">
        <f t="shared" si="2"/>
        <v>0</v>
      </c>
      <c r="K28" s="17">
        <f t="shared" si="0"/>
        <v>143520</v>
      </c>
      <c r="L28" s="17"/>
      <c r="M28" s="42">
        <f t="shared" si="3"/>
        <v>3119446.9412999954</v>
      </c>
      <c r="N28" s="17"/>
    </row>
    <row r="29" spans="1:16">
      <c r="A29" s="26">
        <v>26</v>
      </c>
      <c r="B29" s="27">
        <v>46017</v>
      </c>
      <c r="C29" s="17"/>
      <c r="D29" s="17"/>
      <c r="E29" s="17">
        <v>1500</v>
      </c>
      <c r="F29" s="17">
        <v>95.68</v>
      </c>
      <c r="G29" s="17">
        <f>E29*F29</f>
        <v>143520</v>
      </c>
      <c r="H29" s="17"/>
      <c r="I29" s="17"/>
      <c r="J29" s="17">
        <f t="shared" si="2"/>
        <v>0</v>
      </c>
      <c r="K29" s="17">
        <f t="shared" si="0"/>
        <v>143520</v>
      </c>
      <c r="L29" s="17"/>
      <c r="M29" s="42">
        <f t="shared" si="3"/>
        <v>3262966.9412999954</v>
      </c>
      <c r="N29" s="17"/>
    </row>
    <row r="30" spans="1:16">
      <c r="A30" s="26">
        <v>27</v>
      </c>
      <c r="B30" s="27">
        <v>46018</v>
      </c>
      <c r="C30" s="17"/>
      <c r="D30" s="17"/>
      <c r="E30" s="17">
        <v>1500</v>
      </c>
      <c r="F30" s="17">
        <v>95.68</v>
      </c>
      <c r="G30" s="17">
        <f t="shared" ref="G30" si="4">E30*F30</f>
        <v>143520</v>
      </c>
      <c r="H30" s="17"/>
      <c r="I30" s="17"/>
      <c r="J30" s="17">
        <f t="shared" si="2"/>
        <v>0</v>
      </c>
      <c r="K30" s="17">
        <f t="shared" si="0"/>
        <v>143520</v>
      </c>
      <c r="L30" s="17"/>
      <c r="M30" s="42">
        <f t="shared" si="3"/>
        <v>3406486.9412999954</v>
      </c>
      <c r="N30" s="17"/>
      <c r="P30" s="22"/>
    </row>
    <row r="31" spans="1:16">
      <c r="A31" s="26">
        <v>28</v>
      </c>
      <c r="B31" s="27">
        <v>46019</v>
      </c>
      <c r="C31" s="17"/>
      <c r="D31" s="17"/>
      <c r="E31" s="17">
        <v>1500</v>
      </c>
      <c r="F31" s="17">
        <v>95.68</v>
      </c>
      <c r="G31" s="17">
        <f>E31*F31</f>
        <v>143520</v>
      </c>
      <c r="H31" s="17"/>
      <c r="I31" s="17"/>
      <c r="J31" s="17">
        <f t="shared" si="2"/>
        <v>0</v>
      </c>
      <c r="K31" s="17">
        <f t="shared" si="0"/>
        <v>143520</v>
      </c>
      <c r="L31" s="17"/>
      <c r="M31" s="42">
        <f t="shared" si="3"/>
        <v>3550006.9412999954</v>
      </c>
      <c r="N31" s="17"/>
    </row>
    <row r="32" spans="1:16">
      <c r="A32" s="26">
        <v>29</v>
      </c>
      <c r="B32" s="27">
        <v>46020</v>
      </c>
      <c r="C32" s="17"/>
      <c r="D32" s="17"/>
      <c r="E32" s="17">
        <v>1500</v>
      </c>
      <c r="F32" s="17">
        <v>95.68</v>
      </c>
      <c r="G32" s="17">
        <f>E32*F32</f>
        <v>143520</v>
      </c>
      <c r="H32" s="17"/>
      <c r="I32" s="17"/>
      <c r="J32" s="17">
        <f t="shared" si="2"/>
        <v>0</v>
      </c>
      <c r="K32" s="17">
        <f t="shared" si="0"/>
        <v>143520</v>
      </c>
      <c r="L32" s="17"/>
      <c r="M32" s="42">
        <f t="shared" si="3"/>
        <v>3693526.9412999954</v>
      </c>
      <c r="N32" s="17"/>
      <c r="P32" s="22"/>
    </row>
    <row r="33" spans="1:14">
      <c r="A33" s="26">
        <v>30</v>
      </c>
      <c r="B33" s="27">
        <v>46021</v>
      </c>
      <c r="C33" s="17"/>
      <c r="D33" s="17"/>
      <c r="E33" s="17">
        <v>2700</v>
      </c>
      <c r="F33" s="17">
        <v>95.68</v>
      </c>
      <c r="G33" s="17">
        <f>E33*F33</f>
        <v>258336.00000000003</v>
      </c>
      <c r="H33" s="17">
        <v>40</v>
      </c>
      <c r="I33" s="17">
        <v>107.46</v>
      </c>
      <c r="J33" s="17">
        <f t="shared" si="2"/>
        <v>4298.3999999999996</v>
      </c>
      <c r="K33" s="17">
        <f t="shared" si="0"/>
        <v>262634.40000000002</v>
      </c>
      <c r="L33" s="17"/>
      <c r="M33" s="42">
        <f t="shared" si="3"/>
        <v>3956161.3412999953</v>
      </c>
      <c r="N33" s="17"/>
    </row>
    <row r="34" spans="1:14">
      <c r="A34" s="26">
        <v>31</v>
      </c>
      <c r="B34" s="27">
        <v>46022</v>
      </c>
      <c r="C34" s="17"/>
      <c r="D34" s="17"/>
      <c r="E34" s="17"/>
      <c r="F34" s="17"/>
      <c r="G34" s="17">
        <f>E34*F34</f>
        <v>0</v>
      </c>
      <c r="H34" s="17"/>
      <c r="I34" s="17"/>
      <c r="J34" s="17"/>
      <c r="K34" s="17">
        <f t="shared" si="0"/>
        <v>0</v>
      </c>
      <c r="L34" s="17"/>
      <c r="M34" s="42">
        <f t="shared" si="3"/>
        <v>3956161.3412999953</v>
      </c>
      <c r="N34" s="17"/>
    </row>
    <row r="35" spans="1:14">
      <c r="A35" s="26">
        <v>32</v>
      </c>
      <c r="B35" s="27"/>
      <c r="C35" s="17"/>
      <c r="D35" s="17"/>
      <c r="E35" s="17"/>
      <c r="F35" s="17"/>
      <c r="G35" s="17">
        <f>E35*F35</f>
        <v>0</v>
      </c>
      <c r="H35" s="17"/>
      <c r="I35" s="17"/>
      <c r="J35" s="17">
        <f t="shared" ref="J5:J37" si="5">H35*I35</f>
        <v>0</v>
      </c>
      <c r="K35" s="17">
        <f t="shared" si="0"/>
        <v>0</v>
      </c>
      <c r="L35" s="17"/>
      <c r="M35" s="42">
        <f t="shared" si="3"/>
        <v>3956161.3412999953</v>
      </c>
      <c r="N35" s="17"/>
    </row>
    <row r="36" spans="1:14">
      <c r="A36" s="26">
        <v>33</v>
      </c>
      <c r="B36" s="27"/>
      <c r="C36" s="17"/>
      <c r="D36" s="17"/>
      <c r="E36" s="17"/>
      <c r="F36" s="17"/>
      <c r="G36" s="17">
        <f>E36*F36</f>
        <v>0</v>
      </c>
      <c r="H36" s="17"/>
      <c r="I36" s="17"/>
      <c r="J36" s="17">
        <f t="shared" si="5"/>
        <v>0</v>
      </c>
      <c r="K36" s="17">
        <f t="shared" si="0"/>
        <v>0</v>
      </c>
      <c r="L36" s="17"/>
      <c r="M36" s="17"/>
      <c r="N36" s="17"/>
    </row>
    <row r="37" spans="1:14">
      <c r="A37" s="26">
        <v>34</v>
      </c>
      <c r="B37" s="27"/>
      <c r="C37" s="17"/>
      <c r="D37" s="17"/>
      <c r="E37" s="17"/>
      <c r="F37" s="17"/>
      <c r="G37" s="17">
        <f>E37*F37</f>
        <v>0</v>
      </c>
      <c r="H37" s="17">
        <v>0</v>
      </c>
      <c r="I37" s="17">
        <v>0</v>
      </c>
      <c r="J37" s="17">
        <f t="shared" si="5"/>
        <v>0</v>
      </c>
      <c r="K37" s="17">
        <f t="shared" si="0"/>
        <v>0</v>
      </c>
      <c r="L37" s="17"/>
      <c r="M37" s="17"/>
      <c r="N37" s="17"/>
    </row>
    <row r="38" spans="1:14">
      <c r="A38" s="46"/>
      <c r="B38" s="46"/>
      <c r="C38" s="46"/>
      <c r="D38" s="46"/>
      <c r="E38" s="244">
        <f>SUM(E3:E37)</f>
        <v>83600</v>
      </c>
      <c r="F38" s="244"/>
      <c r="G38" s="244">
        <f>SUM(G3:G37)</f>
        <v>7998848</v>
      </c>
      <c r="H38" s="244">
        <f>SUM(H3:H37)</f>
        <v>335</v>
      </c>
      <c r="I38" s="244"/>
      <c r="J38" s="244">
        <f>SUM(J3:J37)</f>
        <v>35999.1</v>
      </c>
      <c r="K38" s="244">
        <f>SUM(K4:K37)</f>
        <v>8034847.1000000006</v>
      </c>
      <c r="L38" s="244">
        <f>SUM(L3:L37)</f>
        <v>8653305</v>
      </c>
      <c r="M38" s="244"/>
      <c r="N38" s="244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P40"/>
  <sheetViews>
    <sheetView topLeftCell="A25" workbookViewId="0">
      <selection activeCell="G41" sqref="G41"/>
    </sheetView>
  </sheetViews>
  <sheetFormatPr defaultRowHeight="15"/>
  <cols>
    <col min="2" max="2" width="12.140625" customWidth="1"/>
    <col min="4" max="4" width="12.5703125" customWidth="1"/>
    <col min="5" max="5" width="23.42578125" customWidth="1"/>
    <col min="7" max="7" width="14.42578125" customWidth="1"/>
    <col min="11" max="11" width="12.85546875" customWidth="1"/>
    <col min="12" max="12" width="13.7109375" customWidth="1"/>
    <col min="13" max="13" width="16" customWidth="1"/>
    <col min="14" max="14" width="34.5703125" customWidth="1"/>
    <col min="15" max="15" width="12.5703125" bestFit="1" customWidth="1"/>
  </cols>
  <sheetData>
    <row r="1" spans="1:16" ht="15.75">
      <c r="A1" s="465" t="s">
        <v>14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</row>
    <row r="2" spans="1:16" ht="30">
      <c r="A2" s="70" t="s">
        <v>122</v>
      </c>
      <c r="B2" s="89" t="s">
        <v>123</v>
      </c>
      <c r="C2" s="89" t="s">
        <v>124</v>
      </c>
      <c r="D2" s="89" t="s">
        <v>125</v>
      </c>
      <c r="E2" s="89" t="s">
        <v>126</v>
      </c>
      <c r="F2" s="89" t="s">
        <v>127</v>
      </c>
      <c r="G2" s="89" t="s">
        <v>128</v>
      </c>
      <c r="H2" s="89" t="s">
        <v>129</v>
      </c>
      <c r="I2" s="89" t="s">
        <v>127</v>
      </c>
      <c r="J2" s="90" t="s">
        <v>128</v>
      </c>
      <c r="K2" s="131" t="s">
        <v>130</v>
      </c>
      <c r="L2" s="134" t="s">
        <v>131</v>
      </c>
      <c r="M2" s="134" t="s">
        <v>135</v>
      </c>
      <c r="N2" s="132" t="s">
        <v>133</v>
      </c>
      <c r="O2" s="356"/>
      <c r="P2" s="22"/>
    </row>
    <row r="3" spans="1:16">
      <c r="A3" s="467" t="s">
        <v>134</v>
      </c>
      <c r="B3" s="468"/>
      <c r="C3" s="468"/>
      <c r="D3" s="468"/>
      <c r="E3" s="468"/>
      <c r="F3" s="468"/>
      <c r="G3" s="468"/>
      <c r="H3" s="468"/>
      <c r="I3" s="468"/>
      <c r="J3" s="468"/>
      <c r="K3">
        <v>9561944.7799999993</v>
      </c>
      <c r="L3" s="243"/>
      <c r="M3">
        <v>9561944.7799999993</v>
      </c>
      <c r="N3" s="100"/>
    </row>
    <row r="4" spans="1:16">
      <c r="A4" s="26">
        <v>1</v>
      </c>
      <c r="B4" s="27">
        <v>45992</v>
      </c>
      <c r="C4" s="17"/>
      <c r="D4" s="277"/>
      <c r="E4" s="285"/>
      <c r="F4" s="349"/>
      <c r="G4" s="17">
        <f>E4*F4</f>
        <v>0</v>
      </c>
      <c r="H4" s="17"/>
      <c r="I4" s="17"/>
      <c r="J4" s="17">
        <f>H4*I4</f>
        <v>0</v>
      </c>
      <c r="K4" s="17">
        <f>G4+J4</f>
        <v>0</v>
      </c>
      <c r="L4" s="17"/>
      <c r="M4" s="42">
        <f>M3+K4-L4</f>
        <v>9561944.7799999993</v>
      </c>
      <c r="N4" s="17"/>
      <c r="O4" s="42">
        <f t="shared" ref="O4" si="0">O3+M4-N4</f>
        <v>9561944.7799999993</v>
      </c>
    </row>
    <row r="5" spans="1:16">
      <c r="A5" s="26">
        <v>2</v>
      </c>
      <c r="B5" s="27">
        <v>45993</v>
      </c>
      <c r="C5" s="17"/>
      <c r="D5" s="277"/>
      <c r="E5" s="345"/>
      <c r="F5" s="286"/>
      <c r="G5" s="17">
        <f t="shared" ref="G5:G34" si="1">E5*F5</f>
        <v>0</v>
      </c>
      <c r="H5" s="17"/>
      <c r="I5" s="17"/>
      <c r="J5" s="17">
        <f t="shared" ref="J5:J34" si="2">H5*I5</f>
        <v>0</v>
      </c>
      <c r="K5" s="17">
        <f t="shared" ref="K5:K34" si="3">G5+J5</f>
        <v>0</v>
      </c>
      <c r="L5" s="17"/>
      <c r="M5" s="42">
        <f t="shared" ref="M5:M16" si="4">M4+K5-L5</f>
        <v>9561944.7799999993</v>
      </c>
      <c r="N5" s="17"/>
    </row>
    <row r="6" spans="1:16">
      <c r="A6" s="26">
        <v>3</v>
      </c>
      <c r="B6" s="27">
        <v>45994</v>
      </c>
      <c r="C6" s="17"/>
      <c r="D6" s="277"/>
      <c r="E6" s="285"/>
      <c r="F6" s="349"/>
      <c r="G6" s="17">
        <f t="shared" si="1"/>
        <v>0</v>
      </c>
      <c r="H6" s="17"/>
      <c r="I6" s="17"/>
      <c r="J6" s="17">
        <f t="shared" si="2"/>
        <v>0</v>
      </c>
      <c r="K6" s="17">
        <f t="shared" si="3"/>
        <v>0</v>
      </c>
      <c r="L6" s="17"/>
      <c r="M6" s="42">
        <f t="shared" si="4"/>
        <v>9561944.7799999993</v>
      </c>
      <c r="N6" s="17"/>
    </row>
    <row r="7" spans="1:16">
      <c r="A7" s="26">
        <v>4</v>
      </c>
      <c r="B7" s="27">
        <v>45995</v>
      </c>
      <c r="C7" s="17"/>
      <c r="D7" s="277"/>
      <c r="E7" s="285"/>
      <c r="F7" s="349"/>
      <c r="G7" s="17">
        <f t="shared" si="1"/>
        <v>0</v>
      </c>
      <c r="H7" s="17"/>
      <c r="I7" s="17"/>
      <c r="J7" s="17">
        <f t="shared" si="2"/>
        <v>0</v>
      </c>
      <c r="K7" s="17">
        <f t="shared" si="3"/>
        <v>0</v>
      </c>
      <c r="L7" s="17"/>
      <c r="M7" s="42">
        <f t="shared" si="4"/>
        <v>9561944.7799999993</v>
      </c>
      <c r="N7" s="17"/>
    </row>
    <row r="8" spans="1:16">
      <c r="A8" s="26">
        <v>5</v>
      </c>
      <c r="B8" s="27">
        <v>45996</v>
      </c>
      <c r="C8" s="17"/>
      <c r="D8" s="277"/>
      <c r="E8" s="285"/>
      <c r="F8" s="349"/>
      <c r="G8" s="17">
        <f t="shared" si="1"/>
        <v>0</v>
      </c>
      <c r="H8" s="17"/>
      <c r="I8" s="17"/>
      <c r="J8" s="17">
        <f t="shared" si="2"/>
        <v>0</v>
      </c>
      <c r="K8" s="17">
        <f t="shared" si="3"/>
        <v>0</v>
      </c>
      <c r="L8" s="17"/>
      <c r="M8" s="42">
        <f t="shared" si="4"/>
        <v>9561944.7799999993</v>
      </c>
      <c r="N8" s="17"/>
      <c r="O8">
        <v>12802499.148000002</v>
      </c>
    </row>
    <row r="9" spans="1:16">
      <c r="A9" s="26">
        <v>6</v>
      </c>
      <c r="B9" s="27">
        <v>45997</v>
      </c>
      <c r="C9" s="17"/>
      <c r="D9" s="277"/>
      <c r="E9" s="345"/>
      <c r="F9" s="349"/>
      <c r="G9" s="17">
        <f t="shared" si="1"/>
        <v>0</v>
      </c>
      <c r="H9" s="17"/>
      <c r="I9" s="17"/>
      <c r="J9" s="17">
        <f t="shared" si="2"/>
        <v>0</v>
      </c>
      <c r="K9" s="17">
        <f t="shared" si="3"/>
        <v>0</v>
      </c>
      <c r="L9" s="17"/>
      <c r="M9" s="42">
        <f t="shared" si="4"/>
        <v>9561944.7799999993</v>
      </c>
      <c r="N9" s="245"/>
    </row>
    <row r="10" spans="1:16">
      <c r="A10" s="26">
        <v>7</v>
      </c>
      <c r="B10" s="27">
        <v>45998</v>
      </c>
      <c r="C10" s="17"/>
      <c r="D10" s="277"/>
      <c r="E10" s="345"/>
      <c r="F10" s="349"/>
      <c r="G10" s="17">
        <f t="shared" si="1"/>
        <v>0</v>
      </c>
      <c r="H10" s="17"/>
      <c r="I10" s="17"/>
      <c r="J10" s="17">
        <f t="shared" si="2"/>
        <v>0</v>
      </c>
      <c r="K10" s="17">
        <f t="shared" si="3"/>
        <v>0</v>
      </c>
      <c r="L10" s="17"/>
      <c r="M10" s="42">
        <f t="shared" si="4"/>
        <v>9561944.7799999993</v>
      </c>
      <c r="N10" s="17"/>
    </row>
    <row r="11" spans="1:16">
      <c r="A11" s="26">
        <v>8</v>
      </c>
      <c r="B11" s="27">
        <v>45999</v>
      </c>
      <c r="C11" s="17"/>
      <c r="D11" s="277"/>
      <c r="E11" s="285"/>
      <c r="F11" s="349"/>
      <c r="G11" s="17">
        <f t="shared" si="1"/>
        <v>0</v>
      </c>
      <c r="H11" s="17"/>
      <c r="I11" s="17"/>
      <c r="J11" s="17">
        <f t="shared" si="2"/>
        <v>0</v>
      </c>
      <c r="K11" s="17">
        <f t="shared" si="3"/>
        <v>0</v>
      </c>
      <c r="L11" s="17"/>
      <c r="M11" s="42">
        <f t="shared" si="4"/>
        <v>9561944.7799999993</v>
      </c>
      <c r="N11" s="17"/>
    </row>
    <row r="12" spans="1:16">
      <c r="A12" s="26">
        <v>9</v>
      </c>
      <c r="B12" s="27">
        <v>46000</v>
      </c>
      <c r="C12" s="17"/>
      <c r="D12" s="277"/>
      <c r="E12" s="285"/>
      <c r="F12" s="349"/>
      <c r="G12" s="17">
        <f t="shared" si="1"/>
        <v>0</v>
      </c>
      <c r="H12" s="17"/>
      <c r="I12" s="17"/>
      <c r="J12" s="17">
        <f t="shared" si="2"/>
        <v>0</v>
      </c>
      <c r="K12" s="17">
        <f t="shared" si="3"/>
        <v>0</v>
      </c>
      <c r="L12" s="17"/>
      <c r="M12" s="42">
        <f t="shared" si="4"/>
        <v>9561944.7799999993</v>
      </c>
      <c r="N12" s="17"/>
    </row>
    <row r="13" spans="1:16">
      <c r="A13" s="26">
        <v>10</v>
      </c>
      <c r="B13" s="27">
        <v>46001</v>
      </c>
      <c r="C13" s="17"/>
      <c r="D13" s="277"/>
      <c r="E13" s="285"/>
      <c r="F13" s="349"/>
      <c r="G13" s="17">
        <f t="shared" si="1"/>
        <v>0</v>
      </c>
      <c r="H13" s="17"/>
      <c r="I13" s="17"/>
      <c r="J13" s="17">
        <f t="shared" si="2"/>
        <v>0</v>
      </c>
      <c r="K13" s="17">
        <f t="shared" si="3"/>
        <v>0</v>
      </c>
      <c r="L13" s="17"/>
      <c r="M13" s="42">
        <f t="shared" si="4"/>
        <v>9561944.7799999993</v>
      </c>
      <c r="N13" s="17"/>
    </row>
    <row r="14" spans="1:16">
      <c r="A14" s="26">
        <v>11</v>
      </c>
      <c r="B14" s="27">
        <v>46002</v>
      </c>
      <c r="C14" s="17"/>
      <c r="D14" s="277"/>
      <c r="E14" s="285"/>
      <c r="F14" s="349"/>
      <c r="G14" s="17">
        <f t="shared" si="1"/>
        <v>0</v>
      </c>
      <c r="H14" s="17"/>
      <c r="I14" s="17"/>
      <c r="J14" s="17">
        <f t="shared" si="2"/>
        <v>0</v>
      </c>
      <c r="K14" s="17">
        <f t="shared" si="3"/>
        <v>0</v>
      </c>
      <c r="L14" s="17"/>
      <c r="M14" s="42">
        <f t="shared" si="4"/>
        <v>9561944.7799999993</v>
      </c>
      <c r="N14" s="17"/>
    </row>
    <row r="15" spans="1:16">
      <c r="A15" s="26">
        <v>12</v>
      </c>
      <c r="B15" s="27">
        <v>46003</v>
      </c>
      <c r="C15" s="17"/>
      <c r="D15" s="277"/>
      <c r="E15" s="285"/>
      <c r="F15" s="349"/>
      <c r="G15" s="17">
        <f t="shared" si="1"/>
        <v>0</v>
      </c>
      <c r="H15" s="17"/>
      <c r="I15" s="17"/>
      <c r="J15" s="17">
        <f t="shared" si="2"/>
        <v>0</v>
      </c>
      <c r="K15" s="17">
        <f t="shared" si="3"/>
        <v>0</v>
      </c>
      <c r="L15" s="17"/>
      <c r="M15" s="42">
        <f t="shared" si="4"/>
        <v>9561944.7799999993</v>
      </c>
      <c r="N15" s="17"/>
    </row>
    <row r="16" spans="1:16">
      <c r="A16" s="26">
        <v>13</v>
      </c>
      <c r="B16" s="27">
        <v>46004</v>
      </c>
      <c r="C16" s="17"/>
      <c r="D16" s="277"/>
      <c r="E16" s="285"/>
      <c r="F16" s="349"/>
      <c r="G16" s="17">
        <f t="shared" si="1"/>
        <v>0</v>
      </c>
      <c r="H16" s="17"/>
      <c r="I16" s="17"/>
      <c r="J16" s="17">
        <f t="shared" si="2"/>
        <v>0</v>
      </c>
      <c r="K16" s="17">
        <f t="shared" si="3"/>
        <v>0</v>
      </c>
      <c r="L16" s="17"/>
      <c r="M16" s="42">
        <f t="shared" si="4"/>
        <v>9561944.7799999993</v>
      </c>
      <c r="N16" s="17"/>
    </row>
    <row r="17" spans="1:14">
      <c r="A17" s="26">
        <v>14</v>
      </c>
      <c r="B17" s="27">
        <v>46005</v>
      </c>
      <c r="C17" s="17"/>
      <c r="D17" s="277"/>
      <c r="E17" s="285"/>
      <c r="F17" s="349"/>
      <c r="G17" s="17">
        <f t="shared" si="1"/>
        <v>0</v>
      </c>
      <c r="H17" s="17"/>
      <c r="I17" s="17"/>
      <c r="J17" s="17">
        <f t="shared" si="2"/>
        <v>0</v>
      </c>
      <c r="K17" s="17">
        <f t="shared" si="3"/>
        <v>0</v>
      </c>
      <c r="L17" s="17"/>
      <c r="M17" s="42">
        <f t="shared" ref="M17:M28" si="5">M16+K17-L17</f>
        <v>9561944.7799999993</v>
      </c>
      <c r="N17" s="17"/>
    </row>
    <row r="18" spans="1:14">
      <c r="A18" s="26">
        <v>15</v>
      </c>
      <c r="B18" s="27">
        <v>46006</v>
      </c>
      <c r="C18" s="17"/>
      <c r="D18" s="277"/>
      <c r="E18" s="285"/>
      <c r="F18" s="349"/>
      <c r="G18" s="17">
        <f t="shared" si="1"/>
        <v>0</v>
      </c>
      <c r="H18" s="17"/>
      <c r="I18" s="17"/>
      <c r="J18" s="17">
        <f t="shared" si="2"/>
        <v>0</v>
      </c>
      <c r="K18" s="17">
        <f t="shared" si="3"/>
        <v>0</v>
      </c>
      <c r="L18" s="428">
        <v>9561886</v>
      </c>
      <c r="M18" s="42">
        <f t="shared" si="5"/>
        <v>58.779999999329448</v>
      </c>
      <c r="N18" s="17"/>
    </row>
    <row r="19" spans="1:14">
      <c r="A19" s="26">
        <v>16</v>
      </c>
      <c r="B19" s="27">
        <v>46007</v>
      </c>
      <c r="C19" s="17"/>
      <c r="D19" s="277"/>
      <c r="E19" s="285"/>
      <c r="F19" s="349"/>
      <c r="G19" s="17">
        <f t="shared" si="1"/>
        <v>0</v>
      </c>
      <c r="H19" s="17"/>
      <c r="I19" s="17"/>
      <c r="J19" s="17">
        <f t="shared" si="2"/>
        <v>0</v>
      </c>
      <c r="K19" s="17">
        <f t="shared" si="3"/>
        <v>0</v>
      </c>
      <c r="L19" s="17"/>
      <c r="M19" s="42">
        <f t="shared" si="5"/>
        <v>58.779999999329448</v>
      </c>
      <c r="N19" s="17"/>
    </row>
    <row r="20" spans="1:14">
      <c r="A20" s="26">
        <v>17</v>
      </c>
      <c r="B20" s="27">
        <v>46008</v>
      </c>
      <c r="C20" s="17"/>
      <c r="D20" s="277" t="s">
        <v>136</v>
      </c>
      <c r="E20" s="285"/>
      <c r="F20" s="349"/>
      <c r="G20" s="17">
        <f t="shared" si="1"/>
        <v>0</v>
      </c>
      <c r="H20" s="17"/>
      <c r="I20" s="17"/>
      <c r="J20" s="17">
        <f t="shared" si="2"/>
        <v>0</v>
      </c>
      <c r="K20" s="17">
        <f t="shared" si="3"/>
        <v>0</v>
      </c>
      <c r="L20" s="17">
        <v>58.78</v>
      </c>
      <c r="M20" s="42">
        <f t="shared" si="5"/>
        <v>-6.7055339059152175E-10</v>
      </c>
      <c r="N20" s="17"/>
    </row>
    <row r="21" spans="1:14">
      <c r="A21" s="26">
        <v>18</v>
      </c>
      <c r="B21" s="27">
        <v>46009</v>
      </c>
      <c r="C21" s="17"/>
      <c r="D21" s="277"/>
      <c r="E21" s="285">
        <v>2700</v>
      </c>
      <c r="F21" s="349">
        <v>95.7</v>
      </c>
      <c r="G21" s="17">
        <f t="shared" si="1"/>
        <v>258390</v>
      </c>
      <c r="H21" s="17"/>
      <c r="I21" s="17"/>
      <c r="J21" s="17">
        <f t="shared" si="2"/>
        <v>0</v>
      </c>
      <c r="K21" s="17">
        <f t="shared" si="3"/>
        <v>258390</v>
      </c>
      <c r="L21" s="17"/>
      <c r="M21" s="42">
        <f t="shared" si="5"/>
        <v>258389.99999999933</v>
      </c>
      <c r="N21" s="17"/>
    </row>
    <row r="22" spans="1:14">
      <c r="A22" s="26">
        <v>19</v>
      </c>
      <c r="B22" s="27">
        <v>46010</v>
      </c>
      <c r="C22" s="17"/>
      <c r="D22" s="277"/>
      <c r="E22" s="285">
        <v>2700</v>
      </c>
      <c r="F22" s="349">
        <v>95.7</v>
      </c>
      <c r="G22" s="17">
        <f t="shared" si="1"/>
        <v>258390</v>
      </c>
      <c r="H22" s="17"/>
      <c r="I22" s="17"/>
      <c r="J22" s="17">
        <f t="shared" si="2"/>
        <v>0</v>
      </c>
      <c r="K22" s="17">
        <f t="shared" si="3"/>
        <v>258390</v>
      </c>
      <c r="L22" s="17"/>
      <c r="M22" s="42">
        <f t="shared" si="5"/>
        <v>516779.9999999993</v>
      </c>
      <c r="N22" s="17"/>
    </row>
    <row r="23" spans="1:14">
      <c r="A23" s="26">
        <v>20</v>
      </c>
      <c r="B23" s="27">
        <v>46011</v>
      </c>
      <c r="C23" s="17"/>
      <c r="D23" s="277"/>
      <c r="E23" s="285">
        <v>2700</v>
      </c>
      <c r="F23" s="286">
        <v>95.7</v>
      </c>
      <c r="G23" s="17">
        <f t="shared" si="1"/>
        <v>258390</v>
      </c>
      <c r="H23" s="17"/>
      <c r="I23" s="17"/>
      <c r="J23" s="17">
        <f t="shared" si="2"/>
        <v>0</v>
      </c>
      <c r="K23" s="17">
        <f t="shared" si="3"/>
        <v>258390</v>
      </c>
      <c r="L23" s="17"/>
      <c r="M23" s="42">
        <f t="shared" si="5"/>
        <v>775169.9999999993</v>
      </c>
      <c r="N23" s="17"/>
    </row>
    <row r="24" spans="1:14">
      <c r="A24" s="26">
        <v>21</v>
      </c>
      <c r="B24" s="27">
        <v>46012</v>
      </c>
      <c r="C24" s="17"/>
      <c r="D24" s="277"/>
      <c r="E24" s="285">
        <v>2800</v>
      </c>
      <c r="F24" s="286">
        <v>95.7</v>
      </c>
      <c r="G24" s="17">
        <f t="shared" si="1"/>
        <v>267960</v>
      </c>
      <c r="H24" s="17"/>
      <c r="I24" s="17"/>
      <c r="J24" s="17">
        <f t="shared" si="2"/>
        <v>0</v>
      </c>
      <c r="K24" s="17">
        <f t="shared" si="3"/>
        <v>267960</v>
      </c>
      <c r="L24" s="17"/>
      <c r="M24" s="42">
        <f t="shared" si="5"/>
        <v>1043129.9999999993</v>
      </c>
      <c r="N24" s="17"/>
    </row>
    <row r="25" spans="1:14">
      <c r="A25" s="26">
        <v>22</v>
      </c>
      <c r="B25" s="27">
        <v>46013</v>
      </c>
      <c r="C25" s="17"/>
      <c r="D25" s="277"/>
      <c r="E25" s="285">
        <v>2700</v>
      </c>
      <c r="F25" s="286">
        <v>95.7</v>
      </c>
      <c r="G25" s="17">
        <f t="shared" si="1"/>
        <v>258390</v>
      </c>
      <c r="H25" s="17"/>
      <c r="I25" s="17"/>
      <c r="J25" s="17">
        <f t="shared" si="2"/>
        <v>0</v>
      </c>
      <c r="K25" s="17">
        <f t="shared" si="3"/>
        <v>258390</v>
      </c>
      <c r="L25" s="17"/>
      <c r="M25" s="42">
        <f t="shared" si="5"/>
        <v>1301519.9999999993</v>
      </c>
      <c r="N25" s="17"/>
    </row>
    <row r="26" spans="1:14">
      <c r="A26" s="26">
        <v>23</v>
      </c>
      <c r="B26" s="27">
        <v>46014</v>
      </c>
      <c r="C26" s="17"/>
      <c r="D26" s="277"/>
      <c r="E26" s="285">
        <v>2700</v>
      </c>
      <c r="F26" s="286">
        <v>95.7</v>
      </c>
      <c r="G26" s="17">
        <f t="shared" si="1"/>
        <v>258390</v>
      </c>
      <c r="H26" s="17">
        <v>40</v>
      </c>
      <c r="I26" s="17">
        <v>107.48</v>
      </c>
      <c r="J26" s="17">
        <f t="shared" si="2"/>
        <v>4299.2</v>
      </c>
      <c r="K26" s="17">
        <f t="shared" si="3"/>
        <v>262689.2</v>
      </c>
      <c r="L26" s="17"/>
      <c r="M26" s="42">
        <f t="shared" si="5"/>
        <v>1564209.1999999993</v>
      </c>
      <c r="N26" s="17"/>
    </row>
    <row r="27" spans="1:14">
      <c r="A27" s="26">
        <v>24</v>
      </c>
      <c r="B27" s="27">
        <v>46015</v>
      </c>
      <c r="C27" s="17"/>
      <c r="D27" s="277"/>
      <c r="E27" s="285">
        <v>2700</v>
      </c>
      <c r="F27" s="286">
        <v>95.7</v>
      </c>
      <c r="G27" s="17">
        <f t="shared" si="1"/>
        <v>258390</v>
      </c>
      <c r="H27" s="17"/>
      <c r="I27" s="17"/>
      <c r="J27" s="17">
        <f t="shared" si="2"/>
        <v>0</v>
      </c>
      <c r="K27" s="17">
        <f t="shared" si="3"/>
        <v>258390</v>
      </c>
      <c r="L27" s="17"/>
      <c r="M27" s="42">
        <f t="shared" si="5"/>
        <v>1822599.1999999993</v>
      </c>
      <c r="N27" s="17"/>
    </row>
    <row r="28" spans="1:14">
      <c r="A28" s="26">
        <v>25</v>
      </c>
      <c r="B28" s="27">
        <v>46016</v>
      </c>
      <c r="C28" s="17"/>
      <c r="D28" s="277"/>
      <c r="E28" s="285">
        <v>2700</v>
      </c>
      <c r="F28" s="286">
        <v>95.7</v>
      </c>
      <c r="G28" s="17">
        <f t="shared" si="1"/>
        <v>258390</v>
      </c>
      <c r="H28" s="17">
        <v>40</v>
      </c>
      <c r="I28" s="17">
        <v>107.48</v>
      </c>
      <c r="J28" s="17">
        <f t="shared" si="2"/>
        <v>4299.2</v>
      </c>
      <c r="K28" s="17">
        <f t="shared" si="3"/>
        <v>262689.2</v>
      </c>
      <c r="L28" s="17"/>
      <c r="M28" s="42">
        <f t="shared" si="5"/>
        <v>2085288.3999999992</v>
      </c>
      <c r="N28" s="17"/>
    </row>
    <row r="29" spans="1:14">
      <c r="A29" s="26">
        <v>26</v>
      </c>
      <c r="B29" s="27">
        <v>46017</v>
      </c>
      <c r="C29" s="17"/>
      <c r="D29" s="277"/>
      <c r="E29" s="285">
        <v>2700</v>
      </c>
      <c r="F29" s="286">
        <v>95.7</v>
      </c>
      <c r="G29" s="17">
        <f t="shared" si="1"/>
        <v>258390</v>
      </c>
      <c r="H29" s="17">
        <v>40</v>
      </c>
      <c r="I29" s="17">
        <v>107.48</v>
      </c>
      <c r="J29" s="17">
        <f t="shared" si="2"/>
        <v>4299.2</v>
      </c>
      <c r="K29" s="17">
        <f t="shared" si="3"/>
        <v>262689.2</v>
      </c>
      <c r="L29" s="17"/>
      <c r="M29" s="42">
        <f t="shared" ref="M29:M34" si="6">M28+K29-L29</f>
        <v>2347977.5999999992</v>
      </c>
      <c r="N29" s="17"/>
    </row>
    <row r="30" spans="1:14">
      <c r="A30" s="26">
        <v>27</v>
      </c>
      <c r="B30" s="27">
        <v>46018</v>
      </c>
      <c r="C30" s="17"/>
      <c r="D30" s="277"/>
      <c r="E30" s="285">
        <v>2700</v>
      </c>
      <c r="F30" s="286">
        <v>95.7</v>
      </c>
      <c r="G30" s="17">
        <f t="shared" si="1"/>
        <v>258390</v>
      </c>
      <c r="H30" s="17">
        <v>40</v>
      </c>
      <c r="I30" s="17">
        <v>107.48</v>
      </c>
      <c r="J30" s="17">
        <f t="shared" si="2"/>
        <v>4299.2</v>
      </c>
      <c r="K30" s="17">
        <f t="shared" si="3"/>
        <v>262689.2</v>
      </c>
      <c r="L30" s="17"/>
      <c r="M30" s="42">
        <f t="shared" si="6"/>
        <v>2610666.7999999993</v>
      </c>
      <c r="N30" s="17"/>
    </row>
    <row r="31" spans="1:14">
      <c r="A31" s="26">
        <v>28</v>
      </c>
      <c r="B31" s="27">
        <v>46019</v>
      </c>
      <c r="C31" s="17"/>
      <c r="D31" s="277"/>
      <c r="E31" s="285">
        <v>2700</v>
      </c>
      <c r="F31" s="286">
        <v>95.7</v>
      </c>
      <c r="G31" s="17">
        <f t="shared" si="1"/>
        <v>258390</v>
      </c>
      <c r="H31" s="17">
        <v>40</v>
      </c>
      <c r="I31" s="17">
        <v>107.48</v>
      </c>
      <c r="J31" s="17">
        <f t="shared" si="2"/>
        <v>4299.2</v>
      </c>
      <c r="K31" s="17">
        <f t="shared" si="3"/>
        <v>262689.2</v>
      </c>
      <c r="L31" s="17"/>
      <c r="M31" s="42">
        <f t="shared" si="6"/>
        <v>2873355.9999999995</v>
      </c>
      <c r="N31" s="17"/>
    </row>
    <row r="32" spans="1:14">
      <c r="A32" s="26">
        <v>29</v>
      </c>
      <c r="B32" s="27">
        <v>46020</v>
      </c>
      <c r="C32" s="17"/>
      <c r="D32" s="277"/>
      <c r="E32" s="285">
        <v>2700</v>
      </c>
      <c r="F32" s="286">
        <v>95.7</v>
      </c>
      <c r="G32" s="17">
        <f t="shared" si="1"/>
        <v>258390</v>
      </c>
      <c r="H32" s="17">
        <v>20</v>
      </c>
      <c r="I32" s="17">
        <v>107.48</v>
      </c>
      <c r="J32" s="17">
        <f t="shared" si="2"/>
        <v>2149.6</v>
      </c>
      <c r="K32" s="17">
        <f t="shared" si="3"/>
        <v>260539.6</v>
      </c>
      <c r="L32" s="17"/>
      <c r="M32" s="42">
        <f t="shared" si="6"/>
        <v>3133895.5999999996</v>
      </c>
      <c r="N32" s="17"/>
    </row>
    <row r="33" spans="1:14">
      <c r="A33" s="26">
        <v>30</v>
      </c>
      <c r="B33" s="27">
        <v>46021</v>
      </c>
      <c r="C33" s="17"/>
      <c r="D33" s="277"/>
      <c r="E33" s="285">
        <v>2800</v>
      </c>
      <c r="F33" s="286">
        <v>95.7</v>
      </c>
      <c r="G33" s="17">
        <f t="shared" si="1"/>
        <v>267960</v>
      </c>
      <c r="H33" s="17"/>
      <c r="I33" s="17"/>
      <c r="J33" s="17">
        <f t="shared" si="2"/>
        <v>0</v>
      </c>
      <c r="K33" s="17">
        <f t="shared" si="3"/>
        <v>267960</v>
      </c>
      <c r="L33" s="17"/>
      <c r="M33" s="42">
        <f t="shared" si="6"/>
        <v>3401855.5999999996</v>
      </c>
      <c r="N33" s="17"/>
    </row>
    <row r="34" spans="1:14">
      <c r="A34" s="26">
        <v>31</v>
      </c>
      <c r="B34" s="27">
        <v>46022</v>
      </c>
      <c r="C34" s="17"/>
      <c r="D34" s="277"/>
      <c r="E34" s="285">
        <v>2800</v>
      </c>
      <c r="F34" s="286">
        <v>95.7</v>
      </c>
      <c r="G34" s="17">
        <f t="shared" si="1"/>
        <v>267960</v>
      </c>
      <c r="H34" s="17"/>
      <c r="I34" s="17"/>
      <c r="J34" s="17">
        <f t="shared" si="2"/>
        <v>0</v>
      </c>
      <c r="K34" s="17">
        <f t="shared" si="3"/>
        <v>267960</v>
      </c>
      <c r="L34" s="17"/>
      <c r="M34" s="42">
        <f t="shared" si="6"/>
        <v>3669815.5999999996</v>
      </c>
      <c r="N34" s="17"/>
    </row>
    <row r="35" spans="1:14">
      <c r="A35" s="46"/>
      <c r="B35" s="46"/>
      <c r="C35" s="46"/>
      <c r="D35" s="46"/>
      <c r="E35" s="47">
        <f>SUM(E4:E34)</f>
        <v>38100</v>
      </c>
      <c r="F35" s="47"/>
      <c r="G35" s="47">
        <f>SUM(G4:G34)</f>
        <v>3646170</v>
      </c>
      <c r="H35" s="47">
        <f>SUM(H4:H34)</f>
        <v>220</v>
      </c>
      <c r="I35" s="47"/>
      <c r="J35" s="47">
        <f>SUM(J4:J34)</f>
        <v>23645.599999999999</v>
      </c>
      <c r="K35" s="47">
        <f>SUM(K4:K34)</f>
        <v>3669815.6000000006</v>
      </c>
      <c r="L35" s="47">
        <f>SUM(L4:L34)</f>
        <v>9561944.7799999993</v>
      </c>
      <c r="M35" s="47"/>
      <c r="N35" s="47"/>
    </row>
    <row r="38" spans="1:14">
      <c r="E38">
        <v>83600</v>
      </c>
    </row>
    <row r="39" spans="1:14">
      <c r="M39" s="22"/>
    </row>
    <row r="40" spans="1:14">
      <c r="E40" s="142">
        <f>SUM(E35:E39)</f>
        <v>121700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A1F-96EA-4DAE-B7A1-3DBAC484D0C4}">
  <dimension ref="A1:Q47"/>
  <sheetViews>
    <sheetView topLeftCell="A12" workbookViewId="0">
      <selection activeCell="Q26" sqref="Q26"/>
    </sheetView>
  </sheetViews>
  <sheetFormatPr defaultRowHeight="15"/>
  <cols>
    <col min="2" max="2" width="13.42578125" customWidth="1"/>
    <col min="3" max="3" width="11.85546875" customWidth="1"/>
    <col min="4" max="4" width="13.85546875" customWidth="1"/>
    <col min="5" max="5" width="12" customWidth="1"/>
    <col min="6" max="6" width="14.140625" customWidth="1"/>
    <col min="7" max="7" width="12" customWidth="1"/>
    <col min="10" max="10" width="11.85546875" customWidth="1"/>
    <col min="11" max="11" width="12.140625" customWidth="1"/>
    <col min="12" max="13" width="14.42578125" customWidth="1"/>
    <col min="14" max="14" width="16.28515625" customWidth="1"/>
    <col min="16" max="16" width="13.5703125" bestFit="1" customWidth="1"/>
  </cols>
  <sheetData>
    <row r="1" spans="1:17" ht="15.75" customHeight="1">
      <c r="A1" s="469" t="s">
        <v>16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</row>
    <row r="2" spans="1:17">
      <c r="A2" s="109" t="s">
        <v>122</v>
      </c>
      <c r="B2" s="113" t="s">
        <v>123</v>
      </c>
      <c r="C2" s="113" t="s">
        <v>124</v>
      </c>
      <c r="D2" s="113" t="s">
        <v>125</v>
      </c>
      <c r="E2" s="113" t="s">
        <v>126</v>
      </c>
      <c r="F2" s="113" t="s">
        <v>127</v>
      </c>
      <c r="G2" s="113" t="s">
        <v>128</v>
      </c>
      <c r="H2" s="113" t="s">
        <v>129</v>
      </c>
      <c r="I2" s="113" t="s">
        <v>127</v>
      </c>
      <c r="J2" s="113" t="s">
        <v>128</v>
      </c>
      <c r="K2" s="151" t="s">
        <v>130</v>
      </c>
      <c r="L2" s="151" t="s">
        <v>131</v>
      </c>
      <c r="M2" s="151" t="s">
        <v>132</v>
      </c>
      <c r="N2" s="113" t="s">
        <v>133</v>
      </c>
    </row>
    <row r="3" spans="1:17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4"/>
      <c r="K3" s="138"/>
      <c r="L3" s="247"/>
      <c r="M3" s="359">
        <v>801890.19560000021</v>
      </c>
      <c r="N3" s="248"/>
      <c r="O3">
        <v>2623243.3616999988</v>
      </c>
    </row>
    <row r="4" spans="1:17">
      <c r="A4" s="26">
        <v>1</v>
      </c>
      <c r="B4" s="27">
        <v>45992</v>
      </c>
      <c r="C4" s="114"/>
      <c r="D4" s="35"/>
      <c r="E4" s="37"/>
      <c r="F4" s="37"/>
      <c r="G4" s="37">
        <f>E4*F4</f>
        <v>0</v>
      </c>
      <c r="H4" s="382">
        <v>50</v>
      </c>
      <c r="I4" s="382">
        <v>108.23</v>
      </c>
      <c r="J4" s="37">
        <f>H4*I4</f>
        <v>5411.5</v>
      </c>
      <c r="K4" s="37">
        <f t="shared" ref="K4" si="0">G4+J4</f>
        <v>5411.5</v>
      </c>
      <c r="L4" s="209">
        <v>5411.5</v>
      </c>
      <c r="M4" s="37">
        <f>M3+K4-L4</f>
        <v>801890.19560000021</v>
      </c>
      <c r="N4" s="249"/>
      <c r="P4" s="22"/>
    </row>
    <row r="5" spans="1:17">
      <c r="A5" s="26">
        <v>2</v>
      </c>
      <c r="B5" s="27">
        <v>45993</v>
      </c>
      <c r="C5" s="114"/>
      <c r="D5" s="35"/>
      <c r="E5" s="37"/>
      <c r="F5" s="37"/>
      <c r="G5" s="37">
        <f t="shared" ref="G5:G34" si="1">E5*F5</f>
        <v>0</v>
      </c>
      <c r="H5" s="382"/>
      <c r="I5" s="382"/>
      <c r="J5" s="37">
        <f t="shared" ref="J5:J11" si="2">H5*I5</f>
        <v>0</v>
      </c>
      <c r="K5" s="37">
        <f t="shared" ref="K5:K34" si="3">G5+J5</f>
        <v>0</v>
      </c>
      <c r="L5" s="209"/>
      <c r="M5" s="37">
        <f t="shared" ref="M5:M18" si="4">M4+K5-L5</f>
        <v>801890.19560000021</v>
      </c>
      <c r="N5" s="250"/>
    </row>
    <row r="6" spans="1:17">
      <c r="A6" s="26">
        <v>3</v>
      </c>
      <c r="B6" s="27">
        <v>45994</v>
      </c>
      <c r="C6" s="114"/>
      <c r="D6" s="35"/>
      <c r="E6" s="37"/>
      <c r="F6" s="37"/>
      <c r="G6" s="37">
        <f t="shared" si="1"/>
        <v>0</v>
      </c>
      <c r="H6" s="382"/>
      <c r="I6" s="382"/>
      <c r="J6" s="37">
        <f t="shared" si="2"/>
        <v>0</v>
      </c>
      <c r="K6" s="37">
        <f t="shared" si="3"/>
        <v>0</v>
      </c>
      <c r="L6" s="209"/>
      <c r="M6" s="37">
        <f t="shared" si="4"/>
        <v>801890.19560000021</v>
      </c>
      <c r="N6" s="251"/>
    </row>
    <row r="7" spans="1:17">
      <c r="A7" s="26">
        <v>4</v>
      </c>
      <c r="B7" s="27">
        <v>45995</v>
      </c>
      <c r="C7" s="114"/>
      <c r="D7" s="35"/>
      <c r="E7" s="37"/>
      <c r="F7" s="37"/>
      <c r="G7" s="37">
        <f t="shared" si="1"/>
        <v>0</v>
      </c>
      <c r="H7" s="382"/>
      <c r="I7" s="382"/>
      <c r="J7" s="37">
        <f t="shared" si="2"/>
        <v>0</v>
      </c>
      <c r="K7" s="37">
        <f t="shared" si="3"/>
        <v>0</v>
      </c>
      <c r="L7" s="209"/>
      <c r="M7" s="37">
        <f>M6+K7-L7</f>
        <v>801890.19560000021</v>
      </c>
      <c r="N7" s="210"/>
      <c r="P7">
        <v>5679</v>
      </c>
    </row>
    <row r="8" spans="1:17">
      <c r="A8" s="26">
        <v>5</v>
      </c>
      <c r="B8" s="27">
        <v>45996</v>
      </c>
      <c r="C8" s="34"/>
      <c r="D8" s="35"/>
      <c r="E8" s="37"/>
      <c r="F8" s="37"/>
      <c r="G8" s="37">
        <f t="shared" si="1"/>
        <v>0</v>
      </c>
      <c r="H8" s="382"/>
      <c r="I8" s="382"/>
      <c r="J8" s="37">
        <f t="shared" si="2"/>
        <v>0</v>
      </c>
      <c r="K8" s="37">
        <f t="shared" si="3"/>
        <v>0</v>
      </c>
      <c r="L8" s="209"/>
      <c r="M8" s="37">
        <f>M7+K8-L8</f>
        <v>801890.19560000021</v>
      </c>
      <c r="N8" s="210"/>
    </row>
    <row r="9" spans="1:17">
      <c r="A9" s="26">
        <v>6</v>
      </c>
      <c r="B9" s="27">
        <v>45997</v>
      </c>
      <c r="C9" s="34"/>
      <c r="D9" s="35"/>
      <c r="E9" s="37"/>
      <c r="F9" s="37"/>
      <c r="G9" s="37">
        <f t="shared" si="1"/>
        <v>0</v>
      </c>
      <c r="H9" s="382"/>
      <c r="I9" s="382"/>
      <c r="J9" s="37">
        <f t="shared" si="2"/>
        <v>0</v>
      </c>
      <c r="K9" s="37">
        <f t="shared" si="3"/>
        <v>0</v>
      </c>
      <c r="L9" s="209"/>
      <c r="M9" s="37">
        <f t="shared" si="4"/>
        <v>801890.19560000021</v>
      </c>
      <c r="N9" s="210"/>
    </row>
    <row r="10" spans="1:17">
      <c r="A10" s="26">
        <v>7</v>
      </c>
      <c r="B10" s="27">
        <v>45998</v>
      </c>
      <c r="C10" s="34"/>
      <c r="D10" s="35"/>
      <c r="E10" s="37"/>
      <c r="F10" s="37"/>
      <c r="G10" s="37">
        <f t="shared" si="1"/>
        <v>0</v>
      </c>
      <c r="H10" s="382"/>
      <c r="I10" s="382"/>
      <c r="J10" s="37">
        <f t="shared" si="2"/>
        <v>0</v>
      </c>
      <c r="K10" s="37">
        <f t="shared" si="3"/>
        <v>0</v>
      </c>
      <c r="L10" s="209"/>
      <c r="M10" s="37">
        <f t="shared" si="4"/>
        <v>801890.19560000021</v>
      </c>
      <c r="N10" s="210"/>
    </row>
    <row r="11" spans="1:17">
      <c r="A11" s="26">
        <v>8</v>
      </c>
      <c r="B11" s="27">
        <v>45999</v>
      </c>
      <c r="C11" s="34"/>
      <c r="D11" s="35"/>
      <c r="E11" s="37"/>
      <c r="F11" s="37"/>
      <c r="G11" s="37">
        <f t="shared" si="1"/>
        <v>0</v>
      </c>
      <c r="H11" s="382">
        <v>46</v>
      </c>
      <c r="I11" s="382">
        <v>108.23</v>
      </c>
      <c r="J11" s="37">
        <f t="shared" si="2"/>
        <v>4978.58</v>
      </c>
      <c r="K11" s="37">
        <f t="shared" si="3"/>
        <v>4978.58</v>
      </c>
      <c r="L11" s="209">
        <v>4978.58</v>
      </c>
      <c r="M11" s="37">
        <f t="shared" si="4"/>
        <v>801890.19560000021</v>
      </c>
      <c r="N11" s="210"/>
    </row>
    <row r="12" spans="1:17">
      <c r="A12" s="26">
        <v>9</v>
      </c>
      <c r="B12" s="27">
        <v>46000</v>
      </c>
      <c r="C12" s="34"/>
      <c r="D12" s="35"/>
      <c r="E12" s="37"/>
      <c r="F12" s="37"/>
      <c r="G12" s="37">
        <f t="shared" si="1"/>
        <v>0</v>
      </c>
      <c r="H12" s="382"/>
      <c r="I12" s="382"/>
      <c r="J12" s="37"/>
      <c r="K12" s="37">
        <f t="shared" si="3"/>
        <v>0</v>
      </c>
      <c r="L12" s="209"/>
      <c r="M12" s="37">
        <f t="shared" si="4"/>
        <v>801890.19560000021</v>
      </c>
      <c r="N12" s="210"/>
    </row>
    <row r="13" spans="1:17">
      <c r="A13" s="26">
        <v>10</v>
      </c>
      <c r="B13" s="27">
        <v>46001</v>
      </c>
      <c r="C13" s="34"/>
      <c r="D13" s="35"/>
      <c r="E13" s="37"/>
      <c r="F13" s="37"/>
      <c r="G13" s="37">
        <f t="shared" si="1"/>
        <v>0</v>
      </c>
      <c r="H13" s="382"/>
      <c r="I13" s="382"/>
      <c r="J13" s="37"/>
      <c r="K13" s="37">
        <f t="shared" si="3"/>
        <v>0</v>
      </c>
      <c r="L13" s="209"/>
      <c r="M13" s="37">
        <f>M12+K13-L13</f>
        <v>801890.19560000021</v>
      </c>
      <c r="N13" s="210"/>
    </row>
    <row r="14" spans="1:17">
      <c r="A14" s="26">
        <v>11</v>
      </c>
      <c r="B14" s="27">
        <v>46002</v>
      </c>
      <c r="C14" s="34"/>
      <c r="D14" s="35"/>
      <c r="E14" s="37"/>
      <c r="F14" s="37"/>
      <c r="G14" s="37">
        <f t="shared" si="1"/>
        <v>0</v>
      </c>
      <c r="H14" s="382"/>
      <c r="I14" s="382"/>
      <c r="J14" s="37"/>
      <c r="K14" s="37">
        <f t="shared" si="3"/>
        <v>0</v>
      </c>
      <c r="L14" s="209"/>
      <c r="M14" s="37">
        <f>M13+K14-L14</f>
        <v>801890.19560000021</v>
      </c>
      <c r="N14" s="210"/>
      <c r="P14">
        <v>1905988</v>
      </c>
      <c r="Q14" s="183">
        <f>P14-M14</f>
        <v>1104097.8043999998</v>
      </c>
    </row>
    <row r="15" spans="1:17">
      <c r="A15" s="26">
        <v>12</v>
      </c>
      <c r="B15" s="27">
        <v>46003</v>
      </c>
      <c r="C15" s="34"/>
      <c r="D15" s="35"/>
      <c r="E15" s="37"/>
      <c r="F15" s="37"/>
      <c r="G15" s="37">
        <f t="shared" si="1"/>
        <v>0</v>
      </c>
      <c r="H15" s="382"/>
      <c r="I15" s="382"/>
      <c r="J15" s="37"/>
      <c r="K15" s="37">
        <f t="shared" si="3"/>
        <v>0</v>
      </c>
      <c r="L15" s="209">
        <v>500000</v>
      </c>
      <c r="M15" s="37">
        <f t="shared" si="4"/>
        <v>301890.19560000021</v>
      </c>
      <c r="N15" s="210"/>
    </row>
    <row r="16" spans="1:17">
      <c r="A16" s="26">
        <v>13</v>
      </c>
      <c r="B16" s="27">
        <v>46004</v>
      </c>
      <c r="C16" s="34"/>
      <c r="D16" s="35"/>
      <c r="E16" s="37"/>
      <c r="F16" s="37"/>
      <c r="G16" s="37">
        <f t="shared" si="1"/>
        <v>0</v>
      </c>
      <c r="H16" s="382"/>
      <c r="I16" s="382"/>
      <c r="J16" s="37">
        <f t="shared" ref="J5:J34" si="5">H16*I16</f>
        <v>0</v>
      </c>
      <c r="K16" s="37">
        <f t="shared" si="3"/>
        <v>0</v>
      </c>
      <c r="L16" s="209"/>
      <c r="M16" s="37">
        <f t="shared" si="4"/>
        <v>301890.19560000021</v>
      </c>
      <c r="N16" s="210"/>
    </row>
    <row r="17" spans="1:14">
      <c r="A17" s="26">
        <v>14</v>
      </c>
      <c r="B17" s="27">
        <v>46005</v>
      </c>
      <c r="C17" s="34"/>
      <c r="D17" s="35"/>
      <c r="E17" s="37"/>
      <c r="F17" s="37"/>
      <c r="G17" s="37">
        <f t="shared" si="1"/>
        <v>0</v>
      </c>
      <c r="H17" s="382"/>
      <c r="I17" s="382"/>
      <c r="J17" s="37">
        <f t="shared" si="5"/>
        <v>0</v>
      </c>
      <c r="K17" s="37">
        <f t="shared" si="3"/>
        <v>0</v>
      </c>
      <c r="L17" s="209"/>
      <c r="M17" s="37">
        <f t="shared" si="4"/>
        <v>301890.19560000021</v>
      </c>
      <c r="N17" s="210"/>
    </row>
    <row r="18" spans="1:14">
      <c r="A18" s="26">
        <v>15</v>
      </c>
      <c r="B18" s="27">
        <v>46006</v>
      </c>
      <c r="C18" s="177"/>
      <c r="D18" s="35"/>
      <c r="E18" s="37"/>
      <c r="F18" s="37"/>
      <c r="G18" s="37">
        <f t="shared" si="1"/>
        <v>0</v>
      </c>
      <c r="H18" s="382">
        <v>46.197911849999997</v>
      </c>
      <c r="I18" s="382">
        <v>108.23</v>
      </c>
      <c r="J18" s="37">
        <f t="shared" si="5"/>
        <v>4999.9999995255002</v>
      </c>
      <c r="K18" s="37">
        <f t="shared" si="3"/>
        <v>4999.9999995255002</v>
      </c>
      <c r="L18" s="209">
        <v>307000</v>
      </c>
      <c r="M18" s="37">
        <f t="shared" si="4"/>
        <v>-109.80440047429875</v>
      </c>
      <c r="N18" s="252"/>
    </row>
    <row r="19" spans="1:14">
      <c r="A19" s="26">
        <v>16</v>
      </c>
      <c r="B19" s="27">
        <v>46007</v>
      </c>
      <c r="C19" s="114"/>
      <c r="D19" s="35"/>
      <c r="E19" s="37"/>
      <c r="F19" s="37"/>
      <c r="G19" s="37">
        <f t="shared" si="1"/>
        <v>0</v>
      </c>
      <c r="H19" s="382"/>
      <c r="I19" s="382"/>
      <c r="J19" s="37">
        <f t="shared" si="5"/>
        <v>0</v>
      </c>
      <c r="K19" s="37">
        <f t="shared" si="3"/>
        <v>0</v>
      </c>
      <c r="L19" s="209">
        <v>-109.8</v>
      </c>
      <c r="M19" s="37">
        <f t="shared" ref="M19:M35" si="6">M18+K19-L19</f>
        <v>-4.4004742987482359E-3</v>
      </c>
      <c r="N19" s="252"/>
    </row>
    <row r="20" spans="1:14">
      <c r="A20" s="26">
        <v>17</v>
      </c>
      <c r="B20" s="27">
        <v>46008</v>
      </c>
      <c r="C20" s="190"/>
      <c r="D20" s="35"/>
      <c r="E20" s="37"/>
      <c r="F20" s="37"/>
      <c r="G20" s="37">
        <f t="shared" si="1"/>
        <v>0</v>
      </c>
      <c r="H20" s="382"/>
      <c r="I20" s="382"/>
      <c r="J20" s="37">
        <f t="shared" si="5"/>
        <v>0</v>
      </c>
      <c r="K20" s="37">
        <f t="shared" si="3"/>
        <v>0</v>
      </c>
      <c r="L20" s="209"/>
      <c r="M20" s="37">
        <f t="shared" si="6"/>
        <v>-4.4004742987482359E-3</v>
      </c>
      <c r="N20" s="252"/>
    </row>
    <row r="21" spans="1:14">
      <c r="A21" s="26">
        <v>18</v>
      </c>
      <c r="B21" s="27">
        <v>46009</v>
      </c>
      <c r="C21" s="190"/>
      <c r="D21" s="35"/>
      <c r="E21" s="37"/>
      <c r="F21" s="37"/>
      <c r="G21" s="37">
        <f t="shared" si="1"/>
        <v>0</v>
      </c>
      <c r="H21" s="382"/>
      <c r="I21" s="382"/>
      <c r="J21" s="37">
        <f t="shared" si="5"/>
        <v>0</v>
      </c>
      <c r="K21" s="37">
        <f t="shared" si="3"/>
        <v>0</v>
      </c>
      <c r="L21" s="209"/>
      <c r="M21" s="37">
        <f t="shared" si="6"/>
        <v>-4.4004742987482359E-3</v>
      </c>
      <c r="N21" s="252"/>
    </row>
    <row r="22" spans="1:14">
      <c r="A22" s="26">
        <v>19</v>
      </c>
      <c r="B22" s="27">
        <v>46010</v>
      </c>
      <c r="C22" s="114"/>
      <c r="D22" s="35"/>
      <c r="E22" s="37"/>
      <c r="F22" s="37"/>
      <c r="G22" s="37">
        <f t="shared" si="1"/>
        <v>0</v>
      </c>
      <c r="H22" s="382"/>
      <c r="I22" s="382"/>
      <c r="J22" s="37">
        <f t="shared" si="5"/>
        <v>0</v>
      </c>
      <c r="K22" s="37">
        <f t="shared" si="3"/>
        <v>0</v>
      </c>
      <c r="L22" s="209"/>
      <c r="M22" s="37">
        <f t="shared" si="6"/>
        <v>-4.4004742987482359E-3</v>
      </c>
      <c r="N22" s="210"/>
    </row>
    <row r="23" spans="1:14">
      <c r="A23" s="26">
        <v>20</v>
      </c>
      <c r="B23" s="27">
        <v>46011</v>
      </c>
      <c r="C23" s="114"/>
      <c r="D23" s="35"/>
      <c r="E23" s="37"/>
      <c r="F23" s="37"/>
      <c r="G23" s="37">
        <f t="shared" si="1"/>
        <v>0</v>
      </c>
      <c r="H23" s="382"/>
      <c r="I23" s="382"/>
      <c r="J23" s="37">
        <f t="shared" si="5"/>
        <v>0</v>
      </c>
      <c r="K23" s="37">
        <f t="shared" si="3"/>
        <v>0</v>
      </c>
      <c r="L23" s="209"/>
      <c r="M23" s="37">
        <f t="shared" si="6"/>
        <v>-4.4004742987482359E-3</v>
      </c>
      <c r="N23" s="210"/>
    </row>
    <row r="24" spans="1:14">
      <c r="A24" s="26">
        <v>21</v>
      </c>
      <c r="B24" s="27">
        <v>46012</v>
      </c>
      <c r="C24" s="114"/>
      <c r="D24" s="35"/>
      <c r="E24" s="37"/>
      <c r="F24" s="37"/>
      <c r="G24" s="37">
        <f t="shared" si="1"/>
        <v>0</v>
      </c>
      <c r="H24" s="382"/>
      <c r="I24" s="382"/>
      <c r="J24" s="37">
        <f t="shared" si="5"/>
        <v>0</v>
      </c>
      <c r="K24" s="37">
        <f t="shared" si="3"/>
        <v>0</v>
      </c>
      <c r="L24" s="209"/>
      <c r="M24" s="37">
        <f t="shared" si="6"/>
        <v>-4.4004742987482359E-3</v>
      </c>
      <c r="N24" s="210"/>
    </row>
    <row r="25" spans="1:14">
      <c r="A25" s="26">
        <v>22</v>
      </c>
      <c r="B25" s="27">
        <v>46013</v>
      </c>
      <c r="C25" s="114"/>
      <c r="D25" s="35"/>
      <c r="E25" s="37"/>
      <c r="F25" s="37"/>
      <c r="G25" s="37">
        <f t="shared" si="1"/>
        <v>0</v>
      </c>
      <c r="H25" s="382"/>
      <c r="I25" s="382"/>
      <c r="J25" s="37">
        <f t="shared" si="5"/>
        <v>0</v>
      </c>
      <c r="K25" s="37">
        <f t="shared" si="3"/>
        <v>0</v>
      </c>
      <c r="L25" s="209"/>
      <c r="M25" s="37">
        <f t="shared" si="6"/>
        <v>-4.4004742987482359E-3</v>
      </c>
      <c r="N25" s="210"/>
    </row>
    <row r="26" spans="1:14">
      <c r="A26" s="26">
        <v>23</v>
      </c>
      <c r="B26" s="27">
        <v>46014</v>
      </c>
      <c r="C26" s="114"/>
      <c r="D26" s="35"/>
      <c r="E26" s="37"/>
      <c r="F26" s="37"/>
      <c r="G26" s="37">
        <f t="shared" si="1"/>
        <v>0</v>
      </c>
      <c r="H26" s="382"/>
      <c r="I26" s="382"/>
      <c r="J26" s="37">
        <f t="shared" si="5"/>
        <v>0</v>
      </c>
      <c r="K26" s="37">
        <f t="shared" si="3"/>
        <v>0</v>
      </c>
      <c r="L26" s="209"/>
      <c r="M26" s="37">
        <f t="shared" si="6"/>
        <v>-4.4004742987482359E-3</v>
      </c>
      <c r="N26" s="210"/>
    </row>
    <row r="27" spans="1:14">
      <c r="A27" s="26">
        <v>24</v>
      </c>
      <c r="B27" s="27">
        <v>46015</v>
      </c>
      <c r="C27" s="114"/>
      <c r="D27" s="35"/>
      <c r="E27" s="37"/>
      <c r="F27" s="37"/>
      <c r="G27" s="37">
        <f t="shared" si="1"/>
        <v>0</v>
      </c>
      <c r="H27" s="382"/>
      <c r="I27" s="382"/>
      <c r="J27" s="37">
        <f t="shared" si="5"/>
        <v>0</v>
      </c>
      <c r="K27" s="37">
        <f t="shared" si="3"/>
        <v>0</v>
      </c>
      <c r="L27" s="209"/>
      <c r="M27" s="37">
        <f t="shared" si="6"/>
        <v>-4.4004742987482359E-3</v>
      </c>
      <c r="N27" s="210"/>
    </row>
    <row r="28" spans="1:14">
      <c r="A28" s="26">
        <v>25</v>
      </c>
      <c r="B28" s="27">
        <v>46016</v>
      </c>
      <c r="C28" s="114"/>
      <c r="D28" s="35"/>
      <c r="E28" s="37"/>
      <c r="F28" s="37"/>
      <c r="G28" s="37">
        <f t="shared" si="1"/>
        <v>0</v>
      </c>
      <c r="H28" s="382"/>
      <c r="I28" s="382"/>
      <c r="J28" s="37">
        <f t="shared" si="5"/>
        <v>0</v>
      </c>
      <c r="K28" s="37">
        <f t="shared" si="3"/>
        <v>0</v>
      </c>
      <c r="L28" s="209"/>
      <c r="M28" s="37">
        <f t="shared" si="6"/>
        <v>-4.4004742987482359E-3</v>
      </c>
      <c r="N28" s="210"/>
    </row>
    <row r="29" spans="1:14">
      <c r="A29" s="26">
        <v>26</v>
      </c>
      <c r="B29" s="27">
        <v>46017</v>
      </c>
      <c r="C29" s="114"/>
      <c r="D29" s="35"/>
      <c r="E29" s="37"/>
      <c r="F29" s="37"/>
      <c r="G29" s="37">
        <f t="shared" si="1"/>
        <v>0</v>
      </c>
      <c r="H29" s="382"/>
      <c r="I29" s="382"/>
      <c r="J29" s="37">
        <f t="shared" si="5"/>
        <v>0</v>
      </c>
      <c r="K29" s="37">
        <f t="shared" si="3"/>
        <v>0</v>
      </c>
      <c r="L29" s="209"/>
      <c r="M29" s="37">
        <f t="shared" si="6"/>
        <v>-4.4004742987482359E-3</v>
      </c>
      <c r="N29" s="210"/>
    </row>
    <row r="30" spans="1:14">
      <c r="A30" s="26">
        <v>27</v>
      </c>
      <c r="B30" s="27">
        <v>46018</v>
      </c>
      <c r="C30" s="114"/>
      <c r="D30" s="35"/>
      <c r="E30" s="37"/>
      <c r="F30" s="37"/>
      <c r="G30" s="37">
        <f t="shared" si="1"/>
        <v>0</v>
      </c>
      <c r="H30" s="382"/>
      <c r="I30" s="382"/>
      <c r="J30" s="37">
        <f t="shared" si="5"/>
        <v>0</v>
      </c>
      <c r="K30" s="37">
        <f t="shared" si="3"/>
        <v>0</v>
      </c>
      <c r="L30" s="209"/>
      <c r="M30" s="37">
        <f>M29+K30-L30</f>
        <v>-4.4004742987482359E-3</v>
      </c>
      <c r="N30" s="210"/>
    </row>
    <row r="31" spans="1:14">
      <c r="A31" s="26">
        <v>28</v>
      </c>
      <c r="B31" s="27">
        <v>46019</v>
      </c>
      <c r="C31" s="114"/>
      <c r="D31" s="35"/>
      <c r="E31" s="37"/>
      <c r="F31" s="37"/>
      <c r="G31" s="37">
        <f t="shared" si="1"/>
        <v>0</v>
      </c>
      <c r="H31" s="382"/>
      <c r="I31" s="382"/>
      <c r="J31" s="37">
        <f t="shared" si="5"/>
        <v>0</v>
      </c>
      <c r="K31" s="37">
        <f t="shared" si="3"/>
        <v>0</v>
      </c>
      <c r="L31" s="209"/>
      <c r="M31" s="37">
        <f t="shared" si="6"/>
        <v>-4.4004742987482359E-3</v>
      </c>
      <c r="N31" s="210"/>
    </row>
    <row r="32" spans="1:14">
      <c r="A32" s="26">
        <v>29</v>
      </c>
      <c r="B32" s="27">
        <v>46020</v>
      </c>
      <c r="C32" s="114"/>
      <c r="D32" s="35"/>
      <c r="E32" s="37"/>
      <c r="F32" s="37"/>
      <c r="G32" s="37">
        <f t="shared" si="1"/>
        <v>0</v>
      </c>
      <c r="H32" s="382"/>
      <c r="I32" s="382"/>
      <c r="J32" s="37">
        <f t="shared" si="5"/>
        <v>0</v>
      </c>
      <c r="K32" s="37">
        <f t="shared" si="3"/>
        <v>0</v>
      </c>
      <c r="L32" s="209"/>
      <c r="M32" s="37">
        <f t="shared" si="6"/>
        <v>-4.4004742987482359E-3</v>
      </c>
      <c r="N32" s="210"/>
    </row>
    <row r="33" spans="1:16">
      <c r="A33" s="26">
        <v>30</v>
      </c>
      <c r="B33" s="27">
        <v>46021</v>
      </c>
      <c r="C33" s="114"/>
      <c r="D33" s="35"/>
      <c r="E33" s="37"/>
      <c r="F33" s="37"/>
      <c r="G33" s="37">
        <f t="shared" si="1"/>
        <v>0</v>
      </c>
      <c r="H33" s="382"/>
      <c r="I33" s="382"/>
      <c r="J33" s="37">
        <f t="shared" si="5"/>
        <v>0</v>
      </c>
      <c r="K33" s="37">
        <f t="shared" si="3"/>
        <v>0</v>
      </c>
      <c r="L33" s="209"/>
      <c r="M33" s="37">
        <f t="shared" si="6"/>
        <v>-4.4004742987482359E-3</v>
      </c>
      <c r="N33" s="210"/>
    </row>
    <row r="34" spans="1:16">
      <c r="A34" s="26">
        <v>31</v>
      </c>
      <c r="B34" s="27">
        <v>46022</v>
      </c>
      <c r="C34" s="114"/>
      <c r="D34" s="35"/>
      <c r="E34" s="37"/>
      <c r="F34" s="37"/>
      <c r="G34" s="37">
        <f t="shared" si="1"/>
        <v>0</v>
      </c>
      <c r="H34" s="382"/>
      <c r="I34" s="382"/>
      <c r="J34" s="37">
        <f t="shared" si="5"/>
        <v>0</v>
      </c>
      <c r="K34" s="37">
        <f t="shared" si="3"/>
        <v>0</v>
      </c>
      <c r="L34" s="209">
        <v>0</v>
      </c>
      <c r="M34" s="37">
        <f t="shared" si="6"/>
        <v>-4.4004742987482359E-3</v>
      </c>
      <c r="N34" s="252"/>
      <c r="O34">
        <v>2669494</v>
      </c>
      <c r="P34" s="183">
        <f>O34-M34</f>
        <v>2669494.0044004745</v>
      </c>
    </row>
    <row r="35" spans="1:16">
      <c r="A35" s="274"/>
      <c r="B35" s="27"/>
      <c r="C35" s="33"/>
      <c r="D35" s="275"/>
      <c r="E35" s="37">
        <v>0</v>
      </c>
      <c r="F35" s="37">
        <v>0</v>
      </c>
      <c r="G35" s="37">
        <f>E35*F35</f>
        <v>0</v>
      </c>
      <c r="H35" s="37"/>
      <c r="I35" s="37"/>
      <c r="J35" s="37">
        <f t="shared" ref="J35" si="7">H35*I35</f>
        <v>0</v>
      </c>
      <c r="K35" s="37">
        <f t="shared" ref="K35" si="8">G35+J35</f>
        <v>0</v>
      </c>
      <c r="L35" s="39"/>
      <c r="M35" s="209">
        <f t="shared" si="6"/>
        <v>-4.4004742987482359E-3</v>
      </c>
      <c r="N35" s="37"/>
    </row>
    <row r="36" spans="1:16">
      <c r="A36" s="191"/>
      <c r="B36" s="188"/>
      <c r="C36" s="188"/>
      <c r="D36" s="188"/>
      <c r="E36" s="44">
        <f>SUM(E4:E34)</f>
        <v>0</v>
      </c>
      <c r="F36" s="44"/>
      <c r="G36" s="44">
        <f>SUM(G4:G34)</f>
        <v>0</v>
      </c>
      <c r="H36" s="44">
        <f>SUM(H4:H34)</f>
        <v>142.19791185</v>
      </c>
      <c r="I36" s="44"/>
      <c r="J36" s="44">
        <f>SUM(J4:J34)</f>
        <v>15390.0799995255</v>
      </c>
      <c r="K36" s="44">
        <f>SUM(K4:K34)</f>
        <v>15390.0799995255</v>
      </c>
      <c r="L36" s="44">
        <f>SUM(L4:L34)</f>
        <v>817280.28</v>
      </c>
      <c r="M36" s="111"/>
      <c r="N36" s="45"/>
    </row>
    <row r="37" spans="1:16">
      <c r="A37" s="38"/>
      <c r="B37" s="38"/>
      <c r="C37" s="38"/>
      <c r="D37" s="38"/>
      <c r="E37" s="41"/>
      <c r="F37" s="41"/>
      <c r="G37" s="41"/>
      <c r="H37" s="41"/>
      <c r="I37" s="41"/>
      <c r="J37" s="41"/>
      <c r="K37" s="41"/>
      <c r="L37" s="41"/>
      <c r="M37" s="41"/>
      <c r="N37" s="41"/>
    </row>
    <row r="38" spans="1:16">
      <c r="A38" s="33"/>
      <c r="B38" s="33"/>
      <c r="C38" s="33"/>
      <c r="D38" s="33"/>
      <c r="E38" s="33"/>
      <c r="F38" s="33"/>
      <c r="G38" s="40"/>
      <c r="H38" s="33"/>
      <c r="I38" s="33"/>
      <c r="J38" s="33"/>
      <c r="K38" s="33"/>
      <c r="L38" s="33"/>
      <c r="M38" s="33"/>
      <c r="N38" s="33"/>
    </row>
    <row r="39" spans="1:16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  <row r="43" spans="1:16">
      <c r="E43" s="183"/>
    </row>
    <row r="45" spans="1:16">
      <c r="M45">
        <v>2408309</v>
      </c>
    </row>
    <row r="46" spans="1:16">
      <c r="M46">
        <v>5327.86</v>
      </c>
    </row>
    <row r="47" spans="1:16">
      <c r="M47" s="381">
        <f>M45-M46</f>
        <v>2402981.14</v>
      </c>
    </row>
  </sheetData>
  <mergeCells count="2">
    <mergeCell ref="A1:N1"/>
    <mergeCell ref="A3:J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C841-9E0F-4432-87D3-E0CE7CD55810}">
  <dimension ref="A1:R35"/>
  <sheetViews>
    <sheetView topLeftCell="A23" workbookViewId="0">
      <selection activeCell="L16" sqref="L16"/>
    </sheetView>
  </sheetViews>
  <sheetFormatPr defaultRowHeight="15"/>
  <cols>
    <col min="2" max="2" width="10.5703125" bestFit="1" customWidth="1"/>
    <col min="5" max="5" width="10.5703125" customWidth="1"/>
    <col min="7" max="7" width="14.85546875" customWidth="1"/>
    <col min="8" max="8" width="9.7109375" customWidth="1"/>
    <col min="11" max="11" width="13.5703125" bestFit="1" customWidth="1"/>
    <col min="12" max="12" width="11.85546875" bestFit="1" customWidth="1"/>
    <col min="13" max="13" width="13.5703125" bestFit="1" customWidth="1"/>
    <col min="15" max="15" width="15.5703125" customWidth="1"/>
  </cols>
  <sheetData>
    <row r="1" spans="1:18" ht="15.75">
      <c r="A1" s="470" t="s">
        <v>137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spans="1:18" ht="25.5">
      <c r="A2" s="109" t="s">
        <v>122</v>
      </c>
      <c r="B2" s="113" t="s">
        <v>123</v>
      </c>
      <c r="C2" s="113" t="s">
        <v>124</v>
      </c>
      <c r="D2" s="113" t="s">
        <v>125</v>
      </c>
      <c r="E2" s="205" t="s">
        <v>126</v>
      </c>
      <c r="F2" s="113" t="s">
        <v>127</v>
      </c>
      <c r="G2" s="113" t="s">
        <v>128</v>
      </c>
      <c r="H2" s="113" t="s">
        <v>129</v>
      </c>
      <c r="I2" s="113" t="s">
        <v>127</v>
      </c>
      <c r="J2" s="113" t="s">
        <v>128</v>
      </c>
      <c r="K2" s="113" t="s">
        <v>130</v>
      </c>
      <c r="L2" s="113" t="s">
        <v>131</v>
      </c>
      <c r="M2" s="113" t="s">
        <v>138</v>
      </c>
      <c r="N2" s="113" t="s">
        <v>133</v>
      </c>
    </row>
    <row r="3" spans="1:18">
      <c r="A3" s="471" t="s">
        <v>134</v>
      </c>
      <c r="B3" s="471"/>
      <c r="C3" s="471"/>
      <c r="D3" s="471"/>
      <c r="E3" s="471"/>
      <c r="F3" s="471"/>
      <c r="G3" s="471"/>
      <c r="H3" s="471"/>
      <c r="I3" s="471"/>
      <c r="J3" s="471"/>
      <c r="K3" s="143">
        <v>1123622.9000000004</v>
      </c>
      <c r="L3" s="228"/>
      <c r="M3" s="229">
        <f>+K3</f>
        <v>1123622.9000000004</v>
      </c>
      <c r="N3" s="100"/>
      <c r="O3" s="143"/>
    </row>
    <row r="4" spans="1:18">
      <c r="A4" s="26">
        <v>1</v>
      </c>
      <c r="B4" s="403">
        <v>45992</v>
      </c>
      <c r="C4" s="17"/>
      <c r="D4" s="17"/>
      <c r="E4" s="248"/>
      <c r="F4" s="17"/>
      <c r="G4" s="17">
        <f>E4*F4</f>
        <v>0</v>
      </c>
      <c r="H4" s="17"/>
      <c r="I4" s="17"/>
      <c r="J4" s="17">
        <f>H4*I4</f>
        <v>0</v>
      </c>
      <c r="K4" s="17">
        <f>G4+J4</f>
        <v>0</v>
      </c>
      <c r="L4" s="17"/>
      <c r="M4" s="143">
        <f>M3+K4-L4</f>
        <v>1123622.9000000004</v>
      </c>
      <c r="N4" s="17"/>
      <c r="O4" s="22"/>
    </row>
    <row r="5" spans="1:18">
      <c r="A5" s="26">
        <v>2</v>
      </c>
      <c r="B5" s="403">
        <v>45993</v>
      </c>
      <c r="C5" s="17"/>
      <c r="D5" s="17"/>
      <c r="E5" s="248"/>
      <c r="F5" s="17"/>
      <c r="G5" s="17">
        <f>E5*F5</f>
        <v>0</v>
      </c>
      <c r="H5" s="17"/>
      <c r="I5" s="17"/>
      <c r="J5" s="17">
        <f t="shared" ref="J5:J34" si="0">H5*I5</f>
        <v>0</v>
      </c>
      <c r="K5" s="17">
        <f t="shared" ref="K5:K34" si="1">G5+J5</f>
        <v>0</v>
      </c>
      <c r="L5" s="17"/>
      <c r="M5" s="143">
        <f t="shared" ref="M5:M34" si="2">M4+K5-L5</f>
        <v>1123622.9000000004</v>
      </c>
      <c r="N5" s="17"/>
    </row>
    <row r="6" spans="1:18">
      <c r="A6" s="26">
        <v>3</v>
      </c>
      <c r="B6" s="403">
        <v>45994</v>
      </c>
      <c r="C6" s="17"/>
      <c r="D6" s="17"/>
      <c r="E6" s="248"/>
      <c r="F6" s="17"/>
      <c r="G6" s="17">
        <f t="shared" ref="G6:G34" si="3">E6*F6</f>
        <v>0</v>
      </c>
      <c r="H6" s="17"/>
      <c r="I6" s="17"/>
      <c r="J6" s="17">
        <f t="shared" si="0"/>
        <v>0</v>
      </c>
      <c r="K6" s="17">
        <f t="shared" si="1"/>
        <v>0</v>
      </c>
      <c r="L6" s="17"/>
      <c r="M6" s="143">
        <f t="shared" si="2"/>
        <v>1123622.9000000004</v>
      </c>
      <c r="N6" s="17"/>
      <c r="R6">
        <v>541.08000000000004</v>
      </c>
    </row>
    <row r="7" spans="1:18">
      <c r="A7" s="26">
        <v>4</v>
      </c>
      <c r="B7" s="403">
        <v>45995</v>
      </c>
      <c r="C7" s="17"/>
      <c r="D7" s="17"/>
      <c r="E7" s="248"/>
      <c r="F7" s="17"/>
      <c r="G7" s="17">
        <f t="shared" si="3"/>
        <v>0</v>
      </c>
      <c r="H7" s="17"/>
      <c r="I7" s="17"/>
      <c r="J7" s="17">
        <f t="shared" si="0"/>
        <v>0</v>
      </c>
      <c r="K7" s="17">
        <f t="shared" si="1"/>
        <v>0</v>
      </c>
      <c r="L7" s="17"/>
      <c r="M7" s="143">
        <f t="shared" si="2"/>
        <v>1123622.9000000004</v>
      </c>
      <c r="N7" s="17"/>
    </row>
    <row r="8" spans="1:18">
      <c r="A8" s="26">
        <v>5</v>
      </c>
      <c r="B8" s="27">
        <v>45996</v>
      </c>
      <c r="C8" s="144"/>
      <c r="D8" s="144"/>
      <c r="E8" s="17"/>
      <c r="F8" s="17"/>
      <c r="G8" s="17">
        <f t="shared" si="3"/>
        <v>0</v>
      </c>
      <c r="H8" s="17"/>
      <c r="I8" s="17"/>
      <c r="J8" s="17">
        <f t="shared" si="0"/>
        <v>0</v>
      </c>
      <c r="K8" s="17">
        <f t="shared" si="1"/>
        <v>0</v>
      </c>
      <c r="L8" s="17"/>
      <c r="M8" s="143">
        <f>M7+K8-L8</f>
        <v>1123622.9000000004</v>
      </c>
      <c r="N8" s="17"/>
    </row>
    <row r="9" spans="1:18">
      <c r="A9" s="26">
        <v>6</v>
      </c>
      <c r="B9" s="27">
        <v>45997</v>
      </c>
      <c r="C9" s="17"/>
      <c r="D9" s="17"/>
      <c r="E9" s="17"/>
      <c r="F9" s="17"/>
      <c r="G9" s="17">
        <f t="shared" si="3"/>
        <v>0</v>
      </c>
      <c r="H9" s="17"/>
      <c r="I9" s="17"/>
      <c r="J9" s="17">
        <f t="shared" si="0"/>
        <v>0</v>
      </c>
      <c r="K9" s="17">
        <f t="shared" si="1"/>
        <v>0</v>
      </c>
      <c r="L9" s="17"/>
      <c r="M9" s="143">
        <f t="shared" si="2"/>
        <v>1123622.9000000004</v>
      </c>
      <c r="N9" s="17"/>
    </row>
    <row r="10" spans="1:18">
      <c r="A10" s="26">
        <v>7</v>
      </c>
      <c r="B10" s="27">
        <v>45998</v>
      </c>
      <c r="C10" s="17"/>
      <c r="D10" s="17"/>
      <c r="E10" s="17"/>
      <c r="F10" s="17"/>
      <c r="G10" s="17">
        <f t="shared" si="3"/>
        <v>0</v>
      </c>
      <c r="H10" s="17"/>
      <c r="I10" s="17"/>
      <c r="J10" s="17">
        <f t="shared" si="0"/>
        <v>0</v>
      </c>
      <c r="K10" s="17">
        <f t="shared" si="1"/>
        <v>0</v>
      </c>
      <c r="L10" s="17"/>
      <c r="M10" s="143">
        <f t="shared" si="2"/>
        <v>1123622.9000000004</v>
      </c>
      <c r="N10" s="17"/>
    </row>
    <row r="11" spans="1:18">
      <c r="A11" s="26">
        <v>8</v>
      </c>
      <c r="B11" s="27">
        <v>45999</v>
      </c>
      <c r="C11" s="17"/>
      <c r="D11" s="17"/>
      <c r="E11" s="17"/>
      <c r="F11" s="17"/>
      <c r="G11" s="17">
        <f t="shared" si="3"/>
        <v>0</v>
      </c>
      <c r="H11" s="17"/>
      <c r="I11" s="17"/>
      <c r="J11" s="17">
        <f t="shared" si="0"/>
        <v>0</v>
      </c>
      <c r="K11" s="17">
        <f t="shared" si="1"/>
        <v>0</v>
      </c>
      <c r="L11" s="17"/>
      <c r="M11" s="143">
        <f t="shared" si="2"/>
        <v>1123622.9000000004</v>
      </c>
      <c r="N11" s="17"/>
    </row>
    <row r="12" spans="1:18">
      <c r="A12" s="26">
        <v>9</v>
      </c>
      <c r="B12" s="27">
        <v>46000</v>
      </c>
      <c r="C12" s="17"/>
      <c r="D12" s="17"/>
      <c r="E12" s="17"/>
      <c r="F12" s="17"/>
      <c r="G12" s="17">
        <f t="shared" si="3"/>
        <v>0</v>
      </c>
      <c r="H12" s="17"/>
      <c r="I12" s="17"/>
      <c r="J12" s="17">
        <f t="shared" si="0"/>
        <v>0</v>
      </c>
      <c r="K12" s="17">
        <f t="shared" si="1"/>
        <v>0</v>
      </c>
      <c r="L12" s="17"/>
      <c r="M12" s="143">
        <f t="shared" si="2"/>
        <v>1123622.9000000004</v>
      </c>
      <c r="N12" s="17"/>
    </row>
    <row r="13" spans="1:18">
      <c r="A13" s="26">
        <v>10</v>
      </c>
      <c r="B13" s="27">
        <v>46001</v>
      </c>
      <c r="C13" s="17"/>
      <c r="D13" s="17"/>
      <c r="E13" s="17"/>
      <c r="F13" s="17"/>
      <c r="G13" s="17">
        <f t="shared" si="3"/>
        <v>0</v>
      </c>
      <c r="H13" s="17"/>
      <c r="I13" s="17"/>
      <c r="J13" s="17">
        <f t="shared" si="0"/>
        <v>0</v>
      </c>
      <c r="K13" s="17">
        <f t="shared" si="1"/>
        <v>0</v>
      </c>
      <c r="L13" s="17"/>
      <c r="M13" s="143">
        <f t="shared" si="2"/>
        <v>1123622.9000000004</v>
      </c>
      <c r="N13" s="17"/>
    </row>
    <row r="14" spans="1:18">
      <c r="A14" s="26">
        <v>11</v>
      </c>
      <c r="B14" s="27">
        <v>46002</v>
      </c>
      <c r="C14" s="17"/>
      <c r="D14" s="17"/>
      <c r="E14" s="17"/>
      <c r="F14" s="17"/>
      <c r="G14" s="17">
        <f t="shared" si="3"/>
        <v>0</v>
      </c>
      <c r="H14" s="17"/>
      <c r="I14" s="17"/>
      <c r="J14" s="17">
        <f t="shared" si="0"/>
        <v>0</v>
      </c>
      <c r="K14" s="17">
        <f t="shared" si="1"/>
        <v>0</v>
      </c>
      <c r="L14" s="17"/>
      <c r="M14" s="143">
        <f t="shared" si="2"/>
        <v>1123622.9000000004</v>
      </c>
      <c r="N14" s="17"/>
    </row>
    <row r="15" spans="1:18">
      <c r="A15" s="26">
        <v>12</v>
      </c>
      <c r="B15" s="27">
        <v>46003</v>
      </c>
      <c r="C15" s="17"/>
      <c r="D15" s="17"/>
      <c r="E15" s="17"/>
      <c r="F15" s="17"/>
      <c r="G15" s="37">
        <f>E15*F15</f>
        <v>0</v>
      </c>
      <c r="H15" s="37"/>
      <c r="I15" s="37"/>
      <c r="J15" s="37">
        <f>H15*I15</f>
        <v>0</v>
      </c>
      <c r="K15" s="37">
        <f>G15+J15</f>
        <v>0</v>
      </c>
      <c r="L15" s="17"/>
      <c r="M15" s="143">
        <f t="shared" si="2"/>
        <v>1123622.9000000004</v>
      </c>
      <c r="N15" s="17"/>
    </row>
    <row r="16" spans="1:18">
      <c r="A16" s="26">
        <v>13</v>
      </c>
      <c r="B16" s="27">
        <v>46004</v>
      </c>
      <c r="C16" s="17"/>
      <c r="D16" s="17"/>
      <c r="E16" s="17"/>
      <c r="F16" s="17"/>
      <c r="G16" s="17">
        <f t="shared" si="3"/>
        <v>0</v>
      </c>
      <c r="H16" s="17"/>
      <c r="I16" s="17"/>
      <c r="J16" s="17">
        <f t="shared" si="0"/>
        <v>0</v>
      </c>
      <c r="K16" s="37">
        <f>G16+J16</f>
        <v>0</v>
      </c>
      <c r="L16" s="17">
        <v>1123622.8999999999</v>
      </c>
      <c r="M16" s="143">
        <f t="shared" si="2"/>
        <v>0</v>
      </c>
      <c r="N16" s="17"/>
    </row>
    <row r="17" spans="1:14">
      <c r="A17" s="26">
        <v>14</v>
      </c>
      <c r="B17" s="27">
        <v>46005</v>
      </c>
      <c r="C17" s="17"/>
      <c r="D17" s="17"/>
      <c r="E17" s="17"/>
      <c r="F17" s="17"/>
      <c r="G17" s="17">
        <f t="shared" si="3"/>
        <v>0</v>
      </c>
      <c r="H17" s="17"/>
      <c r="I17" s="17"/>
      <c r="J17" s="17">
        <f t="shared" si="0"/>
        <v>0</v>
      </c>
      <c r="K17" s="17">
        <f t="shared" si="1"/>
        <v>0</v>
      </c>
      <c r="L17" s="17"/>
      <c r="M17" s="143">
        <f t="shared" si="2"/>
        <v>0</v>
      </c>
      <c r="N17" s="17"/>
    </row>
    <row r="18" spans="1:14">
      <c r="A18" s="26">
        <v>15</v>
      </c>
      <c r="B18" s="27">
        <v>46006</v>
      </c>
      <c r="C18" s="17"/>
      <c r="D18" s="17"/>
      <c r="E18" s="17"/>
      <c r="F18" s="17"/>
      <c r="G18" s="17">
        <f t="shared" si="3"/>
        <v>0</v>
      </c>
      <c r="H18" s="17"/>
      <c r="I18" s="17"/>
      <c r="J18" s="17">
        <f t="shared" si="0"/>
        <v>0</v>
      </c>
      <c r="K18" s="17">
        <f t="shared" si="1"/>
        <v>0</v>
      </c>
      <c r="L18" s="17"/>
      <c r="M18" s="143">
        <f t="shared" si="2"/>
        <v>0</v>
      </c>
      <c r="N18" s="17"/>
    </row>
    <row r="19" spans="1:14">
      <c r="A19" s="26">
        <v>16</v>
      </c>
      <c r="B19" s="27">
        <v>46007</v>
      </c>
      <c r="C19" s="17"/>
      <c r="D19" s="17"/>
      <c r="E19" s="17"/>
      <c r="F19" s="17"/>
      <c r="G19" s="17">
        <f t="shared" si="3"/>
        <v>0</v>
      </c>
      <c r="H19" s="17"/>
      <c r="I19" s="17"/>
      <c r="J19" s="17">
        <f t="shared" si="0"/>
        <v>0</v>
      </c>
      <c r="K19" s="17">
        <f t="shared" si="1"/>
        <v>0</v>
      </c>
      <c r="L19" s="17"/>
      <c r="M19" s="143">
        <f t="shared" si="2"/>
        <v>0</v>
      </c>
      <c r="N19" s="17"/>
    </row>
    <row r="20" spans="1:14">
      <c r="A20" s="26">
        <v>17</v>
      </c>
      <c r="B20" s="27">
        <v>46008</v>
      </c>
      <c r="C20" s="17"/>
      <c r="D20" s="17"/>
      <c r="E20" s="17"/>
      <c r="F20" s="17"/>
      <c r="G20" s="17">
        <f t="shared" si="3"/>
        <v>0</v>
      </c>
      <c r="H20" s="17"/>
      <c r="I20" s="17"/>
      <c r="J20" s="17">
        <f t="shared" si="0"/>
        <v>0</v>
      </c>
      <c r="K20" s="17">
        <f t="shared" si="1"/>
        <v>0</v>
      </c>
      <c r="L20" s="17"/>
      <c r="M20" s="143">
        <f t="shared" si="2"/>
        <v>0</v>
      </c>
      <c r="N20" s="17"/>
    </row>
    <row r="21" spans="1:14">
      <c r="A21" s="26">
        <v>18</v>
      </c>
      <c r="B21" s="27">
        <v>46009</v>
      </c>
      <c r="C21" s="17"/>
      <c r="D21" s="17"/>
      <c r="E21" s="110"/>
      <c r="F21" s="340"/>
      <c r="G21" s="17">
        <f t="shared" si="3"/>
        <v>0</v>
      </c>
      <c r="H21" s="17"/>
      <c r="I21" s="17"/>
      <c r="J21" s="17">
        <f t="shared" si="0"/>
        <v>0</v>
      </c>
      <c r="K21" s="17">
        <f t="shared" si="1"/>
        <v>0</v>
      </c>
      <c r="L21" s="17"/>
      <c r="M21" s="143">
        <f t="shared" si="2"/>
        <v>0</v>
      </c>
      <c r="N21" s="17"/>
    </row>
    <row r="22" spans="1:14">
      <c r="A22" s="26">
        <v>19</v>
      </c>
      <c r="B22" s="27">
        <v>46010</v>
      </c>
      <c r="C22" s="17"/>
      <c r="D22" s="17"/>
      <c r="E22" s="330"/>
      <c r="F22" s="366"/>
      <c r="G22" s="17">
        <f t="shared" si="3"/>
        <v>0</v>
      </c>
      <c r="H22" s="17"/>
      <c r="I22" s="17"/>
      <c r="J22" s="17">
        <f t="shared" si="0"/>
        <v>0</v>
      </c>
      <c r="K22" s="17">
        <f>G22+J22</f>
        <v>0</v>
      </c>
      <c r="L22" s="17"/>
      <c r="M22" s="143">
        <f t="shared" si="2"/>
        <v>0</v>
      </c>
      <c r="N22" s="17"/>
    </row>
    <row r="23" spans="1:14">
      <c r="A23" s="26">
        <v>20</v>
      </c>
      <c r="B23" s="27">
        <v>46011</v>
      </c>
      <c r="C23" s="17"/>
      <c r="D23" s="17"/>
      <c r="E23" s="17"/>
      <c r="F23" s="17"/>
      <c r="G23" s="17">
        <f t="shared" si="3"/>
        <v>0</v>
      </c>
      <c r="H23" s="17"/>
      <c r="I23" s="17"/>
      <c r="J23" s="17">
        <f t="shared" si="0"/>
        <v>0</v>
      </c>
      <c r="K23" s="17">
        <f t="shared" si="1"/>
        <v>0</v>
      </c>
      <c r="L23" s="17"/>
      <c r="M23" s="143">
        <f t="shared" si="2"/>
        <v>0</v>
      </c>
      <c r="N23" s="17"/>
    </row>
    <row r="24" spans="1:14">
      <c r="A24" s="26">
        <v>21</v>
      </c>
      <c r="B24" s="27">
        <v>46012</v>
      </c>
      <c r="C24" s="17"/>
      <c r="D24" s="17"/>
      <c r="E24" s="17"/>
      <c r="F24" s="17"/>
      <c r="G24" s="17">
        <f t="shared" si="3"/>
        <v>0</v>
      </c>
      <c r="H24" s="17"/>
      <c r="I24" s="17"/>
      <c r="J24" s="17">
        <f t="shared" si="0"/>
        <v>0</v>
      </c>
      <c r="K24" s="17">
        <f t="shared" si="1"/>
        <v>0</v>
      </c>
      <c r="L24" s="17"/>
      <c r="M24" s="143">
        <f t="shared" si="2"/>
        <v>0</v>
      </c>
      <c r="N24" s="17"/>
    </row>
    <row r="25" spans="1:14">
      <c r="A25" s="26">
        <v>22</v>
      </c>
      <c r="B25" s="27">
        <v>46013</v>
      </c>
      <c r="C25" s="17"/>
      <c r="D25" s="17"/>
      <c r="E25" s="17"/>
      <c r="F25" s="17"/>
      <c r="G25" s="17">
        <f t="shared" si="3"/>
        <v>0</v>
      </c>
      <c r="H25" s="17"/>
      <c r="I25" s="17"/>
      <c r="J25" s="17">
        <f t="shared" si="0"/>
        <v>0</v>
      </c>
      <c r="K25" s="17">
        <f t="shared" si="1"/>
        <v>0</v>
      </c>
      <c r="L25" s="17"/>
      <c r="M25" s="143">
        <f t="shared" si="2"/>
        <v>0</v>
      </c>
      <c r="N25" s="17"/>
    </row>
    <row r="26" spans="1:14">
      <c r="A26" s="26">
        <v>23</v>
      </c>
      <c r="B26" s="27">
        <v>46014</v>
      </c>
      <c r="C26" s="17"/>
      <c r="D26" s="17"/>
      <c r="E26" s="17"/>
      <c r="F26" s="17"/>
      <c r="G26" s="17">
        <f t="shared" si="3"/>
        <v>0</v>
      </c>
      <c r="H26" s="17"/>
      <c r="I26" s="17"/>
      <c r="J26" s="17">
        <f t="shared" si="0"/>
        <v>0</v>
      </c>
      <c r="K26" s="17">
        <f t="shared" si="1"/>
        <v>0</v>
      </c>
      <c r="L26" s="17"/>
      <c r="M26" s="143">
        <f t="shared" si="2"/>
        <v>0</v>
      </c>
      <c r="N26" s="17"/>
    </row>
    <row r="27" spans="1:14">
      <c r="A27" s="26">
        <v>24</v>
      </c>
      <c r="B27" s="27">
        <v>46015</v>
      </c>
      <c r="C27" s="17"/>
      <c r="D27" s="17"/>
      <c r="E27" s="17"/>
      <c r="F27" s="17"/>
      <c r="G27" s="17">
        <f t="shared" si="3"/>
        <v>0</v>
      </c>
      <c r="H27" s="17"/>
      <c r="I27" s="17"/>
      <c r="J27" s="17">
        <f t="shared" si="0"/>
        <v>0</v>
      </c>
      <c r="K27" s="17">
        <f t="shared" si="1"/>
        <v>0</v>
      </c>
      <c r="L27" s="17"/>
      <c r="M27" s="143">
        <f t="shared" si="2"/>
        <v>0</v>
      </c>
      <c r="N27" s="17"/>
    </row>
    <row r="28" spans="1:14">
      <c r="A28" s="26">
        <v>25</v>
      </c>
      <c r="B28" s="27">
        <v>46016</v>
      </c>
      <c r="C28" s="17"/>
      <c r="D28" s="17"/>
      <c r="E28" s="17"/>
      <c r="F28" s="17"/>
      <c r="G28" s="17">
        <f t="shared" si="3"/>
        <v>0</v>
      </c>
      <c r="H28" s="17"/>
      <c r="I28" s="17"/>
      <c r="J28" s="17">
        <f t="shared" si="0"/>
        <v>0</v>
      </c>
      <c r="K28" s="17">
        <f t="shared" si="1"/>
        <v>0</v>
      </c>
      <c r="L28" s="17"/>
      <c r="M28" s="143">
        <f t="shared" si="2"/>
        <v>0</v>
      </c>
      <c r="N28" s="17"/>
    </row>
    <row r="29" spans="1:14">
      <c r="A29" s="26">
        <v>26</v>
      </c>
      <c r="B29" s="27">
        <v>46017</v>
      </c>
      <c r="C29" s="17"/>
      <c r="D29" s="17"/>
      <c r="E29" s="17"/>
      <c r="F29" s="17"/>
      <c r="G29" s="17">
        <f t="shared" si="3"/>
        <v>0</v>
      </c>
      <c r="H29" s="17"/>
      <c r="I29" s="17"/>
      <c r="J29" s="17">
        <f t="shared" si="0"/>
        <v>0</v>
      </c>
      <c r="K29" s="17">
        <f t="shared" si="1"/>
        <v>0</v>
      </c>
      <c r="L29" s="17"/>
      <c r="M29" s="143">
        <f t="shared" si="2"/>
        <v>0</v>
      </c>
      <c r="N29" s="17"/>
    </row>
    <row r="30" spans="1:14">
      <c r="A30" s="26">
        <v>27</v>
      </c>
      <c r="B30" s="27">
        <v>46018</v>
      </c>
      <c r="C30" s="17"/>
      <c r="D30" s="17"/>
      <c r="E30" s="17"/>
      <c r="F30" s="17"/>
      <c r="G30" s="17">
        <f t="shared" si="3"/>
        <v>0</v>
      </c>
      <c r="H30" s="17"/>
      <c r="I30" s="17"/>
      <c r="J30" s="17">
        <f t="shared" si="0"/>
        <v>0</v>
      </c>
      <c r="K30" s="17">
        <f t="shared" si="1"/>
        <v>0</v>
      </c>
      <c r="L30" s="17"/>
      <c r="M30" s="143">
        <f t="shared" si="2"/>
        <v>0</v>
      </c>
      <c r="N30" s="17"/>
    </row>
    <row r="31" spans="1:14">
      <c r="A31" s="26">
        <v>28</v>
      </c>
      <c r="B31" s="27">
        <v>46019</v>
      </c>
      <c r="C31" s="17"/>
      <c r="D31" s="17"/>
      <c r="E31" s="17"/>
      <c r="F31" s="17"/>
      <c r="G31" s="17">
        <f t="shared" si="3"/>
        <v>0</v>
      </c>
      <c r="H31" s="17"/>
      <c r="I31" s="17"/>
      <c r="J31" s="17">
        <f t="shared" si="0"/>
        <v>0</v>
      </c>
      <c r="K31" s="17">
        <f t="shared" si="1"/>
        <v>0</v>
      </c>
      <c r="L31" s="17"/>
      <c r="M31" s="143">
        <f t="shared" si="2"/>
        <v>0</v>
      </c>
      <c r="N31" s="17"/>
    </row>
    <row r="32" spans="1:14">
      <c r="A32" s="26">
        <v>29</v>
      </c>
      <c r="B32" s="27">
        <v>46020</v>
      </c>
      <c r="C32" s="17"/>
      <c r="D32" s="17"/>
      <c r="E32" s="17"/>
      <c r="F32" s="17"/>
      <c r="G32" s="17">
        <f t="shared" si="3"/>
        <v>0</v>
      </c>
      <c r="H32" s="17"/>
      <c r="I32" s="17"/>
      <c r="J32" s="17">
        <f t="shared" si="0"/>
        <v>0</v>
      </c>
      <c r="K32" s="17">
        <f t="shared" si="1"/>
        <v>0</v>
      </c>
      <c r="L32" s="17"/>
      <c r="M32" s="143">
        <f t="shared" si="2"/>
        <v>0</v>
      </c>
      <c r="N32" s="17"/>
    </row>
    <row r="33" spans="1:17">
      <c r="A33" s="26">
        <v>30</v>
      </c>
      <c r="B33" s="27">
        <v>46021</v>
      </c>
      <c r="C33" s="17"/>
      <c r="D33" s="17"/>
      <c r="E33" s="17"/>
      <c r="F33" s="17"/>
      <c r="G33" s="17">
        <f t="shared" si="3"/>
        <v>0</v>
      </c>
      <c r="H33" s="17"/>
      <c r="I33" s="17"/>
      <c r="J33" s="17">
        <f t="shared" si="0"/>
        <v>0</v>
      </c>
      <c r="K33" s="17">
        <f t="shared" si="1"/>
        <v>0</v>
      </c>
      <c r="L33" s="17"/>
      <c r="M33" s="143">
        <f t="shared" si="2"/>
        <v>0</v>
      </c>
      <c r="N33" s="17"/>
    </row>
    <row r="34" spans="1:17">
      <c r="A34" s="26">
        <v>31</v>
      </c>
      <c r="B34" s="27">
        <v>46022</v>
      </c>
      <c r="C34" s="17"/>
      <c r="D34" s="17"/>
      <c r="E34" s="17">
        <v>0</v>
      </c>
      <c r="F34" s="17">
        <v>0</v>
      </c>
      <c r="G34" s="17">
        <f t="shared" si="3"/>
        <v>0</v>
      </c>
      <c r="H34" s="17"/>
      <c r="I34" s="17"/>
      <c r="J34" s="17">
        <f t="shared" si="0"/>
        <v>0</v>
      </c>
      <c r="K34" s="17">
        <f t="shared" si="1"/>
        <v>0</v>
      </c>
      <c r="L34" s="17"/>
      <c r="M34" s="143">
        <f t="shared" si="2"/>
        <v>0</v>
      </c>
      <c r="N34" s="17"/>
      <c r="O34">
        <v>1688453.58</v>
      </c>
      <c r="P34">
        <v>1900671</v>
      </c>
      <c r="Q34">
        <f>P34-O34</f>
        <v>212217.41999999993</v>
      </c>
    </row>
    <row r="35" spans="1:17">
      <c r="A35" s="46"/>
      <c r="B35" s="46"/>
      <c r="C35" s="46"/>
      <c r="D35" s="46"/>
      <c r="E35" s="206">
        <f>SUM(E4:E34)</f>
        <v>0</v>
      </c>
      <c r="F35" s="47"/>
      <c r="G35" s="206">
        <f>SUM(G4:G34)</f>
        <v>0</v>
      </c>
      <c r="H35" s="206">
        <f>SUM(H4:H34)</f>
        <v>0</v>
      </c>
      <c r="I35" s="47"/>
      <c r="J35" s="206">
        <f>SUM(J4:J34)</f>
        <v>0</v>
      </c>
      <c r="K35" s="206">
        <f>SUM(K4:K34)</f>
        <v>0</v>
      </c>
      <c r="L35" s="206">
        <f>SUM(L4:L34)</f>
        <v>1123622.8999999999</v>
      </c>
      <c r="M35" s="47"/>
      <c r="N35" s="47"/>
      <c r="O35" s="33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4AB8-1190-4CA3-8E20-1BC2619602FD}">
  <dimension ref="A1:R44"/>
  <sheetViews>
    <sheetView workbookViewId="0">
      <selection sqref="A1:N1"/>
    </sheetView>
  </sheetViews>
  <sheetFormatPr defaultRowHeight="15"/>
  <cols>
    <col min="2" max="2" width="10.140625" bestFit="1" customWidth="1"/>
    <col min="3" max="3" width="12.140625" customWidth="1"/>
    <col min="4" max="4" width="15.140625" customWidth="1"/>
    <col min="5" max="5" width="10.85546875" customWidth="1"/>
    <col min="7" max="7" width="13.7109375" bestFit="1" customWidth="1"/>
    <col min="11" max="12" width="13.5703125" bestFit="1" customWidth="1"/>
    <col min="13" max="13" width="13.140625" bestFit="1" customWidth="1"/>
    <col min="14" max="14" width="8.42578125" bestFit="1" customWidth="1"/>
  </cols>
  <sheetData>
    <row r="1" spans="1:18" ht="15.75">
      <c r="A1" s="461" t="s">
        <v>20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8"/>
    </row>
    <row r="2" spans="1:18" ht="30.75">
      <c r="A2" s="104" t="s">
        <v>122</v>
      </c>
      <c r="B2" s="105" t="s">
        <v>123</v>
      </c>
      <c r="C2" s="105" t="s">
        <v>124</v>
      </c>
      <c r="D2" s="105" t="s">
        <v>139</v>
      </c>
      <c r="E2" s="271" t="s">
        <v>126</v>
      </c>
      <c r="F2" s="271" t="s">
        <v>127</v>
      </c>
      <c r="G2" s="105" t="s">
        <v>128</v>
      </c>
      <c r="H2" s="105" t="s">
        <v>129</v>
      </c>
      <c r="I2" s="105" t="s">
        <v>127</v>
      </c>
      <c r="J2" s="145" t="s">
        <v>128</v>
      </c>
      <c r="K2" s="106" t="s">
        <v>130</v>
      </c>
      <c r="L2" s="146" t="s">
        <v>131</v>
      </c>
      <c r="M2" s="150" t="s">
        <v>138</v>
      </c>
      <c r="N2" s="107" t="s">
        <v>133</v>
      </c>
      <c r="O2" s="65"/>
    </row>
    <row r="3" spans="1:18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155">
        <v>1839042.5</v>
      </c>
      <c r="N3" s="164"/>
      <c r="O3" s="65"/>
    </row>
    <row r="4" spans="1:18">
      <c r="A4" s="208">
        <v>1</v>
      </c>
      <c r="B4" s="233">
        <v>45992</v>
      </c>
      <c r="C4" s="73"/>
      <c r="D4" s="167"/>
      <c r="E4" s="272"/>
      <c r="F4" s="272"/>
      <c r="G4" s="8">
        <f t="shared" ref="G4:G34" si="0"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v>0</v>
      </c>
      <c r="M4" s="74">
        <f>+M3+K4-L4</f>
        <v>1839042.5</v>
      </c>
      <c r="N4" s="8"/>
    </row>
    <row r="5" spans="1:18">
      <c r="A5" s="50">
        <v>2</v>
      </c>
      <c r="B5" s="233">
        <v>45993</v>
      </c>
      <c r="C5" s="73"/>
      <c r="D5" s="167"/>
      <c r="E5" s="272"/>
      <c r="F5" s="272"/>
      <c r="G5" s="8">
        <f t="shared" si="0"/>
        <v>0</v>
      </c>
      <c r="H5" s="71">
        <v>0</v>
      </c>
      <c r="I5" s="72">
        <v>0</v>
      </c>
      <c r="J5" s="8">
        <f t="shared" ref="J5:J34" si="1">H5*I5</f>
        <v>0</v>
      </c>
      <c r="K5" s="8">
        <f t="shared" ref="K5:K34" si="2">G5+J5</f>
        <v>0</v>
      </c>
      <c r="L5" s="74">
        <v>0</v>
      </c>
      <c r="M5" s="74">
        <f t="shared" ref="M5:M8" si="3">+M4+K5-L5</f>
        <v>1839042.5</v>
      </c>
      <c r="N5" s="8"/>
    </row>
    <row r="6" spans="1:18">
      <c r="A6" s="50">
        <v>3</v>
      </c>
      <c r="B6" s="233">
        <v>45994</v>
      </c>
      <c r="C6" s="73"/>
      <c r="D6" s="167"/>
      <c r="E6" s="272">
        <v>2000</v>
      </c>
      <c r="F6" s="272">
        <v>95.43</v>
      </c>
      <c r="G6" s="8">
        <f t="shared" si="0"/>
        <v>190860</v>
      </c>
      <c r="H6" s="71">
        <v>0</v>
      </c>
      <c r="I6" s="72">
        <v>0</v>
      </c>
      <c r="J6" s="8">
        <f t="shared" si="1"/>
        <v>0</v>
      </c>
      <c r="K6" s="8">
        <f t="shared" si="2"/>
        <v>190860</v>
      </c>
      <c r="L6" s="74"/>
      <c r="M6" s="74">
        <f t="shared" si="3"/>
        <v>2029902.5</v>
      </c>
      <c r="N6" s="8"/>
    </row>
    <row r="7" spans="1:18">
      <c r="A7" s="50">
        <v>4</v>
      </c>
      <c r="B7" s="233">
        <v>45995</v>
      </c>
      <c r="C7" s="73"/>
      <c r="D7" s="167"/>
      <c r="E7" s="272"/>
      <c r="F7" s="272"/>
      <c r="G7" s="8">
        <f t="shared" si="0"/>
        <v>0</v>
      </c>
      <c r="H7" s="71">
        <v>0</v>
      </c>
      <c r="I7" s="72">
        <v>0</v>
      </c>
      <c r="J7" s="8">
        <f t="shared" si="1"/>
        <v>0</v>
      </c>
      <c r="K7" s="8">
        <f t="shared" si="2"/>
        <v>0</v>
      </c>
      <c r="L7" s="74"/>
      <c r="M7" s="74">
        <f t="shared" si="3"/>
        <v>2029902.5</v>
      </c>
      <c r="N7" s="8"/>
    </row>
    <row r="8" spans="1:18">
      <c r="A8" s="50">
        <v>5</v>
      </c>
      <c r="B8" s="233">
        <v>45996</v>
      </c>
      <c r="C8" s="73"/>
      <c r="D8" s="167"/>
      <c r="E8" s="272"/>
      <c r="F8" s="272"/>
      <c r="G8" s="8">
        <f t="shared" si="0"/>
        <v>0</v>
      </c>
      <c r="H8" s="71">
        <v>0</v>
      </c>
      <c r="I8" s="72">
        <v>0</v>
      </c>
      <c r="J8" s="8">
        <f t="shared" si="1"/>
        <v>0</v>
      </c>
      <c r="K8" s="8">
        <f t="shared" si="2"/>
        <v>0</v>
      </c>
      <c r="L8" s="74"/>
      <c r="M8" s="74">
        <f t="shared" si="3"/>
        <v>2029902.5</v>
      </c>
      <c r="N8" s="8"/>
      <c r="O8" s="75"/>
      <c r="R8" s="240"/>
    </row>
    <row r="9" spans="1:18">
      <c r="A9" s="50">
        <v>6</v>
      </c>
      <c r="B9" s="233">
        <v>45997</v>
      </c>
      <c r="C9" s="73"/>
      <c r="D9" s="167"/>
      <c r="E9" s="272">
        <v>1500</v>
      </c>
      <c r="F9" s="272">
        <v>95.43</v>
      </c>
      <c r="G9" s="8">
        <f t="shared" si="0"/>
        <v>143145</v>
      </c>
      <c r="H9" s="71">
        <v>0</v>
      </c>
      <c r="I9" s="72">
        <v>0</v>
      </c>
      <c r="J9" s="8">
        <f t="shared" si="1"/>
        <v>0</v>
      </c>
      <c r="K9" s="8">
        <f t="shared" si="2"/>
        <v>143145</v>
      </c>
      <c r="L9" s="74"/>
      <c r="M9" s="74">
        <f>+M8+K9-L9</f>
        <v>2173047.5</v>
      </c>
      <c r="N9" s="8"/>
      <c r="O9" s="75"/>
    </row>
    <row r="10" spans="1:18">
      <c r="A10" s="50">
        <v>7</v>
      </c>
      <c r="B10" s="233">
        <v>45998</v>
      </c>
      <c r="C10" s="73"/>
      <c r="D10" s="167"/>
      <c r="E10" s="272">
        <v>2000</v>
      </c>
      <c r="F10" s="272">
        <v>95.43</v>
      </c>
      <c r="G10" s="8">
        <f t="shared" si="0"/>
        <v>190860</v>
      </c>
      <c r="H10" s="71">
        <v>0</v>
      </c>
      <c r="I10" s="72">
        <v>0</v>
      </c>
      <c r="J10" s="8">
        <f t="shared" si="1"/>
        <v>0</v>
      </c>
      <c r="K10" s="8">
        <f t="shared" si="2"/>
        <v>190860</v>
      </c>
      <c r="L10" s="74"/>
      <c r="M10" s="74">
        <f>+M9+K10-L10</f>
        <v>2363907.5</v>
      </c>
      <c r="N10" s="8"/>
      <c r="O10" s="75"/>
    </row>
    <row r="11" spans="1:18">
      <c r="A11" s="50">
        <v>8</v>
      </c>
      <c r="B11" s="233">
        <v>45999</v>
      </c>
      <c r="C11" s="73"/>
      <c r="D11" s="167"/>
      <c r="E11" s="272"/>
      <c r="F11" s="272"/>
      <c r="G11" s="8">
        <f t="shared" si="0"/>
        <v>0</v>
      </c>
      <c r="H11" s="71">
        <v>0</v>
      </c>
      <c r="I11" s="72">
        <v>0</v>
      </c>
      <c r="J11" s="8">
        <f t="shared" si="1"/>
        <v>0</v>
      </c>
      <c r="K11" s="8">
        <f t="shared" si="2"/>
        <v>0</v>
      </c>
      <c r="L11" s="74"/>
      <c r="M11" s="74">
        <f>+M10+K11-L11</f>
        <v>2363907.5</v>
      </c>
      <c r="N11" s="8"/>
      <c r="O11" s="75"/>
    </row>
    <row r="12" spans="1:18">
      <c r="A12" s="50">
        <v>9</v>
      </c>
      <c r="B12" s="233">
        <v>46000</v>
      </c>
      <c r="C12" s="73"/>
      <c r="D12" s="167"/>
      <c r="E12" s="272"/>
      <c r="F12" s="272"/>
      <c r="G12" s="8">
        <f t="shared" si="0"/>
        <v>0</v>
      </c>
      <c r="H12" s="71">
        <v>0</v>
      </c>
      <c r="I12" s="72">
        <v>0</v>
      </c>
      <c r="J12" s="8">
        <f t="shared" si="1"/>
        <v>0</v>
      </c>
      <c r="K12" s="8">
        <f t="shared" si="2"/>
        <v>0</v>
      </c>
      <c r="L12" s="74"/>
      <c r="M12" s="74">
        <f t="shared" ref="M12:M34" si="4">+M11+K12-L12</f>
        <v>2363907.5</v>
      </c>
      <c r="N12" s="8"/>
      <c r="O12" s="75"/>
    </row>
    <row r="13" spans="1:18">
      <c r="A13" s="50">
        <v>10</v>
      </c>
      <c r="B13" s="233">
        <v>46001</v>
      </c>
      <c r="C13" s="73"/>
      <c r="D13" s="167"/>
      <c r="E13" s="272">
        <v>1700</v>
      </c>
      <c r="F13" s="272">
        <v>95.43</v>
      </c>
      <c r="G13" s="8">
        <f t="shared" si="0"/>
        <v>162231</v>
      </c>
      <c r="H13" s="71">
        <v>0</v>
      </c>
      <c r="I13" s="72">
        <v>0</v>
      </c>
      <c r="J13" s="8">
        <f t="shared" si="1"/>
        <v>0</v>
      </c>
      <c r="K13" s="8">
        <f t="shared" si="2"/>
        <v>162231</v>
      </c>
      <c r="L13" s="74"/>
      <c r="M13" s="74">
        <f t="shared" si="4"/>
        <v>2526138.5</v>
      </c>
      <c r="N13" s="8"/>
      <c r="O13" s="75"/>
    </row>
    <row r="14" spans="1:18">
      <c r="A14" s="50">
        <v>11</v>
      </c>
      <c r="B14" s="233">
        <v>46002</v>
      </c>
      <c r="C14" s="73"/>
      <c r="D14" s="167"/>
      <c r="E14" s="272">
        <v>2400</v>
      </c>
      <c r="F14" s="272">
        <v>95.43</v>
      </c>
      <c r="G14" s="8">
        <f t="shared" si="0"/>
        <v>229032.00000000003</v>
      </c>
      <c r="H14" s="71">
        <v>0</v>
      </c>
      <c r="I14" s="72">
        <v>0</v>
      </c>
      <c r="J14" s="8">
        <f t="shared" si="1"/>
        <v>0</v>
      </c>
      <c r="K14" s="8">
        <f t="shared" si="2"/>
        <v>229032.00000000003</v>
      </c>
      <c r="L14" s="74"/>
      <c r="M14" s="74">
        <f t="shared" si="4"/>
        <v>2755170.5</v>
      </c>
      <c r="N14" s="8"/>
      <c r="O14" s="75"/>
    </row>
    <row r="15" spans="1:18">
      <c r="A15" s="50">
        <v>12</v>
      </c>
      <c r="B15" s="233">
        <v>46003</v>
      </c>
      <c r="C15" s="73"/>
      <c r="D15" s="167"/>
      <c r="E15" s="272"/>
      <c r="F15" s="272"/>
      <c r="G15" s="8">
        <f t="shared" si="0"/>
        <v>0</v>
      </c>
      <c r="H15" s="71">
        <v>0</v>
      </c>
      <c r="I15" s="72">
        <v>0</v>
      </c>
      <c r="J15" s="8">
        <f t="shared" si="1"/>
        <v>0</v>
      </c>
      <c r="K15" s="8">
        <f t="shared" si="2"/>
        <v>0</v>
      </c>
      <c r="L15" s="74"/>
      <c r="M15" s="74">
        <f t="shared" si="4"/>
        <v>2755170.5</v>
      </c>
      <c r="N15" s="8"/>
      <c r="O15" s="75"/>
    </row>
    <row r="16" spans="1:18">
      <c r="A16" s="50">
        <v>13</v>
      </c>
      <c r="B16" s="233">
        <v>46004</v>
      </c>
      <c r="C16" s="73"/>
      <c r="D16" s="167"/>
      <c r="E16" s="272"/>
      <c r="F16" s="272"/>
      <c r="G16" s="8">
        <f t="shared" si="0"/>
        <v>0</v>
      </c>
      <c r="H16" s="71">
        <v>0</v>
      </c>
      <c r="I16" s="72">
        <v>0</v>
      </c>
      <c r="J16" s="8">
        <f t="shared" si="1"/>
        <v>0</v>
      </c>
      <c r="K16" s="8">
        <f t="shared" si="2"/>
        <v>0</v>
      </c>
      <c r="L16" s="74"/>
      <c r="M16" s="74">
        <f t="shared" si="4"/>
        <v>2755170.5</v>
      </c>
      <c r="N16" s="8"/>
      <c r="O16" s="75"/>
    </row>
    <row r="17" spans="1:17">
      <c r="A17" s="50">
        <v>14</v>
      </c>
      <c r="B17" s="233">
        <v>46005</v>
      </c>
      <c r="C17" s="73"/>
      <c r="D17" s="167"/>
      <c r="E17" s="272"/>
      <c r="F17" s="272"/>
      <c r="G17" s="8">
        <f t="shared" si="0"/>
        <v>0</v>
      </c>
      <c r="H17" s="71">
        <v>0</v>
      </c>
      <c r="I17" s="72">
        <v>0</v>
      </c>
      <c r="J17" s="8">
        <f t="shared" si="1"/>
        <v>0</v>
      </c>
      <c r="K17" s="8">
        <f t="shared" si="2"/>
        <v>0</v>
      </c>
      <c r="L17" s="74"/>
      <c r="M17" s="74">
        <f t="shared" si="4"/>
        <v>2755170.5</v>
      </c>
      <c r="N17" s="8"/>
      <c r="O17" s="75"/>
    </row>
    <row r="18" spans="1:17">
      <c r="A18" s="50">
        <v>15</v>
      </c>
      <c r="B18" s="233">
        <v>46006</v>
      </c>
      <c r="C18" s="73"/>
      <c r="D18" s="167"/>
      <c r="E18" s="272">
        <v>1500</v>
      </c>
      <c r="F18" s="272">
        <v>95.43</v>
      </c>
      <c r="G18" s="8">
        <f t="shared" si="0"/>
        <v>143145</v>
      </c>
      <c r="H18" s="71">
        <v>0</v>
      </c>
      <c r="I18" s="72">
        <v>0</v>
      </c>
      <c r="J18" s="8">
        <f t="shared" si="1"/>
        <v>0</v>
      </c>
      <c r="K18" s="8">
        <f t="shared" si="2"/>
        <v>143145</v>
      </c>
      <c r="L18" s="74"/>
      <c r="M18" s="74">
        <f t="shared" si="4"/>
        <v>2898315.5</v>
      </c>
      <c r="N18" s="192"/>
      <c r="O18" s="75"/>
    </row>
    <row r="19" spans="1:17">
      <c r="A19" s="50">
        <v>16</v>
      </c>
      <c r="B19" s="233">
        <v>46007</v>
      </c>
      <c r="C19" s="73"/>
      <c r="D19" s="167"/>
      <c r="E19" s="272"/>
      <c r="F19" s="272"/>
      <c r="G19" s="8">
        <f t="shared" si="0"/>
        <v>0</v>
      </c>
      <c r="H19" s="71">
        <v>0</v>
      </c>
      <c r="I19" s="72">
        <v>0</v>
      </c>
      <c r="J19" s="8">
        <f t="shared" si="1"/>
        <v>0</v>
      </c>
      <c r="K19" s="8">
        <f t="shared" si="2"/>
        <v>0</v>
      </c>
      <c r="L19" s="74">
        <v>2755171</v>
      </c>
      <c r="M19" s="74">
        <f t="shared" si="4"/>
        <v>143144.5</v>
      </c>
      <c r="N19" s="299"/>
      <c r="O19" s="75"/>
    </row>
    <row r="20" spans="1:17">
      <c r="A20" s="50">
        <v>17</v>
      </c>
      <c r="B20" s="233">
        <v>46008</v>
      </c>
      <c r="C20" s="73"/>
      <c r="D20" s="167"/>
      <c r="E20" s="272">
        <v>2400</v>
      </c>
      <c r="F20" s="272">
        <v>95.43</v>
      </c>
      <c r="G20" s="8">
        <f t="shared" si="0"/>
        <v>229032.00000000003</v>
      </c>
      <c r="H20" s="71">
        <v>0</v>
      </c>
      <c r="I20" s="72">
        <v>0</v>
      </c>
      <c r="J20" s="8">
        <f t="shared" si="1"/>
        <v>0</v>
      </c>
      <c r="K20" s="8">
        <f t="shared" si="2"/>
        <v>229032.00000000003</v>
      </c>
      <c r="L20" s="74"/>
      <c r="M20" s="74">
        <f t="shared" si="4"/>
        <v>372176.5</v>
      </c>
      <c r="N20" s="19"/>
      <c r="O20" s="75"/>
    </row>
    <row r="21" spans="1:17">
      <c r="A21" s="50">
        <v>18</v>
      </c>
      <c r="B21" s="233">
        <v>46009</v>
      </c>
      <c r="C21" s="73"/>
      <c r="D21" s="167"/>
      <c r="E21" s="272"/>
      <c r="F21" s="272"/>
      <c r="G21" s="8">
        <f t="shared" si="0"/>
        <v>0</v>
      </c>
      <c r="H21" s="71">
        <v>0</v>
      </c>
      <c r="I21" s="72">
        <v>0</v>
      </c>
      <c r="J21" s="8">
        <f t="shared" si="1"/>
        <v>0</v>
      </c>
      <c r="K21" s="8">
        <f t="shared" si="2"/>
        <v>0</v>
      </c>
      <c r="L21" s="74"/>
      <c r="M21" s="74">
        <f t="shared" si="4"/>
        <v>372176.5</v>
      </c>
      <c r="N21" s="8"/>
      <c r="O21" s="75"/>
    </row>
    <row r="22" spans="1:17">
      <c r="A22" s="50">
        <v>19</v>
      </c>
      <c r="B22" s="233">
        <v>46010</v>
      </c>
      <c r="C22" s="73"/>
      <c r="D22" s="167"/>
      <c r="E22" s="272">
        <v>2000</v>
      </c>
      <c r="F22" s="272">
        <v>95.43</v>
      </c>
      <c r="G22" s="8">
        <f t="shared" si="0"/>
        <v>190860</v>
      </c>
      <c r="H22" s="71">
        <v>0</v>
      </c>
      <c r="I22" s="72">
        <v>0</v>
      </c>
      <c r="J22" s="8">
        <f t="shared" si="1"/>
        <v>0</v>
      </c>
      <c r="K22" s="8">
        <f t="shared" si="2"/>
        <v>190860</v>
      </c>
      <c r="L22" s="74"/>
      <c r="M22" s="74">
        <f t="shared" si="4"/>
        <v>563036.5</v>
      </c>
      <c r="N22" s="8"/>
      <c r="O22" s="75"/>
      <c r="Q22" s="22"/>
    </row>
    <row r="23" spans="1:17">
      <c r="A23" s="50">
        <v>20</v>
      </c>
      <c r="B23" s="233">
        <v>46011</v>
      </c>
      <c r="C23" s="73"/>
      <c r="D23" s="167"/>
      <c r="E23" s="272"/>
      <c r="F23" s="272"/>
      <c r="G23" s="8">
        <f t="shared" si="0"/>
        <v>0</v>
      </c>
      <c r="H23" s="71">
        <v>0</v>
      </c>
      <c r="I23" s="72">
        <v>0</v>
      </c>
      <c r="J23" s="8">
        <f t="shared" si="1"/>
        <v>0</v>
      </c>
      <c r="K23" s="8">
        <f t="shared" si="2"/>
        <v>0</v>
      </c>
      <c r="L23" s="74"/>
      <c r="M23" s="74">
        <f t="shared" si="4"/>
        <v>563036.5</v>
      </c>
      <c r="N23" s="8"/>
      <c r="O23" s="75"/>
    </row>
    <row r="24" spans="1:17">
      <c r="A24" s="50">
        <v>21</v>
      </c>
      <c r="B24" s="233">
        <v>46012</v>
      </c>
      <c r="C24" s="73"/>
      <c r="D24" s="167"/>
      <c r="E24" s="272">
        <v>1500</v>
      </c>
      <c r="F24" s="272">
        <v>95.43</v>
      </c>
      <c r="G24" s="8">
        <f t="shared" si="0"/>
        <v>143145</v>
      </c>
      <c r="H24" s="71">
        <v>0</v>
      </c>
      <c r="I24" s="72">
        <v>0</v>
      </c>
      <c r="J24" s="8">
        <f t="shared" si="1"/>
        <v>0</v>
      </c>
      <c r="K24" s="8">
        <f t="shared" si="2"/>
        <v>143145</v>
      </c>
      <c r="L24" s="74"/>
      <c r="M24" s="74">
        <f t="shared" si="4"/>
        <v>706181.5</v>
      </c>
      <c r="N24" s="8"/>
      <c r="O24" s="75"/>
    </row>
    <row r="25" spans="1:17">
      <c r="A25" s="50">
        <v>22</v>
      </c>
      <c r="B25" s="233">
        <v>46013</v>
      </c>
      <c r="C25" s="73"/>
      <c r="D25" s="167"/>
      <c r="E25" s="272"/>
      <c r="F25" s="272"/>
      <c r="G25" s="8">
        <f t="shared" si="0"/>
        <v>0</v>
      </c>
      <c r="H25" s="71">
        <v>0</v>
      </c>
      <c r="I25" s="72">
        <v>0</v>
      </c>
      <c r="J25" s="8">
        <f t="shared" si="1"/>
        <v>0</v>
      </c>
      <c r="K25" s="8">
        <f t="shared" si="2"/>
        <v>0</v>
      </c>
      <c r="L25" s="74"/>
      <c r="M25" s="74">
        <f t="shared" si="4"/>
        <v>706181.5</v>
      </c>
      <c r="N25" s="8"/>
      <c r="O25" s="75"/>
    </row>
    <row r="26" spans="1:17">
      <c r="A26" s="50">
        <v>23</v>
      </c>
      <c r="B26" s="233">
        <v>46014</v>
      </c>
      <c r="C26" s="73"/>
      <c r="D26" s="167"/>
      <c r="E26" s="272">
        <v>1000</v>
      </c>
      <c r="F26" s="272">
        <v>95.43</v>
      </c>
      <c r="G26" s="8">
        <f t="shared" si="0"/>
        <v>95430</v>
      </c>
      <c r="H26" s="71">
        <v>0</v>
      </c>
      <c r="I26" s="72">
        <v>0</v>
      </c>
      <c r="J26" s="8">
        <f t="shared" si="1"/>
        <v>0</v>
      </c>
      <c r="K26" s="8">
        <f t="shared" si="2"/>
        <v>95430</v>
      </c>
      <c r="L26" s="74"/>
      <c r="M26" s="74">
        <f t="shared" si="4"/>
        <v>801611.5</v>
      </c>
      <c r="N26" s="8"/>
      <c r="O26" s="75"/>
    </row>
    <row r="27" spans="1:17">
      <c r="A27" s="50">
        <v>24</v>
      </c>
      <c r="B27" s="233">
        <v>46015</v>
      </c>
      <c r="C27" s="73"/>
      <c r="D27" s="167"/>
      <c r="E27" s="272"/>
      <c r="F27" s="272"/>
      <c r="G27" s="8">
        <f t="shared" si="0"/>
        <v>0</v>
      </c>
      <c r="H27" s="71">
        <v>0</v>
      </c>
      <c r="I27" s="72">
        <v>0</v>
      </c>
      <c r="J27" s="8">
        <f t="shared" si="1"/>
        <v>0</v>
      </c>
      <c r="K27" s="8">
        <f t="shared" si="2"/>
        <v>0</v>
      </c>
      <c r="L27" s="74"/>
      <c r="M27" s="74">
        <f t="shared" si="4"/>
        <v>801611.5</v>
      </c>
      <c r="N27" s="8"/>
      <c r="O27" s="75"/>
    </row>
    <row r="28" spans="1:17">
      <c r="A28" s="235">
        <v>25</v>
      </c>
      <c r="B28" s="233">
        <v>46016</v>
      </c>
      <c r="C28" s="73"/>
      <c r="D28" s="167"/>
      <c r="E28" s="272"/>
      <c r="F28" s="272"/>
      <c r="G28" s="8">
        <f t="shared" si="0"/>
        <v>0</v>
      </c>
      <c r="H28" s="71">
        <v>0</v>
      </c>
      <c r="I28" s="72">
        <v>0</v>
      </c>
      <c r="J28" s="8">
        <f t="shared" si="1"/>
        <v>0</v>
      </c>
      <c r="K28" s="8">
        <f t="shared" si="2"/>
        <v>0</v>
      </c>
      <c r="L28" s="74"/>
      <c r="M28" s="74">
        <f t="shared" si="4"/>
        <v>801611.5</v>
      </c>
      <c r="N28" s="8"/>
      <c r="O28" s="75"/>
    </row>
    <row r="29" spans="1:17">
      <c r="A29" s="235">
        <v>26</v>
      </c>
      <c r="B29" s="233">
        <v>46017</v>
      </c>
      <c r="C29" s="73"/>
      <c r="D29" s="167"/>
      <c r="E29" s="272">
        <v>1700</v>
      </c>
      <c r="F29" s="272">
        <v>95.43</v>
      </c>
      <c r="G29" s="8">
        <f t="shared" si="0"/>
        <v>162231</v>
      </c>
      <c r="H29" s="71">
        <v>0</v>
      </c>
      <c r="I29" s="72">
        <v>0</v>
      </c>
      <c r="J29" s="8">
        <f t="shared" si="1"/>
        <v>0</v>
      </c>
      <c r="K29" s="8">
        <f t="shared" si="2"/>
        <v>162231</v>
      </c>
      <c r="L29" s="74"/>
      <c r="M29" s="74">
        <f t="shared" si="4"/>
        <v>963842.5</v>
      </c>
      <c r="N29" s="8"/>
      <c r="O29" s="75"/>
    </row>
    <row r="30" spans="1:17">
      <c r="A30" s="235">
        <v>27</v>
      </c>
      <c r="B30" s="233">
        <v>46018</v>
      </c>
      <c r="C30" s="73"/>
      <c r="D30" s="167"/>
      <c r="E30" s="272">
        <v>0</v>
      </c>
      <c r="F30" s="272"/>
      <c r="G30" s="8">
        <f t="shared" si="0"/>
        <v>0</v>
      </c>
      <c r="H30" s="71">
        <v>0</v>
      </c>
      <c r="I30" s="72">
        <v>0</v>
      </c>
      <c r="J30" s="8">
        <f t="shared" si="1"/>
        <v>0</v>
      </c>
      <c r="K30" s="8">
        <f t="shared" si="2"/>
        <v>0</v>
      </c>
      <c r="L30" s="74"/>
      <c r="M30" s="74">
        <f t="shared" si="4"/>
        <v>963842.5</v>
      </c>
      <c r="N30" s="8"/>
      <c r="O30" s="75"/>
    </row>
    <row r="31" spans="1:17">
      <c r="A31" s="235">
        <v>28</v>
      </c>
      <c r="B31" s="233">
        <v>46019</v>
      </c>
      <c r="C31" s="73"/>
      <c r="D31" s="167"/>
      <c r="E31" s="272">
        <v>1000</v>
      </c>
      <c r="F31" s="272">
        <v>95.43</v>
      </c>
      <c r="G31" s="8">
        <f t="shared" si="0"/>
        <v>95430</v>
      </c>
      <c r="H31" s="71">
        <v>0</v>
      </c>
      <c r="I31" s="72">
        <v>0</v>
      </c>
      <c r="J31" s="8">
        <f t="shared" si="1"/>
        <v>0</v>
      </c>
      <c r="K31" s="8">
        <f t="shared" si="2"/>
        <v>95430</v>
      </c>
      <c r="L31" s="74"/>
      <c r="M31" s="74">
        <f t="shared" si="4"/>
        <v>1059272.5</v>
      </c>
      <c r="N31" s="8"/>
      <c r="O31" s="75"/>
    </row>
    <row r="32" spans="1:17">
      <c r="A32" s="236">
        <v>29</v>
      </c>
      <c r="B32" s="233">
        <v>46020</v>
      </c>
      <c r="C32" s="73"/>
      <c r="D32" s="167"/>
      <c r="E32" s="272"/>
      <c r="F32" s="272"/>
      <c r="G32" s="8">
        <f t="shared" si="0"/>
        <v>0</v>
      </c>
      <c r="H32" s="71">
        <v>0</v>
      </c>
      <c r="I32" s="72">
        <v>0</v>
      </c>
      <c r="J32" s="8">
        <f t="shared" si="1"/>
        <v>0</v>
      </c>
      <c r="K32" s="8">
        <f t="shared" si="2"/>
        <v>0</v>
      </c>
      <c r="L32" s="74"/>
      <c r="M32" s="74">
        <f t="shared" si="4"/>
        <v>1059272.5</v>
      </c>
      <c r="N32" s="8"/>
      <c r="O32" s="75"/>
    </row>
    <row r="33" spans="1:15">
      <c r="A33" s="236">
        <v>30</v>
      </c>
      <c r="B33" s="233">
        <v>46021</v>
      </c>
      <c r="C33" s="73"/>
      <c r="D33" s="167"/>
      <c r="E33" s="272">
        <v>1300</v>
      </c>
      <c r="F33" s="272">
        <v>95.43</v>
      </c>
      <c r="G33" s="8">
        <f t="shared" si="0"/>
        <v>124059.00000000001</v>
      </c>
      <c r="H33" s="71">
        <v>0</v>
      </c>
      <c r="I33" s="72">
        <v>0</v>
      </c>
      <c r="J33" s="8">
        <f t="shared" si="1"/>
        <v>0</v>
      </c>
      <c r="K33" s="8">
        <f t="shared" si="2"/>
        <v>124059.00000000001</v>
      </c>
      <c r="L33" s="74"/>
      <c r="M33" s="74">
        <f t="shared" si="4"/>
        <v>1183331.5</v>
      </c>
      <c r="N33" s="8"/>
      <c r="O33" s="75"/>
    </row>
    <row r="34" spans="1:15">
      <c r="A34" s="236">
        <v>31</v>
      </c>
      <c r="B34" s="233">
        <v>46022</v>
      </c>
      <c r="C34" s="73"/>
      <c r="D34" s="167"/>
      <c r="E34" s="272"/>
      <c r="F34" s="272"/>
      <c r="G34" s="8">
        <f t="shared" si="0"/>
        <v>0</v>
      </c>
      <c r="H34" s="71">
        <v>0</v>
      </c>
      <c r="I34" s="72">
        <v>0</v>
      </c>
      <c r="J34" s="8">
        <f t="shared" si="1"/>
        <v>0</v>
      </c>
      <c r="K34" s="8">
        <f t="shared" si="2"/>
        <v>0</v>
      </c>
      <c r="L34" s="74">
        <v>0</v>
      </c>
      <c r="M34" s="74">
        <f t="shared" si="4"/>
        <v>1183331.5</v>
      </c>
      <c r="N34" s="8"/>
      <c r="O34" s="75"/>
    </row>
    <row r="35" spans="1:15">
      <c r="A35" s="68"/>
      <c r="B35" s="68"/>
      <c r="C35" s="68"/>
      <c r="D35" s="68"/>
      <c r="E35" s="273">
        <f>SUM(E4:E34)</f>
        <v>22000</v>
      </c>
      <c r="F35" s="273"/>
      <c r="G35" s="69">
        <f>SUM(G4:G34)</f>
        <v>2099460</v>
      </c>
      <c r="H35" s="69">
        <f>SUM(H4:H34)</f>
        <v>0</v>
      </c>
      <c r="I35" s="69"/>
      <c r="J35" s="69">
        <f>SUM(J4:J34)</f>
        <v>0</v>
      </c>
      <c r="K35" s="69">
        <f>SUM(K4:K34)</f>
        <v>2099460</v>
      </c>
      <c r="L35" s="69">
        <f>SUM(L4:L34)</f>
        <v>2755171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F38" t="s">
        <v>140</v>
      </c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72"/>
      <c r="C43" s="472"/>
      <c r="D43" s="472"/>
      <c r="E43" s="472"/>
      <c r="F43" s="75"/>
      <c r="G43" s="75"/>
      <c r="H43" s="75"/>
      <c r="I43" s="472"/>
      <c r="J43" s="472"/>
      <c r="K43" s="472"/>
      <c r="L43" s="472"/>
      <c r="M43" s="472"/>
      <c r="N43" s="472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FE56-609E-4DFF-AE6F-57743C385CA3}">
  <dimension ref="A1:N35"/>
  <sheetViews>
    <sheetView topLeftCell="A19" workbookViewId="0">
      <selection activeCell="J26" sqref="J26"/>
    </sheetView>
  </sheetViews>
  <sheetFormatPr defaultRowHeight="15"/>
  <cols>
    <col min="2" max="2" width="10.140625" bestFit="1" customWidth="1"/>
  </cols>
  <sheetData>
    <row r="1" spans="1:14" ht="15.75">
      <c r="A1" s="469" t="s">
        <v>22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</row>
    <row r="2" spans="1:14" ht="27">
      <c r="A2" s="109" t="s">
        <v>122</v>
      </c>
      <c r="B2" s="113" t="s">
        <v>123</v>
      </c>
      <c r="C2" s="113" t="s">
        <v>124</v>
      </c>
      <c r="D2" s="113" t="s">
        <v>125</v>
      </c>
      <c r="E2" s="113" t="s">
        <v>126</v>
      </c>
      <c r="F2" s="113" t="s">
        <v>127</v>
      </c>
      <c r="G2" s="113" t="s">
        <v>128</v>
      </c>
      <c r="H2" s="113" t="s">
        <v>129</v>
      </c>
      <c r="I2" s="113" t="s">
        <v>127</v>
      </c>
      <c r="J2" s="113" t="s">
        <v>128</v>
      </c>
      <c r="K2" s="151" t="s">
        <v>130</v>
      </c>
      <c r="L2" s="151" t="s">
        <v>131</v>
      </c>
      <c r="M2" s="151" t="s">
        <v>132</v>
      </c>
      <c r="N2" s="113" t="s">
        <v>133</v>
      </c>
    </row>
    <row r="3" spans="1:14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4"/>
      <c r="K3" s="138"/>
      <c r="L3" s="247"/>
      <c r="M3" s="359">
        <v>0</v>
      </c>
      <c r="N3" s="248"/>
    </row>
    <row r="4" spans="1:14">
      <c r="A4" s="26">
        <v>1</v>
      </c>
      <c r="B4" s="27">
        <v>45992</v>
      </c>
      <c r="C4" s="114"/>
      <c r="D4" s="35"/>
      <c r="E4" s="37"/>
      <c r="F4" s="37"/>
      <c r="G4" s="37">
        <f>E4*F4</f>
        <v>0</v>
      </c>
      <c r="H4" s="382">
        <v>0</v>
      </c>
      <c r="I4" s="382">
        <v>0</v>
      </c>
      <c r="J4" s="37">
        <f>H4*I4</f>
        <v>0</v>
      </c>
      <c r="K4" s="37">
        <f t="shared" ref="K4:K31" si="0">G4+J4</f>
        <v>0</v>
      </c>
      <c r="L4" s="209">
        <v>0</v>
      </c>
      <c r="M4" s="37">
        <f>M3+K4-L4</f>
        <v>0</v>
      </c>
      <c r="N4" s="249"/>
    </row>
    <row r="5" spans="1:14">
      <c r="A5" s="26">
        <v>2</v>
      </c>
      <c r="B5" s="27">
        <v>45993</v>
      </c>
      <c r="C5" s="114"/>
      <c r="D5" s="35"/>
      <c r="E5" s="37"/>
      <c r="F5" s="37"/>
      <c r="G5" s="37">
        <f t="shared" ref="G5:G31" si="1">E5*F5</f>
        <v>0</v>
      </c>
      <c r="H5" s="382">
        <v>0</v>
      </c>
      <c r="I5" s="382">
        <v>0</v>
      </c>
      <c r="J5" s="37">
        <f t="shared" ref="J5:J11" si="2">H5*I5</f>
        <v>0</v>
      </c>
      <c r="K5" s="37">
        <f t="shared" si="0"/>
        <v>0</v>
      </c>
      <c r="L5" s="209">
        <v>0</v>
      </c>
      <c r="M5" s="37">
        <f t="shared" ref="M5:M31" si="3">M4+K5-L5</f>
        <v>0</v>
      </c>
      <c r="N5" s="250"/>
    </row>
    <row r="6" spans="1:14">
      <c r="A6" s="26">
        <v>3</v>
      </c>
      <c r="B6" s="27">
        <v>45994</v>
      </c>
      <c r="C6" s="114"/>
      <c r="D6" s="35"/>
      <c r="E6" s="37"/>
      <c r="F6" s="37"/>
      <c r="G6" s="37">
        <f t="shared" si="1"/>
        <v>0</v>
      </c>
      <c r="H6" s="382">
        <v>0</v>
      </c>
      <c r="I6" s="382">
        <v>0</v>
      </c>
      <c r="J6" s="37">
        <f t="shared" si="2"/>
        <v>0</v>
      </c>
      <c r="K6" s="37">
        <f t="shared" si="0"/>
        <v>0</v>
      </c>
      <c r="L6" s="209">
        <v>0</v>
      </c>
      <c r="M6" s="37">
        <f t="shared" si="3"/>
        <v>0</v>
      </c>
      <c r="N6" s="251"/>
    </row>
    <row r="7" spans="1:14">
      <c r="A7" s="26">
        <v>4</v>
      </c>
      <c r="B7" s="27">
        <v>45995</v>
      </c>
      <c r="C7" s="114"/>
      <c r="D7" s="35"/>
      <c r="E7" s="37"/>
      <c r="F7" s="37"/>
      <c r="G7" s="37">
        <f t="shared" si="1"/>
        <v>0</v>
      </c>
      <c r="H7" s="382">
        <v>0</v>
      </c>
      <c r="I7" s="382">
        <v>0</v>
      </c>
      <c r="J7" s="37">
        <f t="shared" si="2"/>
        <v>0</v>
      </c>
      <c r="K7" s="37">
        <f t="shared" si="0"/>
        <v>0</v>
      </c>
      <c r="L7" s="209">
        <v>0</v>
      </c>
      <c r="M7" s="37">
        <f>M6+K7-L7</f>
        <v>0</v>
      </c>
      <c r="N7" s="210"/>
    </row>
    <row r="8" spans="1:14">
      <c r="A8" s="26">
        <v>5</v>
      </c>
      <c r="B8" s="27">
        <v>45996</v>
      </c>
      <c r="C8" s="34"/>
      <c r="D8" s="35"/>
      <c r="E8" s="37"/>
      <c r="F8" s="37"/>
      <c r="G8" s="37">
        <f t="shared" si="1"/>
        <v>0</v>
      </c>
      <c r="H8" s="382">
        <v>0</v>
      </c>
      <c r="I8" s="382">
        <v>0</v>
      </c>
      <c r="J8" s="37">
        <f t="shared" si="2"/>
        <v>0</v>
      </c>
      <c r="K8" s="37">
        <f t="shared" si="0"/>
        <v>0</v>
      </c>
      <c r="L8" s="209">
        <v>0</v>
      </c>
      <c r="M8" s="37">
        <f>M7+K8-L8</f>
        <v>0</v>
      </c>
      <c r="N8" s="210"/>
    </row>
    <row r="9" spans="1:14">
      <c r="A9" s="26">
        <v>6</v>
      </c>
      <c r="B9" s="27">
        <v>45997</v>
      </c>
      <c r="C9" s="34"/>
      <c r="D9" s="35"/>
      <c r="E9" s="37"/>
      <c r="F9" s="37"/>
      <c r="G9" s="37">
        <f t="shared" si="1"/>
        <v>0</v>
      </c>
      <c r="H9" s="382">
        <v>0</v>
      </c>
      <c r="I9" s="382">
        <v>0</v>
      </c>
      <c r="J9" s="37">
        <f t="shared" si="2"/>
        <v>0</v>
      </c>
      <c r="K9" s="37">
        <f t="shared" si="0"/>
        <v>0</v>
      </c>
      <c r="L9" s="209">
        <v>0</v>
      </c>
      <c r="M9" s="37">
        <f t="shared" si="3"/>
        <v>0</v>
      </c>
      <c r="N9" s="210"/>
    </row>
    <row r="10" spans="1:14">
      <c r="A10" s="26">
        <v>7</v>
      </c>
      <c r="B10" s="27">
        <v>45998</v>
      </c>
      <c r="C10" s="34"/>
      <c r="D10" s="35"/>
      <c r="E10" s="37"/>
      <c r="F10" s="37"/>
      <c r="G10" s="37">
        <f t="shared" si="1"/>
        <v>0</v>
      </c>
      <c r="H10" s="382">
        <v>0</v>
      </c>
      <c r="I10" s="382">
        <v>0</v>
      </c>
      <c r="J10" s="37">
        <f t="shared" si="2"/>
        <v>0</v>
      </c>
      <c r="K10" s="37">
        <f t="shared" si="0"/>
        <v>0</v>
      </c>
      <c r="L10" s="209">
        <v>0</v>
      </c>
      <c r="M10" s="37">
        <f t="shared" si="3"/>
        <v>0</v>
      </c>
      <c r="N10" s="210"/>
    </row>
    <row r="11" spans="1:14">
      <c r="A11" s="26">
        <v>8</v>
      </c>
      <c r="B11" s="27">
        <v>45999</v>
      </c>
      <c r="C11" s="34"/>
      <c r="D11" s="35"/>
      <c r="E11" s="37"/>
      <c r="F11" s="37"/>
      <c r="G11" s="37">
        <f t="shared" si="1"/>
        <v>0</v>
      </c>
      <c r="H11" s="382">
        <v>0</v>
      </c>
      <c r="I11" s="382">
        <v>0</v>
      </c>
      <c r="J11" s="37">
        <f t="shared" si="2"/>
        <v>0</v>
      </c>
      <c r="K11" s="37">
        <f t="shared" si="0"/>
        <v>0</v>
      </c>
      <c r="L11" s="209">
        <v>0</v>
      </c>
      <c r="M11" s="37">
        <f t="shared" si="3"/>
        <v>0</v>
      </c>
      <c r="N11" s="210"/>
    </row>
    <row r="12" spans="1:14">
      <c r="A12" s="26">
        <v>9</v>
      </c>
      <c r="B12" s="27">
        <v>46000</v>
      </c>
      <c r="C12" s="34"/>
      <c r="D12" s="35"/>
      <c r="E12" s="37"/>
      <c r="F12" s="37"/>
      <c r="G12" s="37">
        <f t="shared" si="1"/>
        <v>0</v>
      </c>
      <c r="H12" s="382">
        <v>0</v>
      </c>
      <c r="I12" s="382">
        <v>0</v>
      </c>
      <c r="J12" s="37"/>
      <c r="K12" s="37">
        <f t="shared" si="0"/>
        <v>0</v>
      </c>
      <c r="L12" s="209">
        <v>0</v>
      </c>
      <c r="M12" s="37">
        <f t="shared" si="3"/>
        <v>0</v>
      </c>
      <c r="N12" s="210"/>
    </row>
    <row r="13" spans="1:14">
      <c r="A13" s="26">
        <v>10</v>
      </c>
      <c r="B13" s="27">
        <v>46001</v>
      </c>
      <c r="C13" s="34"/>
      <c r="D13" s="35"/>
      <c r="E13" s="37"/>
      <c r="F13" s="37"/>
      <c r="G13" s="37">
        <f t="shared" si="1"/>
        <v>0</v>
      </c>
      <c r="H13" s="382">
        <v>0</v>
      </c>
      <c r="I13" s="382">
        <v>0</v>
      </c>
      <c r="J13" s="37"/>
      <c r="K13" s="37">
        <f t="shared" si="0"/>
        <v>0</v>
      </c>
      <c r="L13" s="209">
        <v>0</v>
      </c>
      <c r="M13" s="37">
        <f>M12+K13-L13</f>
        <v>0</v>
      </c>
      <c r="N13" s="210"/>
    </row>
    <row r="14" spans="1:14">
      <c r="A14" s="26">
        <v>11</v>
      </c>
      <c r="B14" s="27">
        <v>46002</v>
      </c>
      <c r="C14" s="34"/>
      <c r="D14" s="35"/>
      <c r="E14" s="37"/>
      <c r="F14" s="37"/>
      <c r="G14" s="37">
        <f t="shared" si="1"/>
        <v>0</v>
      </c>
      <c r="H14" s="382">
        <v>0</v>
      </c>
      <c r="I14" s="382">
        <v>0</v>
      </c>
      <c r="J14" s="37"/>
      <c r="K14" s="37">
        <f t="shared" si="0"/>
        <v>0</v>
      </c>
      <c r="L14" s="209">
        <v>0</v>
      </c>
      <c r="M14" s="37">
        <f>M13+K14-L14</f>
        <v>0</v>
      </c>
      <c r="N14" s="210"/>
    </row>
    <row r="15" spans="1:14">
      <c r="A15" s="26">
        <v>12</v>
      </c>
      <c r="B15" s="27">
        <v>46003</v>
      </c>
      <c r="C15" s="34"/>
      <c r="D15" s="35"/>
      <c r="E15" s="37"/>
      <c r="F15" s="37"/>
      <c r="G15" s="37">
        <f t="shared" si="1"/>
        <v>0</v>
      </c>
      <c r="H15" s="382">
        <v>0</v>
      </c>
      <c r="I15" s="382">
        <v>0</v>
      </c>
      <c r="J15" s="37"/>
      <c r="K15" s="37">
        <f t="shared" si="0"/>
        <v>0</v>
      </c>
      <c r="L15" s="209">
        <v>0</v>
      </c>
      <c r="M15" s="37">
        <f t="shared" si="3"/>
        <v>0</v>
      </c>
      <c r="N15" s="210"/>
    </row>
    <row r="16" spans="1:14">
      <c r="A16" s="26">
        <v>13</v>
      </c>
      <c r="B16" s="27">
        <v>46004</v>
      </c>
      <c r="C16" s="34"/>
      <c r="D16" s="35"/>
      <c r="E16" s="37"/>
      <c r="F16" s="37"/>
      <c r="G16" s="37">
        <f t="shared" si="1"/>
        <v>0</v>
      </c>
      <c r="H16" s="382">
        <v>0</v>
      </c>
      <c r="I16" s="382">
        <v>0</v>
      </c>
      <c r="J16" s="37">
        <f t="shared" ref="J16:J31" si="4">H16*I16</f>
        <v>0</v>
      </c>
      <c r="K16" s="37">
        <f t="shared" si="0"/>
        <v>0</v>
      </c>
      <c r="L16" s="209">
        <v>0</v>
      </c>
      <c r="M16" s="37">
        <f t="shared" si="3"/>
        <v>0</v>
      </c>
      <c r="N16" s="210"/>
    </row>
    <row r="17" spans="1:14">
      <c r="A17" s="26">
        <v>14</v>
      </c>
      <c r="B17" s="27">
        <v>46005</v>
      </c>
      <c r="C17" s="34"/>
      <c r="D17" s="35"/>
      <c r="E17" s="37"/>
      <c r="F17" s="37"/>
      <c r="G17" s="37">
        <f t="shared" si="1"/>
        <v>0</v>
      </c>
      <c r="H17" s="382">
        <v>0</v>
      </c>
      <c r="I17" s="382">
        <v>0</v>
      </c>
      <c r="J17" s="37">
        <f t="shared" si="4"/>
        <v>0</v>
      </c>
      <c r="K17" s="37">
        <f t="shared" si="0"/>
        <v>0</v>
      </c>
      <c r="L17" s="209">
        <v>0</v>
      </c>
      <c r="M17" s="37">
        <f t="shared" si="3"/>
        <v>0</v>
      </c>
      <c r="N17" s="210"/>
    </row>
    <row r="18" spans="1:14">
      <c r="A18" s="26">
        <v>15</v>
      </c>
      <c r="B18" s="27">
        <v>46006</v>
      </c>
      <c r="C18" s="177"/>
      <c r="D18" s="35"/>
      <c r="E18" s="37"/>
      <c r="F18" s="37"/>
      <c r="G18" s="37">
        <f t="shared" si="1"/>
        <v>0</v>
      </c>
      <c r="H18" s="382">
        <v>0</v>
      </c>
      <c r="I18" s="382">
        <v>0</v>
      </c>
      <c r="J18" s="37">
        <f t="shared" si="4"/>
        <v>0</v>
      </c>
      <c r="K18" s="37">
        <f t="shared" si="0"/>
        <v>0</v>
      </c>
      <c r="L18" s="209">
        <v>0</v>
      </c>
      <c r="M18" s="37">
        <f t="shared" si="3"/>
        <v>0</v>
      </c>
      <c r="N18" s="252"/>
    </row>
    <row r="19" spans="1:14">
      <c r="A19" s="26">
        <v>16</v>
      </c>
      <c r="B19" s="27">
        <v>46007</v>
      </c>
      <c r="C19" s="114"/>
      <c r="D19" s="35"/>
      <c r="E19" s="37"/>
      <c r="F19" s="37"/>
      <c r="G19" s="37">
        <f t="shared" si="1"/>
        <v>0</v>
      </c>
      <c r="H19" s="382">
        <v>0</v>
      </c>
      <c r="I19" s="382">
        <v>0</v>
      </c>
      <c r="J19" s="37">
        <f t="shared" si="4"/>
        <v>0</v>
      </c>
      <c r="K19" s="37">
        <f t="shared" si="0"/>
        <v>0</v>
      </c>
      <c r="L19" s="209">
        <v>0</v>
      </c>
      <c r="M19" s="37">
        <f t="shared" si="3"/>
        <v>0</v>
      </c>
      <c r="N19" s="252"/>
    </row>
    <row r="20" spans="1:14">
      <c r="A20" s="26">
        <v>17</v>
      </c>
      <c r="B20" s="27">
        <v>46008</v>
      </c>
      <c r="C20" s="190"/>
      <c r="D20" s="35"/>
      <c r="E20" s="37"/>
      <c r="F20" s="37"/>
      <c r="G20" s="37">
        <f t="shared" si="1"/>
        <v>0</v>
      </c>
      <c r="H20" s="382">
        <v>0</v>
      </c>
      <c r="I20" s="382">
        <v>0</v>
      </c>
      <c r="J20" s="37">
        <f t="shared" si="4"/>
        <v>0</v>
      </c>
      <c r="K20" s="37">
        <f t="shared" si="0"/>
        <v>0</v>
      </c>
      <c r="L20" s="209">
        <v>0</v>
      </c>
      <c r="M20" s="37">
        <f t="shared" si="3"/>
        <v>0</v>
      </c>
      <c r="N20" s="252"/>
    </row>
    <row r="21" spans="1:14">
      <c r="A21" s="26">
        <v>18</v>
      </c>
      <c r="B21" s="27">
        <v>46009</v>
      </c>
      <c r="C21" s="190"/>
      <c r="D21" s="35"/>
      <c r="E21" s="37"/>
      <c r="F21" s="37"/>
      <c r="G21" s="37">
        <f t="shared" si="1"/>
        <v>0</v>
      </c>
      <c r="H21" s="382">
        <v>0</v>
      </c>
      <c r="I21" s="382">
        <v>0</v>
      </c>
      <c r="J21" s="37">
        <f t="shared" si="4"/>
        <v>0</v>
      </c>
      <c r="K21" s="37">
        <f t="shared" si="0"/>
        <v>0</v>
      </c>
      <c r="L21" s="209">
        <v>0</v>
      </c>
      <c r="M21" s="37">
        <f t="shared" si="3"/>
        <v>0</v>
      </c>
      <c r="N21" s="252"/>
    </row>
    <row r="22" spans="1:14">
      <c r="A22" s="26">
        <v>19</v>
      </c>
      <c r="B22" s="27">
        <v>46010</v>
      </c>
      <c r="C22" s="114"/>
      <c r="D22" s="35"/>
      <c r="E22" s="37"/>
      <c r="F22" s="37"/>
      <c r="G22" s="37">
        <f t="shared" si="1"/>
        <v>0</v>
      </c>
      <c r="H22" s="382">
        <v>0</v>
      </c>
      <c r="I22" s="382">
        <v>0</v>
      </c>
      <c r="J22" s="37">
        <f t="shared" si="4"/>
        <v>0</v>
      </c>
      <c r="K22" s="37">
        <f t="shared" si="0"/>
        <v>0</v>
      </c>
      <c r="L22" s="209">
        <v>0</v>
      </c>
      <c r="M22" s="37">
        <f t="shared" si="3"/>
        <v>0</v>
      </c>
      <c r="N22" s="210"/>
    </row>
    <row r="23" spans="1:14">
      <c r="A23" s="26">
        <v>20</v>
      </c>
      <c r="B23" s="27">
        <v>46011</v>
      </c>
      <c r="C23" s="114"/>
      <c r="D23" s="35"/>
      <c r="E23" s="37"/>
      <c r="F23" s="37"/>
      <c r="G23" s="37">
        <f t="shared" si="1"/>
        <v>0</v>
      </c>
      <c r="H23" s="382">
        <v>0</v>
      </c>
      <c r="I23" s="382">
        <v>0</v>
      </c>
      <c r="J23" s="37">
        <f t="shared" si="4"/>
        <v>0</v>
      </c>
      <c r="K23" s="37">
        <f t="shared" si="0"/>
        <v>0</v>
      </c>
      <c r="L23" s="209">
        <v>0</v>
      </c>
      <c r="M23" s="37">
        <f t="shared" si="3"/>
        <v>0</v>
      </c>
      <c r="N23" s="210"/>
    </row>
    <row r="24" spans="1:14">
      <c r="A24" s="26">
        <v>21</v>
      </c>
      <c r="B24" s="27">
        <v>46012</v>
      </c>
      <c r="C24" s="114"/>
      <c r="D24" s="35"/>
      <c r="E24" s="37"/>
      <c r="F24" s="37"/>
      <c r="G24" s="37">
        <f t="shared" si="1"/>
        <v>0</v>
      </c>
      <c r="H24" s="382">
        <v>0</v>
      </c>
      <c r="I24" s="382">
        <v>0</v>
      </c>
      <c r="J24" s="37">
        <f t="shared" si="4"/>
        <v>0</v>
      </c>
      <c r="K24" s="37">
        <f t="shared" si="0"/>
        <v>0</v>
      </c>
      <c r="L24" s="209">
        <v>0</v>
      </c>
      <c r="M24" s="37">
        <f t="shared" si="3"/>
        <v>0</v>
      </c>
      <c r="N24" s="210"/>
    </row>
    <row r="25" spans="1:14">
      <c r="A25" s="26">
        <v>22</v>
      </c>
      <c r="B25" s="27">
        <v>46013</v>
      </c>
      <c r="C25" s="114"/>
      <c r="D25" s="35"/>
      <c r="E25" s="37"/>
      <c r="F25" s="37"/>
      <c r="G25" s="37">
        <f t="shared" si="1"/>
        <v>0</v>
      </c>
      <c r="H25" s="382">
        <v>0</v>
      </c>
      <c r="I25" s="382">
        <v>0</v>
      </c>
      <c r="J25" s="37">
        <f t="shared" si="4"/>
        <v>0</v>
      </c>
      <c r="K25" s="37">
        <f t="shared" si="0"/>
        <v>0</v>
      </c>
      <c r="L25" s="209">
        <v>0</v>
      </c>
      <c r="M25" s="37">
        <f t="shared" si="3"/>
        <v>0</v>
      </c>
      <c r="N25" s="210"/>
    </row>
    <row r="26" spans="1:14">
      <c r="A26" s="26">
        <v>23</v>
      </c>
      <c r="B26" s="27">
        <v>46014</v>
      </c>
      <c r="C26" s="114"/>
      <c r="D26" s="35"/>
      <c r="E26" s="37">
        <v>0</v>
      </c>
      <c r="F26" s="37">
        <v>0</v>
      </c>
      <c r="G26" s="37">
        <f t="shared" si="1"/>
        <v>0</v>
      </c>
      <c r="H26" s="382">
        <v>50</v>
      </c>
      <c r="I26" s="382">
        <v>108.1</v>
      </c>
      <c r="J26" s="37">
        <f t="shared" si="4"/>
        <v>5405</v>
      </c>
      <c r="K26" s="37">
        <f t="shared" si="0"/>
        <v>5405</v>
      </c>
      <c r="L26" s="209">
        <v>0</v>
      </c>
      <c r="M26" s="37">
        <f t="shared" si="3"/>
        <v>5405</v>
      </c>
      <c r="N26" s="210"/>
    </row>
    <row r="27" spans="1:14">
      <c r="A27" s="26">
        <v>24</v>
      </c>
      <c r="B27" s="27">
        <v>46015</v>
      </c>
      <c r="C27" s="114"/>
      <c r="D27" s="35"/>
      <c r="E27" s="37"/>
      <c r="F27" s="37"/>
      <c r="G27" s="37">
        <f t="shared" si="1"/>
        <v>0</v>
      </c>
      <c r="H27" s="382">
        <v>0</v>
      </c>
      <c r="I27" s="382">
        <v>0</v>
      </c>
      <c r="J27" s="37">
        <f t="shared" si="4"/>
        <v>0</v>
      </c>
      <c r="K27" s="37">
        <f t="shared" si="0"/>
        <v>0</v>
      </c>
      <c r="L27" s="209">
        <v>0</v>
      </c>
      <c r="M27" s="37">
        <f t="shared" si="3"/>
        <v>5405</v>
      </c>
      <c r="N27" s="210"/>
    </row>
    <row r="28" spans="1:14">
      <c r="A28" s="26">
        <v>25</v>
      </c>
      <c r="B28" s="27">
        <v>46016</v>
      </c>
      <c r="C28" s="114"/>
      <c r="D28" s="35"/>
      <c r="E28" s="37"/>
      <c r="F28" s="37"/>
      <c r="G28" s="37">
        <f t="shared" si="1"/>
        <v>0</v>
      </c>
      <c r="H28" s="382">
        <v>0</v>
      </c>
      <c r="I28" s="382">
        <v>0</v>
      </c>
      <c r="J28" s="37">
        <f t="shared" si="4"/>
        <v>0</v>
      </c>
      <c r="K28" s="37">
        <f t="shared" si="0"/>
        <v>0</v>
      </c>
      <c r="L28" s="209">
        <v>0</v>
      </c>
      <c r="M28" s="37">
        <f t="shared" si="3"/>
        <v>5405</v>
      </c>
      <c r="N28" s="210"/>
    </row>
    <row r="29" spans="1:14">
      <c r="A29" s="26">
        <v>26</v>
      </c>
      <c r="B29" s="27">
        <v>46017</v>
      </c>
      <c r="C29" s="114"/>
      <c r="D29" s="35"/>
      <c r="E29" s="37"/>
      <c r="F29" s="37"/>
      <c r="G29" s="37">
        <f t="shared" si="1"/>
        <v>0</v>
      </c>
      <c r="H29" s="382">
        <v>0</v>
      </c>
      <c r="I29" s="382">
        <v>0</v>
      </c>
      <c r="J29" s="37">
        <f t="shared" si="4"/>
        <v>0</v>
      </c>
      <c r="K29" s="37">
        <f t="shared" si="0"/>
        <v>0</v>
      </c>
      <c r="L29" s="209">
        <v>0</v>
      </c>
      <c r="M29" s="37">
        <f t="shared" si="3"/>
        <v>5405</v>
      </c>
      <c r="N29" s="210"/>
    </row>
    <row r="30" spans="1:14">
      <c r="A30" s="26">
        <v>27</v>
      </c>
      <c r="B30" s="27">
        <v>46018</v>
      </c>
      <c r="C30" s="114"/>
      <c r="D30" s="35"/>
      <c r="E30" s="37"/>
      <c r="F30" s="37"/>
      <c r="G30" s="37">
        <f t="shared" si="1"/>
        <v>0</v>
      </c>
      <c r="H30" s="382">
        <v>0</v>
      </c>
      <c r="I30" s="382">
        <v>0</v>
      </c>
      <c r="J30" s="37">
        <f t="shared" si="4"/>
        <v>0</v>
      </c>
      <c r="K30" s="37">
        <f t="shared" si="0"/>
        <v>0</v>
      </c>
      <c r="L30" s="209">
        <v>0</v>
      </c>
      <c r="M30" s="37">
        <f>M29+K30-L30</f>
        <v>5405</v>
      </c>
      <c r="N30" s="210"/>
    </row>
    <row r="31" spans="1:14">
      <c r="A31" s="26">
        <v>28</v>
      </c>
      <c r="B31" s="27">
        <v>46019</v>
      </c>
      <c r="C31" s="114"/>
      <c r="D31" s="35"/>
      <c r="E31" s="37"/>
      <c r="F31" s="37"/>
      <c r="G31" s="37">
        <f t="shared" si="1"/>
        <v>0</v>
      </c>
      <c r="H31" s="382"/>
      <c r="I31" s="382"/>
      <c r="J31" s="37">
        <f t="shared" si="4"/>
        <v>0</v>
      </c>
      <c r="K31" s="37">
        <f t="shared" si="0"/>
        <v>0</v>
      </c>
      <c r="L31" s="209"/>
      <c r="M31" s="37">
        <f t="shared" si="3"/>
        <v>5405</v>
      </c>
      <c r="N31" s="210"/>
    </row>
    <row r="32" spans="1:14">
      <c r="A32" s="26">
        <v>28</v>
      </c>
      <c r="B32" s="27">
        <v>46020</v>
      </c>
      <c r="C32" s="114"/>
      <c r="D32" s="35"/>
      <c r="E32" s="37"/>
      <c r="F32" s="37"/>
      <c r="G32" s="37">
        <f t="shared" ref="G32:G34" si="5">E32*F32</f>
        <v>0</v>
      </c>
      <c r="H32" s="382"/>
      <c r="I32" s="382"/>
      <c r="J32" s="37">
        <f t="shared" ref="J32:J34" si="6">H32*I32</f>
        <v>0</v>
      </c>
      <c r="K32" s="37">
        <f t="shared" ref="K32:K34" si="7">G32+J32</f>
        <v>0</v>
      </c>
      <c r="L32" s="209"/>
      <c r="M32" s="37">
        <f t="shared" ref="M32:M34" si="8">M31+K32-L32</f>
        <v>5405</v>
      </c>
    </row>
    <row r="33" spans="1:14">
      <c r="A33" s="26">
        <v>28</v>
      </c>
      <c r="B33" s="27">
        <v>46021</v>
      </c>
      <c r="C33" s="114"/>
      <c r="D33" s="35"/>
      <c r="E33" s="37"/>
      <c r="F33" s="37"/>
      <c r="G33" s="37">
        <f t="shared" si="5"/>
        <v>0</v>
      </c>
      <c r="H33" s="382"/>
      <c r="I33" s="382"/>
      <c r="J33" s="37">
        <f t="shared" si="6"/>
        <v>0</v>
      </c>
      <c r="K33" s="37">
        <f t="shared" si="7"/>
        <v>0</v>
      </c>
      <c r="L33" s="209"/>
      <c r="M33" s="37">
        <f t="shared" si="8"/>
        <v>5405</v>
      </c>
    </row>
    <row r="34" spans="1:14">
      <c r="A34" s="26">
        <v>28</v>
      </c>
      <c r="B34" s="27">
        <v>46022</v>
      </c>
      <c r="C34" s="114"/>
      <c r="D34" s="35"/>
      <c r="E34" s="37"/>
      <c r="F34" s="37"/>
      <c r="G34" s="37">
        <f t="shared" si="5"/>
        <v>0</v>
      </c>
      <c r="H34" s="382"/>
      <c r="I34" s="382"/>
      <c r="J34" s="37">
        <f t="shared" si="6"/>
        <v>0</v>
      </c>
      <c r="K34" s="37">
        <f t="shared" si="7"/>
        <v>0</v>
      </c>
      <c r="L34" s="209"/>
      <c r="M34" s="37">
        <f t="shared" si="8"/>
        <v>5405</v>
      </c>
    </row>
    <row r="35" spans="1:14">
      <c r="A35" s="68"/>
      <c r="B35" s="68"/>
      <c r="C35" s="68"/>
      <c r="D35" s="68"/>
      <c r="E35" s="273">
        <f>SUM(E4:E34)</f>
        <v>0</v>
      </c>
      <c r="F35" s="273"/>
      <c r="G35" s="69">
        <f>SUM(G4:G34)</f>
        <v>0</v>
      </c>
      <c r="H35" s="69">
        <f>SUM(H4:H34)</f>
        <v>50</v>
      </c>
      <c r="I35" s="69"/>
      <c r="J35" s="69">
        <f>SUM(J4:J34)</f>
        <v>5405</v>
      </c>
      <c r="K35" s="69">
        <f>SUM(K4:K34)</f>
        <v>5405</v>
      </c>
      <c r="L35" s="69">
        <f>SUM(L4:L34)</f>
        <v>0</v>
      </c>
      <c r="M35" s="69"/>
      <c r="N35" s="69"/>
    </row>
  </sheetData>
  <mergeCells count="2">
    <mergeCell ref="A1:N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7CF9-90F8-4EA7-A54C-C64C8019A5D6}">
  <dimension ref="A1:R44"/>
  <sheetViews>
    <sheetView topLeftCell="A13" workbookViewId="0">
      <selection activeCell="M31" sqref="M31"/>
    </sheetView>
  </sheetViews>
  <sheetFormatPr defaultRowHeight="15"/>
  <cols>
    <col min="5" max="5" width="10.85546875" bestFit="1" customWidth="1"/>
    <col min="7" max="7" width="13.7109375" bestFit="1" customWidth="1"/>
    <col min="9" max="9" width="7.140625" bestFit="1" customWidth="1"/>
    <col min="11" max="12" width="13.5703125" bestFit="1" customWidth="1"/>
    <col min="13" max="13" width="11.5703125" bestFit="1" customWidth="1"/>
    <col min="14" max="14" width="10.7109375" bestFit="1" customWidth="1"/>
  </cols>
  <sheetData>
    <row r="1" spans="1:18" ht="15.75">
      <c r="A1" s="461" t="s">
        <v>26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8"/>
    </row>
    <row r="2" spans="1:18" ht="45">
      <c r="A2" s="104" t="s">
        <v>122</v>
      </c>
      <c r="B2" s="105" t="s">
        <v>123</v>
      </c>
      <c r="C2" s="105" t="s">
        <v>124</v>
      </c>
      <c r="D2" s="105" t="s">
        <v>139</v>
      </c>
      <c r="E2" s="271" t="s">
        <v>126</v>
      </c>
      <c r="F2" s="271" t="s">
        <v>127</v>
      </c>
      <c r="G2" s="105" t="s">
        <v>128</v>
      </c>
      <c r="H2" s="105" t="s">
        <v>129</v>
      </c>
      <c r="I2" s="105" t="s">
        <v>127</v>
      </c>
      <c r="J2" s="145" t="s">
        <v>128</v>
      </c>
      <c r="K2" s="106" t="s">
        <v>130</v>
      </c>
      <c r="L2" s="146" t="s">
        <v>131</v>
      </c>
      <c r="M2" s="150" t="s">
        <v>138</v>
      </c>
      <c r="N2" s="107" t="s">
        <v>133</v>
      </c>
      <c r="O2" s="65"/>
    </row>
    <row r="3" spans="1:18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65">
        <v>34600.432999999888</v>
      </c>
      <c r="N3" s="164"/>
      <c r="O3" s="65">
        <v>121213.36599999985</v>
      </c>
    </row>
    <row r="4" spans="1:18">
      <c r="A4" s="208">
        <v>1</v>
      </c>
      <c r="B4" s="233">
        <v>45992</v>
      </c>
      <c r="C4" s="73"/>
      <c r="D4" s="374"/>
      <c r="E4" s="284">
        <v>93.4</v>
      </c>
      <c r="F4" s="360">
        <v>97.1</v>
      </c>
      <c r="G4" s="8">
        <f t="shared" ref="G4" si="0">E4*F4</f>
        <v>9069.14</v>
      </c>
      <c r="H4" s="71"/>
      <c r="I4" s="320"/>
      <c r="J4" s="8">
        <f>H4*I4</f>
        <v>0</v>
      </c>
      <c r="K4" s="8">
        <f>G4+J4</f>
        <v>9069.14</v>
      </c>
      <c r="L4" s="74"/>
      <c r="M4" s="74">
        <f>+M3+K4-L4</f>
        <v>43669.572999999888</v>
      </c>
      <c r="N4" s="8"/>
    </row>
    <row r="5" spans="1:18">
      <c r="A5" s="50">
        <v>2</v>
      </c>
      <c r="B5" s="233">
        <v>45993</v>
      </c>
      <c r="C5" s="73"/>
      <c r="D5" s="374"/>
      <c r="E5" s="284"/>
      <c r="F5" s="360"/>
      <c r="G5" s="8">
        <f t="shared" ref="G5:G34" si="1">E5*F5</f>
        <v>0</v>
      </c>
      <c r="H5" s="71"/>
      <c r="I5" s="320"/>
      <c r="J5" s="8">
        <f t="shared" ref="J5:J34" si="2">H5*I5</f>
        <v>0</v>
      </c>
      <c r="K5" s="8">
        <f t="shared" ref="K5:K34" si="3">G5+J5</f>
        <v>0</v>
      </c>
      <c r="L5" s="74"/>
      <c r="M5" s="74">
        <f t="shared" ref="M5:M18" si="4">+M4+K5-L5</f>
        <v>43669.572999999888</v>
      </c>
      <c r="N5" s="8"/>
    </row>
    <row r="6" spans="1:18">
      <c r="A6" s="50">
        <v>3</v>
      </c>
      <c r="B6" s="233">
        <v>45994</v>
      </c>
      <c r="C6" s="73"/>
      <c r="D6" s="374"/>
      <c r="E6" s="272"/>
      <c r="F6" s="360"/>
      <c r="G6" s="43">
        <f t="shared" si="1"/>
        <v>0</v>
      </c>
      <c r="H6" s="71"/>
      <c r="I6" s="320"/>
      <c r="J6" s="8">
        <f t="shared" si="2"/>
        <v>0</v>
      </c>
      <c r="K6" s="8">
        <f t="shared" si="3"/>
        <v>0</v>
      </c>
      <c r="L6" s="74"/>
      <c r="M6" s="74">
        <f t="shared" si="4"/>
        <v>43669.572999999888</v>
      </c>
      <c r="N6" s="8"/>
    </row>
    <row r="7" spans="1:18">
      <c r="A7" s="50">
        <v>4</v>
      </c>
      <c r="B7" s="233">
        <v>45995</v>
      </c>
      <c r="C7" s="73"/>
      <c r="D7" s="374"/>
      <c r="E7" s="272">
        <v>35</v>
      </c>
      <c r="F7" s="360">
        <v>97.1</v>
      </c>
      <c r="G7" s="8">
        <f t="shared" si="1"/>
        <v>3398.5</v>
      </c>
      <c r="H7" s="71"/>
      <c r="I7" s="320"/>
      <c r="J7" s="8">
        <f t="shared" si="2"/>
        <v>0</v>
      </c>
      <c r="K7" s="8">
        <f t="shared" si="3"/>
        <v>3398.5</v>
      </c>
      <c r="L7" s="74"/>
      <c r="M7" s="74">
        <f t="shared" si="4"/>
        <v>47068.072999999888</v>
      </c>
      <c r="N7" s="8"/>
    </row>
    <row r="8" spans="1:18">
      <c r="A8" s="50">
        <v>5</v>
      </c>
      <c r="B8" s="233">
        <v>45996</v>
      </c>
      <c r="C8" s="73"/>
      <c r="D8" s="374"/>
      <c r="E8" s="272"/>
      <c r="F8" s="360"/>
      <c r="G8" s="8">
        <f t="shared" si="1"/>
        <v>0</v>
      </c>
      <c r="H8" s="71"/>
      <c r="I8" s="72"/>
      <c r="J8" s="8">
        <f t="shared" si="2"/>
        <v>0</v>
      </c>
      <c r="K8" s="8">
        <f t="shared" si="3"/>
        <v>0</v>
      </c>
      <c r="L8" s="74"/>
      <c r="M8" s="74">
        <f t="shared" si="4"/>
        <v>47068.072999999888</v>
      </c>
      <c r="N8" s="8"/>
      <c r="O8" s="75"/>
      <c r="R8" s="240"/>
    </row>
    <row r="9" spans="1:18">
      <c r="A9" s="50">
        <v>6</v>
      </c>
      <c r="B9" s="233">
        <v>45997</v>
      </c>
      <c r="C9" s="73"/>
      <c r="D9" s="374"/>
      <c r="E9" s="272">
        <v>39</v>
      </c>
      <c r="F9" s="360">
        <v>97.1</v>
      </c>
      <c r="G9" s="8">
        <f t="shared" si="1"/>
        <v>3786.8999999999996</v>
      </c>
      <c r="H9" s="71"/>
      <c r="I9" s="320"/>
      <c r="J9" s="8">
        <f t="shared" si="2"/>
        <v>0</v>
      </c>
      <c r="K9" s="8">
        <f t="shared" si="3"/>
        <v>3786.8999999999996</v>
      </c>
      <c r="L9" s="74"/>
      <c r="M9" s="74">
        <f t="shared" si="4"/>
        <v>50854.972999999889</v>
      </c>
      <c r="N9" s="8"/>
      <c r="O9" s="75"/>
    </row>
    <row r="10" spans="1:18">
      <c r="A10" s="50">
        <v>7</v>
      </c>
      <c r="B10" s="233">
        <v>45998</v>
      </c>
      <c r="C10" s="73"/>
      <c r="D10" s="374"/>
      <c r="E10" s="272"/>
      <c r="F10" s="360"/>
      <c r="G10" s="8">
        <f t="shared" si="1"/>
        <v>0</v>
      </c>
      <c r="H10" s="71"/>
      <c r="I10" s="320"/>
      <c r="J10" s="8">
        <f t="shared" si="2"/>
        <v>0</v>
      </c>
      <c r="K10" s="8">
        <f t="shared" si="3"/>
        <v>0</v>
      </c>
      <c r="L10" s="74"/>
      <c r="M10" s="74">
        <f t="shared" si="4"/>
        <v>50854.972999999889</v>
      </c>
      <c r="N10" s="8"/>
      <c r="O10" s="75"/>
    </row>
    <row r="11" spans="1:18">
      <c r="A11" s="50">
        <v>8</v>
      </c>
      <c r="B11" s="233">
        <v>45999</v>
      </c>
      <c r="C11" s="73"/>
      <c r="D11" s="374"/>
      <c r="E11" s="272"/>
      <c r="F11" s="360"/>
      <c r="G11" s="8">
        <f t="shared" si="1"/>
        <v>0</v>
      </c>
      <c r="H11" s="71">
        <v>5</v>
      </c>
      <c r="I11" s="320">
        <v>108.93</v>
      </c>
      <c r="J11" s="8">
        <f t="shared" si="2"/>
        <v>544.65000000000009</v>
      </c>
      <c r="K11" s="8">
        <f t="shared" si="3"/>
        <v>544.65000000000009</v>
      </c>
      <c r="L11" s="74"/>
      <c r="M11" s="74">
        <f t="shared" si="4"/>
        <v>51399.62299999989</v>
      </c>
      <c r="N11" s="8"/>
      <c r="O11" s="75"/>
    </row>
    <row r="12" spans="1:18">
      <c r="A12" s="50">
        <v>9</v>
      </c>
      <c r="B12" s="233">
        <v>46000</v>
      </c>
      <c r="C12" s="73"/>
      <c r="D12" s="374"/>
      <c r="E12" s="272"/>
      <c r="F12" s="360"/>
      <c r="G12" s="8">
        <f t="shared" si="1"/>
        <v>0</v>
      </c>
      <c r="H12" s="71"/>
      <c r="I12" s="72"/>
      <c r="J12" s="8">
        <f t="shared" si="2"/>
        <v>0</v>
      </c>
      <c r="K12" s="8">
        <f t="shared" si="3"/>
        <v>0</v>
      </c>
      <c r="L12" s="74"/>
      <c r="M12" s="74">
        <f t="shared" si="4"/>
        <v>51399.62299999989</v>
      </c>
      <c r="N12" s="8"/>
      <c r="O12" s="75"/>
    </row>
    <row r="13" spans="1:18">
      <c r="A13" s="50">
        <v>10</v>
      </c>
      <c r="B13" s="233">
        <v>46001</v>
      </c>
      <c r="C13" s="73"/>
      <c r="D13" s="374"/>
      <c r="E13" s="272"/>
      <c r="F13" s="360"/>
      <c r="G13" s="8">
        <f t="shared" si="1"/>
        <v>0</v>
      </c>
      <c r="H13" s="71"/>
      <c r="I13" s="72"/>
      <c r="J13" s="8">
        <f t="shared" si="2"/>
        <v>0</v>
      </c>
      <c r="K13" s="8">
        <f t="shared" si="3"/>
        <v>0</v>
      </c>
      <c r="L13" s="74"/>
      <c r="M13" s="74">
        <f t="shared" si="4"/>
        <v>51399.62299999989</v>
      </c>
      <c r="N13" s="8"/>
      <c r="O13" s="75"/>
    </row>
    <row r="14" spans="1:18">
      <c r="A14" s="50">
        <v>11</v>
      </c>
      <c r="B14" s="233">
        <v>46002</v>
      </c>
      <c r="C14" s="73"/>
      <c r="D14" s="374"/>
      <c r="E14" s="272">
        <v>37.28</v>
      </c>
      <c r="F14" s="360">
        <v>97.1</v>
      </c>
      <c r="G14" s="8">
        <f t="shared" si="1"/>
        <v>3619.8879999999999</v>
      </c>
      <c r="H14" s="71">
        <v>5</v>
      </c>
      <c r="I14" s="320">
        <v>108.83</v>
      </c>
      <c r="J14" s="8">
        <f t="shared" si="2"/>
        <v>544.15</v>
      </c>
      <c r="K14" s="8">
        <f t="shared" si="3"/>
        <v>4164.0379999999996</v>
      </c>
      <c r="L14" s="74"/>
      <c r="M14" s="74">
        <f t="shared" si="4"/>
        <v>55563.660999999891</v>
      </c>
      <c r="N14" s="8"/>
      <c r="O14" s="75"/>
    </row>
    <row r="15" spans="1:18">
      <c r="A15" s="50">
        <v>12</v>
      </c>
      <c r="B15" s="233">
        <v>46003</v>
      </c>
      <c r="C15" s="73"/>
      <c r="D15" s="374"/>
      <c r="E15" s="272"/>
      <c r="F15" s="360"/>
      <c r="G15" s="8">
        <f t="shared" si="1"/>
        <v>0</v>
      </c>
      <c r="H15" s="71"/>
      <c r="I15" s="320"/>
      <c r="J15" s="8">
        <f t="shared" si="2"/>
        <v>0</v>
      </c>
      <c r="K15" s="8">
        <f t="shared" si="3"/>
        <v>0</v>
      </c>
      <c r="L15" s="74"/>
      <c r="M15" s="74">
        <f t="shared" si="4"/>
        <v>55563.660999999891</v>
      </c>
      <c r="N15" s="8"/>
      <c r="O15" s="75"/>
    </row>
    <row r="16" spans="1:18">
      <c r="A16" s="50">
        <v>13</v>
      </c>
      <c r="B16" s="233">
        <v>46004</v>
      </c>
      <c r="C16" s="73"/>
      <c r="D16" s="375"/>
      <c r="E16" s="272"/>
      <c r="F16" s="360"/>
      <c r="G16" s="8">
        <f t="shared" si="1"/>
        <v>0</v>
      </c>
      <c r="H16" s="71">
        <v>5</v>
      </c>
      <c r="I16" s="320">
        <v>108.83</v>
      </c>
      <c r="J16" s="8">
        <f t="shared" si="2"/>
        <v>544.15</v>
      </c>
      <c r="K16" s="8">
        <f t="shared" si="3"/>
        <v>544.15</v>
      </c>
      <c r="L16" s="74"/>
      <c r="M16" s="74">
        <f t="shared" si="4"/>
        <v>56107.810999999892</v>
      </c>
      <c r="N16" s="8"/>
      <c r="O16" s="75"/>
    </row>
    <row r="17" spans="1:17">
      <c r="A17" s="50">
        <v>14</v>
      </c>
      <c r="B17" s="233">
        <v>46005</v>
      </c>
      <c r="C17" s="73"/>
      <c r="D17" s="374"/>
      <c r="E17" s="272"/>
      <c r="F17" s="360"/>
      <c r="G17" s="8">
        <f t="shared" si="1"/>
        <v>0</v>
      </c>
      <c r="H17" s="71"/>
      <c r="I17" s="320"/>
      <c r="J17" s="8">
        <f t="shared" si="2"/>
        <v>0</v>
      </c>
      <c r="K17" s="8">
        <f t="shared" si="3"/>
        <v>0</v>
      </c>
      <c r="L17" s="74"/>
      <c r="M17" s="74">
        <f t="shared" si="4"/>
        <v>56107.810999999892</v>
      </c>
      <c r="N17" s="8"/>
      <c r="O17" s="75"/>
    </row>
    <row r="18" spans="1:17">
      <c r="A18" s="50">
        <v>15</v>
      </c>
      <c r="B18" s="233">
        <v>46006</v>
      </c>
      <c r="C18" s="73"/>
      <c r="D18" s="374"/>
      <c r="E18" s="272"/>
      <c r="F18" s="360"/>
      <c r="G18" s="8">
        <f t="shared" si="1"/>
        <v>0</v>
      </c>
      <c r="H18" s="71"/>
      <c r="I18" s="72"/>
      <c r="J18" s="8">
        <f t="shared" si="2"/>
        <v>0</v>
      </c>
      <c r="K18" s="8">
        <f t="shared" si="3"/>
        <v>0</v>
      </c>
      <c r="L18" s="74"/>
      <c r="M18" s="74">
        <f t="shared" si="4"/>
        <v>56107.810999999892</v>
      </c>
      <c r="N18" s="192"/>
      <c r="O18" s="75"/>
    </row>
    <row r="19" spans="1:17">
      <c r="A19" s="50">
        <v>16</v>
      </c>
      <c r="B19" s="233">
        <v>46007</v>
      </c>
      <c r="C19" s="73"/>
      <c r="D19" s="374"/>
      <c r="E19" s="272"/>
      <c r="F19" s="360"/>
      <c r="G19" s="8">
        <f t="shared" si="1"/>
        <v>0</v>
      </c>
      <c r="H19" s="71"/>
      <c r="I19" s="320"/>
      <c r="J19" s="8">
        <f t="shared" si="2"/>
        <v>0</v>
      </c>
      <c r="K19" s="8">
        <f t="shared" si="3"/>
        <v>0</v>
      </c>
      <c r="L19" s="74">
        <v>55563</v>
      </c>
      <c r="M19" s="300">
        <f t="shared" ref="M19:M34" si="5">+M18+K19-L19</f>
        <v>544.81099999989237</v>
      </c>
      <c r="N19" s="299" t="s">
        <v>141</v>
      </c>
      <c r="O19" s="75"/>
    </row>
    <row r="20" spans="1:17">
      <c r="A20" s="50">
        <v>17</v>
      </c>
      <c r="B20" s="233">
        <v>46008</v>
      </c>
      <c r="C20" s="73"/>
      <c r="D20" s="374"/>
      <c r="E20" s="272"/>
      <c r="F20" s="360"/>
      <c r="G20" s="8">
        <f t="shared" si="1"/>
        <v>0</v>
      </c>
      <c r="H20" s="71"/>
      <c r="I20" s="320"/>
      <c r="J20" s="8">
        <f t="shared" si="2"/>
        <v>0</v>
      </c>
      <c r="K20" s="8">
        <f t="shared" si="3"/>
        <v>0</v>
      </c>
      <c r="L20" s="74"/>
      <c r="M20" s="74">
        <f t="shared" si="5"/>
        <v>544.81099999989237</v>
      </c>
      <c r="N20" s="19"/>
      <c r="O20" s="75"/>
    </row>
    <row r="21" spans="1:17">
      <c r="A21" s="50">
        <v>18</v>
      </c>
      <c r="B21" s="233">
        <v>46009</v>
      </c>
      <c r="C21" s="73"/>
      <c r="D21" s="374"/>
      <c r="E21" s="272"/>
      <c r="F21" s="360"/>
      <c r="G21" s="8">
        <f t="shared" si="1"/>
        <v>0</v>
      </c>
      <c r="H21" s="71"/>
      <c r="I21" s="320"/>
      <c r="J21" s="8">
        <f t="shared" si="2"/>
        <v>0</v>
      </c>
      <c r="K21" s="8">
        <f t="shared" si="3"/>
        <v>0</v>
      </c>
      <c r="L21" s="74"/>
      <c r="M21" s="74">
        <f t="shared" si="5"/>
        <v>544.81099999989237</v>
      </c>
      <c r="N21" s="8"/>
      <c r="O21" s="75"/>
    </row>
    <row r="22" spans="1:17">
      <c r="A22" s="50">
        <v>19</v>
      </c>
      <c r="B22" s="233">
        <v>46010</v>
      </c>
      <c r="C22" s="73"/>
      <c r="D22" s="374"/>
      <c r="E22" s="272"/>
      <c r="F22" s="360"/>
      <c r="G22" s="8">
        <f t="shared" si="1"/>
        <v>0</v>
      </c>
      <c r="H22" s="71"/>
      <c r="I22" s="72"/>
      <c r="J22" s="8">
        <f t="shared" si="2"/>
        <v>0</v>
      </c>
      <c r="K22" s="8">
        <f t="shared" si="3"/>
        <v>0</v>
      </c>
      <c r="L22" s="74"/>
      <c r="M22" s="74">
        <f t="shared" si="5"/>
        <v>544.81099999989237</v>
      </c>
      <c r="N22" s="8"/>
      <c r="O22" s="75"/>
      <c r="Q22" s="22"/>
    </row>
    <row r="23" spans="1:17">
      <c r="A23" s="50">
        <v>20</v>
      </c>
      <c r="B23" s="233">
        <v>46011</v>
      </c>
      <c r="C23" s="73"/>
      <c r="D23" s="374"/>
      <c r="E23" s="272"/>
      <c r="F23" s="360"/>
      <c r="G23" s="8">
        <f t="shared" si="1"/>
        <v>0</v>
      </c>
      <c r="H23" s="71"/>
      <c r="I23" s="320"/>
      <c r="J23" s="8">
        <f t="shared" si="2"/>
        <v>0</v>
      </c>
      <c r="K23" s="8">
        <f t="shared" si="3"/>
        <v>0</v>
      </c>
      <c r="L23" s="74"/>
      <c r="M23" s="74">
        <f t="shared" si="5"/>
        <v>544.81099999989237</v>
      </c>
      <c r="N23" s="8"/>
      <c r="O23" s="75"/>
    </row>
    <row r="24" spans="1:17">
      <c r="A24" s="50">
        <v>21</v>
      </c>
      <c r="B24" s="233">
        <v>46012</v>
      </c>
      <c r="C24" s="73"/>
      <c r="D24" s="374"/>
      <c r="E24" s="272"/>
      <c r="F24" s="360"/>
      <c r="G24" s="8">
        <f t="shared" si="1"/>
        <v>0</v>
      </c>
      <c r="H24" s="71"/>
      <c r="I24" s="320"/>
      <c r="J24" s="8">
        <f t="shared" si="2"/>
        <v>0</v>
      </c>
      <c r="K24" s="8">
        <f t="shared" si="3"/>
        <v>0</v>
      </c>
      <c r="L24" s="74"/>
      <c r="M24" s="74">
        <f t="shared" si="5"/>
        <v>544.81099999989237</v>
      </c>
      <c r="N24" s="8"/>
      <c r="O24" s="75"/>
    </row>
    <row r="25" spans="1:17">
      <c r="A25" s="50">
        <v>22</v>
      </c>
      <c r="B25" s="233">
        <v>46013</v>
      </c>
      <c r="C25" s="73"/>
      <c r="D25" s="374"/>
      <c r="E25" s="272">
        <v>35</v>
      </c>
      <c r="F25" s="360">
        <v>97.1</v>
      </c>
      <c r="G25" s="8">
        <f t="shared" si="1"/>
        <v>3398.5</v>
      </c>
      <c r="H25" s="71"/>
      <c r="I25" s="320"/>
      <c r="J25" s="8">
        <f t="shared" si="2"/>
        <v>0</v>
      </c>
      <c r="K25" s="8">
        <f t="shared" si="3"/>
        <v>3398.5</v>
      </c>
      <c r="L25" s="74"/>
      <c r="M25" s="74">
        <f t="shared" si="5"/>
        <v>3943.3109999998924</v>
      </c>
      <c r="N25" s="8"/>
      <c r="O25" s="75"/>
    </row>
    <row r="26" spans="1:17">
      <c r="A26" s="50">
        <v>23</v>
      </c>
      <c r="B26" s="233">
        <v>46014</v>
      </c>
      <c r="C26" s="73"/>
      <c r="D26" s="374"/>
      <c r="E26" s="272"/>
      <c r="F26" s="360"/>
      <c r="G26" s="8">
        <f t="shared" si="1"/>
        <v>0</v>
      </c>
      <c r="H26" s="71"/>
      <c r="I26" s="320"/>
      <c r="J26" s="8">
        <f t="shared" si="2"/>
        <v>0</v>
      </c>
      <c r="K26" s="8">
        <f t="shared" si="3"/>
        <v>0</v>
      </c>
      <c r="L26" s="74"/>
      <c r="M26" s="74">
        <f t="shared" si="5"/>
        <v>3943.3109999998924</v>
      </c>
      <c r="N26" s="8"/>
      <c r="O26" s="75"/>
    </row>
    <row r="27" spans="1:17">
      <c r="A27" s="50">
        <v>24</v>
      </c>
      <c r="B27" s="233">
        <v>46015</v>
      </c>
      <c r="C27" s="73"/>
      <c r="D27" s="374"/>
      <c r="E27" s="272"/>
      <c r="F27" s="360"/>
      <c r="G27" s="8">
        <f t="shared" si="1"/>
        <v>0</v>
      </c>
      <c r="H27" s="71"/>
      <c r="I27" s="72"/>
      <c r="J27" s="8">
        <f t="shared" si="2"/>
        <v>0</v>
      </c>
      <c r="K27" s="8">
        <f t="shared" si="3"/>
        <v>0</v>
      </c>
      <c r="L27" s="74"/>
      <c r="M27" s="74">
        <f t="shared" si="5"/>
        <v>3943.3109999998924</v>
      </c>
      <c r="N27" s="8"/>
      <c r="O27" s="75"/>
    </row>
    <row r="28" spans="1:17">
      <c r="A28" s="235">
        <v>25</v>
      </c>
      <c r="B28" s="233">
        <v>46016</v>
      </c>
      <c r="C28" s="73"/>
      <c r="D28" s="374"/>
      <c r="E28" s="272"/>
      <c r="F28" s="360"/>
      <c r="G28" s="8">
        <f t="shared" si="1"/>
        <v>0</v>
      </c>
      <c r="H28" s="71">
        <v>5</v>
      </c>
      <c r="I28" s="72">
        <v>108.3</v>
      </c>
      <c r="J28" s="8">
        <f t="shared" si="2"/>
        <v>541.5</v>
      </c>
      <c r="K28" s="8">
        <f t="shared" si="3"/>
        <v>541.5</v>
      </c>
      <c r="L28" s="74"/>
      <c r="M28" s="74">
        <f t="shared" si="5"/>
        <v>4484.8109999998924</v>
      </c>
      <c r="N28" s="8"/>
      <c r="O28" s="75"/>
    </row>
    <row r="29" spans="1:17">
      <c r="A29" s="235">
        <v>26</v>
      </c>
      <c r="B29" s="233">
        <v>46017</v>
      </c>
      <c r="C29" s="73"/>
      <c r="D29" s="374"/>
      <c r="E29" s="272"/>
      <c r="F29" s="360"/>
      <c r="G29" s="8">
        <f t="shared" si="1"/>
        <v>0</v>
      </c>
      <c r="H29" s="71"/>
      <c r="I29" s="320"/>
      <c r="J29" s="8">
        <f t="shared" si="2"/>
        <v>0</v>
      </c>
      <c r="K29" s="8">
        <f t="shared" si="3"/>
        <v>0</v>
      </c>
      <c r="L29" s="74"/>
      <c r="M29" s="74">
        <f t="shared" si="5"/>
        <v>4484.8109999998924</v>
      </c>
      <c r="N29" s="8"/>
      <c r="O29" s="75"/>
    </row>
    <row r="30" spans="1:17">
      <c r="A30" s="235">
        <v>27</v>
      </c>
      <c r="B30" s="233">
        <v>46018</v>
      </c>
      <c r="C30" s="73"/>
      <c r="D30" s="374"/>
      <c r="E30" s="272"/>
      <c r="F30" s="360"/>
      <c r="G30" s="8">
        <f t="shared" si="1"/>
        <v>0</v>
      </c>
      <c r="H30" s="71"/>
      <c r="I30" s="72"/>
      <c r="J30" s="8">
        <f t="shared" si="2"/>
        <v>0</v>
      </c>
      <c r="K30" s="8">
        <f t="shared" si="3"/>
        <v>0</v>
      </c>
      <c r="L30" s="74"/>
      <c r="M30" s="74">
        <f t="shared" si="5"/>
        <v>4484.8109999998924</v>
      </c>
      <c r="N30" s="8"/>
      <c r="O30" s="75"/>
    </row>
    <row r="31" spans="1:17">
      <c r="A31" s="235">
        <v>28</v>
      </c>
      <c r="B31" s="233">
        <v>46019</v>
      </c>
      <c r="C31" s="73"/>
      <c r="D31" s="374"/>
      <c r="E31" s="272"/>
      <c r="F31" s="360"/>
      <c r="G31" s="8">
        <f t="shared" si="1"/>
        <v>0</v>
      </c>
      <c r="H31" s="71">
        <v>5</v>
      </c>
      <c r="I31" s="72">
        <v>108.3</v>
      </c>
      <c r="J31" s="8">
        <f t="shared" si="2"/>
        <v>541.5</v>
      </c>
      <c r="K31" s="8">
        <f t="shared" si="3"/>
        <v>541.5</v>
      </c>
      <c r="L31" s="74"/>
      <c r="M31" s="74">
        <f t="shared" si="5"/>
        <v>5026.3109999998924</v>
      </c>
      <c r="N31" s="8"/>
      <c r="O31" s="75"/>
    </row>
    <row r="32" spans="1:17">
      <c r="A32" s="236">
        <v>29</v>
      </c>
      <c r="B32" s="233">
        <v>46020</v>
      </c>
      <c r="C32" s="73"/>
      <c r="D32" s="374"/>
      <c r="E32" s="272"/>
      <c r="F32" s="360"/>
      <c r="G32" s="8">
        <f t="shared" si="1"/>
        <v>0</v>
      </c>
      <c r="H32" s="71"/>
      <c r="I32" s="72"/>
      <c r="J32" s="8">
        <f t="shared" si="2"/>
        <v>0</v>
      </c>
      <c r="K32" s="8">
        <f t="shared" si="3"/>
        <v>0</v>
      </c>
      <c r="L32" s="74"/>
      <c r="M32" s="74">
        <f t="shared" si="5"/>
        <v>5026.3109999998924</v>
      </c>
      <c r="N32" s="8"/>
      <c r="O32" s="75"/>
    </row>
    <row r="33" spans="1:15">
      <c r="A33" s="236">
        <v>30</v>
      </c>
      <c r="B33" s="233">
        <v>46021</v>
      </c>
      <c r="C33" s="73"/>
      <c r="D33" s="374"/>
      <c r="E33" s="272"/>
      <c r="F33" s="360"/>
      <c r="G33" s="8">
        <f t="shared" si="1"/>
        <v>0</v>
      </c>
      <c r="H33" s="71"/>
      <c r="I33" s="72"/>
      <c r="J33" s="8">
        <f t="shared" si="2"/>
        <v>0</v>
      </c>
      <c r="K33" s="8">
        <f t="shared" si="3"/>
        <v>0</v>
      </c>
      <c r="L33" s="74"/>
      <c r="M33" s="74">
        <f t="shared" si="5"/>
        <v>5026.3109999998924</v>
      </c>
      <c r="N33" s="8"/>
      <c r="O33" s="75"/>
    </row>
    <row r="34" spans="1:15">
      <c r="A34" s="236">
        <v>31</v>
      </c>
      <c r="B34" s="233">
        <v>46022</v>
      </c>
      <c r="C34" s="73"/>
      <c r="D34" s="374"/>
      <c r="E34" s="272"/>
      <c r="F34" s="272"/>
      <c r="G34" s="8">
        <f t="shared" si="1"/>
        <v>0</v>
      </c>
      <c r="H34" s="71"/>
      <c r="I34" s="72"/>
      <c r="J34" s="8">
        <f t="shared" si="2"/>
        <v>0</v>
      </c>
      <c r="K34" s="8">
        <f t="shared" si="3"/>
        <v>0</v>
      </c>
      <c r="L34" s="74"/>
      <c r="M34" s="74">
        <f t="shared" si="5"/>
        <v>5026.3109999998924</v>
      </c>
      <c r="N34" s="8"/>
      <c r="O34" s="75"/>
    </row>
    <row r="35" spans="1:15">
      <c r="A35" s="68"/>
      <c r="B35" s="68"/>
      <c r="C35" s="68"/>
      <c r="D35" s="68"/>
      <c r="E35" s="273">
        <f>SUM(E4:E34)</f>
        <v>239.68</v>
      </c>
      <c r="F35" s="273"/>
      <c r="G35" s="69">
        <f>SUM(G4:G34)</f>
        <v>23272.928</v>
      </c>
      <c r="H35" s="69">
        <f>SUM(H4:H34)</f>
        <v>25</v>
      </c>
      <c r="I35" s="69"/>
      <c r="J35" s="69">
        <f>SUM(J4:J34)</f>
        <v>2715.9500000000003</v>
      </c>
      <c r="K35" s="69">
        <f>SUM(K4:K34)</f>
        <v>25988.878000000001</v>
      </c>
      <c r="L35" s="69">
        <f>SUM(L4:L34)</f>
        <v>55563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72"/>
      <c r="C43" s="472"/>
      <c r="D43" s="472"/>
      <c r="E43" s="472"/>
      <c r="F43" s="75"/>
      <c r="G43" s="75"/>
      <c r="H43" s="75"/>
      <c r="I43" s="472"/>
      <c r="J43" s="472"/>
      <c r="K43" s="472"/>
      <c r="L43" s="472"/>
      <c r="M43" s="472"/>
      <c r="N43" s="472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hyperlinks>
    <hyperlink ref="N19" r:id="rId1" xr:uid="{D157A590-9512-4734-821E-E8C1B924315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0E53-C6E4-49B5-8886-5922140E07C1}">
  <dimension ref="A1:R44"/>
  <sheetViews>
    <sheetView topLeftCell="A13" workbookViewId="0">
      <selection activeCell="M18" sqref="M18"/>
    </sheetView>
  </sheetViews>
  <sheetFormatPr defaultRowHeight="15"/>
  <cols>
    <col min="2" max="2" width="10.140625" bestFit="1" customWidth="1"/>
    <col min="7" max="7" width="11.85546875" bestFit="1" customWidth="1"/>
    <col min="11" max="11" width="13.5703125" bestFit="1" customWidth="1"/>
    <col min="12" max="12" width="13.140625" bestFit="1" customWidth="1"/>
    <col min="13" max="13" width="11.85546875" bestFit="1" customWidth="1"/>
  </cols>
  <sheetData>
    <row r="1" spans="1:18" ht="15.75">
      <c r="A1" s="461" t="s">
        <v>20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8"/>
    </row>
    <row r="2" spans="1:18" ht="30.75">
      <c r="A2" s="104" t="s">
        <v>122</v>
      </c>
      <c r="B2" s="105" t="s">
        <v>123</v>
      </c>
      <c r="C2" s="105" t="s">
        <v>124</v>
      </c>
      <c r="D2" s="105" t="s">
        <v>139</v>
      </c>
      <c r="E2" s="271" t="s">
        <v>126</v>
      </c>
      <c r="F2" s="271" t="s">
        <v>127</v>
      </c>
      <c r="G2" s="105" t="s">
        <v>128</v>
      </c>
      <c r="H2" s="105" t="s">
        <v>129</v>
      </c>
      <c r="I2" s="105" t="s">
        <v>127</v>
      </c>
      <c r="J2" s="145" t="s">
        <v>128</v>
      </c>
      <c r="K2" s="106" t="s">
        <v>130</v>
      </c>
      <c r="L2" s="146" t="s">
        <v>131</v>
      </c>
      <c r="M2" s="150" t="s">
        <v>138</v>
      </c>
      <c r="N2" s="107" t="s">
        <v>133</v>
      </c>
      <c r="O2" s="65"/>
    </row>
    <row r="3" spans="1:18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155">
        <v>66053.768499999976</v>
      </c>
      <c r="N3" s="164"/>
      <c r="O3" s="65"/>
    </row>
    <row r="4" spans="1:18">
      <c r="A4" s="208">
        <v>1</v>
      </c>
      <c r="B4" s="233">
        <v>45992</v>
      </c>
      <c r="C4" s="73"/>
      <c r="D4" s="167"/>
      <c r="E4" s="272"/>
      <c r="F4" s="272"/>
      <c r="G4" s="8">
        <f t="shared" ref="G4:G34" si="0"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v>0</v>
      </c>
      <c r="M4" s="74">
        <f>+M3+K4-L4</f>
        <v>66053.768499999976</v>
      </c>
      <c r="N4" s="8"/>
    </row>
    <row r="5" spans="1:18">
      <c r="A5" s="50">
        <v>2</v>
      </c>
      <c r="B5" s="233">
        <v>45993</v>
      </c>
      <c r="C5" s="73"/>
      <c r="D5" s="167"/>
      <c r="E5" s="272"/>
      <c r="F5" s="272"/>
      <c r="G5" s="8">
        <f t="shared" si="0"/>
        <v>0</v>
      </c>
      <c r="H5" s="71">
        <v>0</v>
      </c>
      <c r="I5" s="72">
        <v>0</v>
      </c>
      <c r="J5" s="8">
        <f t="shared" ref="J5:J34" si="1">H5*I5</f>
        <v>0</v>
      </c>
      <c r="K5" s="8">
        <f t="shared" ref="K5:K34" si="2">G5+J5</f>
        <v>0</v>
      </c>
      <c r="L5" s="74">
        <v>0</v>
      </c>
      <c r="M5" s="74">
        <f t="shared" ref="M5:M8" si="3">+M4+K5-L5</f>
        <v>66053.768499999976</v>
      </c>
      <c r="N5" s="8"/>
    </row>
    <row r="6" spans="1:18">
      <c r="A6" s="50">
        <v>3</v>
      </c>
      <c r="B6" s="233">
        <v>45994</v>
      </c>
      <c r="C6" s="73"/>
      <c r="D6" s="167"/>
      <c r="E6" s="272"/>
      <c r="F6" s="272"/>
      <c r="G6" s="8">
        <f t="shared" si="0"/>
        <v>0</v>
      </c>
      <c r="H6" s="71">
        <v>0</v>
      </c>
      <c r="I6" s="72">
        <v>0</v>
      </c>
      <c r="J6" s="8">
        <f t="shared" si="1"/>
        <v>0</v>
      </c>
      <c r="K6" s="8">
        <f t="shared" si="2"/>
        <v>0</v>
      </c>
      <c r="L6" s="74">
        <v>0</v>
      </c>
      <c r="M6" s="74">
        <f t="shared" si="3"/>
        <v>66053.768499999976</v>
      </c>
      <c r="N6" s="8"/>
    </row>
    <row r="7" spans="1:18">
      <c r="A7" s="50">
        <v>4</v>
      </c>
      <c r="B7" s="233">
        <v>45995</v>
      </c>
      <c r="C7" s="73"/>
      <c r="D7" s="167"/>
      <c r="E7" s="272"/>
      <c r="F7" s="272"/>
      <c r="G7" s="8">
        <f t="shared" si="0"/>
        <v>0</v>
      </c>
      <c r="H7" s="71">
        <v>0</v>
      </c>
      <c r="I7" s="72">
        <v>0</v>
      </c>
      <c r="J7" s="8">
        <f t="shared" si="1"/>
        <v>0</v>
      </c>
      <c r="K7" s="8">
        <f t="shared" si="2"/>
        <v>0</v>
      </c>
      <c r="L7" s="74">
        <v>0</v>
      </c>
      <c r="M7" s="74">
        <f t="shared" si="3"/>
        <v>66053.768499999976</v>
      </c>
      <c r="N7" s="8"/>
    </row>
    <row r="8" spans="1:18">
      <c r="A8" s="50">
        <v>5</v>
      </c>
      <c r="B8" s="233">
        <v>45996</v>
      </c>
      <c r="C8" s="73"/>
      <c r="D8" s="167"/>
      <c r="E8" s="272"/>
      <c r="F8" s="272"/>
      <c r="G8" s="8">
        <f t="shared" si="0"/>
        <v>0</v>
      </c>
      <c r="H8" s="71">
        <v>0</v>
      </c>
      <c r="I8" s="72">
        <v>0</v>
      </c>
      <c r="J8" s="8">
        <f t="shared" si="1"/>
        <v>0</v>
      </c>
      <c r="K8" s="8">
        <f t="shared" si="2"/>
        <v>0</v>
      </c>
      <c r="L8" s="74">
        <v>0</v>
      </c>
      <c r="M8" s="74">
        <f t="shared" si="3"/>
        <v>66053.768499999976</v>
      </c>
      <c r="N8" s="8"/>
      <c r="O8" s="75"/>
      <c r="R8" s="240"/>
    </row>
    <row r="9" spans="1:18">
      <c r="A9" s="50">
        <v>6</v>
      </c>
      <c r="B9" s="233">
        <v>45997</v>
      </c>
      <c r="C9" s="73"/>
      <c r="D9" s="167"/>
      <c r="E9" s="272"/>
      <c r="F9" s="71"/>
      <c r="G9" s="8">
        <f t="shared" si="0"/>
        <v>0</v>
      </c>
      <c r="H9" s="71">
        <v>0</v>
      </c>
      <c r="I9" s="72">
        <v>0</v>
      </c>
      <c r="J9" s="8">
        <f t="shared" si="1"/>
        <v>0</v>
      </c>
      <c r="K9" s="8">
        <f t="shared" si="2"/>
        <v>0</v>
      </c>
      <c r="L9" s="74">
        <v>0</v>
      </c>
      <c r="M9" s="74">
        <f>+M8+K9-L9</f>
        <v>66053.768499999976</v>
      </c>
      <c r="N9" s="8"/>
      <c r="O9" s="75"/>
    </row>
    <row r="10" spans="1:18">
      <c r="A10" s="50">
        <v>7</v>
      </c>
      <c r="B10" s="233">
        <v>45998</v>
      </c>
      <c r="C10" s="73"/>
      <c r="D10" s="167"/>
      <c r="E10" s="272"/>
      <c r="F10" s="272"/>
      <c r="G10" s="8">
        <f t="shared" si="0"/>
        <v>0</v>
      </c>
      <c r="H10" s="71">
        <v>0</v>
      </c>
      <c r="I10" s="72">
        <v>0</v>
      </c>
      <c r="J10" s="8">
        <f t="shared" si="1"/>
        <v>0</v>
      </c>
      <c r="K10" s="8">
        <f t="shared" si="2"/>
        <v>0</v>
      </c>
      <c r="L10" s="74">
        <v>0</v>
      </c>
      <c r="M10" s="74">
        <f>+M9+K10-L10</f>
        <v>66053.768499999976</v>
      </c>
      <c r="N10" s="8"/>
      <c r="O10" s="75"/>
    </row>
    <row r="11" spans="1:18">
      <c r="A11" s="50">
        <v>8</v>
      </c>
      <c r="B11" s="233">
        <v>45999</v>
      </c>
      <c r="C11" s="73"/>
      <c r="D11" s="167"/>
      <c r="E11" s="272"/>
      <c r="F11" s="272"/>
      <c r="G11" s="8">
        <f t="shared" si="0"/>
        <v>0</v>
      </c>
      <c r="H11" s="71">
        <v>0</v>
      </c>
      <c r="I11" s="72">
        <v>0</v>
      </c>
      <c r="J11" s="8">
        <f t="shared" si="1"/>
        <v>0</v>
      </c>
      <c r="K11" s="8">
        <f t="shared" si="2"/>
        <v>0</v>
      </c>
      <c r="L11" s="74">
        <v>0</v>
      </c>
      <c r="M11" s="74">
        <f>+M10+K11-L11</f>
        <v>66053.768499999976</v>
      </c>
      <c r="N11" s="8"/>
      <c r="O11" s="75"/>
    </row>
    <row r="12" spans="1:18">
      <c r="A12" s="50">
        <v>9</v>
      </c>
      <c r="B12" s="233">
        <v>46000</v>
      </c>
      <c r="C12" s="73"/>
      <c r="D12" s="167"/>
      <c r="E12" s="272"/>
      <c r="F12" s="272"/>
      <c r="G12" s="8">
        <f t="shared" si="0"/>
        <v>0</v>
      </c>
      <c r="H12" s="71">
        <v>0</v>
      </c>
      <c r="I12" s="72">
        <v>0</v>
      </c>
      <c r="J12" s="8">
        <f t="shared" si="1"/>
        <v>0</v>
      </c>
      <c r="K12" s="8">
        <f t="shared" si="2"/>
        <v>0</v>
      </c>
      <c r="L12" s="74">
        <v>0</v>
      </c>
      <c r="M12" s="74">
        <f t="shared" ref="M12:M34" si="4">+M11+K12-L12</f>
        <v>66053.768499999976</v>
      </c>
      <c r="N12" s="8"/>
      <c r="O12" s="75"/>
    </row>
    <row r="13" spans="1:18">
      <c r="A13" s="50">
        <v>10</v>
      </c>
      <c r="B13" s="233">
        <v>46001</v>
      </c>
      <c r="C13" s="73"/>
      <c r="D13" s="167"/>
      <c r="E13" s="272"/>
      <c r="F13" s="272"/>
      <c r="G13" s="8">
        <f t="shared" si="0"/>
        <v>0</v>
      </c>
      <c r="H13" s="71">
        <v>0</v>
      </c>
      <c r="I13" s="72">
        <v>0</v>
      </c>
      <c r="J13" s="8">
        <f t="shared" si="1"/>
        <v>0</v>
      </c>
      <c r="K13" s="8">
        <f t="shared" si="2"/>
        <v>0</v>
      </c>
      <c r="L13" s="74">
        <v>0</v>
      </c>
      <c r="M13" s="74">
        <f t="shared" si="4"/>
        <v>66053.768499999976</v>
      </c>
      <c r="N13" s="8"/>
      <c r="O13" s="75"/>
    </row>
    <row r="14" spans="1:18">
      <c r="A14" s="50">
        <v>11</v>
      </c>
      <c r="B14" s="233">
        <v>46002</v>
      </c>
      <c r="C14" s="73"/>
      <c r="D14" s="167"/>
      <c r="E14" s="272"/>
      <c r="F14" s="272"/>
      <c r="G14" s="8">
        <f t="shared" si="0"/>
        <v>0</v>
      </c>
      <c r="H14" s="71">
        <v>0</v>
      </c>
      <c r="I14" s="72">
        <v>0</v>
      </c>
      <c r="J14" s="8">
        <f t="shared" si="1"/>
        <v>0</v>
      </c>
      <c r="K14" s="8">
        <f t="shared" si="2"/>
        <v>0</v>
      </c>
      <c r="L14" s="74">
        <v>0</v>
      </c>
      <c r="M14" s="74">
        <f t="shared" si="4"/>
        <v>66053.768499999976</v>
      </c>
      <c r="N14" s="8"/>
      <c r="O14" s="75"/>
    </row>
    <row r="15" spans="1:18">
      <c r="A15" s="50">
        <v>12</v>
      </c>
      <c r="B15" s="233">
        <v>46003</v>
      </c>
      <c r="C15" s="73"/>
      <c r="D15" s="167"/>
      <c r="E15" s="272"/>
      <c r="F15" s="272"/>
      <c r="G15" s="8">
        <f t="shared" si="0"/>
        <v>0</v>
      </c>
      <c r="H15" s="71">
        <v>0</v>
      </c>
      <c r="I15" s="72">
        <v>0</v>
      </c>
      <c r="J15" s="8">
        <f t="shared" si="1"/>
        <v>0</v>
      </c>
      <c r="K15" s="8">
        <f t="shared" si="2"/>
        <v>0</v>
      </c>
      <c r="L15" s="74">
        <v>0</v>
      </c>
      <c r="M15" s="74">
        <f t="shared" si="4"/>
        <v>66053.768499999976</v>
      </c>
      <c r="N15" s="8"/>
      <c r="O15" s="75"/>
    </row>
    <row r="16" spans="1:18">
      <c r="A16" s="50">
        <v>13</v>
      </c>
      <c r="B16" s="233">
        <v>46004</v>
      </c>
      <c r="C16" s="73"/>
      <c r="D16" s="167"/>
      <c r="E16" s="272"/>
      <c r="F16" s="272"/>
      <c r="G16" s="8">
        <f t="shared" si="0"/>
        <v>0</v>
      </c>
      <c r="H16" s="71">
        <v>0</v>
      </c>
      <c r="I16" s="72">
        <v>0</v>
      </c>
      <c r="J16" s="8">
        <f t="shared" si="1"/>
        <v>0</v>
      </c>
      <c r="K16" s="8">
        <f t="shared" si="2"/>
        <v>0</v>
      </c>
      <c r="L16" s="74">
        <v>0</v>
      </c>
      <c r="M16" s="74">
        <f t="shared" si="4"/>
        <v>66053.768499999976</v>
      </c>
      <c r="N16" s="8"/>
      <c r="O16" s="75"/>
    </row>
    <row r="17" spans="1:17">
      <c r="A17" s="50">
        <v>14</v>
      </c>
      <c r="B17" s="233">
        <v>46005</v>
      </c>
      <c r="C17" s="73"/>
      <c r="D17" s="167"/>
      <c r="E17" s="284"/>
      <c r="F17" s="360"/>
      <c r="G17" s="8"/>
      <c r="H17" s="71">
        <v>0</v>
      </c>
      <c r="I17" s="72">
        <v>0</v>
      </c>
      <c r="J17" s="8">
        <f t="shared" si="1"/>
        <v>0</v>
      </c>
      <c r="K17" s="8">
        <f t="shared" si="2"/>
        <v>0</v>
      </c>
      <c r="L17" s="74">
        <v>0</v>
      </c>
      <c r="M17" s="74">
        <f t="shared" si="4"/>
        <v>66053.768499999976</v>
      </c>
      <c r="N17" s="8"/>
      <c r="O17" s="75"/>
    </row>
    <row r="18" spans="1:17">
      <c r="A18" s="50">
        <v>15</v>
      </c>
      <c r="B18" s="233">
        <v>46006</v>
      </c>
      <c r="C18" s="73"/>
      <c r="D18" s="167"/>
      <c r="E18" s="272"/>
      <c r="F18" s="272"/>
      <c r="G18" s="8"/>
      <c r="H18" s="71">
        <v>0</v>
      </c>
      <c r="I18" s="72">
        <v>0</v>
      </c>
      <c r="J18" s="8">
        <f t="shared" si="1"/>
        <v>0</v>
      </c>
      <c r="K18" s="8">
        <f t="shared" si="2"/>
        <v>0</v>
      </c>
      <c r="L18" s="74">
        <v>66053.77</v>
      </c>
      <c r="M18" s="74">
        <f t="shared" si="4"/>
        <v>-1.5000000275904313E-3</v>
      </c>
      <c r="N18" s="192"/>
      <c r="O18" s="75"/>
    </row>
    <row r="19" spans="1:17">
      <c r="A19" s="50">
        <v>16</v>
      </c>
      <c r="B19" s="233">
        <v>46007</v>
      </c>
      <c r="C19" s="73"/>
      <c r="D19" s="167"/>
      <c r="E19" s="272"/>
      <c r="F19" s="272"/>
      <c r="G19" s="8"/>
      <c r="H19" s="71">
        <v>0</v>
      </c>
      <c r="I19" s="72">
        <v>0</v>
      </c>
      <c r="J19" s="8">
        <f t="shared" si="1"/>
        <v>0</v>
      </c>
      <c r="K19" s="8">
        <f t="shared" si="2"/>
        <v>0</v>
      </c>
      <c r="L19" s="74">
        <v>0</v>
      </c>
      <c r="M19" s="74">
        <f t="shared" si="4"/>
        <v>-1.5000000275904313E-3</v>
      </c>
      <c r="N19" s="299"/>
      <c r="O19" s="75"/>
    </row>
    <row r="20" spans="1:17">
      <c r="A20" s="50">
        <v>17</v>
      </c>
      <c r="B20" s="233">
        <v>46008</v>
      </c>
      <c r="C20" s="73"/>
      <c r="D20" s="167"/>
      <c r="E20" s="272"/>
      <c r="F20" s="272"/>
      <c r="G20" s="8">
        <f t="shared" si="0"/>
        <v>0</v>
      </c>
      <c r="H20" s="71">
        <v>0</v>
      </c>
      <c r="I20" s="72">
        <v>0</v>
      </c>
      <c r="J20" s="8">
        <f t="shared" si="1"/>
        <v>0</v>
      </c>
      <c r="K20" s="8">
        <f t="shared" si="2"/>
        <v>0</v>
      </c>
      <c r="L20" s="74">
        <v>0</v>
      </c>
      <c r="M20" s="74">
        <f t="shared" si="4"/>
        <v>-1.5000000275904313E-3</v>
      </c>
      <c r="N20" s="19"/>
      <c r="O20" s="75"/>
    </row>
    <row r="21" spans="1:17">
      <c r="A21" s="50">
        <v>18</v>
      </c>
      <c r="B21" s="233">
        <v>46009</v>
      </c>
      <c r="C21" s="73"/>
      <c r="D21" s="167"/>
      <c r="E21" s="272"/>
      <c r="F21" s="272"/>
      <c r="G21" s="8">
        <f t="shared" si="0"/>
        <v>0</v>
      </c>
      <c r="H21" s="71">
        <v>0</v>
      </c>
      <c r="I21" s="72">
        <v>0</v>
      </c>
      <c r="J21" s="8">
        <f t="shared" si="1"/>
        <v>0</v>
      </c>
      <c r="K21" s="8">
        <f t="shared" si="2"/>
        <v>0</v>
      </c>
      <c r="L21" s="74">
        <v>0</v>
      </c>
      <c r="M21" s="74">
        <f t="shared" si="4"/>
        <v>-1.5000000275904313E-3</v>
      </c>
      <c r="N21" s="8"/>
      <c r="O21" s="75"/>
    </row>
    <row r="22" spans="1:17">
      <c r="A22" s="50">
        <v>19</v>
      </c>
      <c r="B22" s="233">
        <v>46010</v>
      </c>
      <c r="C22" s="73"/>
      <c r="D22" s="167"/>
      <c r="E22" s="272"/>
      <c r="F22" s="272"/>
      <c r="G22" s="8">
        <f t="shared" si="0"/>
        <v>0</v>
      </c>
      <c r="H22" s="71">
        <v>0</v>
      </c>
      <c r="I22" s="72">
        <v>0</v>
      </c>
      <c r="J22" s="8">
        <f t="shared" si="1"/>
        <v>0</v>
      </c>
      <c r="K22" s="8">
        <f t="shared" si="2"/>
        <v>0</v>
      </c>
      <c r="L22" s="74">
        <v>0</v>
      </c>
      <c r="M22" s="74">
        <f t="shared" si="4"/>
        <v>-1.5000000275904313E-3</v>
      </c>
      <c r="N22" s="8"/>
      <c r="O22" s="75"/>
      <c r="Q22" s="22"/>
    </row>
    <row r="23" spans="1:17">
      <c r="A23" s="50">
        <v>20</v>
      </c>
      <c r="B23" s="233">
        <v>46011</v>
      </c>
      <c r="C23" s="73"/>
      <c r="D23" s="167"/>
      <c r="E23" s="272"/>
      <c r="F23" s="272"/>
      <c r="G23" s="8">
        <f t="shared" si="0"/>
        <v>0</v>
      </c>
      <c r="H23" s="71">
        <v>0</v>
      </c>
      <c r="I23" s="72">
        <v>0</v>
      </c>
      <c r="J23" s="8">
        <f t="shared" si="1"/>
        <v>0</v>
      </c>
      <c r="K23" s="8">
        <f t="shared" si="2"/>
        <v>0</v>
      </c>
      <c r="L23" s="74">
        <v>0</v>
      </c>
      <c r="M23" s="74">
        <f t="shared" si="4"/>
        <v>-1.5000000275904313E-3</v>
      </c>
      <c r="N23" s="8"/>
      <c r="O23" s="75"/>
    </row>
    <row r="24" spans="1:17">
      <c r="A24" s="50">
        <v>21</v>
      </c>
      <c r="B24" s="233">
        <v>46012</v>
      </c>
      <c r="C24" s="73"/>
      <c r="D24" s="167"/>
      <c r="E24" s="272"/>
      <c r="F24" s="272"/>
      <c r="G24" s="8">
        <f t="shared" si="0"/>
        <v>0</v>
      </c>
      <c r="H24" s="71">
        <v>0</v>
      </c>
      <c r="I24" s="72">
        <v>0</v>
      </c>
      <c r="J24" s="8">
        <f t="shared" si="1"/>
        <v>0</v>
      </c>
      <c r="K24" s="8">
        <f t="shared" si="2"/>
        <v>0</v>
      </c>
      <c r="L24" s="74">
        <v>0</v>
      </c>
      <c r="M24" s="74">
        <f t="shared" si="4"/>
        <v>-1.5000000275904313E-3</v>
      </c>
      <c r="N24" s="8"/>
      <c r="O24" s="75"/>
    </row>
    <row r="25" spans="1:17">
      <c r="A25" s="50">
        <v>22</v>
      </c>
      <c r="B25" s="233">
        <v>46013</v>
      </c>
      <c r="C25" s="73"/>
      <c r="D25" s="167"/>
      <c r="E25" s="272"/>
      <c r="F25" s="272"/>
      <c r="G25" s="8">
        <f t="shared" si="0"/>
        <v>0</v>
      </c>
      <c r="H25" s="71">
        <v>0</v>
      </c>
      <c r="I25" s="72">
        <v>0</v>
      </c>
      <c r="J25" s="8">
        <f t="shared" si="1"/>
        <v>0</v>
      </c>
      <c r="K25" s="8">
        <f t="shared" si="2"/>
        <v>0</v>
      </c>
      <c r="L25" s="74">
        <v>0</v>
      </c>
      <c r="M25" s="74">
        <f t="shared" si="4"/>
        <v>-1.5000000275904313E-3</v>
      </c>
      <c r="N25" s="8"/>
      <c r="O25" s="75"/>
    </row>
    <row r="26" spans="1:17">
      <c r="A26" s="50">
        <v>23</v>
      </c>
      <c r="B26" s="233">
        <v>46014</v>
      </c>
      <c r="C26" s="73"/>
      <c r="D26" s="167"/>
      <c r="E26" s="272"/>
      <c r="F26" s="272"/>
      <c r="G26" s="8">
        <f t="shared" si="0"/>
        <v>0</v>
      </c>
      <c r="H26" s="71">
        <v>0</v>
      </c>
      <c r="I26" s="72">
        <v>0</v>
      </c>
      <c r="J26" s="8">
        <f t="shared" si="1"/>
        <v>0</v>
      </c>
      <c r="K26" s="8">
        <f t="shared" si="2"/>
        <v>0</v>
      </c>
      <c r="L26" s="74">
        <v>0</v>
      </c>
      <c r="M26" s="74">
        <f t="shared" si="4"/>
        <v>-1.5000000275904313E-3</v>
      </c>
      <c r="N26" s="8"/>
      <c r="O26" s="75"/>
    </row>
    <row r="27" spans="1:17">
      <c r="A27" s="50">
        <v>24</v>
      </c>
      <c r="B27" s="233">
        <v>46015</v>
      </c>
      <c r="C27" s="73"/>
      <c r="D27" s="167"/>
      <c r="E27" s="272"/>
      <c r="F27" s="272"/>
      <c r="G27" s="8">
        <f t="shared" si="0"/>
        <v>0</v>
      </c>
      <c r="H27" s="71">
        <v>0</v>
      </c>
      <c r="I27" s="72">
        <v>0</v>
      </c>
      <c r="J27" s="8">
        <f t="shared" si="1"/>
        <v>0</v>
      </c>
      <c r="K27" s="8">
        <f t="shared" si="2"/>
        <v>0</v>
      </c>
      <c r="L27" s="74">
        <v>0</v>
      </c>
      <c r="M27" s="74">
        <f t="shared" si="4"/>
        <v>-1.5000000275904313E-3</v>
      </c>
      <c r="N27" s="8"/>
      <c r="O27" s="75"/>
    </row>
    <row r="28" spans="1:17">
      <c r="A28" s="235">
        <v>25</v>
      </c>
      <c r="B28" s="233">
        <v>46016</v>
      </c>
      <c r="C28" s="73"/>
      <c r="D28" s="167"/>
      <c r="E28" s="272"/>
      <c r="F28" s="272"/>
      <c r="G28" s="8">
        <f t="shared" si="0"/>
        <v>0</v>
      </c>
      <c r="H28" s="71">
        <v>0</v>
      </c>
      <c r="I28" s="72">
        <v>0</v>
      </c>
      <c r="J28" s="8">
        <f t="shared" si="1"/>
        <v>0</v>
      </c>
      <c r="K28" s="8">
        <f t="shared" si="2"/>
        <v>0</v>
      </c>
      <c r="L28" s="74">
        <v>0</v>
      </c>
      <c r="M28" s="74">
        <f t="shared" si="4"/>
        <v>-1.5000000275904313E-3</v>
      </c>
      <c r="N28" s="8"/>
      <c r="O28" s="75"/>
    </row>
    <row r="29" spans="1:17">
      <c r="A29" s="235">
        <v>26</v>
      </c>
      <c r="B29" s="233">
        <v>46017</v>
      </c>
      <c r="C29" s="73"/>
      <c r="D29" s="167"/>
      <c r="E29" s="272"/>
      <c r="F29" s="272"/>
      <c r="G29" s="8">
        <f t="shared" si="0"/>
        <v>0</v>
      </c>
      <c r="H29" s="71">
        <v>0</v>
      </c>
      <c r="I29" s="72">
        <v>0</v>
      </c>
      <c r="J29" s="8">
        <f t="shared" si="1"/>
        <v>0</v>
      </c>
      <c r="K29" s="8">
        <f t="shared" si="2"/>
        <v>0</v>
      </c>
      <c r="L29" s="74">
        <v>0</v>
      </c>
      <c r="M29" s="74">
        <f t="shared" si="4"/>
        <v>-1.5000000275904313E-3</v>
      </c>
      <c r="N29" s="8"/>
      <c r="O29" s="75"/>
    </row>
    <row r="30" spans="1:17">
      <c r="A30" s="235">
        <v>27</v>
      </c>
      <c r="B30" s="233">
        <v>46018</v>
      </c>
      <c r="C30" s="73"/>
      <c r="D30" s="167"/>
      <c r="E30" s="272"/>
      <c r="F30" s="272"/>
      <c r="G30" s="8">
        <f t="shared" si="0"/>
        <v>0</v>
      </c>
      <c r="H30" s="71">
        <v>0</v>
      </c>
      <c r="I30" s="72">
        <v>0</v>
      </c>
      <c r="J30" s="8">
        <f t="shared" si="1"/>
        <v>0</v>
      </c>
      <c r="K30" s="8">
        <f t="shared" si="2"/>
        <v>0</v>
      </c>
      <c r="L30" s="74">
        <v>0</v>
      </c>
      <c r="M30" s="74">
        <f t="shared" si="4"/>
        <v>-1.5000000275904313E-3</v>
      </c>
      <c r="N30" s="8"/>
      <c r="O30" s="75"/>
    </row>
    <row r="31" spans="1:17">
      <c r="A31" s="235">
        <v>28</v>
      </c>
      <c r="B31" s="233">
        <v>46019</v>
      </c>
      <c r="C31" s="73"/>
      <c r="D31" s="167"/>
      <c r="E31" s="272"/>
      <c r="F31" s="272"/>
      <c r="G31" s="8">
        <f t="shared" si="0"/>
        <v>0</v>
      </c>
      <c r="H31" s="71">
        <v>0</v>
      </c>
      <c r="I31" s="72">
        <v>0</v>
      </c>
      <c r="J31" s="8">
        <f t="shared" si="1"/>
        <v>0</v>
      </c>
      <c r="K31" s="8">
        <f t="shared" si="2"/>
        <v>0</v>
      </c>
      <c r="L31" s="74">
        <v>0</v>
      </c>
      <c r="M31" s="74">
        <f t="shared" si="4"/>
        <v>-1.5000000275904313E-3</v>
      </c>
      <c r="N31" s="8"/>
      <c r="O31" s="75"/>
    </row>
    <row r="32" spans="1:17">
      <c r="A32" s="236">
        <v>29</v>
      </c>
      <c r="B32" s="233">
        <v>46020</v>
      </c>
      <c r="C32" s="73"/>
      <c r="D32" s="167"/>
      <c r="E32" s="272"/>
      <c r="F32" s="272"/>
      <c r="G32" s="8">
        <f t="shared" si="0"/>
        <v>0</v>
      </c>
      <c r="H32" s="71">
        <v>0</v>
      </c>
      <c r="I32" s="72">
        <v>0</v>
      </c>
      <c r="J32" s="8">
        <f t="shared" si="1"/>
        <v>0</v>
      </c>
      <c r="K32" s="8">
        <f t="shared" si="2"/>
        <v>0</v>
      </c>
      <c r="L32" s="74">
        <v>0</v>
      </c>
      <c r="M32" s="74">
        <f t="shared" si="4"/>
        <v>-1.5000000275904313E-3</v>
      </c>
      <c r="N32" s="8"/>
      <c r="O32" s="75"/>
    </row>
    <row r="33" spans="1:15">
      <c r="A33" s="236">
        <v>30</v>
      </c>
      <c r="B33" s="233">
        <v>46021</v>
      </c>
      <c r="C33" s="73"/>
      <c r="D33" s="167"/>
      <c r="E33" s="272"/>
      <c r="F33" s="272"/>
      <c r="G33" s="8">
        <f t="shared" si="0"/>
        <v>0</v>
      </c>
      <c r="H33" s="71">
        <v>0</v>
      </c>
      <c r="I33" s="72">
        <v>0</v>
      </c>
      <c r="J33" s="8">
        <f t="shared" si="1"/>
        <v>0</v>
      </c>
      <c r="K33" s="8">
        <f t="shared" si="2"/>
        <v>0</v>
      </c>
      <c r="L33" s="74">
        <v>0</v>
      </c>
      <c r="M33" s="74">
        <f t="shared" si="4"/>
        <v>-1.5000000275904313E-3</v>
      </c>
      <c r="N33" s="8"/>
      <c r="O33" s="75"/>
    </row>
    <row r="34" spans="1:15">
      <c r="A34" s="236">
        <v>31</v>
      </c>
      <c r="B34" s="233">
        <v>46022</v>
      </c>
      <c r="C34" s="73"/>
      <c r="D34" s="167"/>
      <c r="E34" s="272"/>
      <c r="F34" s="272"/>
      <c r="G34" s="8">
        <f t="shared" si="0"/>
        <v>0</v>
      </c>
      <c r="H34" s="71">
        <v>0</v>
      </c>
      <c r="I34" s="72">
        <v>0</v>
      </c>
      <c r="J34" s="8">
        <f t="shared" si="1"/>
        <v>0</v>
      </c>
      <c r="K34" s="8">
        <f t="shared" si="2"/>
        <v>0</v>
      </c>
      <c r="L34" s="74">
        <v>0</v>
      </c>
      <c r="M34" s="74">
        <f t="shared" si="4"/>
        <v>-1.5000000275904313E-3</v>
      </c>
      <c r="N34" s="8"/>
      <c r="O34" s="75"/>
    </row>
    <row r="35" spans="1:15">
      <c r="A35" s="68"/>
      <c r="B35" s="68"/>
      <c r="C35" s="68"/>
      <c r="D35" s="68"/>
      <c r="E35" s="273">
        <f>SUM(E4:E34)</f>
        <v>0</v>
      </c>
      <c r="F35" s="273"/>
      <c r="G35" s="69">
        <f>SUM(G4:G34)</f>
        <v>0</v>
      </c>
      <c r="H35" s="69">
        <f>SUM(H4:H34)</f>
        <v>0</v>
      </c>
      <c r="I35" s="69"/>
      <c r="J35" s="69">
        <f>SUM(J4:J34)</f>
        <v>0</v>
      </c>
      <c r="K35" s="69">
        <f>SUM(K4:K34)</f>
        <v>0</v>
      </c>
      <c r="L35" s="69">
        <f>SUM(L4:L34)</f>
        <v>66053.77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F38" t="s">
        <v>140</v>
      </c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72"/>
      <c r="C43" s="472"/>
      <c r="D43" s="472"/>
      <c r="E43" s="472"/>
      <c r="F43" s="75"/>
      <c r="G43" s="75"/>
      <c r="H43" s="75"/>
      <c r="I43" s="472"/>
      <c r="J43" s="472"/>
      <c r="K43" s="472"/>
      <c r="L43" s="472"/>
      <c r="M43" s="472"/>
      <c r="N43" s="472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topLeftCell="A6" workbookViewId="0">
      <selection activeCell="L27" sqref="L27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61" t="s">
        <v>24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8"/>
    </row>
    <row r="2" spans="1:18">
      <c r="A2" s="104" t="s">
        <v>122</v>
      </c>
      <c r="B2" s="105" t="s">
        <v>123</v>
      </c>
      <c r="C2" s="105" t="s">
        <v>124</v>
      </c>
      <c r="D2" s="105" t="s">
        <v>139</v>
      </c>
      <c r="E2" s="271" t="s">
        <v>126</v>
      </c>
      <c r="F2" s="271" t="s">
        <v>127</v>
      </c>
      <c r="G2" s="105" t="s">
        <v>128</v>
      </c>
      <c r="H2" s="105" t="s">
        <v>129</v>
      </c>
      <c r="I2" s="105" t="s">
        <v>127</v>
      </c>
      <c r="J2" s="145" t="s">
        <v>128</v>
      </c>
      <c r="K2" s="106" t="s">
        <v>130</v>
      </c>
      <c r="L2" s="146" t="s">
        <v>131</v>
      </c>
      <c r="M2" s="150" t="s">
        <v>138</v>
      </c>
      <c r="N2" s="107" t="s">
        <v>133</v>
      </c>
      <c r="O2" s="65"/>
    </row>
    <row r="3" spans="1:18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155">
        <v>0</v>
      </c>
      <c r="N3" s="164"/>
      <c r="O3" s="65"/>
    </row>
    <row r="4" spans="1:18">
      <c r="A4" s="208">
        <v>1</v>
      </c>
      <c r="B4" s="233">
        <v>45992</v>
      </c>
      <c r="C4" s="73"/>
      <c r="D4" s="167"/>
      <c r="E4" s="272"/>
      <c r="F4" s="272"/>
      <c r="G4" s="8">
        <f t="shared" ref="G4" si="0"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f>+K4</f>
        <v>0</v>
      </c>
      <c r="M4" s="74">
        <v>0</v>
      </c>
      <c r="N4" s="8"/>
    </row>
    <row r="5" spans="1:18">
      <c r="A5" s="50">
        <v>2</v>
      </c>
      <c r="B5" s="233">
        <v>45993</v>
      </c>
      <c r="C5" s="73"/>
      <c r="D5" s="167"/>
      <c r="E5" s="272"/>
      <c r="F5" s="272"/>
      <c r="G5" s="8">
        <f t="shared" ref="G5:G33" si="1">E5*F5</f>
        <v>0</v>
      </c>
      <c r="H5" s="71">
        <v>0</v>
      </c>
      <c r="I5" s="72">
        <v>0</v>
      </c>
      <c r="J5" s="8">
        <f t="shared" ref="J5:J33" si="2">H5*I5</f>
        <v>0</v>
      </c>
      <c r="K5" s="8">
        <f t="shared" ref="K5:K33" si="3">G5+J5</f>
        <v>0</v>
      </c>
      <c r="L5" s="74">
        <f t="shared" ref="L5:L33" si="4">+K5</f>
        <v>0</v>
      </c>
      <c r="M5" s="74">
        <v>0</v>
      </c>
      <c r="N5" s="8"/>
    </row>
    <row r="6" spans="1:18">
      <c r="A6" s="50">
        <v>3</v>
      </c>
      <c r="B6" s="233">
        <v>45994</v>
      </c>
      <c r="C6" s="73"/>
      <c r="D6" s="167"/>
      <c r="E6" s="272"/>
      <c r="F6" s="272"/>
      <c r="G6" s="8">
        <f t="shared" si="1"/>
        <v>0</v>
      </c>
      <c r="H6" s="71">
        <v>0</v>
      </c>
      <c r="I6" s="72">
        <v>0</v>
      </c>
      <c r="J6" s="8">
        <f t="shared" si="2"/>
        <v>0</v>
      </c>
      <c r="K6" s="8">
        <f t="shared" si="3"/>
        <v>0</v>
      </c>
      <c r="L6" s="74">
        <f t="shared" si="4"/>
        <v>0</v>
      </c>
      <c r="M6" s="74">
        <v>0</v>
      </c>
      <c r="N6" s="8"/>
    </row>
    <row r="7" spans="1:18">
      <c r="A7" s="50">
        <v>4</v>
      </c>
      <c r="B7" s="233">
        <v>45995</v>
      </c>
      <c r="C7" s="73"/>
      <c r="D7" s="167"/>
      <c r="E7" s="272"/>
      <c r="F7" s="272"/>
      <c r="G7" s="8">
        <f t="shared" si="1"/>
        <v>0</v>
      </c>
      <c r="H7" s="71">
        <v>0</v>
      </c>
      <c r="I7" s="72">
        <v>0</v>
      </c>
      <c r="J7" s="8">
        <f t="shared" si="2"/>
        <v>0</v>
      </c>
      <c r="K7" s="8">
        <f t="shared" si="3"/>
        <v>0</v>
      </c>
      <c r="L7" s="74">
        <f t="shared" si="4"/>
        <v>0</v>
      </c>
      <c r="M7" s="74">
        <v>0</v>
      </c>
      <c r="N7" s="8"/>
    </row>
    <row r="8" spans="1:18">
      <c r="A8" s="50">
        <v>5</v>
      </c>
      <c r="B8" s="233">
        <v>45996</v>
      </c>
      <c r="C8" s="73"/>
      <c r="D8" s="167"/>
      <c r="E8" s="272"/>
      <c r="F8" s="272"/>
      <c r="G8" s="8">
        <f t="shared" si="1"/>
        <v>0</v>
      </c>
      <c r="H8" s="71">
        <v>0</v>
      </c>
      <c r="I8" s="72">
        <v>0</v>
      </c>
      <c r="J8" s="8">
        <f t="shared" si="2"/>
        <v>0</v>
      </c>
      <c r="K8" s="8">
        <f t="shared" si="3"/>
        <v>0</v>
      </c>
      <c r="L8" s="74">
        <f t="shared" si="4"/>
        <v>0</v>
      </c>
      <c r="M8" s="74">
        <v>0</v>
      </c>
      <c r="N8" s="8"/>
      <c r="O8" s="75"/>
      <c r="R8" s="240"/>
    </row>
    <row r="9" spans="1:18">
      <c r="A9" s="50">
        <v>6</v>
      </c>
      <c r="B9" s="233">
        <v>45997</v>
      </c>
      <c r="C9" s="73"/>
      <c r="D9" s="167"/>
      <c r="E9" s="272"/>
      <c r="F9" s="272"/>
      <c r="G9" s="8">
        <f t="shared" si="1"/>
        <v>0</v>
      </c>
      <c r="H9" s="71">
        <v>0</v>
      </c>
      <c r="I9" s="72">
        <v>0</v>
      </c>
      <c r="J9" s="8">
        <f t="shared" si="2"/>
        <v>0</v>
      </c>
      <c r="K9" s="8">
        <f t="shared" si="3"/>
        <v>0</v>
      </c>
      <c r="L9" s="74">
        <f t="shared" si="4"/>
        <v>0</v>
      </c>
      <c r="M9" s="74">
        <v>0</v>
      </c>
      <c r="N9" s="8"/>
      <c r="O9" s="75"/>
    </row>
    <row r="10" spans="1:18">
      <c r="A10" s="50">
        <v>7</v>
      </c>
      <c r="B10" s="233">
        <v>45998</v>
      </c>
      <c r="C10" s="73"/>
      <c r="D10" s="167"/>
      <c r="E10" s="272"/>
      <c r="F10" s="272"/>
      <c r="G10" s="8">
        <f t="shared" si="1"/>
        <v>0</v>
      </c>
      <c r="H10" s="71">
        <v>0</v>
      </c>
      <c r="I10" s="72">
        <v>0</v>
      </c>
      <c r="J10" s="8">
        <f t="shared" si="2"/>
        <v>0</v>
      </c>
      <c r="K10" s="8">
        <f t="shared" si="3"/>
        <v>0</v>
      </c>
      <c r="L10" s="74">
        <f t="shared" si="4"/>
        <v>0</v>
      </c>
      <c r="M10" s="74">
        <v>0</v>
      </c>
      <c r="N10" s="8"/>
      <c r="O10" s="75"/>
    </row>
    <row r="11" spans="1:18">
      <c r="A11" s="50">
        <v>8</v>
      </c>
      <c r="B11" s="233">
        <v>45999</v>
      </c>
      <c r="C11" s="73"/>
      <c r="D11" s="167"/>
      <c r="E11" s="272">
        <v>39.24</v>
      </c>
      <c r="F11" s="272">
        <v>96.83</v>
      </c>
      <c r="G11" s="8">
        <f t="shared" si="1"/>
        <v>3799.6092000000003</v>
      </c>
      <c r="H11" s="71">
        <v>0</v>
      </c>
      <c r="I11" s="72">
        <v>0</v>
      </c>
      <c r="J11" s="8">
        <f t="shared" si="2"/>
        <v>0</v>
      </c>
      <c r="K11" s="8">
        <f t="shared" si="3"/>
        <v>3799.6092000000003</v>
      </c>
      <c r="L11" s="74">
        <f t="shared" si="4"/>
        <v>3799.6092000000003</v>
      </c>
      <c r="M11" s="74">
        <v>0</v>
      </c>
      <c r="N11" s="8"/>
      <c r="O11" s="75"/>
    </row>
    <row r="12" spans="1:18">
      <c r="A12" s="50">
        <v>9</v>
      </c>
      <c r="B12" s="233">
        <v>46000</v>
      </c>
      <c r="C12" s="73"/>
      <c r="D12" s="167"/>
      <c r="E12" s="272"/>
      <c r="F12" s="272"/>
      <c r="G12" s="8">
        <f t="shared" si="1"/>
        <v>0</v>
      </c>
      <c r="H12" s="71">
        <v>0</v>
      </c>
      <c r="I12" s="72">
        <v>0</v>
      </c>
      <c r="J12" s="8">
        <f t="shared" si="2"/>
        <v>0</v>
      </c>
      <c r="K12" s="8">
        <f t="shared" ref="K12:K18" si="5">G12+J12</f>
        <v>0</v>
      </c>
      <c r="L12" s="74">
        <f t="shared" ref="L12:L18" si="6">+K12</f>
        <v>0</v>
      </c>
      <c r="M12" s="74">
        <v>0</v>
      </c>
      <c r="N12" s="8"/>
      <c r="O12" s="75"/>
    </row>
    <row r="13" spans="1:18">
      <c r="A13" s="50">
        <v>10</v>
      </c>
      <c r="B13" s="233">
        <v>46001</v>
      </c>
      <c r="C13" s="73"/>
      <c r="D13" s="167"/>
      <c r="E13" s="272"/>
      <c r="F13" s="272"/>
      <c r="G13" s="8">
        <f t="shared" si="1"/>
        <v>0</v>
      </c>
      <c r="H13" s="71">
        <v>0</v>
      </c>
      <c r="I13" s="72">
        <v>0</v>
      </c>
      <c r="J13" s="8">
        <f t="shared" si="2"/>
        <v>0</v>
      </c>
      <c r="K13" s="8">
        <f t="shared" si="5"/>
        <v>0</v>
      </c>
      <c r="L13" s="74">
        <f t="shared" si="6"/>
        <v>0</v>
      </c>
      <c r="M13" s="74">
        <v>0</v>
      </c>
      <c r="N13" s="8"/>
      <c r="O13" s="75"/>
    </row>
    <row r="14" spans="1:18">
      <c r="A14" s="50">
        <v>11</v>
      </c>
      <c r="B14" s="233">
        <v>46002</v>
      </c>
      <c r="C14" s="73"/>
      <c r="D14" s="167"/>
      <c r="E14" s="272"/>
      <c r="F14" s="272"/>
      <c r="G14" s="8">
        <f t="shared" si="1"/>
        <v>0</v>
      </c>
      <c r="H14" s="71">
        <v>0</v>
      </c>
      <c r="I14" s="72">
        <v>0</v>
      </c>
      <c r="J14" s="8">
        <f t="shared" si="2"/>
        <v>0</v>
      </c>
      <c r="K14" s="8">
        <f t="shared" si="5"/>
        <v>0</v>
      </c>
      <c r="L14" s="74">
        <f t="shared" si="6"/>
        <v>0</v>
      </c>
      <c r="M14" s="74">
        <v>0</v>
      </c>
      <c r="N14" s="8"/>
      <c r="O14" s="75"/>
    </row>
    <row r="15" spans="1:18">
      <c r="A15" s="50">
        <v>12</v>
      </c>
      <c r="B15" s="233">
        <v>46003</v>
      </c>
      <c r="C15" s="73"/>
      <c r="D15" s="167"/>
      <c r="E15" s="272"/>
      <c r="F15" s="272"/>
      <c r="G15" s="8">
        <f t="shared" si="1"/>
        <v>0</v>
      </c>
      <c r="H15" s="71">
        <v>0</v>
      </c>
      <c r="I15" s="72">
        <v>0</v>
      </c>
      <c r="J15" s="8">
        <f t="shared" si="2"/>
        <v>0</v>
      </c>
      <c r="K15" s="8">
        <f t="shared" si="5"/>
        <v>0</v>
      </c>
      <c r="L15" s="74">
        <f t="shared" si="6"/>
        <v>0</v>
      </c>
      <c r="M15" s="74">
        <v>0</v>
      </c>
      <c r="N15" s="8"/>
      <c r="O15" s="75"/>
    </row>
    <row r="16" spans="1:18">
      <c r="A16" s="50">
        <v>13</v>
      </c>
      <c r="B16" s="233">
        <v>46004</v>
      </c>
      <c r="C16" s="73"/>
      <c r="D16" s="167"/>
      <c r="E16" s="272"/>
      <c r="F16" s="272"/>
      <c r="G16" s="8">
        <f t="shared" si="1"/>
        <v>0</v>
      </c>
      <c r="H16" s="71">
        <v>0</v>
      </c>
      <c r="I16" s="72">
        <v>0</v>
      </c>
      <c r="J16" s="8">
        <f t="shared" si="2"/>
        <v>0</v>
      </c>
      <c r="K16" s="8">
        <f t="shared" si="5"/>
        <v>0</v>
      </c>
      <c r="L16" s="74">
        <f t="shared" si="6"/>
        <v>0</v>
      </c>
      <c r="M16" s="74">
        <v>0</v>
      </c>
      <c r="N16" s="8"/>
      <c r="O16" s="75"/>
    </row>
    <row r="17" spans="1:15">
      <c r="A17" s="50">
        <v>14</v>
      </c>
      <c r="B17" s="233">
        <v>46005</v>
      </c>
      <c r="C17" s="73"/>
      <c r="D17" s="167"/>
      <c r="E17" s="272">
        <v>36.03</v>
      </c>
      <c r="F17" s="272">
        <v>95.76</v>
      </c>
      <c r="G17" s="8">
        <f t="shared" si="1"/>
        <v>3450.2328000000002</v>
      </c>
      <c r="H17" s="71">
        <v>0</v>
      </c>
      <c r="I17" s="72">
        <v>0</v>
      </c>
      <c r="J17" s="8">
        <f t="shared" si="2"/>
        <v>0</v>
      </c>
      <c r="K17" s="8">
        <f t="shared" si="5"/>
        <v>3450.2328000000002</v>
      </c>
      <c r="L17" s="74">
        <f t="shared" si="6"/>
        <v>3450.2328000000002</v>
      </c>
      <c r="M17" s="74">
        <v>0</v>
      </c>
      <c r="N17" s="8"/>
      <c r="O17" s="75"/>
    </row>
    <row r="18" spans="1:15">
      <c r="A18" s="50">
        <v>15</v>
      </c>
      <c r="B18" s="233">
        <v>46006</v>
      </c>
      <c r="C18" s="73"/>
      <c r="D18" s="167"/>
      <c r="E18" s="272"/>
      <c r="F18" s="272"/>
      <c r="G18" s="8">
        <f t="shared" si="1"/>
        <v>0</v>
      </c>
      <c r="H18" s="71">
        <v>0</v>
      </c>
      <c r="I18" s="72">
        <v>0</v>
      </c>
      <c r="J18" s="8">
        <f t="shared" si="2"/>
        <v>0</v>
      </c>
      <c r="K18" s="8">
        <f t="shared" si="5"/>
        <v>0</v>
      </c>
      <c r="L18" s="74">
        <f t="shared" si="6"/>
        <v>0</v>
      </c>
      <c r="M18" s="74">
        <v>0</v>
      </c>
      <c r="N18" s="8"/>
      <c r="O18" s="75"/>
    </row>
    <row r="19" spans="1:15">
      <c r="A19" s="50">
        <v>16</v>
      </c>
      <c r="B19" s="233">
        <v>46007</v>
      </c>
      <c r="C19" s="73"/>
      <c r="D19" s="167"/>
      <c r="E19" s="272"/>
      <c r="F19" s="272"/>
      <c r="G19" s="8">
        <f t="shared" si="1"/>
        <v>0</v>
      </c>
      <c r="H19" s="71">
        <v>0</v>
      </c>
      <c r="I19" s="72">
        <v>0</v>
      </c>
      <c r="J19" s="8">
        <f t="shared" si="2"/>
        <v>0</v>
      </c>
      <c r="K19" s="8">
        <f t="shared" si="3"/>
        <v>0</v>
      </c>
      <c r="L19" s="74">
        <f t="shared" si="4"/>
        <v>0</v>
      </c>
      <c r="M19" s="74">
        <v>0</v>
      </c>
      <c r="N19" s="8"/>
      <c r="O19" s="75"/>
    </row>
    <row r="20" spans="1:15">
      <c r="A20" s="50">
        <v>17</v>
      </c>
      <c r="B20" s="233">
        <v>46008</v>
      </c>
      <c r="C20" s="73"/>
      <c r="D20" s="167"/>
      <c r="E20" s="272"/>
      <c r="F20" s="272"/>
      <c r="G20" s="8">
        <f t="shared" si="1"/>
        <v>0</v>
      </c>
      <c r="H20" s="71">
        <v>0</v>
      </c>
      <c r="I20" s="72">
        <v>0</v>
      </c>
      <c r="J20" s="8">
        <f t="shared" si="2"/>
        <v>0</v>
      </c>
      <c r="K20" s="8">
        <f t="shared" si="3"/>
        <v>0</v>
      </c>
      <c r="L20" s="74">
        <f t="shared" si="4"/>
        <v>0</v>
      </c>
      <c r="M20" s="74">
        <v>0</v>
      </c>
      <c r="N20" s="8"/>
      <c r="O20" s="75"/>
    </row>
    <row r="21" spans="1:15">
      <c r="A21" s="50">
        <v>18</v>
      </c>
      <c r="B21" s="233">
        <v>46009</v>
      </c>
      <c r="C21" s="73"/>
      <c r="D21" s="167"/>
      <c r="E21" s="272"/>
      <c r="F21" s="272"/>
      <c r="G21" s="8">
        <f t="shared" si="1"/>
        <v>0</v>
      </c>
      <c r="H21" s="71">
        <v>0</v>
      </c>
      <c r="I21" s="72">
        <v>0</v>
      </c>
      <c r="J21" s="8">
        <f t="shared" si="2"/>
        <v>0</v>
      </c>
      <c r="K21" s="8">
        <f t="shared" si="3"/>
        <v>0</v>
      </c>
      <c r="L21" s="74">
        <f t="shared" si="4"/>
        <v>0</v>
      </c>
      <c r="M21" s="74">
        <v>0</v>
      </c>
      <c r="N21" s="8"/>
      <c r="O21" s="75"/>
    </row>
    <row r="22" spans="1:15">
      <c r="A22" s="50">
        <v>19</v>
      </c>
      <c r="B22" s="233">
        <v>46010</v>
      </c>
      <c r="C22" s="73"/>
      <c r="D22" s="167"/>
      <c r="E22" s="272"/>
      <c r="F22" s="272"/>
      <c r="G22" s="8">
        <f t="shared" si="1"/>
        <v>0</v>
      </c>
      <c r="H22" s="71">
        <v>0</v>
      </c>
      <c r="I22" s="72">
        <v>0</v>
      </c>
      <c r="J22" s="8">
        <f t="shared" si="2"/>
        <v>0</v>
      </c>
      <c r="K22" s="8">
        <f t="shared" si="3"/>
        <v>0</v>
      </c>
      <c r="L22" s="74">
        <f t="shared" si="4"/>
        <v>0</v>
      </c>
      <c r="M22" s="74">
        <v>0</v>
      </c>
      <c r="N22" s="8"/>
      <c r="O22" s="75"/>
    </row>
    <row r="23" spans="1:15">
      <c r="A23" s="50">
        <v>20</v>
      </c>
      <c r="B23" s="233">
        <v>46011</v>
      </c>
      <c r="C23" s="73"/>
      <c r="D23" s="167"/>
      <c r="E23" s="272"/>
      <c r="F23" s="272"/>
      <c r="G23" s="8">
        <f t="shared" si="1"/>
        <v>0</v>
      </c>
      <c r="H23" s="71">
        <v>0</v>
      </c>
      <c r="I23" s="72">
        <v>0</v>
      </c>
      <c r="J23" s="8">
        <f t="shared" si="2"/>
        <v>0</v>
      </c>
      <c r="K23" s="8">
        <f t="shared" si="3"/>
        <v>0</v>
      </c>
      <c r="L23" s="74">
        <f t="shared" si="4"/>
        <v>0</v>
      </c>
      <c r="M23" s="74">
        <v>0</v>
      </c>
      <c r="N23" s="8"/>
      <c r="O23" s="75"/>
    </row>
    <row r="24" spans="1:15">
      <c r="A24" s="50">
        <v>21</v>
      </c>
      <c r="B24" s="233">
        <v>46012</v>
      </c>
      <c r="C24" s="73"/>
      <c r="D24" s="167"/>
      <c r="E24" s="272"/>
      <c r="F24" s="272"/>
      <c r="G24" s="8">
        <f t="shared" si="1"/>
        <v>0</v>
      </c>
      <c r="H24" s="71">
        <v>0</v>
      </c>
      <c r="I24" s="72">
        <v>0</v>
      </c>
      <c r="J24" s="8">
        <f t="shared" si="2"/>
        <v>0</v>
      </c>
      <c r="K24" s="8">
        <f t="shared" si="3"/>
        <v>0</v>
      </c>
      <c r="L24" s="74">
        <f t="shared" si="4"/>
        <v>0</v>
      </c>
      <c r="M24" s="74">
        <v>0</v>
      </c>
      <c r="N24" s="8"/>
      <c r="O24" s="75"/>
    </row>
    <row r="25" spans="1:15">
      <c r="A25" s="50">
        <v>22</v>
      </c>
      <c r="B25" s="233">
        <v>46013</v>
      </c>
      <c r="C25" s="73"/>
      <c r="D25" s="167"/>
      <c r="E25" s="272"/>
      <c r="F25" s="272"/>
      <c r="G25" s="8">
        <f t="shared" si="1"/>
        <v>0</v>
      </c>
      <c r="H25" s="71">
        <v>0</v>
      </c>
      <c r="I25" s="72">
        <v>0</v>
      </c>
      <c r="J25" s="8">
        <f t="shared" si="2"/>
        <v>0</v>
      </c>
      <c r="K25" s="8">
        <f t="shared" si="3"/>
        <v>0</v>
      </c>
      <c r="L25" s="74">
        <f t="shared" si="4"/>
        <v>0</v>
      </c>
      <c r="M25" s="74">
        <v>0</v>
      </c>
      <c r="N25" s="8"/>
      <c r="O25" s="75"/>
    </row>
    <row r="26" spans="1:15">
      <c r="A26" s="50">
        <v>23</v>
      </c>
      <c r="B26" s="233">
        <v>46014</v>
      </c>
      <c r="C26" s="73"/>
      <c r="D26" s="167"/>
      <c r="E26" s="272"/>
      <c r="F26" s="8"/>
      <c r="G26" s="8">
        <f t="shared" si="1"/>
        <v>0</v>
      </c>
      <c r="H26" s="71">
        <v>0</v>
      </c>
      <c r="I26" s="72">
        <v>0</v>
      </c>
      <c r="J26" s="8">
        <f t="shared" si="2"/>
        <v>0</v>
      </c>
      <c r="K26" s="8">
        <f t="shared" si="3"/>
        <v>0</v>
      </c>
      <c r="L26" s="74">
        <f t="shared" si="4"/>
        <v>0</v>
      </c>
      <c r="M26" s="74">
        <v>0</v>
      </c>
      <c r="N26" s="8"/>
      <c r="O26" s="75"/>
    </row>
    <row r="27" spans="1:15">
      <c r="A27" s="50">
        <v>24</v>
      </c>
      <c r="B27" s="233">
        <v>46015</v>
      </c>
      <c r="C27" s="73"/>
      <c r="D27" s="167"/>
      <c r="E27" s="272">
        <v>40.68</v>
      </c>
      <c r="F27" s="272">
        <v>96.83</v>
      </c>
      <c r="G27" s="8">
        <f t="shared" si="1"/>
        <v>3939.0443999999998</v>
      </c>
      <c r="H27" s="71">
        <v>0</v>
      </c>
      <c r="I27" s="72">
        <v>0</v>
      </c>
      <c r="J27" s="8">
        <f t="shared" si="2"/>
        <v>0</v>
      </c>
      <c r="K27" s="8">
        <f t="shared" si="3"/>
        <v>3939.0443999999998</v>
      </c>
      <c r="L27" s="74">
        <f t="shared" si="4"/>
        <v>3939.0443999999998</v>
      </c>
      <c r="M27" s="74">
        <v>0</v>
      </c>
      <c r="N27" s="8"/>
      <c r="O27" s="75"/>
    </row>
    <row r="28" spans="1:15">
      <c r="A28" s="235">
        <v>25</v>
      </c>
      <c r="B28" s="233">
        <v>46016</v>
      </c>
      <c r="C28" s="73"/>
      <c r="D28" s="167"/>
      <c r="E28" s="272"/>
      <c r="F28" s="272"/>
      <c r="G28" s="8"/>
      <c r="H28" s="71">
        <v>0</v>
      </c>
      <c r="I28" s="72">
        <v>0</v>
      </c>
      <c r="J28" s="8">
        <f t="shared" si="2"/>
        <v>0</v>
      </c>
      <c r="K28" s="8">
        <f t="shared" si="3"/>
        <v>0</v>
      </c>
      <c r="L28" s="74">
        <f t="shared" si="4"/>
        <v>0</v>
      </c>
      <c r="M28" s="74">
        <v>0</v>
      </c>
      <c r="N28" s="8"/>
      <c r="O28" s="75"/>
    </row>
    <row r="29" spans="1:15">
      <c r="A29" s="235">
        <v>26</v>
      </c>
      <c r="B29" s="233">
        <v>46017</v>
      </c>
      <c r="C29" s="73"/>
      <c r="D29" s="167"/>
      <c r="E29" s="272"/>
      <c r="F29" s="272"/>
      <c r="G29" s="8">
        <f t="shared" si="1"/>
        <v>0</v>
      </c>
      <c r="H29" s="71">
        <v>0</v>
      </c>
      <c r="I29" s="72">
        <v>0</v>
      </c>
      <c r="J29" s="8">
        <f t="shared" si="2"/>
        <v>0</v>
      </c>
      <c r="K29" s="8">
        <f t="shared" si="3"/>
        <v>0</v>
      </c>
      <c r="L29" s="74">
        <f t="shared" si="4"/>
        <v>0</v>
      </c>
      <c r="M29" s="74">
        <v>0</v>
      </c>
      <c r="N29" s="8"/>
      <c r="O29" s="75"/>
    </row>
    <row r="30" spans="1:15">
      <c r="A30" s="235">
        <v>27</v>
      </c>
      <c r="B30" s="233">
        <v>46018</v>
      </c>
      <c r="C30" s="73"/>
      <c r="D30" s="167"/>
      <c r="E30" s="272"/>
      <c r="F30" s="272"/>
      <c r="G30" s="8">
        <f t="shared" si="1"/>
        <v>0</v>
      </c>
      <c r="H30" s="71">
        <v>0</v>
      </c>
      <c r="I30" s="72">
        <v>0</v>
      </c>
      <c r="J30" s="8">
        <f t="shared" si="2"/>
        <v>0</v>
      </c>
      <c r="K30" s="8">
        <f t="shared" si="3"/>
        <v>0</v>
      </c>
      <c r="L30" s="74">
        <f t="shared" si="4"/>
        <v>0</v>
      </c>
      <c r="M30" s="74">
        <v>0</v>
      </c>
      <c r="N30" s="8"/>
      <c r="O30" s="75"/>
    </row>
    <row r="31" spans="1:15">
      <c r="A31" s="235">
        <v>28</v>
      </c>
      <c r="B31" s="233">
        <v>46019</v>
      </c>
      <c r="C31" s="73"/>
      <c r="D31" s="167"/>
      <c r="E31" s="272"/>
      <c r="F31" s="272"/>
      <c r="G31" s="8">
        <f t="shared" si="1"/>
        <v>0</v>
      </c>
      <c r="H31" s="71">
        <v>0</v>
      </c>
      <c r="I31" s="72">
        <v>0</v>
      </c>
      <c r="J31" s="8">
        <f t="shared" si="2"/>
        <v>0</v>
      </c>
      <c r="K31" s="8">
        <f t="shared" si="3"/>
        <v>0</v>
      </c>
      <c r="L31" s="74">
        <f t="shared" si="4"/>
        <v>0</v>
      </c>
      <c r="M31" s="74">
        <v>0</v>
      </c>
      <c r="N31" s="8"/>
      <c r="O31" s="75"/>
    </row>
    <row r="32" spans="1:15">
      <c r="A32" s="236">
        <v>29</v>
      </c>
      <c r="B32" s="233">
        <v>46020</v>
      </c>
      <c r="C32" s="73"/>
      <c r="D32" s="167"/>
      <c r="E32" s="272"/>
      <c r="F32" s="272"/>
      <c r="G32" s="8">
        <f t="shared" si="1"/>
        <v>0</v>
      </c>
      <c r="H32" s="71">
        <v>0</v>
      </c>
      <c r="I32" s="72">
        <v>0</v>
      </c>
      <c r="J32" s="8">
        <f t="shared" si="2"/>
        <v>0</v>
      </c>
      <c r="K32" s="8">
        <f t="shared" si="3"/>
        <v>0</v>
      </c>
      <c r="L32" s="74">
        <f t="shared" si="4"/>
        <v>0</v>
      </c>
      <c r="M32" s="74">
        <v>0</v>
      </c>
      <c r="N32" s="8"/>
      <c r="O32" s="75"/>
    </row>
    <row r="33" spans="1:15">
      <c r="A33" s="236">
        <v>30</v>
      </c>
      <c r="B33" s="233">
        <v>46021</v>
      </c>
      <c r="C33" s="73"/>
      <c r="D33" s="167"/>
      <c r="E33" s="272"/>
      <c r="F33" s="272"/>
      <c r="G33" s="8">
        <f t="shared" si="1"/>
        <v>0</v>
      </c>
      <c r="H33" s="71">
        <v>0</v>
      </c>
      <c r="I33" s="72">
        <v>0</v>
      </c>
      <c r="J33" s="8">
        <f t="shared" si="2"/>
        <v>0</v>
      </c>
      <c r="K33" s="8">
        <f t="shared" si="3"/>
        <v>0</v>
      </c>
      <c r="L33" s="74">
        <f t="shared" si="4"/>
        <v>0</v>
      </c>
      <c r="M33" s="74">
        <v>0</v>
      </c>
      <c r="N33" s="8"/>
      <c r="O33" s="75"/>
    </row>
    <row r="34" spans="1:15">
      <c r="A34" s="236">
        <v>31</v>
      </c>
      <c r="B34" s="233">
        <v>46022</v>
      </c>
      <c r="C34" s="73"/>
      <c r="D34" s="167"/>
      <c r="E34" s="272"/>
      <c r="F34" s="272"/>
      <c r="G34" s="8">
        <f t="shared" ref="G34" si="7">E34*F34</f>
        <v>0</v>
      </c>
      <c r="H34" s="71">
        <v>0</v>
      </c>
      <c r="I34" s="72">
        <v>0</v>
      </c>
      <c r="J34" s="8">
        <f t="shared" ref="J34" si="8">H34*I34</f>
        <v>0</v>
      </c>
      <c r="K34" s="8">
        <f t="shared" ref="K34" si="9">G34+J34</f>
        <v>0</v>
      </c>
      <c r="L34" s="74">
        <f t="shared" ref="L34" si="10">+K34</f>
        <v>0</v>
      </c>
      <c r="M34" s="74">
        <v>0</v>
      </c>
      <c r="N34" s="8"/>
      <c r="O34" s="75"/>
    </row>
    <row r="35" spans="1:15">
      <c r="A35" s="68"/>
      <c r="B35" s="68"/>
      <c r="C35" s="68"/>
      <c r="D35" s="68"/>
      <c r="E35" s="273">
        <f>SUM(E4:E34)</f>
        <v>115.95000000000002</v>
      </c>
      <c r="F35" s="273"/>
      <c r="G35" s="69">
        <f>SUM(G4:G34)</f>
        <v>11188.886399999999</v>
      </c>
      <c r="H35" s="69">
        <f>SUM(H4:H34)</f>
        <v>0</v>
      </c>
      <c r="I35" s="69"/>
      <c r="J35" s="69">
        <f>SUM(J4:J34)</f>
        <v>0</v>
      </c>
      <c r="K35" s="69">
        <f>SUM(K4:K34)</f>
        <v>11188.886399999999</v>
      </c>
      <c r="L35" s="69">
        <f>SUM(L4:L34)</f>
        <v>11188.886399999999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72"/>
      <c r="C43" s="472"/>
      <c r="D43" s="472"/>
      <c r="E43" s="472"/>
      <c r="F43" s="75"/>
      <c r="G43" s="75"/>
      <c r="H43" s="75"/>
      <c r="I43" s="472"/>
      <c r="J43" s="472"/>
      <c r="K43" s="472"/>
      <c r="L43" s="472"/>
      <c r="M43" s="472"/>
      <c r="N43" s="472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dimension ref="A1:R46"/>
  <sheetViews>
    <sheetView topLeftCell="C18" workbookViewId="0">
      <selection activeCell="H36" sqref="H36"/>
    </sheetView>
  </sheetViews>
  <sheetFormatPr defaultColWidth="18.28515625" defaultRowHeight="15"/>
  <cols>
    <col min="1" max="1" width="13.42578125" customWidth="1"/>
    <col min="3" max="3" width="43" bestFit="1" customWidth="1"/>
    <col min="4" max="4" width="25" bestFit="1" customWidth="1"/>
    <col min="5" max="5" width="11.5703125" customWidth="1"/>
    <col min="6" max="6" width="11.140625" customWidth="1"/>
    <col min="7" max="7" width="11.28515625" customWidth="1"/>
    <col min="8" max="8" width="9.85546875" customWidth="1"/>
    <col min="10" max="10" width="16.5703125" customWidth="1"/>
  </cols>
  <sheetData>
    <row r="1" spans="1:18" ht="15.75">
      <c r="A1" s="461" t="s">
        <v>30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8"/>
    </row>
    <row r="2" spans="1:18" ht="30">
      <c r="A2" s="104" t="s">
        <v>122</v>
      </c>
      <c r="B2" s="105" t="s">
        <v>123</v>
      </c>
      <c r="C2" s="105" t="s">
        <v>124</v>
      </c>
      <c r="D2" s="105" t="s">
        <v>139</v>
      </c>
      <c r="E2" s="271" t="s">
        <v>126</v>
      </c>
      <c r="F2" s="271" t="s">
        <v>127</v>
      </c>
      <c r="G2" s="105" t="s">
        <v>128</v>
      </c>
      <c r="H2" s="105" t="s">
        <v>129</v>
      </c>
      <c r="I2" s="105" t="s">
        <v>127</v>
      </c>
      <c r="J2" s="145" t="s">
        <v>128</v>
      </c>
      <c r="K2" s="106" t="s">
        <v>130</v>
      </c>
      <c r="L2" s="146" t="s">
        <v>131</v>
      </c>
      <c r="M2" s="150" t="s">
        <v>138</v>
      </c>
      <c r="N2" s="107" t="s">
        <v>133</v>
      </c>
      <c r="O2" s="65"/>
    </row>
    <row r="3" spans="1:18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155">
        <v>0</v>
      </c>
      <c r="N3" s="164"/>
      <c r="O3" s="65"/>
    </row>
    <row r="4" spans="1:18">
      <c r="A4" s="208">
        <v>1</v>
      </c>
      <c r="B4" s="233"/>
      <c r="C4" s="73" t="s">
        <v>142</v>
      </c>
      <c r="D4" s="167" t="s">
        <v>143</v>
      </c>
      <c r="E4" s="110"/>
      <c r="F4" s="272"/>
      <c r="G4" s="8">
        <f t="shared" ref="G4" si="0">E4*F4</f>
        <v>0</v>
      </c>
      <c r="H4" s="110">
        <v>5.0199999999999996</v>
      </c>
      <c r="I4" s="272">
        <v>109.63</v>
      </c>
      <c r="J4" s="8">
        <f>H4*I4</f>
        <v>550.34259999999995</v>
      </c>
      <c r="K4" s="8">
        <f>G4+J4</f>
        <v>550.34259999999995</v>
      </c>
      <c r="L4" s="74">
        <v>550.34</v>
      </c>
      <c r="M4" s="74">
        <f>+M3+K4-L4</f>
        <v>2.5999999999157808E-3</v>
      </c>
      <c r="N4" s="8"/>
    </row>
    <row r="5" spans="1:18">
      <c r="A5" s="50">
        <v>2</v>
      </c>
      <c r="B5" s="233"/>
      <c r="C5" s="73"/>
      <c r="D5" s="167"/>
      <c r="E5" s="110"/>
      <c r="F5" s="272"/>
      <c r="G5" s="8">
        <f t="shared" ref="G5:G36" si="1">E5*F5</f>
        <v>0</v>
      </c>
      <c r="H5" s="71"/>
      <c r="I5" s="72"/>
      <c r="J5" s="8">
        <f t="shared" ref="J5:J36" si="2">H5*I5</f>
        <v>0</v>
      </c>
      <c r="K5" s="8">
        <f t="shared" ref="K5:L36" si="3">G5+J5</f>
        <v>0</v>
      </c>
      <c r="L5" s="74"/>
      <c r="M5" s="74">
        <f t="shared" ref="M5:M36" si="4">+M4+K5-L5</f>
        <v>2.5999999999157808E-3</v>
      </c>
      <c r="N5" s="8"/>
    </row>
    <row r="6" spans="1:18">
      <c r="A6" s="50">
        <v>3</v>
      </c>
      <c r="B6" s="399"/>
      <c r="C6" s="207"/>
      <c r="D6" s="400"/>
      <c r="E6" s="335"/>
      <c r="F6" s="370"/>
      <c r="G6" s="8">
        <f t="shared" si="1"/>
        <v>0</v>
      </c>
      <c r="H6" s="71"/>
      <c r="I6" s="72"/>
      <c r="J6" s="8">
        <f t="shared" si="2"/>
        <v>0</v>
      </c>
      <c r="K6" s="8">
        <f t="shared" si="3"/>
        <v>0</v>
      </c>
      <c r="L6" s="74"/>
      <c r="M6" s="74">
        <f t="shared" si="4"/>
        <v>2.5999999999157808E-3</v>
      </c>
      <c r="N6" s="8"/>
    </row>
    <row r="7" spans="1:18">
      <c r="A7" s="235">
        <v>4</v>
      </c>
      <c r="B7" s="384"/>
      <c r="C7" s="73"/>
      <c r="D7" s="110"/>
      <c r="E7" s="110"/>
      <c r="F7" s="272"/>
      <c r="G7" s="203">
        <f t="shared" si="1"/>
        <v>0</v>
      </c>
      <c r="H7" s="71"/>
      <c r="I7" s="72"/>
      <c r="J7" s="8">
        <f t="shared" si="2"/>
        <v>0</v>
      </c>
      <c r="K7" s="8">
        <f t="shared" si="3"/>
        <v>0</v>
      </c>
      <c r="L7" s="74"/>
      <c r="M7" s="74">
        <f t="shared" si="4"/>
        <v>2.5999999999157808E-3</v>
      </c>
      <c r="N7" s="8"/>
    </row>
    <row r="8" spans="1:18">
      <c r="A8" s="235">
        <v>5</v>
      </c>
      <c r="B8" s="384"/>
      <c r="C8" s="73"/>
      <c r="D8" s="110"/>
      <c r="E8" s="110"/>
      <c r="F8" s="272"/>
      <c r="G8" s="203">
        <f t="shared" si="1"/>
        <v>0</v>
      </c>
      <c r="H8" s="110"/>
      <c r="I8" s="340"/>
      <c r="J8" s="8">
        <f t="shared" si="2"/>
        <v>0</v>
      </c>
      <c r="K8" s="8">
        <f t="shared" si="3"/>
        <v>0</v>
      </c>
      <c r="L8" s="74"/>
      <c r="M8" s="74">
        <f t="shared" si="4"/>
        <v>2.5999999999157808E-3</v>
      </c>
      <c r="N8" s="8"/>
      <c r="O8" s="75"/>
      <c r="R8" s="240"/>
    </row>
    <row r="9" spans="1:18">
      <c r="A9" s="235">
        <v>6</v>
      </c>
      <c r="B9" s="384"/>
      <c r="C9" s="110"/>
      <c r="D9" s="110"/>
      <c r="E9" s="8"/>
      <c r="F9" s="272"/>
      <c r="G9" s="203">
        <f t="shared" si="1"/>
        <v>0</v>
      </c>
      <c r="H9" s="110"/>
      <c r="I9" s="340"/>
      <c r="J9" s="8">
        <f t="shared" si="2"/>
        <v>0</v>
      </c>
      <c r="K9" s="8">
        <f t="shared" si="3"/>
        <v>0</v>
      </c>
      <c r="L9" s="8"/>
      <c r="M9" s="74">
        <f t="shared" si="4"/>
        <v>2.5999999999157808E-3</v>
      </c>
      <c r="N9" s="8"/>
      <c r="O9" s="75"/>
    </row>
    <row r="10" spans="1:18">
      <c r="A10" s="235">
        <v>7</v>
      </c>
      <c r="B10" s="384"/>
      <c r="C10" s="110"/>
      <c r="D10" s="110"/>
      <c r="E10" s="110"/>
      <c r="F10" s="272"/>
      <c r="G10" s="203">
        <f t="shared" si="1"/>
        <v>0</v>
      </c>
      <c r="H10" s="330"/>
      <c r="I10" s="366"/>
      <c r="J10" s="8">
        <f t="shared" si="2"/>
        <v>0</v>
      </c>
      <c r="K10" s="8">
        <f t="shared" si="3"/>
        <v>0</v>
      </c>
      <c r="L10" s="8"/>
      <c r="M10" s="74">
        <f t="shared" si="4"/>
        <v>2.5999999999157808E-3</v>
      </c>
      <c r="N10" s="8"/>
      <c r="O10" s="75"/>
    </row>
    <row r="11" spans="1:18">
      <c r="A11" s="235">
        <v>8</v>
      </c>
      <c r="B11" s="384"/>
      <c r="C11" s="110"/>
      <c r="D11" s="110"/>
      <c r="E11" s="110"/>
      <c r="F11" s="272"/>
      <c r="G11" s="203">
        <f t="shared" si="1"/>
        <v>0</v>
      </c>
      <c r="H11" s="71"/>
      <c r="I11" s="72"/>
      <c r="J11" s="8">
        <f t="shared" si="2"/>
        <v>0</v>
      </c>
      <c r="K11" s="8">
        <f t="shared" si="3"/>
        <v>0</v>
      </c>
      <c r="L11" s="74"/>
      <c r="M11" s="74">
        <f t="shared" si="4"/>
        <v>2.5999999999157808E-3</v>
      </c>
      <c r="N11" s="8"/>
      <c r="O11" s="75"/>
    </row>
    <row r="12" spans="1:18">
      <c r="A12" s="235">
        <v>9</v>
      </c>
      <c r="B12" s="384"/>
      <c r="C12" s="110"/>
      <c r="D12" s="110"/>
      <c r="E12" s="110"/>
      <c r="F12" s="110"/>
      <c r="G12" s="203">
        <f t="shared" si="1"/>
        <v>0</v>
      </c>
      <c r="H12" s="71"/>
      <c r="I12" s="72"/>
      <c r="J12" s="8">
        <f t="shared" si="2"/>
        <v>0</v>
      </c>
      <c r="K12" s="8">
        <f t="shared" si="3"/>
        <v>0</v>
      </c>
      <c r="L12" s="74"/>
      <c r="M12" s="74">
        <f t="shared" si="4"/>
        <v>2.5999999999157808E-3</v>
      </c>
      <c r="N12" s="8"/>
      <c r="O12" s="75"/>
    </row>
    <row r="13" spans="1:18">
      <c r="A13" s="235">
        <v>10</v>
      </c>
      <c r="B13" s="384"/>
      <c r="C13" s="110" t="s">
        <v>144</v>
      </c>
      <c r="D13" s="110" t="s">
        <v>145</v>
      </c>
      <c r="E13" s="110">
        <v>39</v>
      </c>
      <c r="F13" s="272">
        <v>96.74</v>
      </c>
      <c r="G13" s="203">
        <f t="shared" si="1"/>
        <v>3772.8599999999997</v>
      </c>
      <c r="H13" s="71">
        <v>5</v>
      </c>
      <c r="I13" s="72">
        <v>108.86</v>
      </c>
      <c r="J13" s="8">
        <f t="shared" si="2"/>
        <v>544.29999999999995</v>
      </c>
      <c r="K13" s="8">
        <f t="shared" si="3"/>
        <v>4317.16</v>
      </c>
      <c r="L13" s="74">
        <v>4317.16</v>
      </c>
      <c r="M13" s="74">
        <f t="shared" si="4"/>
        <v>2.599999999802094E-3</v>
      </c>
      <c r="N13" s="8"/>
      <c r="O13" s="75"/>
    </row>
    <row r="14" spans="1:18">
      <c r="A14" s="235">
        <v>11</v>
      </c>
      <c r="B14" s="384"/>
      <c r="C14" s="73"/>
      <c r="D14" s="167"/>
      <c r="E14" s="110"/>
      <c r="F14" s="272"/>
      <c r="G14" s="203">
        <f t="shared" si="1"/>
        <v>0</v>
      </c>
      <c r="H14" s="71"/>
      <c r="I14" s="72"/>
      <c r="J14" s="8">
        <f t="shared" si="2"/>
        <v>0</v>
      </c>
      <c r="K14" s="8">
        <f t="shared" si="3"/>
        <v>0</v>
      </c>
      <c r="L14" s="74"/>
      <c r="M14" s="74">
        <f t="shared" si="4"/>
        <v>2.599999999802094E-3</v>
      </c>
      <c r="N14" s="8"/>
      <c r="O14" s="75"/>
    </row>
    <row r="15" spans="1:18">
      <c r="A15" s="235">
        <v>12</v>
      </c>
      <c r="B15" s="384"/>
      <c r="C15" s="110"/>
      <c r="D15" s="110"/>
      <c r="E15" s="110"/>
      <c r="F15" s="110"/>
      <c r="G15" s="203">
        <f t="shared" si="1"/>
        <v>0</v>
      </c>
      <c r="H15" s="71"/>
      <c r="I15" s="72"/>
      <c r="J15" s="8">
        <f t="shared" si="2"/>
        <v>0</v>
      </c>
      <c r="K15" s="8">
        <f t="shared" si="3"/>
        <v>0</v>
      </c>
      <c r="L15" s="74"/>
      <c r="M15" s="74">
        <f t="shared" si="4"/>
        <v>2.599999999802094E-3</v>
      </c>
      <c r="N15" s="8"/>
      <c r="O15" s="75"/>
    </row>
    <row r="16" spans="1:18">
      <c r="A16" s="235">
        <v>13</v>
      </c>
      <c r="B16" s="384"/>
      <c r="C16" s="110"/>
      <c r="D16" s="110"/>
      <c r="E16" s="110"/>
      <c r="F16" s="110"/>
      <c r="G16" s="203">
        <f t="shared" si="1"/>
        <v>0</v>
      </c>
      <c r="H16" s="71"/>
      <c r="I16" s="72"/>
      <c r="J16" s="8">
        <f t="shared" si="2"/>
        <v>0</v>
      </c>
      <c r="K16" s="8">
        <f t="shared" si="3"/>
        <v>0</v>
      </c>
      <c r="L16" s="8"/>
      <c r="M16" s="74">
        <f t="shared" si="4"/>
        <v>2.599999999802094E-3</v>
      </c>
      <c r="N16" s="8"/>
      <c r="O16" s="75"/>
    </row>
    <row r="17" spans="1:17">
      <c r="A17" s="235"/>
      <c r="B17" s="384"/>
      <c r="C17" s="110"/>
      <c r="D17" s="110"/>
      <c r="E17" s="110"/>
      <c r="F17" s="110"/>
      <c r="G17" s="203">
        <f t="shared" si="1"/>
        <v>0</v>
      </c>
      <c r="H17" s="110"/>
      <c r="I17" s="340"/>
      <c r="J17" s="8">
        <f t="shared" si="2"/>
        <v>0</v>
      </c>
      <c r="K17" s="8">
        <f t="shared" si="3"/>
        <v>0</v>
      </c>
      <c r="L17" s="8"/>
      <c r="M17" s="74">
        <f t="shared" si="4"/>
        <v>2.599999999802094E-3</v>
      </c>
      <c r="N17" s="8"/>
      <c r="O17" s="75"/>
    </row>
    <row r="18" spans="1:17">
      <c r="A18" s="235">
        <v>14</v>
      </c>
      <c r="B18" s="384"/>
      <c r="C18" s="110"/>
      <c r="D18" s="110"/>
      <c r="E18" s="110"/>
      <c r="F18" s="110"/>
      <c r="G18" s="203">
        <f t="shared" si="1"/>
        <v>0</v>
      </c>
      <c r="H18" s="71"/>
      <c r="I18" s="72"/>
      <c r="J18" s="8">
        <f t="shared" si="2"/>
        <v>0</v>
      </c>
      <c r="K18" s="8">
        <f t="shared" si="3"/>
        <v>0</v>
      </c>
      <c r="L18" s="74"/>
      <c r="M18" s="74">
        <f>+M16+K18-L18</f>
        <v>2.599999999802094E-3</v>
      </c>
      <c r="N18" s="8"/>
      <c r="O18" s="75"/>
    </row>
    <row r="19" spans="1:17">
      <c r="A19" s="235">
        <v>15</v>
      </c>
      <c r="B19" s="384"/>
      <c r="C19" s="430"/>
      <c r="D19" s="340"/>
      <c r="E19" s="110"/>
      <c r="F19" s="272"/>
      <c r="G19" s="203">
        <f t="shared" si="1"/>
        <v>0</v>
      </c>
      <c r="H19" s="71"/>
      <c r="I19" s="72"/>
      <c r="J19" s="8">
        <f t="shared" si="2"/>
        <v>0</v>
      </c>
      <c r="K19" s="8">
        <f t="shared" si="3"/>
        <v>0</v>
      </c>
      <c r="L19" s="74"/>
      <c r="M19" s="74">
        <f t="shared" si="4"/>
        <v>2.599999999802094E-3</v>
      </c>
      <c r="N19" s="192"/>
      <c r="O19" s="75"/>
    </row>
    <row r="20" spans="1:17">
      <c r="A20" s="50">
        <v>16</v>
      </c>
      <c r="B20" s="233"/>
      <c r="C20" s="110" t="s">
        <v>146</v>
      </c>
      <c r="D20" s="340" t="s">
        <v>147</v>
      </c>
      <c r="E20" s="340">
        <v>48.03</v>
      </c>
      <c r="F20" s="340">
        <v>97.12</v>
      </c>
      <c r="G20" s="8">
        <f t="shared" si="1"/>
        <v>4664.6736000000001</v>
      </c>
      <c r="H20" s="71"/>
      <c r="I20" s="72"/>
      <c r="J20" s="8">
        <f t="shared" si="2"/>
        <v>0</v>
      </c>
      <c r="K20" s="8">
        <f t="shared" si="3"/>
        <v>4664.6736000000001</v>
      </c>
      <c r="L20" s="74">
        <v>4664.67</v>
      </c>
      <c r="M20" s="74">
        <f t="shared" si="4"/>
        <v>6.1999999998079147E-3</v>
      </c>
      <c r="N20" s="299"/>
      <c r="O20" s="75"/>
    </row>
    <row r="21" spans="1:17">
      <c r="A21" s="50">
        <v>17</v>
      </c>
      <c r="B21" s="233"/>
      <c r="C21" s="73"/>
      <c r="D21" s="429"/>
      <c r="E21" s="110"/>
      <c r="F21" s="272"/>
      <c r="G21" s="8">
        <f t="shared" si="1"/>
        <v>0</v>
      </c>
      <c r="H21" s="71"/>
      <c r="I21" s="72"/>
      <c r="J21" s="8">
        <f t="shared" si="2"/>
        <v>0</v>
      </c>
      <c r="K21" s="8">
        <f t="shared" si="3"/>
        <v>0</v>
      </c>
      <c r="L21" s="74"/>
      <c r="M21" s="74">
        <f t="shared" si="4"/>
        <v>6.1999999998079147E-3</v>
      </c>
      <c r="N21" s="19"/>
      <c r="O21" s="75"/>
    </row>
    <row r="22" spans="1:17">
      <c r="A22" s="50">
        <v>18</v>
      </c>
      <c r="B22" s="233"/>
      <c r="C22" s="73" t="s">
        <v>148</v>
      </c>
      <c r="D22" s="429" t="s">
        <v>149</v>
      </c>
      <c r="E22" s="110">
        <v>38</v>
      </c>
      <c r="F22" s="272">
        <v>86.75</v>
      </c>
      <c r="G22" s="8">
        <f t="shared" si="1"/>
        <v>3296.5</v>
      </c>
      <c r="H22" s="71"/>
      <c r="I22" s="72"/>
      <c r="J22" s="8">
        <f t="shared" si="2"/>
        <v>0</v>
      </c>
      <c r="K22" s="8">
        <f t="shared" si="3"/>
        <v>3296.5</v>
      </c>
      <c r="L22" s="74">
        <v>3296.5</v>
      </c>
      <c r="M22" s="74">
        <f t="shared" si="4"/>
        <v>6.1999999998079147E-3</v>
      </c>
      <c r="N22" s="8"/>
      <c r="O22" s="75"/>
    </row>
    <row r="23" spans="1:17">
      <c r="A23" s="50">
        <v>19</v>
      </c>
      <c r="B23" s="233"/>
      <c r="C23" s="110" t="s">
        <v>150</v>
      </c>
      <c r="D23" s="340" t="s">
        <v>145</v>
      </c>
      <c r="E23" s="340">
        <v>0</v>
      </c>
      <c r="F23" s="340" t="s">
        <v>151</v>
      </c>
      <c r="G23" s="340" t="s">
        <v>151</v>
      </c>
      <c r="H23" s="340">
        <v>5</v>
      </c>
      <c r="I23" s="340">
        <v>108.86</v>
      </c>
      <c r="J23" s="8">
        <f t="shared" si="2"/>
        <v>544.29999999999995</v>
      </c>
      <c r="K23" s="8">
        <v>544.29999999999995</v>
      </c>
      <c r="L23" s="74">
        <v>544.29999999999995</v>
      </c>
      <c r="M23" s="74">
        <f t="shared" si="4"/>
        <v>6.1999999998079147E-3</v>
      </c>
      <c r="N23" s="8"/>
      <c r="O23" s="75"/>
      <c r="Q23" s="22"/>
    </row>
    <row r="24" spans="1:17">
      <c r="A24" s="50">
        <v>20</v>
      </c>
      <c r="B24" s="233"/>
      <c r="C24" s="73" t="s">
        <v>152</v>
      </c>
      <c r="D24" s="429" t="s">
        <v>153</v>
      </c>
      <c r="E24" s="110">
        <v>42.03</v>
      </c>
      <c r="F24" s="272">
        <v>86.75</v>
      </c>
      <c r="G24" s="8">
        <f t="shared" si="1"/>
        <v>3646.1025</v>
      </c>
      <c r="H24" s="71"/>
      <c r="I24" s="72"/>
      <c r="J24" s="8">
        <f t="shared" si="2"/>
        <v>0</v>
      </c>
      <c r="K24" s="8">
        <f t="shared" si="3"/>
        <v>3646.1025</v>
      </c>
      <c r="L24" s="74">
        <v>3646.1</v>
      </c>
      <c r="M24" s="74">
        <f t="shared" si="4"/>
        <v>8.6999999998624844E-3</v>
      </c>
      <c r="N24" s="8"/>
      <c r="O24" s="75"/>
    </row>
    <row r="25" spans="1:17">
      <c r="A25" s="50">
        <v>21</v>
      </c>
      <c r="B25" s="399"/>
      <c r="C25" s="431"/>
      <c r="D25" s="400"/>
      <c r="E25" s="335"/>
      <c r="F25" s="370"/>
      <c r="G25" s="192">
        <f t="shared" si="1"/>
        <v>0</v>
      </c>
      <c r="H25" s="372"/>
      <c r="I25" s="72"/>
      <c r="J25" s="8">
        <f t="shared" si="2"/>
        <v>0</v>
      </c>
      <c r="K25" s="8">
        <f t="shared" si="3"/>
        <v>0</v>
      </c>
      <c r="L25" s="74"/>
      <c r="M25" s="74">
        <f t="shared" si="4"/>
        <v>8.6999999998624844E-3</v>
      </c>
      <c r="N25" s="8"/>
      <c r="O25" s="75"/>
    </row>
    <row r="26" spans="1:17">
      <c r="A26" s="235">
        <v>22</v>
      </c>
      <c r="B26" s="384"/>
      <c r="C26" s="73"/>
      <c r="D26" s="167"/>
      <c r="E26" s="110"/>
      <c r="F26" s="272"/>
      <c r="G26" s="8">
        <f t="shared" si="1"/>
        <v>0</v>
      </c>
      <c r="H26" s="71"/>
      <c r="I26" s="404"/>
      <c r="J26" s="8">
        <f t="shared" si="2"/>
        <v>0</v>
      </c>
      <c r="K26" s="8">
        <f t="shared" si="3"/>
        <v>0</v>
      </c>
      <c r="L26" s="74"/>
      <c r="M26" s="74">
        <f t="shared" si="4"/>
        <v>8.6999999998624844E-3</v>
      </c>
      <c r="N26" s="8"/>
      <c r="O26" s="75"/>
    </row>
    <row r="27" spans="1:17">
      <c r="A27" s="235">
        <v>23</v>
      </c>
      <c r="B27" s="384"/>
      <c r="C27" s="110" t="s">
        <v>152</v>
      </c>
      <c r="D27" s="110" t="s">
        <v>153</v>
      </c>
      <c r="E27" s="110">
        <v>44.83</v>
      </c>
      <c r="F27" s="110">
        <v>86.75</v>
      </c>
      <c r="G27" s="8">
        <f t="shared" si="1"/>
        <v>3889.0025000000001</v>
      </c>
      <c r="H27" s="71"/>
      <c r="I27" s="404"/>
      <c r="J27" s="8">
        <f t="shared" si="2"/>
        <v>0</v>
      </c>
      <c r="K27" s="8">
        <f t="shared" si="3"/>
        <v>3889.0025000000001</v>
      </c>
      <c r="L27" s="74">
        <v>3889</v>
      </c>
      <c r="M27" s="74">
        <f t="shared" si="4"/>
        <v>1.1199999999917054E-2</v>
      </c>
      <c r="N27" s="8"/>
      <c r="O27" s="75"/>
    </row>
    <row r="28" spans="1:17">
      <c r="A28" s="235">
        <v>24</v>
      </c>
      <c r="B28" s="384"/>
      <c r="C28" s="110"/>
      <c r="D28" s="110"/>
      <c r="E28" s="110"/>
      <c r="F28" s="110"/>
      <c r="G28" s="8">
        <f t="shared" si="1"/>
        <v>0</v>
      </c>
      <c r="H28" s="71"/>
      <c r="I28" s="404"/>
      <c r="J28" s="8">
        <f t="shared" si="2"/>
        <v>0</v>
      </c>
      <c r="K28" s="8">
        <f t="shared" si="3"/>
        <v>0</v>
      </c>
      <c r="L28" s="74"/>
      <c r="M28" s="74">
        <f t="shared" si="4"/>
        <v>1.1199999999917054E-2</v>
      </c>
      <c r="N28" s="8"/>
      <c r="O28" s="75"/>
    </row>
    <row r="29" spans="1:17">
      <c r="A29" s="235">
        <v>25</v>
      </c>
      <c r="B29" s="384"/>
      <c r="C29" s="110"/>
      <c r="D29" s="110"/>
      <c r="E29" s="110"/>
      <c r="F29" s="272"/>
      <c r="G29" s="8">
        <f t="shared" si="1"/>
        <v>0</v>
      </c>
      <c r="H29" s="71"/>
      <c r="I29" s="404"/>
      <c r="J29" s="8">
        <f t="shared" si="2"/>
        <v>0</v>
      </c>
      <c r="K29" s="8">
        <f t="shared" si="3"/>
        <v>0</v>
      </c>
      <c r="L29" s="74"/>
      <c r="M29" s="74">
        <f t="shared" si="4"/>
        <v>1.1199999999917054E-2</v>
      </c>
      <c r="N29" s="8"/>
      <c r="O29" s="75"/>
    </row>
    <row r="30" spans="1:17">
      <c r="A30" s="235">
        <v>26</v>
      </c>
      <c r="B30" s="384"/>
      <c r="C30" s="73"/>
      <c r="D30" s="167"/>
      <c r="E30" s="110"/>
      <c r="F30" s="272"/>
      <c r="G30" s="8">
        <f t="shared" si="1"/>
        <v>0</v>
      </c>
      <c r="H30" s="71"/>
      <c r="I30" s="404"/>
      <c r="J30" s="8">
        <f t="shared" si="2"/>
        <v>0</v>
      </c>
      <c r="K30" s="8">
        <f t="shared" si="3"/>
        <v>0</v>
      </c>
      <c r="L30" s="74"/>
      <c r="M30" s="74">
        <f t="shared" si="4"/>
        <v>1.1199999999917054E-2</v>
      </c>
      <c r="N30" s="8"/>
      <c r="O30" s="75"/>
    </row>
    <row r="31" spans="1:17">
      <c r="A31" s="235">
        <v>27</v>
      </c>
      <c r="B31" s="384"/>
      <c r="C31" s="73"/>
      <c r="D31" s="167"/>
      <c r="E31" s="110"/>
      <c r="F31" s="272"/>
      <c r="G31" s="8">
        <f t="shared" si="1"/>
        <v>0</v>
      </c>
      <c r="H31" s="71"/>
      <c r="I31" s="404"/>
      <c r="J31" s="8">
        <f t="shared" si="2"/>
        <v>0</v>
      </c>
      <c r="K31" s="8">
        <f t="shared" si="3"/>
        <v>0</v>
      </c>
      <c r="L31" s="74"/>
      <c r="M31" s="74">
        <f t="shared" si="4"/>
        <v>1.1199999999917054E-2</v>
      </c>
      <c r="N31" s="8"/>
      <c r="O31" s="75"/>
    </row>
    <row r="32" spans="1:17">
      <c r="A32" s="235">
        <v>28</v>
      </c>
      <c r="B32" s="384"/>
      <c r="C32" s="73"/>
      <c r="D32" s="167"/>
      <c r="E32" s="110"/>
      <c r="F32" s="272"/>
      <c r="G32" s="8">
        <f t="shared" si="1"/>
        <v>0</v>
      </c>
      <c r="H32" s="71"/>
      <c r="I32" s="404"/>
      <c r="J32" s="8">
        <f t="shared" si="2"/>
        <v>0</v>
      </c>
      <c r="K32" s="8">
        <f t="shared" si="3"/>
        <v>0</v>
      </c>
      <c r="L32" s="74"/>
      <c r="M32" s="74">
        <f t="shared" si="4"/>
        <v>1.1199999999917054E-2</v>
      </c>
      <c r="N32" s="8"/>
      <c r="O32" s="75"/>
    </row>
    <row r="33" spans="1:15">
      <c r="A33" s="236">
        <v>29</v>
      </c>
      <c r="B33" s="384"/>
      <c r="C33" s="73"/>
      <c r="D33" s="167"/>
      <c r="E33" s="110"/>
      <c r="F33" s="272"/>
      <c r="G33" s="8">
        <f t="shared" si="1"/>
        <v>0</v>
      </c>
      <c r="H33" s="71"/>
      <c r="I33" s="404"/>
      <c r="J33" s="8">
        <f t="shared" si="2"/>
        <v>0</v>
      </c>
      <c r="K33" s="8">
        <f t="shared" si="3"/>
        <v>0</v>
      </c>
      <c r="L33" s="8"/>
      <c r="M33" s="74">
        <f t="shared" si="4"/>
        <v>1.1199999999917054E-2</v>
      </c>
      <c r="N33" s="8"/>
      <c r="O33" s="75"/>
    </row>
    <row r="34" spans="1:15">
      <c r="A34" s="236"/>
      <c r="B34" s="384"/>
      <c r="C34" s="110"/>
      <c r="D34" s="110"/>
      <c r="E34" s="110"/>
      <c r="F34" s="272"/>
      <c r="G34" s="8">
        <f t="shared" si="1"/>
        <v>0</v>
      </c>
      <c r="H34" s="71"/>
      <c r="I34" s="404"/>
      <c r="J34" s="8">
        <f t="shared" si="2"/>
        <v>0</v>
      </c>
      <c r="K34" s="8">
        <f>G34+J34</f>
        <v>0</v>
      </c>
      <c r="L34" s="8"/>
      <c r="M34" s="74">
        <v>0</v>
      </c>
      <c r="N34" s="8"/>
      <c r="O34" s="75"/>
    </row>
    <row r="35" spans="1:15">
      <c r="A35" s="236">
        <v>30</v>
      </c>
      <c r="B35" s="384"/>
      <c r="C35" s="73" t="s">
        <v>154</v>
      </c>
      <c r="D35" s="167" t="s">
        <v>145</v>
      </c>
      <c r="E35" s="110">
        <v>0</v>
      </c>
      <c r="F35" s="272"/>
      <c r="G35" s="8"/>
      <c r="H35" s="71">
        <v>10</v>
      </c>
      <c r="I35" s="404">
        <v>108.86</v>
      </c>
      <c r="J35" s="8">
        <f t="shared" si="2"/>
        <v>1088.5999999999999</v>
      </c>
      <c r="K35" s="8">
        <f t="shared" si="3"/>
        <v>1088.5999999999999</v>
      </c>
      <c r="L35" s="74">
        <v>1088.5999999999999</v>
      </c>
      <c r="M35" s="74">
        <f>+M33+K35-L35</f>
        <v>1.1199999999917054E-2</v>
      </c>
      <c r="N35" s="8"/>
      <c r="O35" s="75"/>
    </row>
    <row r="36" spans="1:15">
      <c r="A36" s="236">
        <v>31</v>
      </c>
      <c r="B36" s="233"/>
      <c r="C36" s="135" t="s">
        <v>155</v>
      </c>
      <c r="D36" s="167" t="s">
        <v>145</v>
      </c>
      <c r="E36" s="371">
        <v>47</v>
      </c>
      <c r="F36" s="371">
        <v>96.74</v>
      </c>
      <c r="G36" s="19">
        <f t="shared" si="1"/>
        <v>4546.78</v>
      </c>
      <c r="H36" s="161">
        <v>9.98</v>
      </c>
      <c r="I36" s="72">
        <v>108.86</v>
      </c>
      <c r="J36" s="8">
        <f t="shared" si="2"/>
        <v>1086.4228000000001</v>
      </c>
      <c r="K36" s="8">
        <f t="shared" si="3"/>
        <v>5633.2028</v>
      </c>
      <c r="L36" s="74">
        <v>5633.2</v>
      </c>
      <c r="M36" s="74">
        <f t="shared" si="4"/>
        <v>1.4000000000123691E-2</v>
      </c>
      <c r="N36" s="8"/>
      <c r="O36" s="75"/>
    </row>
    <row r="37" spans="1:15">
      <c r="A37" s="68"/>
      <c r="B37" s="68"/>
      <c r="C37" s="68"/>
      <c r="D37" s="68"/>
      <c r="E37" s="273">
        <f>SUM(E4:E36)</f>
        <v>258.89</v>
      </c>
      <c r="F37" s="273"/>
      <c r="G37" s="69">
        <f>SUM(G4:G36)</f>
        <v>23815.918599999997</v>
      </c>
      <c r="H37" s="69">
        <f>SUM(H4:H36)</f>
        <v>35</v>
      </c>
      <c r="I37" s="69"/>
      <c r="J37" s="69">
        <f>SUM(J4:J36)</f>
        <v>3813.9654</v>
      </c>
      <c r="K37" s="69">
        <f>SUM(K4:K36)</f>
        <v>27629.883999999995</v>
      </c>
      <c r="L37" s="69">
        <f>SUM(L4:L36)</f>
        <v>27629.87</v>
      </c>
      <c r="M37" s="69"/>
      <c r="N37" s="69"/>
      <c r="O37" s="65"/>
    </row>
    <row r="38" spans="1:15">
      <c r="A38" s="78"/>
      <c r="B38" s="79"/>
      <c r="C38" s="78"/>
      <c r="D38" s="78"/>
      <c r="E38" s="80"/>
      <c r="F38" s="80"/>
      <c r="G38" s="80"/>
      <c r="H38" s="80"/>
      <c r="I38" s="80"/>
      <c r="J38" s="81"/>
      <c r="K38" s="81"/>
      <c r="L38" s="81"/>
      <c r="M38" s="81"/>
      <c r="N38" s="80"/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O42" s="75"/>
    </row>
    <row r="43" spans="1:15">
      <c r="O43" s="75"/>
    </row>
    <row r="44" spans="1:15">
      <c r="A44" s="75"/>
      <c r="B44" s="65"/>
      <c r="C44" s="75"/>
      <c r="D44" s="75"/>
      <c r="E44" s="75"/>
      <c r="F44" s="75"/>
      <c r="G44" s="82"/>
      <c r="H44" s="75"/>
      <c r="I44" s="75"/>
      <c r="J44" s="65"/>
      <c r="K44" s="65"/>
      <c r="L44" s="65"/>
      <c r="M44" s="65"/>
      <c r="N44" s="75"/>
      <c r="O44" s="80"/>
    </row>
    <row r="45" spans="1:15">
      <c r="A45" s="75"/>
      <c r="B45" s="472"/>
      <c r="C45" s="472"/>
      <c r="D45" s="472"/>
      <c r="E45" s="472"/>
      <c r="F45" s="75"/>
      <c r="G45" s="75"/>
      <c r="H45" s="75"/>
      <c r="I45" s="472"/>
      <c r="J45" s="472"/>
      <c r="K45" s="472"/>
      <c r="L45" s="472"/>
      <c r="M45" s="472"/>
      <c r="N45" s="472"/>
      <c r="O45" s="80"/>
    </row>
    <row r="46" spans="1:15">
      <c r="A46" s="75"/>
      <c r="B46" s="65"/>
      <c r="C46" s="75"/>
      <c r="D46" s="75"/>
      <c r="E46" s="75"/>
      <c r="F46" s="75"/>
      <c r="G46" s="75"/>
      <c r="H46" s="75"/>
      <c r="I46" s="75"/>
      <c r="J46" s="65"/>
      <c r="K46" s="65"/>
      <c r="L46" s="65"/>
      <c r="M46" s="65"/>
      <c r="N46" s="75"/>
      <c r="O46" s="80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2E-2155-45C4-A3B6-7C5C764249F4}">
  <dimension ref="A1:R44"/>
  <sheetViews>
    <sheetView topLeftCell="A21" workbookViewId="0">
      <selection activeCell="F40" sqref="F40"/>
    </sheetView>
  </sheetViews>
  <sheetFormatPr defaultColWidth="22.5703125" defaultRowHeight="15"/>
  <cols>
    <col min="1" max="1" width="10.5703125" customWidth="1"/>
    <col min="2" max="2" width="16.5703125" customWidth="1"/>
    <col min="3" max="3" width="11.85546875" customWidth="1"/>
    <col min="4" max="4" width="15.28515625" customWidth="1"/>
    <col min="5" max="5" width="12.7109375" customWidth="1"/>
    <col min="6" max="6" width="14.42578125" customWidth="1"/>
    <col min="7" max="7" width="10.85546875" bestFit="1" customWidth="1"/>
    <col min="8" max="8" width="16.140625" customWidth="1"/>
    <col min="9" max="9" width="15.140625" customWidth="1"/>
    <col min="10" max="10" width="9.7109375" bestFit="1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61" t="s">
        <v>156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8"/>
    </row>
    <row r="2" spans="1:18" ht="30.75">
      <c r="A2" s="104" t="s">
        <v>122</v>
      </c>
      <c r="B2" s="105" t="s">
        <v>123</v>
      </c>
      <c r="C2" s="105" t="s">
        <v>124</v>
      </c>
      <c r="D2" s="105" t="s">
        <v>139</v>
      </c>
      <c r="E2" s="271" t="s">
        <v>126</v>
      </c>
      <c r="F2" s="271" t="s">
        <v>127</v>
      </c>
      <c r="G2" s="105" t="s">
        <v>128</v>
      </c>
      <c r="H2" s="105" t="s">
        <v>129</v>
      </c>
      <c r="I2" s="105" t="s">
        <v>127</v>
      </c>
      <c r="J2" s="145" t="s">
        <v>128</v>
      </c>
      <c r="K2" s="106" t="s">
        <v>130</v>
      </c>
      <c r="L2" s="146" t="s">
        <v>131</v>
      </c>
      <c r="M2" s="150" t="s">
        <v>138</v>
      </c>
      <c r="N2" s="107" t="s">
        <v>133</v>
      </c>
      <c r="O2" s="65"/>
    </row>
    <row r="3" spans="1:18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155">
        <v>0</v>
      </c>
      <c r="N3" s="164"/>
      <c r="O3" s="65"/>
    </row>
    <row r="4" spans="1:18">
      <c r="A4" s="208">
        <v>1</v>
      </c>
      <c r="B4" s="233">
        <v>45992</v>
      </c>
      <c r="C4" s="73"/>
      <c r="D4" s="167"/>
      <c r="E4" s="272"/>
      <c r="F4" s="272"/>
      <c r="G4" s="8">
        <f t="shared" ref="G4:G34" si="0">E4*F4</f>
        <v>0</v>
      </c>
      <c r="H4" s="71">
        <v>4.5599999999999996</v>
      </c>
      <c r="I4" s="72">
        <v>109.61</v>
      </c>
      <c r="J4" s="8">
        <f>H4*I4</f>
        <v>499.82159999999993</v>
      </c>
      <c r="K4" s="8">
        <f>G4+J4</f>
        <v>499.82159999999993</v>
      </c>
      <c r="L4" s="74">
        <f>+K4</f>
        <v>499.82159999999993</v>
      </c>
      <c r="M4" s="74">
        <v>0</v>
      </c>
      <c r="N4" s="8"/>
    </row>
    <row r="5" spans="1:18">
      <c r="A5" s="50">
        <v>2</v>
      </c>
      <c r="B5" s="233">
        <v>45993</v>
      </c>
      <c r="C5" s="73"/>
      <c r="D5" s="167"/>
      <c r="E5" s="272"/>
      <c r="F5" s="272"/>
      <c r="G5" s="8">
        <f t="shared" si="0"/>
        <v>0</v>
      </c>
      <c r="H5" s="71">
        <v>0</v>
      </c>
      <c r="I5" s="72">
        <v>0</v>
      </c>
      <c r="J5" s="8">
        <f t="shared" ref="J5:J34" si="1">H5*I5</f>
        <v>0</v>
      </c>
      <c r="K5" s="8">
        <f t="shared" ref="K5:K34" si="2">G5+J5</f>
        <v>0</v>
      </c>
      <c r="L5" s="74">
        <f t="shared" ref="L5:L34" si="3">+K5</f>
        <v>0</v>
      </c>
      <c r="M5" s="74">
        <v>0</v>
      </c>
      <c r="N5" s="8"/>
    </row>
    <row r="6" spans="1:18">
      <c r="A6" s="50">
        <v>3</v>
      </c>
      <c r="B6" s="233">
        <v>45994</v>
      </c>
      <c r="C6" s="73"/>
      <c r="D6" s="167"/>
      <c r="E6" s="272"/>
      <c r="F6" s="272"/>
      <c r="G6" s="8">
        <f t="shared" si="0"/>
        <v>0</v>
      </c>
      <c r="H6" s="71">
        <v>0</v>
      </c>
      <c r="I6" s="72">
        <v>0</v>
      </c>
      <c r="J6" s="8">
        <f t="shared" si="1"/>
        <v>0</v>
      </c>
      <c r="K6" s="8">
        <f t="shared" si="2"/>
        <v>0</v>
      </c>
      <c r="L6" s="74">
        <f t="shared" si="3"/>
        <v>0</v>
      </c>
      <c r="M6" s="74">
        <v>0</v>
      </c>
      <c r="N6" s="8"/>
    </row>
    <row r="7" spans="1:18">
      <c r="A7" s="50">
        <v>4</v>
      </c>
      <c r="B7" s="233">
        <v>45995</v>
      </c>
      <c r="C7" s="73"/>
      <c r="D7" s="167"/>
      <c r="E7" s="272"/>
      <c r="F7" s="272"/>
      <c r="G7" s="8">
        <f t="shared" si="0"/>
        <v>0</v>
      </c>
      <c r="H7" s="71">
        <v>0</v>
      </c>
      <c r="I7" s="72">
        <v>0</v>
      </c>
      <c r="J7" s="8">
        <f t="shared" si="1"/>
        <v>0</v>
      </c>
      <c r="K7" s="8">
        <f t="shared" si="2"/>
        <v>0</v>
      </c>
      <c r="L7" s="74">
        <f t="shared" si="3"/>
        <v>0</v>
      </c>
      <c r="M7" s="74">
        <v>0</v>
      </c>
      <c r="N7" s="8"/>
    </row>
    <row r="8" spans="1:18">
      <c r="A8" s="50">
        <v>5</v>
      </c>
      <c r="B8" s="233">
        <v>45996</v>
      </c>
      <c r="C8" s="73"/>
      <c r="D8" s="167"/>
      <c r="E8" s="272"/>
      <c r="F8" s="272"/>
      <c r="G8" s="8">
        <f t="shared" si="0"/>
        <v>0</v>
      </c>
      <c r="H8" s="71">
        <v>0</v>
      </c>
      <c r="I8" s="72">
        <v>0</v>
      </c>
      <c r="J8" s="8">
        <f t="shared" si="1"/>
        <v>0</v>
      </c>
      <c r="K8" s="8">
        <f t="shared" si="2"/>
        <v>0</v>
      </c>
      <c r="L8" s="74">
        <f t="shared" si="3"/>
        <v>0</v>
      </c>
      <c r="M8" s="74">
        <v>0</v>
      </c>
      <c r="N8" s="8"/>
      <c r="O8" s="75"/>
      <c r="R8" s="240"/>
    </row>
    <row r="9" spans="1:18">
      <c r="A9" s="50">
        <v>6</v>
      </c>
      <c r="B9" s="233">
        <v>45997</v>
      </c>
      <c r="C9" s="73"/>
      <c r="D9" s="167"/>
      <c r="E9" s="272"/>
      <c r="F9" s="272"/>
      <c r="G9" s="8">
        <f t="shared" si="0"/>
        <v>0</v>
      </c>
      <c r="H9" s="71">
        <v>0</v>
      </c>
      <c r="I9" s="72">
        <v>0</v>
      </c>
      <c r="J9" s="8">
        <f t="shared" si="1"/>
        <v>0</v>
      </c>
      <c r="K9" s="8">
        <f t="shared" si="2"/>
        <v>0</v>
      </c>
      <c r="L9" s="74">
        <f t="shared" si="3"/>
        <v>0</v>
      </c>
      <c r="M9" s="74">
        <v>0</v>
      </c>
      <c r="N9" s="8"/>
      <c r="O9" s="75"/>
    </row>
    <row r="10" spans="1:18">
      <c r="A10" s="50">
        <v>7</v>
      </c>
      <c r="B10" s="233">
        <v>45998</v>
      </c>
      <c r="C10" s="73"/>
      <c r="D10" s="167"/>
      <c r="E10" s="272"/>
      <c r="F10" s="272"/>
      <c r="G10" s="8">
        <f t="shared" si="0"/>
        <v>0</v>
      </c>
      <c r="H10" s="71">
        <v>0</v>
      </c>
      <c r="I10" s="72">
        <v>0</v>
      </c>
      <c r="J10" s="8">
        <f t="shared" si="1"/>
        <v>0</v>
      </c>
      <c r="K10" s="8">
        <f t="shared" si="2"/>
        <v>0</v>
      </c>
      <c r="L10" s="74">
        <f t="shared" si="3"/>
        <v>0</v>
      </c>
      <c r="M10" s="74">
        <v>0</v>
      </c>
      <c r="N10" s="8"/>
      <c r="O10" s="75">
        <v>169.99</v>
      </c>
    </row>
    <row r="11" spans="1:18">
      <c r="A11" s="50">
        <v>8</v>
      </c>
      <c r="B11" s="233">
        <v>45999</v>
      </c>
      <c r="C11" s="73"/>
      <c r="D11" s="167"/>
      <c r="E11" s="272"/>
      <c r="F11" s="272"/>
      <c r="G11" s="8">
        <f t="shared" si="0"/>
        <v>0</v>
      </c>
      <c r="H11" s="71">
        <v>0</v>
      </c>
      <c r="I11" s="72">
        <v>0</v>
      </c>
      <c r="J11" s="8">
        <f t="shared" si="1"/>
        <v>0</v>
      </c>
      <c r="K11" s="8">
        <f t="shared" si="2"/>
        <v>0</v>
      </c>
      <c r="L11" s="74">
        <f t="shared" si="3"/>
        <v>0</v>
      </c>
      <c r="M11" s="74">
        <v>0</v>
      </c>
      <c r="N11" s="8"/>
      <c r="O11" s="75">
        <v>80</v>
      </c>
    </row>
    <row r="12" spans="1:18">
      <c r="A12" s="50">
        <v>9</v>
      </c>
      <c r="B12" s="233">
        <v>46000</v>
      </c>
      <c r="C12" s="73"/>
      <c r="D12" s="167"/>
      <c r="E12" s="272"/>
      <c r="F12" s="272"/>
      <c r="G12" s="8">
        <f t="shared" si="0"/>
        <v>0</v>
      </c>
      <c r="H12" s="71">
        <v>0</v>
      </c>
      <c r="I12" s="72">
        <v>0</v>
      </c>
      <c r="J12" s="8">
        <f t="shared" si="1"/>
        <v>0</v>
      </c>
      <c r="K12" s="8">
        <f t="shared" si="2"/>
        <v>0</v>
      </c>
      <c r="L12" s="74">
        <f t="shared" si="3"/>
        <v>0</v>
      </c>
      <c r="M12" s="74">
        <v>0</v>
      </c>
      <c r="N12" s="8"/>
      <c r="O12" s="75">
        <f>SUM(O10:O11)</f>
        <v>249.99</v>
      </c>
      <c r="P12">
        <v>97.76</v>
      </c>
      <c r="Q12">
        <f>O12*P12</f>
        <v>24439.022400000002</v>
      </c>
    </row>
    <row r="13" spans="1:18">
      <c r="A13" s="50">
        <v>10</v>
      </c>
      <c r="B13" s="233">
        <v>46001</v>
      </c>
      <c r="C13" s="73"/>
      <c r="D13" s="167"/>
      <c r="E13" s="272"/>
      <c r="F13" s="272"/>
      <c r="G13" s="8">
        <f t="shared" si="0"/>
        <v>0</v>
      </c>
      <c r="H13" s="71">
        <v>0</v>
      </c>
      <c r="I13" s="72">
        <v>0</v>
      </c>
      <c r="J13" s="8">
        <f t="shared" si="1"/>
        <v>0</v>
      </c>
      <c r="K13" s="8">
        <f t="shared" si="2"/>
        <v>0</v>
      </c>
      <c r="L13" s="74">
        <f t="shared" si="3"/>
        <v>0</v>
      </c>
      <c r="M13" s="74">
        <v>0</v>
      </c>
      <c r="N13" s="8"/>
      <c r="O13" s="75"/>
    </row>
    <row r="14" spans="1:18">
      <c r="A14" s="50">
        <v>11</v>
      </c>
      <c r="B14" s="233">
        <v>46002</v>
      </c>
      <c r="C14" s="73"/>
      <c r="D14" s="167"/>
      <c r="E14" s="272"/>
      <c r="F14" s="272"/>
      <c r="G14" s="8">
        <f t="shared" si="0"/>
        <v>0</v>
      </c>
      <c r="H14" s="71">
        <v>0</v>
      </c>
      <c r="I14" s="72">
        <v>0</v>
      </c>
      <c r="J14" s="8">
        <f t="shared" si="1"/>
        <v>0</v>
      </c>
      <c r="K14" s="8">
        <f>G14+J14</f>
        <v>0</v>
      </c>
      <c r="L14" s="74">
        <f>+K14</f>
        <v>0</v>
      </c>
      <c r="M14" s="74">
        <v>0</v>
      </c>
      <c r="N14" s="8"/>
      <c r="O14" s="75"/>
    </row>
    <row r="15" spans="1:18">
      <c r="A15" s="50">
        <v>12</v>
      </c>
      <c r="B15" s="233">
        <v>46003</v>
      </c>
      <c r="C15" s="73"/>
      <c r="D15" s="167"/>
      <c r="E15" s="272"/>
      <c r="F15" s="272"/>
      <c r="G15" s="8">
        <f t="shared" si="0"/>
        <v>0</v>
      </c>
      <c r="H15" s="71">
        <v>0</v>
      </c>
      <c r="I15" s="72">
        <v>0</v>
      </c>
      <c r="J15" s="8">
        <f t="shared" si="1"/>
        <v>0</v>
      </c>
      <c r="K15" s="8">
        <f t="shared" si="2"/>
        <v>0</v>
      </c>
      <c r="L15" s="74">
        <f t="shared" si="3"/>
        <v>0</v>
      </c>
      <c r="M15" s="74">
        <v>0</v>
      </c>
      <c r="N15" s="8"/>
      <c r="O15" s="75"/>
      <c r="P15">
        <v>7820.8</v>
      </c>
    </row>
    <row r="16" spans="1:18">
      <c r="A16" s="50">
        <v>13</v>
      </c>
      <c r="B16" s="233">
        <v>46004</v>
      </c>
      <c r="C16" s="73"/>
      <c r="D16" s="167"/>
      <c r="E16" s="272"/>
      <c r="F16" s="272"/>
      <c r="G16" s="8">
        <f t="shared" si="0"/>
        <v>0</v>
      </c>
      <c r="H16" s="71">
        <v>5.47</v>
      </c>
      <c r="I16" s="72">
        <v>109.61</v>
      </c>
      <c r="J16" s="8">
        <f t="shared" si="1"/>
        <v>599.56669999999997</v>
      </c>
      <c r="K16" s="8">
        <f t="shared" si="2"/>
        <v>599.56669999999997</v>
      </c>
      <c r="L16" s="74">
        <f t="shared" si="3"/>
        <v>599.56669999999997</v>
      </c>
      <c r="M16" s="74">
        <v>0</v>
      </c>
      <c r="N16" s="8"/>
      <c r="O16" s="75"/>
      <c r="P16">
        <v>16619.2</v>
      </c>
    </row>
    <row r="17" spans="1:16">
      <c r="A17" s="50">
        <v>14</v>
      </c>
      <c r="B17" s="233">
        <v>46005</v>
      </c>
      <c r="C17" s="73"/>
      <c r="D17" s="167"/>
      <c r="E17" s="272"/>
      <c r="F17" s="272"/>
      <c r="G17" s="8">
        <f t="shared" si="0"/>
        <v>0</v>
      </c>
      <c r="H17" s="71">
        <v>0</v>
      </c>
      <c r="I17" s="72">
        <v>0</v>
      </c>
      <c r="J17" s="8">
        <f t="shared" si="1"/>
        <v>0</v>
      </c>
      <c r="K17" s="8">
        <f t="shared" si="2"/>
        <v>0</v>
      </c>
      <c r="L17" s="74">
        <f t="shared" si="3"/>
        <v>0</v>
      </c>
      <c r="M17" s="74">
        <v>0</v>
      </c>
      <c r="N17" s="8"/>
      <c r="O17" s="75"/>
      <c r="P17">
        <f>SUM(P15:P16)</f>
        <v>24440</v>
      </c>
    </row>
    <row r="18" spans="1:16">
      <c r="A18" s="50">
        <v>15</v>
      </c>
      <c r="B18" s="233">
        <v>46006</v>
      </c>
      <c r="C18" s="73"/>
      <c r="D18" s="167"/>
      <c r="E18" s="370"/>
      <c r="F18" s="370"/>
      <c r="G18" s="192">
        <f t="shared" si="0"/>
        <v>0</v>
      </c>
      <c r="H18" s="71">
        <v>0</v>
      </c>
      <c r="I18" s="72">
        <v>0</v>
      </c>
      <c r="J18" s="192">
        <f t="shared" si="1"/>
        <v>0</v>
      </c>
      <c r="K18" s="192">
        <f t="shared" si="2"/>
        <v>0</v>
      </c>
      <c r="L18" s="373">
        <f t="shared" si="3"/>
        <v>0</v>
      </c>
      <c r="M18" s="373">
        <v>0</v>
      </c>
      <c r="N18" s="8"/>
      <c r="O18" s="75"/>
    </row>
    <row r="19" spans="1:16">
      <c r="A19" s="50">
        <v>16</v>
      </c>
      <c r="B19" s="233">
        <v>46007</v>
      </c>
      <c r="C19" s="73"/>
      <c r="D19" s="369"/>
      <c r="E19" s="272"/>
      <c r="F19" s="272"/>
      <c r="G19" s="8">
        <f t="shared" si="0"/>
        <v>0</v>
      </c>
      <c r="H19" s="71">
        <v>0</v>
      </c>
      <c r="I19" s="72">
        <v>0</v>
      </c>
      <c r="J19" s="8">
        <f t="shared" si="1"/>
        <v>0</v>
      </c>
      <c r="K19" s="8">
        <f t="shared" si="2"/>
        <v>0</v>
      </c>
      <c r="L19" s="74">
        <f t="shared" si="3"/>
        <v>0</v>
      </c>
      <c r="M19" s="74">
        <v>0</v>
      </c>
      <c r="N19" s="203"/>
      <c r="O19" s="75"/>
    </row>
    <row r="20" spans="1:16">
      <c r="A20" s="50">
        <v>17</v>
      </c>
      <c r="B20" s="233">
        <v>46008</v>
      </c>
      <c r="C20" s="73"/>
      <c r="D20" s="369"/>
      <c r="E20" s="272"/>
      <c r="F20" s="272"/>
      <c r="G20" s="8">
        <f t="shared" si="0"/>
        <v>0</v>
      </c>
      <c r="H20" s="71">
        <v>0</v>
      </c>
      <c r="I20" s="72">
        <v>0</v>
      </c>
      <c r="J20" s="8">
        <f t="shared" si="1"/>
        <v>0</v>
      </c>
      <c r="K20" s="8">
        <f t="shared" si="2"/>
        <v>0</v>
      </c>
      <c r="L20" s="74">
        <f t="shared" si="3"/>
        <v>0</v>
      </c>
      <c r="M20" s="74">
        <v>0</v>
      </c>
      <c r="N20" s="203"/>
      <c r="O20" s="75"/>
    </row>
    <row r="21" spans="1:16">
      <c r="A21" s="50">
        <v>18</v>
      </c>
      <c r="B21" s="233">
        <v>46009</v>
      </c>
      <c r="C21" s="73"/>
      <c r="D21" s="369"/>
      <c r="E21" s="17"/>
      <c r="F21" s="17"/>
      <c r="G21" s="8">
        <f t="shared" si="0"/>
        <v>0</v>
      </c>
      <c r="H21" s="71">
        <v>0</v>
      </c>
      <c r="I21" s="72">
        <v>0</v>
      </c>
      <c r="J21" s="8">
        <f t="shared" si="1"/>
        <v>0</v>
      </c>
      <c r="K21" s="8">
        <f t="shared" si="2"/>
        <v>0</v>
      </c>
      <c r="L21" s="74">
        <f t="shared" si="3"/>
        <v>0</v>
      </c>
      <c r="M21" s="74">
        <v>0</v>
      </c>
      <c r="N21" s="203"/>
      <c r="O21" s="75"/>
    </row>
    <row r="22" spans="1:16">
      <c r="A22" s="50">
        <v>19</v>
      </c>
      <c r="B22" s="233">
        <v>46010</v>
      </c>
      <c r="C22" s="73"/>
      <c r="D22" s="369"/>
      <c r="E22" s="272">
        <v>400</v>
      </c>
      <c r="F22" s="272">
        <v>97.76</v>
      </c>
      <c r="G22" s="8">
        <f t="shared" si="0"/>
        <v>39104</v>
      </c>
      <c r="H22" s="71">
        <v>0</v>
      </c>
      <c r="I22" s="72">
        <v>0</v>
      </c>
      <c r="J22" s="8">
        <f t="shared" si="1"/>
        <v>0</v>
      </c>
      <c r="K22" s="8">
        <f t="shared" si="2"/>
        <v>39104</v>
      </c>
      <c r="L22" s="74">
        <f t="shared" si="3"/>
        <v>39104</v>
      </c>
      <c r="M22" s="74">
        <v>0</v>
      </c>
      <c r="N22" s="203"/>
      <c r="O22" s="75"/>
    </row>
    <row r="23" spans="1:16">
      <c r="A23" s="50">
        <v>20</v>
      </c>
      <c r="B23" s="233">
        <v>46011</v>
      </c>
      <c r="C23" s="73"/>
      <c r="D23" s="369"/>
      <c r="E23" s="17"/>
      <c r="F23" s="17"/>
      <c r="G23" s="8">
        <f t="shared" si="0"/>
        <v>0</v>
      </c>
      <c r="H23" s="71">
        <v>0</v>
      </c>
      <c r="I23" s="72">
        <v>0</v>
      </c>
      <c r="J23" s="8">
        <f t="shared" si="1"/>
        <v>0</v>
      </c>
      <c r="K23" s="8">
        <f t="shared" si="2"/>
        <v>0</v>
      </c>
      <c r="L23" s="74">
        <f t="shared" si="3"/>
        <v>0</v>
      </c>
      <c r="M23" s="74">
        <v>0</v>
      </c>
      <c r="N23" s="203"/>
      <c r="O23" s="75"/>
    </row>
    <row r="24" spans="1:16">
      <c r="A24" s="50">
        <v>21</v>
      </c>
      <c r="B24" s="233">
        <v>46012</v>
      </c>
      <c r="C24" s="73"/>
      <c r="D24" s="369"/>
      <c r="E24" s="272"/>
      <c r="F24" s="272"/>
      <c r="G24" s="8">
        <f t="shared" si="0"/>
        <v>0</v>
      </c>
      <c r="H24" s="71">
        <v>0</v>
      </c>
      <c r="I24" s="72">
        <v>0</v>
      </c>
      <c r="J24" s="8">
        <f t="shared" si="1"/>
        <v>0</v>
      </c>
      <c r="K24" s="8">
        <f t="shared" si="2"/>
        <v>0</v>
      </c>
      <c r="L24" s="74">
        <f t="shared" si="3"/>
        <v>0</v>
      </c>
      <c r="M24" s="74">
        <v>0</v>
      </c>
      <c r="N24" s="203"/>
      <c r="O24" s="75"/>
    </row>
    <row r="25" spans="1:16">
      <c r="A25" s="50">
        <v>22</v>
      </c>
      <c r="B25" s="233">
        <v>46013</v>
      </c>
      <c r="C25" s="73"/>
      <c r="D25" s="369"/>
      <c r="E25" s="272"/>
      <c r="F25" s="272"/>
      <c r="G25" s="8">
        <f t="shared" si="0"/>
        <v>0</v>
      </c>
      <c r="H25" s="71">
        <v>0</v>
      </c>
      <c r="I25" s="72">
        <v>0</v>
      </c>
      <c r="J25" s="8">
        <f t="shared" si="1"/>
        <v>0</v>
      </c>
      <c r="K25" s="8">
        <f t="shared" si="2"/>
        <v>0</v>
      </c>
      <c r="L25" s="74">
        <f t="shared" si="3"/>
        <v>0</v>
      </c>
      <c r="M25" s="74">
        <v>0</v>
      </c>
      <c r="N25" s="203"/>
      <c r="O25" s="75"/>
    </row>
    <row r="26" spans="1:16">
      <c r="A26" s="50">
        <v>23</v>
      </c>
      <c r="B26" s="233">
        <v>46014</v>
      </c>
      <c r="C26" s="73"/>
      <c r="D26" s="369"/>
      <c r="E26" s="17"/>
      <c r="F26" s="17"/>
      <c r="G26" s="8">
        <f t="shared" si="0"/>
        <v>0</v>
      </c>
      <c r="H26" s="71">
        <v>0</v>
      </c>
      <c r="I26" s="72">
        <v>0</v>
      </c>
      <c r="J26" s="8">
        <f t="shared" si="1"/>
        <v>0</v>
      </c>
      <c r="K26" s="8">
        <f t="shared" si="2"/>
        <v>0</v>
      </c>
      <c r="L26" s="74">
        <f t="shared" si="3"/>
        <v>0</v>
      </c>
      <c r="M26" s="74">
        <v>0</v>
      </c>
      <c r="N26" s="203"/>
      <c r="O26" s="75"/>
    </row>
    <row r="27" spans="1:16">
      <c r="A27" s="50">
        <v>24</v>
      </c>
      <c r="B27" s="233">
        <v>46015</v>
      </c>
      <c r="C27" s="73"/>
      <c r="D27" s="369"/>
      <c r="E27" s="17"/>
      <c r="F27" s="17"/>
      <c r="G27" s="8">
        <f t="shared" si="0"/>
        <v>0</v>
      </c>
      <c r="H27" s="71">
        <v>0</v>
      </c>
      <c r="I27" s="72">
        <v>0</v>
      </c>
      <c r="J27" s="8">
        <f t="shared" si="1"/>
        <v>0</v>
      </c>
      <c r="K27" s="8">
        <f t="shared" si="2"/>
        <v>0</v>
      </c>
      <c r="L27" s="74">
        <f t="shared" si="3"/>
        <v>0</v>
      </c>
      <c r="M27" s="74">
        <v>0</v>
      </c>
      <c r="N27" s="203"/>
      <c r="O27" s="75"/>
    </row>
    <row r="28" spans="1:16">
      <c r="A28" s="235">
        <v>25</v>
      </c>
      <c r="B28" s="233">
        <v>46016</v>
      </c>
      <c r="C28" s="73"/>
      <c r="D28" s="369"/>
      <c r="E28" s="272"/>
      <c r="F28" s="272"/>
      <c r="G28" s="8">
        <f t="shared" si="0"/>
        <v>0</v>
      </c>
      <c r="H28" s="71">
        <v>0</v>
      </c>
      <c r="I28" s="72">
        <v>0</v>
      </c>
      <c r="J28" s="8">
        <f t="shared" si="1"/>
        <v>0</v>
      </c>
      <c r="K28" s="8">
        <f t="shared" si="2"/>
        <v>0</v>
      </c>
      <c r="L28" s="74">
        <f t="shared" si="3"/>
        <v>0</v>
      </c>
      <c r="M28" s="74">
        <v>0</v>
      </c>
      <c r="N28" s="203"/>
      <c r="O28" s="75"/>
    </row>
    <row r="29" spans="1:16">
      <c r="A29" s="235">
        <v>26</v>
      </c>
      <c r="B29" s="233">
        <v>46017</v>
      </c>
      <c r="C29" s="73"/>
      <c r="D29" s="167"/>
      <c r="E29" s="371"/>
      <c r="F29" s="371"/>
      <c r="G29" s="19">
        <f t="shared" si="0"/>
        <v>0</v>
      </c>
      <c r="H29" s="71">
        <v>0</v>
      </c>
      <c r="I29" s="72">
        <v>0</v>
      </c>
      <c r="J29" s="19">
        <f t="shared" si="1"/>
        <v>0</v>
      </c>
      <c r="K29" s="19">
        <f t="shared" si="2"/>
        <v>0</v>
      </c>
      <c r="L29" s="137">
        <f t="shared" si="3"/>
        <v>0</v>
      </c>
      <c r="M29" s="137">
        <v>0</v>
      </c>
      <c r="N29" s="8"/>
      <c r="O29" s="75"/>
    </row>
    <row r="30" spans="1:16">
      <c r="A30" s="235">
        <v>27</v>
      </c>
      <c r="B30" s="233">
        <v>46018</v>
      </c>
      <c r="C30" s="73"/>
      <c r="D30" s="167"/>
      <c r="E30" s="272"/>
      <c r="F30" s="272"/>
      <c r="G30" s="8">
        <f t="shared" si="0"/>
        <v>0</v>
      </c>
      <c r="H30" s="71">
        <v>0</v>
      </c>
      <c r="I30" s="72">
        <v>0</v>
      </c>
      <c r="J30" s="8">
        <f t="shared" si="1"/>
        <v>0</v>
      </c>
      <c r="K30" s="8">
        <f t="shared" si="2"/>
        <v>0</v>
      </c>
      <c r="L30" s="74">
        <f t="shared" si="3"/>
        <v>0</v>
      </c>
      <c r="M30" s="74">
        <v>0</v>
      </c>
      <c r="N30" s="8"/>
      <c r="O30" s="75"/>
    </row>
    <row r="31" spans="1:16">
      <c r="A31" s="235">
        <v>28</v>
      </c>
      <c r="B31" s="233">
        <v>46019</v>
      </c>
      <c r="C31" s="73"/>
      <c r="D31" s="167"/>
      <c r="E31" s="272"/>
      <c r="F31" s="272"/>
      <c r="G31" s="8">
        <f t="shared" si="0"/>
        <v>0</v>
      </c>
      <c r="H31" s="71">
        <v>0</v>
      </c>
      <c r="I31" s="72">
        <v>0</v>
      </c>
      <c r="J31" s="8">
        <f t="shared" si="1"/>
        <v>0</v>
      </c>
      <c r="K31" s="8">
        <f t="shared" si="2"/>
        <v>0</v>
      </c>
      <c r="L31" s="74">
        <f t="shared" si="3"/>
        <v>0</v>
      </c>
      <c r="M31" s="74">
        <v>0</v>
      </c>
      <c r="N31" s="8"/>
      <c r="O31" s="75"/>
    </row>
    <row r="32" spans="1:16">
      <c r="A32" s="236">
        <v>29</v>
      </c>
      <c r="B32" s="233">
        <v>46020</v>
      </c>
      <c r="C32" s="73"/>
      <c r="D32" s="167"/>
      <c r="E32" s="272"/>
      <c r="F32" s="272"/>
      <c r="G32" s="8">
        <f t="shared" si="0"/>
        <v>0</v>
      </c>
      <c r="H32" s="71">
        <v>0</v>
      </c>
      <c r="I32" s="72">
        <v>0</v>
      </c>
      <c r="J32" s="8">
        <f t="shared" si="1"/>
        <v>0</v>
      </c>
      <c r="K32" s="8">
        <f t="shared" si="2"/>
        <v>0</v>
      </c>
      <c r="L32" s="74">
        <f t="shared" si="3"/>
        <v>0</v>
      </c>
      <c r="M32" s="74">
        <v>0</v>
      </c>
      <c r="N32" s="8"/>
      <c r="O32" s="75"/>
    </row>
    <row r="33" spans="1:15">
      <c r="A33" s="236">
        <v>30</v>
      </c>
      <c r="B33" s="233">
        <v>46021</v>
      </c>
      <c r="C33" s="73"/>
      <c r="D33" s="167"/>
      <c r="E33" s="272"/>
      <c r="F33" s="272"/>
      <c r="G33" s="8">
        <f t="shared" si="0"/>
        <v>0</v>
      </c>
      <c r="H33" s="71">
        <v>0</v>
      </c>
      <c r="I33" s="72">
        <v>0</v>
      </c>
      <c r="J33" s="8">
        <f t="shared" si="1"/>
        <v>0</v>
      </c>
      <c r="K33" s="8">
        <f t="shared" si="2"/>
        <v>0</v>
      </c>
      <c r="L33" s="74">
        <f t="shared" si="3"/>
        <v>0</v>
      </c>
      <c r="M33" s="74">
        <v>0</v>
      </c>
      <c r="N33" s="8"/>
      <c r="O33" s="75"/>
    </row>
    <row r="34" spans="1:15">
      <c r="A34" s="236">
        <v>31</v>
      </c>
      <c r="B34" s="233">
        <v>46022</v>
      </c>
      <c r="C34" s="73"/>
      <c r="D34" s="167"/>
      <c r="E34" s="272">
        <v>200</v>
      </c>
      <c r="F34" s="272">
        <v>97.76</v>
      </c>
      <c r="G34" s="8">
        <f t="shared" si="0"/>
        <v>19552</v>
      </c>
      <c r="H34" s="71">
        <v>0</v>
      </c>
      <c r="I34" s="72">
        <v>0</v>
      </c>
      <c r="J34" s="8">
        <f t="shared" si="1"/>
        <v>0</v>
      </c>
      <c r="K34" s="8">
        <f t="shared" si="2"/>
        <v>19552</v>
      </c>
      <c r="L34" s="74">
        <f t="shared" si="3"/>
        <v>19552</v>
      </c>
      <c r="M34" s="74">
        <v>0</v>
      </c>
      <c r="N34" s="8"/>
      <c r="O34" s="75"/>
    </row>
    <row r="35" spans="1:15">
      <c r="A35" s="68"/>
      <c r="B35" s="68"/>
      <c r="C35" s="68"/>
      <c r="D35" s="68"/>
      <c r="E35" s="273">
        <f>SUM(E4:E34)</f>
        <v>600</v>
      </c>
      <c r="F35" s="273"/>
      <c r="G35" s="69">
        <f>SUM(G4:G34)</f>
        <v>58656</v>
      </c>
      <c r="H35" s="69">
        <f>SUM(H4:H34)</f>
        <v>10.029999999999999</v>
      </c>
      <c r="I35" s="69"/>
      <c r="J35" s="69">
        <f>SUM(J4:J34)</f>
        <v>1099.3882999999998</v>
      </c>
      <c r="K35" s="69">
        <f>SUM(K4:K34)</f>
        <v>59755.388299999999</v>
      </c>
      <c r="L35" s="69">
        <f>SUM(L4:L34)</f>
        <v>59755.388299999999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72"/>
      <c r="C43" s="472"/>
      <c r="D43" s="472"/>
      <c r="E43" s="472"/>
      <c r="F43" s="75"/>
      <c r="G43" s="75"/>
      <c r="H43" s="75"/>
      <c r="I43" s="472"/>
      <c r="J43" s="472"/>
      <c r="K43" s="472"/>
      <c r="L43" s="472"/>
      <c r="M43" s="472"/>
      <c r="N43" s="472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2" topLeftCell="A3" activePane="bottomLeft" state="frozen"/>
      <selection pane="bottomLeft" activeCell="M21" sqref="M21"/>
    </sheetView>
  </sheetViews>
  <sheetFormatPr defaultColWidth="12.28515625" defaultRowHeight="12.75"/>
  <cols>
    <col min="1" max="1" width="8.42578125" style="67" customWidth="1"/>
    <col min="2" max="3" width="12.28515625" style="67"/>
    <col min="4" max="4" width="13.5703125" style="67" customWidth="1"/>
    <col min="5" max="5" width="12.28515625" style="67"/>
    <col min="6" max="6" width="13.7109375" style="67" bestFit="1" customWidth="1"/>
    <col min="7" max="16384" width="12.28515625" style="67"/>
  </cols>
  <sheetData>
    <row r="1" spans="1:15" ht="15.75" customHeight="1">
      <c r="A1" s="455" t="s">
        <v>42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66"/>
    </row>
    <row r="2" spans="1:15" ht="15.75" customHeight="1">
      <c r="A2" s="93" t="s">
        <v>122</v>
      </c>
      <c r="B2" s="94" t="s">
        <v>123</v>
      </c>
      <c r="C2" s="94" t="s">
        <v>124</v>
      </c>
      <c r="D2" s="94" t="s">
        <v>125</v>
      </c>
      <c r="E2" s="94" t="s">
        <v>126</v>
      </c>
      <c r="F2" s="94" t="s">
        <v>127</v>
      </c>
      <c r="G2" s="94" t="s">
        <v>128</v>
      </c>
      <c r="H2" s="94" t="s">
        <v>129</v>
      </c>
      <c r="I2" s="94" t="s">
        <v>127</v>
      </c>
      <c r="J2" s="119" t="s">
        <v>128</v>
      </c>
      <c r="K2" s="121" t="s">
        <v>130</v>
      </c>
      <c r="L2" s="122" t="s">
        <v>131</v>
      </c>
      <c r="M2" s="123" t="s">
        <v>138</v>
      </c>
      <c r="N2" s="95" t="s">
        <v>133</v>
      </c>
      <c r="O2" s="33"/>
    </row>
    <row r="3" spans="1:15" ht="15.75" customHeight="1">
      <c r="A3" s="462" t="s">
        <v>134</v>
      </c>
      <c r="B3" s="463"/>
      <c r="C3" s="468"/>
      <c r="D3" s="468"/>
      <c r="E3" s="468"/>
      <c r="F3" s="468"/>
      <c r="G3" s="468"/>
      <c r="H3" s="468"/>
      <c r="I3" s="468"/>
      <c r="J3" s="474"/>
      <c r="K3" s="212">
        <v>164331.63099999976</v>
      </c>
      <c r="L3" s="215"/>
      <c r="M3" s="212">
        <v>164331.63099999976</v>
      </c>
      <c r="N3" s="215"/>
      <c r="O3" s="33">
        <v>207239.43099999998</v>
      </c>
    </row>
    <row r="4" spans="1:15" ht="15">
      <c r="A4" s="26">
        <v>1</v>
      </c>
      <c r="B4" s="27">
        <v>45992</v>
      </c>
      <c r="C4" s="114"/>
      <c r="D4" s="114"/>
      <c r="E4" s="37"/>
      <c r="F4" s="37">
        <v>0</v>
      </c>
      <c r="G4" s="37">
        <f>E4*F4</f>
        <v>0</v>
      </c>
      <c r="H4" s="211">
        <v>110</v>
      </c>
      <c r="I4" s="211">
        <v>104.27</v>
      </c>
      <c r="J4" s="37">
        <f>H4*I4</f>
        <v>11469.699999999999</v>
      </c>
      <c r="K4" s="37">
        <f>G4+J4</f>
        <v>11469.699999999999</v>
      </c>
      <c r="L4" s="215"/>
      <c r="M4" s="212">
        <f>M3+K4-L4</f>
        <v>175801.33099999977</v>
      </c>
      <c r="N4" s="37"/>
      <c r="O4" s="28"/>
    </row>
    <row r="5" spans="1:15" ht="15">
      <c r="A5" s="26">
        <v>2</v>
      </c>
      <c r="B5" s="27">
        <v>45993</v>
      </c>
      <c r="C5" s="114"/>
      <c r="D5" s="114"/>
      <c r="E5" s="37"/>
      <c r="F5" s="37">
        <v>0</v>
      </c>
      <c r="G5" s="37">
        <f t="shared" ref="G5:G33" si="0">E5*F5</f>
        <v>0</v>
      </c>
      <c r="H5" s="211">
        <v>0</v>
      </c>
      <c r="I5" s="211">
        <v>0</v>
      </c>
      <c r="J5" s="37">
        <f t="shared" ref="J5:J33" si="1">H5*I5</f>
        <v>0</v>
      </c>
      <c r="K5" s="37">
        <f t="shared" ref="K5:K33" si="2">G5+J5</f>
        <v>0</v>
      </c>
      <c r="L5" s="215"/>
      <c r="M5" s="212">
        <f>M4+K5-L5</f>
        <v>175801.33099999977</v>
      </c>
      <c r="N5" s="37"/>
      <c r="O5" s="28"/>
    </row>
    <row r="6" spans="1:15" ht="15">
      <c r="A6" s="26">
        <v>3</v>
      </c>
      <c r="B6" s="27">
        <v>45994</v>
      </c>
      <c r="C6" s="114"/>
      <c r="D6" s="114"/>
      <c r="E6" s="37"/>
      <c r="F6" s="37">
        <v>0</v>
      </c>
      <c r="G6" s="37">
        <f t="shared" si="0"/>
        <v>0</v>
      </c>
      <c r="H6" s="211">
        <v>0</v>
      </c>
      <c r="I6" s="211">
        <v>0</v>
      </c>
      <c r="J6" s="37">
        <f t="shared" si="1"/>
        <v>0</v>
      </c>
      <c r="K6" s="37">
        <f t="shared" si="2"/>
        <v>0</v>
      </c>
      <c r="L6" s="215"/>
      <c r="M6" s="212">
        <f>M5+K6-L6</f>
        <v>175801.33099999977</v>
      </c>
      <c r="N6" s="37"/>
      <c r="O6" s="28"/>
    </row>
    <row r="7" spans="1:15" ht="15">
      <c r="A7" s="26">
        <v>4</v>
      </c>
      <c r="B7" s="27">
        <v>45995</v>
      </c>
      <c r="C7" s="114"/>
      <c r="D7" s="114"/>
      <c r="E7" s="37"/>
      <c r="F7" s="37">
        <v>0</v>
      </c>
      <c r="G7" s="37">
        <f t="shared" si="0"/>
        <v>0</v>
      </c>
      <c r="H7" s="211">
        <v>0</v>
      </c>
      <c r="I7" s="211">
        <v>0</v>
      </c>
      <c r="J7" s="37">
        <f t="shared" si="1"/>
        <v>0</v>
      </c>
      <c r="K7" s="37">
        <f t="shared" si="2"/>
        <v>0</v>
      </c>
      <c r="L7" s="215"/>
      <c r="M7" s="212">
        <f>M6+K7-L7</f>
        <v>175801.33099999977</v>
      </c>
      <c r="N7" s="37"/>
      <c r="O7" s="28"/>
    </row>
    <row r="8" spans="1:15" ht="15">
      <c r="A8" s="26">
        <v>5</v>
      </c>
      <c r="B8" s="27">
        <v>45996</v>
      </c>
      <c r="C8" s="114"/>
      <c r="D8" s="114"/>
      <c r="E8" s="37"/>
      <c r="F8" s="37">
        <v>0</v>
      </c>
      <c r="G8" s="37">
        <f t="shared" si="0"/>
        <v>0</v>
      </c>
      <c r="H8" s="211">
        <v>0</v>
      </c>
      <c r="I8" s="211">
        <v>0</v>
      </c>
      <c r="J8" s="37">
        <f t="shared" si="1"/>
        <v>0</v>
      </c>
      <c r="K8" s="37">
        <f t="shared" si="2"/>
        <v>0</v>
      </c>
      <c r="L8" s="215"/>
      <c r="M8" s="212">
        <f>M7+K8-L8</f>
        <v>175801.33099999977</v>
      </c>
      <c r="N8" s="37"/>
      <c r="O8" s="28"/>
    </row>
    <row r="9" spans="1:15" ht="15">
      <c r="A9" s="26">
        <v>6</v>
      </c>
      <c r="B9" s="27">
        <v>45997</v>
      </c>
      <c r="C9" s="114"/>
      <c r="D9" s="114"/>
      <c r="E9" s="37"/>
      <c r="F9" s="37">
        <v>0</v>
      </c>
      <c r="G9" s="37">
        <f t="shared" si="0"/>
        <v>0</v>
      </c>
      <c r="H9" s="211">
        <v>0</v>
      </c>
      <c r="I9" s="211">
        <v>0</v>
      </c>
      <c r="J9" s="37">
        <f t="shared" si="1"/>
        <v>0</v>
      </c>
      <c r="K9" s="37">
        <f t="shared" si="2"/>
        <v>0</v>
      </c>
      <c r="L9" s="215"/>
      <c r="M9" s="212">
        <f t="shared" ref="M9:M33" si="3">M8+K9-L9</f>
        <v>175801.33099999977</v>
      </c>
      <c r="N9" s="37"/>
      <c r="O9" s="28"/>
    </row>
    <row r="10" spans="1:15" ht="15">
      <c r="A10" s="26">
        <v>7</v>
      </c>
      <c r="B10" s="27">
        <v>45998</v>
      </c>
      <c r="C10" s="114"/>
      <c r="D10" s="114"/>
      <c r="E10" s="37"/>
      <c r="F10" s="37">
        <v>0</v>
      </c>
      <c r="G10" s="37">
        <f t="shared" ref="G10:G17" si="4">E10*F10</f>
        <v>0</v>
      </c>
      <c r="H10" s="211">
        <v>0</v>
      </c>
      <c r="I10" s="211">
        <v>0</v>
      </c>
      <c r="J10" s="37">
        <f t="shared" ref="J10:J17" si="5">H10*I10</f>
        <v>0</v>
      </c>
      <c r="K10" s="37">
        <f t="shared" ref="K10:K17" si="6">G10+J10</f>
        <v>0</v>
      </c>
      <c r="L10" s="215"/>
      <c r="M10" s="212">
        <f t="shared" si="3"/>
        <v>175801.33099999977</v>
      </c>
      <c r="N10" s="37"/>
      <c r="O10" s="28"/>
    </row>
    <row r="11" spans="1:15" ht="15">
      <c r="A11" s="26">
        <v>8</v>
      </c>
      <c r="B11" s="27">
        <v>45999</v>
      </c>
      <c r="C11" s="114"/>
      <c r="D11" s="114"/>
      <c r="E11" s="37"/>
      <c r="F11" s="37">
        <v>0</v>
      </c>
      <c r="G11" s="37">
        <f t="shared" si="4"/>
        <v>0</v>
      </c>
      <c r="H11" s="211">
        <v>0</v>
      </c>
      <c r="I11" s="211">
        <v>0</v>
      </c>
      <c r="J11" s="37">
        <f t="shared" si="5"/>
        <v>0</v>
      </c>
      <c r="K11" s="37">
        <f t="shared" si="6"/>
        <v>0</v>
      </c>
      <c r="L11" s="215"/>
      <c r="M11" s="212">
        <f t="shared" si="3"/>
        <v>175801.33099999977</v>
      </c>
      <c r="N11" s="37"/>
      <c r="O11" s="28"/>
    </row>
    <row r="12" spans="1:15" ht="15">
      <c r="A12" s="26">
        <v>9</v>
      </c>
      <c r="B12" s="27">
        <v>46000</v>
      </c>
      <c r="C12" s="114"/>
      <c r="D12" s="114"/>
      <c r="E12" s="37"/>
      <c r="F12" s="37">
        <v>0</v>
      </c>
      <c r="G12" s="37">
        <f t="shared" si="4"/>
        <v>0</v>
      </c>
      <c r="H12" s="211">
        <v>0</v>
      </c>
      <c r="I12" s="211">
        <v>0</v>
      </c>
      <c r="J12" s="37">
        <f t="shared" si="5"/>
        <v>0</v>
      </c>
      <c r="K12" s="37">
        <f t="shared" si="6"/>
        <v>0</v>
      </c>
      <c r="L12" s="215"/>
      <c r="M12" s="212">
        <f t="shared" si="3"/>
        <v>175801.33099999977</v>
      </c>
      <c r="N12" s="37"/>
      <c r="O12" s="28"/>
    </row>
    <row r="13" spans="1:15" ht="15">
      <c r="A13" s="26">
        <v>10</v>
      </c>
      <c r="B13" s="27">
        <v>46001</v>
      </c>
      <c r="C13" s="114"/>
      <c r="D13" s="114"/>
      <c r="E13" s="37"/>
      <c r="F13" s="37">
        <v>0</v>
      </c>
      <c r="G13" s="37">
        <f t="shared" si="4"/>
        <v>0</v>
      </c>
      <c r="H13" s="211">
        <v>0</v>
      </c>
      <c r="I13" s="211">
        <v>0</v>
      </c>
      <c r="J13" s="37">
        <f t="shared" si="5"/>
        <v>0</v>
      </c>
      <c r="K13" s="37">
        <f t="shared" si="6"/>
        <v>0</v>
      </c>
      <c r="L13" s="215"/>
      <c r="M13" s="212">
        <f t="shared" si="3"/>
        <v>175801.33099999977</v>
      </c>
      <c r="N13" s="37"/>
      <c r="O13" s="28"/>
    </row>
    <row r="14" spans="1:15" ht="15">
      <c r="A14" s="26">
        <v>11</v>
      </c>
      <c r="B14" s="27">
        <v>46002</v>
      </c>
      <c r="C14" s="114"/>
      <c r="D14" s="114"/>
      <c r="E14" s="37"/>
      <c r="F14" s="37">
        <v>0</v>
      </c>
      <c r="G14" s="37">
        <f t="shared" si="4"/>
        <v>0</v>
      </c>
      <c r="H14" s="211">
        <v>0</v>
      </c>
      <c r="I14" s="211">
        <v>0</v>
      </c>
      <c r="J14" s="37">
        <f t="shared" si="5"/>
        <v>0</v>
      </c>
      <c r="K14" s="37">
        <f t="shared" si="6"/>
        <v>0</v>
      </c>
      <c r="L14" s="215"/>
      <c r="M14" s="212">
        <f t="shared" si="3"/>
        <v>175801.33099999977</v>
      </c>
      <c r="N14" s="37"/>
      <c r="O14" s="28"/>
    </row>
    <row r="15" spans="1:15" ht="15">
      <c r="A15" s="26">
        <v>12</v>
      </c>
      <c r="B15" s="27">
        <v>46003</v>
      </c>
      <c r="C15" s="114"/>
      <c r="D15" s="114"/>
      <c r="E15" s="37"/>
      <c r="F15" s="37">
        <v>0</v>
      </c>
      <c r="G15" s="37">
        <f t="shared" si="4"/>
        <v>0</v>
      </c>
      <c r="H15" s="211">
        <v>0</v>
      </c>
      <c r="I15" s="211">
        <v>0</v>
      </c>
      <c r="J15" s="37">
        <f t="shared" si="5"/>
        <v>0</v>
      </c>
      <c r="K15" s="37">
        <f t="shared" si="6"/>
        <v>0</v>
      </c>
      <c r="L15" s="215"/>
      <c r="M15" s="212">
        <f t="shared" si="3"/>
        <v>175801.33099999977</v>
      </c>
      <c r="N15" s="37"/>
      <c r="O15" s="28"/>
    </row>
    <row r="16" spans="1:15" ht="15">
      <c r="A16" s="26">
        <v>13</v>
      </c>
      <c r="B16" s="27">
        <v>46004</v>
      </c>
      <c r="C16" s="114"/>
      <c r="D16" s="114"/>
      <c r="E16" s="37"/>
      <c r="F16" s="37">
        <v>0</v>
      </c>
      <c r="G16" s="37">
        <f t="shared" si="4"/>
        <v>0</v>
      </c>
      <c r="H16" s="211">
        <v>0</v>
      </c>
      <c r="I16" s="211">
        <v>0</v>
      </c>
      <c r="J16" s="37">
        <f t="shared" si="5"/>
        <v>0</v>
      </c>
      <c r="K16" s="37">
        <f t="shared" si="6"/>
        <v>0</v>
      </c>
      <c r="L16" s="215"/>
      <c r="M16" s="212">
        <f t="shared" si="3"/>
        <v>175801.33099999977</v>
      </c>
      <c r="N16" s="37"/>
      <c r="O16" s="28"/>
    </row>
    <row r="17" spans="1:15" ht="15">
      <c r="A17" s="26">
        <v>14</v>
      </c>
      <c r="B17" s="27">
        <v>46005</v>
      </c>
      <c r="C17" s="114"/>
      <c r="D17" s="114"/>
      <c r="E17" s="37"/>
      <c r="F17" s="37">
        <v>0</v>
      </c>
      <c r="G17" s="37">
        <f t="shared" si="4"/>
        <v>0</v>
      </c>
      <c r="H17" s="211">
        <v>0</v>
      </c>
      <c r="I17" s="211">
        <v>0</v>
      </c>
      <c r="J17" s="37">
        <f t="shared" si="5"/>
        <v>0</v>
      </c>
      <c r="K17" s="37">
        <f t="shared" si="6"/>
        <v>0</v>
      </c>
      <c r="L17" s="215"/>
      <c r="M17" s="212">
        <f t="shared" si="3"/>
        <v>175801.33099999977</v>
      </c>
      <c r="N17" s="37"/>
      <c r="O17" s="28"/>
    </row>
    <row r="18" spans="1:15" ht="15">
      <c r="A18" s="26">
        <v>15</v>
      </c>
      <c r="B18" s="27">
        <v>46006</v>
      </c>
      <c r="C18" s="114"/>
      <c r="D18" s="114"/>
      <c r="E18" s="37"/>
      <c r="F18" s="37">
        <v>0</v>
      </c>
      <c r="G18" s="37">
        <f t="shared" si="0"/>
        <v>0</v>
      </c>
      <c r="H18" s="211">
        <v>0</v>
      </c>
      <c r="I18" s="211">
        <v>0</v>
      </c>
      <c r="J18" s="37">
        <f t="shared" si="1"/>
        <v>0</v>
      </c>
      <c r="K18" s="37">
        <f t="shared" si="2"/>
        <v>0</v>
      </c>
      <c r="L18" s="215">
        <v>175801</v>
      </c>
      <c r="M18" s="212">
        <f t="shared" si="3"/>
        <v>0.33099999977275729</v>
      </c>
      <c r="N18" s="37"/>
      <c r="O18" s="28"/>
    </row>
    <row r="19" spans="1:15" ht="15">
      <c r="A19" s="26">
        <v>16</v>
      </c>
      <c r="B19" s="27">
        <v>46007</v>
      </c>
      <c r="C19" s="114"/>
      <c r="D19" s="114"/>
      <c r="E19" s="37"/>
      <c r="F19" s="37">
        <v>0</v>
      </c>
      <c r="G19" s="37">
        <f t="shared" si="0"/>
        <v>0</v>
      </c>
      <c r="H19" s="211">
        <v>0</v>
      </c>
      <c r="I19" s="211">
        <v>0</v>
      </c>
      <c r="J19" s="37">
        <f t="shared" si="1"/>
        <v>0</v>
      </c>
      <c r="K19" s="37">
        <f t="shared" si="2"/>
        <v>0</v>
      </c>
      <c r="L19" s="215"/>
      <c r="M19" s="212">
        <f t="shared" si="3"/>
        <v>0.33099999977275729</v>
      </c>
      <c r="N19" s="37"/>
      <c r="O19" s="28"/>
    </row>
    <row r="20" spans="1:15" ht="15">
      <c r="A20" s="26">
        <v>17</v>
      </c>
      <c r="B20" s="27">
        <v>46008</v>
      </c>
      <c r="C20" s="114"/>
      <c r="D20" s="114"/>
      <c r="E20" s="37"/>
      <c r="F20" s="37">
        <v>0</v>
      </c>
      <c r="G20" s="37">
        <f t="shared" si="0"/>
        <v>0</v>
      </c>
      <c r="H20" s="211">
        <v>0</v>
      </c>
      <c r="I20" s="211">
        <v>0</v>
      </c>
      <c r="J20" s="37">
        <f t="shared" si="1"/>
        <v>0</v>
      </c>
      <c r="K20" s="37">
        <f t="shared" si="2"/>
        <v>0</v>
      </c>
      <c r="L20" s="215"/>
      <c r="M20" s="212">
        <f t="shared" si="3"/>
        <v>0.33099999977275729</v>
      </c>
      <c r="N20" s="37"/>
      <c r="O20" s="28"/>
    </row>
    <row r="21" spans="1:15" ht="15">
      <c r="A21" s="26">
        <v>18</v>
      </c>
      <c r="B21" s="27">
        <v>46009</v>
      </c>
      <c r="C21" s="114"/>
      <c r="D21" s="114"/>
      <c r="E21" s="37">
        <v>2200</v>
      </c>
      <c r="F21" s="37">
        <v>92.15</v>
      </c>
      <c r="G21" s="37">
        <f t="shared" si="0"/>
        <v>202730</v>
      </c>
      <c r="H21" s="211">
        <v>70</v>
      </c>
      <c r="I21" s="211">
        <v>104.27</v>
      </c>
      <c r="J21" s="37">
        <f t="shared" si="1"/>
        <v>7298.9</v>
      </c>
      <c r="K21" s="37">
        <f t="shared" si="2"/>
        <v>210028.9</v>
      </c>
      <c r="L21" s="215"/>
      <c r="M21" s="212">
        <f t="shared" si="3"/>
        <v>210029.23099999977</v>
      </c>
      <c r="N21" s="37"/>
      <c r="O21" s="28"/>
    </row>
    <row r="22" spans="1:15" ht="15">
      <c r="A22" s="26">
        <v>19</v>
      </c>
      <c r="B22" s="27">
        <v>46010</v>
      </c>
      <c r="C22" s="114"/>
      <c r="D22" s="114"/>
      <c r="E22" s="37"/>
      <c r="F22" s="37">
        <v>0</v>
      </c>
      <c r="G22" s="37"/>
      <c r="H22" s="211"/>
      <c r="I22" s="211"/>
      <c r="J22" s="37">
        <f t="shared" si="1"/>
        <v>0</v>
      </c>
      <c r="K22" s="37">
        <f t="shared" si="2"/>
        <v>0</v>
      </c>
      <c r="L22" s="215"/>
      <c r="M22" s="212">
        <f t="shared" si="3"/>
        <v>210029.23099999977</v>
      </c>
      <c r="N22" s="37"/>
      <c r="O22" s="28"/>
    </row>
    <row r="23" spans="1:15" ht="15">
      <c r="A23" s="26">
        <v>20</v>
      </c>
      <c r="B23" s="27">
        <v>46011</v>
      </c>
      <c r="C23" s="114"/>
      <c r="D23" s="114"/>
      <c r="E23" s="37"/>
      <c r="F23" s="37">
        <v>0</v>
      </c>
      <c r="G23" s="37"/>
      <c r="H23" s="211"/>
      <c r="I23" s="211"/>
      <c r="J23" s="37">
        <f t="shared" ref="J23:J32" si="7">H23*I23</f>
        <v>0</v>
      </c>
      <c r="K23" s="37">
        <f t="shared" ref="K23:K32" si="8">G23+J23</f>
        <v>0</v>
      </c>
      <c r="L23" s="215"/>
      <c r="M23" s="212">
        <f t="shared" si="3"/>
        <v>210029.23099999977</v>
      </c>
      <c r="N23" s="37"/>
      <c r="O23" s="28"/>
    </row>
    <row r="24" spans="1:15" ht="15">
      <c r="A24" s="26">
        <v>21</v>
      </c>
      <c r="B24" s="27">
        <v>46012</v>
      </c>
      <c r="C24" s="114"/>
      <c r="D24" s="114"/>
      <c r="E24" s="37"/>
      <c r="F24" s="37">
        <v>0</v>
      </c>
      <c r="G24" s="37"/>
      <c r="H24" s="211"/>
      <c r="I24" s="211"/>
      <c r="J24" s="37">
        <f t="shared" si="7"/>
        <v>0</v>
      </c>
      <c r="K24" s="37">
        <f t="shared" si="8"/>
        <v>0</v>
      </c>
      <c r="L24" s="215"/>
      <c r="M24" s="212">
        <f t="shared" si="3"/>
        <v>210029.23099999977</v>
      </c>
      <c r="N24" s="37"/>
      <c r="O24" s="28"/>
    </row>
    <row r="25" spans="1:15" ht="15">
      <c r="A25" s="26">
        <v>22</v>
      </c>
      <c r="B25" s="27">
        <v>46013</v>
      </c>
      <c r="C25" s="114"/>
      <c r="D25" s="114"/>
      <c r="E25" s="37"/>
      <c r="F25" s="37">
        <v>0</v>
      </c>
      <c r="G25" s="37"/>
      <c r="H25" s="211"/>
      <c r="I25" s="211"/>
      <c r="J25" s="37">
        <f t="shared" si="7"/>
        <v>0</v>
      </c>
      <c r="K25" s="37">
        <f t="shared" si="8"/>
        <v>0</v>
      </c>
      <c r="L25" s="215"/>
      <c r="M25" s="212">
        <f t="shared" si="3"/>
        <v>210029.23099999977</v>
      </c>
      <c r="N25" s="37"/>
      <c r="O25" s="28"/>
    </row>
    <row r="26" spans="1:15" ht="15">
      <c r="A26" s="26">
        <v>23</v>
      </c>
      <c r="B26" s="27">
        <v>46014</v>
      </c>
      <c r="C26" s="114"/>
      <c r="D26" s="114"/>
      <c r="E26" s="37"/>
      <c r="F26" s="37">
        <v>0</v>
      </c>
      <c r="G26" s="37"/>
      <c r="H26" s="211"/>
      <c r="I26" s="211"/>
      <c r="J26" s="37">
        <f t="shared" si="7"/>
        <v>0</v>
      </c>
      <c r="K26" s="37">
        <f t="shared" si="8"/>
        <v>0</v>
      </c>
      <c r="L26" s="215"/>
      <c r="M26" s="212">
        <f t="shared" si="3"/>
        <v>210029.23099999977</v>
      </c>
      <c r="N26" s="37"/>
      <c r="O26" s="28"/>
    </row>
    <row r="27" spans="1:15" ht="15">
      <c r="A27" s="26">
        <v>24</v>
      </c>
      <c r="B27" s="27">
        <v>46015</v>
      </c>
      <c r="C27" s="114"/>
      <c r="D27" s="114"/>
      <c r="E27" s="37"/>
      <c r="F27" s="37">
        <v>0</v>
      </c>
      <c r="G27" s="37"/>
      <c r="H27" s="211"/>
      <c r="I27" s="211"/>
      <c r="J27" s="37">
        <f t="shared" si="7"/>
        <v>0</v>
      </c>
      <c r="K27" s="37">
        <f t="shared" si="8"/>
        <v>0</v>
      </c>
      <c r="L27" s="215"/>
      <c r="M27" s="212">
        <f t="shared" si="3"/>
        <v>210029.23099999977</v>
      </c>
      <c r="N27" s="37"/>
      <c r="O27" s="28"/>
    </row>
    <row r="28" spans="1:15" ht="15">
      <c r="A28" s="26">
        <v>25</v>
      </c>
      <c r="B28" s="27">
        <v>46016</v>
      </c>
      <c r="C28" s="114"/>
      <c r="D28" s="114"/>
      <c r="E28" s="37"/>
      <c r="F28" s="37">
        <v>0</v>
      </c>
      <c r="G28" s="37"/>
      <c r="H28" s="211"/>
      <c r="I28" s="211"/>
      <c r="J28" s="37">
        <f t="shared" si="7"/>
        <v>0</v>
      </c>
      <c r="K28" s="37">
        <f t="shared" si="8"/>
        <v>0</v>
      </c>
      <c r="L28" s="215"/>
      <c r="M28" s="212">
        <f>M27+K28-L28</f>
        <v>210029.23099999977</v>
      </c>
      <c r="N28" s="37"/>
      <c r="O28" s="28"/>
    </row>
    <row r="29" spans="1:15" ht="15">
      <c r="A29" s="26">
        <v>26</v>
      </c>
      <c r="B29" s="27">
        <v>46017</v>
      </c>
      <c r="C29" s="114"/>
      <c r="D29" s="114"/>
      <c r="E29" s="37"/>
      <c r="F29" s="37">
        <v>0</v>
      </c>
      <c r="G29" s="37"/>
      <c r="H29" s="211"/>
      <c r="I29" s="211"/>
      <c r="J29" s="37">
        <f t="shared" si="7"/>
        <v>0</v>
      </c>
      <c r="K29" s="37">
        <f t="shared" si="8"/>
        <v>0</v>
      </c>
      <c r="L29" s="215"/>
      <c r="M29" s="212">
        <f t="shared" si="3"/>
        <v>210029.23099999977</v>
      </c>
      <c r="N29" s="37"/>
      <c r="O29" s="28"/>
    </row>
    <row r="30" spans="1:15" ht="15">
      <c r="A30" s="26">
        <v>27</v>
      </c>
      <c r="B30" s="27">
        <v>46018</v>
      </c>
      <c r="C30" s="114"/>
      <c r="D30" s="114"/>
      <c r="E30" s="37"/>
      <c r="F30" s="37">
        <v>0</v>
      </c>
      <c r="G30" s="37"/>
      <c r="H30" s="211"/>
      <c r="I30" s="211"/>
      <c r="J30" s="37">
        <f t="shared" si="7"/>
        <v>0</v>
      </c>
      <c r="K30" s="37">
        <f t="shared" si="8"/>
        <v>0</v>
      </c>
      <c r="L30" s="215"/>
      <c r="M30" s="212">
        <f t="shared" si="3"/>
        <v>210029.23099999977</v>
      </c>
      <c r="N30" s="37"/>
      <c r="O30" s="28"/>
    </row>
    <row r="31" spans="1:15" ht="15">
      <c r="A31" s="26">
        <v>28</v>
      </c>
      <c r="B31" s="27">
        <v>46019</v>
      </c>
      <c r="C31" s="114"/>
      <c r="D31" s="114"/>
      <c r="E31" s="37"/>
      <c r="F31" s="37">
        <v>0</v>
      </c>
      <c r="G31" s="37"/>
      <c r="H31" s="211"/>
      <c r="I31" s="211"/>
      <c r="J31" s="37">
        <f t="shared" si="7"/>
        <v>0</v>
      </c>
      <c r="K31" s="37">
        <f t="shared" si="8"/>
        <v>0</v>
      </c>
      <c r="L31" s="215"/>
      <c r="M31" s="212">
        <f t="shared" si="3"/>
        <v>210029.23099999977</v>
      </c>
      <c r="N31" s="37"/>
      <c r="O31" s="28"/>
    </row>
    <row r="32" spans="1:15" ht="15">
      <c r="A32" s="26">
        <v>29</v>
      </c>
      <c r="B32" s="27">
        <v>46020</v>
      </c>
      <c r="C32" s="114"/>
      <c r="D32" s="114"/>
      <c r="E32" s="37"/>
      <c r="F32" s="37">
        <v>0</v>
      </c>
      <c r="G32" s="37">
        <f t="shared" ref="G32" si="9">E32*F32</f>
        <v>0</v>
      </c>
      <c r="H32" s="211">
        <v>0</v>
      </c>
      <c r="I32" s="211">
        <v>0</v>
      </c>
      <c r="J32" s="37">
        <f t="shared" si="7"/>
        <v>0</v>
      </c>
      <c r="K32" s="37">
        <f t="shared" si="8"/>
        <v>0</v>
      </c>
      <c r="L32" s="215"/>
      <c r="M32" s="212">
        <f t="shared" si="3"/>
        <v>210029.23099999977</v>
      </c>
      <c r="N32" s="230"/>
      <c r="O32" s="28"/>
    </row>
    <row r="33" spans="1:15" ht="15">
      <c r="A33" s="26">
        <v>30</v>
      </c>
      <c r="B33" s="27">
        <v>46021</v>
      </c>
      <c r="C33" s="114"/>
      <c r="D33" s="114"/>
      <c r="E33" s="37"/>
      <c r="F33" s="37">
        <v>0</v>
      </c>
      <c r="G33" s="37">
        <f t="shared" si="0"/>
        <v>0</v>
      </c>
      <c r="H33" s="211">
        <v>0</v>
      </c>
      <c r="I33" s="211">
        <v>0</v>
      </c>
      <c r="J33" s="37">
        <f t="shared" si="1"/>
        <v>0</v>
      </c>
      <c r="K33" s="37">
        <f t="shared" si="2"/>
        <v>0</v>
      </c>
      <c r="L33" s="215"/>
      <c r="M33" s="212">
        <f t="shared" si="3"/>
        <v>210029.23099999977</v>
      </c>
      <c r="N33" s="230"/>
      <c r="O33" s="28"/>
    </row>
    <row r="34" spans="1:15" ht="15">
      <c r="A34" s="26">
        <v>31</v>
      </c>
      <c r="B34" s="27"/>
      <c r="C34" s="114"/>
      <c r="D34" s="114"/>
      <c r="E34" s="37"/>
      <c r="F34" s="37">
        <v>0</v>
      </c>
      <c r="G34" s="37">
        <f t="shared" ref="G34" si="10">E34*F34</f>
        <v>0</v>
      </c>
      <c r="H34" s="211"/>
      <c r="I34" s="211"/>
      <c r="J34" s="37">
        <f t="shared" ref="J34" si="11">H34*I34</f>
        <v>0</v>
      </c>
      <c r="K34" s="37">
        <f t="shared" ref="K34" si="12">G34+J34</f>
        <v>0</v>
      </c>
      <c r="L34" s="215"/>
      <c r="M34" s="230"/>
      <c r="N34" s="230"/>
      <c r="O34" s="28"/>
    </row>
    <row r="35" spans="1:15">
      <c r="A35" s="46"/>
      <c r="B35" s="46"/>
      <c r="C35" s="216"/>
      <c r="D35" s="216"/>
      <c r="E35" s="217">
        <f>SUM(E4:E34)</f>
        <v>2200</v>
      </c>
      <c r="F35" s="217"/>
      <c r="G35" s="217">
        <f>SUM(G4:G34)</f>
        <v>202730</v>
      </c>
      <c r="H35" s="217">
        <f>SUM(H4:H34)</f>
        <v>180</v>
      </c>
      <c r="I35" s="217"/>
      <c r="J35" s="217">
        <f>SUM(J4:J34)</f>
        <v>18768.599999999999</v>
      </c>
      <c r="K35" s="217">
        <f>SUM(K4:K34)</f>
        <v>221498.6</v>
      </c>
      <c r="L35" s="217">
        <f>SUM(L4:L31)</f>
        <v>175801</v>
      </c>
      <c r="M35" s="217"/>
      <c r="N35" s="217"/>
      <c r="O35" s="33"/>
    </row>
    <row r="36" spans="1:15">
      <c r="A36" s="30"/>
      <c r="B36" s="30"/>
      <c r="C36" s="30"/>
      <c r="D36" s="30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8"/>
    </row>
    <row r="37" spans="1:15">
      <c r="A37" s="28"/>
      <c r="B37" s="28"/>
      <c r="C37" s="28"/>
      <c r="D37" s="28"/>
      <c r="E37" s="28"/>
      <c r="F37" s="28"/>
      <c r="G37" s="31"/>
      <c r="H37" s="28"/>
      <c r="I37" s="28"/>
      <c r="J37" s="28"/>
      <c r="K37" s="28"/>
      <c r="L37" s="28"/>
      <c r="M37" s="28"/>
      <c r="N37" s="28"/>
      <c r="O37" s="32"/>
    </row>
    <row r="38" spans="1:15">
      <c r="A38" s="28"/>
      <c r="B38" s="473"/>
      <c r="C38" s="473"/>
      <c r="D38" s="473"/>
      <c r="E38" s="473"/>
      <c r="F38" s="28"/>
      <c r="G38" s="28"/>
      <c r="H38" s="28"/>
      <c r="I38" s="473"/>
      <c r="J38" s="473"/>
      <c r="K38" s="473"/>
      <c r="L38" s="473"/>
      <c r="M38" s="473"/>
      <c r="N38" s="473"/>
      <c r="O38" s="32"/>
    </row>
    <row r="39" spans="1:1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2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681-750A-402D-B1B7-693CAD315F78}">
  <dimension ref="A1:AH38"/>
  <sheetViews>
    <sheetView tabSelected="1" workbookViewId="0">
      <pane ySplit="2" topLeftCell="A3" activePane="bottomLeft" state="frozen"/>
      <selection pane="bottomLeft" activeCell="O26" sqref="O26"/>
    </sheetView>
  </sheetViews>
  <sheetFormatPr defaultRowHeight="15"/>
  <cols>
    <col min="1" max="1" width="4.7109375" style="49" bestFit="1" customWidth="1"/>
    <col min="2" max="2" width="10.42578125" style="49" bestFit="1" customWidth="1"/>
    <col min="3" max="3" width="7.140625" style="49" bestFit="1" customWidth="1"/>
    <col min="4" max="4" width="16" style="49" bestFit="1" customWidth="1"/>
    <col min="5" max="5" width="9.7109375" style="49" bestFit="1" customWidth="1"/>
    <col min="6" max="6" width="11.5703125" style="49" bestFit="1" customWidth="1"/>
    <col min="7" max="7" width="11.85546875" style="49" bestFit="1" customWidth="1"/>
    <col min="8" max="8" width="10.42578125" style="49" bestFit="1" customWidth="1"/>
    <col min="9" max="9" width="7.140625" style="49" bestFit="1" customWidth="1"/>
    <col min="10" max="10" width="10.85546875" style="55" bestFit="1" customWidth="1"/>
    <col min="11" max="11" width="11.85546875" style="49" bestFit="1" customWidth="1"/>
    <col min="12" max="12" width="12.42578125" style="55" bestFit="1" customWidth="1"/>
    <col min="13" max="13" width="12.42578125" style="55" customWidth="1"/>
    <col min="14" max="14" width="17.7109375" style="49" bestFit="1" customWidth="1"/>
    <col min="15" max="15" width="9.140625" style="49"/>
    <col min="16" max="16" width="11.85546875" style="49" bestFit="1" customWidth="1"/>
    <col min="17" max="16384" width="9.140625" style="49"/>
  </cols>
  <sheetData>
    <row r="1" spans="1:16">
      <c r="A1" s="475" t="s">
        <v>32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</row>
    <row r="2" spans="1:16">
      <c r="A2" s="93" t="s">
        <v>122</v>
      </c>
      <c r="B2" s="94" t="s">
        <v>123</v>
      </c>
      <c r="C2" s="94" t="s">
        <v>124</v>
      </c>
      <c r="D2" s="94" t="s">
        <v>125</v>
      </c>
      <c r="E2" s="94" t="s">
        <v>126</v>
      </c>
      <c r="F2" s="94" t="s">
        <v>127</v>
      </c>
      <c r="G2" s="94" t="s">
        <v>128</v>
      </c>
      <c r="H2" s="94" t="s">
        <v>129</v>
      </c>
      <c r="I2" s="94" t="s">
        <v>127</v>
      </c>
      <c r="J2" s="119" t="s">
        <v>128</v>
      </c>
      <c r="K2" s="94" t="s">
        <v>130</v>
      </c>
      <c r="L2" s="119" t="s">
        <v>131</v>
      </c>
      <c r="M2" s="118" t="s">
        <v>138</v>
      </c>
      <c r="N2" s="95" t="s">
        <v>133</v>
      </c>
      <c r="O2" s="33"/>
    </row>
    <row r="3" spans="1:16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76"/>
      <c r="K3" s="120">
        <v>25021.541513800228</v>
      </c>
      <c r="L3" s="50"/>
      <c r="M3" s="120">
        <v>25021.541513800228</v>
      </c>
      <c r="N3" s="50"/>
      <c r="O3" s="33"/>
      <c r="P3" s="53"/>
    </row>
    <row r="4" spans="1:16">
      <c r="A4" s="26">
        <v>1</v>
      </c>
      <c r="B4" s="27">
        <v>45992</v>
      </c>
      <c r="C4" s="51" t="s">
        <v>151</v>
      </c>
      <c r="D4" s="52" t="s">
        <v>151</v>
      </c>
      <c r="E4" s="51"/>
      <c r="F4" s="51"/>
      <c r="G4" s="50">
        <f t="shared" ref="G4" si="0">E4*F4</f>
        <v>0</v>
      </c>
      <c r="H4" s="51"/>
      <c r="I4" s="51"/>
      <c r="J4" s="53">
        <f t="shared" ref="J4" si="1">H4*I4</f>
        <v>0</v>
      </c>
      <c r="K4" s="50">
        <f t="shared" ref="K4" si="2">G4+J4</f>
        <v>0</v>
      </c>
      <c r="L4" s="115"/>
      <c r="M4" s="53">
        <f>M3+K4-L4</f>
        <v>25021.541513800228</v>
      </c>
      <c r="N4" s="110"/>
    </row>
    <row r="5" spans="1:16">
      <c r="A5" s="26">
        <v>2</v>
      </c>
      <c r="B5" s="27">
        <v>45993</v>
      </c>
      <c r="C5" s="51" t="s">
        <v>151</v>
      </c>
      <c r="D5" s="407" t="s">
        <v>151</v>
      </c>
      <c r="E5" s="176"/>
      <c r="F5" s="176"/>
      <c r="G5" s="232">
        <f t="shared" ref="G5:G35" si="3">E5*F5</f>
        <v>0</v>
      </c>
      <c r="H5" s="51"/>
      <c r="I5" s="51"/>
      <c r="J5" s="53">
        <f t="shared" ref="J5:J35" si="4">H5*I5</f>
        <v>0</v>
      </c>
      <c r="K5" s="50">
        <f t="shared" ref="K5:K35" si="5">G5+J5</f>
        <v>0</v>
      </c>
      <c r="L5" s="115"/>
      <c r="M5" s="53">
        <f t="shared" ref="M5:M35" si="6">M4+K5-L5</f>
        <v>25021.541513800228</v>
      </c>
      <c r="N5" s="110"/>
    </row>
    <row r="6" spans="1:16">
      <c r="A6" s="26">
        <v>3</v>
      </c>
      <c r="B6" s="27">
        <v>45994</v>
      </c>
      <c r="C6" s="405" t="s">
        <v>151</v>
      </c>
      <c r="D6" s="52" t="s">
        <v>151</v>
      </c>
      <c r="E6" s="51"/>
      <c r="F6" s="51"/>
      <c r="G6" s="50">
        <f t="shared" si="3"/>
        <v>0</v>
      </c>
      <c r="H6" s="406"/>
      <c r="I6" s="51"/>
      <c r="J6" s="53">
        <f t="shared" si="4"/>
        <v>0</v>
      </c>
      <c r="K6" s="50">
        <f t="shared" si="5"/>
        <v>0</v>
      </c>
      <c r="L6" s="115"/>
      <c r="M6" s="53">
        <f t="shared" si="6"/>
        <v>25021.541513800228</v>
      </c>
      <c r="N6" s="117"/>
    </row>
    <row r="7" spans="1:16">
      <c r="A7" s="26">
        <v>4</v>
      </c>
      <c r="B7" s="27">
        <v>45995</v>
      </c>
      <c r="C7" s="405" t="s">
        <v>151</v>
      </c>
      <c r="D7" s="52" t="s">
        <v>151</v>
      </c>
      <c r="E7" s="51"/>
      <c r="F7" s="51"/>
      <c r="G7" s="50">
        <f t="shared" si="3"/>
        <v>0</v>
      </c>
      <c r="H7" s="406"/>
      <c r="I7" s="51"/>
      <c r="J7" s="53">
        <f t="shared" si="4"/>
        <v>0</v>
      </c>
      <c r="K7" s="50">
        <f t="shared" si="5"/>
        <v>0</v>
      </c>
      <c r="L7" s="115"/>
      <c r="M7" s="53">
        <f t="shared" si="6"/>
        <v>25021.541513800228</v>
      </c>
      <c r="N7" s="117"/>
    </row>
    <row r="8" spans="1:16">
      <c r="A8" s="26">
        <v>5</v>
      </c>
      <c r="B8" s="27">
        <v>45996</v>
      </c>
      <c r="C8" s="405" t="s">
        <v>151</v>
      </c>
      <c r="D8" s="52" t="s">
        <v>151</v>
      </c>
      <c r="E8" s="51"/>
      <c r="F8" s="51"/>
      <c r="G8" s="50">
        <f t="shared" si="3"/>
        <v>0</v>
      </c>
      <c r="H8" s="406"/>
      <c r="I8" s="51"/>
      <c r="J8" s="53">
        <f t="shared" si="4"/>
        <v>0</v>
      </c>
      <c r="K8" s="50">
        <f t="shared" si="5"/>
        <v>0</v>
      </c>
      <c r="L8" s="115"/>
      <c r="M8" s="53">
        <f t="shared" si="6"/>
        <v>25021.541513800228</v>
      </c>
      <c r="N8" s="110"/>
    </row>
    <row r="9" spans="1:16">
      <c r="A9" s="26">
        <v>6</v>
      </c>
      <c r="B9" s="27">
        <v>45997</v>
      </c>
      <c r="C9" s="405" t="s">
        <v>151</v>
      </c>
      <c r="D9" s="52" t="s">
        <v>151</v>
      </c>
      <c r="E9" s="51"/>
      <c r="F9" s="51"/>
      <c r="G9" s="50">
        <f t="shared" si="3"/>
        <v>0</v>
      </c>
      <c r="H9" s="406"/>
      <c r="I9" s="51"/>
      <c r="J9" s="53">
        <f t="shared" si="4"/>
        <v>0</v>
      </c>
      <c r="K9" s="50">
        <f t="shared" si="5"/>
        <v>0</v>
      </c>
      <c r="L9" s="115"/>
      <c r="M9" s="53">
        <f t="shared" si="6"/>
        <v>25021.541513800228</v>
      </c>
      <c r="N9" s="117"/>
    </row>
    <row r="10" spans="1:16">
      <c r="A10" s="26">
        <v>7</v>
      </c>
      <c r="B10" s="27">
        <v>45998</v>
      </c>
      <c r="C10" s="405" t="s">
        <v>151</v>
      </c>
      <c r="D10" s="52" t="s">
        <v>151</v>
      </c>
      <c r="E10" s="51"/>
      <c r="F10" s="51"/>
      <c r="G10" s="50">
        <f t="shared" si="3"/>
        <v>0</v>
      </c>
      <c r="H10" s="406"/>
      <c r="I10" s="51"/>
      <c r="J10" s="53">
        <f t="shared" si="4"/>
        <v>0</v>
      </c>
      <c r="K10" s="50">
        <f t="shared" si="5"/>
        <v>0</v>
      </c>
      <c r="L10" s="115"/>
      <c r="M10" s="53">
        <f t="shared" si="6"/>
        <v>25021.541513800228</v>
      </c>
      <c r="N10" s="110"/>
    </row>
    <row r="11" spans="1:16">
      <c r="A11" s="26">
        <v>8</v>
      </c>
      <c r="B11" s="27">
        <v>45999</v>
      </c>
      <c r="C11" s="405" t="s">
        <v>151</v>
      </c>
      <c r="D11" s="52" t="s">
        <v>151</v>
      </c>
      <c r="E11" s="51"/>
      <c r="F11" s="51"/>
      <c r="G11" s="50">
        <f t="shared" si="3"/>
        <v>0</v>
      </c>
      <c r="H11" s="406"/>
      <c r="I11" s="51"/>
      <c r="J11" s="53">
        <f t="shared" si="4"/>
        <v>0</v>
      </c>
      <c r="K11" s="50">
        <f t="shared" si="5"/>
        <v>0</v>
      </c>
      <c r="L11" s="115"/>
      <c r="M11" s="53">
        <f t="shared" si="6"/>
        <v>25021.541513800228</v>
      </c>
      <c r="N11" s="116"/>
    </row>
    <row r="12" spans="1:16">
      <c r="A12" s="26">
        <v>9</v>
      </c>
      <c r="B12" s="27">
        <v>46000</v>
      </c>
      <c r="C12" s="405" t="s">
        <v>151</v>
      </c>
      <c r="D12" s="52" t="s">
        <v>151</v>
      </c>
      <c r="E12" s="51"/>
      <c r="F12" s="51"/>
      <c r="G12" s="50">
        <f t="shared" si="3"/>
        <v>0</v>
      </c>
      <c r="H12" s="406"/>
      <c r="I12" s="51"/>
      <c r="J12" s="53">
        <f t="shared" si="4"/>
        <v>0</v>
      </c>
      <c r="K12" s="50">
        <f t="shared" si="5"/>
        <v>0</v>
      </c>
      <c r="L12" s="115"/>
      <c r="M12" s="53">
        <f t="shared" si="6"/>
        <v>25021.541513800228</v>
      </c>
      <c r="N12" s="110"/>
    </row>
    <row r="13" spans="1:16">
      <c r="A13" s="26">
        <v>10</v>
      </c>
      <c r="B13" s="27">
        <v>46001</v>
      </c>
      <c r="C13" s="405" t="s">
        <v>151</v>
      </c>
      <c r="D13" s="52" t="s">
        <v>151</v>
      </c>
      <c r="E13" s="51"/>
      <c r="F13" s="51"/>
      <c r="G13" s="50">
        <f t="shared" si="3"/>
        <v>0</v>
      </c>
      <c r="H13" s="406"/>
      <c r="I13" s="51"/>
      <c r="J13" s="53">
        <f t="shared" si="4"/>
        <v>0</v>
      </c>
      <c r="K13" s="50">
        <f t="shared" si="5"/>
        <v>0</v>
      </c>
      <c r="L13" s="115"/>
      <c r="M13" s="53">
        <f t="shared" si="6"/>
        <v>25021.541513800228</v>
      </c>
      <c r="N13" s="110"/>
    </row>
    <row r="14" spans="1:16">
      <c r="A14" s="26">
        <v>11</v>
      </c>
      <c r="B14" s="27">
        <v>46002</v>
      </c>
      <c r="C14" s="405" t="s">
        <v>151</v>
      </c>
      <c r="D14" s="52" t="s">
        <v>151</v>
      </c>
      <c r="E14" s="51"/>
      <c r="F14" s="51"/>
      <c r="G14" s="50">
        <f t="shared" si="3"/>
        <v>0</v>
      </c>
      <c r="H14" s="406"/>
      <c r="I14" s="51"/>
      <c r="J14" s="53">
        <f t="shared" si="4"/>
        <v>0</v>
      </c>
      <c r="K14" s="50">
        <f t="shared" si="5"/>
        <v>0</v>
      </c>
      <c r="L14" s="115"/>
      <c r="M14" s="53">
        <f t="shared" si="6"/>
        <v>25021.541513800228</v>
      </c>
      <c r="N14" s="110"/>
    </row>
    <row r="15" spans="1:16">
      <c r="A15" s="26">
        <v>12</v>
      </c>
      <c r="B15" s="27">
        <v>46003</v>
      </c>
      <c r="C15" s="405" t="s">
        <v>151</v>
      </c>
      <c r="D15" s="52" t="s">
        <v>151</v>
      </c>
      <c r="E15" s="51"/>
      <c r="F15" s="51"/>
      <c r="G15" s="50">
        <f t="shared" si="3"/>
        <v>0</v>
      </c>
      <c r="H15" s="406"/>
      <c r="I15" s="51"/>
      <c r="J15" s="53">
        <f t="shared" si="4"/>
        <v>0</v>
      </c>
      <c r="K15" s="50">
        <f t="shared" si="5"/>
        <v>0</v>
      </c>
      <c r="L15" s="115"/>
      <c r="M15" s="53">
        <f t="shared" si="6"/>
        <v>25021.541513800228</v>
      </c>
      <c r="N15" s="110"/>
    </row>
    <row r="16" spans="1:16">
      <c r="A16" s="26">
        <v>13</v>
      </c>
      <c r="B16" s="27">
        <v>46004</v>
      </c>
      <c r="C16" s="405" t="s">
        <v>151</v>
      </c>
      <c r="D16" s="52" t="s">
        <v>151</v>
      </c>
      <c r="E16" s="51"/>
      <c r="F16" s="51"/>
      <c r="G16" s="50">
        <f t="shared" si="3"/>
        <v>0</v>
      </c>
      <c r="H16" s="406"/>
      <c r="I16" s="51"/>
      <c r="J16" s="53">
        <f t="shared" si="4"/>
        <v>0</v>
      </c>
      <c r="K16" s="50">
        <f t="shared" si="5"/>
        <v>0</v>
      </c>
      <c r="L16" s="115"/>
      <c r="M16" s="53">
        <f t="shared" si="6"/>
        <v>25021.541513800228</v>
      </c>
      <c r="N16" s="110"/>
    </row>
    <row r="17" spans="1:14">
      <c r="A17" s="26">
        <v>14</v>
      </c>
      <c r="B17" s="27">
        <v>46005</v>
      </c>
      <c r="C17" s="405" t="s">
        <v>151</v>
      </c>
      <c r="D17" s="52" t="s">
        <v>151</v>
      </c>
      <c r="E17" s="51"/>
      <c r="F17" s="51"/>
      <c r="G17" s="50">
        <f t="shared" si="3"/>
        <v>0</v>
      </c>
      <c r="H17" s="406"/>
      <c r="I17" s="51"/>
      <c r="J17" s="53">
        <f t="shared" si="4"/>
        <v>0</v>
      </c>
      <c r="K17" s="50">
        <f t="shared" si="5"/>
        <v>0</v>
      </c>
      <c r="L17" s="115"/>
      <c r="M17" s="53">
        <f t="shared" si="6"/>
        <v>25021.541513800228</v>
      </c>
      <c r="N17" s="110"/>
    </row>
    <row r="18" spans="1:14">
      <c r="A18" s="26">
        <v>15</v>
      </c>
      <c r="B18" s="27">
        <v>46006</v>
      </c>
      <c r="C18" s="405" t="s">
        <v>151</v>
      </c>
      <c r="D18" s="52" t="s">
        <v>151</v>
      </c>
      <c r="E18" s="51"/>
      <c r="F18" s="51"/>
      <c r="G18" s="50">
        <f t="shared" si="3"/>
        <v>0</v>
      </c>
      <c r="H18" s="406"/>
      <c r="I18" s="51"/>
      <c r="J18" s="53">
        <f t="shared" si="4"/>
        <v>0</v>
      </c>
      <c r="K18" s="50">
        <f t="shared" si="5"/>
        <v>0</v>
      </c>
      <c r="L18" s="115">
        <v>25000</v>
      </c>
      <c r="M18" s="53">
        <f t="shared" si="6"/>
        <v>21.541513800228131</v>
      </c>
      <c r="N18" s="110"/>
    </row>
    <row r="19" spans="1:14">
      <c r="A19" s="26">
        <v>16</v>
      </c>
      <c r="B19" s="27">
        <v>46007</v>
      </c>
      <c r="C19" s="405" t="s">
        <v>151</v>
      </c>
      <c r="D19" s="52" t="s">
        <v>151</v>
      </c>
      <c r="E19" s="51"/>
      <c r="F19" s="51"/>
      <c r="G19" s="50">
        <f t="shared" si="3"/>
        <v>0</v>
      </c>
      <c r="H19" s="406"/>
      <c r="I19" s="51"/>
      <c r="J19" s="53">
        <f t="shared" si="4"/>
        <v>0</v>
      </c>
      <c r="K19" s="50">
        <f t="shared" si="5"/>
        <v>0</v>
      </c>
      <c r="L19" s="115"/>
      <c r="M19" s="53">
        <f t="shared" si="6"/>
        <v>21.541513800228131</v>
      </c>
      <c r="N19" s="110"/>
    </row>
    <row r="20" spans="1:14">
      <c r="A20" s="26">
        <v>17</v>
      </c>
      <c r="B20" s="27">
        <v>46008</v>
      </c>
      <c r="C20" s="405" t="s">
        <v>151</v>
      </c>
      <c r="D20" s="52" t="s">
        <v>151</v>
      </c>
      <c r="E20" s="51"/>
      <c r="F20" s="51"/>
      <c r="G20" s="50">
        <f t="shared" si="3"/>
        <v>0</v>
      </c>
      <c r="H20" s="406"/>
      <c r="I20" s="51"/>
      <c r="J20" s="53">
        <f t="shared" si="4"/>
        <v>0</v>
      </c>
      <c r="K20" s="50">
        <f t="shared" si="5"/>
        <v>0</v>
      </c>
      <c r="L20" s="115">
        <v>21.54</v>
      </c>
      <c r="M20" s="53">
        <f t="shared" si="6"/>
        <v>1.5138002281318563E-3</v>
      </c>
      <c r="N20" s="110"/>
    </row>
    <row r="21" spans="1:14">
      <c r="A21" s="26">
        <v>18</v>
      </c>
      <c r="B21" s="27">
        <v>46009</v>
      </c>
      <c r="C21" s="405" t="s">
        <v>151</v>
      </c>
      <c r="D21" s="52" t="s">
        <v>151</v>
      </c>
      <c r="E21" s="51"/>
      <c r="F21" s="51"/>
      <c r="G21" s="50">
        <f t="shared" si="3"/>
        <v>0</v>
      </c>
      <c r="H21" s="406"/>
      <c r="I21" s="51"/>
      <c r="J21" s="53">
        <f t="shared" si="4"/>
        <v>0</v>
      </c>
      <c r="K21" s="50">
        <f t="shared" si="5"/>
        <v>0</v>
      </c>
      <c r="L21" s="115"/>
      <c r="M21" s="53">
        <f t="shared" si="6"/>
        <v>1.5138002281318563E-3</v>
      </c>
      <c r="N21" s="110"/>
    </row>
    <row r="22" spans="1:14">
      <c r="A22" s="26">
        <v>19</v>
      </c>
      <c r="B22" s="27">
        <v>46010</v>
      </c>
      <c r="C22" s="405" t="s">
        <v>151</v>
      </c>
      <c r="D22" s="52" t="s">
        <v>151</v>
      </c>
      <c r="E22" s="51"/>
      <c r="F22" s="51"/>
      <c r="G22" s="50">
        <f t="shared" si="3"/>
        <v>0</v>
      </c>
      <c r="H22" s="406"/>
      <c r="I22" s="51"/>
      <c r="J22" s="53">
        <f t="shared" si="4"/>
        <v>0</v>
      </c>
      <c r="K22" s="50">
        <f t="shared" si="5"/>
        <v>0</v>
      </c>
      <c r="L22" s="115"/>
      <c r="M22" s="53">
        <f t="shared" si="6"/>
        <v>1.5138002281318563E-3</v>
      </c>
      <c r="N22" s="110"/>
    </row>
    <row r="23" spans="1:14">
      <c r="A23" s="26">
        <v>20</v>
      </c>
      <c r="B23" s="27">
        <v>46011</v>
      </c>
      <c r="C23" s="51" t="s">
        <v>151</v>
      </c>
      <c r="D23" s="408" t="s">
        <v>151</v>
      </c>
      <c r="E23" s="85"/>
      <c r="F23" s="85"/>
      <c r="G23" s="208">
        <f t="shared" si="3"/>
        <v>0</v>
      </c>
      <c r="H23" s="51"/>
      <c r="I23" s="51"/>
      <c r="J23" s="53">
        <f t="shared" si="4"/>
        <v>0</v>
      </c>
      <c r="K23" s="50">
        <f t="shared" si="5"/>
        <v>0</v>
      </c>
      <c r="L23" s="115"/>
      <c r="M23" s="53">
        <f t="shared" si="6"/>
        <v>1.5138002281318563E-3</v>
      </c>
      <c r="N23" s="110"/>
    </row>
    <row r="24" spans="1:14">
      <c r="A24" s="26">
        <v>21</v>
      </c>
      <c r="B24" s="27">
        <v>46012</v>
      </c>
      <c r="C24" s="51" t="s">
        <v>151</v>
      </c>
      <c r="D24" s="52" t="s">
        <v>151</v>
      </c>
      <c r="E24" s="51"/>
      <c r="F24" s="51"/>
      <c r="G24" s="50">
        <f t="shared" si="3"/>
        <v>0</v>
      </c>
      <c r="H24" s="51"/>
      <c r="I24" s="51"/>
      <c r="J24" s="53">
        <f t="shared" si="4"/>
        <v>0</v>
      </c>
      <c r="K24" s="50">
        <f t="shared" si="5"/>
        <v>0</v>
      </c>
      <c r="L24" s="115"/>
      <c r="M24" s="53">
        <f t="shared" si="6"/>
        <v>1.5138002281318563E-3</v>
      </c>
      <c r="N24" s="110"/>
    </row>
    <row r="25" spans="1:14">
      <c r="A25" s="26">
        <v>22</v>
      </c>
      <c r="B25" s="27">
        <v>46013</v>
      </c>
      <c r="C25" s="51" t="s">
        <v>151</v>
      </c>
      <c r="D25" s="52" t="s">
        <v>151</v>
      </c>
      <c r="E25" s="51"/>
      <c r="F25" s="51"/>
      <c r="G25" s="50">
        <f t="shared" si="3"/>
        <v>0</v>
      </c>
      <c r="H25" s="51"/>
      <c r="I25" s="51"/>
      <c r="J25" s="53">
        <f t="shared" si="4"/>
        <v>0</v>
      </c>
      <c r="K25" s="50">
        <f t="shared" si="5"/>
        <v>0</v>
      </c>
      <c r="L25" s="115"/>
      <c r="M25" s="53">
        <f t="shared" si="6"/>
        <v>1.5138002281318563E-3</v>
      </c>
      <c r="N25" s="110"/>
    </row>
    <row r="26" spans="1:14">
      <c r="A26" s="26">
        <v>23</v>
      </c>
      <c r="B26" s="27">
        <v>46014</v>
      </c>
      <c r="C26" s="51" t="s">
        <v>151</v>
      </c>
      <c r="D26" s="52" t="s">
        <v>151</v>
      </c>
      <c r="E26" s="51"/>
      <c r="F26" s="51"/>
      <c r="G26" s="50">
        <f t="shared" si="3"/>
        <v>0</v>
      </c>
      <c r="H26" s="51"/>
      <c r="I26" s="51"/>
      <c r="J26" s="53">
        <f t="shared" si="4"/>
        <v>0</v>
      </c>
      <c r="K26" s="50">
        <f t="shared" si="5"/>
        <v>0</v>
      </c>
      <c r="L26" s="115"/>
      <c r="M26" s="53">
        <f t="shared" si="6"/>
        <v>1.5138002281318563E-3</v>
      </c>
      <c r="N26" s="110"/>
    </row>
    <row r="27" spans="1:14">
      <c r="A27" s="26">
        <v>24</v>
      </c>
      <c r="B27" s="27">
        <v>46015</v>
      </c>
      <c r="C27" s="51" t="s">
        <v>151</v>
      </c>
      <c r="D27" s="52" t="s">
        <v>151</v>
      </c>
      <c r="E27" s="51"/>
      <c r="F27" s="51"/>
      <c r="G27" s="50">
        <f t="shared" si="3"/>
        <v>0</v>
      </c>
      <c r="H27" s="51"/>
      <c r="I27" s="51"/>
      <c r="J27" s="53">
        <f t="shared" si="4"/>
        <v>0</v>
      </c>
      <c r="K27" s="50">
        <f t="shared" si="5"/>
        <v>0</v>
      </c>
      <c r="L27" s="115"/>
      <c r="M27" s="53">
        <f t="shared" si="6"/>
        <v>1.5138002281318563E-3</v>
      </c>
      <c r="N27" s="110"/>
    </row>
    <row r="28" spans="1:14">
      <c r="A28" s="26">
        <v>25</v>
      </c>
      <c r="B28" s="27">
        <v>46016</v>
      </c>
      <c r="C28" s="51"/>
      <c r="D28" s="52"/>
      <c r="E28" s="51"/>
      <c r="F28" s="51"/>
      <c r="G28" s="50">
        <f t="shared" si="3"/>
        <v>0</v>
      </c>
      <c r="H28" s="51"/>
      <c r="I28" s="51"/>
      <c r="J28" s="53">
        <f t="shared" si="4"/>
        <v>0</v>
      </c>
      <c r="K28" s="50">
        <f t="shared" si="5"/>
        <v>0</v>
      </c>
      <c r="L28" s="115"/>
      <c r="M28" s="53">
        <f t="shared" si="6"/>
        <v>1.5138002281318563E-3</v>
      </c>
      <c r="N28" s="110"/>
    </row>
    <row r="29" spans="1:14">
      <c r="A29" s="26">
        <v>26</v>
      </c>
      <c r="B29" s="27">
        <v>46017</v>
      </c>
      <c r="C29" s="51" t="s">
        <v>151</v>
      </c>
      <c r="D29" s="52" t="s">
        <v>151</v>
      </c>
      <c r="E29" s="51"/>
      <c r="F29" s="51"/>
      <c r="G29" s="50">
        <f t="shared" si="3"/>
        <v>0</v>
      </c>
      <c r="H29" s="51"/>
      <c r="I29" s="51"/>
      <c r="J29" s="53">
        <f t="shared" si="4"/>
        <v>0</v>
      </c>
      <c r="K29" s="50">
        <f t="shared" si="5"/>
        <v>0</v>
      </c>
      <c r="L29" s="115"/>
      <c r="M29" s="53">
        <f t="shared" si="6"/>
        <v>1.5138002281318563E-3</v>
      </c>
      <c r="N29" s="110"/>
    </row>
    <row r="30" spans="1:14">
      <c r="A30" s="26">
        <v>27</v>
      </c>
      <c r="B30" s="27">
        <v>46018</v>
      </c>
      <c r="C30" s="51" t="s">
        <v>151</v>
      </c>
      <c r="D30" s="52" t="s">
        <v>151</v>
      </c>
      <c r="E30" s="51"/>
      <c r="F30" s="51"/>
      <c r="G30" s="50">
        <f t="shared" si="3"/>
        <v>0</v>
      </c>
      <c r="H30" s="51"/>
      <c r="I30" s="51"/>
      <c r="J30" s="53">
        <f t="shared" si="4"/>
        <v>0</v>
      </c>
      <c r="K30" s="50">
        <f t="shared" si="5"/>
        <v>0</v>
      </c>
      <c r="L30" s="115"/>
      <c r="M30" s="53">
        <f t="shared" si="6"/>
        <v>1.5138002281318563E-3</v>
      </c>
      <c r="N30" s="110"/>
    </row>
    <row r="31" spans="1:14">
      <c r="A31" s="26">
        <v>28</v>
      </c>
      <c r="B31" s="27">
        <v>46019</v>
      </c>
      <c r="C31" s="51" t="s">
        <v>151</v>
      </c>
      <c r="D31" s="52" t="s">
        <v>151</v>
      </c>
      <c r="E31" s="51"/>
      <c r="F31" s="51"/>
      <c r="G31" s="50">
        <f t="shared" si="3"/>
        <v>0</v>
      </c>
      <c r="H31" s="51"/>
      <c r="I31" s="51"/>
      <c r="J31" s="53">
        <f t="shared" si="4"/>
        <v>0</v>
      </c>
      <c r="K31" s="50">
        <f t="shared" si="5"/>
        <v>0</v>
      </c>
      <c r="L31" s="115"/>
      <c r="M31" s="53">
        <f t="shared" si="6"/>
        <v>1.5138002281318563E-3</v>
      </c>
      <c r="N31" s="110"/>
    </row>
    <row r="32" spans="1:14">
      <c r="A32" s="26">
        <v>29</v>
      </c>
      <c r="B32" s="27">
        <v>46020</v>
      </c>
      <c r="C32" s="50"/>
      <c r="D32" s="52" t="s">
        <v>151</v>
      </c>
      <c r="E32" s="51"/>
      <c r="F32" s="51"/>
      <c r="G32" s="50">
        <f t="shared" si="3"/>
        <v>0</v>
      </c>
      <c r="H32" s="51"/>
      <c r="I32" s="51"/>
      <c r="J32" s="53">
        <f t="shared" si="4"/>
        <v>0</v>
      </c>
      <c r="K32" s="50">
        <f t="shared" si="5"/>
        <v>0</v>
      </c>
      <c r="L32" s="115"/>
      <c r="M32" s="53">
        <f t="shared" si="6"/>
        <v>1.5138002281318563E-3</v>
      </c>
      <c r="N32" s="110"/>
    </row>
    <row r="33" spans="1:34">
      <c r="A33" s="26">
        <v>30</v>
      </c>
      <c r="B33" s="27">
        <v>46021</v>
      </c>
      <c r="C33" s="50"/>
      <c r="D33" s="52" t="s">
        <v>151</v>
      </c>
      <c r="E33" s="51"/>
      <c r="F33" s="51"/>
      <c r="G33" s="50">
        <f t="shared" si="3"/>
        <v>0</v>
      </c>
      <c r="H33" s="51"/>
      <c r="I33" s="51"/>
      <c r="J33" s="53">
        <f t="shared" si="4"/>
        <v>0</v>
      </c>
      <c r="K33" s="50">
        <f t="shared" si="5"/>
        <v>0</v>
      </c>
      <c r="L33" s="115"/>
      <c r="M33" s="53">
        <f t="shared" si="6"/>
        <v>1.5138002281318563E-3</v>
      </c>
      <c r="N33" s="110"/>
    </row>
    <row r="34" spans="1:34">
      <c r="A34" s="26">
        <v>31</v>
      </c>
      <c r="B34" s="27">
        <v>46022</v>
      </c>
      <c r="C34" s="50"/>
      <c r="D34" s="52" t="s">
        <v>151</v>
      </c>
      <c r="E34" s="51"/>
      <c r="F34" s="51"/>
      <c r="G34" s="50">
        <f t="shared" si="3"/>
        <v>0</v>
      </c>
      <c r="H34" s="51"/>
      <c r="I34" s="51"/>
      <c r="J34" s="53">
        <f t="shared" si="4"/>
        <v>0</v>
      </c>
      <c r="K34" s="50">
        <f t="shared" si="5"/>
        <v>0</v>
      </c>
      <c r="L34" s="115"/>
      <c r="M34" s="53">
        <f t="shared" si="6"/>
        <v>1.5138002281318563E-3</v>
      </c>
      <c r="N34" s="110"/>
    </row>
    <row r="35" spans="1:34">
      <c r="A35" s="26">
        <v>32</v>
      </c>
      <c r="B35" s="27"/>
      <c r="C35" s="50"/>
      <c r="D35" s="52" t="s">
        <v>151</v>
      </c>
      <c r="E35" s="51">
        <v>0</v>
      </c>
      <c r="F35" s="51">
        <v>0</v>
      </c>
      <c r="G35" s="50">
        <f t="shared" si="3"/>
        <v>0</v>
      </c>
      <c r="H35" s="51"/>
      <c r="I35" s="51"/>
      <c r="J35" s="53">
        <f t="shared" si="4"/>
        <v>0</v>
      </c>
      <c r="K35" s="50">
        <f t="shared" si="5"/>
        <v>0</v>
      </c>
      <c r="L35" s="115"/>
      <c r="M35" s="53">
        <f t="shared" si="6"/>
        <v>1.5138002281318563E-3</v>
      </c>
      <c r="N35" s="110"/>
    </row>
    <row r="36" spans="1:34">
      <c r="A36" s="46"/>
      <c r="B36" s="46"/>
      <c r="C36" s="46"/>
      <c r="D36" s="46"/>
      <c r="E36" s="47">
        <f>SUM(E4:E35)</f>
        <v>0</v>
      </c>
      <c r="F36" s="47"/>
      <c r="G36" s="47">
        <f>SUM(G4:G35)</f>
        <v>0</v>
      </c>
      <c r="H36" s="47">
        <f>SUM(H4:H35)</f>
        <v>0</v>
      </c>
      <c r="I36" s="47"/>
      <c r="J36" s="47">
        <f>SUM(J4:J35)</f>
        <v>0</v>
      </c>
      <c r="K36" s="47">
        <f>SUM(K4:K35)</f>
        <v>0</v>
      </c>
      <c r="L36" s="47">
        <f>SUM(L4:L35)</f>
        <v>25021.54</v>
      </c>
      <c r="M36" s="47"/>
      <c r="N36" s="47"/>
      <c r="O36" s="33"/>
    </row>
    <row r="37" spans="1:34" s="54" customFormat="1" ht="20.2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</row>
    <row r="38" spans="1:34">
      <c r="J38" s="49"/>
      <c r="L38" s="49"/>
      <c r="M38" s="49"/>
    </row>
  </sheetData>
  <mergeCells count="2">
    <mergeCell ref="A1:N1"/>
    <mergeCell ref="A3:J3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H38"/>
  <sheetViews>
    <sheetView topLeftCell="A19" workbookViewId="0">
      <selection activeCell="M35" sqref="M35"/>
    </sheetView>
  </sheetViews>
  <sheetFormatPr defaultRowHeight="15"/>
  <cols>
    <col min="5" max="5" width="12.5703125" bestFit="1" customWidth="1"/>
    <col min="10" max="10" width="10.85546875" bestFit="1" customWidth="1"/>
    <col min="11" max="11" width="10.42578125" bestFit="1" customWidth="1"/>
    <col min="12" max="13" width="11.85546875" bestFit="1" customWidth="1"/>
  </cols>
  <sheetData>
    <row r="1" spans="1:34">
      <c r="A1" s="475" t="s">
        <v>34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</row>
    <row r="2" spans="1:34" ht="25.5">
      <c r="A2" s="93" t="s">
        <v>122</v>
      </c>
      <c r="B2" s="94" t="s">
        <v>123</v>
      </c>
      <c r="C2" s="94" t="s">
        <v>124</v>
      </c>
      <c r="D2" s="94" t="s">
        <v>125</v>
      </c>
      <c r="E2" s="94" t="s">
        <v>126</v>
      </c>
      <c r="F2" s="94" t="s">
        <v>127</v>
      </c>
      <c r="G2" s="94" t="s">
        <v>128</v>
      </c>
      <c r="H2" s="94" t="s">
        <v>129</v>
      </c>
      <c r="I2" s="94" t="s">
        <v>127</v>
      </c>
      <c r="J2" s="119" t="s">
        <v>128</v>
      </c>
      <c r="K2" s="94" t="s">
        <v>130</v>
      </c>
      <c r="L2" s="119" t="s">
        <v>131</v>
      </c>
      <c r="M2" s="118" t="s">
        <v>138</v>
      </c>
      <c r="N2" s="95" t="s">
        <v>133</v>
      </c>
      <c r="O2" s="33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</row>
    <row r="3" spans="1:34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76"/>
      <c r="K3" s="29">
        <v>340400.90670000005</v>
      </c>
      <c r="L3" s="50"/>
      <c r="M3" s="120">
        <f>+K3</f>
        <v>340400.90670000005</v>
      </c>
      <c r="N3" s="50"/>
      <c r="O3" s="33">
        <v>99992.614513800188</v>
      </c>
      <c r="P3" s="53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</row>
    <row r="4" spans="1:34">
      <c r="A4" s="26">
        <v>1</v>
      </c>
      <c r="B4" s="27">
        <v>45992</v>
      </c>
      <c r="C4" s="51" t="s">
        <v>151</v>
      </c>
      <c r="D4" s="52" t="s">
        <v>151</v>
      </c>
      <c r="E4" s="51"/>
      <c r="F4" s="51"/>
      <c r="G4" s="50">
        <f t="shared" ref="G4" si="0">E4*F4</f>
        <v>0</v>
      </c>
      <c r="H4" s="51"/>
      <c r="I4" s="51"/>
      <c r="J4" s="53">
        <f t="shared" ref="J4" si="1">H4*I4</f>
        <v>0</v>
      </c>
      <c r="K4" s="50">
        <f t="shared" ref="K4" si="2">G4+J4</f>
        <v>0</v>
      </c>
      <c r="L4" s="115"/>
      <c r="M4" s="53">
        <f>M3+K4-L4</f>
        <v>340400.90670000005</v>
      </c>
      <c r="N4" s="110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</row>
    <row r="5" spans="1:34">
      <c r="A5" s="26">
        <v>2</v>
      </c>
      <c r="B5" s="27">
        <v>45993</v>
      </c>
      <c r="C5" s="51" t="s">
        <v>151</v>
      </c>
      <c r="D5" s="52" t="s">
        <v>151</v>
      </c>
      <c r="E5" s="51"/>
      <c r="F5" s="51"/>
      <c r="G5" s="50">
        <f t="shared" ref="G5:G35" si="3">E5*F5</f>
        <v>0</v>
      </c>
      <c r="H5" s="51"/>
      <c r="I5" s="51"/>
      <c r="J5" s="53">
        <f t="shared" ref="J5:J35" si="4">H5*I5</f>
        <v>0</v>
      </c>
      <c r="K5" s="50">
        <f t="shared" ref="K5:K35" si="5">G5+J5</f>
        <v>0</v>
      </c>
      <c r="L5" s="115"/>
      <c r="M5" s="53">
        <f t="shared" ref="M5:M35" si="6">M4+K5-L5</f>
        <v>340400.90670000005</v>
      </c>
      <c r="N5" s="110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</row>
    <row r="6" spans="1:34">
      <c r="A6" s="26">
        <v>3</v>
      </c>
      <c r="B6" s="27">
        <v>45994</v>
      </c>
      <c r="C6" s="51" t="s">
        <v>151</v>
      </c>
      <c r="D6" s="52" t="s">
        <v>151</v>
      </c>
      <c r="E6" s="51"/>
      <c r="F6" s="51"/>
      <c r="G6" s="50">
        <f t="shared" si="3"/>
        <v>0</v>
      </c>
      <c r="H6" s="51"/>
      <c r="I6" s="51"/>
      <c r="J6" s="53">
        <f t="shared" si="4"/>
        <v>0</v>
      </c>
      <c r="K6" s="50">
        <f t="shared" si="5"/>
        <v>0</v>
      </c>
      <c r="L6" s="115"/>
      <c r="M6" s="53">
        <f t="shared" si="6"/>
        <v>340400.90670000005</v>
      </c>
      <c r="N6" s="117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</row>
    <row r="7" spans="1:34">
      <c r="A7" s="26">
        <v>4</v>
      </c>
      <c r="B7" s="27">
        <v>45995</v>
      </c>
      <c r="C7" s="51" t="s">
        <v>151</v>
      </c>
      <c r="D7" s="52" t="s">
        <v>151</v>
      </c>
      <c r="E7" s="51">
        <v>1000</v>
      </c>
      <c r="F7" s="51">
        <v>91.33</v>
      </c>
      <c r="G7" s="50">
        <f t="shared" si="3"/>
        <v>91330</v>
      </c>
      <c r="H7" s="51">
        <v>105</v>
      </c>
      <c r="I7" s="51">
        <v>103.27</v>
      </c>
      <c r="J7" s="53">
        <f t="shared" si="4"/>
        <v>10843.35</v>
      </c>
      <c r="K7" s="50">
        <f t="shared" si="5"/>
        <v>102173.35</v>
      </c>
      <c r="L7" s="115"/>
      <c r="M7" s="53">
        <f t="shared" si="6"/>
        <v>442574.25670000003</v>
      </c>
      <c r="N7" s="117"/>
      <c r="O7" s="49">
        <v>1</v>
      </c>
      <c r="P7" s="49" t="s">
        <v>157</v>
      </c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</row>
    <row r="8" spans="1:34">
      <c r="A8" s="26">
        <v>5</v>
      </c>
      <c r="B8" s="27">
        <v>45996</v>
      </c>
      <c r="C8" s="51" t="s">
        <v>151</v>
      </c>
      <c r="D8" s="52" t="s">
        <v>151</v>
      </c>
      <c r="E8" s="51"/>
      <c r="F8" s="51"/>
      <c r="G8" s="50">
        <f t="shared" si="3"/>
        <v>0</v>
      </c>
      <c r="H8" s="51"/>
      <c r="I8" s="51"/>
      <c r="J8" s="53">
        <f t="shared" si="4"/>
        <v>0</v>
      </c>
      <c r="K8" s="50">
        <f t="shared" si="5"/>
        <v>0</v>
      </c>
      <c r="L8" s="115"/>
      <c r="M8" s="53">
        <f t="shared" si="6"/>
        <v>442574.25670000003</v>
      </c>
      <c r="N8" s="110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</row>
    <row r="9" spans="1:34">
      <c r="A9" s="26">
        <v>6</v>
      </c>
      <c r="B9" s="27">
        <v>45997</v>
      </c>
      <c r="C9" s="51" t="s">
        <v>151</v>
      </c>
      <c r="D9" s="52" t="s">
        <v>151</v>
      </c>
      <c r="E9" s="51"/>
      <c r="F9" s="51"/>
      <c r="G9" s="50">
        <f t="shared" si="3"/>
        <v>0</v>
      </c>
      <c r="H9" s="51"/>
      <c r="I9" s="51"/>
      <c r="J9" s="53">
        <f t="shared" si="4"/>
        <v>0</v>
      </c>
      <c r="K9" s="50">
        <f t="shared" si="5"/>
        <v>0</v>
      </c>
      <c r="L9" s="115"/>
      <c r="M9" s="53">
        <f t="shared" si="6"/>
        <v>442574.25670000003</v>
      </c>
      <c r="N9" s="117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</row>
    <row r="10" spans="1:34">
      <c r="A10" s="26">
        <v>7</v>
      </c>
      <c r="B10" s="27">
        <v>45998</v>
      </c>
      <c r="C10" s="51" t="s">
        <v>151</v>
      </c>
      <c r="D10" s="52" t="s">
        <v>151</v>
      </c>
      <c r="E10" s="51"/>
      <c r="F10" s="51"/>
      <c r="G10" s="50">
        <f t="shared" si="3"/>
        <v>0</v>
      </c>
      <c r="H10" s="51"/>
      <c r="I10" s="51"/>
      <c r="J10" s="53">
        <f t="shared" si="4"/>
        <v>0</v>
      </c>
      <c r="K10" s="50">
        <f t="shared" si="5"/>
        <v>0</v>
      </c>
      <c r="L10" s="115"/>
      <c r="M10" s="53">
        <f t="shared" si="6"/>
        <v>442574.25670000003</v>
      </c>
      <c r="N10" s="110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</row>
    <row r="11" spans="1:34">
      <c r="A11" s="26">
        <v>8</v>
      </c>
      <c r="B11" s="27">
        <v>45999</v>
      </c>
      <c r="C11" s="51" t="s">
        <v>151</v>
      </c>
      <c r="D11" s="52" t="s">
        <v>151</v>
      </c>
      <c r="E11" s="419">
        <v>328.47910000000002</v>
      </c>
      <c r="F11" s="51">
        <v>91.33</v>
      </c>
      <c r="G11" s="50">
        <f t="shared" si="3"/>
        <v>29999.996203000002</v>
      </c>
      <c r="H11" s="51"/>
      <c r="I11" s="51"/>
      <c r="J11" s="53">
        <f t="shared" si="4"/>
        <v>0</v>
      </c>
      <c r="K11" s="50">
        <f t="shared" si="5"/>
        <v>29999.996203000002</v>
      </c>
      <c r="L11" s="115">
        <v>30000</v>
      </c>
      <c r="M11" s="53">
        <f t="shared" si="6"/>
        <v>442574.25290300004</v>
      </c>
      <c r="N11" s="116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</row>
    <row r="12" spans="1:34">
      <c r="A12" s="26">
        <v>9</v>
      </c>
      <c r="B12" s="27">
        <v>46000</v>
      </c>
      <c r="C12" s="51" t="s">
        <v>151</v>
      </c>
      <c r="D12" s="52" t="s">
        <v>151</v>
      </c>
      <c r="E12" s="51"/>
      <c r="F12" s="51"/>
      <c r="G12" s="50">
        <f t="shared" si="3"/>
        <v>0</v>
      </c>
      <c r="H12" s="51"/>
      <c r="I12" s="51"/>
      <c r="J12" s="53">
        <f t="shared" si="4"/>
        <v>0</v>
      </c>
      <c r="K12" s="50">
        <f t="shared" si="5"/>
        <v>0</v>
      </c>
      <c r="L12" s="115"/>
      <c r="M12" s="53">
        <f t="shared" si="6"/>
        <v>442574.25290300004</v>
      </c>
      <c r="N12" s="110"/>
      <c r="O12" s="49">
        <v>2</v>
      </c>
      <c r="P12" s="49" t="s">
        <v>157</v>
      </c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</row>
    <row r="13" spans="1:34">
      <c r="A13" s="26">
        <v>10</v>
      </c>
      <c r="B13" s="27">
        <v>46001</v>
      </c>
      <c r="C13" s="51" t="s">
        <v>151</v>
      </c>
      <c r="D13" s="52" t="s">
        <v>151</v>
      </c>
      <c r="E13" s="51"/>
      <c r="F13" s="51"/>
      <c r="G13" s="50">
        <f t="shared" si="3"/>
        <v>0</v>
      </c>
      <c r="H13" s="51"/>
      <c r="I13" s="51"/>
      <c r="J13" s="53">
        <f t="shared" si="4"/>
        <v>0</v>
      </c>
      <c r="K13" s="50">
        <f t="shared" si="5"/>
        <v>0</v>
      </c>
      <c r="L13" s="115"/>
      <c r="M13" s="53">
        <f t="shared" si="6"/>
        <v>442574.25290300004</v>
      </c>
      <c r="N13" s="110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</row>
    <row r="14" spans="1:34">
      <c r="A14" s="26">
        <v>11</v>
      </c>
      <c r="B14" s="27">
        <v>46002</v>
      </c>
      <c r="C14" s="51" t="s">
        <v>151</v>
      </c>
      <c r="D14" s="52" t="s">
        <v>151</v>
      </c>
      <c r="E14" s="51"/>
      <c r="F14" s="51"/>
      <c r="G14" s="50">
        <f t="shared" si="3"/>
        <v>0</v>
      </c>
      <c r="H14" s="51"/>
      <c r="I14" s="51"/>
      <c r="J14" s="53">
        <f t="shared" si="4"/>
        <v>0</v>
      </c>
      <c r="K14" s="50">
        <f t="shared" si="5"/>
        <v>0</v>
      </c>
      <c r="L14" s="115"/>
      <c r="M14" s="53">
        <f t="shared" si="6"/>
        <v>442574.25290300004</v>
      </c>
      <c r="N14" s="110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</row>
    <row r="15" spans="1:34">
      <c r="A15" s="26">
        <v>12</v>
      </c>
      <c r="B15" s="27">
        <v>46003</v>
      </c>
      <c r="C15" s="51" t="s">
        <v>151</v>
      </c>
      <c r="D15" s="52" t="s">
        <v>151</v>
      </c>
      <c r="E15" s="51">
        <v>1500</v>
      </c>
      <c r="F15" s="51">
        <v>91.33</v>
      </c>
      <c r="G15" s="50">
        <f t="shared" si="3"/>
        <v>136995</v>
      </c>
      <c r="H15" s="51">
        <v>105</v>
      </c>
      <c r="I15" s="51">
        <v>103.27</v>
      </c>
      <c r="J15" s="53">
        <f t="shared" si="4"/>
        <v>10843.35</v>
      </c>
      <c r="K15" s="50">
        <f t="shared" si="5"/>
        <v>147838.35</v>
      </c>
      <c r="L15" s="115">
        <v>385000</v>
      </c>
      <c r="M15" s="53">
        <f t="shared" si="6"/>
        <v>205412.60290300008</v>
      </c>
      <c r="N15" s="110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</row>
    <row r="16" spans="1:34">
      <c r="A16" s="26">
        <v>13</v>
      </c>
      <c r="B16" s="27">
        <v>46004</v>
      </c>
      <c r="C16" s="51" t="s">
        <v>151</v>
      </c>
      <c r="D16" s="52" t="s">
        <v>151</v>
      </c>
      <c r="E16" s="51"/>
      <c r="F16" s="51"/>
      <c r="G16" s="50">
        <f t="shared" si="3"/>
        <v>0</v>
      </c>
      <c r="H16" s="51"/>
      <c r="I16" s="51"/>
      <c r="J16" s="53">
        <f t="shared" si="4"/>
        <v>0</v>
      </c>
      <c r="K16" s="50">
        <f t="shared" si="5"/>
        <v>0</v>
      </c>
      <c r="L16" s="115"/>
      <c r="M16" s="53">
        <f t="shared" si="6"/>
        <v>205412.60290300008</v>
      </c>
      <c r="N16" s="110"/>
      <c r="O16" s="49">
        <v>3</v>
      </c>
      <c r="P16" s="49" t="s">
        <v>157</v>
      </c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</row>
    <row r="17" spans="1:34">
      <c r="A17" s="26">
        <v>14</v>
      </c>
      <c r="B17" s="27">
        <v>46005</v>
      </c>
      <c r="C17" s="51" t="s">
        <v>151</v>
      </c>
      <c r="D17" s="52" t="s">
        <v>151</v>
      </c>
      <c r="E17" s="51"/>
      <c r="F17" s="51"/>
      <c r="G17" s="50">
        <f t="shared" si="3"/>
        <v>0</v>
      </c>
      <c r="H17" s="51"/>
      <c r="I17" s="51"/>
      <c r="J17" s="53">
        <f t="shared" si="4"/>
        <v>0</v>
      </c>
      <c r="K17" s="50">
        <f t="shared" si="5"/>
        <v>0</v>
      </c>
      <c r="L17" s="115"/>
      <c r="M17" s="53">
        <f t="shared" si="6"/>
        <v>205412.60290300008</v>
      </c>
      <c r="N17" s="110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</row>
    <row r="18" spans="1:34">
      <c r="A18" s="26">
        <v>15</v>
      </c>
      <c r="B18" s="27">
        <v>46006</v>
      </c>
      <c r="C18" s="51" t="s">
        <v>151</v>
      </c>
      <c r="D18" s="52" t="s">
        <v>151</v>
      </c>
      <c r="E18" s="51"/>
      <c r="F18" s="51"/>
      <c r="G18" s="50">
        <f t="shared" si="3"/>
        <v>0</v>
      </c>
      <c r="H18" s="51"/>
      <c r="I18" s="51"/>
      <c r="J18" s="53">
        <f t="shared" si="4"/>
        <v>0</v>
      </c>
      <c r="K18" s="50">
        <f t="shared" si="5"/>
        <v>0</v>
      </c>
      <c r="L18" s="115">
        <v>205413</v>
      </c>
      <c r="M18" s="53">
        <f t="shared" si="6"/>
        <v>-0.39709699992090464</v>
      </c>
      <c r="N18" s="110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</row>
    <row r="19" spans="1:34">
      <c r="A19" s="26">
        <v>16</v>
      </c>
      <c r="B19" s="27">
        <v>46007</v>
      </c>
      <c r="C19" s="51" t="s">
        <v>151</v>
      </c>
      <c r="D19" s="52" t="s">
        <v>151</v>
      </c>
      <c r="E19" s="51"/>
      <c r="F19" s="51"/>
      <c r="G19" s="50">
        <f t="shared" si="3"/>
        <v>0</v>
      </c>
      <c r="H19" s="51"/>
      <c r="I19" s="51"/>
      <c r="J19" s="53">
        <f t="shared" si="4"/>
        <v>0</v>
      </c>
      <c r="K19" s="50">
        <f t="shared" si="5"/>
        <v>0</v>
      </c>
      <c r="L19" s="115"/>
      <c r="M19" s="53">
        <f t="shared" si="6"/>
        <v>-0.39709699992090464</v>
      </c>
      <c r="N19" s="110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</row>
    <row r="20" spans="1:34">
      <c r="A20" s="26">
        <v>17</v>
      </c>
      <c r="B20" s="27">
        <v>46008</v>
      </c>
      <c r="C20" s="51" t="s">
        <v>151</v>
      </c>
      <c r="D20" s="52" t="s">
        <v>151</v>
      </c>
      <c r="E20" s="51">
        <v>2000</v>
      </c>
      <c r="F20" s="51">
        <v>91.33</v>
      </c>
      <c r="G20" s="50">
        <f t="shared" si="3"/>
        <v>182660</v>
      </c>
      <c r="H20" s="51">
        <v>70</v>
      </c>
      <c r="I20" s="51">
        <v>103.27</v>
      </c>
      <c r="J20" s="53">
        <f t="shared" si="4"/>
        <v>7228.9</v>
      </c>
      <c r="K20" s="50">
        <f t="shared" si="5"/>
        <v>189888.9</v>
      </c>
      <c r="L20" s="115"/>
      <c r="M20" s="53">
        <f t="shared" si="6"/>
        <v>189888.50290300007</v>
      </c>
      <c r="N20" s="110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</row>
    <row r="21" spans="1:34">
      <c r="A21" s="26">
        <v>18</v>
      </c>
      <c r="B21" s="27">
        <v>46009</v>
      </c>
      <c r="C21" s="51" t="s">
        <v>151</v>
      </c>
      <c r="D21" s="52" t="s">
        <v>151</v>
      </c>
      <c r="E21" s="51"/>
      <c r="F21" s="51"/>
      <c r="G21" s="50">
        <f t="shared" si="3"/>
        <v>0</v>
      </c>
      <c r="H21" s="51"/>
      <c r="I21" s="51"/>
      <c r="J21" s="53">
        <f t="shared" si="4"/>
        <v>0</v>
      </c>
      <c r="K21" s="50">
        <f t="shared" si="5"/>
        <v>0</v>
      </c>
      <c r="L21" s="115"/>
      <c r="M21" s="53">
        <f t="shared" si="6"/>
        <v>189888.50290300007</v>
      </c>
      <c r="N21" s="110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</row>
    <row r="22" spans="1:34">
      <c r="A22" s="26">
        <v>19</v>
      </c>
      <c r="B22" s="27">
        <v>46010</v>
      </c>
      <c r="C22" s="51" t="s">
        <v>151</v>
      </c>
      <c r="D22" s="52" t="s">
        <v>151</v>
      </c>
      <c r="E22" s="51"/>
      <c r="F22" s="51"/>
      <c r="G22" s="50">
        <f t="shared" si="3"/>
        <v>0</v>
      </c>
      <c r="H22" s="51"/>
      <c r="I22" s="51"/>
      <c r="J22" s="53">
        <f t="shared" si="4"/>
        <v>0</v>
      </c>
      <c r="K22" s="50">
        <f t="shared" si="5"/>
        <v>0</v>
      </c>
      <c r="L22" s="115"/>
      <c r="M22" s="53">
        <f t="shared" si="6"/>
        <v>189888.50290300007</v>
      </c>
      <c r="N22" s="110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</row>
    <row r="23" spans="1:34">
      <c r="A23" s="26">
        <v>20</v>
      </c>
      <c r="B23" s="27">
        <v>46011</v>
      </c>
      <c r="C23" s="51" t="s">
        <v>151</v>
      </c>
      <c r="D23" s="52" t="s">
        <v>151</v>
      </c>
      <c r="E23" s="51"/>
      <c r="F23" s="51"/>
      <c r="G23" s="50">
        <f t="shared" si="3"/>
        <v>0</v>
      </c>
      <c r="H23" s="51"/>
      <c r="I23" s="51"/>
      <c r="J23" s="53">
        <f t="shared" si="4"/>
        <v>0</v>
      </c>
      <c r="K23" s="50">
        <f t="shared" si="5"/>
        <v>0</v>
      </c>
      <c r="L23" s="115"/>
      <c r="M23" s="53">
        <f t="shared" si="6"/>
        <v>189888.50290300007</v>
      </c>
      <c r="N23" s="110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</row>
    <row r="24" spans="1:34">
      <c r="A24" s="26">
        <v>21</v>
      </c>
      <c r="B24" s="27">
        <v>46012</v>
      </c>
      <c r="C24" s="51" t="s">
        <v>151</v>
      </c>
      <c r="D24" s="52" t="s">
        <v>151</v>
      </c>
      <c r="E24" s="51"/>
      <c r="F24" s="51"/>
      <c r="G24" s="50">
        <f t="shared" si="3"/>
        <v>0</v>
      </c>
      <c r="H24" s="51"/>
      <c r="I24" s="51"/>
      <c r="J24" s="53">
        <f t="shared" si="4"/>
        <v>0</v>
      </c>
      <c r="K24" s="50">
        <f t="shared" si="5"/>
        <v>0</v>
      </c>
      <c r="L24" s="115"/>
      <c r="M24" s="53">
        <f t="shared" si="6"/>
        <v>189888.50290300007</v>
      </c>
      <c r="N24" s="110"/>
      <c r="O24" s="49">
        <v>4</v>
      </c>
      <c r="P24" s="49" t="s">
        <v>157</v>
      </c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</row>
    <row r="25" spans="1:34">
      <c r="A25" s="26">
        <v>22</v>
      </c>
      <c r="B25" s="27">
        <v>46013</v>
      </c>
      <c r="C25" s="51" t="s">
        <v>151</v>
      </c>
      <c r="D25" s="52" t="s">
        <v>151</v>
      </c>
      <c r="E25" s="51"/>
      <c r="F25" s="51"/>
      <c r="G25" s="50">
        <f t="shared" si="3"/>
        <v>0</v>
      </c>
      <c r="H25" s="51"/>
      <c r="I25" s="51"/>
      <c r="J25" s="53">
        <f t="shared" si="4"/>
        <v>0</v>
      </c>
      <c r="K25" s="50">
        <f t="shared" si="5"/>
        <v>0</v>
      </c>
      <c r="L25" s="115"/>
      <c r="M25" s="53">
        <f t="shared" si="6"/>
        <v>189888.50290300007</v>
      </c>
      <c r="N25" s="110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</row>
    <row r="26" spans="1:34">
      <c r="A26" s="26">
        <v>23</v>
      </c>
      <c r="B26" s="27">
        <v>46014</v>
      </c>
      <c r="C26" s="51" t="s">
        <v>151</v>
      </c>
      <c r="D26" s="52" t="s">
        <v>151</v>
      </c>
      <c r="E26" s="51">
        <v>1500</v>
      </c>
      <c r="F26" s="51">
        <v>91.33</v>
      </c>
      <c r="G26" s="50">
        <f t="shared" si="3"/>
        <v>136995</v>
      </c>
      <c r="H26" s="51">
        <v>70</v>
      </c>
      <c r="I26" s="51">
        <v>103.27</v>
      </c>
      <c r="J26" s="53">
        <f t="shared" si="4"/>
        <v>7228.9</v>
      </c>
      <c r="K26" s="50">
        <f t="shared" si="5"/>
        <v>144223.9</v>
      </c>
      <c r="L26" s="115"/>
      <c r="M26" s="53">
        <f t="shared" si="6"/>
        <v>334112.40290300007</v>
      </c>
      <c r="N26" s="110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</row>
    <row r="27" spans="1:34">
      <c r="A27" s="26">
        <v>24</v>
      </c>
      <c r="B27" s="27">
        <v>46015</v>
      </c>
      <c r="C27" s="51" t="s">
        <v>151</v>
      </c>
      <c r="D27" s="52" t="s">
        <v>151</v>
      </c>
      <c r="E27" s="51"/>
      <c r="F27" s="51"/>
      <c r="G27" s="50">
        <f t="shared" si="3"/>
        <v>0</v>
      </c>
      <c r="H27" s="51"/>
      <c r="I27" s="51"/>
      <c r="J27" s="53">
        <f t="shared" si="4"/>
        <v>0</v>
      </c>
      <c r="K27" s="50">
        <f t="shared" si="5"/>
        <v>0</v>
      </c>
      <c r="L27" s="115"/>
      <c r="M27" s="53">
        <f t="shared" si="6"/>
        <v>334112.40290300007</v>
      </c>
      <c r="N27" s="110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</row>
    <row r="28" spans="1:34">
      <c r="A28" s="26">
        <v>25</v>
      </c>
      <c r="B28" s="27">
        <v>46016</v>
      </c>
      <c r="C28" s="51"/>
      <c r="D28" s="52"/>
      <c r="E28" s="51"/>
      <c r="F28" s="51"/>
      <c r="G28" s="50">
        <f t="shared" si="3"/>
        <v>0</v>
      </c>
      <c r="H28" s="51"/>
      <c r="I28" s="51"/>
      <c r="J28" s="53">
        <f t="shared" si="4"/>
        <v>0</v>
      </c>
      <c r="K28" s="50">
        <f t="shared" si="5"/>
        <v>0</v>
      </c>
      <c r="L28" s="115"/>
      <c r="M28" s="53">
        <f t="shared" si="6"/>
        <v>334112.40290300007</v>
      </c>
      <c r="N28" s="110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</row>
    <row r="29" spans="1:34">
      <c r="A29" s="26">
        <v>26</v>
      </c>
      <c r="B29" s="27">
        <v>46017</v>
      </c>
      <c r="C29" s="51" t="s">
        <v>151</v>
      </c>
      <c r="D29" s="52" t="s">
        <v>151</v>
      </c>
      <c r="E29" s="51">
        <v>2000</v>
      </c>
      <c r="F29" s="51">
        <v>91.33</v>
      </c>
      <c r="G29" s="50">
        <f t="shared" si="3"/>
        <v>182660</v>
      </c>
      <c r="H29" s="51">
        <v>70</v>
      </c>
      <c r="I29" s="51">
        <v>103.27</v>
      </c>
      <c r="J29" s="53">
        <f t="shared" si="4"/>
        <v>7228.9</v>
      </c>
      <c r="K29" s="50">
        <f t="shared" si="5"/>
        <v>189888.9</v>
      </c>
      <c r="L29" s="115"/>
      <c r="M29" s="53">
        <f t="shared" si="6"/>
        <v>524001.30290300003</v>
      </c>
      <c r="N29" s="110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</row>
    <row r="30" spans="1:34">
      <c r="A30" s="26">
        <v>27</v>
      </c>
      <c r="B30" s="27">
        <v>46018</v>
      </c>
      <c r="C30" s="51" t="s">
        <v>151</v>
      </c>
      <c r="D30" s="52" t="s">
        <v>151</v>
      </c>
      <c r="E30" s="51"/>
      <c r="F30" s="51"/>
      <c r="G30" s="50">
        <f t="shared" si="3"/>
        <v>0</v>
      </c>
      <c r="H30" s="51"/>
      <c r="I30" s="51"/>
      <c r="J30" s="53">
        <f t="shared" si="4"/>
        <v>0</v>
      </c>
      <c r="K30" s="50">
        <f t="shared" si="5"/>
        <v>0</v>
      </c>
      <c r="L30" s="115"/>
      <c r="M30" s="53">
        <f t="shared" si="6"/>
        <v>524001.30290300003</v>
      </c>
      <c r="N30" s="110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</row>
    <row r="31" spans="1:34">
      <c r="A31" s="26">
        <v>28</v>
      </c>
      <c r="B31" s="27">
        <v>46019</v>
      </c>
      <c r="C31" s="51" t="s">
        <v>151</v>
      </c>
      <c r="D31" s="52" t="s">
        <v>151</v>
      </c>
      <c r="E31" s="51"/>
      <c r="F31" s="51"/>
      <c r="G31" s="50">
        <f t="shared" si="3"/>
        <v>0</v>
      </c>
      <c r="H31" s="51"/>
      <c r="I31" s="51"/>
      <c r="J31" s="53">
        <f t="shared" si="4"/>
        <v>0</v>
      </c>
      <c r="K31" s="50">
        <f t="shared" si="5"/>
        <v>0</v>
      </c>
      <c r="L31" s="115"/>
      <c r="M31" s="53">
        <f t="shared" si="6"/>
        <v>524001.30290300003</v>
      </c>
      <c r="N31" s="110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</row>
    <row r="32" spans="1:34">
      <c r="A32" s="26">
        <v>29</v>
      </c>
      <c r="B32" s="27">
        <v>46020</v>
      </c>
      <c r="C32" s="50"/>
      <c r="D32" s="52" t="s">
        <v>151</v>
      </c>
      <c r="E32" s="51"/>
      <c r="F32" s="51"/>
      <c r="G32" s="50">
        <f t="shared" si="3"/>
        <v>0</v>
      </c>
      <c r="H32" s="51"/>
      <c r="I32" s="51"/>
      <c r="J32" s="53">
        <f t="shared" si="4"/>
        <v>0</v>
      </c>
      <c r="K32" s="50">
        <f t="shared" si="5"/>
        <v>0</v>
      </c>
      <c r="L32" s="115"/>
      <c r="M32" s="53">
        <f t="shared" si="6"/>
        <v>524001.30290300003</v>
      </c>
      <c r="N32" s="110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</row>
    <row r="33" spans="1:34">
      <c r="A33" s="26">
        <v>30</v>
      </c>
      <c r="B33" s="27">
        <v>46021</v>
      </c>
      <c r="C33" s="50"/>
      <c r="D33" s="52" t="s">
        <v>151</v>
      </c>
      <c r="E33" s="51"/>
      <c r="F33" s="51"/>
      <c r="G33" s="50">
        <f t="shared" si="3"/>
        <v>0</v>
      </c>
      <c r="H33" s="51"/>
      <c r="I33" s="51"/>
      <c r="J33" s="53">
        <f t="shared" si="4"/>
        <v>0</v>
      </c>
      <c r="K33" s="50">
        <f t="shared" si="5"/>
        <v>0</v>
      </c>
      <c r="L33" s="115"/>
      <c r="M33" s="53">
        <f t="shared" si="6"/>
        <v>524001.30290300003</v>
      </c>
      <c r="N33" s="110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</row>
    <row r="34" spans="1:34">
      <c r="A34" s="26">
        <v>31</v>
      </c>
      <c r="B34" s="27">
        <v>46022</v>
      </c>
      <c r="C34" s="50"/>
      <c r="D34" s="52" t="s">
        <v>151</v>
      </c>
      <c r="E34" s="51">
        <v>2000</v>
      </c>
      <c r="F34" s="51">
        <v>91.33</v>
      </c>
      <c r="G34" s="50">
        <f t="shared" si="3"/>
        <v>182660</v>
      </c>
      <c r="H34" s="51">
        <v>70</v>
      </c>
      <c r="I34" s="51">
        <v>103.27</v>
      </c>
      <c r="J34" s="53">
        <f t="shared" si="4"/>
        <v>7228.9</v>
      </c>
      <c r="K34" s="50">
        <f t="shared" si="5"/>
        <v>189888.9</v>
      </c>
      <c r="L34" s="115"/>
      <c r="M34" s="53">
        <f t="shared" si="6"/>
        <v>713890.20290300006</v>
      </c>
      <c r="N34" s="110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</row>
    <row r="35" spans="1:34">
      <c r="A35" s="26">
        <v>32</v>
      </c>
      <c r="B35" s="27"/>
      <c r="C35" s="50"/>
      <c r="D35" s="52" t="s">
        <v>151</v>
      </c>
      <c r="E35" s="51"/>
      <c r="F35" s="51"/>
      <c r="G35" s="50">
        <f t="shared" si="3"/>
        <v>0</v>
      </c>
      <c r="H35" s="51">
        <v>0</v>
      </c>
      <c r="I35" s="51">
        <v>0</v>
      </c>
      <c r="J35" s="53">
        <f t="shared" si="4"/>
        <v>0</v>
      </c>
      <c r="K35" s="50">
        <f t="shared" si="5"/>
        <v>0</v>
      </c>
      <c r="L35" s="115"/>
      <c r="M35" s="53">
        <f t="shared" si="6"/>
        <v>713890.20290300006</v>
      </c>
      <c r="N35" s="110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</row>
    <row r="36" spans="1:34">
      <c r="A36" s="46"/>
      <c r="B36" s="46"/>
      <c r="C36" s="46"/>
      <c r="D36" s="46"/>
      <c r="E36" s="47">
        <f>SUM(E4:E35)</f>
        <v>10328.4791</v>
      </c>
      <c r="F36" s="47"/>
      <c r="G36" s="47">
        <f>SUM(G4:G35)</f>
        <v>943299.99620299996</v>
      </c>
      <c r="H36" s="47">
        <f>SUM(H4:H35)</f>
        <v>490</v>
      </c>
      <c r="I36" s="47"/>
      <c r="J36" s="47">
        <f>SUM(J4:J35)</f>
        <v>50602.3</v>
      </c>
      <c r="K36" s="47">
        <f>SUM(K4:K35)</f>
        <v>993902.29620300012</v>
      </c>
      <c r="L36" s="47">
        <f>SUM(L4:L35)</f>
        <v>620413</v>
      </c>
      <c r="M36" s="47"/>
      <c r="N36" s="47"/>
      <c r="O36" s="33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</row>
    <row r="37" spans="1:34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</row>
    <row r="38" spans="1:34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</row>
  </sheetData>
  <mergeCells count="2">
    <mergeCell ref="A1:N1"/>
    <mergeCell ref="A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view="pageBreakPreview" zoomScale="60" zoomScaleNormal="90" workbookViewId="0">
      <pane ySplit="2" topLeftCell="O7" activePane="bottomLeft" state="frozen"/>
      <selection pane="bottomLeft" activeCell="O7" sqref="O7"/>
    </sheetView>
  </sheetViews>
  <sheetFormatPr defaultColWidth="9.140625" defaultRowHeight="12.75"/>
  <cols>
    <col min="1" max="1" width="5.28515625" style="33" bestFit="1" customWidth="1"/>
    <col min="2" max="2" width="11.85546875" style="33" bestFit="1" customWidth="1"/>
    <col min="3" max="3" width="10.7109375" style="33" bestFit="1" customWidth="1"/>
    <col min="4" max="4" width="21.5703125" style="33" customWidth="1"/>
    <col min="5" max="5" width="10.85546875" style="33" bestFit="1" customWidth="1"/>
    <col min="6" max="6" width="13.7109375" style="33" bestFit="1" customWidth="1"/>
    <col min="7" max="7" width="15.28515625" style="33" customWidth="1"/>
    <col min="8" max="8" width="10.85546875" style="33" bestFit="1" customWidth="1"/>
    <col min="9" max="9" width="8.140625" style="33" bestFit="1" customWidth="1"/>
    <col min="10" max="10" width="10.85546875" style="33" bestFit="1" customWidth="1"/>
    <col min="11" max="11" width="13.85546875" style="33" bestFit="1" customWidth="1"/>
    <col min="12" max="12" width="12.7109375" style="33" bestFit="1" customWidth="1"/>
    <col min="13" max="13" width="12.7109375" style="33" customWidth="1"/>
    <col min="14" max="14" width="17.7109375" style="33" bestFit="1" customWidth="1"/>
    <col min="15" max="15" width="13.7109375" style="33" customWidth="1"/>
    <col min="16" max="16384" width="9.140625" style="33"/>
  </cols>
  <sheetData>
    <row r="1" spans="1:24" ht="12.75" customHeight="1">
      <c r="A1" s="470" t="s">
        <v>36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spans="1:24">
      <c r="A2" s="109" t="s">
        <v>122</v>
      </c>
      <c r="B2" s="113" t="s">
        <v>123</v>
      </c>
      <c r="C2" s="113" t="s">
        <v>124</v>
      </c>
      <c r="D2" s="113" t="s">
        <v>125</v>
      </c>
      <c r="E2" s="113" t="s">
        <v>126</v>
      </c>
      <c r="F2" s="113" t="s">
        <v>127</v>
      </c>
      <c r="G2" s="113" t="s">
        <v>128</v>
      </c>
      <c r="H2" s="113" t="s">
        <v>129</v>
      </c>
      <c r="I2" s="113" t="s">
        <v>127</v>
      </c>
      <c r="J2" s="113" t="s">
        <v>128</v>
      </c>
      <c r="K2" s="113" t="s">
        <v>130</v>
      </c>
      <c r="L2" s="113" t="s">
        <v>131</v>
      </c>
      <c r="M2" s="113" t="s">
        <v>138</v>
      </c>
      <c r="N2" s="113" t="s">
        <v>133</v>
      </c>
    </row>
    <row r="3" spans="1:24" ht="15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4"/>
      <c r="K3" s="158">
        <v>2258.5999999999767</v>
      </c>
      <c r="L3" s="157"/>
      <c r="M3" s="157">
        <f>+K3</f>
        <v>2258.5999999999767</v>
      </c>
      <c r="N3" s="114"/>
    </row>
    <row r="4" spans="1:24" ht="15">
      <c r="A4" s="26">
        <v>1</v>
      </c>
      <c r="B4" s="27">
        <v>45992</v>
      </c>
      <c r="C4" s="278"/>
      <c r="D4" s="279"/>
      <c r="E4" s="36"/>
      <c r="F4" s="36"/>
      <c r="G4" s="36">
        <f>E4*F4</f>
        <v>0</v>
      </c>
      <c r="H4" s="129">
        <v>0</v>
      </c>
      <c r="I4" s="129"/>
      <c r="J4" s="36">
        <f>H4*I4</f>
        <v>0</v>
      </c>
      <c r="K4" s="37">
        <f>G4+J4</f>
        <v>0</v>
      </c>
      <c r="L4" s="37">
        <v>0</v>
      </c>
      <c r="M4" s="37">
        <f>M3+K4-L4</f>
        <v>2258.5999999999767</v>
      </c>
      <c r="N4" s="48"/>
    </row>
    <row r="5" spans="1:24" ht="15">
      <c r="A5" s="26">
        <v>2</v>
      </c>
      <c r="B5" s="27">
        <v>45993</v>
      </c>
      <c r="C5" s="278"/>
      <c r="D5" s="279"/>
      <c r="E5" s="36"/>
      <c r="F5" s="36"/>
      <c r="G5" s="36">
        <f t="shared" ref="G5:G7" si="0">E5*F5</f>
        <v>0</v>
      </c>
      <c r="H5" s="129">
        <v>0</v>
      </c>
      <c r="I5" s="129">
        <v>0</v>
      </c>
      <c r="J5" s="36">
        <f t="shared" ref="J5:J7" si="1">H5*I5</f>
        <v>0</v>
      </c>
      <c r="K5" s="37">
        <f t="shared" ref="K5:K7" si="2">G5+J5</f>
        <v>0</v>
      </c>
      <c r="L5" s="37">
        <v>0</v>
      </c>
      <c r="M5" s="37">
        <f t="shared" ref="M5:M34" si="3">M4+K5-L5</f>
        <v>2258.5999999999767</v>
      </c>
      <c r="N5" s="48"/>
    </row>
    <row r="6" spans="1:24" ht="15">
      <c r="A6" s="26">
        <v>3</v>
      </c>
      <c r="B6" s="27">
        <v>45994</v>
      </c>
      <c r="C6" s="278"/>
      <c r="D6" s="279"/>
      <c r="E6" s="36"/>
      <c r="F6" s="36"/>
      <c r="G6" s="36">
        <f t="shared" si="0"/>
        <v>0</v>
      </c>
      <c r="H6" s="129">
        <v>0</v>
      </c>
      <c r="I6" s="129">
        <v>0</v>
      </c>
      <c r="J6" s="36">
        <f t="shared" si="1"/>
        <v>0</v>
      </c>
      <c r="K6" s="37">
        <f t="shared" si="2"/>
        <v>0</v>
      </c>
      <c r="L6" s="37">
        <v>0</v>
      </c>
      <c r="M6" s="37">
        <f t="shared" si="3"/>
        <v>2258.5999999999767</v>
      </c>
      <c r="N6" s="48"/>
    </row>
    <row r="7" spans="1:24" ht="15">
      <c r="A7" s="26">
        <v>4</v>
      </c>
      <c r="B7" s="27">
        <v>45995</v>
      </c>
      <c r="C7" s="278"/>
      <c r="D7" s="279"/>
      <c r="E7" s="36"/>
      <c r="F7" s="36"/>
      <c r="G7" s="36">
        <f t="shared" si="0"/>
        <v>0</v>
      </c>
      <c r="H7" s="129">
        <v>0</v>
      </c>
      <c r="I7" s="129">
        <v>0</v>
      </c>
      <c r="J7" s="36">
        <f t="shared" si="1"/>
        <v>0</v>
      </c>
      <c r="K7" s="37">
        <f t="shared" si="2"/>
        <v>0</v>
      </c>
      <c r="L7" s="37">
        <v>0</v>
      </c>
      <c r="M7" s="37">
        <f t="shared" si="3"/>
        <v>2258.5999999999767</v>
      </c>
      <c r="N7" s="48"/>
    </row>
    <row r="8" spans="1:24" ht="15">
      <c r="A8" s="26">
        <v>5</v>
      </c>
      <c r="B8" s="27">
        <v>45996</v>
      </c>
      <c r="C8" s="278"/>
      <c r="D8" s="279"/>
      <c r="E8" s="36"/>
      <c r="F8" s="36"/>
      <c r="G8" s="36">
        <f t="shared" ref="G8:G34" si="4">E8*F8</f>
        <v>0</v>
      </c>
      <c r="H8" s="129">
        <v>0</v>
      </c>
      <c r="I8" s="129">
        <v>0</v>
      </c>
      <c r="J8" s="36">
        <f t="shared" ref="J8:J34" si="5">H8*I8</f>
        <v>0</v>
      </c>
      <c r="K8" s="37">
        <f t="shared" ref="K8:K34" si="6">G8+J8</f>
        <v>0</v>
      </c>
      <c r="L8" s="37">
        <v>0</v>
      </c>
      <c r="M8" s="37">
        <f t="shared" si="3"/>
        <v>2258.5999999999767</v>
      </c>
      <c r="N8" s="48"/>
    </row>
    <row r="9" spans="1:24" ht="15">
      <c r="A9" s="26">
        <v>6</v>
      </c>
      <c r="B9" s="27">
        <v>45997</v>
      </c>
      <c r="C9" s="278"/>
      <c r="D9" s="279"/>
      <c r="E9" s="36"/>
      <c r="F9" s="36"/>
      <c r="G9" s="36">
        <f t="shared" si="4"/>
        <v>0</v>
      </c>
      <c r="H9" s="129">
        <v>0</v>
      </c>
      <c r="I9" s="129">
        <v>0</v>
      </c>
      <c r="J9" s="36">
        <f t="shared" si="5"/>
        <v>0</v>
      </c>
      <c r="K9" s="37">
        <f t="shared" si="6"/>
        <v>0</v>
      </c>
      <c r="L9" s="37">
        <v>0</v>
      </c>
      <c r="M9" s="37">
        <f t="shared" si="3"/>
        <v>2258.5999999999767</v>
      </c>
      <c r="N9" s="48"/>
    </row>
    <row r="10" spans="1:24" ht="15">
      <c r="A10" s="26">
        <v>7</v>
      </c>
      <c r="B10" s="27">
        <v>45998</v>
      </c>
      <c r="C10" s="278"/>
      <c r="D10" s="279"/>
      <c r="E10" s="36"/>
      <c r="F10" s="36"/>
      <c r="G10" s="36">
        <f t="shared" si="4"/>
        <v>0</v>
      </c>
      <c r="H10" s="129"/>
      <c r="I10" s="129"/>
      <c r="J10" s="36">
        <f t="shared" si="5"/>
        <v>0</v>
      </c>
      <c r="K10" s="37">
        <f t="shared" si="6"/>
        <v>0</v>
      </c>
      <c r="L10" s="37">
        <v>0</v>
      </c>
      <c r="M10" s="37">
        <f t="shared" si="3"/>
        <v>2258.5999999999767</v>
      </c>
      <c r="N10" s="48"/>
    </row>
    <row r="11" spans="1:24" ht="15">
      <c r="A11" s="26">
        <v>8</v>
      </c>
      <c r="B11" s="27">
        <v>45999</v>
      </c>
      <c r="C11" s="278"/>
      <c r="D11" s="279"/>
      <c r="E11" s="36"/>
      <c r="F11" s="36"/>
      <c r="G11" s="36">
        <f t="shared" si="4"/>
        <v>0</v>
      </c>
      <c r="H11" s="129">
        <v>0</v>
      </c>
      <c r="I11" s="129">
        <v>0</v>
      </c>
      <c r="J11" s="36">
        <f t="shared" si="5"/>
        <v>0</v>
      </c>
      <c r="K11" s="37">
        <f t="shared" si="6"/>
        <v>0</v>
      </c>
      <c r="L11" s="37">
        <v>0</v>
      </c>
      <c r="M11" s="37">
        <f t="shared" si="3"/>
        <v>2258.5999999999767</v>
      </c>
      <c r="N11" s="48"/>
    </row>
    <row r="12" spans="1:24" ht="15">
      <c r="A12" s="26">
        <v>9</v>
      </c>
      <c r="B12" s="27">
        <v>46000</v>
      </c>
      <c r="C12" s="278"/>
      <c r="D12" s="279"/>
      <c r="E12" s="36"/>
      <c r="F12" s="36"/>
      <c r="G12" s="36">
        <f t="shared" si="4"/>
        <v>0</v>
      </c>
      <c r="H12" s="129">
        <v>0</v>
      </c>
      <c r="I12" s="129">
        <v>0</v>
      </c>
      <c r="J12" s="36">
        <f t="shared" si="5"/>
        <v>0</v>
      </c>
      <c r="K12" s="37">
        <f t="shared" si="6"/>
        <v>0</v>
      </c>
      <c r="L12" s="37">
        <v>0</v>
      </c>
      <c r="M12" s="37">
        <f t="shared" si="3"/>
        <v>2258.5999999999767</v>
      </c>
      <c r="N12" s="48"/>
    </row>
    <row r="13" spans="1:24" ht="15">
      <c r="A13" s="26">
        <v>10</v>
      </c>
      <c r="B13" s="27">
        <v>46001</v>
      </c>
      <c r="C13" s="278"/>
      <c r="D13" s="279"/>
      <c r="E13" s="36"/>
      <c r="F13" s="36"/>
      <c r="G13" s="36">
        <f t="shared" si="4"/>
        <v>0</v>
      </c>
      <c r="H13" s="129">
        <v>0</v>
      </c>
      <c r="I13" s="129">
        <v>0</v>
      </c>
      <c r="J13" s="36">
        <f t="shared" si="5"/>
        <v>0</v>
      </c>
      <c r="K13" s="37">
        <f t="shared" si="6"/>
        <v>0</v>
      </c>
      <c r="L13" s="37">
        <v>0</v>
      </c>
      <c r="M13" s="37">
        <f t="shared" si="3"/>
        <v>2258.5999999999767</v>
      </c>
      <c r="N13" s="48"/>
    </row>
    <row r="14" spans="1:24" ht="15">
      <c r="A14" s="26">
        <v>11</v>
      </c>
      <c r="B14" s="27">
        <v>46002</v>
      </c>
      <c r="C14" s="278"/>
      <c r="D14" s="279"/>
      <c r="E14" s="36"/>
      <c r="F14" s="36"/>
      <c r="G14" s="36">
        <f t="shared" si="4"/>
        <v>0</v>
      </c>
      <c r="H14" s="129">
        <v>0</v>
      </c>
      <c r="I14" s="129">
        <v>0</v>
      </c>
      <c r="J14" s="36">
        <f t="shared" si="5"/>
        <v>0</v>
      </c>
      <c r="K14" s="37">
        <f t="shared" si="6"/>
        <v>0</v>
      </c>
      <c r="L14" s="37">
        <v>0</v>
      </c>
      <c r="M14" s="37">
        <f t="shared" si="3"/>
        <v>2258.5999999999767</v>
      </c>
      <c r="N14" s="48"/>
    </row>
    <row r="15" spans="1:24" ht="15">
      <c r="A15" s="26">
        <v>12</v>
      </c>
      <c r="B15" s="27">
        <v>46003</v>
      </c>
      <c r="C15" s="278"/>
      <c r="D15" s="279"/>
      <c r="E15" s="36"/>
      <c r="F15" s="36"/>
      <c r="G15" s="36">
        <f t="shared" si="4"/>
        <v>0</v>
      </c>
      <c r="H15" s="129">
        <v>0</v>
      </c>
      <c r="I15" s="129">
        <v>0</v>
      </c>
      <c r="J15" s="36">
        <f t="shared" si="5"/>
        <v>0</v>
      </c>
      <c r="K15" s="37">
        <f t="shared" si="6"/>
        <v>0</v>
      </c>
      <c r="L15" s="37">
        <v>0</v>
      </c>
      <c r="M15" s="37">
        <f t="shared" si="3"/>
        <v>2258.5999999999767</v>
      </c>
      <c r="N15" s="48"/>
    </row>
    <row r="16" spans="1:24" ht="15">
      <c r="A16" s="26">
        <v>13</v>
      </c>
      <c r="B16" s="27">
        <v>46004</v>
      </c>
      <c r="C16" s="278"/>
      <c r="D16" s="279"/>
      <c r="E16" s="36"/>
      <c r="F16" s="36"/>
      <c r="G16" s="36">
        <f t="shared" si="4"/>
        <v>0</v>
      </c>
      <c r="H16" s="129">
        <v>0</v>
      </c>
      <c r="I16" s="129">
        <v>0</v>
      </c>
      <c r="J16" s="36">
        <f t="shared" si="5"/>
        <v>0</v>
      </c>
      <c r="K16" s="37">
        <f t="shared" si="6"/>
        <v>0</v>
      </c>
      <c r="L16" s="37">
        <v>0</v>
      </c>
      <c r="M16" s="37">
        <f t="shared" si="3"/>
        <v>2258.5999999999767</v>
      </c>
      <c r="N16" s="48"/>
      <c r="X16" s="33">
        <f>100*104</f>
        <v>10400</v>
      </c>
    </row>
    <row r="17" spans="1:14" ht="15">
      <c r="A17" s="26">
        <v>14</v>
      </c>
      <c r="B17" s="27">
        <v>46005</v>
      </c>
      <c r="C17" s="278"/>
      <c r="D17" s="279"/>
      <c r="E17" s="36"/>
      <c r="F17" s="36"/>
      <c r="G17" s="36">
        <f t="shared" si="4"/>
        <v>0</v>
      </c>
      <c r="H17" s="129">
        <v>0</v>
      </c>
      <c r="I17" s="129">
        <v>0</v>
      </c>
      <c r="J17" s="36">
        <f t="shared" si="5"/>
        <v>0</v>
      </c>
      <c r="K17" s="37">
        <f t="shared" si="6"/>
        <v>0</v>
      </c>
      <c r="L17" s="37">
        <v>0</v>
      </c>
      <c r="M17" s="37">
        <f t="shared" si="3"/>
        <v>2258.5999999999767</v>
      </c>
      <c r="N17" s="48"/>
    </row>
    <row r="18" spans="1:14" ht="15">
      <c r="A18" s="26">
        <v>15</v>
      </c>
      <c r="B18" s="27">
        <v>46006</v>
      </c>
      <c r="C18" s="278"/>
      <c r="D18" s="279"/>
      <c r="E18" s="36"/>
      <c r="F18" s="36"/>
      <c r="G18" s="36">
        <f t="shared" si="4"/>
        <v>0</v>
      </c>
      <c r="H18" s="129">
        <v>0</v>
      </c>
      <c r="I18" s="129">
        <v>0</v>
      </c>
      <c r="J18" s="36">
        <f t="shared" si="5"/>
        <v>0</v>
      </c>
      <c r="K18" s="37">
        <f t="shared" si="6"/>
        <v>0</v>
      </c>
      <c r="L18" s="37"/>
      <c r="M18" s="37">
        <f t="shared" si="3"/>
        <v>2258.5999999999767</v>
      </c>
      <c r="N18" s="48"/>
    </row>
    <row r="19" spans="1:14" ht="15">
      <c r="A19" s="26">
        <v>16</v>
      </c>
      <c r="B19" s="27">
        <v>46007</v>
      </c>
      <c r="C19" s="278"/>
      <c r="D19" s="279"/>
      <c r="E19" s="36"/>
      <c r="F19" s="36"/>
      <c r="G19" s="36">
        <f t="shared" si="4"/>
        <v>0</v>
      </c>
      <c r="H19" s="129">
        <v>0</v>
      </c>
      <c r="I19" s="129">
        <v>0</v>
      </c>
      <c r="J19" s="36">
        <f t="shared" si="5"/>
        <v>0</v>
      </c>
      <c r="K19" s="37">
        <f t="shared" si="6"/>
        <v>0</v>
      </c>
      <c r="L19" s="37"/>
      <c r="M19" s="37">
        <f t="shared" si="3"/>
        <v>2258.5999999999767</v>
      </c>
      <c r="N19" s="48"/>
    </row>
    <row r="20" spans="1:14" ht="15">
      <c r="A20" s="26">
        <v>17</v>
      </c>
      <c r="B20" s="27">
        <v>46008</v>
      </c>
      <c r="C20" s="278"/>
      <c r="D20" s="279"/>
      <c r="E20" s="36"/>
      <c r="F20" s="36"/>
      <c r="G20" s="36">
        <f t="shared" si="4"/>
        <v>0</v>
      </c>
      <c r="H20" s="129">
        <v>0</v>
      </c>
      <c r="I20" s="129">
        <v>0</v>
      </c>
      <c r="J20" s="36">
        <f t="shared" si="5"/>
        <v>0</v>
      </c>
      <c r="K20" s="37">
        <f t="shared" si="6"/>
        <v>0</v>
      </c>
      <c r="L20" s="37"/>
      <c r="M20" s="37">
        <f t="shared" si="3"/>
        <v>2258.5999999999767</v>
      </c>
      <c r="N20" s="48"/>
    </row>
    <row r="21" spans="1:14" ht="15">
      <c r="A21" s="26">
        <v>18</v>
      </c>
      <c r="B21" s="27">
        <v>46009</v>
      </c>
      <c r="C21" s="278"/>
      <c r="D21" s="279"/>
      <c r="E21" s="36"/>
      <c r="F21" s="36"/>
      <c r="G21" s="36">
        <f t="shared" si="4"/>
        <v>0</v>
      </c>
      <c r="H21" s="129">
        <v>0</v>
      </c>
      <c r="I21" s="129">
        <v>0</v>
      </c>
      <c r="J21" s="36">
        <f t="shared" si="5"/>
        <v>0</v>
      </c>
      <c r="K21" s="37">
        <f t="shared" si="6"/>
        <v>0</v>
      </c>
      <c r="L21" s="37"/>
      <c r="M21" s="37">
        <f t="shared" si="3"/>
        <v>2258.5999999999767</v>
      </c>
      <c r="N21" s="48"/>
    </row>
    <row r="22" spans="1:14" ht="15">
      <c r="A22" s="26">
        <v>19</v>
      </c>
      <c r="B22" s="27">
        <v>46010</v>
      </c>
      <c r="C22" s="278"/>
      <c r="D22" s="279"/>
      <c r="E22" s="36"/>
      <c r="F22" s="36"/>
      <c r="G22" s="36">
        <f t="shared" si="4"/>
        <v>0</v>
      </c>
      <c r="H22" s="129">
        <v>0</v>
      </c>
      <c r="I22" s="129">
        <v>0</v>
      </c>
      <c r="J22" s="36">
        <f t="shared" si="5"/>
        <v>0</v>
      </c>
      <c r="K22" s="37">
        <f t="shared" si="6"/>
        <v>0</v>
      </c>
      <c r="L22" s="37"/>
      <c r="M22" s="37">
        <f t="shared" si="3"/>
        <v>2258.5999999999767</v>
      </c>
      <c r="N22" s="48"/>
    </row>
    <row r="23" spans="1:14" ht="15">
      <c r="A23" s="26">
        <v>20</v>
      </c>
      <c r="B23" s="27">
        <v>46011</v>
      </c>
      <c r="C23" s="278"/>
      <c r="D23" s="279"/>
      <c r="E23" s="36"/>
      <c r="F23" s="36"/>
      <c r="G23" s="36">
        <f t="shared" si="4"/>
        <v>0</v>
      </c>
      <c r="H23" s="129">
        <v>0</v>
      </c>
      <c r="I23" s="129">
        <v>0</v>
      </c>
      <c r="J23" s="36">
        <f t="shared" si="5"/>
        <v>0</v>
      </c>
      <c r="K23" s="37">
        <f t="shared" si="6"/>
        <v>0</v>
      </c>
      <c r="L23" s="37"/>
      <c r="M23" s="37">
        <f t="shared" si="3"/>
        <v>2258.5999999999767</v>
      </c>
      <c r="N23" s="48"/>
    </row>
    <row r="24" spans="1:14" ht="15">
      <c r="A24" s="26">
        <v>21</v>
      </c>
      <c r="B24" s="27">
        <v>46012</v>
      </c>
      <c r="C24" s="278"/>
      <c r="D24" s="279"/>
      <c r="E24" s="36"/>
      <c r="F24" s="36"/>
      <c r="G24" s="36">
        <f t="shared" si="4"/>
        <v>0</v>
      </c>
      <c r="H24" s="129">
        <v>0</v>
      </c>
      <c r="I24" s="129">
        <v>0</v>
      </c>
      <c r="J24" s="36">
        <f t="shared" si="5"/>
        <v>0</v>
      </c>
      <c r="K24" s="37">
        <f t="shared" si="6"/>
        <v>0</v>
      </c>
      <c r="L24" s="37"/>
      <c r="M24" s="37">
        <f t="shared" si="3"/>
        <v>2258.5999999999767</v>
      </c>
      <c r="N24" s="48"/>
    </row>
    <row r="25" spans="1:14" ht="15">
      <c r="A25" s="26">
        <v>22</v>
      </c>
      <c r="B25" s="27">
        <v>46013</v>
      </c>
      <c r="C25" s="278"/>
      <c r="D25" s="279"/>
      <c r="E25" s="36"/>
      <c r="F25" s="36"/>
      <c r="G25" s="36">
        <f t="shared" si="4"/>
        <v>0</v>
      </c>
      <c r="H25" s="129">
        <v>0</v>
      </c>
      <c r="I25" s="129">
        <v>0</v>
      </c>
      <c r="J25" s="36">
        <f t="shared" si="5"/>
        <v>0</v>
      </c>
      <c r="K25" s="37">
        <f t="shared" si="6"/>
        <v>0</v>
      </c>
      <c r="L25" s="37"/>
      <c r="M25" s="37">
        <f t="shared" si="3"/>
        <v>2258.5999999999767</v>
      </c>
      <c r="N25" s="48"/>
    </row>
    <row r="26" spans="1:14" ht="15">
      <c r="A26" s="26">
        <v>23</v>
      </c>
      <c r="B26" s="27">
        <v>46014</v>
      </c>
      <c r="C26" s="278"/>
      <c r="D26" s="279"/>
      <c r="E26" s="36"/>
      <c r="F26" s="36"/>
      <c r="G26" s="36">
        <f t="shared" si="4"/>
        <v>0</v>
      </c>
      <c r="H26" s="129">
        <v>0</v>
      </c>
      <c r="I26" s="129">
        <v>0</v>
      </c>
      <c r="J26" s="36">
        <f t="shared" ref="J26:J31" si="7">H26*I26</f>
        <v>0</v>
      </c>
      <c r="K26" s="37">
        <f t="shared" ref="K26:K31" si="8">G26+J26</f>
        <v>0</v>
      </c>
      <c r="L26" s="37"/>
      <c r="M26" s="37">
        <f t="shared" si="3"/>
        <v>2258.5999999999767</v>
      </c>
      <c r="N26" s="48"/>
    </row>
    <row r="27" spans="1:14" ht="15">
      <c r="A27" s="26">
        <v>24</v>
      </c>
      <c r="B27" s="27">
        <v>46015</v>
      </c>
      <c r="C27" s="278"/>
      <c r="D27" s="279"/>
      <c r="E27" s="36"/>
      <c r="F27" s="36"/>
      <c r="G27" s="36">
        <f t="shared" si="4"/>
        <v>0</v>
      </c>
      <c r="H27" s="129">
        <v>0</v>
      </c>
      <c r="I27" s="129">
        <v>0</v>
      </c>
      <c r="J27" s="36">
        <f t="shared" si="7"/>
        <v>0</v>
      </c>
      <c r="K27" s="37">
        <f t="shared" si="8"/>
        <v>0</v>
      </c>
      <c r="L27" s="37"/>
      <c r="M27" s="37">
        <f t="shared" si="3"/>
        <v>2258.5999999999767</v>
      </c>
      <c r="N27" s="48"/>
    </row>
    <row r="28" spans="1:14" ht="15">
      <c r="A28" s="26">
        <v>25</v>
      </c>
      <c r="B28" s="27">
        <v>46016</v>
      </c>
      <c r="C28" s="278"/>
      <c r="D28" s="279"/>
      <c r="E28" s="36"/>
      <c r="F28" s="36"/>
      <c r="G28" s="36">
        <f t="shared" si="4"/>
        <v>0</v>
      </c>
      <c r="H28" s="129">
        <v>0</v>
      </c>
      <c r="I28" s="129">
        <v>0</v>
      </c>
      <c r="J28" s="36">
        <f t="shared" si="7"/>
        <v>0</v>
      </c>
      <c r="K28" s="37">
        <f t="shared" si="8"/>
        <v>0</v>
      </c>
      <c r="L28" s="37"/>
      <c r="M28" s="37">
        <f t="shared" si="3"/>
        <v>2258.5999999999767</v>
      </c>
      <c r="N28" s="48"/>
    </row>
    <row r="29" spans="1:14" ht="15">
      <c r="A29" s="26">
        <v>26</v>
      </c>
      <c r="B29" s="27">
        <v>46017</v>
      </c>
      <c r="C29" s="278"/>
      <c r="D29" s="279"/>
      <c r="E29" s="36"/>
      <c r="F29" s="36"/>
      <c r="G29" s="36">
        <f t="shared" si="4"/>
        <v>0</v>
      </c>
      <c r="H29" s="129">
        <v>0</v>
      </c>
      <c r="I29" s="129">
        <v>0</v>
      </c>
      <c r="J29" s="36">
        <f t="shared" si="7"/>
        <v>0</v>
      </c>
      <c r="K29" s="37">
        <f t="shared" si="8"/>
        <v>0</v>
      </c>
      <c r="L29" s="37"/>
      <c r="M29" s="37">
        <f t="shared" si="3"/>
        <v>2258.5999999999767</v>
      </c>
      <c r="N29" s="48"/>
    </row>
    <row r="30" spans="1:14" ht="15">
      <c r="A30" s="26">
        <v>27</v>
      </c>
      <c r="B30" s="27">
        <v>46018</v>
      </c>
      <c r="C30" s="278"/>
      <c r="D30" s="279"/>
      <c r="E30" s="36"/>
      <c r="F30" s="36"/>
      <c r="G30" s="36">
        <f t="shared" si="4"/>
        <v>0</v>
      </c>
      <c r="H30" s="129">
        <v>0</v>
      </c>
      <c r="I30" s="129">
        <v>0</v>
      </c>
      <c r="J30" s="36">
        <f t="shared" si="7"/>
        <v>0</v>
      </c>
      <c r="K30" s="37">
        <f t="shared" si="8"/>
        <v>0</v>
      </c>
      <c r="L30" s="37"/>
      <c r="M30" s="37">
        <f t="shared" si="3"/>
        <v>2258.5999999999767</v>
      </c>
      <c r="N30" s="48"/>
    </row>
    <row r="31" spans="1:14" ht="15">
      <c r="A31" s="26">
        <v>28</v>
      </c>
      <c r="B31" s="27">
        <v>46019</v>
      </c>
      <c r="C31" s="278"/>
      <c r="D31" s="279"/>
      <c r="E31" s="36"/>
      <c r="F31" s="36"/>
      <c r="G31" s="36">
        <f t="shared" si="4"/>
        <v>0</v>
      </c>
      <c r="H31" s="129">
        <v>0</v>
      </c>
      <c r="I31" s="129">
        <v>0</v>
      </c>
      <c r="J31" s="36">
        <f t="shared" si="7"/>
        <v>0</v>
      </c>
      <c r="K31" s="37">
        <f t="shared" si="8"/>
        <v>0</v>
      </c>
      <c r="L31" s="37"/>
      <c r="M31" s="37">
        <f t="shared" si="3"/>
        <v>2258.5999999999767</v>
      </c>
      <c r="N31" s="48"/>
    </row>
    <row r="32" spans="1:14" ht="15">
      <c r="A32" s="26">
        <v>29</v>
      </c>
      <c r="B32" s="27">
        <v>46020</v>
      </c>
      <c r="C32" s="278"/>
      <c r="D32" s="279"/>
      <c r="E32" s="36"/>
      <c r="F32" s="36"/>
      <c r="G32" s="36">
        <f t="shared" si="4"/>
        <v>0</v>
      </c>
      <c r="H32" s="129">
        <v>0</v>
      </c>
      <c r="I32" s="129">
        <v>0</v>
      </c>
      <c r="J32" s="36">
        <f t="shared" si="5"/>
        <v>0</v>
      </c>
      <c r="K32" s="37">
        <f t="shared" si="6"/>
        <v>0</v>
      </c>
      <c r="L32" s="37"/>
      <c r="M32" s="37">
        <f t="shared" si="3"/>
        <v>2258.5999999999767</v>
      </c>
      <c r="N32" s="48"/>
    </row>
    <row r="33" spans="1:14" ht="15">
      <c r="A33" s="26">
        <v>30</v>
      </c>
      <c r="B33" s="27">
        <v>46021</v>
      </c>
      <c r="C33" s="278"/>
      <c r="D33" s="279"/>
      <c r="E33" s="36"/>
      <c r="F33" s="36"/>
      <c r="G33" s="36">
        <f t="shared" si="4"/>
        <v>0</v>
      </c>
      <c r="H33" s="129">
        <v>0</v>
      </c>
      <c r="I33" s="129">
        <v>0</v>
      </c>
      <c r="J33" s="36">
        <f t="shared" si="5"/>
        <v>0</v>
      </c>
      <c r="K33" s="37">
        <f t="shared" si="6"/>
        <v>0</v>
      </c>
      <c r="L33" s="37"/>
      <c r="M33" s="37">
        <f t="shared" si="3"/>
        <v>2258.5999999999767</v>
      </c>
      <c r="N33" s="48"/>
    </row>
    <row r="34" spans="1:14" ht="15">
      <c r="A34" s="26">
        <v>31</v>
      </c>
      <c r="B34" s="27"/>
      <c r="C34" s="114"/>
      <c r="D34" s="128"/>
      <c r="E34" s="36"/>
      <c r="F34" s="36"/>
      <c r="G34" s="36">
        <f t="shared" si="4"/>
        <v>0</v>
      </c>
      <c r="H34" s="129">
        <v>0</v>
      </c>
      <c r="I34" s="129">
        <v>0</v>
      </c>
      <c r="J34" s="36">
        <f t="shared" si="5"/>
        <v>0</v>
      </c>
      <c r="K34" s="37">
        <f t="shared" si="6"/>
        <v>0</v>
      </c>
      <c r="L34" s="37">
        <v>0</v>
      </c>
      <c r="M34" s="37">
        <f t="shared" si="3"/>
        <v>2258.5999999999767</v>
      </c>
      <c r="N34" s="48"/>
    </row>
    <row r="35" spans="1:14">
      <c r="A35" s="46"/>
      <c r="B35" s="46"/>
      <c r="C35" s="46"/>
      <c r="D35" s="46"/>
      <c r="E35" s="47">
        <f>SUM(E4:E34)</f>
        <v>0</v>
      </c>
      <c r="F35" s="47"/>
      <c r="G35" s="47">
        <f>SUM(G4:G34)</f>
        <v>0</v>
      </c>
      <c r="H35" s="47">
        <f>SUM(H4:H34)</f>
        <v>0</v>
      </c>
      <c r="I35" s="47"/>
      <c r="J35" s="47">
        <f>SUM(J4:J34)</f>
        <v>0</v>
      </c>
      <c r="K35" s="47">
        <f>SUM(K4:K34)</f>
        <v>0</v>
      </c>
      <c r="L35" s="47">
        <f>SUM(L4:L34)</f>
        <v>0</v>
      </c>
      <c r="M35" s="47"/>
      <c r="N35" s="47"/>
    </row>
    <row r="36" spans="1:14">
      <c r="A36" s="38"/>
      <c r="B36" s="38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4">
      <c r="G37" s="40"/>
    </row>
    <row r="38" spans="1:14">
      <c r="B38" s="477"/>
      <c r="C38" s="477"/>
      <c r="D38" s="477"/>
      <c r="E38" s="477"/>
      <c r="I38" s="477"/>
      <c r="J38" s="477"/>
      <c r="K38" s="477"/>
      <c r="L38" s="477"/>
      <c r="M38" s="477"/>
      <c r="N38" s="477"/>
    </row>
  </sheetData>
  <mergeCells count="4">
    <mergeCell ref="A1:N1"/>
    <mergeCell ref="I38:N38"/>
    <mergeCell ref="B38:E38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topLeftCell="A9" workbookViewId="0">
      <selection activeCell="M29" sqref="M29"/>
    </sheetView>
  </sheetViews>
  <sheetFormatPr defaultRowHeight="15"/>
  <cols>
    <col min="2" max="2" width="10.1406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6" max="16" width="10" customWidth="1"/>
  </cols>
  <sheetData>
    <row r="1" spans="1:14" ht="15.75" customHeight="1">
      <c r="A1" s="470" t="s">
        <v>38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spans="1:14" ht="25.5">
      <c r="A2" s="109" t="s">
        <v>122</v>
      </c>
      <c r="B2" s="113" t="s">
        <v>123</v>
      </c>
      <c r="C2" s="113" t="s">
        <v>124</v>
      </c>
      <c r="D2" s="113" t="s">
        <v>125</v>
      </c>
      <c r="E2" s="113" t="s">
        <v>126</v>
      </c>
      <c r="F2" s="113" t="s">
        <v>127</v>
      </c>
      <c r="G2" s="113" t="s">
        <v>128</v>
      </c>
      <c r="H2" s="113" t="s">
        <v>129</v>
      </c>
      <c r="I2" s="113" t="s">
        <v>127</v>
      </c>
      <c r="J2" s="113" t="s">
        <v>128</v>
      </c>
      <c r="K2" s="113" t="s">
        <v>130</v>
      </c>
      <c r="L2" s="113" t="s">
        <v>131</v>
      </c>
      <c r="M2" s="113" t="s">
        <v>138</v>
      </c>
      <c r="N2" s="113" t="s">
        <v>133</v>
      </c>
    </row>
    <row r="3" spans="1:14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4"/>
      <c r="K3">
        <v>354228.03690000018</v>
      </c>
      <c r="L3" s="157"/>
      <c r="M3" s="157">
        <f>+K3</f>
        <v>354228.03690000018</v>
      </c>
      <c r="N3" s="114"/>
    </row>
    <row r="4" spans="1:14">
      <c r="A4" s="26">
        <v>1</v>
      </c>
      <c r="B4" s="27">
        <v>45992</v>
      </c>
      <c r="C4" s="114">
        <v>0</v>
      </c>
      <c r="D4" s="128"/>
      <c r="E4" s="37"/>
      <c r="F4" s="37"/>
      <c r="G4" s="37">
        <f>E4*F4</f>
        <v>0</v>
      </c>
      <c r="H4" s="129"/>
      <c r="I4" s="129"/>
      <c r="J4" s="37">
        <f>H4*I4</f>
        <v>0</v>
      </c>
      <c r="K4" s="37">
        <f>G4+J4</f>
        <v>0</v>
      </c>
      <c r="L4" s="37"/>
      <c r="M4" s="37">
        <f t="shared" ref="M4:M33" si="0">M3+K4-L4</f>
        <v>354228.03690000018</v>
      </c>
      <c r="N4" s="48"/>
    </row>
    <row r="5" spans="1:14">
      <c r="A5" s="26">
        <v>2</v>
      </c>
      <c r="B5" s="27">
        <v>45993</v>
      </c>
      <c r="C5" s="114">
        <v>0</v>
      </c>
      <c r="D5" s="128"/>
      <c r="E5" s="37"/>
      <c r="F5" s="37"/>
      <c r="G5" s="37">
        <f t="shared" ref="G5:G33" si="1">E5*F5</f>
        <v>0</v>
      </c>
      <c r="H5" s="129"/>
      <c r="I5" s="129"/>
      <c r="J5" s="37">
        <f t="shared" ref="J5:J33" si="2">H5*I5</f>
        <v>0</v>
      </c>
      <c r="K5" s="37">
        <f t="shared" ref="K5:K33" si="3">G5+J5</f>
        <v>0</v>
      </c>
      <c r="L5" s="37"/>
      <c r="M5" s="37">
        <f t="shared" si="0"/>
        <v>354228.03690000018</v>
      </c>
      <c r="N5" s="48"/>
    </row>
    <row r="6" spans="1:14">
      <c r="A6" s="26">
        <v>3</v>
      </c>
      <c r="B6" s="27">
        <v>45994</v>
      </c>
      <c r="C6" s="114">
        <v>0</v>
      </c>
      <c r="D6" s="128"/>
      <c r="E6" s="37"/>
      <c r="F6" s="37"/>
      <c r="G6" s="37">
        <f t="shared" si="1"/>
        <v>0</v>
      </c>
      <c r="H6" s="129"/>
      <c r="I6" s="129"/>
      <c r="J6" s="37">
        <f t="shared" si="2"/>
        <v>0</v>
      </c>
      <c r="K6" s="37">
        <f t="shared" si="3"/>
        <v>0</v>
      </c>
      <c r="L6" s="37"/>
      <c r="M6" s="37">
        <f t="shared" si="0"/>
        <v>354228.03690000018</v>
      </c>
      <c r="N6" s="48"/>
    </row>
    <row r="7" spans="1:14">
      <c r="A7" s="26">
        <v>4</v>
      </c>
      <c r="B7" s="27">
        <v>45995</v>
      </c>
      <c r="C7" s="114">
        <v>0</v>
      </c>
      <c r="D7" s="128"/>
      <c r="E7" s="37"/>
      <c r="F7" s="37"/>
      <c r="G7" s="37">
        <f t="shared" si="1"/>
        <v>0</v>
      </c>
      <c r="H7" s="129"/>
      <c r="I7" s="129"/>
      <c r="J7" s="37">
        <f t="shared" si="2"/>
        <v>0</v>
      </c>
      <c r="K7" s="37">
        <f t="shared" si="3"/>
        <v>0</v>
      </c>
      <c r="L7" s="37"/>
      <c r="M7" s="37">
        <f t="shared" si="0"/>
        <v>354228.03690000018</v>
      </c>
      <c r="N7" s="48"/>
    </row>
    <row r="8" spans="1:14">
      <c r="A8" s="26">
        <v>5</v>
      </c>
      <c r="B8" s="27">
        <v>45996</v>
      </c>
      <c r="C8" s="114">
        <v>0</v>
      </c>
      <c r="D8" s="128"/>
      <c r="E8" s="37"/>
      <c r="F8" s="37"/>
      <c r="G8" s="37">
        <f t="shared" si="1"/>
        <v>0</v>
      </c>
      <c r="H8" s="129"/>
      <c r="I8" s="129"/>
      <c r="J8" s="37">
        <f t="shared" si="2"/>
        <v>0</v>
      </c>
      <c r="K8" s="37">
        <f t="shared" si="3"/>
        <v>0</v>
      </c>
      <c r="L8" s="37"/>
      <c r="M8" s="37">
        <f t="shared" si="0"/>
        <v>354228.03690000018</v>
      </c>
      <c r="N8" s="48"/>
    </row>
    <row r="9" spans="1:14">
      <c r="A9" s="26">
        <v>6</v>
      </c>
      <c r="B9" s="27">
        <v>45997</v>
      </c>
      <c r="C9" s="114">
        <v>0</v>
      </c>
      <c r="D9" s="128"/>
      <c r="E9" s="37"/>
      <c r="F9" s="37"/>
      <c r="G9" s="37">
        <f t="shared" si="1"/>
        <v>0</v>
      </c>
      <c r="H9" s="129"/>
      <c r="I9" s="129"/>
      <c r="J9" s="37">
        <f t="shared" si="2"/>
        <v>0</v>
      </c>
      <c r="K9" s="37">
        <f t="shared" si="3"/>
        <v>0</v>
      </c>
      <c r="L9" s="37"/>
      <c r="M9" s="37">
        <f t="shared" si="0"/>
        <v>354228.03690000018</v>
      </c>
      <c r="N9" s="48"/>
    </row>
    <row r="10" spans="1:14">
      <c r="A10" s="26">
        <v>7</v>
      </c>
      <c r="B10" s="27">
        <v>45998</v>
      </c>
      <c r="C10" s="114">
        <v>0</v>
      </c>
      <c r="D10" s="128"/>
      <c r="E10" s="37"/>
      <c r="F10" s="37"/>
      <c r="G10" s="37">
        <f t="shared" si="1"/>
        <v>0</v>
      </c>
      <c r="H10" s="129"/>
      <c r="I10" s="129"/>
      <c r="J10" s="37">
        <f t="shared" si="2"/>
        <v>0</v>
      </c>
      <c r="K10" s="37">
        <f t="shared" si="3"/>
        <v>0</v>
      </c>
      <c r="L10" s="37"/>
      <c r="M10" s="37">
        <f t="shared" si="0"/>
        <v>354228.03690000018</v>
      </c>
      <c r="N10" s="48"/>
    </row>
    <row r="11" spans="1:14">
      <c r="A11" s="26">
        <v>8</v>
      </c>
      <c r="B11" s="27">
        <v>45999</v>
      </c>
      <c r="C11" s="114">
        <v>0</v>
      </c>
      <c r="D11" s="128"/>
      <c r="E11" s="37"/>
      <c r="F11" s="37"/>
      <c r="G11" s="37">
        <f t="shared" si="1"/>
        <v>0</v>
      </c>
      <c r="H11" s="129"/>
      <c r="I11" s="129"/>
      <c r="J11" s="37">
        <f t="shared" si="2"/>
        <v>0</v>
      </c>
      <c r="K11" s="37">
        <f t="shared" si="3"/>
        <v>0</v>
      </c>
      <c r="L11" s="37"/>
      <c r="M11" s="37">
        <f t="shared" si="0"/>
        <v>354228.03690000018</v>
      </c>
      <c r="N11" s="48"/>
    </row>
    <row r="12" spans="1:14">
      <c r="A12" s="26">
        <v>9</v>
      </c>
      <c r="B12" s="27">
        <v>46000</v>
      </c>
      <c r="C12" s="114">
        <v>0</v>
      </c>
      <c r="D12" s="128"/>
      <c r="E12" s="37"/>
      <c r="F12" s="37"/>
      <c r="G12" s="37">
        <f t="shared" si="1"/>
        <v>0</v>
      </c>
      <c r="H12" s="129"/>
      <c r="I12" s="129"/>
      <c r="J12" s="37">
        <f t="shared" si="2"/>
        <v>0</v>
      </c>
      <c r="K12" s="37">
        <f t="shared" si="3"/>
        <v>0</v>
      </c>
      <c r="L12" s="37"/>
      <c r="M12" s="37">
        <f t="shared" si="0"/>
        <v>354228.03690000018</v>
      </c>
      <c r="N12" s="48"/>
    </row>
    <row r="13" spans="1:14">
      <c r="A13" s="26">
        <v>10</v>
      </c>
      <c r="B13" s="27">
        <v>46001</v>
      </c>
      <c r="C13" s="114">
        <v>0</v>
      </c>
      <c r="D13" s="128"/>
      <c r="E13" s="37">
        <v>2000</v>
      </c>
      <c r="F13" s="37">
        <v>91.52</v>
      </c>
      <c r="G13" s="37">
        <f t="shared" si="1"/>
        <v>183040</v>
      </c>
      <c r="H13" s="129">
        <v>140</v>
      </c>
      <c r="I13" s="129">
        <v>103.67</v>
      </c>
      <c r="J13" s="37">
        <f t="shared" si="2"/>
        <v>14513.800000000001</v>
      </c>
      <c r="K13" s="37">
        <f t="shared" si="3"/>
        <v>197553.8</v>
      </c>
      <c r="L13" s="37"/>
      <c r="M13" s="37">
        <f t="shared" si="0"/>
        <v>551781.83690000023</v>
      </c>
      <c r="N13" s="48"/>
    </row>
    <row r="14" spans="1:14">
      <c r="A14" s="26">
        <v>11</v>
      </c>
      <c r="B14" s="27">
        <v>46002</v>
      </c>
      <c r="C14" s="114">
        <v>0</v>
      </c>
      <c r="D14" s="128"/>
      <c r="E14" s="37"/>
      <c r="F14" s="37"/>
      <c r="G14" s="37">
        <f t="shared" si="1"/>
        <v>0</v>
      </c>
      <c r="H14" s="129"/>
      <c r="I14" s="129"/>
      <c r="J14" s="37">
        <f t="shared" si="2"/>
        <v>0</v>
      </c>
      <c r="K14" s="37">
        <f t="shared" si="3"/>
        <v>0</v>
      </c>
      <c r="L14" s="37"/>
      <c r="M14" s="37">
        <f t="shared" si="0"/>
        <v>551781.83690000023</v>
      </c>
      <c r="N14" s="48"/>
    </row>
    <row r="15" spans="1:14">
      <c r="A15" s="26">
        <v>12</v>
      </c>
      <c r="B15" s="27">
        <v>46003</v>
      </c>
      <c r="C15" s="114">
        <v>0</v>
      </c>
      <c r="D15" s="128"/>
      <c r="E15" s="37"/>
      <c r="F15" s="37"/>
      <c r="G15" s="37">
        <f t="shared" si="1"/>
        <v>0</v>
      </c>
      <c r="H15" s="129"/>
      <c r="I15" s="129"/>
      <c r="J15" s="37">
        <f t="shared" si="2"/>
        <v>0</v>
      </c>
      <c r="K15" s="37">
        <f t="shared" si="3"/>
        <v>0</v>
      </c>
      <c r="L15" s="37"/>
      <c r="M15" s="37">
        <f t="shared" si="0"/>
        <v>551781.83690000023</v>
      </c>
      <c r="N15" s="48"/>
    </row>
    <row r="16" spans="1:14">
      <c r="A16" s="26">
        <v>13</v>
      </c>
      <c r="B16" s="27">
        <v>46004</v>
      </c>
      <c r="C16" s="114">
        <v>0</v>
      </c>
      <c r="D16" s="128"/>
      <c r="E16" s="37"/>
      <c r="F16" s="37"/>
      <c r="G16" s="37">
        <f t="shared" si="1"/>
        <v>0</v>
      </c>
      <c r="H16" s="129"/>
      <c r="I16" s="129"/>
      <c r="J16" s="37">
        <f t="shared" si="2"/>
        <v>0</v>
      </c>
      <c r="K16" s="37">
        <f t="shared" si="3"/>
        <v>0</v>
      </c>
      <c r="L16" s="37"/>
      <c r="M16" s="37">
        <f t="shared" si="0"/>
        <v>551781.83690000023</v>
      </c>
      <c r="N16" s="48"/>
    </row>
    <row r="17" spans="1:14">
      <c r="A17" s="26">
        <v>14</v>
      </c>
      <c r="B17" s="27">
        <v>46005</v>
      </c>
      <c r="C17" s="114">
        <v>0</v>
      </c>
      <c r="D17" s="128"/>
      <c r="E17" s="37"/>
      <c r="F17" s="37"/>
      <c r="G17" s="37">
        <f t="shared" si="1"/>
        <v>0</v>
      </c>
      <c r="H17" s="129"/>
      <c r="I17" s="129"/>
      <c r="J17" s="37">
        <f t="shared" si="2"/>
        <v>0</v>
      </c>
      <c r="K17" s="37">
        <f t="shared" si="3"/>
        <v>0</v>
      </c>
      <c r="L17" s="37"/>
      <c r="M17" s="37">
        <f t="shared" si="0"/>
        <v>551781.83690000023</v>
      </c>
      <c r="N17" s="48"/>
    </row>
    <row r="18" spans="1:14">
      <c r="A18" s="26">
        <v>15</v>
      </c>
      <c r="B18" s="27">
        <v>46006</v>
      </c>
      <c r="C18" s="114">
        <v>0</v>
      </c>
      <c r="D18" s="128"/>
      <c r="E18" s="37"/>
      <c r="F18" s="37"/>
      <c r="G18" s="37">
        <f t="shared" si="1"/>
        <v>0</v>
      </c>
      <c r="H18" s="129"/>
      <c r="I18" s="129"/>
      <c r="J18" s="37">
        <f t="shared" si="2"/>
        <v>0</v>
      </c>
      <c r="K18" s="37">
        <f t="shared" si="3"/>
        <v>0</v>
      </c>
      <c r="L18" s="37">
        <v>551781.84</v>
      </c>
      <c r="M18" s="37">
        <f t="shared" si="0"/>
        <v>-3.0999997397884727E-3</v>
      </c>
      <c r="N18" s="48"/>
    </row>
    <row r="19" spans="1:14">
      <c r="A19" s="26">
        <v>16</v>
      </c>
      <c r="B19" s="27">
        <v>46007</v>
      </c>
      <c r="C19" s="114">
        <v>0</v>
      </c>
      <c r="D19" s="128"/>
      <c r="E19" s="37"/>
      <c r="F19" s="37"/>
      <c r="G19" s="37">
        <f t="shared" si="1"/>
        <v>0</v>
      </c>
      <c r="H19" s="129"/>
      <c r="I19" s="129"/>
      <c r="J19" s="37">
        <f t="shared" si="2"/>
        <v>0</v>
      </c>
      <c r="K19" s="37">
        <f t="shared" si="3"/>
        <v>0</v>
      </c>
      <c r="L19" s="37"/>
      <c r="M19" s="37">
        <f t="shared" si="0"/>
        <v>-3.0999997397884727E-3</v>
      </c>
      <c r="N19" s="48"/>
    </row>
    <row r="20" spans="1:14">
      <c r="A20" s="26">
        <v>17</v>
      </c>
      <c r="B20" s="27">
        <v>46008</v>
      </c>
      <c r="C20" s="114">
        <v>0</v>
      </c>
      <c r="D20" s="128"/>
      <c r="E20" s="37"/>
      <c r="F20" s="37"/>
      <c r="G20" s="37">
        <f t="shared" si="1"/>
        <v>0</v>
      </c>
      <c r="H20" s="129"/>
      <c r="I20" s="129"/>
      <c r="J20" s="37">
        <f t="shared" si="2"/>
        <v>0</v>
      </c>
      <c r="K20" s="37">
        <f t="shared" si="3"/>
        <v>0</v>
      </c>
      <c r="L20" s="37"/>
      <c r="M20" s="37">
        <f t="shared" si="0"/>
        <v>-3.0999997397884727E-3</v>
      </c>
      <c r="N20" s="48"/>
    </row>
    <row r="21" spans="1:14">
      <c r="A21" s="26">
        <v>18</v>
      </c>
      <c r="B21" s="27">
        <v>46009</v>
      </c>
      <c r="C21" s="114">
        <v>0</v>
      </c>
      <c r="D21" s="128"/>
      <c r="E21" s="37"/>
      <c r="F21" s="37"/>
      <c r="G21" s="37">
        <f t="shared" si="1"/>
        <v>0</v>
      </c>
      <c r="H21" s="129"/>
      <c r="I21" s="129"/>
      <c r="J21" s="37">
        <f t="shared" si="2"/>
        <v>0</v>
      </c>
      <c r="K21" s="37">
        <f t="shared" si="3"/>
        <v>0</v>
      </c>
      <c r="L21" s="37"/>
      <c r="M21" s="37">
        <f t="shared" si="0"/>
        <v>-3.0999997397884727E-3</v>
      </c>
      <c r="N21" s="48"/>
    </row>
    <row r="22" spans="1:14">
      <c r="A22" s="26">
        <v>19</v>
      </c>
      <c r="B22" s="27">
        <v>46010</v>
      </c>
      <c r="C22" s="114">
        <v>0</v>
      </c>
      <c r="D22" s="128"/>
      <c r="E22" s="37"/>
      <c r="F22" s="37"/>
      <c r="G22" s="37">
        <f t="shared" si="1"/>
        <v>0</v>
      </c>
      <c r="H22" s="129">
        <v>70</v>
      </c>
      <c r="I22" s="129">
        <v>103.67</v>
      </c>
      <c r="J22" s="37">
        <f t="shared" si="2"/>
        <v>7256.9000000000005</v>
      </c>
      <c r="K22" s="37">
        <f t="shared" si="3"/>
        <v>7256.9000000000005</v>
      </c>
      <c r="L22" s="37"/>
      <c r="M22" s="37">
        <f t="shared" si="0"/>
        <v>7256.8969000002608</v>
      </c>
      <c r="N22" s="48"/>
    </row>
    <row r="23" spans="1:14">
      <c r="A23" s="26">
        <v>20</v>
      </c>
      <c r="B23" s="27">
        <v>46011</v>
      </c>
      <c r="C23" s="114">
        <v>0</v>
      </c>
      <c r="D23" s="128"/>
      <c r="E23" s="37">
        <v>2000</v>
      </c>
      <c r="F23" s="37">
        <v>91.52</v>
      </c>
      <c r="G23" s="37">
        <f t="shared" si="1"/>
        <v>183040</v>
      </c>
      <c r="H23" s="129"/>
      <c r="I23" s="129"/>
      <c r="J23" s="37">
        <f t="shared" si="2"/>
        <v>0</v>
      </c>
      <c r="K23" s="37">
        <f t="shared" si="3"/>
        <v>183040</v>
      </c>
      <c r="L23" s="37"/>
      <c r="M23" s="37">
        <f t="shared" si="0"/>
        <v>190296.89690000025</v>
      </c>
      <c r="N23" s="48"/>
    </row>
    <row r="24" spans="1:14">
      <c r="A24" s="26">
        <v>21</v>
      </c>
      <c r="B24" s="27">
        <v>46012</v>
      </c>
      <c r="C24" s="114">
        <v>0</v>
      </c>
      <c r="D24" s="128"/>
      <c r="E24" s="37"/>
      <c r="F24" s="37"/>
      <c r="G24" s="37">
        <f t="shared" si="1"/>
        <v>0</v>
      </c>
      <c r="H24" s="129"/>
      <c r="I24" s="129"/>
      <c r="J24" s="37">
        <f t="shared" si="2"/>
        <v>0</v>
      </c>
      <c r="K24" s="37">
        <f t="shared" si="3"/>
        <v>0</v>
      </c>
      <c r="L24" s="37"/>
      <c r="M24" s="37">
        <f t="shared" si="0"/>
        <v>190296.89690000025</v>
      </c>
      <c r="N24" s="48"/>
    </row>
    <row r="25" spans="1:14">
      <c r="A25" s="26">
        <v>22</v>
      </c>
      <c r="B25" s="27">
        <v>46013</v>
      </c>
      <c r="C25" s="114">
        <v>0</v>
      </c>
      <c r="D25" s="128"/>
      <c r="E25" s="37"/>
      <c r="F25" s="37"/>
      <c r="G25" s="37">
        <f t="shared" si="1"/>
        <v>0</v>
      </c>
      <c r="H25" s="129"/>
      <c r="I25" s="129"/>
      <c r="J25" s="37">
        <f t="shared" si="2"/>
        <v>0</v>
      </c>
      <c r="K25" s="37">
        <f t="shared" si="3"/>
        <v>0</v>
      </c>
      <c r="L25" s="37"/>
      <c r="M25" s="37">
        <f t="shared" si="0"/>
        <v>190296.89690000025</v>
      </c>
      <c r="N25" s="48"/>
    </row>
    <row r="26" spans="1:14">
      <c r="A26" s="26">
        <v>23</v>
      </c>
      <c r="B26" s="27">
        <v>46014</v>
      </c>
      <c r="C26" s="114">
        <v>0</v>
      </c>
      <c r="D26" s="128"/>
      <c r="E26" s="37"/>
      <c r="F26" s="37"/>
      <c r="G26" s="37">
        <f t="shared" si="1"/>
        <v>0</v>
      </c>
      <c r="H26" s="129"/>
      <c r="I26" s="129"/>
      <c r="J26" s="37">
        <f t="shared" si="2"/>
        <v>0</v>
      </c>
      <c r="K26" s="37">
        <f t="shared" si="3"/>
        <v>0</v>
      </c>
      <c r="L26" s="37"/>
      <c r="M26" s="37">
        <f t="shared" si="0"/>
        <v>190296.89690000025</v>
      </c>
      <c r="N26" s="48"/>
    </row>
    <row r="27" spans="1:14">
      <c r="A27" s="26">
        <v>24</v>
      </c>
      <c r="B27" s="27">
        <v>46015</v>
      </c>
      <c r="C27" s="114">
        <v>0</v>
      </c>
      <c r="D27" s="128"/>
      <c r="E27" s="37"/>
      <c r="F27" s="37"/>
      <c r="G27" s="37">
        <f t="shared" si="1"/>
        <v>0</v>
      </c>
      <c r="H27" s="129"/>
      <c r="I27" s="129"/>
      <c r="J27" s="37">
        <f t="shared" si="2"/>
        <v>0</v>
      </c>
      <c r="K27" s="37">
        <f t="shared" si="3"/>
        <v>0</v>
      </c>
      <c r="L27" s="37"/>
      <c r="M27" s="37">
        <f t="shared" si="0"/>
        <v>190296.89690000025</v>
      </c>
      <c r="N27" s="48"/>
    </row>
    <row r="28" spans="1:14">
      <c r="A28" s="26">
        <v>25</v>
      </c>
      <c r="B28" s="27">
        <v>46016</v>
      </c>
      <c r="C28" s="114">
        <v>0</v>
      </c>
      <c r="D28" s="128"/>
      <c r="E28" s="37"/>
      <c r="F28" s="37"/>
      <c r="G28" s="37">
        <f t="shared" si="1"/>
        <v>0</v>
      </c>
      <c r="H28" s="129"/>
      <c r="I28" s="129"/>
      <c r="J28" s="37">
        <f t="shared" si="2"/>
        <v>0</v>
      </c>
      <c r="K28" s="37">
        <f t="shared" si="3"/>
        <v>0</v>
      </c>
      <c r="L28" s="37"/>
      <c r="M28" s="37">
        <f t="shared" si="0"/>
        <v>190296.89690000025</v>
      </c>
      <c r="N28" s="48"/>
    </row>
    <row r="29" spans="1:14">
      <c r="A29" s="26">
        <v>26</v>
      </c>
      <c r="B29" s="27">
        <v>46017</v>
      </c>
      <c r="C29" s="114">
        <v>0</v>
      </c>
      <c r="D29" s="128"/>
      <c r="E29" s="37"/>
      <c r="F29" s="37"/>
      <c r="G29" s="37">
        <f t="shared" si="1"/>
        <v>0</v>
      </c>
      <c r="H29" s="129">
        <v>70</v>
      </c>
      <c r="I29" s="129">
        <v>103.67</v>
      </c>
      <c r="J29" s="37">
        <f t="shared" si="2"/>
        <v>7256.9000000000005</v>
      </c>
      <c r="K29" s="37">
        <f t="shared" si="3"/>
        <v>7256.9000000000005</v>
      </c>
      <c r="L29" s="37"/>
      <c r="M29" s="37">
        <f t="shared" si="0"/>
        <v>197553.79690000025</v>
      </c>
      <c r="N29" s="48"/>
    </row>
    <row r="30" spans="1:14">
      <c r="A30" s="26">
        <v>27</v>
      </c>
      <c r="B30" s="27">
        <v>46018</v>
      </c>
      <c r="C30" s="114">
        <v>0</v>
      </c>
      <c r="D30" s="128"/>
      <c r="E30" s="37"/>
      <c r="F30" s="37"/>
      <c r="G30" s="37">
        <f t="shared" si="1"/>
        <v>0</v>
      </c>
      <c r="H30" s="129"/>
      <c r="I30" s="129"/>
      <c r="J30" s="37">
        <f t="shared" si="2"/>
        <v>0</v>
      </c>
      <c r="K30" s="37">
        <f t="shared" si="3"/>
        <v>0</v>
      </c>
      <c r="L30" s="37"/>
      <c r="M30" s="37">
        <f t="shared" si="0"/>
        <v>197553.79690000025</v>
      </c>
      <c r="N30" s="48"/>
    </row>
    <row r="31" spans="1:14">
      <c r="A31" s="26">
        <v>28</v>
      </c>
      <c r="B31" s="27">
        <v>46019</v>
      </c>
      <c r="C31" s="114">
        <v>0</v>
      </c>
      <c r="D31" s="128"/>
      <c r="E31" s="37"/>
      <c r="F31" s="37"/>
      <c r="G31" s="37">
        <f t="shared" si="1"/>
        <v>0</v>
      </c>
      <c r="H31" s="129"/>
      <c r="I31" s="129"/>
      <c r="J31" s="37">
        <f t="shared" si="2"/>
        <v>0</v>
      </c>
      <c r="K31" s="37">
        <f t="shared" si="3"/>
        <v>0</v>
      </c>
      <c r="L31" s="37"/>
      <c r="M31" s="37">
        <f t="shared" si="0"/>
        <v>197553.79690000025</v>
      </c>
      <c r="N31" s="48"/>
    </row>
    <row r="32" spans="1:14">
      <c r="A32" s="26">
        <v>29</v>
      </c>
      <c r="B32" s="27">
        <v>46020</v>
      </c>
      <c r="C32" s="114">
        <v>0</v>
      </c>
      <c r="D32" s="128"/>
      <c r="E32" s="37"/>
      <c r="F32" s="37"/>
      <c r="G32" s="37">
        <f t="shared" si="1"/>
        <v>0</v>
      </c>
      <c r="H32" s="129"/>
      <c r="I32" s="129"/>
      <c r="J32" s="37">
        <f t="shared" si="2"/>
        <v>0</v>
      </c>
      <c r="K32" s="37">
        <f t="shared" si="3"/>
        <v>0</v>
      </c>
      <c r="L32" s="37"/>
      <c r="M32" s="37">
        <f t="shared" si="0"/>
        <v>197553.79690000025</v>
      </c>
      <c r="N32" s="48"/>
    </row>
    <row r="33" spans="1:14">
      <c r="A33" s="26">
        <v>30</v>
      </c>
      <c r="B33" s="27">
        <v>46021</v>
      </c>
      <c r="C33" s="114">
        <v>0</v>
      </c>
      <c r="D33" s="128"/>
      <c r="E33" s="37"/>
      <c r="F33" s="37"/>
      <c r="G33" s="37">
        <f t="shared" si="1"/>
        <v>0</v>
      </c>
      <c r="H33" s="129"/>
      <c r="I33" s="129"/>
      <c r="J33" s="37">
        <f t="shared" si="2"/>
        <v>0</v>
      </c>
      <c r="K33" s="37">
        <f t="shared" si="3"/>
        <v>0</v>
      </c>
      <c r="L33" s="37">
        <v>0</v>
      </c>
      <c r="M33" s="37">
        <f t="shared" si="0"/>
        <v>197553.79690000025</v>
      </c>
      <c r="N33" s="48"/>
    </row>
    <row r="34" spans="1:14">
      <c r="A34" s="26">
        <v>31</v>
      </c>
      <c r="B34" s="27">
        <v>46022</v>
      </c>
      <c r="C34" s="114"/>
      <c r="D34" s="128"/>
      <c r="E34" s="37"/>
      <c r="F34" s="37"/>
      <c r="G34" s="37"/>
      <c r="H34" s="129"/>
      <c r="I34" s="129"/>
      <c r="J34" s="37"/>
      <c r="K34" s="37"/>
      <c r="L34" s="37"/>
      <c r="M34" s="37"/>
      <c r="N34" s="48"/>
    </row>
    <row r="35" spans="1:14">
      <c r="A35" s="46"/>
      <c r="B35" s="46"/>
      <c r="C35" s="46"/>
      <c r="D35" s="46"/>
      <c r="E35" s="47">
        <f>SUM(E4:E34)</f>
        <v>4000</v>
      </c>
      <c r="F35" s="47"/>
      <c r="G35" s="47">
        <f>SUM(G4:G34)</f>
        <v>366080</v>
      </c>
      <c r="H35" s="47">
        <f>SUM(H4:H34)</f>
        <v>280</v>
      </c>
      <c r="I35" s="47"/>
      <c r="J35" s="47">
        <f>SUM(J4:J34)</f>
        <v>29027.600000000002</v>
      </c>
      <c r="K35" s="47">
        <f>SUM(K4:K34)</f>
        <v>395107.6</v>
      </c>
      <c r="L35" s="47">
        <f>SUM(L4:L34)</f>
        <v>551781.84</v>
      </c>
      <c r="M35" s="47"/>
      <c r="N35" s="47"/>
    </row>
  </sheetData>
  <mergeCells count="2">
    <mergeCell ref="A1:N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21" activePane="bottomLeft" state="frozen"/>
      <selection pane="bottomLeft" activeCell="M32" sqref="M32"/>
    </sheetView>
  </sheetViews>
  <sheetFormatPr defaultColWidth="9.28515625" defaultRowHeight="15"/>
  <cols>
    <col min="1" max="1" width="5.42578125" style="57" bestFit="1" customWidth="1"/>
    <col min="2" max="2" width="11" style="57" bestFit="1" customWidth="1"/>
    <col min="3" max="3" width="7.140625" style="57" bestFit="1" customWidth="1"/>
    <col min="4" max="4" width="15.140625" style="57" bestFit="1" customWidth="1"/>
    <col min="5" max="5" width="9.28515625" style="57"/>
    <col min="6" max="6" width="9.85546875" style="57" bestFit="1" customWidth="1"/>
    <col min="7" max="7" width="10.42578125" style="57" bestFit="1" customWidth="1"/>
    <col min="8" max="8" width="9.28515625" style="57"/>
    <col min="9" max="9" width="7.140625" style="57" bestFit="1" customWidth="1"/>
    <col min="10" max="10" width="9.5703125" style="57" bestFit="1" customWidth="1"/>
    <col min="11" max="11" width="12.28515625" style="57" customWidth="1"/>
    <col min="12" max="12" width="11.7109375" style="57" bestFit="1" customWidth="1"/>
    <col min="13" max="13" width="11.7109375" style="57" customWidth="1"/>
    <col min="14" max="14" width="17.7109375" style="57" bestFit="1" customWidth="1"/>
    <col min="15" max="16384" width="9.28515625" style="57"/>
  </cols>
  <sheetData>
    <row r="1" spans="1:15" ht="15.75">
      <c r="A1" s="478" t="s">
        <v>44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</row>
    <row r="2" spans="1:15" ht="25.5">
      <c r="A2" s="93" t="s">
        <v>122</v>
      </c>
      <c r="B2" s="94" t="s">
        <v>123</v>
      </c>
      <c r="C2" s="94" t="s">
        <v>124</v>
      </c>
      <c r="D2" s="94" t="s">
        <v>125</v>
      </c>
      <c r="E2" s="94" t="s">
        <v>126</v>
      </c>
      <c r="F2" s="94" t="s">
        <v>127</v>
      </c>
      <c r="G2" s="94" t="s">
        <v>128</v>
      </c>
      <c r="H2" s="94" t="s">
        <v>129</v>
      </c>
      <c r="I2" s="94" t="s">
        <v>127</v>
      </c>
      <c r="J2" s="119" t="s">
        <v>128</v>
      </c>
      <c r="K2" s="121" t="s">
        <v>130</v>
      </c>
      <c r="L2" s="122" t="s">
        <v>131</v>
      </c>
      <c r="M2" s="123" t="s">
        <v>138</v>
      </c>
      <c r="N2" s="95" t="s">
        <v>133</v>
      </c>
      <c r="O2" s="33"/>
    </row>
    <row r="3" spans="1:15" ht="15.75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4"/>
      <c r="K3" s="58">
        <v>385911.60000000003</v>
      </c>
      <c r="L3" s="130"/>
      <c r="M3" s="127">
        <f>+K3</f>
        <v>385911.60000000003</v>
      </c>
      <c r="N3" s="56"/>
    </row>
    <row r="4" spans="1:15" ht="15.75">
      <c r="A4" s="26">
        <v>1</v>
      </c>
      <c r="B4" s="27">
        <v>45992</v>
      </c>
      <c r="C4" s="125"/>
      <c r="D4" s="126"/>
      <c r="E4" s="85"/>
      <c r="F4" s="124"/>
      <c r="G4" s="124">
        <f>E4*F4</f>
        <v>0</v>
      </c>
      <c r="H4" s="124"/>
      <c r="I4" s="124"/>
      <c r="J4" s="124">
        <f>H4*I4</f>
        <v>0</v>
      </c>
      <c r="K4" s="124">
        <f>G4+J4</f>
        <v>0</v>
      </c>
      <c r="L4" s="124"/>
      <c r="M4" s="130">
        <f>M3+K4-L4</f>
        <v>385911.60000000003</v>
      </c>
      <c r="N4" s="124"/>
    </row>
    <row r="5" spans="1:15" ht="15.75">
      <c r="A5" s="26">
        <v>2</v>
      </c>
      <c r="B5" s="27">
        <v>45993</v>
      </c>
      <c r="C5" s="23"/>
      <c r="D5" s="24"/>
      <c r="E5" s="85"/>
      <c r="F5" s="124"/>
      <c r="G5" s="124">
        <f t="shared" ref="G5:G33" si="0">E5*F5</f>
        <v>0</v>
      </c>
      <c r="H5" s="124"/>
      <c r="I5" s="124"/>
      <c r="J5" s="124">
        <f t="shared" ref="J5:J33" si="1">H5*I5</f>
        <v>0</v>
      </c>
      <c r="K5" s="124">
        <f t="shared" ref="K5:K33" si="2">G5+J5</f>
        <v>0</v>
      </c>
      <c r="L5" s="124"/>
      <c r="M5" s="130">
        <f>M4+K5-L5</f>
        <v>385911.60000000003</v>
      </c>
      <c r="N5" s="48"/>
    </row>
    <row r="6" spans="1:15" ht="18.75" customHeight="1">
      <c r="A6" s="26">
        <v>3</v>
      </c>
      <c r="B6" s="27">
        <v>45994</v>
      </c>
      <c r="C6" s="220"/>
      <c r="D6" s="199"/>
      <c r="E6" s="85"/>
      <c r="F6" s="124"/>
      <c r="G6" s="124">
        <f t="shared" si="0"/>
        <v>0</v>
      </c>
      <c r="H6" s="124"/>
      <c r="I6" s="124"/>
      <c r="J6" s="124">
        <f t="shared" si="1"/>
        <v>0</v>
      </c>
      <c r="K6" s="124">
        <f t="shared" si="2"/>
        <v>0</v>
      </c>
      <c r="L6" s="124"/>
      <c r="M6" s="130">
        <f>M5+K6-L6</f>
        <v>385911.60000000003</v>
      </c>
      <c r="N6" s="56"/>
    </row>
    <row r="7" spans="1:15" ht="15.75">
      <c r="A7" s="26">
        <v>4</v>
      </c>
      <c r="B7" s="27">
        <v>45995</v>
      </c>
      <c r="C7" s="218"/>
      <c r="D7" s="219"/>
      <c r="E7" s="85"/>
      <c r="F7" s="124"/>
      <c r="G7" s="124">
        <f t="shared" ref="G7" si="3">E7*F7</f>
        <v>0</v>
      </c>
      <c r="H7" s="124"/>
      <c r="I7" s="124"/>
      <c r="J7" s="124">
        <f t="shared" ref="J7" si="4">H7*I7</f>
        <v>0</v>
      </c>
      <c r="K7" s="124">
        <f t="shared" ref="K7" si="5">G7+J7</f>
        <v>0</v>
      </c>
      <c r="L7" s="124"/>
      <c r="M7" s="130">
        <f>M6+K7-L7</f>
        <v>385911.60000000003</v>
      </c>
      <c r="N7" s="48"/>
    </row>
    <row r="8" spans="1:15" ht="15.75" customHeight="1">
      <c r="A8" s="26">
        <v>5</v>
      </c>
      <c r="B8" s="27">
        <v>45996</v>
      </c>
      <c r="C8" s="124"/>
      <c r="D8" s="124"/>
      <c r="E8" s="85"/>
      <c r="F8" s="124"/>
      <c r="G8" s="124">
        <f t="shared" si="0"/>
        <v>0</v>
      </c>
      <c r="H8" s="124"/>
      <c r="I8" s="124"/>
      <c r="J8" s="124">
        <f t="shared" si="1"/>
        <v>0</v>
      </c>
      <c r="K8" s="124">
        <f t="shared" si="2"/>
        <v>0</v>
      </c>
      <c r="L8" s="124"/>
      <c r="M8" s="130">
        <f t="shared" ref="M8:M34" si="6">M7+K8-L8</f>
        <v>385911.60000000003</v>
      </c>
      <c r="N8" s="56"/>
    </row>
    <row r="9" spans="1:15" ht="15.75" customHeight="1">
      <c r="A9" s="26">
        <v>6</v>
      </c>
      <c r="B9" s="27">
        <v>45997</v>
      </c>
      <c r="C9" s="56"/>
      <c r="D9" s="124"/>
      <c r="E9" s="85"/>
      <c r="F9" s="124"/>
      <c r="G9" s="124">
        <f t="shared" si="0"/>
        <v>0</v>
      </c>
      <c r="H9" s="124"/>
      <c r="I9" s="124"/>
      <c r="J9" s="124">
        <f t="shared" si="1"/>
        <v>0</v>
      </c>
      <c r="K9" s="124">
        <f t="shared" si="2"/>
        <v>0</v>
      </c>
      <c r="L9" s="124"/>
      <c r="M9" s="130">
        <f t="shared" si="6"/>
        <v>385911.60000000003</v>
      </c>
      <c r="N9" s="56"/>
    </row>
    <row r="10" spans="1:15" ht="15.75" customHeight="1">
      <c r="A10" s="26">
        <v>7</v>
      </c>
      <c r="B10" s="27">
        <v>45998</v>
      </c>
      <c r="C10" s="56"/>
      <c r="D10" s="124"/>
      <c r="E10" s="85"/>
      <c r="F10" s="124"/>
      <c r="G10" s="124">
        <f t="shared" si="0"/>
        <v>0</v>
      </c>
      <c r="H10" s="124"/>
      <c r="I10" s="124"/>
      <c r="J10" s="124">
        <f t="shared" si="1"/>
        <v>0</v>
      </c>
      <c r="K10" s="124">
        <f t="shared" si="2"/>
        <v>0</v>
      </c>
      <c r="L10" s="124"/>
      <c r="M10" s="130">
        <f t="shared" si="6"/>
        <v>385911.60000000003</v>
      </c>
      <c r="N10" s="56"/>
    </row>
    <row r="11" spans="1:15" ht="15.75" customHeight="1">
      <c r="A11" s="26">
        <v>8</v>
      </c>
      <c r="B11" s="27">
        <v>45999</v>
      </c>
      <c r="C11" s="56"/>
      <c r="D11" s="124"/>
      <c r="E11" s="85"/>
      <c r="F11" s="124"/>
      <c r="G11" s="124">
        <f t="shared" si="0"/>
        <v>0</v>
      </c>
      <c r="H11" s="124"/>
      <c r="I11" s="124"/>
      <c r="J11" s="124">
        <f t="shared" si="1"/>
        <v>0</v>
      </c>
      <c r="K11" s="124">
        <f t="shared" si="2"/>
        <v>0</v>
      </c>
      <c r="L11" s="124"/>
      <c r="M11" s="130">
        <f t="shared" si="6"/>
        <v>385911.60000000003</v>
      </c>
      <c r="N11" s="56"/>
    </row>
    <row r="12" spans="1:15" ht="15.75" customHeight="1">
      <c r="A12" s="26">
        <v>9</v>
      </c>
      <c r="B12" s="27">
        <v>46000</v>
      </c>
      <c r="C12" s="56"/>
      <c r="D12" s="124"/>
      <c r="E12" s="85"/>
      <c r="F12" s="124"/>
      <c r="G12" s="124">
        <f t="shared" si="0"/>
        <v>0</v>
      </c>
      <c r="H12" s="124"/>
      <c r="I12" s="124"/>
      <c r="J12" s="124">
        <f t="shared" si="1"/>
        <v>0</v>
      </c>
      <c r="K12" s="124">
        <f t="shared" si="2"/>
        <v>0</v>
      </c>
      <c r="L12" s="124"/>
      <c r="M12" s="130">
        <f t="shared" si="6"/>
        <v>385911.60000000003</v>
      </c>
      <c r="N12" s="56"/>
    </row>
    <row r="13" spans="1:15" ht="15.75" customHeight="1">
      <c r="A13" s="26">
        <v>10</v>
      </c>
      <c r="B13" s="27">
        <v>46001</v>
      </c>
      <c r="C13" s="56"/>
      <c r="D13" s="124"/>
      <c r="E13" s="85"/>
      <c r="F13" s="124"/>
      <c r="G13" s="124">
        <f t="shared" si="0"/>
        <v>0</v>
      </c>
      <c r="H13" s="124"/>
      <c r="I13" s="124"/>
      <c r="J13" s="124">
        <f t="shared" si="1"/>
        <v>0</v>
      </c>
      <c r="K13" s="124">
        <f t="shared" si="2"/>
        <v>0</v>
      </c>
      <c r="L13" s="124"/>
      <c r="M13" s="130">
        <f t="shared" si="6"/>
        <v>385911.60000000003</v>
      </c>
      <c r="N13" s="56"/>
    </row>
    <row r="14" spans="1:15" ht="15.75" customHeight="1">
      <c r="A14" s="26">
        <v>11</v>
      </c>
      <c r="B14" s="27">
        <v>46002</v>
      </c>
      <c r="C14" s="56"/>
      <c r="D14" s="124"/>
      <c r="E14" s="85"/>
      <c r="F14" s="124"/>
      <c r="G14" s="124">
        <f t="shared" si="0"/>
        <v>0</v>
      </c>
      <c r="H14" s="124"/>
      <c r="I14" s="124"/>
      <c r="J14" s="124">
        <f t="shared" si="1"/>
        <v>0</v>
      </c>
      <c r="K14" s="124">
        <f t="shared" si="2"/>
        <v>0</v>
      </c>
      <c r="L14" s="124"/>
      <c r="M14" s="130">
        <f t="shared" si="6"/>
        <v>385911.60000000003</v>
      </c>
      <c r="N14" s="56"/>
    </row>
    <row r="15" spans="1:15" ht="15.75" customHeight="1">
      <c r="A15" s="26">
        <v>12</v>
      </c>
      <c r="B15" s="27">
        <v>46003</v>
      </c>
      <c r="C15" s="56"/>
      <c r="D15" s="124"/>
      <c r="E15" s="85"/>
      <c r="F15" s="124"/>
      <c r="G15" s="124">
        <f t="shared" si="0"/>
        <v>0</v>
      </c>
      <c r="H15" s="124"/>
      <c r="I15" s="124"/>
      <c r="J15" s="124">
        <f t="shared" si="1"/>
        <v>0</v>
      </c>
      <c r="K15" s="124">
        <f t="shared" si="2"/>
        <v>0</v>
      </c>
      <c r="L15" s="124"/>
      <c r="M15" s="130">
        <f t="shared" si="6"/>
        <v>385911.60000000003</v>
      </c>
      <c r="N15" s="56"/>
    </row>
    <row r="16" spans="1:15" ht="15.75" customHeight="1">
      <c r="A16" s="26">
        <v>13</v>
      </c>
      <c r="B16" s="27">
        <v>46004</v>
      </c>
      <c r="C16" s="56"/>
      <c r="D16" s="124"/>
      <c r="E16" s="85"/>
      <c r="F16" s="124"/>
      <c r="G16" s="124">
        <f t="shared" si="0"/>
        <v>0</v>
      </c>
      <c r="H16" s="124"/>
      <c r="I16" s="124"/>
      <c r="J16" s="124">
        <f t="shared" si="1"/>
        <v>0</v>
      </c>
      <c r="K16" s="124">
        <f t="shared" si="2"/>
        <v>0</v>
      </c>
      <c r="L16" s="124">
        <v>250000</v>
      </c>
      <c r="M16" s="130">
        <f t="shared" si="6"/>
        <v>135911.60000000003</v>
      </c>
      <c r="N16" s="56"/>
    </row>
    <row r="17" spans="1:14" ht="15.75" customHeight="1">
      <c r="A17" s="26">
        <v>14</v>
      </c>
      <c r="B17" s="27">
        <v>46005</v>
      </c>
      <c r="C17" s="56"/>
      <c r="D17" s="124"/>
      <c r="E17" s="85"/>
      <c r="F17" s="124"/>
      <c r="G17" s="124">
        <f t="shared" si="0"/>
        <v>0</v>
      </c>
      <c r="H17" s="124"/>
      <c r="I17" s="124"/>
      <c r="J17" s="124">
        <f t="shared" si="1"/>
        <v>0</v>
      </c>
      <c r="K17" s="124">
        <f t="shared" si="2"/>
        <v>0</v>
      </c>
      <c r="L17" s="124"/>
      <c r="M17" s="130">
        <f t="shared" si="6"/>
        <v>135911.60000000003</v>
      </c>
      <c r="N17" s="56"/>
    </row>
    <row r="18" spans="1:14" ht="15.75" customHeight="1">
      <c r="A18" s="26">
        <v>15</v>
      </c>
      <c r="B18" s="27">
        <v>46006</v>
      </c>
      <c r="C18" s="56"/>
      <c r="D18" s="124"/>
      <c r="E18" s="85">
        <v>2300</v>
      </c>
      <c r="F18" s="124">
        <v>92.23</v>
      </c>
      <c r="G18" s="124">
        <f t="shared" si="0"/>
        <v>212129</v>
      </c>
      <c r="H18" s="124">
        <v>35</v>
      </c>
      <c r="I18" s="124">
        <v>104.08</v>
      </c>
      <c r="J18" s="124">
        <f t="shared" si="1"/>
        <v>3642.7999999999997</v>
      </c>
      <c r="K18" s="124">
        <f t="shared" si="2"/>
        <v>215771.8</v>
      </c>
      <c r="L18" s="124">
        <v>135912</v>
      </c>
      <c r="M18" s="130">
        <f t="shared" si="6"/>
        <v>215771.40000000002</v>
      </c>
      <c r="N18" s="56"/>
    </row>
    <row r="19" spans="1:14" ht="15.75" customHeight="1">
      <c r="A19" s="26">
        <v>16</v>
      </c>
      <c r="B19" s="27">
        <v>46007</v>
      </c>
      <c r="C19" s="56"/>
      <c r="D19" s="124"/>
      <c r="E19" s="85"/>
      <c r="F19" s="124"/>
      <c r="G19" s="124">
        <f t="shared" si="0"/>
        <v>0</v>
      </c>
      <c r="H19" s="124"/>
      <c r="I19" s="124"/>
      <c r="J19" s="124">
        <f t="shared" si="1"/>
        <v>0</v>
      </c>
      <c r="K19" s="124">
        <f t="shared" si="2"/>
        <v>0</v>
      </c>
      <c r="L19" s="124"/>
      <c r="M19" s="130">
        <f t="shared" si="6"/>
        <v>215771.40000000002</v>
      </c>
      <c r="N19" s="56"/>
    </row>
    <row r="20" spans="1:14" ht="15.75" customHeight="1">
      <c r="A20" s="26">
        <v>17</v>
      </c>
      <c r="B20" s="27">
        <v>46008</v>
      </c>
      <c r="C20" s="56"/>
      <c r="D20" s="124"/>
      <c r="E20" s="85"/>
      <c r="F20" s="124"/>
      <c r="G20" s="124">
        <f t="shared" si="0"/>
        <v>0</v>
      </c>
      <c r="H20" s="124"/>
      <c r="I20" s="124"/>
      <c r="J20" s="124">
        <f t="shared" si="1"/>
        <v>0</v>
      </c>
      <c r="K20" s="124">
        <f t="shared" si="2"/>
        <v>0</v>
      </c>
      <c r="L20" s="124"/>
      <c r="M20" s="130">
        <f t="shared" si="6"/>
        <v>215771.40000000002</v>
      </c>
      <c r="N20" s="56"/>
    </row>
    <row r="21" spans="1:14" ht="15.75" customHeight="1">
      <c r="A21" s="26">
        <v>18</v>
      </c>
      <c r="B21" s="27">
        <v>46009</v>
      </c>
      <c r="C21" s="56"/>
      <c r="D21" s="124"/>
      <c r="E21" s="85"/>
      <c r="F21" s="124"/>
      <c r="G21" s="124">
        <f t="shared" si="0"/>
        <v>0</v>
      </c>
      <c r="H21" s="124"/>
      <c r="I21" s="124"/>
      <c r="J21" s="124">
        <f t="shared" si="1"/>
        <v>0</v>
      </c>
      <c r="K21" s="124">
        <f t="shared" si="2"/>
        <v>0</v>
      </c>
      <c r="L21" s="124"/>
      <c r="M21" s="130">
        <f t="shared" si="6"/>
        <v>215771.40000000002</v>
      </c>
      <c r="N21" s="56"/>
    </row>
    <row r="22" spans="1:14" ht="15.75" customHeight="1">
      <c r="A22" s="26">
        <v>19</v>
      </c>
      <c r="B22" s="27">
        <v>46010</v>
      </c>
      <c r="C22" s="56"/>
      <c r="D22" s="124"/>
      <c r="E22" s="85"/>
      <c r="F22" s="124"/>
      <c r="G22" s="124">
        <f t="shared" si="0"/>
        <v>0</v>
      </c>
      <c r="H22" s="124"/>
      <c r="I22" s="124"/>
      <c r="J22" s="124">
        <f t="shared" si="1"/>
        <v>0</v>
      </c>
      <c r="K22" s="124">
        <f t="shared" si="2"/>
        <v>0</v>
      </c>
      <c r="L22" s="124"/>
      <c r="M22" s="130">
        <f t="shared" si="6"/>
        <v>215771.40000000002</v>
      </c>
      <c r="N22" s="56"/>
    </row>
    <row r="23" spans="1:14" ht="15.75" customHeight="1">
      <c r="A23" s="26">
        <v>20</v>
      </c>
      <c r="B23" s="27">
        <v>46011</v>
      </c>
      <c r="C23" s="56"/>
      <c r="D23" s="124"/>
      <c r="E23" s="85"/>
      <c r="F23" s="124"/>
      <c r="G23" s="124">
        <f t="shared" si="0"/>
        <v>0</v>
      </c>
      <c r="H23" s="124"/>
      <c r="I23" s="124"/>
      <c r="J23" s="124">
        <f t="shared" si="1"/>
        <v>0</v>
      </c>
      <c r="K23" s="124">
        <f t="shared" si="2"/>
        <v>0</v>
      </c>
      <c r="L23" s="124"/>
      <c r="M23" s="130">
        <f t="shared" si="6"/>
        <v>215771.40000000002</v>
      </c>
      <c r="N23" s="56"/>
    </row>
    <row r="24" spans="1:14" ht="15.75" customHeight="1">
      <c r="A24" s="26">
        <v>21</v>
      </c>
      <c r="B24" s="27">
        <v>46012</v>
      </c>
      <c r="C24" s="56"/>
      <c r="D24" s="124"/>
      <c r="E24" s="85"/>
      <c r="F24" s="124"/>
      <c r="G24" s="124">
        <f t="shared" si="0"/>
        <v>0</v>
      </c>
      <c r="H24" s="124"/>
      <c r="I24" s="124"/>
      <c r="J24" s="124">
        <f t="shared" si="1"/>
        <v>0</v>
      </c>
      <c r="K24" s="124">
        <f t="shared" si="2"/>
        <v>0</v>
      </c>
      <c r="L24" s="124"/>
      <c r="M24" s="130">
        <f t="shared" si="6"/>
        <v>215771.40000000002</v>
      </c>
      <c r="N24" s="56"/>
    </row>
    <row r="25" spans="1:14" ht="15.75" customHeight="1">
      <c r="A25" s="26">
        <v>22</v>
      </c>
      <c r="B25" s="27">
        <v>46013</v>
      </c>
      <c r="C25" s="56"/>
      <c r="D25" s="124"/>
      <c r="E25" s="85"/>
      <c r="F25" s="124"/>
      <c r="G25" s="124">
        <f t="shared" si="0"/>
        <v>0</v>
      </c>
      <c r="H25" s="124"/>
      <c r="I25" s="124"/>
      <c r="J25" s="124">
        <f t="shared" si="1"/>
        <v>0</v>
      </c>
      <c r="K25" s="124">
        <f t="shared" si="2"/>
        <v>0</v>
      </c>
      <c r="L25" s="124"/>
      <c r="M25" s="130">
        <f t="shared" si="6"/>
        <v>215771.40000000002</v>
      </c>
      <c r="N25" s="56"/>
    </row>
    <row r="26" spans="1:14" ht="15.75" customHeight="1">
      <c r="A26" s="26">
        <v>23</v>
      </c>
      <c r="B26" s="27">
        <v>46014</v>
      </c>
      <c r="C26" s="56"/>
      <c r="D26" s="124"/>
      <c r="E26" s="85"/>
      <c r="F26" s="124"/>
      <c r="G26" s="124">
        <f t="shared" si="0"/>
        <v>0</v>
      </c>
      <c r="H26" s="124">
        <v>70</v>
      </c>
      <c r="I26" s="124">
        <v>104.08</v>
      </c>
      <c r="J26" s="124">
        <f t="shared" si="1"/>
        <v>7285.5999999999995</v>
      </c>
      <c r="K26" s="124">
        <f t="shared" si="2"/>
        <v>7285.5999999999995</v>
      </c>
      <c r="L26" s="124"/>
      <c r="M26" s="130">
        <f t="shared" si="6"/>
        <v>223057.00000000003</v>
      </c>
      <c r="N26" s="56"/>
    </row>
    <row r="27" spans="1:14" ht="15.75" customHeight="1">
      <c r="A27" s="26">
        <v>24</v>
      </c>
      <c r="B27" s="27">
        <v>46015</v>
      </c>
      <c r="C27" s="56"/>
      <c r="D27" s="124"/>
      <c r="E27" s="85"/>
      <c r="F27" s="124"/>
      <c r="G27" s="124">
        <f t="shared" si="0"/>
        <v>0</v>
      </c>
      <c r="H27" s="124"/>
      <c r="I27" s="124"/>
      <c r="J27" s="124">
        <f t="shared" si="1"/>
        <v>0</v>
      </c>
      <c r="K27" s="124">
        <f t="shared" si="2"/>
        <v>0</v>
      </c>
      <c r="L27" s="124"/>
      <c r="M27" s="130">
        <f t="shared" si="6"/>
        <v>223057.00000000003</v>
      </c>
      <c r="N27" s="56"/>
    </row>
    <row r="28" spans="1:14" ht="15.75" customHeight="1">
      <c r="A28" s="26">
        <v>25</v>
      </c>
      <c r="B28" s="27">
        <v>46016</v>
      </c>
      <c r="C28" s="56"/>
      <c r="D28" s="124"/>
      <c r="E28" s="85"/>
      <c r="F28" s="124"/>
      <c r="G28" s="124">
        <f t="shared" si="0"/>
        <v>0</v>
      </c>
      <c r="H28" s="124"/>
      <c r="I28" s="124"/>
      <c r="J28" s="124">
        <f t="shared" si="1"/>
        <v>0</v>
      </c>
      <c r="K28" s="124">
        <f t="shared" si="2"/>
        <v>0</v>
      </c>
      <c r="L28" s="124"/>
      <c r="M28" s="130">
        <f t="shared" si="6"/>
        <v>223057.00000000003</v>
      </c>
      <c r="N28" s="56"/>
    </row>
    <row r="29" spans="1:14" ht="15.75" customHeight="1">
      <c r="A29" s="26">
        <v>26</v>
      </c>
      <c r="B29" s="27">
        <v>46017</v>
      </c>
      <c r="C29" s="56"/>
      <c r="D29" s="124"/>
      <c r="E29" s="85"/>
      <c r="F29" s="124"/>
      <c r="G29" s="124">
        <f t="shared" si="0"/>
        <v>0</v>
      </c>
      <c r="H29" s="124"/>
      <c r="I29" s="124"/>
      <c r="J29" s="124">
        <f t="shared" si="1"/>
        <v>0</v>
      </c>
      <c r="K29" s="124">
        <f t="shared" si="2"/>
        <v>0</v>
      </c>
      <c r="L29" s="124"/>
      <c r="M29" s="130">
        <f t="shared" si="6"/>
        <v>223057.00000000003</v>
      </c>
      <c r="N29" s="56"/>
    </row>
    <row r="30" spans="1:14" ht="15.75" customHeight="1">
      <c r="A30" s="26">
        <v>27</v>
      </c>
      <c r="B30" s="27">
        <v>46018</v>
      </c>
      <c r="C30" s="56"/>
      <c r="D30" s="124"/>
      <c r="E30" s="85">
        <v>2300</v>
      </c>
      <c r="F30" s="124">
        <v>92.23</v>
      </c>
      <c r="G30" s="124">
        <f t="shared" si="0"/>
        <v>212129</v>
      </c>
      <c r="H30" s="124">
        <v>35</v>
      </c>
      <c r="I30" s="124">
        <v>104.08</v>
      </c>
      <c r="J30" s="124">
        <f t="shared" si="1"/>
        <v>3642.7999999999997</v>
      </c>
      <c r="K30" s="124">
        <f t="shared" si="2"/>
        <v>215771.8</v>
      </c>
      <c r="L30" s="124"/>
      <c r="M30" s="130">
        <f t="shared" si="6"/>
        <v>438828.80000000005</v>
      </c>
      <c r="N30" s="56"/>
    </row>
    <row r="31" spans="1:14" ht="15.75" customHeight="1">
      <c r="A31" s="26">
        <v>28</v>
      </c>
      <c r="B31" s="27">
        <v>46019</v>
      </c>
      <c r="C31" s="56"/>
      <c r="D31" s="124"/>
      <c r="E31" s="85"/>
      <c r="F31" s="124"/>
      <c r="G31" s="124">
        <f t="shared" si="0"/>
        <v>0</v>
      </c>
      <c r="H31" s="124"/>
      <c r="I31" s="124"/>
      <c r="J31" s="124">
        <f t="shared" si="1"/>
        <v>0</v>
      </c>
      <c r="K31" s="124">
        <f t="shared" si="2"/>
        <v>0</v>
      </c>
      <c r="L31" s="124"/>
      <c r="M31" s="130">
        <f t="shared" si="6"/>
        <v>438828.80000000005</v>
      </c>
      <c r="N31" s="56"/>
    </row>
    <row r="32" spans="1:14" ht="15.75" customHeight="1">
      <c r="A32" s="26">
        <v>29</v>
      </c>
      <c r="B32" s="27">
        <v>46020</v>
      </c>
      <c r="C32" s="56"/>
      <c r="D32" s="124"/>
      <c r="E32" s="85"/>
      <c r="F32" s="124"/>
      <c r="G32" s="124">
        <f t="shared" si="0"/>
        <v>0</v>
      </c>
      <c r="H32" s="124"/>
      <c r="I32" s="124"/>
      <c r="J32" s="124">
        <f t="shared" si="1"/>
        <v>0</v>
      </c>
      <c r="K32" s="124">
        <f t="shared" si="2"/>
        <v>0</v>
      </c>
      <c r="L32" s="124"/>
      <c r="M32" s="130">
        <f t="shared" si="6"/>
        <v>438828.80000000005</v>
      </c>
      <c r="N32" s="56"/>
    </row>
    <row r="33" spans="1:15" ht="15.75" customHeight="1">
      <c r="A33" s="26">
        <v>30</v>
      </c>
      <c r="B33" s="27">
        <v>46021</v>
      </c>
      <c r="C33" s="56"/>
      <c r="D33" s="124"/>
      <c r="E33" s="85"/>
      <c r="F33" s="124"/>
      <c r="G33" s="124">
        <f t="shared" si="0"/>
        <v>0</v>
      </c>
      <c r="H33" s="124"/>
      <c r="I33" s="124"/>
      <c r="J33" s="124">
        <f t="shared" si="1"/>
        <v>0</v>
      </c>
      <c r="K33" s="124">
        <f t="shared" si="2"/>
        <v>0</v>
      </c>
      <c r="L33" s="124"/>
      <c r="M33" s="130">
        <f t="shared" si="6"/>
        <v>438828.80000000005</v>
      </c>
      <c r="N33" s="56"/>
    </row>
    <row r="34" spans="1:15" ht="15.75" customHeight="1">
      <c r="A34" s="26">
        <v>31</v>
      </c>
      <c r="B34" s="27">
        <v>46022</v>
      </c>
      <c r="C34" s="56"/>
      <c r="D34" s="124"/>
      <c r="E34" s="85"/>
      <c r="F34" s="124"/>
      <c r="G34" s="124">
        <f t="shared" ref="G34" si="7">E34*F34</f>
        <v>0</v>
      </c>
      <c r="H34" s="124"/>
      <c r="I34" s="124"/>
      <c r="J34" s="124">
        <f t="shared" ref="J34" si="8">H34*I34</f>
        <v>0</v>
      </c>
      <c r="K34" s="124">
        <f t="shared" ref="K34" si="9">G34+J34</f>
        <v>0</v>
      </c>
      <c r="L34" s="124"/>
      <c r="M34" s="130">
        <f t="shared" si="6"/>
        <v>438828.80000000005</v>
      </c>
      <c r="N34" s="56"/>
    </row>
    <row r="35" spans="1:15">
      <c r="A35" s="46"/>
      <c r="B35" s="46"/>
      <c r="C35" s="46"/>
      <c r="D35" s="46"/>
      <c r="E35" s="47">
        <f>SUM(E4:E34)</f>
        <v>4600</v>
      </c>
      <c r="F35" s="47"/>
      <c r="G35" s="47">
        <f>SUM(G4:G34)</f>
        <v>424258</v>
      </c>
      <c r="H35" s="47">
        <f>SUM(H4:H34)</f>
        <v>140</v>
      </c>
      <c r="I35" s="47"/>
      <c r="J35" s="47">
        <f>SUM(J4:J34)</f>
        <v>14571.199999999999</v>
      </c>
      <c r="K35" s="47">
        <f>SUM(K4:K34)</f>
        <v>438829.19999999995</v>
      </c>
      <c r="L35" s="47">
        <f>SUM(L4:L34)</f>
        <v>385912</v>
      </c>
      <c r="M35" s="47"/>
      <c r="N35" s="47"/>
      <c r="O35" s="33"/>
    </row>
    <row r="37" spans="1:15">
      <c r="D37" s="49"/>
      <c r="E37" s="49"/>
    </row>
  </sheetData>
  <mergeCells count="2">
    <mergeCell ref="A1:N1"/>
    <mergeCell ref="A3:J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V45"/>
  <sheetViews>
    <sheetView workbookViewId="0">
      <pane ySplit="2" topLeftCell="A24" activePane="bottomLeft" state="frozen"/>
      <selection pane="bottomLeft" activeCell="M33" sqref="M33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17.7109375" bestFit="1" customWidth="1"/>
    <col min="16" max="16" width="12" bestFit="1" customWidth="1"/>
    <col min="19" max="19" width="12" bestFit="1" customWidth="1"/>
  </cols>
  <sheetData>
    <row r="1" spans="1:15">
      <c r="A1" s="479" t="s">
        <v>158</v>
      </c>
      <c r="B1" s="479"/>
      <c r="C1" s="479"/>
      <c r="D1" s="479"/>
      <c r="E1" s="479"/>
      <c r="F1" s="479"/>
      <c r="G1" s="479"/>
      <c r="H1" s="479"/>
      <c r="I1" s="479"/>
      <c r="J1" s="479"/>
      <c r="K1" s="479"/>
      <c r="L1" s="479"/>
      <c r="M1" s="479"/>
      <c r="N1" s="479"/>
      <c r="O1" s="88"/>
    </row>
    <row r="2" spans="1:15">
      <c r="A2" s="131" t="s">
        <v>122</v>
      </c>
      <c r="B2" s="132" t="s">
        <v>123</v>
      </c>
      <c r="C2" s="132" t="s">
        <v>124</v>
      </c>
      <c r="D2" s="132" t="s">
        <v>125</v>
      </c>
      <c r="E2" s="132" t="s">
        <v>126</v>
      </c>
      <c r="F2" s="132" t="s">
        <v>127</v>
      </c>
      <c r="G2" s="132" t="s">
        <v>128</v>
      </c>
      <c r="H2" s="132" t="s">
        <v>129</v>
      </c>
      <c r="I2" s="132" t="s">
        <v>127</v>
      </c>
      <c r="J2" s="133" t="s">
        <v>128</v>
      </c>
      <c r="K2" s="131" t="s">
        <v>130</v>
      </c>
      <c r="L2" s="134" t="s">
        <v>131</v>
      </c>
      <c r="M2" s="134" t="s">
        <v>138</v>
      </c>
      <c r="N2" s="132" t="s">
        <v>133</v>
      </c>
      <c r="O2" s="65"/>
    </row>
    <row r="3" spans="1:15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4"/>
      <c r="K3" s="102">
        <v>151062.95500000002</v>
      </c>
      <c r="L3" s="42"/>
      <c r="M3" s="42">
        <f>+K3</f>
        <v>151062.95500000002</v>
      </c>
      <c r="N3" s="17"/>
      <c r="O3" s="65">
        <v>46138.763999999966</v>
      </c>
    </row>
    <row r="4" spans="1:15">
      <c r="A4" s="26">
        <v>1</v>
      </c>
      <c r="B4" s="27">
        <v>45992</v>
      </c>
      <c r="C4" s="135"/>
      <c r="D4" s="136"/>
      <c r="E4" s="99">
        <v>600</v>
      </c>
      <c r="F4" s="99">
        <v>92.14</v>
      </c>
      <c r="G4" s="19">
        <f>E4*F4</f>
        <v>55284</v>
      </c>
      <c r="H4" s="99">
        <v>35</v>
      </c>
      <c r="I4" s="409">
        <v>103.97</v>
      </c>
      <c r="J4" s="19">
        <f>H4*I4</f>
        <v>3638.95</v>
      </c>
      <c r="K4" s="19">
        <f>G4+J4</f>
        <v>58922.95</v>
      </c>
      <c r="L4" s="137">
        <v>0</v>
      </c>
      <c r="M4" s="137">
        <f>M3+K4-L4</f>
        <v>209985.90500000003</v>
      </c>
      <c r="N4" s="48"/>
    </row>
    <row r="5" spans="1:15">
      <c r="A5" s="26">
        <v>2</v>
      </c>
      <c r="B5" s="27">
        <v>45993</v>
      </c>
      <c r="C5" s="135"/>
      <c r="D5" s="136"/>
      <c r="E5" s="99"/>
      <c r="F5" s="99"/>
      <c r="G5" s="19">
        <f t="shared" ref="G5:G34" si="0">E5*F5</f>
        <v>0</v>
      </c>
      <c r="H5" s="99"/>
      <c r="I5" s="99"/>
      <c r="J5" s="19">
        <f t="shared" ref="J5:J34" si="1">H5*I5</f>
        <v>0</v>
      </c>
      <c r="K5" s="19">
        <f t="shared" ref="K5:L34" si="2">G5+J5</f>
        <v>0</v>
      </c>
      <c r="L5" s="137">
        <v>0</v>
      </c>
      <c r="M5" s="137">
        <f>M4+K5-L5</f>
        <v>209985.90500000003</v>
      </c>
      <c r="N5" s="48"/>
    </row>
    <row r="6" spans="1:15">
      <c r="A6" s="26">
        <v>3</v>
      </c>
      <c r="B6" s="27">
        <v>45994</v>
      </c>
      <c r="C6" s="135"/>
      <c r="D6" s="136"/>
      <c r="E6" s="99"/>
      <c r="F6" s="99"/>
      <c r="G6" s="19">
        <f t="shared" si="0"/>
        <v>0</v>
      </c>
      <c r="H6" s="99"/>
      <c r="I6" s="99"/>
      <c r="J6" s="19">
        <f t="shared" si="1"/>
        <v>0</v>
      </c>
      <c r="K6" s="19">
        <f t="shared" si="2"/>
        <v>0</v>
      </c>
      <c r="L6" s="137"/>
      <c r="M6" s="137">
        <f>M5+K6-L6</f>
        <v>209985.90500000003</v>
      </c>
      <c r="N6" s="48"/>
    </row>
    <row r="7" spans="1:15">
      <c r="A7" s="26">
        <v>4</v>
      </c>
      <c r="B7" s="27">
        <v>45995</v>
      </c>
      <c r="C7" s="135"/>
      <c r="D7" s="136"/>
      <c r="E7" s="99">
        <v>400</v>
      </c>
      <c r="F7" s="99">
        <v>92.14</v>
      </c>
      <c r="G7" s="19">
        <f t="shared" si="0"/>
        <v>36856</v>
      </c>
      <c r="H7" s="99">
        <v>30</v>
      </c>
      <c r="I7" s="99">
        <v>103.97</v>
      </c>
      <c r="J7" s="19">
        <f t="shared" si="1"/>
        <v>3119.1</v>
      </c>
      <c r="K7" s="19">
        <f t="shared" si="2"/>
        <v>39975.1</v>
      </c>
      <c r="L7" s="137"/>
      <c r="M7" s="137">
        <f>M6+K7-L7</f>
        <v>249961.00500000003</v>
      </c>
      <c r="N7" s="48"/>
    </row>
    <row r="8" spans="1:15">
      <c r="A8" s="26">
        <v>5</v>
      </c>
      <c r="B8" s="27">
        <v>45996</v>
      </c>
      <c r="C8" s="135"/>
      <c r="D8" s="136"/>
      <c r="E8" s="99"/>
      <c r="F8" s="99"/>
      <c r="G8" s="19">
        <f t="shared" si="0"/>
        <v>0</v>
      </c>
      <c r="H8" s="99"/>
      <c r="I8" s="99"/>
      <c r="J8" s="19">
        <f t="shared" si="1"/>
        <v>0</v>
      </c>
      <c r="K8" s="19">
        <f t="shared" si="2"/>
        <v>0</v>
      </c>
      <c r="L8" s="137"/>
      <c r="M8" s="137">
        <f t="shared" ref="M8:M34" si="3">M7+K8-L8</f>
        <v>249961.00500000003</v>
      </c>
      <c r="N8" s="48"/>
      <c r="O8" s="75"/>
    </row>
    <row r="9" spans="1:15">
      <c r="A9" s="26">
        <v>6</v>
      </c>
      <c r="B9" s="27">
        <v>45997</v>
      </c>
      <c r="C9" s="135"/>
      <c r="D9" s="136"/>
      <c r="E9" s="99"/>
      <c r="F9" s="99"/>
      <c r="G9" s="19">
        <f t="shared" si="0"/>
        <v>0</v>
      </c>
      <c r="H9" s="99"/>
      <c r="I9" s="99"/>
      <c r="J9" s="19">
        <f t="shared" si="1"/>
        <v>0</v>
      </c>
      <c r="K9" s="19">
        <f t="shared" si="2"/>
        <v>0</v>
      </c>
      <c r="L9" s="137">
        <v>151066</v>
      </c>
      <c r="M9" s="137">
        <f t="shared" si="3"/>
        <v>98895.005000000034</v>
      </c>
      <c r="N9" s="48"/>
      <c r="O9" s="75"/>
    </row>
    <row r="10" spans="1:15">
      <c r="A10" s="26">
        <v>7</v>
      </c>
      <c r="B10" s="27">
        <v>45998</v>
      </c>
      <c r="C10" s="135"/>
      <c r="D10" s="136"/>
      <c r="E10" s="99">
        <v>600</v>
      </c>
      <c r="F10" s="99">
        <v>92.14</v>
      </c>
      <c r="G10" s="19">
        <f t="shared" si="0"/>
        <v>55284</v>
      </c>
      <c r="H10" s="99"/>
      <c r="I10" s="99"/>
      <c r="J10" s="19">
        <f t="shared" si="1"/>
        <v>0</v>
      </c>
      <c r="K10" s="19">
        <f t="shared" si="2"/>
        <v>55284</v>
      </c>
      <c r="L10" s="137"/>
      <c r="M10" s="137">
        <f t="shared" si="3"/>
        <v>154179.00500000003</v>
      </c>
      <c r="N10" s="48"/>
      <c r="O10" s="75"/>
    </row>
    <row r="11" spans="1:15">
      <c r="A11" s="26">
        <v>8</v>
      </c>
      <c r="B11" s="27">
        <v>45999</v>
      </c>
      <c r="C11" s="135"/>
      <c r="D11" s="136"/>
      <c r="E11" s="99"/>
      <c r="F11" s="99"/>
      <c r="G11" s="19">
        <f t="shared" si="0"/>
        <v>0</v>
      </c>
      <c r="H11" s="99"/>
      <c r="I11" s="99"/>
      <c r="J11" s="19">
        <f t="shared" si="1"/>
        <v>0</v>
      </c>
      <c r="K11" s="19">
        <f t="shared" si="2"/>
        <v>0</v>
      </c>
      <c r="L11" s="137"/>
      <c r="M11" s="137">
        <f t="shared" si="3"/>
        <v>154179.00500000003</v>
      </c>
      <c r="N11" s="48"/>
      <c r="O11" s="75"/>
    </row>
    <row r="12" spans="1:15">
      <c r="A12" s="26">
        <v>9</v>
      </c>
      <c r="B12" s="27">
        <v>46000</v>
      </c>
      <c r="C12" s="135"/>
      <c r="D12" s="136"/>
      <c r="E12" s="99"/>
      <c r="F12" s="99"/>
      <c r="G12" s="19">
        <f t="shared" si="0"/>
        <v>0</v>
      </c>
      <c r="H12" s="99"/>
      <c r="I12" s="99"/>
      <c r="J12" s="19">
        <f t="shared" si="1"/>
        <v>0</v>
      </c>
      <c r="K12" s="19">
        <f t="shared" si="2"/>
        <v>0</v>
      </c>
      <c r="L12" s="137"/>
      <c r="M12" s="137">
        <f t="shared" si="3"/>
        <v>154179.00500000003</v>
      </c>
      <c r="N12" s="48"/>
      <c r="O12" s="75"/>
    </row>
    <row r="13" spans="1:15">
      <c r="A13" s="26">
        <v>10</v>
      </c>
      <c r="B13" s="27">
        <v>46001</v>
      </c>
      <c r="C13" s="135"/>
      <c r="D13" s="136"/>
      <c r="E13" s="99"/>
      <c r="F13" s="99"/>
      <c r="G13" s="19">
        <f t="shared" si="0"/>
        <v>0</v>
      </c>
      <c r="H13" s="99"/>
      <c r="I13" s="99"/>
      <c r="J13" s="19">
        <f t="shared" si="1"/>
        <v>0</v>
      </c>
      <c r="K13" s="19">
        <f t="shared" si="2"/>
        <v>0</v>
      </c>
      <c r="L13" s="137"/>
      <c r="M13" s="137">
        <f t="shared" si="3"/>
        <v>154179.00500000003</v>
      </c>
      <c r="N13" s="48"/>
      <c r="O13" s="75"/>
    </row>
    <row r="14" spans="1:15">
      <c r="A14" s="26">
        <v>11</v>
      </c>
      <c r="B14" s="27">
        <v>46002</v>
      </c>
      <c r="C14" s="135"/>
      <c r="D14" s="136"/>
      <c r="E14" s="99">
        <v>600</v>
      </c>
      <c r="F14" s="99">
        <v>92.14</v>
      </c>
      <c r="G14" s="19">
        <f t="shared" si="0"/>
        <v>55284</v>
      </c>
      <c r="H14" s="99">
        <v>35</v>
      </c>
      <c r="I14" s="99">
        <v>103.97</v>
      </c>
      <c r="J14" s="19">
        <f t="shared" si="1"/>
        <v>3638.95</v>
      </c>
      <c r="K14" s="19">
        <f t="shared" si="2"/>
        <v>58922.95</v>
      </c>
      <c r="L14" s="19"/>
      <c r="M14" s="137">
        <f t="shared" si="3"/>
        <v>213101.95500000002</v>
      </c>
      <c r="N14" s="48"/>
      <c r="O14" s="75"/>
    </row>
    <row r="15" spans="1:15">
      <c r="A15" s="26">
        <v>12</v>
      </c>
      <c r="B15" s="27">
        <v>46003</v>
      </c>
      <c r="C15" s="135"/>
      <c r="D15" s="136"/>
      <c r="E15" s="99">
        <v>0</v>
      </c>
      <c r="F15" s="99">
        <v>0</v>
      </c>
      <c r="G15" s="19">
        <f t="shared" si="0"/>
        <v>0</v>
      </c>
      <c r="H15" s="99">
        <v>0</v>
      </c>
      <c r="I15" s="99">
        <v>0</v>
      </c>
      <c r="J15" s="19">
        <f t="shared" si="1"/>
        <v>0</v>
      </c>
      <c r="K15" s="19">
        <f t="shared" si="2"/>
        <v>0</v>
      </c>
      <c r="L15" s="137">
        <v>213101.95</v>
      </c>
      <c r="M15" s="137">
        <f t="shared" si="3"/>
        <v>5.0000000046566129E-3</v>
      </c>
      <c r="N15" s="48"/>
      <c r="O15" s="75"/>
    </row>
    <row r="16" spans="1:15">
      <c r="A16" s="26">
        <v>13</v>
      </c>
      <c r="B16" s="27">
        <v>46004</v>
      </c>
      <c r="C16" s="135"/>
      <c r="D16" s="136"/>
      <c r="E16" s="99">
        <v>400</v>
      </c>
      <c r="F16" s="99">
        <v>92.14</v>
      </c>
      <c r="G16" s="19">
        <f t="shared" si="0"/>
        <v>36856</v>
      </c>
      <c r="H16" s="99">
        <v>35</v>
      </c>
      <c r="I16" s="99">
        <v>103.97</v>
      </c>
      <c r="J16" s="19">
        <f t="shared" si="1"/>
        <v>3638.95</v>
      </c>
      <c r="K16" s="19">
        <f t="shared" si="2"/>
        <v>40494.949999999997</v>
      </c>
      <c r="L16" s="137"/>
      <c r="M16" s="137">
        <f t="shared" si="3"/>
        <v>40494.955000000002</v>
      </c>
      <c r="N16" s="48"/>
      <c r="O16" s="75"/>
    </row>
    <row r="17" spans="1:22">
      <c r="A17" s="26">
        <v>14</v>
      </c>
      <c r="B17" s="27">
        <v>46005</v>
      </c>
      <c r="C17" s="135"/>
      <c r="D17" s="136"/>
      <c r="E17" s="99"/>
      <c r="F17" s="99"/>
      <c r="G17" s="19">
        <f t="shared" si="0"/>
        <v>0</v>
      </c>
      <c r="H17" s="99"/>
      <c r="I17" s="99"/>
      <c r="J17" s="19">
        <f t="shared" si="1"/>
        <v>0</v>
      </c>
      <c r="K17" s="19">
        <f t="shared" si="2"/>
        <v>0</v>
      </c>
      <c r="L17" s="19"/>
      <c r="M17" s="137">
        <f t="shared" si="3"/>
        <v>40494.955000000002</v>
      </c>
      <c r="N17" s="48"/>
      <c r="O17" s="75"/>
      <c r="Q17" s="256">
        <v>2767.8</v>
      </c>
      <c r="S17" s="183">
        <f>Q17-M18</f>
        <v>-34088.154999999999</v>
      </c>
    </row>
    <row r="18" spans="1:22">
      <c r="A18" s="26">
        <v>15</v>
      </c>
      <c r="B18" s="27">
        <v>46006</v>
      </c>
      <c r="C18" s="135"/>
      <c r="D18" s="136"/>
      <c r="E18" s="99">
        <v>400</v>
      </c>
      <c r="F18" s="99">
        <v>92.14</v>
      </c>
      <c r="G18" s="19">
        <f t="shared" si="0"/>
        <v>36856</v>
      </c>
      <c r="H18" s="99"/>
      <c r="I18" s="99"/>
      <c r="J18" s="19">
        <f t="shared" si="1"/>
        <v>0</v>
      </c>
      <c r="K18" s="19">
        <f t="shared" si="2"/>
        <v>36856</v>
      </c>
      <c r="L18" s="137">
        <v>40495</v>
      </c>
      <c r="M18" s="137">
        <f t="shared" si="3"/>
        <v>36855.955000000002</v>
      </c>
      <c r="N18" s="48"/>
      <c r="O18" s="75"/>
    </row>
    <row r="19" spans="1:22">
      <c r="A19" s="26">
        <v>16</v>
      </c>
      <c r="B19" s="27">
        <v>46007</v>
      </c>
      <c r="C19" s="135"/>
      <c r="D19" s="136"/>
      <c r="E19" s="99"/>
      <c r="F19" s="99"/>
      <c r="G19" s="19">
        <f t="shared" si="0"/>
        <v>0</v>
      </c>
      <c r="H19" s="99"/>
      <c r="I19" s="99"/>
      <c r="J19" s="19">
        <f t="shared" si="1"/>
        <v>0</v>
      </c>
      <c r="K19" s="19">
        <f t="shared" si="2"/>
        <v>0</v>
      </c>
      <c r="L19" s="137"/>
      <c r="M19" s="137">
        <f t="shared" si="3"/>
        <v>36855.955000000002</v>
      </c>
      <c r="N19" s="48"/>
      <c r="O19" s="75"/>
    </row>
    <row r="20" spans="1:22">
      <c r="A20" s="26">
        <v>17</v>
      </c>
      <c r="B20" s="27">
        <v>46008</v>
      </c>
      <c r="C20" s="135"/>
      <c r="D20" s="136"/>
      <c r="E20" s="99">
        <v>600</v>
      </c>
      <c r="F20" s="99">
        <v>92.14</v>
      </c>
      <c r="G20" s="19">
        <f t="shared" si="0"/>
        <v>55284</v>
      </c>
      <c r="H20" s="99">
        <v>30</v>
      </c>
      <c r="I20" s="99">
        <v>103.97</v>
      </c>
      <c r="J20" s="19">
        <f t="shared" si="1"/>
        <v>3119.1</v>
      </c>
      <c r="K20" s="19">
        <f t="shared" si="2"/>
        <v>58403.1</v>
      </c>
      <c r="L20" s="137"/>
      <c r="M20" s="137">
        <f t="shared" si="3"/>
        <v>95259.054999999993</v>
      </c>
      <c r="N20" s="48"/>
      <c r="O20" s="75"/>
      <c r="V20">
        <f>400*90.23</f>
        <v>36092</v>
      </c>
    </row>
    <row r="21" spans="1:22">
      <c r="A21" s="26">
        <v>18</v>
      </c>
      <c r="B21" s="27">
        <v>46009</v>
      </c>
      <c r="C21" s="135"/>
      <c r="D21" s="136"/>
      <c r="E21" s="99"/>
      <c r="F21" s="99"/>
      <c r="G21" s="19">
        <f t="shared" si="0"/>
        <v>0</v>
      </c>
      <c r="H21" s="99"/>
      <c r="I21" s="99"/>
      <c r="J21" s="19">
        <f t="shared" si="1"/>
        <v>0</v>
      </c>
      <c r="K21" s="19">
        <f t="shared" si="2"/>
        <v>0</v>
      </c>
      <c r="L21" s="137"/>
      <c r="M21" s="137">
        <f t="shared" si="3"/>
        <v>95259.054999999993</v>
      </c>
      <c r="N21" s="48"/>
      <c r="O21" s="75"/>
      <c r="V21">
        <f>35*104.14</f>
        <v>3644.9</v>
      </c>
    </row>
    <row r="22" spans="1:22">
      <c r="A22" s="26">
        <v>19</v>
      </c>
      <c r="B22" s="27">
        <v>46010</v>
      </c>
      <c r="C22" s="135"/>
      <c r="D22" s="136"/>
      <c r="E22" s="99">
        <v>400</v>
      </c>
      <c r="F22" s="99">
        <v>92.14</v>
      </c>
      <c r="G22" s="19">
        <f t="shared" si="0"/>
        <v>36856</v>
      </c>
      <c r="H22" s="99"/>
      <c r="I22" s="99"/>
      <c r="J22" s="19">
        <f t="shared" si="1"/>
        <v>0</v>
      </c>
      <c r="K22" s="19">
        <f t="shared" si="2"/>
        <v>36856</v>
      </c>
      <c r="L22" s="137"/>
      <c r="M22" s="137">
        <f t="shared" si="3"/>
        <v>132115.05499999999</v>
      </c>
      <c r="N22" s="48"/>
      <c r="O22" s="75"/>
    </row>
    <row r="23" spans="1:22">
      <c r="A23" s="26">
        <v>20</v>
      </c>
      <c r="B23" s="27">
        <v>46011</v>
      </c>
      <c r="C23" s="135"/>
      <c r="D23" s="136"/>
      <c r="E23" s="99"/>
      <c r="F23" s="99"/>
      <c r="G23" s="19">
        <f t="shared" si="0"/>
        <v>0</v>
      </c>
      <c r="H23" s="99"/>
      <c r="I23" s="99"/>
      <c r="J23" s="19">
        <f t="shared" si="1"/>
        <v>0</v>
      </c>
      <c r="K23" s="19">
        <f t="shared" si="2"/>
        <v>0</v>
      </c>
      <c r="L23" s="137"/>
      <c r="M23" s="137">
        <f t="shared" si="3"/>
        <v>132115.05499999999</v>
      </c>
      <c r="N23" s="269"/>
      <c r="O23" s="255"/>
    </row>
    <row r="24" spans="1:22">
      <c r="A24" s="26">
        <v>21</v>
      </c>
      <c r="B24" s="27">
        <v>46012</v>
      </c>
      <c r="C24" s="135"/>
      <c r="D24" s="136"/>
      <c r="E24" s="99">
        <v>600</v>
      </c>
      <c r="F24" s="99">
        <v>92.14</v>
      </c>
      <c r="G24" s="19">
        <f t="shared" si="0"/>
        <v>55284</v>
      </c>
      <c r="H24" s="99"/>
      <c r="I24" s="99"/>
      <c r="J24" s="19">
        <f t="shared" si="1"/>
        <v>0</v>
      </c>
      <c r="K24" s="19">
        <f t="shared" si="2"/>
        <v>55284</v>
      </c>
      <c r="L24" s="137"/>
      <c r="M24" s="137">
        <f t="shared" si="3"/>
        <v>187399.05499999999</v>
      </c>
      <c r="N24" s="48"/>
      <c r="O24" s="75"/>
    </row>
    <row r="25" spans="1:22">
      <c r="A25" s="26">
        <v>22</v>
      </c>
      <c r="B25" s="27">
        <v>46013</v>
      </c>
      <c r="C25" s="135"/>
      <c r="D25" s="136"/>
      <c r="E25" s="99"/>
      <c r="F25" s="99"/>
      <c r="G25" s="19">
        <f t="shared" si="0"/>
        <v>0</v>
      </c>
      <c r="H25" s="99"/>
      <c r="I25" s="99"/>
      <c r="J25" s="19">
        <f t="shared" si="1"/>
        <v>0</v>
      </c>
      <c r="K25" s="19">
        <f t="shared" si="2"/>
        <v>0</v>
      </c>
      <c r="L25" s="137"/>
      <c r="M25" s="137">
        <f t="shared" si="3"/>
        <v>187399.05499999999</v>
      </c>
      <c r="N25" s="48"/>
      <c r="O25" s="75"/>
    </row>
    <row r="26" spans="1:22">
      <c r="A26" s="26">
        <v>23</v>
      </c>
      <c r="B26" s="27">
        <v>46014</v>
      </c>
      <c r="C26" s="135"/>
      <c r="D26" s="136"/>
      <c r="E26" s="99"/>
      <c r="F26" s="99"/>
      <c r="G26" s="19">
        <f t="shared" si="0"/>
        <v>0</v>
      </c>
      <c r="H26" s="99">
        <v>35</v>
      </c>
      <c r="I26" s="99">
        <v>103.97</v>
      </c>
      <c r="J26" s="19">
        <f t="shared" si="1"/>
        <v>3638.95</v>
      </c>
      <c r="K26" s="19">
        <f t="shared" si="2"/>
        <v>3638.95</v>
      </c>
      <c r="L26" s="137"/>
      <c r="M26" s="137">
        <f t="shared" si="3"/>
        <v>191038.005</v>
      </c>
      <c r="N26" s="48"/>
      <c r="O26" s="75"/>
    </row>
    <row r="27" spans="1:22">
      <c r="A27" s="26">
        <v>24</v>
      </c>
      <c r="B27" s="27">
        <v>46015</v>
      </c>
      <c r="C27" s="135"/>
      <c r="D27" s="136"/>
      <c r="E27" s="99">
        <v>600</v>
      </c>
      <c r="F27" s="99">
        <v>92.14</v>
      </c>
      <c r="G27" s="19">
        <f t="shared" si="0"/>
        <v>55284</v>
      </c>
      <c r="H27" s="99"/>
      <c r="I27" s="99"/>
      <c r="J27" s="19">
        <f t="shared" si="1"/>
        <v>0</v>
      </c>
      <c r="K27" s="19">
        <f t="shared" si="2"/>
        <v>55284</v>
      </c>
      <c r="L27" s="137"/>
      <c r="M27" s="137">
        <f t="shared" si="3"/>
        <v>246322.005</v>
      </c>
      <c r="N27" s="48"/>
      <c r="O27" s="75"/>
    </row>
    <row r="28" spans="1:22">
      <c r="A28" s="26">
        <v>25</v>
      </c>
      <c r="B28" s="27">
        <v>46016</v>
      </c>
      <c r="C28" s="135"/>
      <c r="D28" s="136"/>
      <c r="E28" s="99">
        <v>0</v>
      </c>
      <c r="F28" s="99">
        <v>0</v>
      </c>
      <c r="G28" s="19">
        <f t="shared" si="0"/>
        <v>0</v>
      </c>
      <c r="H28" s="99"/>
      <c r="I28" s="99"/>
      <c r="J28" s="19">
        <f t="shared" si="1"/>
        <v>0</v>
      </c>
      <c r="K28" s="19">
        <f t="shared" si="2"/>
        <v>0</v>
      </c>
      <c r="L28" s="137"/>
      <c r="M28" s="137">
        <f t="shared" si="3"/>
        <v>246322.005</v>
      </c>
      <c r="N28" s="48"/>
      <c r="O28" s="75"/>
    </row>
    <row r="29" spans="1:22">
      <c r="A29" s="26">
        <v>26</v>
      </c>
      <c r="B29" s="27">
        <v>46017</v>
      </c>
      <c r="C29" s="135"/>
      <c r="D29" s="136"/>
      <c r="E29" s="99">
        <v>700</v>
      </c>
      <c r="F29" s="99">
        <v>92.14</v>
      </c>
      <c r="G29" s="19">
        <f t="shared" si="0"/>
        <v>64498</v>
      </c>
      <c r="H29" s="99"/>
      <c r="I29" s="99"/>
      <c r="J29" s="19">
        <f t="shared" si="1"/>
        <v>0</v>
      </c>
      <c r="K29" s="19">
        <f t="shared" si="2"/>
        <v>64498</v>
      </c>
      <c r="L29" s="137"/>
      <c r="M29" s="137">
        <f t="shared" si="3"/>
        <v>310820.005</v>
      </c>
      <c r="N29" s="48"/>
      <c r="O29" s="75"/>
    </row>
    <row r="30" spans="1:22">
      <c r="A30" s="26">
        <v>27</v>
      </c>
      <c r="B30" s="27">
        <v>46018</v>
      </c>
      <c r="C30" s="135"/>
      <c r="D30" s="136"/>
      <c r="E30" s="99">
        <v>0</v>
      </c>
      <c r="F30" s="99">
        <v>0</v>
      </c>
      <c r="G30" s="19">
        <f t="shared" si="0"/>
        <v>0</v>
      </c>
      <c r="H30" s="99"/>
      <c r="I30" s="99"/>
      <c r="J30" s="19">
        <f t="shared" si="1"/>
        <v>0</v>
      </c>
      <c r="K30" s="19">
        <f t="shared" si="2"/>
        <v>0</v>
      </c>
      <c r="L30" s="137">
        <v>206321</v>
      </c>
      <c r="M30" s="137">
        <f t="shared" si="3"/>
        <v>104499.005</v>
      </c>
      <c r="N30" s="48"/>
      <c r="O30" s="75"/>
      <c r="P30" s="256">
        <v>29774.14</v>
      </c>
    </row>
    <row r="31" spans="1:22">
      <c r="A31" s="26">
        <v>28</v>
      </c>
      <c r="B31" s="27">
        <v>46019</v>
      </c>
      <c r="C31" s="135"/>
      <c r="D31" s="136"/>
      <c r="E31" s="99">
        <v>400</v>
      </c>
      <c r="F31" s="99">
        <v>92.14</v>
      </c>
      <c r="G31" s="19">
        <f t="shared" si="0"/>
        <v>36856</v>
      </c>
      <c r="H31" s="99">
        <v>30</v>
      </c>
      <c r="I31" s="99">
        <v>103.97</v>
      </c>
      <c r="J31" s="19">
        <f t="shared" si="1"/>
        <v>3119.1</v>
      </c>
      <c r="K31" s="19">
        <f t="shared" si="2"/>
        <v>39975.1</v>
      </c>
      <c r="L31" s="137"/>
      <c r="M31" s="137">
        <f t="shared" si="3"/>
        <v>144474.10500000001</v>
      </c>
      <c r="N31" s="48"/>
      <c r="O31" s="75"/>
      <c r="P31">
        <v>50000</v>
      </c>
    </row>
    <row r="32" spans="1:22">
      <c r="A32" s="26">
        <v>29</v>
      </c>
      <c r="B32" s="27">
        <v>46020</v>
      </c>
      <c r="C32" s="135"/>
      <c r="D32" s="136"/>
      <c r="E32" s="99"/>
      <c r="F32" s="99"/>
      <c r="G32" s="19">
        <f t="shared" si="0"/>
        <v>0</v>
      </c>
      <c r="H32" s="99"/>
      <c r="I32" s="99"/>
      <c r="J32" s="19">
        <f t="shared" si="1"/>
        <v>0</v>
      </c>
      <c r="K32" s="19">
        <f t="shared" si="2"/>
        <v>0</v>
      </c>
      <c r="L32" s="137"/>
      <c r="M32" s="137">
        <f t="shared" si="3"/>
        <v>144474.10500000001</v>
      </c>
      <c r="N32" s="48"/>
      <c r="O32" s="75"/>
      <c r="P32" s="256">
        <f>SUM(P30:P31)</f>
        <v>79774.14</v>
      </c>
    </row>
    <row r="33" spans="1:19">
      <c r="A33" s="26">
        <v>30</v>
      </c>
      <c r="B33" s="27">
        <v>46021</v>
      </c>
      <c r="C33" s="135"/>
      <c r="D33" s="136"/>
      <c r="E33" s="99">
        <v>600</v>
      </c>
      <c r="F33" s="99">
        <v>92.14</v>
      </c>
      <c r="G33" s="19">
        <f t="shared" si="0"/>
        <v>55284</v>
      </c>
      <c r="H33" s="99">
        <v>25</v>
      </c>
      <c r="I33" s="99">
        <v>103.97</v>
      </c>
      <c r="J33" s="19">
        <f t="shared" si="1"/>
        <v>2599.25</v>
      </c>
      <c r="K33" s="19">
        <f t="shared" si="2"/>
        <v>57883.25</v>
      </c>
      <c r="L33" s="137"/>
      <c r="M33" s="137">
        <f t="shared" si="3"/>
        <v>202357.35500000001</v>
      </c>
      <c r="N33" s="48"/>
      <c r="O33" s="75"/>
    </row>
    <row r="34" spans="1:19">
      <c r="A34" s="26">
        <v>31</v>
      </c>
      <c r="B34" s="27"/>
      <c r="C34" s="135"/>
      <c r="D34" s="136"/>
      <c r="E34" s="99"/>
      <c r="F34" s="99"/>
      <c r="G34" s="19">
        <f t="shared" si="0"/>
        <v>0</v>
      </c>
      <c r="H34" s="99"/>
      <c r="I34" s="99"/>
      <c r="J34" s="19">
        <f t="shared" si="1"/>
        <v>0</v>
      </c>
      <c r="K34" s="19">
        <f t="shared" si="2"/>
        <v>0</v>
      </c>
      <c r="L34" s="137"/>
      <c r="M34" s="137">
        <f t="shared" si="3"/>
        <v>202357.35500000001</v>
      </c>
      <c r="N34" s="48"/>
      <c r="O34" s="75"/>
    </row>
    <row r="35" spans="1:19">
      <c r="A35" s="26"/>
      <c r="B35" s="27"/>
      <c r="C35" s="135"/>
      <c r="D35" s="136"/>
      <c r="E35" s="99">
        <v>0</v>
      </c>
      <c r="F35" s="99">
        <v>0</v>
      </c>
      <c r="G35" s="19">
        <f t="shared" ref="G35" si="4">E35*F35</f>
        <v>0</v>
      </c>
      <c r="H35" s="99">
        <v>0</v>
      </c>
      <c r="I35" s="99"/>
      <c r="J35" s="19">
        <f t="shared" ref="J35" si="5">H35*I35</f>
        <v>0</v>
      </c>
      <c r="K35" s="19">
        <f t="shared" ref="K35" si="6">G35+J35</f>
        <v>0</v>
      </c>
      <c r="L35" s="137">
        <v>0</v>
      </c>
      <c r="M35" s="137">
        <f t="shared" ref="M35" si="7">M34+K35-L35</f>
        <v>202357.35500000001</v>
      </c>
      <c r="N35" s="48"/>
      <c r="O35" s="75"/>
    </row>
    <row r="36" spans="1:19">
      <c r="A36" s="46"/>
      <c r="B36" s="46"/>
      <c r="C36" s="46"/>
      <c r="D36" s="46"/>
      <c r="E36" s="47">
        <f>SUM(E4:E34)</f>
        <v>6900</v>
      </c>
      <c r="F36" s="47"/>
      <c r="G36" s="47">
        <f>SUM(G4:G34)</f>
        <v>635766</v>
      </c>
      <c r="H36" s="47">
        <f>SUM(H4:H34)</f>
        <v>255</v>
      </c>
      <c r="I36" s="47"/>
      <c r="J36" s="47">
        <f>SUM(J4:J34)</f>
        <v>26512.35</v>
      </c>
      <c r="K36" s="47">
        <f>SUM(K4:K34)</f>
        <v>662278.35</v>
      </c>
      <c r="L36" s="47">
        <f>SUM(L4:L34)</f>
        <v>610983.94999999995</v>
      </c>
      <c r="M36" s="47"/>
      <c r="N36" s="47"/>
      <c r="O36" s="33"/>
    </row>
    <row r="37" spans="1:19">
      <c r="A37" s="78"/>
      <c r="B37" s="79"/>
      <c r="C37" s="78"/>
      <c r="D37" s="78"/>
      <c r="E37" s="80">
        <v>0</v>
      </c>
      <c r="F37" s="80"/>
      <c r="G37" s="80">
        <v>0</v>
      </c>
      <c r="H37" s="80">
        <v>0</v>
      </c>
      <c r="I37" s="80"/>
      <c r="J37" s="81">
        <v>0</v>
      </c>
      <c r="K37" s="81">
        <f>G37+J37</f>
        <v>0</v>
      </c>
      <c r="L37" s="81">
        <v>0</v>
      </c>
      <c r="M37" s="81"/>
      <c r="N37" s="80"/>
      <c r="O37" s="75"/>
    </row>
    <row r="38" spans="1:19">
      <c r="E38" s="142"/>
      <c r="F38" s="142"/>
      <c r="G38" s="142"/>
      <c r="H38" s="142"/>
      <c r="I38" s="142"/>
      <c r="J38" s="142"/>
      <c r="K38" s="142"/>
      <c r="L38" s="142"/>
      <c r="M38" s="256"/>
      <c r="O38" s="75"/>
    </row>
    <row r="39" spans="1:19">
      <c r="O39" s="75"/>
    </row>
    <row r="40" spans="1:19">
      <c r="M40" s="183"/>
      <c r="O40" s="75"/>
    </row>
    <row r="41" spans="1:19">
      <c r="O41" s="75"/>
    </row>
    <row r="42" spans="1:19">
      <c r="O42" s="75"/>
      <c r="S42">
        <v>9052944708</v>
      </c>
    </row>
    <row r="43" spans="1:19">
      <c r="A43" s="75"/>
      <c r="B43" s="65"/>
      <c r="C43" s="75"/>
      <c r="D43" s="75"/>
      <c r="E43" s="75"/>
      <c r="F43" s="75"/>
      <c r="G43" s="82"/>
      <c r="H43" s="75"/>
      <c r="I43" s="75"/>
      <c r="J43" s="65"/>
      <c r="K43" s="65"/>
      <c r="L43" s="65"/>
      <c r="M43" s="65"/>
      <c r="N43" s="75"/>
      <c r="O43" s="80"/>
    </row>
    <row r="44" spans="1:19">
      <c r="A44" s="75"/>
      <c r="B44" s="472"/>
      <c r="C44" s="472"/>
      <c r="D44" s="472"/>
      <c r="E44" s="472"/>
      <c r="F44" s="75"/>
      <c r="G44" s="75"/>
      <c r="H44" s="75"/>
      <c r="I44" s="472"/>
      <c r="J44" s="472"/>
      <c r="K44" s="472"/>
      <c r="L44" s="472"/>
      <c r="M44" s="472"/>
      <c r="N44" s="472"/>
      <c r="O44" s="80"/>
    </row>
    <row r="45" spans="1:19">
      <c r="A45" s="75"/>
      <c r="B45" s="65"/>
      <c r="C45" s="75"/>
      <c r="D45" s="75"/>
      <c r="E45" s="75"/>
      <c r="F45" s="75"/>
      <c r="G45" s="75"/>
      <c r="H45" s="75"/>
      <c r="I45" s="75"/>
      <c r="J45" s="65"/>
      <c r="K45" s="65"/>
      <c r="L45" s="65"/>
      <c r="M45" s="65"/>
      <c r="N45" s="75"/>
      <c r="O45" s="80"/>
    </row>
  </sheetData>
  <mergeCells count="4">
    <mergeCell ref="A1:N1"/>
    <mergeCell ref="B44:E44"/>
    <mergeCell ref="I44:N44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EDE9-F31F-4F91-B0A6-7048B469F70C}">
  <dimension ref="A1:N35"/>
  <sheetViews>
    <sheetView topLeftCell="A15" workbookViewId="0">
      <selection activeCell="A18" sqref="A18:XFD18"/>
    </sheetView>
  </sheetViews>
  <sheetFormatPr defaultRowHeight="15"/>
  <cols>
    <col min="5" max="5" width="9.28515625" bestFit="1" customWidth="1"/>
    <col min="7" max="7" width="9.28515625" bestFit="1" customWidth="1"/>
    <col min="12" max="12" width="16.85546875" customWidth="1"/>
  </cols>
  <sheetData>
    <row r="1" spans="1:14" ht="15.75">
      <c r="A1" s="470" t="s">
        <v>159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spans="1:14" ht="25.5">
      <c r="A2" s="109" t="s">
        <v>122</v>
      </c>
      <c r="B2" s="113" t="s">
        <v>123</v>
      </c>
      <c r="C2" s="113" t="s">
        <v>124</v>
      </c>
      <c r="D2" s="113" t="s">
        <v>125</v>
      </c>
      <c r="E2" s="113" t="s">
        <v>126</v>
      </c>
      <c r="F2" s="113" t="s">
        <v>127</v>
      </c>
      <c r="G2" s="113" t="s">
        <v>128</v>
      </c>
      <c r="H2" s="113" t="s">
        <v>129</v>
      </c>
      <c r="I2" s="113" t="s">
        <v>127</v>
      </c>
      <c r="J2" s="113" t="s">
        <v>128</v>
      </c>
      <c r="K2" s="113" t="s">
        <v>130</v>
      </c>
      <c r="L2" s="113" t="s">
        <v>131</v>
      </c>
      <c r="M2" s="113" t="s">
        <v>138</v>
      </c>
      <c r="N2" s="113" t="s">
        <v>133</v>
      </c>
    </row>
    <row r="3" spans="1:14">
      <c r="A3" s="480" t="s">
        <v>134</v>
      </c>
      <c r="B3" s="480"/>
      <c r="C3" s="480"/>
      <c r="D3" s="480"/>
      <c r="E3" s="480"/>
      <c r="F3" s="480"/>
      <c r="G3" s="480"/>
      <c r="H3" s="480"/>
      <c r="I3" s="480"/>
      <c r="J3" s="480"/>
      <c r="K3" s="101">
        <v>128004.75</v>
      </c>
      <c r="L3" s="101">
        <v>0</v>
      </c>
      <c r="M3" s="101">
        <f>+K3</f>
        <v>128004.75</v>
      </c>
      <c r="N3" s="17"/>
    </row>
    <row r="4" spans="1:14">
      <c r="A4" s="26">
        <v>1</v>
      </c>
      <c r="B4" s="27">
        <v>45992</v>
      </c>
      <c r="C4" s="17"/>
      <c r="D4" s="17"/>
      <c r="E4" s="92">
        <v>200</v>
      </c>
      <c r="F4" s="92">
        <v>92.19</v>
      </c>
      <c r="G4" s="17">
        <f>E4*F4</f>
        <v>18438</v>
      </c>
      <c r="H4" s="92">
        <v>35</v>
      </c>
      <c r="I4" s="92">
        <v>104.04</v>
      </c>
      <c r="J4" s="17">
        <f>H4*I4</f>
        <v>3641.4</v>
      </c>
      <c r="K4" s="17">
        <f>G4+J4</f>
        <v>22079.4</v>
      </c>
      <c r="L4" s="17"/>
      <c r="M4" s="17">
        <f>M3+K4-L4</f>
        <v>150084.15</v>
      </c>
      <c r="N4" s="48"/>
    </row>
    <row r="5" spans="1:14">
      <c r="A5" s="26">
        <v>2</v>
      </c>
      <c r="B5" s="27">
        <v>45993</v>
      </c>
      <c r="C5" s="17"/>
      <c r="D5" s="17"/>
      <c r="E5" s="92"/>
      <c r="F5" s="92"/>
      <c r="G5" s="17"/>
      <c r="H5" s="92"/>
      <c r="I5" s="92"/>
      <c r="J5" s="17"/>
      <c r="K5" s="17"/>
      <c r="L5" s="17"/>
      <c r="M5" s="17">
        <f t="shared" ref="M5:M33" si="0">M4+K5-L5</f>
        <v>150084.15</v>
      </c>
      <c r="N5" s="48"/>
    </row>
    <row r="6" spans="1:14">
      <c r="A6" s="26">
        <v>3</v>
      </c>
      <c r="B6" s="27">
        <v>45994</v>
      </c>
      <c r="C6" s="17"/>
      <c r="D6" s="17"/>
      <c r="E6" s="92">
        <v>400</v>
      </c>
      <c r="F6" s="92">
        <v>92.19</v>
      </c>
      <c r="G6" s="17">
        <f>E6*F6</f>
        <v>36876</v>
      </c>
      <c r="H6" s="92">
        <v>35</v>
      </c>
      <c r="I6" s="92">
        <v>104.04</v>
      </c>
      <c r="J6" s="17">
        <f>H6*I6</f>
        <v>3641.4</v>
      </c>
      <c r="K6" s="17">
        <f>G6+J6</f>
        <v>40517.4</v>
      </c>
      <c r="L6" s="17"/>
      <c r="M6" s="17">
        <f t="shared" si="0"/>
        <v>190601.55</v>
      </c>
      <c r="N6" s="48"/>
    </row>
    <row r="7" spans="1:14">
      <c r="A7" s="26">
        <v>4</v>
      </c>
      <c r="B7" s="27">
        <v>45995</v>
      </c>
      <c r="C7" s="17"/>
      <c r="D7" s="17"/>
      <c r="E7" s="92"/>
      <c r="F7" s="92"/>
      <c r="G7" s="17">
        <f t="shared" ref="G7:G33" si="1">E7*F7</f>
        <v>0</v>
      </c>
      <c r="H7" s="92"/>
      <c r="I7" s="92"/>
      <c r="J7" s="17">
        <f t="shared" ref="J7:J34" si="2">H7*I7</f>
        <v>0</v>
      </c>
      <c r="K7" s="17">
        <f t="shared" ref="K7:K33" si="3">G7+J7</f>
        <v>0</v>
      </c>
      <c r="L7" s="17"/>
      <c r="M7" s="17">
        <f t="shared" si="0"/>
        <v>190601.55</v>
      </c>
      <c r="N7" s="48"/>
    </row>
    <row r="8" spans="1:14">
      <c r="A8" s="26">
        <v>5</v>
      </c>
      <c r="B8" s="27">
        <v>45996</v>
      </c>
      <c r="C8" s="17"/>
      <c r="D8" s="17"/>
      <c r="E8" s="92"/>
      <c r="F8" s="92"/>
      <c r="G8" s="17">
        <f t="shared" si="1"/>
        <v>0</v>
      </c>
      <c r="H8" s="92"/>
      <c r="I8" s="92"/>
      <c r="J8" s="17">
        <f t="shared" si="2"/>
        <v>0</v>
      </c>
      <c r="K8" s="17">
        <f t="shared" si="3"/>
        <v>0</v>
      </c>
      <c r="L8" s="17"/>
      <c r="M8" s="17">
        <f t="shared" si="0"/>
        <v>190601.55</v>
      </c>
      <c r="N8" s="48"/>
    </row>
    <row r="9" spans="1:14">
      <c r="A9" s="26">
        <v>6</v>
      </c>
      <c r="B9" s="27">
        <v>45997</v>
      </c>
      <c r="C9" s="17"/>
      <c r="D9" s="17"/>
      <c r="E9" s="92"/>
      <c r="F9" s="92"/>
      <c r="G9" s="17">
        <f t="shared" si="1"/>
        <v>0</v>
      </c>
      <c r="H9" s="92"/>
      <c r="I9" s="92"/>
      <c r="J9" s="17">
        <f t="shared" si="2"/>
        <v>0</v>
      </c>
      <c r="K9" s="17">
        <f t="shared" si="3"/>
        <v>0</v>
      </c>
      <c r="L9" s="17">
        <v>128006</v>
      </c>
      <c r="M9" s="17">
        <f t="shared" si="0"/>
        <v>62595.549999999988</v>
      </c>
      <c r="N9" s="48"/>
    </row>
    <row r="10" spans="1:14">
      <c r="A10" s="26">
        <v>7</v>
      </c>
      <c r="B10" s="27">
        <v>45998</v>
      </c>
      <c r="C10" s="17"/>
      <c r="D10" s="17"/>
      <c r="E10" s="92">
        <v>600</v>
      </c>
      <c r="F10" s="92">
        <v>92.19</v>
      </c>
      <c r="G10" s="17">
        <f t="shared" si="1"/>
        <v>55314</v>
      </c>
      <c r="H10" s="92">
        <v>35</v>
      </c>
      <c r="I10" s="92">
        <v>104.04</v>
      </c>
      <c r="J10" s="17">
        <f t="shared" si="2"/>
        <v>3641.4</v>
      </c>
      <c r="K10" s="17">
        <f t="shared" si="3"/>
        <v>58955.4</v>
      </c>
      <c r="L10" s="17"/>
      <c r="M10" s="17">
        <f t="shared" si="0"/>
        <v>121550.94999999998</v>
      </c>
      <c r="N10" s="48"/>
    </row>
    <row r="11" spans="1:14">
      <c r="A11" s="26">
        <v>8</v>
      </c>
      <c r="B11" s="27">
        <v>45999</v>
      </c>
      <c r="C11" s="17"/>
      <c r="D11" s="17"/>
      <c r="E11" s="92"/>
      <c r="F11" s="92"/>
      <c r="G11" s="17">
        <f>E11*F11</f>
        <v>0</v>
      </c>
      <c r="H11" s="92"/>
      <c r="I11" s="92"/>
      <c r="J11" s="17">
        <f t="shared" si="2"/>
        <v>0</v>
      </c>
      <c r="K11" s="17">
        <f>G11+J11</f>
        <v>0</v>
      </c>
      <c r="L11" s="17"/>
      <c r="M11" s="17">
        <f t="shared" si="0"/>
        <v>121550.94999999998</v>
      </c>
      <c r="N11" s="48"/>
    </row>
    <row r="12" spans="1:14">
      <c r="A12" s="26">
        <v>9</v>
      </c>
      <c r="B12" s="27">
        <v>46000</v>
      </c>
      <c r="C12" s="17"/>
      <c r="D12" s="17"/>
      <c r="E12" s="92"/>
      <c r="F12" s="92"/>
      <c r="G12" s="17">
        <f t="shared" si="1"/>
        <v>0</v>
      </c>
      <c r="H12" s="92"/>
      <c r="I12" s="92"/>
      <c r="J12" s="17">
        <f t="shared" si="2"/>
        <v>0</v>
      </c>
      <c r="K12" s="17">
        <f t="shared" si="3"/>
        <v>0</v>
      </c>
      <c r="L12" s="17"/>
      <c r="M12" s="17">
        <f t="shared" si="0"/>
        <v>121550.94999999998</v>
      </c>
      <c r="N12" s="48"/>
    </row>
    <row r="13" spans="1:14">
      <c r="A13" s="26">
        <v>10</v>
      </c>
      <c r="B13" s="27">
        <v>46001</v>
      </c>
      <c r="C13" s="17"/>
      <c r="D13" s="17"/>
      <c r="E13" s="92"/>
      <c r="F13" s="92"/>
      <c r="G13" s="17">
        <f t="shared" si="1"/>
        <v>0</v>
      </c>
      <c r="H13" s="92"/>
      <c r="I13" s="92"/>
      <c r="J13" s="17">
        <f t="shared" si="2"/>
        <v>0</v>
      </c>
      <c r="K13" s="17">
        <f t="shared" si="3"/>
        <v>0</v>
      </c>
      <c r="L13" s="17"/>
      <c r="M13" s="17">
        <f t="shared" si="0"/>
        <v>121550.94999999998</v>
      </c>
      <c r="N13" s="48"/>
    </row>
    <row r="14" spans="1:14">
      <c r="A14" s="26">
        <v>11</v>
      </c>
      <c r="B14" s="27">
        <v>46002</v>
      </c>
      <c r="C14" s="17"/>
      <c r="D14" s="17"/>
      <c r="E14" s="92"/>
      <c r="F14" s="92"/>
      <c r="G14" s="17">
        <f t="shared" si="1"/>
        <v>0</v>
      </c>
      <c r="H14" s="92"/>
      <c r="I14" s="92"/>
      <c r="J14" s="17">
        <f t="shared" si="2"/>
        <v>0</v>
      </c>
      <c r="K14" s="17">
        <f t="shared" si="3"/>
        <v>0</v>
      </c>
      <c r="L14" s="17"/>
      <c r="M14" s="17">
        <f t="shared" si="0"/>
        <v>121550.94999999998</v>
      </c>
      <c r="N14" s="48"/>
    </row>
    <row r="15" spans="1:14">
      <c r="A15" s="26">
        <v>12</v>
      </c>
      <c r="B15" s="27">
        <v>46003</v>
      </c>
      <c r="C15" s="17"/>
      <c r="D15" s="17"/>
      <c r="E15" s="92">
        <v>600</v>
      </c>
      <c r="F15" s="92">
        <v>92.19</v>
      </c>
      <c r="G15" s="17">
        <f t="shared" ref="G15" si="4">E15*F15</f>
        <v>55314</v>
      </c>
      <c r="H15" s="92">
        <v>35</v>
      </c>
      <c r="I15" s="92">
        <v>104.04</v>
      </c>
      <c r="J15" s="17">
        <f t="shared" si="2"/>
        <v>3641.4</v>
      </c>
      <c r="K15" s="17">
        <f t="shared" si="3"/>
        <v>58955.4</v>
      </c>
      <c r="L15" s="17">
        <v>121551</v>
      </c>
      <c r="M15" s="17">
        <f t="shared" si="0"/>
        <v>58955.349999999977</v>
      </c>
      <c r="N15" s="48"/>
    </row>
    <row r="16" spans="1:14">
      <c r="A16" s="26">
        <v>13</v>
      </c>
      <c r="B16" s="27">
        <v>46004</v>
      </c>
      <c r="C16" s="17"/>
      <c r="D16" s="17"/>
      <c r="E16" s="92"/>
      <c r="F16" s="92"/>
      <c r="G16" s="17">
        <f t="shared" si="1"/>
        <v>0</v>
      </c>
      <c r="H16" s="92"/>
      <c r="I16" s="92"/>
      <c r="J16" s="17">
        <f t="shared" si="2"/>
        <v>0</v>
      </c>
      <c r="K16" s="17">
        <f t="shared" si="3"/>
        <v>0</v>
      </c>
      <c r="L16" s="17"/>
      <c r="M16" s="17">
        <f t="shared" si="0"/>
        <v>58955.349999999977</v>
      </c>
      <c r="N16" s="48"/>
    </row>
    <row r="17" spans="1:14">
      <c r="A17" s="26">
        <v>14</v>
      </c>
      <c r="B17" s="27">
        <v>46005</v>
      </c>
      <c r="C17" s="17"/>
      <c r="D17" s="17"/>
      <c r="E17" s="92"/>
      <c r="F17" s="92"/>
      <c r="G17" s="17">
        <f t="shared" si="1"/>
        <v>0</v>
      </c>
      <c r="H17" s="92"/>
      <c r="I17" s="92"/>
      <c r="J17" s="17">
        <f t="shared" si="2"/>
        <v>0</v>
      </c>
      <c r="K17" s="17">
        <f t="shared" si="3"/>
        <v>0</v>
      </c>
      <c r="L17" s="17"/>
      <c r="M17" s="17">
        <f t="shared" si="0"/>
        <v>58955.349999999977</v>
      </c>
      <c r="N17" s="48"/>
    </row>
    <row r="18" spans="1:14">
      <c r="A18" s="26">
        <v>15</v>
      </c>
      <c r="B18" s="27">
        <v>46006</v>
      </c>
      <c r="C18" s="17"/>
      <c r="D18" s="17"/>
      <c r="E18" s="92"/>
      <c r="F18" s="92"/>
      <c r="G18" s="17">
        <f t="shared" si="1"/>
        <v>0</v>
      </c>
      <c r="H18" s="92"/>
      <c r="I18" s="92"/>
      <c r="J18" s="17">
        <f t="shared" si="2"/>
        <v>0</v>
      </c>
      <c r="K18" s="17">
        <f t="shared" si="3"/>
        <v>0</v>
      </c>
      <c r="L18" s="17">
        <v>58955.35</v>
      </c>
      <c r="M18" s="17">
        <f t="shared" si="0"/>
        <v>0</v>
      </c>
      <c r="N18" s="48"/>
    </row>
    <row r="19" spans="1:14">
      <c r="A19" s="26">
        <v>16</v>
      </c>
      <c r="B19" s="27">
        <v>46007</v>
      </c>
      <c r="C19" s="17"/>
      <c r="D19" s="17"/>
      <c r="E19" s="92"/>
      <c r="F19" s="92"/>
      <c r="G19" s="17">
        <f t="shared" si="1"/>
        <v>0</v>
      </c>
      <c r="H19" s="92"/>
      <c r="I19" s="92"/>
      <c r="J19" s="17">
        <f t="shared" si="2"/>
        <v>0</v>
      </c>
      <c r="K19" s="17">
        <f t="shared" si="3"/>
        <v>0</v>
      </c>
      <c r="L19" s="17"/>
      <c r="M19" s="17">
        <f t="shared" si="0"/>
        <v>0</v>
      </c>
      <c r="N19" s="48"/>
    </row>
    <row r="20" spans="1:14">
      <c r="A20" s="26">
        <v>17</v>
      </c>
      <c r="B20" s="27">
        <v>46008</v>
      </c>
      <c r="C20" s="17"/>
      <c r="D20" s="17"/>
      <c r="E20" s="92"/>
      <c r="F20" s="92"/>
      <c r="G20" s="17">
        <f t="shared" si="1"/>
        <v>0</v>
      </c>
      <c r="H20" s="92"/>
      <c r="I20" s="92"/>
      <c r="J20" s="17">
        <f t="shared" si="2"/>
        <v>0</v>
      </c>
      <c r="K20" s="17">
        <f t="shared" si="3"/>
        <v>0</v>
      </c>
      <c r="L20" s="17"/>
      <c r="M20" s="17">
        <f t="shared" si="0"/>
        <v>0</v>
      </c>
      <c r="N20" s="48"/>
    </row>
    <row r="21" spans="1:14">
      <c r="A21" s="26">
        <v>18</v>
      </c>
      <c r="B21" s="27">
        <v>46009</v>
      </c>
      <c r="C21" s="17"/>
      <c r="D21" s="17"/>
      <c r="E21" s="92">
        <v>600</v>
      </c>
      <c r="F21" s="92">
        <v>92.19</v>
      </c>
      <c r="G21" s="17">
        <f t="shared" si="1"/>
        <v>55314</v>
      </c>
      <c r="H21" s="92">
        <v>35</v>
      </c>
      <c r="I21" s="92">
        <v>104.04</v>
      </c>
      <c r="J21" s="17">
        <f t="shared" si="2"/>
        <v>3641.4</v>
      </c>
      <c r="K21" s="17">
        <f t="shared" si="3"/>
        <v>58955.4</v>
      </c>
      <c r="L21" s="17"/>
      <c r="M21" s="17">
        <f t="shared" si="0"/>
        <v>58955.4</v>
      </c>
      <c r="N21" s="48"/>
    </row>
    <row r="22" spans="1:14">
      <c r="A22" s="26">
        <v>19</v>
      </c>
      <c r="B22" s="27">
        <v>46010</v>
      </c>
      <c r="C22" s="17"/>
      <c r="D22" s="17"/>
      <c r="E22" s="92"/>
      <c r="F22" s="92"/>
      <c r="G22" s="17">
        <f t="shared" si="1"/>
        <v>0</v>
      </c>
      <c r="H22" s="92"/>
      <c r="I22" s="92"/>
      <c r="J22" s="17">
        <f t="shared" si="2"/>
        <v>0</v>
      </c>
      <c r="K22" s="17">
        <f t="shared" si="3"/>
        <v>0</v>
      </c>
      <c r="L22" s="17"/>
      <c r="M22" s="17">
        <f t="shared" si="0"/>
        <v>58955.4</v>
      </c>
      <c r="N22" s="48"/>
    </row>
    <row r="23" spans="1:14">
      <c r="A23" s="26">
        <v>20</v>
      </c>
      <c r="B23" s="27">
        <v>46011</v>
      </c>
      <c r="C23" s="17"/>
      <c r="D23" s="17"/>
      <c r="E23" s="92"/>
      <c r="F23" s="92"/>
      <c r="G23" s="17">
        <f t="shared" si="1"/>
        <v>0</v>
      </c>
      <c r="H23" s="92"/>
      <c r="I23" s="92"/>
      <c r="J23" s="17">
        <f t="shared" si="2"/>
        <v>0</v>
      </c>
      <c r="K23" s="17">
        <f t="shared" si="3"/>
        <v>0</v>
      </c>
      <c r="L23" s="17"/>
      <c r="M23" s="17">
        <f t="shared" si="0"/>
        <v>58955.4</v>
      </c>
      <c r="N23" s="48"/>
    </row>
    <row r="24" spans="1:14">
      <c r="A24" s="26">
        <v>21</v>
      </c>
      <c r="B24" s="27">
        <v>46012</v>
      </c>
      <c r="C24" s="17"/>
      <c r="D24" s="17"/>
      <c r="E24" s="92"/>
      <c r="F24" s="92"/>
      <c r="G24" s="17">
        <f t="shared" si="1"/>
        <v>0</v>
      </c>
      <c r="H24" s="92"/>
      <c r="I24" s="92"/>
      <c r="J24" s="17">
        <f t="shared" si="2"/>
        <v>0</v>
      </c>
      <c r="K24" s="17">
        <f t="shared" si="3"/>
        <v>0</v>
      </c>
      <c r="L24" s="17"/>
      <c r="M24" s="17">
        <f t="shared" si="0"/>
        <v>58955.4</v>
      </c>
      <c r="N24" s="48"/>
    </row>
    <row r="25" spans="1:14">
      <c r="A25" s="26">
        <v>22</v>
      </c>
      <c r="B25" s="27">
        <v>46013</v>
      </c>
      <c r="C25" s="17"/>
      <c r="D25" s="17"/>
      <c r="E25" s="92">
        <v>470</v>
      </c>
      <c r="F25" s="92">
        <v>92.19</v>
      </c>
      <c r="G25" s="17">
        <f t="shared" si="1"/>
        <v>43329.299999999996</v>
      </c>
      <c r="H25" s="92">
        <v>25</v>
      </c>
      <c r="I25" s="92">
        <v>104.04</v>
      </c>
      <c r="J25" s="17">
        <f t="shared" si="2"/>
        <v>2601</v>
      </c>
      <c r="K25" s="17">
        <f t="shared" si="3"/>
        <v>45930.299999999996</v>
      </c>
      <c r="L25" s="17"/>
      <c r="M25" s="17">
        <f t="shared" si="0"/>
        <v>104885.7</v>
      </c>
      <c r="N25" s="48"/>
    </row>
    <row r="26" spans="1:14">
      <c r="A26" s="26">
        <v>23</v>
      </c>
      <c r="B26" s="27">
        <v>46014</v>
      </c>
      <c r="C26" s="17"/>
      <c r="D26" s="17"/>
      <c r="E26" s="92"/>
      <c r="F26" s="92"/>
      <c r="G26" s="17">
        <f t="shared" si="1"/>
        <v>0</v>
      </c>
      <c r="H26" s="92"/>
      <c r="I26" s="92"/>
      <c r="J26" s="17">
        <f t="shared" si="2"/>
        <v>0</v>
      </c>
      <c r="K26" s="17">
        <f t="shared" si="3"/>
        <v>0</v>
      </c>
      <c r="L26" s="17"/>
      <c r="M26" s="17">
        <f t="shared" si="0"/>
        <v>104885.7</v>
      </c>
      <c r="N26" s="48"/>
    </row>
    <row r="27" spans="1:14">
      <c r="A27" s="26">
        <v>24</v>
      </c>
      <c r="B27" s="27">
        <v>46015</v>
      </c>
      <c r="C27" s="17"/>
      <c r="D27" s="17"/>
      <c r="E27" s="92"/>
      <c r="F27" s="92"/>
      <c r="G27" s="17">
        <f t="shared" si="1"/>
        <v>0</v>
      </c>
      <c r="H27" s="92"/>
      <c r="I27" s="92"/>
      <c r="J27" s="17">
        <f t="shared" si="2"/>
        <v>0</v>
      </c>
      <c r="K27" s="17">
        <f t="shared" si="3"/>
        <v>0</v>
      </c>
      <c r="L27" s="17"/>
      <c r="M27" s="17">
        <f t="shared" si="0"/>
        <v>104885.7</v>
      </c>
      <c r="N27" s="48"/>
    </row>
    <row r="28" spans="1:14">
      <c r="A28" s="26">
        <v>25</v>
      </c>
      <c r="B28" s="27">
        <v>46016</v>
      </c>
      <c r="C28" s="17"/>
      <c r="D28" s="17"/>
      <c r="E28" s="92"/>
      <c r="F28" s="92"/>
      <c r="G28" s="17">
        <f t="shared" si="1"/>
        <v>0</v>
      </c>
      <c r="H28" s="92"/>
      <c r="I28" s="92"/>
      <c r="J28" s="17">
        <f t="shared" si="2"/>
        <v>0</v>
      </c>
      <c r="K28" s="17">
        <f t="shared" si="3"/>
        <v>0</v>
      </c>
      <c r="L28" s="17"/>
      <c r="M28" s="17">
        <f t="shared" si="0"/>
        <v>104885.7</v>
      </c>
      <c r="N28" s="48"/>
    </row>
    <row r="29" spans="1:14">
      <c r="A29" s="26">
        <v>26</v>
      </c>
      <c r="B29" s="27">
        <v>46017</v>
      </c>
      <c r="C29" s="17"/>
      <c r="D29" s="17"/>
      <c r="E29" s="92"/>
      <c r="F29" s="92"/>
      <c r="G29" s="17">
        <f t="shared" si="1"/>
        <v>0</v>
      </c>
      <c r="H29" s="92"/>
      <c r="I29" s="92"/>
      <c r="J29" s="17">
        <f t="shared" si="2"/>
        <v>0</v>
      </c>
      <c r="K29" s="17">
        <f t="shared" si="3"/>
        <v>0</v>
      </c>
      <c r="L29" s="17"/>
      <c r="M29" s="17">
        <f t="shared" si="0"/>
        <v>104885.7</v>
      </c>
      <c r="N29" s="48"/>
    </row>
    <row r="30" spans="1:14">
      <c r="A30" s="26">
        <v>27</v>
      </c>
      <c r="B30" s="27">
        <v>46018</v>
      </c>
      <c r="C30" s="17"/>
      <c r="D30" s="17"/>
      <c r="E30" s="92"/>
      <c r="F30" s="92"/>
      <c r="G30" s="17">
        <f t="shared" si="1"/>
        <v>0</v>
      </c>
      <c r="H30" s="92"/>
      <c r="I30" s="92"/>
      <c r="J30" s="17">
        <f t="shared" si="2"/>
        <v>0</v>
      </c>
      <c r="K30" s="17">
        <f t="shared" si="3"/>
        <v>0</v>
      </c>
      <c r="L30" s="17"/>
      <c r="M30" s="17">
        <f t="shared" si="0"/>
        <v>104885.7</v>
      </c>
      <c r="N30" s="48"/>
    </row>
    <row r="31" spans="1:14">
      <c r="A31" s="26">
        <v>28</v>
      </c>
      <c r="B31" s="27">
        <v>46019</v>
      </c>
      <c r="C31" s="17"/>
      <c r="D31" s="17"/>
      <c r="E31" s="92">
        <v>400</v>
      </c>
      <c r="F31" s="92">
        <v>92.19</v>
      </c>
      <c r="G31" s="17">
        <f t="shared" si="1"/>
        <v>36876</v>
      </c>
      <c r="H31" s="92">
        <v>35</v>
      </c>
      <c r="I31" s="92">
        <v>104.04</v>
      </c>
      <c r="J31" s="17">
        <f t="shared" si="2"/>
        <v>3641.4</v>
      </c>
      <c r="K31" s="17">
        <f t="shared" si="3"/>
        <v>40517.4</v>
      </c>
      <c r="L31" s="17"/>
      <c r="M31" s="17">
        <f t="shared" si="0"/>
        <v>145403.1</v>
      </c>
      <c r="N31" s="48"/>
    </row>
    <row r="32" spans="1:14">
      <c r="A32" s="26">
        <v>29</v>
      </c>
      <c r="B32" s="27">
        <v>46020</v>
      </c>
      <c r="C32" s="17"/>
      <c r="D32" s="17"/>
      <c r="E32" s="92"/>
      <c r="F32" s="92"/>
      <c r="G32" s="17">
        <f t="shared" si="1"/>
        <v>0</v>
      </c>
      <c r="H32" s="92"/>
      <c r="I32" s="92"/>
      <c r="J32" s="17">
        <f t="shared" si="2"/>
        <v>0</v>
      </c>
      <c r="K32" s="17">
        <f t="shared" si="3"/>
        <v>0</v>
      </c>
      <c r="L32" s="17"/>
      <c r="M32" s="17">
        <f t="shared" si="0"/>
        <v>145403.1</v>
      </c>
      <c r="N32" s="48"/>
    </row>
    <row r="33" spans="1:14">
      <c r="A33" s="26">
        <v>30</v>
      </c>
      <c r="B33" s="27">
        <v>46021</v>
      </c>
      <c r="C33" s="17"/>
      <c r="D33" s="17"/>
      <c r="E33" s="92"/>
      <c r="F33" s="92"/>
      <c r="G33" s="17">
        <f t="shared" si="1"/>
        <v>0</v>
      </c>
      <c r="H33" s="92"/>
      <c r="I33" s="92"/>
      <c r="J33" s="17">
        <f t="shared" si="2"/>
        <v>0</v>
      </c>
      <c r="K33" s="17">
        <f t="shared" si="3"/>
        <v>0</v>
      </c>
      <c r="L33" s="17"/>
      <c r="M33" s="17">
        <f t="shared" si="0"/>
        <v>145403.1</v>
      </c>
      <c r="N33" s="48"/>
    </row>
    <row r="34" spans="1:14">
      <c r="A34" s="26">
        <v>31</v>
      </c>
      <c r="B34" s="27"/>
      <c r="C34" s="17"/>
      <c r="D34" s="17"/>
      <c r="E34" s="92"/>
      <c r="F34" s="92"/>
      <c r="G34" s="17"/>
      <c r="H34" s="92"/>
      <c r="I34" s="92"/>
      <c r="J34" s="17"/>
      <c r="K34" s="17"/>
      <c r="L34" s="17"/>
      <c r="M34" s="17"/>
      <c r="N34" s="48"/>
    </row>
    <row r="35" spans="1:14">
      <c r="A35" s="46"/>
      <c r="B35" s="46"/>
      <c r="C35" s="46"/>
      <c r="D35" s="46"/>
      <c r="E35" s="46">
        <f>SUM(E4:E34)</f>
        <v>3270</v>
      </c>
      <c r="F35" s="46"/>
      <c r="G35" s="46">
        <f>SUM(G4:G34)</f>
        <v>301461.3</v>
      </c>
      <c r="H35" s="46">
        <f>SUM(H4:H34)</f>
        <v>235</v>
      </c>
      <c r="I35" s="46"/>
      <c r="J35" s="46">
        <f>SUM(J4:J34)</f>
        <v>24449.4</v>
      </c>
      <c r="K35" s="46">
        <f>SUM(K4:K34)</f>
        <v>325910.7</v>
      </c>
      <c r="L35" s="46">
        <f>SUM(L4:L34)</f>
        <v>308512.34999999998</v>
      </c>
      <c r="M35" s="46"/>
      <c r="N35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6C1B-2052-4EFC-AB89-74369C91C58E}">
  <dimension ref="A1:N35"/>
  <sheetViews>
    <sheetView topLeftCell="A20" workbookViewId="0">
      <selection activeCell="L34" sqref="L34"/>
    </sheetView>
  </sheetViews>
  <sheetFormatPr defaultRowHeight="15"/>
  <cols>
    <col min="2" max="2" width="10.140625" bestFit="1" customWidth="1"/>
    <col min="3" max="3" width="15.42578125" customWidth="1"/>
    <col min="4" max="4" width="34.7109375" customWidth="1"/>
  </cols>
  <sheetData>
    <row r="1" spans="1:14" ht="15.75">
      <c r="A1" s="470" t="s">
        <v>160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spans="1:14" ht="27">
      <c r="A2" s="109" t="s">
        <v>122</v>
      </c>
      <c r="B2" s="113" t="s">
        <v>123</v>
      </c>
      <c r="C2" s="113" t="s">
        <v>124</v>
      </c>
      <c r="D2" s="113" t="s">
        <v>125</v>
      </c>
      <c r="E2" s="113" t="s">
        <v>126</v>
      </c>
      <c r="F2" s="113" t="s">
        <v>127</v>
      </c>
      <c r="G2" s="113" t="s">
        <v>128</v>
      </c>
      <c r="H2" s="113" t="s">
        <v>129</v>
      </c>
      <c r="I2" s="113" t="s">
        <v>127</v>
      </c>
      <c r="J2" s="113" t="s">
        <v>128</v>
      </c>
      <c r="K2" s="113" t="s">
        <v>130</v>
      </c>
      <c r="L2" s="113" t="s">
        <v>131</v>
      </c>
      <c r="M2" s="113" t="s">
        <v>138</v>
      </c>
      <c r="N2" s="113" t="s">
        <v>133</v>
      </c>
    </row>
    <row r="3" spans="1:14">
      <c r="A3" s="480" t="s">
        <v>134</v>
      </c>
      <c r="B3" s="480"/>
      <c r="C3" s="480"/>
      <c r="D3" s="480"/>
      <c r="E3" s="480"/>
      <c r="F3" s="480"/>
      <c r="G3" s="480"/>
      <c r="H3" s="480"/>
      <c r="I3" s="480"/>
      <c r="J3" s="480"/>
      <c r="K3" s="101">
        <v>0</v>
      </c>
      <c r="L3" s="101">
        <v>0</v>
      </c>
      <c r="M3" s="101">
        <f>+K3</f>
        <v>0</v>
      </c>
      <c r="N3" s="17"/>
    </row>
    <row r="4" spans="1:14">
      <c r="A4" s="26">
        <v>1</v>
      </c>
      <c r="B4" s="27">
        <v>45992</v>
      </c>
      <c r="C4" s="17"/>
      <c r="D4" s="17"/>
      <c r="E4" s="92"/>
      <c r="F4" s="92"/>
      <c r="G4" s="17">
        <f>E4*F4</f>
        <v>0</v>
      </c>
      <c r="H4" s="92"/>
      <c r="I4" s="92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8"/>
    </row>
    <row r="5" spans="1:14">
      <c r="A5" s="26">
        <v>2</v>
      </c>
      <c r="B5" s="27">
        <v>45993</v>
      </c>
      <c r="C5" s="17"/>
      <c r="D5" s="17"/>
      <c r="E5" s="92"/>
      <c r="F5" s="92"/>
      <c r="G5" s="17">
        <f t="shared" ref="G5:G34" si="0">E5*F5</f>
        <v>0</v>
      </c>
      <c r="H5" s="92"/>
      <c r="I5" s="92"/>
      <c r="J5" s="17">
        <f t="shared" ref="J5:J34" si="1">H5*I5</f>
        <v>0</v>
      </c>
      <c r="K5" s="17">
        <f>G5+J5</f>
        <v>0</v>
      </c>
      <c r="L5" s="17">
        <f t="shared" ref="L5:L34" si="2">K5</f>
        <v>0</v>
      </c>
      <c r="M5" s="17">
        <f t="shared" ref="M5:M27" si="3">M4+K5-L5</f>
        <v>0</v>
      </c>
      <c r="N5" s="48"/>
    </row>
    <row r="6" spans="1:14">
      <c r="A6" s="26">
        <v>3</v>
      </c>
      <c r="B6" s="27">
        <v>45994</v>
      </c>
      <c r="C6" s="17"/>
      <c r="D6" s="17"/>
      <c r="E6" s="92">
        <v>59.99</v>
      </c>
      <c r="F6" s="92">
        <v>92.19</v>
      </c>
      <c r="G6" s="17">
        <f t="shared" si="0"/>
        <v>5530.4781000000003</v>
      </c>
      <c r="H6" s="92">
        <v>31.02</v>
      </c>
      <c r="I6" s="92">
        <v>104.03</v>
      </c>
      <c r="J6" s="17">
        <f t="shared" si="1"/>
        <v>3227.0106000000001</v>
      </c>
      <c r="K6" s="17">
        <f t="shared" ref="K6:K34" si="4">G6+J6</f>
        <v>8757.4886999999999</v>
      </c>
      <c r="L6" s="17">
        <f t="shared" si="2"/>
        <v>8757.4886999999999</v>
      </c>
      <c r="M6" s="17">
        <f t="shared" si="3"/>
        <v>0</v>
      </c>
      <c r="N6" s="48"/>
    </row>
    <row r="7" spans="1:14">
      <c r="A7" s="26">
        <v>4</v>
      </c>
      <c r="B7" s="27">
        <v>45995</v>
      </c>
      <c r="C7" s="17"/>
      <c r="D7" s="17"/>
      <c r="E7" s="92">
        <v>80</v>
      </c>
      <c r="F7" s="92">
        <v>92.19</v>
      </c>
      <c r="G7" s="17">
        <f t="shared" si="0"/>
        <v>7375.2</v>
      </c>
      <c r="H7" s="92"/>
      <c r="I7" s="92"/>
      <c r="J7" s="17">
        <f t="shared" si="1"/>
        <v>0</v>
      </c>
      <c r="K7" s="17">
        <f t="shared" si="4"/>
        <v>7375.2</v>
      </c>
      <c r="L7" s="17">
        <f t="shared" si="2"/>
        <v>7375.2</v>
      </c>
      <c r="M7" s="17">
        <f t="shared" si="3"/>
        <v>0</v>
      </c>
      <c r="N7" s="48"/>
    </row>
    <row r="8" spans="1:14">
      <c r="A8" s="26">
        <v>5</v>
      </c>
      <c r="B8" s="27">
        <v>45996</v>
      </c>
      <c r="C8" s="17"/>
      <c r="D8" s="17"/>
      <c r="E8" s="92"/>
      <c r="F8" s="92"/>
      <c r="G8" s="17">
        <f t="shared" si="0"/>
        <v>0</v>
      </c>
      <c r="H8" s="92"/>
      <c r="I8" s="92"/>
      <c r="J8" s="17">
        <f t="shared" si="1"/>
        <v>0</v>
      </c>
      <c r="K8" s="17">
        <f t="shared" si="4"/>
        <v>0</v>
      </c>
      <c r="L8" s="17">
        <f t="shared" si="2"/>
        <v>0</v>
      </c>
      <c r="M8" s="17">
        <f t="shared" si="3"/>
        <v>0</v>
      </c>
      <c r="N8" s="48"/>
    </row>
    <row r="9" spans="1:14">
      <c r="A9" s="26">
        <v>6</v>
      </c>
      <c r="B9" s="27">
        <v>45997</v>
      </c>
      <c r="C9" s="17"/>
      <c r="D9" s="17"/>
      <c r="E9" s="92">
        <v>40</v>
      </c>
      <c r="F9" s="92">
        <v>92.19</v>
      </c>
      <c r="G9" s="17">
        <f t="shared" si="0"/>
        <v>3687.6</v>
      </c>
      <c r="H9" s="92"/>
      <c r="I9" s="92"/>
      <c r="J9" s="17">
        <f t="shared" si="1"/>
        <v>0</v>
      </c>
      <c r="K9" s="17">
        <f t="shared" si="4"/>
        <v>3687.6</v>
      </c>
      <c r="L9" s="17">
        <f t="shared" si="2"/>
        <v>3687.6</v>
      </c>
      <c r="M9" s="17">
        <f t="shared" si="3"/>
        <v>0</v>
      </c>
      <c r="N9" s="48"/>
    </row>
    <row r="10" spans="1:14">
      <c r="A10" s="26">
        <v>7</v>
      </c>
      <c r="B10" s="27">
        <v>45998</v>
      </c>
      <c r="C10" s="17"/>
      <c r="D10" s="17"/>
      <c r="E10" s="92"/>
      <c r="F10" s="92"/>
      <c r="G10" s="17">
        <f t="shared" si="0"/>
        <v>0</v>
      </c>
      <c r="H10" s="92"/>
      <c r="I10" s="92"/>
      <c r="J10" s="17">
        <f t="shared" si="1"/>
        <v>0</v>
      </c>
      <c r="K10" s="17">
        <f t="shared" si="4"/>
        <v>0</v>
      </c>
      <c r="L10" s="17">
        <f t="shared" si="2"/>
        <v>0</v>
      </c>
      <c r="M10" s="17">
        <f t="shared" si="3"/>
        <v>0</v>
      </c>
      <c r="N10" s="48"/>
    </row>
    <row r="11" spans="1:14">
      <c r="A11" s="26">
        <v>8</v>
      </c>
      <c r="B11" s="27">
        <v>45999</v>
      </c>
      <c r="C11" s="17"/>
      <c r="D11" s="17"/>
      <c r="E11" s="92">
        <v>100</v>
      </c>
      <c r="F11" s="92">
        <v>92.19</v>
      </c>
      <c r="G11" s="17">
        <f t="shared" si="0"/>
        <v>9219</v>
      </c>
      <c r="H11" s="92"/>
      <c r="I11" s="92"/>
      <c r="J11" s="17">
        <f t="shared" si="1"/>
        <v>0</v>
      </c>
      <c r="K11" s="17">
        <f t="shared" si="4"/>
        <v>9219</v>
      </c>
      <c r="L11" s="17">
        <f t="shared" si="2"/>
        <v>9219</v>
      </c>
      <c r="M11" s="17">
        <f t="shared" si="3"/>
        <v>0</v>
      </c>
      <c r="N11" s="48"/>
    </row>
    <row r="12" spans="1:14">
      <c r="A12" s="26">
        <v>9</v>
      </c>
      <c r="B12" s="27">
        <v>46000</v>
      </c>
      <c r="C12" s="17"/>
      <c r="D12" s="17"/>
      <c r="E12" s="92"/>
      <c r="F12" s="92"/>
      <c r="G12" s="17">
        <f t="shared" si="0"/>
        <v>0</v>
      </c>
      <c r="H12" s="92"/>
      <c r="I12" s="92"/>
      <c r="J12" s="17">
        <f t="shared" si="1"/>
        <v>0</v>
      </c>
      <c r="K12" s="17">
        <f t="shared" si="4"/>
        <v>0</v>
      </c>
      <c r="L12" s="17">
        <f t="shared" si="2"/>
        <v>0</v>
      </c>
      <c r="M12" s="17">
        <f t="shared" si="3"/>
        <v>0</v>
      </c>
      <c r="N12" s="48"/>
    </row>
    <row r="13" spans="1:14">
      <c r="A13" s="26">
        <v>10</v>
      </c>
      <c r="B13" s="27">
        <v>46001</v>
      </c>
      <c r="C13" s="17"/>
      <c r="D13" s="17"/>
      <c r="E13" s="92">
        <v>40</v>
      </c>
      <c r="F13" s="92">
        <v>92.19</v>
      </c>
      <c r="G13" s="17">
        <f t="shared" si="0"/>
        <v>3687.6</v>
      </c>
      <c r="H13" s="92">
        <v>9.56</v>
      </c>
      <c r="I13" s="92">
        <v>104.03</v>
      </c>
      <c r="J13" s="17">
        <f t="shared" si="1"/>
        <v>994.52680000000009</v>
      </c>
      <c r="K13" s="17">
        <f t="shared" si="4"/>
        <v>4682.1268</v>
      </c>
      <c r="L13" s="17">
        <f t="shared" si="2"/>
        <v>4682.1268</v>
      </c>
      <c r="M13" s="17">
        <f t="shared" si="3"/>
        <v>0</v>
      </c>
      <c r="N13" s="48"/>
    </row>
    <row r="14" spans="1:14">
      <c r="A14" s="26">
        <v>11</v>
      </c>
      <c r="B14" s="27">
        <v>46002</v>
      </c>
      <c r="C14" s="17"/>
      <c r="D14" s="17"/>
      <c r="E14" s="92">
        <v>70</v>
      </c>
      <c r="F14" s="92">
        <v>92.19</v>
      </c>
      <c r="G14" s="17">
        <f t="shared" si="0"/>
        <v>6453.3</v>
      </c>
      <c r="H14" s="92"/>
      <c r="I14" s="92"/>
      <c r="J14" s="17">
        <f t="shared" si="1"/>
        <v>0</v>
      </c>
      <c r="K14" s="17">
        <f t="shared" si="4"/>
        <v>6453.3</v>
      </c>
      <c r="L14" s="17">
        <f t="shared" si="2"/>
        <v>6453.3</v>
      </c>
      <c r="M14" s="17">
        <f t="shared" si="3"/>
        <v>0</v>
      </c>
      <c r="N14" s="48"/>
    </row>
    <row r="15" spans="1:14">
      <c r="A15" s="26">
        <v>12</v>
      </c>
      <c r="B15" s="27">
        <v>46003</v>
      </c>
      <c r="C15" s="17"/>
      <c r="D15" s="17"/>
      <c r="E15" s="92">
        <v>105</v>
      </c>
      <c r="F15" s="92">
        <v>92.19</v>
      </c>
      <c r="G15" s="17">
        <f t="shared" si="0"/>
        <v>9679.9499999999989</v>
      </c>
      <c r="H15" s="92"/>
      <c r="I15" s="92"/>
      <c r="J15" s="17">
        <f t="shared" si="1"/>
        <v>0</v>
      </c>
      <c r="K15" s="17">
        <f t="shared" si="4"/>
        <v>9679.9499999999989</v>
      </c>
      <c r="L15" s="17">
        <f t="shared" si="2"/>
        <v>9679.9499999999989</v>
      </c>
      <c r="M15" s="17">
        <f t="shared" si="3"/>
        <v>0</v>
      </c>
      <c r="N15" s="48"/>
    </row>
    <row r="16" spans="1:14">
      <c r="A16" s="26">
        <v>13</v>
      </c>
      <c r="B16" s="27">
        <v>46004</v>
      </c>
      <c r="C16" s="17"/>
      <c r="D16" s="17"/>
      <c r="E16" s="92"/>
      <c r="F16" s="92"/>
      <c r="G16" s="17">
        <f t="shared" si="0"/>
        <v>0</v>
      </c>
      <c r="H16" s="92"/>
      <c r="I16" s="364"/>
      <c r="J16" s="17">
        <f t="shared" si="1"/>
        <v>0</v>
      </c>
      <c r="K16" s="17">
        <f t="shared" si="4"/>
        <v>0</v>
      </c>
      <c r="L16" s="17">
        <f t="shared" si="2"/>
        <v>0</v>
      </c>
      <c r="M16" s="17">
        <f t="shared" si="3"/>
        <v>0</v>
      </c>
      <c r="N16" s="48"/>
    </row>
    <row r="17" spans="1:14">
      <c r="A17" s="26">
        <v>14</v>
      </c>
      <c r="B17" s="27">
        <v>46005</v>
      </c>
      <c r="C17" s="17"/>
      <c r="D17" s="17"/>
      <c r="E17" s="92"/>
      <c r="F17" s="92"/>
      <c r="G17" s="17">
        <f t="shared" si="0"/>
        <v>0</v>
      </c>
      <c r="H17" s="92"/>
      <c r="I17" s="92"/>
      <c r="J17" s="17">
        <f t="shared" si="1"/>
        <v>0</v>
      </c>
      <c r="K17" s="17">
        <f t="shared" si="4"/>
        <v>0</v>
      </c>
      <c r="L17" s="17">
        <f t="shared" si="2"/>
        <v>0</v>
      </c>
      <c r="M17" s="17">
        <f t="shared" si="3"/>
        <v>0</v>
      </c>
      <c r="N17" s="48"/>
    </row>
    <row r="18" spans="1:14">
      <c r="A18" s="26">
        <v>15</v>
      </c>
      <c r="B18" s="27">
        <v>46006</v>
      </c>
      <c r="C18" s="17"/>
      <c r="D18" s="17"/>
      <c r="E18" s="92"/>
      <c r="F18" s="92"/>
      <c r="G18" s="17">
        <f t="shared" si="0"/>
        <v>0</v>
      </c>
      <c r="H18" s="92"/>
      <c r="I18" s="92"/>
      <c r="J18" s="17">
        <f t="shared" si="1"/>
        <v>0</v>
      </c>
      <c r="K18" s="17">
        <f t="shared" si="4"/>
        <v>0</v>
      </c>
      <c r="L18" s="17">
        <f t="shared" si="2"/>
        <v>0</v>
      </c>
      <c r="M18" s="17">
        <f t="shared" si="3"/>
        <v>0</v>
      </c>
      <c r="N18" s="48"/>
    </row>
    <row r="19" spans="1:14">
      <c r="A19" s="26">
        <v>16</v>
      </c>
      <c r="B19" s="27">
        <v>46007</v>
      </c>
      <c r="C19" s="17"/>
      <c r="D19" s="17"/>
      <c r="E19" s="92"/>
      <c r="F19" s="92"/>
      <c r="G19" s="17">
        <f t="shared" si="0"/>
        <v>0</v>
      </c>
      <c r="H19" s="92"/>
      <c r="I19" s="92"/>
      <c r="J19" s="17">
        <f t="shared" si="1"/>
        <v>0</v>
      </c>
      <c r="K19" s="17">
        <f t="shared" si="4"/>
        <v>0</v>
      </c>
      <c r="L19" s="17">
        <f t="shared" si="2"/>
        <v>0</v>
      </c>
      <c r="M19" s="17">
        <f t="shared" si="3"/>
        <v>0</v>
      </c>
      <c r="N19" s="48"/>
    </row>
    <row r="20" spans="1:14">
      <c r="A20" s="26">
        <v>17</v>
      </c>
      <c r="B20" s="27">
        <v>46008</v>
      </c>
      <c r="C20" s="17"/>
      <c r="D20" s="17"/>
      <c r="E20" s="92">
        <v>75</v>
      </c>
      <c r="F20" s="92">
        <v>92.22</v>
      </c>
      <c r="G20" s="17">
        <f t="shared" si="0"/>
        <v>6916.5</v>
      </c>
      <c r="H20" s="92">
        <v>10</v>
      </c>
      <c r="I20" s="92">
        <v>104.03</v>
      </c>
      <c r="J20" s="17">
        <f t="shared" si="1"/>
        <v>1040.3</v>
      </c>
      <c r="K20" s="17">
        <f t="shared" si="4"/>
        <v>7956.8</v>
      </c>
      <c r="L20" s="17">
        <f t="shared" si="2"/>
        <v>7956.8</v>
      </c>
      <c r="M20" s="17">
        <f t="shared" si="3"/>
        <v>0</v>
      </c>
      <c r="N20" s="48"/>
    </row>
    <row r="21" spans="1:14">
      <c r="A21" s="26">
        <v>18</v>
      </c>
      <c r="B21" s="27">
        <v>46009</v>
      </c>
      <c r="C21" s="17"/>
      <c r="D21" s="17"/>
      <c r="E21" s="92">
        <v>40.64</v>
      </c>
      <c r="F21" s="92">
        <v>92.19</v>
      </c>
      <c r="G21" s="17">
        <f t="shared" si="0"/>
        <v>3746.6016</v>
      </c>
      <c r="H21" s="92"/>
      <c r="I21" s="92"/>
      <c r="J21" s="17">
        <f t="shared" si="1"/>
        <v>0</v>
      </c>
      <c r="K21" s="17">
        <f t="shared" si="4"/>
        <v>3746.6016</v>
      </c>
      <c r="L21" s="17">
        <f t="shared" si="2"/>
        <v>3746.6016</v>
      </c>
      <c r="M21" s="17">
        <f t="shared" si="3"/>
        <v>0</v>
      </c>
      <c r="N21" s="48"/>
    </row>
    <row r="22" spans="1:14">
      <c r="A22" s="26">
        <v>19</v>
      </c>
      <c r="B22" s="27">
        <v>46010</v>
      </c>
      <c r="C22" s="17"/>
      <c r="D22" s="17"/>
      <c r="E22" s="92">
        <v>90</v>
      </c>
      <c r="F22" s="92">
        <v>92.19</v>
      </c>
      <c r="G22" s="17">
        <f t="shared" si="0"/>
        <v>8297.1</v>
      </c>
      <c r="H22" s="92">
        <v>10</v>
      </c>
      <c r="I22" s="92">
        <v>104.03</v>
      </c>
      <c r="J22" s="17">
        <f t="shared" si="1"/>
        <v>1040.3</v>
      </c>
      <c r="K22" s="17">
        <f t="shared" si="4"/>
        <v>9337.4</v>
      </c>
      <c r="L22" s="17">
        <f t="shared" si="2"/>
        <v>9337.4</v>
      </c>
      <c r="M22" s="17">
        <f t="shared" si="3"/>
        <v>0</v>
      </c>
      <c r="N22" s="48"/>
    </row>
    <row r="23" spans="1:14">
      <c r="A23" s="26">
        <v>20</v>
      </c>
      <c r="B23" s="27">
        <v>46011</v>
      </c>
      <c r="C23" s="17"/>
      <c r="D23" s="17"/>
      <c r="E23" s="92"/>
      <c r="F23" s="92"/>
      <c r="G23" s="17">
        <f t="shared" si="0"/>
        <v>0</v>
      </c>
      <c r="H23" s="92"/>
      <c r="I23" s="92"/>
      <c r="J23" s="17">
        <f t="shared" si="1"/>
        <v>0</v>
      </c>
      <c r="K23" s="17">
        <f t="shared" si="4"/>
        <v>0</v>
      </c>
      <c r="L23" s="17">
        <f t="shared" si="2"/>
        <v>0</v>
      </c>
      <c r="M23" s="17">
        <f t="shared" si="3"/>
        <v>0</v>
      </c>
      <c r="N23" s="48"/>
    </row>
    <row r="24" spans="1:14">
      <c r="A24" s="26">
        <v>21</v>
      </c>
      <c r="B24" s="27">
        <v>46012</v>
      </c>
      <c r="C24" s="17"/>
      <c r="D24" s="17"/>
      <c r="E24" s="92"/>
      <c r="F24" s="92"/>
      <c r="G24" s="17">
        <f t="shared" si="0"/>
        <v>0</v>
      </c>
      <c r="H24" s="92"/>
      <c r="I24" s="92"/>
      <c r="J24" s="17">
        <f t="shared" si="1"/>
        <v>0</v>
      </c>
      <c r="K24" s="17">
        <f t="shared" si="4"/>
        <v>0</v>
      </c>
      <c r="L24" s="17">
        <f t="shared" si="2"/>
        <v>0</v>
      </c>
      <c r="M24" s="17">
        <f t="shared" si="3"/>
        <v>0</v>
      </c>
      <c r="N24" s="48"/>
    </row>
    <row r="25" spans="1:14">
      <c r="A25" s="26">
        <v>22</v>
      </c>
      <c r="B25" s="27">
        <v>46013</v>
      </c>
      <c r="C25" s="17"/>
      <c r="D25" s="17"/>
      <c r="E25" s="92"/>
      <c r="F25" s="92"/>
      <c r="G25" s="17">
        <f t="shared" si="0"/>
        <v>0</v>
      </c>
      <c r="H25" s="92"/>
      <c r="I25" s="92"/>
      <c r="J25" s="17">
        <f t="shared" si="1"/>
        <v>0</v>
      </c>
      <c r="K25" s="17">
        <f t="shared" si="4"/>
        <v>0</v>
      </c>
      <c r="L25" s="17">
        <f t="shared" si="2"/>
        <v>0</v>
      </c>
      <c r="M25" s="17">
        <f t="shared" si="3"/>
        <v>0</v>
      </c>
      <c r="N25" s="48"/>
    </row>
    <row r="26" spans="1:14">
      <c r="A26" s="26">
        <v>23</v>
      </c>
      <c r="B26" s="27">
        <v>46014</v>
      </c>
      <c r="C26" s="17"/>
      <c r="D26" s="17"/>
      <c r="E26" s="92">
        <v>90</v>
      </c>
      <c r="F26" s="92">
        <v>92.19</v>
      </c>
      <c r="G26" s="17">
        <f t="shared" si="0"/>
        <v>8297.1</v>
      </c>
      <c r="H26" s="92">
        <v>5</v>
      </c>
      <c r="I26" s="92">
        <v>104.03</v>
      </c>
      <c r="J26" s="17">
        <f t="shared" si="1"/>
        <v>520.15</v>
      </c>
      <c r="K26" s="17">
        <f t="shared" si="4"/>
        <v>8817.25</v>
      </c>
      <c r="L26" s="17">
        <f t="shared" si="2"/>
        <v>8817.25</v>
      </c>
      <c r="M26" s="17">
        <f t="shared" si="3"/>
        <v>0</v>
      </c>
      <c r="N26" s="48"/>
    </row>
    <row r="27" spans="1:14">
      <c r="A27" s="26">
        <v>24</v>
      </c>
      <c r="B27" s="27">
        <v>46015</v>
      </c>
      <c r="C27" s="17"/>
      <c r="D27" s="17"/>
      <c r="E27" s="92"/>
      <c r="F27" s="92"/>
      <c r="G27" s="17">
        <f t="shared" si="0"/>
        <v>0</v>
      </c>
      <c r="H27" s="92"/>
      <c r="I27" s="92"/>
      <c r="J27" s="17">
        <f t="shared" si="1"/>
        <v>0</v>
      </c>
      <c r="K27" s="17">
        <f t="shared" si="4"/>
        <v>0</v>
      </c>
      <c r="L27" s="17">
        <f t="shared" si="2"/>
        <v>0</v>
      </c>
      <c r="M27" s="17">
        <f t="shared" si="3"/>
        <v>0</v>
      </c>
      <c r="N27" s="48"/>
    </row>
    <row r="28" spans="1:14">
      <c r="A28" s="26">
        <v>25</v>
      </c>
      <c r="B28" s="27">
        <v>46016</v>
      </c>
      <c r="C28" s="17"/>
      <c r="D28" s="17"/>
      <c r="E28" s="92"/>
      <c r="F28" s="92"/>
      <c r="G28" s="17">
        <f t="shared" si="0"/>
        <v>0</v>
      </c>
      <c r="H28" s="92"/>
      <c r="I28" s="92"/>
      <c r="J28" s="17">
        <f t="shared" si="1"/>
        <v>0</v>
      </c>
      <c r="K28" s="17">
        <f>G28+J28</f>
        <v>0</v>
      </c>
      <c r="L28" s="17">
        <f t="shared" si="2"/>
        <v>0</v>
      </c>
      <c r="M28" s="17">
        <v>0</v>
      </c>
      <c r="N28" s="48"/>
    </row>
    <row r="29" spans="1:14">
      <c r="A29" s="26">
        <v>26</v>
      </c>
      <c r="B29" s="27">
        <v>46017</v>
      </c>
      <c r="C29" s="17"/>
      <c r="D29" s="17"/>
      <c r="E29" s="92"/>
      <c r="F29" s="92"/>
      <c r="G29" s="17">
        <f t="shared" si="0"/>
        <v>0</v>
      </c>
      <c r="H29" s="92"/>
      <c r="I29" s="92"/>
      <c r="J29" s="17">
        <f t="shared" si="1"/>
        <v>0</v>
      </c>
      <c r="K29" s="17">
        <f t="shared" si="4"/>
        <v>0</v>
      </c>
      <c r="L29" s="17">
        <f t="shared" si="2"/>
        <v>0</v>
      </c>
      <c r="M29" s="17">
        <v>0</v>
      </c>
      <c r="N29" s="48"/>
    </row>
    <row r="30" spans="1:14">
      <c r="A30" s="26">
        <v>27</v>
      </c>
      <c r="B30" s="27">
        <v>46018</v>
      </c>
      <c r="C30" s="17"/>
      <c r="D30" s="17"/>
      <c r="E30" s="92">
        <v>89.02</v>
      </c>
      <c r="F30" s="92">
        <v>92.19</v>
      </c>
      <c r="G30" s="17">
        <f t="shared" si="0"/>
        <v>8206.7537999999986</v>
      </c>
      <c r="H30" s="92">
        <v>5</v>
      </c>
      <c r="I30" s="92">
        <v>104.03</v>
      </c>
      <c r="J30" s="17">
        <f t="shared" si="1"/>
        <v>520.15</v>
      </c>
      <c r="K30" s="17">
        <f t="shared" si="4"/>
        <v>8726.9037999999982</v>
      </c>
      <c r="L30" s="17">
        <f t="shared" si="2"/>
        <v>8726.9037999999982</v>
      </c>
      <c r="M30" s="17">
        <v>0</v>
      </c>
      <c r="N30" s="48"/>
    </row>
    <row r="31" spans="1:14">
      <c r="A31" s="26">
        <v>28</v>
      </c>
      <c r="B31" s="27">
        <v>46019</v>
      </c>
      <c r="C31" s="17"/>
      <c r="D31" s="17"/>
      <c r="E31" s="92"/>
      <c r="F31" s="92"/>
      <c r="G31" s="17">
        <f t="shared" si="0"/>
        <v>0</v>
      </c>
      <c r="H31" s="92"/>
      <c r="I31" s="92"/>
      <c r="J31" s="17">
        <f t="shared" si="1"/>
        <v>0</v>
      </c>
      <c r="K31" s="17">
        <f t="shared" si="4"/>
        <v>0</v>
      </c>
      <c r="L31" s="17">
        <f t="shared" si="2"/>
        <v>0</v>
      </c>
      <c r="M31" s="17">
        <v>0</v>
      </c>
      <c r="N31" s="48"/>
    </row>
    <row r="32" spans="1:14">
      <c r="A32" s="26">
        <v>29</v>
      </c>
      <c r="B32" s="27">
        <v>46020</v>
      </c>
      <c r="C32" s="17"/>
      <c r="D32" s="17"/>
      <c r="E32" s="92"/>
      <c r="F32" s="92"/>
      <c r="G32" s="17">
        <f t="shared" si="0"/>
        <v>0</v>
      </c>
      <c r="H32" s="92"/>
      <c r="I32" s="92"/>
      <c r="J32" s="17">
        <f t="shared" si="1"/>
        <v>0</v>
      </c>
      <c r="K32" s="17">
        <f t="shared" si="4"/>
        <v>0</v>
      </c>
      <c r="L32" s="17">
        <f t="shared" si="2"/>
        <v>0</v>
      </c>
      <c r="M32" s="17"/>
      <c r="N32" s="48"/>
    </row>
    <row r="33" spans="1:14">
      <c r="A33" s="26">
        <v>30</v>
      </c>
      <c r="B33" s="27">
        <v>46021</v>
      </c>
      <c r="C33" s="17"/>
      <c r="D33" s="17"/>
      <c r="E33" s="92"/>
      <c r="F33" s="92"/>
      <c r="G33" s="17">
        <f t="shared" si="0"/>
        <v>0</v>
      </c>
      <c r="H33" s="92">
        <v>5</v>
      </c>
      <c r="I33" s="92">
        <v>104.03</v>
      </c>
      <c r="J33" s="17">
        <f t="shared" si="1"/>
        <v>520.15</v>
      </c>
      <c r="K33" s="17">
        <f t="shared" si="4"/>
        <v>520.15</v>
      </c>
      <c r="L33" s="17">
        <f t="shared" si="2"/>
        <v>520.15</v>
      </c>
      <c r="M33" s="17"/>
      <c r="N33" s="48"/>
    </row>
    <row r="34" spans="1:14">
      <c r="A34" s="26">
        <v>31</v>
      </c>
      <c r="B34" s="27">
        <v>46022</v>
      </c>
      <c r="C34" s="17"/>
      <c r="D34" s="17"/>
      <c r="E34" s="92">
        <v>60.01</v>
      </c>
      <c r="F34" s="92">
        <v>92.19</v>
      </c>
      <c r="G34" s="17">
        <f t="shared" si="0"/>
        <v>5532.3218999999999</v>
      </c>
      <c r="H34" s="92">
        <v>5</v>
      </c>
      <c r="I34" s="92">
        <v>104.03</v>
      </c>
      <c r="J34" s="17">
        <f t="shared" si="1"/>
        <v>520.15</v>
      </c>
      <c r="K34" s="17">
        <f t="shared" si="4"/>
        <v>6052.4718999999996</v>
      </c>
      <c r="L34" s="17">
        <f t="shared" si="2"/>
        <v>6052.4718999999996</v>
      </c>
      <c r="M34" s="17"/>
      <c r="N34" s="48"/>
    </row>
    <row r="35" spans="1:14">
      <c r="A35" s="46"/>
      <c r="B35" s="46"/>
      <c r="C35" s="46"/>
      <c r="D35" s="46"/>
      <c r="E35" s="46">
        <f>SUM(E4:E34)</f>
        <v>939.66</v>
      </c>
      <c r="F35" s="46"/>
      <c r="G35" s="46">
        <f>SUM(G4:G34)</f>
        <v>86629.50539999998</v>
      </c>
      <c r="H35" s="46">
        <f>SUM(H4:H34)</f>
        <v>80.58</v>
      </c>
      <c r="I35" s="46"/>
      <c r="J35" s="46">
        <f>SUM(J4:J34)</f>
        <v>8382.7374</v>
      </c>
      <c r="K35" s="46">
        <f>SUM(K4:K34)</f>
        <v>95012.242799999993</v>
      </c>
      <c r="L35" s="46">
        <f>SUM(L4:L34)</f>
        <v>95012.242799999993</v>
      </c>
      <c r="M35" s="46"/>
      <c r="N35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5"/>
  <sheetViews>
    <sheetView topLeftCell="A18" workbookViewId="0">
      <selection activeCell="M34" sqref="M34"/>
    </sheetView>
  </sheetViews>
  <sheetFormatPr defaultRowHeight="15"/>
  <cols>
    <col min="2" max="2" width="10.140625" bestFit="1" customWidth="1"/>
    <col min="4" max="4" width="24.85546875" bestFit="1" customWidth="1"/>
  </cols>
  <sheetData>
    <row r="1" spans="1:14" ht="15.75">
      <c r="A1" s="470" t="s">
        <v>161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spans="1:14" ht="25.5">
      <c r="A2" s="109" t="s">
        <v>122</v>
      </c>
      <c r="B2" s="113" t="s">
        <v>123</v>
      </c>
      <c r="C2" s="113" t="s">
        <v>124</v>
      </c>
      <c r="D2" s="113" t="s">
        <v>125</v>
      </c>
      <c r="E2" s="113" t="s">
        <v>126</v>
      </c>
      <c r="F2" s="113" t="s">
        <v>127</v>
      </c>
      <c r="G2" s="113" t="s">
        <v>128</v>
      </c>
      <c r="H2" s="113" t="s">
        <v>129</v>
      </c>
      <c r="I2" s="113" t="s">
        <v>127</v>
      </c>
      <c r="J2" s="113" t="s">
        <v>128</v>
      </c>
      <c r="K2" s="113" t="s">
        <v>130</v>
      </c>
      <c r="L2" s="113" t="s">
        <v>131</v>
      </c>
      <c r="M2" s="113" t="s">
        <v>138</v>
      </c>
      <c r="N2" s="113" t="s">
        <v>133</v>
      </c>
    </row>
    <row r="3" spans="1:14">
      <c r="A3" s="480" t="s">
        <v>134</v>
      </c>
      <c r="B3" s="480"/>
      <c r="C3" s="480"/>
      <c r="D3" s="480"/>
      <c r="E3" s="480"/>
      <c r="F3" s="480"/>
      <c r="G3" s="480"/>
      <c r="H3" s="480"/>
      <c r="I3" s="480"/>
      <c r="J3" s="480"/>
      <c r="K3" s="101">
        <v>0</v>
      </c>
      <c r="L3" s="101">
        <v>0</v>
      </c>
      <c r="M3" s="101">
        <f>+K3</f>
        <v>0</v>
      </c>
      <c r="N3" s="17"/>
    </row>
    <row r="4" spans="1:14">
      <c r="A4" s="26">
        <v>1</v>
      </c>
      <c r="B4" s="27">
        <v>45992</v>
      </c>
      <c r="C4" s="17"/>
      <c r="D4" s="17"/>
      <c r="E4" s="92"/>
      <c r="F4" s="92"/>
      <c r="G4" s="17">
        <f>E4*F4</f>
        <v>0</v>
      </c>
      <c r="H4" s="92"/>
      <c r="I4" s="92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8"/>
    </row>
    <row r="5" spans="1:14">
      <c r="A5" s="26">
        <v>2</v>
      </c>
      <c r="B5" s="27">
        <v>45993</v>
      </c>
      <c r="C5" s="17"/>
      <c r="D5" s="17"/>
      <c r="E5" s="92"/>
      <c r="F5" s="92"/>
      <c r="G5" s="17">
        <f t="shared" ref="G5" si="0">E5*F5</f>
        <v>0</v>
      </c>
      <c r="H5" s="92"/>
      <c r="I5" s="92"/>
      <c r="J5" s="17">
        <f t="shared" ref="J5" si="1">H5*I5</f>
        <v>0</v>
      </c>
      <c r="K5" s="17">
        <f>G5+J5</f>
        <v>0</v>
      </c>
      <c r="L5" s="17">
        <f t="shared" ref="L5:L33" si="2">K5</f>
        <v>0</v>
      </c>
      <c r="M5" s="17">
        <f t="shared" ref="M5:M34" si="3">M4+K5-L5</f>
        <v>0</v>
      </c>
      <c r="N5" s="48"/>
    </row>
    <row r="6" spans="1:14">
      <c r="A6" s="26">
        <v>3</v>
      </c>
      <c r="B6" s="27">
        <v>45994</v>
      </c>
      <c r="C6" s="17"/>
      <c r="D6" s="17"/>
      <c r="E6" s="92"/>
      <c r="F6" s="92"/>
      <c r="G6" s="17">
        <f t="shared" ref="G5:G34" si="4">E6*F6</f>
        <v>0</v>
      </c>
      <c r="H6" s="92"/>
      <c r="I6" s="92"/>
      <c r="J6" s="17">
        <f t="shared" ref="J5:J33" si="5">H6*I6</f>
        <v>0</v>
      </c>
      <c r="K6" s="17">
        <f t="shared" ref="K5:K34" si="6">G6+J6</f>
        <v>0</v>
      </c>
      <c r="L6" s="17">
        <f t="shared" si="2"/>
        <v>0</v>
      </c>
      <c r="M6" s="17">
        <f t="shared" si="3"/>
        <v>0</v>
      </c>
      <c r="N6" s="48"/>
    </row>
    <row r="7" spans="1:14">
      <c r="A7" s="26">
        <v>4</v>
      </c>
      <c r="B7" s="27">
        <v>45995</v>
      </c>
      <c r="C7" s="17"/>
      <c r="D7" s="17"/>
      <c r="E7" s="92">
        <v>190</v>
      </c>
      <c r="F7" s="364">
        <v>92.17</v>
      </c>
      <c r="G7" s="17">
        <f t="shared" si="4"/>
        <v>17512.3</v>
      </c>
      <c r="H7" s="92">
        <v>20.012</v>
      </c>
      <c r="I7" s="92">
        <v>104.02</v>
      </c>
      <c r="J7" s="17">
        <f t="shared" si="5"/>
        <v>2081.64824</v>
      </c>
      <c r="K7" s="17">
        <f t="shared" si="6"/>
        <v>19593.948239999998</v>
      </c>
      <c r="L7" s="17">
        <f t="shared" si="2"/>
        <v>19593.948239999998</v>
      </c>
      <c r="M7" s="17">
        <f t="shared" si="3"/>
        <v>0</v>
      </c>
      <c r="N7" s="48"/>
    </row>
    <row r="8" spans="1:14">
      <c r="A8" s="26">
        <v>5</v>
      </c>
      <c r="B8" s="27">
        <v>45996</v>
      </c>
      <c r="C8" s="17"/>
      <c r="D8" s="17"/>
      <c r="E8" s="92"/>
      <c r="F8" s="92"/>
      <c r="G8" s="17">
        <f t="shared" si="4"/>
        <v>0</v>
      </c>
      <c r="H8" s="92"/>
      <c r="I8" s="92"/>
      <c r="J8" s="17">
        <f t="shared" si="5"/>
        <v>0</v>
      </c>
      <c r="K8" s="17">
        <f t="shared" si="6"/>
        <v>0</v>
      </c>
      <c r="L8" s="17">
        <f t="shared" si="2"/>
        <v>0</v>
      </c>
      <c r="M8" s="17">
        <f t="shared" si="3"/>
        <v>0</v>
      </c>
      <c r="N8" s="48"/>
    </row>
    <row r="9" spans="1:14">
      <c r="A9" s="26">
        <v>6</v>
      </c>
      <c r="B9" s="27">
        <v>45997</v>
      </c>
      <c r="C9" s="17"/>
      <c r="D9" s="17"/>
      <c r="E9" s="92">
        <v>85</v>
      </c>
      <c r="F9" s="92">
        <v>92.17</v>
      </c>
      <c r="G9" s="17">
        <f t="shared" si="4"/>
        <v>7834.45</v>
      </c>
      <c r="H9" s="92"/>
      <c r="I9" s="92"/>
      <c r="J9" s="17">
        <f t="shared" si="5"/>
        <v>0</v>
      </c>
      <c r="K9" s="17">
        <f t="shared" si="6"/>
        <v>7834.45</v>
      </c>
      <c r="L9" s="17">
        <f t="shared" si="2"/>
        <v>7834.45</v>
      </c>
      <c r="M9" s="17">
        <f t="shared" si="3"/>
        <v>0</v>
      </c>
      <c r="N9" s="48"/>
    </row>
    <row r="10" spans="1:14">
      <c r="A10" s="26">
        <v>7</v>
      </c>
      <c r="B10" s="27">
        <v>45998</v>
      </c>
      <c r="C10" s="17"/>
      <c r="D10" s="17"/>
      <c r="E10" s="92">
        <v>325</v>
      </c>
      <c r="F10" s="92">
        <v>92.17</v>
      </c>
      <c r="G10" s="17">
        <f t="shared" si="4"/>
        <v>29955.25</v>
      </c>
      <c r="H10" s="92"/>
      <c r="I10" s="92"/>
      <c r="J10" s="17">
        <f t="shared" si="5"/>
        <v>0</v>
      </c>
      <c r="K10" s="17">
        <f t="shared" si="6"/>
        <v>29955.25</v>
      </c>
      <c r="L10" s="17">
        <f t="shared" si="2"/>
        <v>29955.25</v>
      </c>
      <c r="M10" s="17">
        <f t="shared" si="3"/>
        <v>0</v>
      </c>
      <c r="N10" s="48"/>
    </row>
    <row r="11" spans="1:14">
      <c r="A11" s="26">
        <v>8</v>
      </c>
      <c r="B11" s="27">
        <v>45999</v>
      </c>
      <c r="C11" s="17"/>
      <c r="D11" s="17"/>
      <c r="E11" s="92"/>
      <c r="F11" s="92"/>
      <c r="G11" s="17">
        <f t="shared" si="4"/>
        <v>0</v>
      </c>
      <c r="H11" s="92"/>
      <c r="I11" s="92"/>
      <c r="J11" s="17">
        <f t="shared" si="5"/>
        <v>0</v>
      </c>
      <c r="K11" s="17">
        <f t="shared" si="6"/>
        <v>0</v>
      </c>
      <c r="L11" s="17">
        <f t="shared" si="2"/>
        <v>0</v>
      </c>
      <c r="M11" s="17">
        <f t="shared" si="3"/>
        <v>0</v>
      </c>
      <c r="N11" s="48"/>
    </row>
    <row r="12" spans="1:14">
      <c r="A12" s="26">
        <v>9</v>
      </c>
      <c r="B12" s="27">
        <v>46000</v>
      </c>
      <c r="C12" s="17"/>
      <c r="D12" s="17"/>
      <c r="E12" s="92"/>
      <c r="F12" s="92"/>
      <c r="G12" s="17">
        <f t="shared" si="4"/>
        <v>0</v>
      </c>
      <c r="H12" s="92"/>
      <c r="I12" s="92"/>
      <c r="J12" s="17">
        <f t="shared" si="5"/>
        <v>0</v>
      </c>
      <c r="K12" s="17">
        <f t="shared" si="6"/>
        <v>0</v>
      </c>
      <c r="L12" s="17">
        <f t="shared" si="2"/>
        <v>0</v>
      </c>
      <c r="M12" s="17">
        <f t="shared" si="3"/>
        <v>0</v>
      </c>
      <c r="N12" s="48"/>
    </row>
    <row r="13" spans="1:14">
      <c r="A13" s="26">
        <v>10</v>
      </c>
      <c r="B13" s="27">
        <v>46001</v>
      </c>
      <c r="C13" s="17"/>
      <c r="D13" s="17"/>
      <c r="E13" s="92"/>
      <c r="F13" s="92"/>
      <c r="G13" s="17">
        <f t="shared" si="4"/>
        <v>0</v>
      </c>
      <c r="H13" s="92"/>
      <c r="I13" s="92"/>
      <c r="J13" s="17">
        <f t="shared" si="5"/>
        <v>0</v>
      </c>
      <c r="K13" s="17">
        <f t="shared" si="6"/>
        <v>0</v>
      </c>
      <c r="L13" s="17">
        <f t="shared" si="2"/>
        <v>0</v>
      </c>
      <c r="M13" s="17">
        <f t="shared" si="3"/>
        <v>0</v>
      </c>
      <c r="N13" s="48"/>
    </row>
    <row r="14" spans="1:14">
      <c r="A14" s="26">
        <v>11</v>
      </c>
      <c r="B14" s="27">
        <v>46002</v>
      </c>
      <c r="C14" s="17"/>
      <c r="D14" s="17"/>
      <c r="E14" s="92"/>
      <c r="F14" s="92"/>
      <c r="G14" s="17">
        <f t="shared" si="4"/>
        <v>0</v>
      </c>
      <c r="H14" s="92"/>
      <c r="I14" s="92"/>
      <c r="J14" s="17">
        <f t="shared" si="5"/>
        <v>0</v>
      </c>
      <c r="K14" s="17">
        <f t="shared" si="6"/>
        <v>0</v>
      </c>
      <c r="L14" s="17">
        <f t="shared" si="2"/>
        <v>0</v>
      </c>
      <c r="M14" s="17">
        <f t="shared" si="3"/>
        <v>0</v>
      </c>
      <c r="N14" s="48"/>
    </row>
    <row r="15" spans="1:14">
      <c r="A15" s="26">
        <v>12</v>
      </c>
      <c r="B15" s="27">
        <v>46003</v>
      </c>
      <c r="C15" s="17"/>
      <c r="D15" s="17"/>
      <c r="E15" s="92"/>
      <c r="F15" s="92"/>
      <c r="G15" s="17">
        <f t="shared" si="4"/>
        <v>0</v>
      </c>
      <c r="H15" s="92"/>
      <c r="I15" s="92"/>
      <c r="J15" s="17">
        <f t="shared" si="5"/>
        <v>0</v>
      </c>
      <c r="K15" s="17">
        <f t="shared" si="6"/>
        <v>0</v>
      </c>
      <c r="L15" s="17">
        <f t="shared" si="2"/>
        <v>0</v>
      </c>
      <c r="M15" s="17">
        <f t="shared" si="3"/>
        <v>0</v>
      </c>
      <c r="N15" s="48"/>
    </row>
    <row r="16" spans="1:14">
      <c r="A16" s="26">
        <v>13</v>
      </c>
      <c r="B16" s="27">
        <v>46004</v>
      </c>
      <c r="C16" s="17"/>
      <c r="D16" s="17"/>
      <c r="E16" s="92"/>
      <c r="F16" s="92"/>
      <c r="G16" s="17">
        <f t="shared" si="4"/>
        <v>0</v>
      </c>
      <c r="H16" s="92"/>
      <c r="I16" s="364"/>
      <c r="J16" s="17">
        <f t="shared" si="5"/>
        <v>0</v>
      </c>
      <c r="K16" s="17">
        <f t="shared" si="6"/>
        <v>0</v>
      </c>
      <c r="L16" s="17">
        <f t="shared" si="2"/>
        <v>0</v>
      </c>
      <c r="M16" s="17">
        <f t="shared" si="3"/>
        <v>0</v>
      </c>
      <c r="N16" s="48"/>
    </row>
    <row r="17" spans="1:14">
      <c r="A17" s="26">
        <v>14</v>
      </c>
      <c r="B17" s="27">
        <v>46005</v>
      </c>
      <c r="C17" s="17"/>
      <c r="D17" s="17"/>
      <c r="E17" s="92"/>
      <c r="F17" s="92"/>
      <c r="G17" s="17">
        <f t="shared" si="4"/>
        <v>0</v>
      </c>
      <c r="H17" s="92"/>
      <c r="I17" s="92"/>
      <c r="J17" s="17">
        <f t="shared" si="5"/>
        <v>0</v>
      </c>
      <c r="K17" s="17">
        <f t="shared" si="6"/>
        <v>0</v>
      </c>
      <c r="L17" s="17">
        <f t="shared" si="2"/>
        <v>0</v>
      </c>
      <c r="M17" s="17">
        <f t="shared" si="3"/>
        <v>0</v>
      </c>
      <c r="N17" s="48"/>
    </row>
    <row r="18" spans="1:14">
      <c r="A18" s="26">
        <v>15</v>
      </c>
      <c r="B18" s="27">
        <v>46006</v>
      </c>
      <c r="C18" s="17"/>
      <c r="D18" s="17"/>
      <c r="E18" s="92"/>
      <c r="F18" s="92"/>
      <c r="G18" s="17">
        <f t="shared" si="4"/>
        <v>0</v>
      </c>
      <c r="H18" s="92"/>
      <c r="I18" s="92"/>
      <c r="J18" s="17">
        <f t="shared" si="5"/>
        <v>0</v>
      </c>
      <c r="K18" s="17">
        <f t="shared" si="6"/>
        <v>0</v>
      </c>
      <c r="L18" s="17">
        <f t="shared" si="2"/>
        <v>0</v>
      </c>
      <c r="M18" s="17">
        <f t="shared" si="3"/>
        <v>0</v>
      </c>
      <c r="N18" s="48"/>
    </row>
    <row r="19" spans="1:14">
      <c r="A19" s="26">
        <v>16</v>
      </c>
      <c r="B19" s="27">
        <v>46007</v>
      </c>
      <c r="C19" s="17"/>
      <c r="D19" s="17"/>
      <c r="E19" s="92">
        <v>85</v>
      </c>
      <c r="F19" s="92">
        <v>92.17</v>
      </c>
      <c r="G19" s="17">
        <f t="shared" si="4"/>
        <v>7834.45</v>
      </c>
      <c r="H19" s="92">
        <v>20</v>
      </c>
      <c r="I19" s="92">
        <v>104.02</v>
      </c>
      <c r="J19" s="17">
        <f t="shared" si="5"/>
        <v>2080.4</v>
      </c>
      <c r="K19" s="17">
        <f t="shared" si="6"/>
        <v>9914.85</v>
      </c>
      <c r="L19" s="17">
        <f t="shared" si="2"/>
        <v>9914.85</v>
      </c>
      <c r="M19" s="17">
        <f t="shared" si="3"/>
        <v>0</v>
      </c>
      <c r="N19" s="48"/>
    </row>
    <row r="20" spans="1:14">
      <c r="A20" s="26">
        <v>17</v>
      </c>
      <c r="B20" s="27">
        <v>46008</v>
      </c>
      <c r="C20" s="17"/>
      <c r="D20" s="17"/>
      <c r="E20" s="92"/>
      <c r="F20" s="92"/>
      <c r="G20" s="17">
        <f t="shared" si="4"/>
        <v>0</v>
      </c>
      <c r="H20" s="92"/>
      <c r="I20" s="92"/>
      <c r="J20" s="17">
        <f t="shared" si="5"/>
        <v>0</v>
      </c>
      <c r="K20" s="17">
        <f t="shared" si="6"/>
        <v>0</v>
      </c>
      <c r="L20" s="17">
        <f t="shared" si="2"/>
        <v>0</v>
      </c>
      <c r="M20" s="17">
        <f t="shared" si="3"/>
        <v>0</v>
      </c>
      <c r="N20" s="48"/>
    </row>
    <row r="21" spans="1:14">
      <c r="A21" s="26">
        <v>18</v>
      </c>
      <c r="B21" s="27">
        <v>46009</v>
      </c>
      <c r="C21" s="17"/>
      <c r="D21" s="17"/>
      <c r="E21" s="92"/>
      <c r="F21" s="92"/>
      <c r="G21" s="17">
        <f t="shared" si="4"/>
        <v>0</v>
      </c>
      <c r="H21" s="92"/>
      <c r="I21" s="92"/>
      <c r="J21" s="17">
        <f t="shared" si="5"/>
        <v>0</v>
      </c>
      <c r="K21" s="17">
        <f t="shared" si="6"/>
        <v>0</v>
      </c>
      <c r="L21" s="17">
        <f t="shared" si="2"/>
        <v>0</v>
      </c>
      <c r="M21" s="17">
        <f t="shared" si="3"/>
        <v>0</v>
      </c>
      <c r="N21" s="48"/>
    </row>
    <row r="22" spans="1:14">
      <c r="A22" s="26">
        <v>19</v>
      </c>
      <c r="B22" s="27">
        <v>46010</v>
      </c>
      <c r="C22" s="17"/>
      <c r="D22" s="17"/>
      <c r="E22" s="92"/>
      <c r="F22" s="92"/>
      <c r="G22" s="17">
        <f t="shared" si="4"/>
        <v>0</v>
      </c>
      <c r="H22" s="92"/>
      <c r="I22" s="92"/>
      <c r="J22" s="17">
        <f t="shared" si="5"/>
        <v>0</v>
      </c>
      <c r="K22" s="17">
        <f t="shared" si="6"/>
        <v>0</v>
      </c>
      <c r="L22" s="17">
        <f t="shared" si="2"/>
        <v>0</v>
      </c>
      <c r="M22" s="17">
        <f t="shared" si="3"/>
        <v>0</v>
      </c>
      <c r="N22" s="48"/>
    </row>
    <row r="23" spans="1:14">
      <c r="A23" s="26">
        <v>20</v>
      </c>
      <c r="B23" s="27">
        <v>46011</v>
      </c>
      <c r="C23" s="17"/>
      <c r="D23" s="17"/>
      <c r="E23" s="92">
        <v>159.99</v>
      </c>
      <c r="F23" s="92">
        <v>92.17</v>
      </c>
      <c r="G23" s="17">
        <f t="shared" si="4"/>
        <v>14746.278300000002</v>
      </c>
      <c r="H23" s="92">
        <v>0</v>
      </c>
      <c r="I23" s="92">
        <v>104.02</v>
      </c>
      <c r="J23" s="17">
        <f t="shared" si="5"/>
        <v>0</v>
      </c>
      <c r="K23" s="17">
        <f t="shared" si="6"/>
        <v>14746.278300000002</v>
      </c>
      <c r="L23" s="17">
        <f t="shared" si="2"/>
        <v>14746.278300000002</v>
      </c>
      <c r="M23" s="17">
        <f t="shared" si="3"/>
        <v>0</v>
      </c>
      <c r="N23" s="48"/>
    </row>
    <row r="24" spans="1:14">
      <c r="A24" s="26">
        <v>21</v>
      </c>
      <c r="B24" s="27">
        <v>46012</v>
      </c>
      <c r="C24" s="17"/>
      <c r="D24" s="17"/>
      <c r="E24" s="92"/>
      <c r="F24" s="92"/>
      <c r="G24" s="17">
        <f t="shared" si="4"/>
        <v>0</v>
      </c>
      <c r="H24" s="92"/>
      <c r="I24" s="92"/>
      <c r="J24" s="17">
        <f t="shared" si="5"/>
        <v>0</v>
      </c>
      <c r="K24" s="17">
        <f t="shared" si="6"/>
        <v>0</v>
      </c>
      <c r="L24" s="17">
        <f t="shared" si="2"/>
        <v>0</v>
      </c>
      <c r="M24" s="17">
        <f t="shared" si="3"/>
        <v>0</v>
      </c>
      <c r="N24" s="48"/>
    </row>
    <row r="25" spans="1:14">
      <c r="A25" s="26">
        <v>22</v>
      </c>
      <c r="B25" s="27">
        <v>46013</v>
      </c>
      <c r="C25" s="17"/>
      <c r="D25" s="17"/>
      <c r="E25" s="92"/>
      <c r="F25" s="92"/>
      <c r="G25" s="17">
        <f t="shared" si="4"/>
        <v>0</v>
      </c>
      <c r="H25" s="92"/>
      <c r="I25" s="92"/>
      <c r="J25" s="17">
        <f t="shared" si="5"/>
        <v>0</v>
      </c>
      <c r="K25" s="17">
        <f t="shared" si="6"/>
        <v>0</v>
      </c>
      <c r="L25" s="17">
        <f t="shared" si="2"/>
        <v>0</v>
      </c>
      <c r="M25" s="17">
        <f t="shared" si="3"/>
        <v>0</v>
      </c>
      <c r="N25" s="48"/>
    </row>
    <row r="26" spans="1:14">
      <c r="A26" s="26">
        <v>23</v>
      </c>
      <c r="B26" s="27">
        <v>46014</v>
      </c>
      <c r="C26" s="17"/>
      <c r="D26" s="17"/>
      <c r="E26" s="92"/>
      <c r="F26" s="92"/>
      <c r="G26" s="17">
        <f t="shared" si="4"/>
        <v>0</v>
      </c>
      <c r="H26" s="92"/>
      <c r="I26" s="92"/>
      <c r="J26" s="17">
        <f t="shared" si="5"/>
        <v>0</v>
      </c>
      <c r="K26" s="17">
        <f t="shared" si="6"/>
        <v>0</v>
      </c>
      <c r="L26" s="17">
        <f t="shared" si="2"/>
        <v>0</v>
      </c>
      <c r="M26" s="17">
        <f t="shared" si="3"/>
        <v>0</v>
      </c>
      <c r="N26" s="48"/>
    </row>
    <row r="27" spans="1:14">
      <c r="A27" s="26">
        <v>24</v>
      </c>
      <c r="B27" s="27">
        <v>46015</v>
      </c>
      <c r="C27" s="17"/>
      <c r="D27" s="448" t="s">
        <v>162</v>
      </c>
      <c r="E27" s="92">
        <v>300</v>
      </c>
      <c r="F27" s="92">
        <v>92.19</v>
      </c>
      <c r="G27" s="17">
        <f t="shared" si="4"/>
        <v>27657</v>
      </c>
      <c r="H27" s="92">
        <v>10</v>
      </c>
      <c r="I27" s="92">
        <v>104.02</v>
      </c>
      <c r="J27" s="17">
        <f t="shared" si="5"/>
        <v>1040.2</v>
      </c>
      <c r="K27" s="17">
        <f t="shared" si="6"/>
        <v>28697.200000000001</v>
      </c>
      <c r="L27" s="17">
        <v>0</v>
      </c>
      <c r="M27" s="17">
        <f t="shared" si="3"/>
        <v>28697.200000000001</v>
      </c>
      <c r="N27" s="48"/>
    </row>
    <row r="28" spans="1:14">
      <c r="A28" s="26">
        <v>25</v>
      </c>
      <c r="B28" s="27">
        <v>46016</v>
      </c>
      <c r="C28" s="17"/>
      <c r="D28" s="17"/>
      <c r="E28" s="92"/>
      <c r="F28" s="92"/>
      <c r="G28" s="17">
        <f t="shared" si="4"/>
        <v>0</v>
      </c>
      <c r="H28" s="92"/>
      <c r="I28" s="92"/>
      <c r="J28" s="17">
        <f t="shared" si="5"/>
        <v>0</v>
      </c>
      <c r="K28" s="17">
        <f t="shared" si="6"/>
        <v>0</v>
      </c>
      <c r="L28" s="17">
        <f t="shared" si="2"/>
        <v>0</v>
      </c>
      <c r="M28" s="17">
        <f t="shared" si="3"/>
        <v>28697.200000000001</v>
      </c>
      <c r="N28" s="48"/>
    </row>
    <row r="29" spans="1:14">
      <c r="A29" s="26">
        <v>26</v>
      </c>
      <c r="B29" s="27">
        <v>46017</v>
      </c>
      <c r="C29" s="17"/>
      <c r="D29" s="17"/>
      <c r="E29" s="92"/>
      <c r="F29" s="92"/>
      <c r="G29" s="17">
        <f t="shared" si="4"/>
        <v>0</v>
      </c>
      <c r="H29" s="92"/>
      <c r="I29" s="92"/>
      <c r="J29" s="17">
        <f t="shared" si="5"/>
        <v>0</v>
      </c>
      <c r="K29" s="17">
        <f t="shared" si="6"/>
        <v>0</v>
      </c>
      <c r="L29" s="17">
        <f t="shared" si="2"/>
        <v>0</v>
      </c>
      <c r="M29" s="17">
        <f t="shared" si="3"/>
        <v>28697.200000000001</v>
      </c>
      <c r="N29" s="48"/>
    </row>
    <row r="30" spans="1:14">
      <c r="A30" s="26">
        <v>27</v>
      </c>
      <c r="B30" s="27">
        <v>46018</v>
      </c>
      <c r="C30" s="17"/>
      <c r="D30" s="17"/>
      <c r="E30" s="92"/>
      <c r="F30" s="92"/>
      <c r="G30" s="17">
        <f t="shared" si="4"/>
        <v>0</v>
      </c>
      <c r="H30" s="92"/>
      <c r="I30" s="92"/>
      <c r="J30" s="17">
        <f t="shared" si="5"/>
        <v>0</v>
      </c>
      <c r="K30" s="17">
        <f t="shared" si="6"/>
        <v>0</v>
      </c>
      <c r="L30" s="17">
        <f t="shared" si="2"/>
        <v>0</v>
      </c>
      <c r="M30" s="17">
        <f t="shared" si="3"/>
        <v>28697.200000000001</v>
      </c>
      <c r="N30" s="48"/>
    </row>
    <row r="31" spans="1:14">
      <c r="A31" s="26">
        <v>28</v>
      </c>
      <c r="B31" s="27">
        <v>46019</v>
      </c>
      <c r="C31" s="17"/>
      <c r="D31" s="17"/>
      <c r="E31" s="92"/>
      <c r="F31" s="92"/>
      <c r="G31" s="17">
        <f t="shared" si="4"/>
        <v>0</v>
      </c>
      <c r="H31" s="92"/>
      <c r="I31" s="92"/>
      <c r="J31" s="17">
        <f t="shared" si="5"/>
        <v>0</v>
      </c>
      <c r="K31" s="17">
        <f t="shared" si="6"/>
        <v>0</v>
      </c>
      <c r="L31" s="17">
        <f t="shared" si="2"/>
        <v>0</v>
      </c>
      <c r="M31" s="17">
        <f t="shared" si="3"/>
        <v>28697.200000000001</v>
      </c>
      <c r="N31" s="48"/>
    </row>
    <row r="32" spans="1:14">
      <c r="A32" s="26">
        <v>29</v>
      </c>
      <c r="B32" s="27">
        <v>46020</v>
      </c>
      <c r="C32" s="17"/>
      <c r="D32" s="17"/>
      <c r="E32" s="92"/>
      <c r="F32" s="92"/>
      <c r="G32" s="17">
        <f t="shared" si="4"/>
        <v>0</v>
      </c>
      <c r="H32" s="92"/>
      <c r="I32" s="92"/>
      <c r="J32" s="17">
        <f t="shared" si="5"/>
        <v>0</v>
      </c>
      <c r="K32" s="17">
        <f t="shared" si="6"/>
        <v>0</v>
      </c>
      <c r="L32" s="17">
        <f t="shared" si="2"/>
        <v>0</v>
      </c>
      <c r="M32" s="17">
        <f t="shared" si="3"/>
        <v>28697.200000000001</v>
      </c>
      <c r="N32" s="48"/>
    </row>
    <row r="33" spans="1:14">
      <c r="A33" s="26">
        <v>30</v>
      </c>
      <c r="B33" s="27">
        <v>46021</v>
      </c>
      <c r="C33" s="17"/>
      <c r="D33" s="17"/>
      <c r="E33" s="92"/>
      <c r="F33" s="92"/>
      <c r="G33" s="17">
        <f t="shared" si="4"/>
        <v>0</v>
      </c>
      <c r="H33" s="92"/>
      <c r="I33" s="92"/>
      <c r="J33" s="17">
        <f t="shared" si="5"/>
        <v>0</v>
      </c>
      <c r="K33" s="17">
        <f t="shared" si="6"/>
        <v>0</v>
      </c>
      <c r="L33" s="17">
        <f t="shared" ref="L33:L34" si="7">K33</f>
        <v>0</v>
      </c>
      <c r="M33" s="17">
        <f t="shared" si="3"/>
        <v>28697.200000000001</v>
      </c>
      <c r="N33" s="48"/>
    </row>
    <row r="34" spans="1:14">
      <c r="A34" s="26">
        <v>31</v>
      </c>
      <c r="B34" s="27">
        <v>46022</v>
      </c>
      <c r="C34" s="17"/>
      <c r="D34" s="17"/>
      <c r="E34" s="92">
        <v>270</v>
      </c>
      <c r="F34" s="92">
        <v>92.19</v>
      </c>
      <c r="G34" s="17">
        <f t="shared" si="4"/>
        <v>24891.3</v>
      </c>
      <c r="H34" s="92"/>
      <c r="I34" s="92"/>
      <c r="J34" s="17"/>
      <c r="K34" s="17">
        <f>G34+J34</f>
        <v>24891.3</v>
      </c>
      <c r="L34" s="17">
        <v>0</v>
      </c>
      <c r="M34" s="17">
        <f t="shared" si="3"/>
        <v>53588.5</v>
      </c>
      <c r="N34" s="48"/>
    </row>
    <row r="35" spans="1:14">
      <c r="A35" s="46"/>
      <c r="B35" s="46"/>
      <c r="C35" s="46"/>
      <c r="D35" s="46"/>
      <c r="E35" s="46">
        <f>SUM(E4:E34)</f>
        <v>1414.99</v>
      </c>
      <c r="F35" s="46"/>
      <c r="G35" s="46">
        <f>SUM(G4:G34)</f>
        <v>130431.02830000001</v>
      </c>
      <c r="H35" s="46">
        <f>SUM(H4:H34)</f>
        <v>50.012</v>
      </c>
      <c r="I35" s="46"/>
      <c r="J35" s="46">
        <f>SUM(J4:J34)</f>
        <v>5202.2482399999999</v>
      </c>
      <c r="K35" s="46">
        <f>SUM(K4:K34)</f>
        <v>135633.27653999999</v>
      </c>
      <c r="L35" s="46">
        <f>SUM(L4:L34)</f>
        <v>82044.776540000006</v>
      </c>
      <c r="M35" s="46"/>
      <c r="N35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46A-CC6F-4EF6-BB30-60E9EE9B0804}">
  <dimension ref="A1:N35"/>
  <sheetViews>
    <sheetView topLeftCell="A17" workbookViewId="0">
      <selection activeCell="L34" sqref="L34"/>
    </sheetView>
  </sheetViews>
  <sheetFormatPr defaultRowHeight="15"/>
  <cols>
    <col min="2" max="2" width="10.140625" bestFit="1" customWidth="1"/>
  </cols>
  <sheetData>
    <row r="1" spans="1:14" ht="15.75">
      <c r="A1" s="470" t="s">
        <v>50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spans="1:14" ht="27">
      <c r="A2" s="109" t="s">
        <v>122</v>
      </c>
      <c r="B2" s="113" t="s">
        <v>123</v>
      </c>
      <c r="C2" s="113" t="s">
        <v>124</v>
      </c>
      <c r="D2" s="113" t="s">
        <v>125</v>
      </c>
      <c r="E2" s="113" t="s">
        <v>126</v>
      </c>
      <c r="F2" s="113" t="s">
        <v>127</v>
      </c>
      <c r="G2" s="113" t="s">
        <v>128</v>
      </c>
      <c r="H2" s="113" t="s">
        <v>129</v>
      </c>
      <c r="I2" s="113" t="s">
        <v>127</v>
      </c>
      <c r="J2" s="113" t="s">
        <v>128</v>
      </c>
      <c r="K2" s="113" t="s">
        <v>130</v>
      </c>
      <c r="L2" s="113" t="s">
        <v>131</v>
      </c>
      <c r="M2" s="113" t="s">
        <v>138</v>
      </c>
      <c r="N2" s="113" t="s">
        <v>133</v>
      </c>
    </row>
    <row r="3" spans="1:14">
      <c r="A3" s="480" t="s">
        <v>134</v>
      </c>
      <c r="B3" s="480"/>
      <c r="C3" s="480"/>
      <c r="D3" s="480"/>
      <c r="E3" s="480"/>
      <c r="F3" s="480"/>
      <c r="G3" s="480"/>
      <c r="H3" s="480"/>
      <c r="I3" s="480"/>
      <c r="J3" s="480"/>
      <c r="K3" s="101">
        <v>0</v>
      </c>
      <c r="L3" s="101">
        <v>0</v>
      </c>
      <c r="M3" s="101">
        <f>+K3</f>
        <v>0</v>
      </c>
      <c r="N3" s="17"/>
    </row>
    <row r="4" spans="1:14">
      <c r="A4" s="26">
        <v>1</v>
      </c>
      <c r="B4" s="27">
        <v>45992</v>
      </c>
      <c r="C4" s="17"/>
      <c r="D4" s="17"/>
      <c r="E4" s="92"/>
      <c r="F4" s="92"/>
      <c r="G4" s="17">
        <f>E4*F4</f>
        <v>0</v>
      </c>
      <c r="H4" s="92"/>
      <c r="I4" s="92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8"/>
    </row>
    <row r="5" spans="1:14">
      <c r="A5" s="26">
        <v>2</v>
      </c>
      <c r="B5" s="27">
        <v>45993</v>
      </c>
      <c r="C5" s="17"/>
      <c r="D5" s="17"/>
      <c r="E5" s="92">
        <v>120</v>
      </c>
      <c r="F5" s="92">
        <v>92.02</v>
      </c>
      <c r="G5" s="17">
        <f t="shared" ref="G5:G34" si="0">E5*F5</f>
        <v>11042.4</v>
      </c>
      <c r="H5" s="92"/>
      <c r="I5" s="92"/>
      <c r="J5" s="17">
        <f t="shared" ref="J5:J33" si="1">H5*I5</f>
        <v>0</v>
      </c>
      <c r="K5" s="17">
        <f>G5+J5</f>
        <v>11042.4</v>
      </c>
      <c r="L5" s="17">
        <f t="shared" ref="L5:L34" si="2">K5</f>
        <v>11042.4</v>
      </c>
      <c r="M5" s="17">
        <f t="shared" ref="M5:M27" si="3">M4+K5-L5</f>
        <v>0</v>
      </c>
      <c r="N5" s="48" t="s">
        <v>163</v>
      </c>
    </row>
    <row r="6" spans="1:14">
      <c r="A6" s="26">
        <v>3</v>
      </c>
      <c r="B6" s="27">
        <v>45994</v>
      </c>
      <c r="C6" s="17"/>
      <c r="D6" s="17"/>
      <c r="E6" s="92"/>
      <c r="F6" s="92"/>
      <c r="G6" s="17">
        <f t="shared" si="0"/>
        <v>0</v>
      </c>
      <c r="H6" s="92"/>
      <c r="I6" s="92"/>
      <c r="J6" s="17">
        <f t="shared" si="1"/>
        <v>0</v>
      </c>
      <c r="K6" s="17">
        <f t="shared" ref="K6:K34" si="4">G6+J6</f>
        <v>0</v>
      </c>
      <c r="L6" s="17">
        <f t="shared" si="2"/>
        <v>0</v>
      </c>
      <c r="M6" s="17">
        <f t="shared" si="3"/>
        <v>0</v>
      </c>
      <c r="N6" s="48"/>
    </row>
    <row r="7" spans="1:14">
      <c r="A7" s="26">
        <v>4</v>
      </c>
      <c r="B7" s="27">
        <v>45995</v>
      </c>
      <c r="C7" s="17"/>
      <c r="D7" s="17"/>
      <c r="E7" s="92"/>
      <c r="F7" s="92"/>
      <c r="G7" s="17">
        <f t="shared" si="0"/>
        <v>0</v>
      </c>
      <c r="H7" s="92"/>
      <c r="I7" s="92"/>
      <c r="J7" s="17">
        <f t="shared" si="1"/>
        <v>0</v>
      </c>
      <c r="K7" s="17">
        <f t="shared" si="4"/>
        <v>0</v>
      </c>
      <c r="L7" s="17">
        <f t="shared" si="2"/>
        <v>0</v>
      </c>
      <c r="M7" s="17">
        <f t="shared" si="3"/>
        <v>0</v>
      </c>
      <c r="N7" s="48"/>
    </row>
    <row r="8" spans="1:14">
      <c r="A8" s="26">
        <v>5</v>
      </c>
      <c r="B8" s="27">
        <v>45996</v>
      </c>
      <c r="C8" s="17"/>
      <c r="D8" s="17"/>
      <c r="E8" s="92"/>
      <c r="F8" s="92"/>
      <c r="G8" s="17">
        <f t="shared" si="0"/>
        <v>0</v>
      </c>
      <c r="H8" s="92">
        <v>14</v>
      </c>
      <c r="I8" s="92">
        <v>104.08</v>
      </c>
      <c r="J8" s="17">
        <f t="shared" si="1"/>
        <v>1457.12</v>
      </c>
      <c r="K8" s="17">
        <f t="shared" si="4"/>
        <v>1457.12</v>
      </c>
      <c r="L8" s="17">
        <f t="shared" si="2"/>
        <v>1457.12</v>
      </c>
      <c r="M8" s="17">
        <f t="shared" si="3"/>
        <v>0</v>
      </c>
      <c r="N8" s="48" t="s">
        <v>163</v>
      </c>
    </row>
    <row r="9" spans="1:14">
      <c r="A9" s="26">
        <v>6</v>
      </c>
      <c r="B9" s="27">
        <v>45997</v>
      </c>
      <c r="C9" s="17"/>
      <c r="D9" s="17"/>
      <c r="E9" s="92"/>
      <c r="F9" s="92"/>
      <c r="G9" s="17">
        <f t="shared" si="0"/>
        <v>0</v>
      </c>
      <c r="H9" s="92"/>
      <c r="I9" s="92"/>
      <c r="J9" s="17">
        <f t="shared" si="1"/>
        <v>0</v>
      </c>
      <c r="K9" s="17">
        <f t="shared" si="4"/>
        <v>0</v>
      </c>
      <c r="L9" s="17">
        <f t="shared" si="2"/>
        <v>0</v>
      </c>
      <c r="M9" s="17">
        <f t="shared" si="3"/>
        <v>0</v>
      </c>
      <c r="N9" s="48"/>
    </row>
    <row r="10" spans="1:14">
      <c r="A10" s="26">
        <v>7</v>
      </c>
      <c r="B10" s="27">
        <v>45998</v>
      </c>
      <c r="C10" s="17"/>
      <c r="D10" s="17"/>
      <c r="E10" s="92"/>
      <c r="F10" s="92"/>
      <c r="G10" s="17">
        <f t="shared" si="0"/>
        <v>0</v>
      </c>
      <c r="H10" s="92"/>
      <c r="I10" s="92"/>
      <c r="J10" s="17">
        <f t="shared" si="1"/>
        <v>0</v>
      </c>
      <c r="K10" s="17">
        <f t="shared" si="4"/>
        <v>0</v>
      </c>
      <c r="L10" s="17">
        <f t="shared" si="2"/>
        <v>0</v>
      </c>
      <c r="M10" s="17">
        <f t="shared" si="3"/>
        <v>0</v>
      </c>
      <c r="N10" s="48"/>
    </row>
    <row r="11" spans="1:14">
      <c r="A11" s="26">
        <v>8</v>
      </c>
      <c r="B11" s="27">
        <v>45999</v>
      </c>
      <c r="C11" s="17"/>
      <c r="D11" s="17"/>
      <c r="E11" s="92"/>
      <c r="F11" s="92"/>
      <c r="G11" s="17">
        <f t="shared" si="0"/>
        <v>0</v>
      </c>
      <c r="H11" s="92"/>
      <c r="I11" s="92"/>
      <c r="J11" s="17">
        <f t="shared" si="1"/>
        <v>0</v>
      </c>
      <c r="K11" s="17">
        <f t="shared" si="4"/>
        <v>0</v>
      </c>
      <c r="L11" s="17">
        <f t="shared" si="2"/>
        <v>0</v>
      </c>
      <c r="M11" s="17">
        <f t="shared" si="3"/>
        <v>0</v>
      </c>
      <c r="N11" s="48"/>
    </row>
    <row r="12" spans="1:14">
      <c r="A12" s="26">
        <v>9</v>
      </c>
      <c r="B12" s="27">
        <v>46000</v>
      </c>
      <c r="C12" s="17"/>
      <c r="D12" s="17"/>
      <c r="E12" s="92"/>
      <c r="F12" s="92"/>
      <c r="G12" s="17">
        <f t="shared" si="0"/>
        <v>0</v>
      </c>
      <c r="H12" s="92"/>
      <c r="I12" s="92"/>
      <c r="J12" s="17">
        <f t="shared" si="1"/>
        <v>0</v>
      </c>
      <c r="K12" s="17">
        <f t="shared" si="4"/>
        <v>0</v>
      </c>
      <c r="L12" s="17">
        <f t="shared" si="2"/>
        <v>0</v>
      </c>
      <c r="M12" s="17">
        <f t="shared" si="3"/>
        <v>0</v>
      </c>
      <c r="N12" s="48"/>
    </row>
    <row r="13" spans="1:14">
      <c r="A13" s="26">
        <v>10</v>
      </c>
      <c r="B13" s="27">
        <v>46001</v>
      </c>
      <c r="C13" s="17"/>
      <c r="D13" s="17"/>
      <c r="E13" s="92"/>
      <c r="F13" s="92"/>
      <c r="G13" s="17">
        <f t="shared" si="0"/>
        <v>0</v>
      </c>
      <c r="H13" s="92"/>
      <c r="I13" s="92"/>
      <c r="J13" s="17">
        <f t="shared" si="1"/>
        <v>0</v>
      </c>
      <c r="K13" s="17">
        <f t="shared" si="4"/>
        <v>0</v>
      </c>
      <c r="L13" s="17">
        <f t="shared" si="2"/>
        <v>0</v>
      </c>
      <c r="M13" s="17">
        <f t="shared" si="3"/>
        <v>0</v>
      </c>
      <c r="N13" s="48"/>
    </row>
    <row r="14" spans="1:14">
      <c r="A14" s="26">
        <v>11</v>
      </c>
      <c r="B14" s="27">
        <v>46002</v>
      </c>
      <c r="C14" s="17"/>
      <c r="D14" s="17"/>
      <c r="E14" s="92"/>
      <c r="F14" s="92"/>
      <c r="G14" s="17">
        <f t="shared" si="0"/>
        <v>0</v>
      </c>
      <c r="H14" s="92"/>
      <c r="I14" s="92"/>
      <c r="J14" s="17">
        <f t="shared" si="1"/>
        <v>0</v>
      </c>
      <c r="K14" s="17">
        <f t="shared" si="4"/>
        <v>0</v>
      </c>
      <c r="L14" s="17">
        <f t="shared" si="2"/>
        <v>0</v>
      </c>
      <c r="M14" s="17">
        <f t="shared" si="3"/>
        <v>0</v>
      </c>
      <c r="N14" s="48"/>
    </row>
    <row r="15" spans="1:14">
      <c r="A15" s="26">
        <v>12</v>
      </c>
      <c r="B15" s="27">
        <v>46003</v>
      </c>
      <c r="C15" s="17"/>
      <c r="D15" s="17"/>
      <c r="E15" s="92"/>
      <c r="F15" s="92"/>
      <c r="G15" s="17">
        <f t="shared" si="0"/>
        <v>0</v>
      </c>
      <c r="H15" s="92"/>
      <c r="I15" s="92"/>
      <c r="J15" s="17">
        <f t="shared" si="1"/>
        <v>0</v>
      </c>
      <c r="K15" s="17">
        <f t="shared" si="4"/>
        <v>0</v>
      </c>
      <c r="L15" s="17">
        <f t="shared" si="2"/>
        <v>0</v>
      </c>
      <c r="M15" s="17">
        <f t="shared" si="3"/>
        <v>0</v>
      </c>
      <c r="N15" s="48"/>
    </row>
    <row r="16" spans="1:14">
      <c r="A16" s="26">
        <v>13</v>
      </c>
      <c r="B16" s="27">
        <v>46004</v>
      </c>
      <c r="C16" s="17"/>
      <c r="D16" s="17"/>
      <c r="E16" s="92"/>
      <c r="F16" s="92"/>
      <c r="G16" s="17">
        <f t="shared" si="0"/>
        <v>0</v>
      </c>
      <c r="H16" s="92"/>
      <c r="I16" s="364"/>
      <c r="J16" s="17">
        <f t="shared" si="1"/>
        <v>0</v>
      </c>
      <c r="K16" s="17">
        <f t="shared" si="4"/>
        <v>0</v>
      </c>
      <c r="L16" s="17">
        <f t="shared" si="2"/>
        <v>0</v>
      </c>
      <c r="M16" s="17">
        <f t="shared" si="3"/>
        <v>0</v>
      </c>
      <c r="N16" s="48"/>
    </row>
    <row r="17" spans="1:14">
      <c r="A17" s="26">
        <v>14</v>
      </c>
      <c r="B17" s="27">
        <v>46005</v>
      </c>
      <c r="C17" s="17"/>
      <c r="D17" s="17"/>
      <c r="E17" s="92"/>
      <c r="F17" s="92"/>
      <c r="G17" s="17">
        <f t="shared" si="0"/>
        <v>0</v>
      </c>
      <c r="H17" s="92"/>
      <c r="I17" s="92"/>
      <c r="J17" s="17">
        <f t="shared" si="1"/>
        <v>0</v>
      </c>
      <c r="K17" s="17">
        <f t="shared" si="4"/>
        <v>0</v>
      </c>
      <c r="L17" s="17">
        <f t="shared" si="2"/>
        <v>0</v>
      </c>
      <c r="M17" s="17">
        <f t="shared" si="3"/>
        <v>0</v>
      </c>
      <c r="N17" s="48"/>
    </row>
    <row r="18" spans="1:14">
      <c r="A18" s="26">
        <v>15</v>
      </c>
      <c r="B18" s="27">
        <v>46006</v>
      </c>
      <c r="C18" s="17"/>
      <c r="D18" s="17"/>
      <c r="E18" s="92"/>
      <c r="F18" s="92"/>
      <c r="G18" s="17">
        <f t="shared" si="0"/>
        <v>0</v>
      </c>
      <c r="H18" s="92"/>
      <c r="I18" s="92"/>
      <c r="J18" s="17">
        <f t="shared" si="1"/>
        <v>0</v>
      </c>
      <c r="K18" s="17">
        <f t="shared" si="4"/>
        <v>0</v>
      </c>
      <c r="L18" s="17">
        <f t="shared" si="2"/>
        <v>0</v>
      </c>
      <c r="M18" s="17">
        <f t="shared" si="3"/>
        <v>0</v>
      </c>
      <c r="N18" s="48"/>
    </row>
    <row r="19" spans="1:14">
      <c r="A19" s="26">
        <v>16</v>
      </c>
      <c r="B19" s="27">
        <v>46007</v>
      </c>
      <c r="C19" s="17"/>
      <c r="D19" s="17"/>
      <c r="E19" s="92">
        <v>30</v>
      </c>
      <c r="F19" s="92">
        <v>92.04</v>
      </c>
      <c r="G19" s="17">
        <f t="shared" si="0"/>
        <v>2761.2000000000003</v>
      </c>
      <c r="H19" s="92">
        <v>5</v>
      </c>
      <c r="I19" s="92">
        <v>104.08</v>
      </c>
      <c r="J19" s="17">
        <f t="shared" si="1"/>
        <v>520.4</v>
      </c>
      <c r="K19" s="17">
        <f t="shared" si="4"/>
        <v>3281.6000000000004</v>
      </c>
      <c r="L19" s="17">
        <f t="shared" si="2"/>
        <v>3281.6000000000004</v>
      </c>
      <c r="M19" s="17">
        <f t="shared" si="3"/>
        <v>0</v>
      </c>
      <c r="N19" s="48"/>
    </row>
    <row r="20" spans="1:14">
      <c r="A20" s="26">
        <v>17</v>
      </c>
      <c r="B20" s="27">
        <v>46008</v>
      </c>
      <c r="C20" s="17"/>
      <c r="D20" s="17"/>
      <c r="E20" s="92">
        <v>65</v>
      </c>
      <c r="F20" s="92">
        <v>92.03</v>
      </c>
      <c r="G20" s="17">
        <f t="shared" si="0"/>
        <v>5981.95</v>
      </c>
      <c r="H20" s="92"/>
      <c r="I20" s="92"/>
      <c r="J20" s="17">
        <f t="shared" si="1"/>
        <v>0</v>
      </c>
      <c r="K20" s="17">
        <f t="shared" si="4"/>
        <v>5981.95</v>
      </c>
      <c r="L20" s="17">
        <f t="shared" si="2"/>
        <v>5981.95</v>
      </c>
      <c r="M20" s="17">
        <f t="shared" si="3"/>
        <v>0</v>
      </c>
      <c r="N20" s="48"/>
    </row>
    <row r="21" spans="1:14">
      <c r="A21" s="26">
        <v>18</v>
      </c>
      <c r="B21" s="27">
        <v>46009</v>
      </c>
      <c r="C21" s="17"/>
      <c r="D21" s="17"/>
      <c r="E21" s="92">
        <v>170</v>
      </c>
      <c r="F21" s="92">
        <v>92.02</v>
      </c>
      <c r="G21" s="17">
        <f t="shared" si="0"/>
        <v>15643.4</v>
      </c>
      <c r="H21" s="92"/>
      <c r="I21" s="92"/>
      <c r="J21" s="17">
        <f t="shared" si="1"/>
        <v>0</v>
      </c>
      <c r="K21" s="17">
        <f t="shared" si="4"/>
        <v>15643.4</v>
      </c>
      <c r="L21" s="17">
        <f t="shared" si="2"/>
        <v>15643.4</v>
      </c>
      <c r="M21" s="17">
        <f t="shared" si="3"/>
        <v>0</v>
      </c>
      <c r="N21" s="48"/>
    </row>
    <row r="22" spans="1:14">
      <c r="A22" s="26">
        <v>19</v>
      </c>
      <c r="B22" s="27">
        <v>46010</v>
      </c>
      <c r="C22" s="17"/>
      <c r="D22" s="17"/>
      <c r="E22" s="92"/>
      <c r="F22" s="92"/>
      <c r="G22" s="17">
        <f t="shared" si="0"/>
        <v>0</v>
      </c>
      <c r="H22" s="92">
        <v>15</v>
      </c>
      <c r="I22" s="92">
        <v>104.08</v>
      </c>
      <c r="J22" s="17">
        <f t="shared" si="1"/>
        <v>1561.2</v>
      </c>
      <c r="K22" s="17">
        <f t="shared" si="4"/>
        <v>1561.2</v>
      </c>
      <c r="L22" s="17">
        <f t="shared" si="2"/>
        <v>1561.2</v>
      </c>
      <c r="M22" s="17">
        <f t="shared" si="3"/>
        <v>0</v>
      </c>
      <c r="N22" s="48"/>
    </row>
    <row r="23" spans="1:14">
      <c r="A23" s="26">
        <v>20</v>
      </c>
      <c r="B23" s="27">
        <v>46011</v>
      </c>
      <c r="C23" s="17"/>
      <c r="D23" s="17"/>
      <c r="E23" s="92"/>
      <c r="F23" s="92"/>
      <c r="G23" s="17">
        <f t="shared" si="0"/>
        <v>0</v>
      </c>
      <c r="H23" s="92"/>
      <c r="I23" s="92"/>
      <c r="J23" s="17">
        <f t="shared" si="1"/>
        <v>0</v>
      </c>
      <c r="K23" s="17">
        <f t="shared" si="4"/>
        <v>0</v>
      </c>
      <c r="L23" s="17">
        <f t="shared" si="2"/>
        <v>0</v>
      </c>
      <c r="M23" s="17">
        <f t="shared" si="3"/>
        <v>0</v>
      </c>
      <c r="N23" s="48"/>
    </row>
    <row r="24" spans="1:14">
      <c r="A24" s="26">
        <v>21</v>
      </c>
      <c r="B24" s="27">
        <v>46012</v>
      </c>
      <c r="C24" s="17"/>
      <c r="D24" s="17"/>
      <c r="E24" s="92"/>
      <c r="F24" s="92"/>
      <c r="G24" s="17">
        <f t="shared" si="0"/>
        <v>0</v>
      </c>
      <c r="H24" s="92"/>
      <c r="I24" s="92"/>
      <c r="J24" s="17">
        <f t="shared" si="1"/>
        <v>0</v>
      </c>
      <c r="K24" s="17">
        <f t="shared" si="4"/>
        <v>0</v>
      </c>
      <c r="L24" s="17">
        <f t="shared" si="2"/>
        <v>0</v>
      </c>
      <c r="M24" s="17">
        <f t="shared" si="3"/>
        <v>0</v>
      </c>
      <c r="N24" s="48"/>
    </row>
    <row r="25" spans="1:14">
      <c r="A25" s="26">
        <v>22</v>
      </c>
      <c r="B25" s="27">
        <v>46013</v>
      </c>
      <c r="C25" s="17"/>
      <c r="D25" s="17"/>
      <c r="E25" s="92"/>
      <c r="F25" s="92"/>
      <c r="G25" s="17">
        <f t="shared" si="0"/>
        <v>0</v>
      </c>
      <c r="H25" s="92"/>
      <c r="I25" s="92"/>
      <c r="J25" s="17">
        <f t="shared" si="1"/>
        <v>0</v>
      </c>
      <c r="K25" s="17">
        <f t="shared" si="4"/>
        <v>0</v>
      </c>
      <c r="L25" s="17">
        <f t="shared" si="2"/>
        <v>0</v>
      </c>
      <c r="M25" s="17">
        <f t="shared" si="3"/>
        <v>0</v>
      </c>
      <c r="N25" s="48"/>
    </row>
    <row r="26" spans="1:14">
      <c r="A26" s="26">
        <v>23</v>
      </c>
      <c r="B26" s="27">
        <v>46014</v>
      </c>
      <c r="C26" s="17"/>
      <c r="D26" s="17"/>
      <c r="E26" s="92">
        <v>100</v>
      </c>
      <c r="F26" s="92">
        <v>92.02</v>
      </c>
      <c r="G26" s="17">
        <f t="shared" si="0"/>
        <v>9202</v>
      </c>
      <c r="H26" s="92"/>
      <c r="I26" s="92"/>
      <c r="J26" s="17">
        <f t="shared" si="1"/>
        <v>0</v>
      </c>
      <c r="K26" s="17">
        <f t="shared" si="4"/>
        <v>9202</v>
      </c>
      <c r="L26" s="17">
        <f t="shared" si="2"/>
        <v>9202</v>
      </c>
      <c r="M26" s="17">
        <f t="shared" si="3"/>
        <v>0</v>
      </c>
      <c r="N26" s="48"/>
    </row>
    <row r="27" spans="1:14">
      <c r="A27" s="26">
        <v>24</v>
      </c>
      <c r="B27" s="27">
        <v>46015</v>
      </c>
      <c r="C27" s="17"/>
      <c r="D27" s="17"/>
      <c r="E27" s="92"/>
      <c r="F27" s="92"/>
      <c r="G27" s="17">
        <f t="shared" si="0"/>
        <v>0</v>
      </c>
      <c r="H27" s="92"/>
      <c r="I27" s="92"/>
      <c r="J27" s="17">
        <f t="shared" si="1"/>
        <v>0</v>
      </c>
      <c r="K27" s="17">
        <f t="shared" si="4"/>
        <v>0</v>
      </c>
      <c r="L27" s="17">
        <f t="shared" si="2"/>
        <v>0</v>
      </c>
      <c r="M27" s="17">
        <f t="shared" si="3"/>
        <v>0</v>
      </c>
      <c r="N27" s="48"/>
    </row>
    <row r="28" spans="1:14">
      <c r="A28" s="26">
        <v>25</v>
      </c>
      <c r="B28" s="27">
        <v>46016</v>
      </c>
      <c r="C28" s="17"/>
      <c r="D28" s="17"/>
      <c r="E28" s="92"/>
      <c r="F28" s="92"/>
      <c r="G28" s="17">
        <f t="shared" si="0"/>
        <v>0</v>
      </c>
      <c r="H28" s="92"/>
      <c r="I28" s="92"/>
      <c r="J28" s="17">
        <f t="shared" si="1"/>
        <v>0</v>
      </c>
      <c r="K28" s="17">
        <f>G28+J28</f>
        <v>0</v>
      </c>
      <c r="L28" s="17">
        <f t="shared" si="2"/>
        <v>0</v>
      </c>
      <c r="M28" s="17">
        <v>0</v>
      </c>
      <c r="N28" s="48"/>
    </row>
    <row r="29" spans="1:14">
      <c r="A29" s="26">
        <v>26</v>
      </c>
      <c r="B29" s="27">
        <v>46017</v>
      </c>
      <c r="C29" s="17"/>
      <c r="D29" s="17"/>
      <c r="E29" s="92"/>
      <c r="F29" s="92"/>
      <c r="G29" s="17">
        <f t="shared" si="0"/>
        <v>0</v>
      </c>
      <c r="H29" s="92">
        <v>15</v>
      </c>
      <c r="I29" s="92">
        <v>104.08</v>
      </c>
      <c r="J29" s="17">
        <f t="shared" si="1"/>
        <v>1561.2</v>
      </c>
      <c r="K29" s="17">
        <f t="shared" si="4"/>
        <v>1561.2</v>
      </c>
      <c r="L29" s="17">
        <f t="shared" si="2"/>
        <v>1561.2</v>
      </c>
      <c r="M29" s="17">
        <v>0</v>
      </c>
      <c r="N29" s="48"/>
    </row>
    <row r="30" spans="1:14">
      <c r="A30" s="26">
        <v>27</v>
      </c>
      <c r="B30" s="27">
        <v>46018</v>
      </c>
      <c r="C30" s="17"/>
      <c r="D30" s="17"/>
      <c r="E30" s="92"/>
      <c r="F30" s="92"/>
      <c r="G30" s="17">
        <f t="shared" si="0"/>
        <v>0</v>
      </c>
      <c r="H30" s="92"/>
      <c r="I30" s="92"/>
      <c r="J30" s="17">
        <f t="shared" si="1"/>
        <v>0</v>
      </c>
      <c r="K30" s="17">
        <f t="shared" si="4"/>
        <v>0</v>
      </c>
      <c r="L30" s="17">
        <f t="shared" si="2"/>
        <v>0</v>
      </c>
      <c r="M30" s="17">
        <v>0</v>
      </c>
      <c r="N30" s="48"/>
    </row>
    <row r="31" spans="1:14">
      <c r="A31" s="26">
        <v>28</v>
      </c>
      <c r="B31" s="27">
        <v>46019</v>
      </c>
      <c r="C31" s="17"/>
      <c r="D31" s="17"/>
      <c r="E31" s="92"/>
      <c r="F31" s="92"/>
      <c r="G31" s="17">
        <f t="shared" si="0"/>
        <v>0</v>
      </c>
      <c r="H31" s="92"/>
      <c r="I31" s="92"/>
      <c r="J31" s="17">
        <f t="shared" si="1"/>
        <v>0</v>
      </c>
      <c r="K31" s="17">
        <f t="shared" si="4"/>
        <v>0</v>
      </c>
      <c r="L31" s="17">
        <f t="shared" si="2"/>
        <v>0</v>
      </c>
      <c r="M31" s="17">
        <v>0</v>
      </c>
      <c r="N31" s="48"/>
    </row>
    <row r="32" spans="1:14">
      <c r="A32" s="26">
        <v>29</v>
      </c>
      <c r="B32" s="27">
        <v>46020</v>
      </c>
      <c r="C32" s="17"/>
      <c r="D32" s="17"/>
      <c r="E32" s="92"/>
      <c r="F32" s="92"/>
      <c r="G32" s="17">
        <f t="shared" si="0"/>
        <v>0</v>
      </c>
      <c r="H32" s="92"/>
      <c r="I32" s="92"/>
      <c r="J32" s="17">
        <f t="shared" si="1"/>
        <v>0</v>
      </c>
      <c r="K32" s="17">
        <f t="shared" si="4"/>
        <v>0</v>
      </c>
      <c r="L32" s="17">
        <f t="shared" si="2"/>
        <v>0</v>
      </c>
      <c r="M32" s="17"/>
      <c r="N32" s="48"/>
    </row>
    <row r="33" spans="1:14">
      <c r="A33" s="26">
        <v>30</v>
      </c>
      <c r="B33" s="27">
        <v>46021</v>
      </c>
      <c r="C33" s="17"/>
      <c r="D33" s="17"/>
      <c r="E33" s="92"/>
      <c r="F33" s="92"/>
      <c r="G33" s="17">
        <f t="shared" si="0"/>
        <v>0</v>
      </c>
      <c r="H33" s="92"/>
      <c r="I33" s="92"/>
      <c r="J33" s="17">
        <f t="shared" si="1"/>
        <v>0</v>
      </c>
      <c r="K33" s="17">
        <f t="shared" si="4"/>
        <v>0</v>
      </c>
      <c r="L33" s="17">
        <f t="shared" si="2"/>
        <v>0</v>
      </c>
      <c r="M33" s="17"/>
      <c r="N33" s="48"/>
    </row>
    <row r="34" spans="1:14">
      <c r="A34" s="26">
        <v>31</v>
      </c>
      <c r="B34" s="27">
        <v>46022</v>
      </c>
      <c r="C34" s="17"/>
      <c r="D34" s="17"/>
      <c r="E34" s="92">
        <v>200</v>
      </c>
      <c r="F34" s="92">
        <v>92.02</v>
      </c>
      <c r="G34" s="17">
        <f t="shared" si="0"/>
        <v>18404</v>
      </c>
      <c r="H34" s="92"/>
      <c r="I34" s="92"/>
      <c r="J34" s="17"/>
      <c r="K34" s="17">
        <f t="shared" si="4"/>
        <v>18404</v>
      </c>
      <c r="L34" s="17">
        <f t="shared" si="2"/>
        <v>18404</v>
      </c>
      <c r="M34" s="17"/>
      <c r="N34" s="48"/>
    </row>
    <row r="35" spans="1:14">
      <c r="A35" s="46"/>
      <c r="B35" s="46"/>
      <c r="C35" s="46"/>
      <c r="D35" s="46"/>
      <c r="E35" s="46">
        <f>SUM(E4:E34)</f>
        <v>685</v>
      </c>
      <c r="F35" s="46"/>
      <c r="G35" s="46">
        <f>SUM(G4:G34)</f>
        <v>63034.95</v>
      </c>
      <c r="H35" s="46">
        <f>SUM(H4:H34)</f>
        <v>49</v>
      </c>
      <c r="I35" s="46"/>
      <c r="J35" s="46">
        <f>SUM(J4:J34)</f>
        <v>5099.92</v>
      </c>
      <c r="K35" s="46">
        <f>SUM(K4:K34)</f>
        <v>68134.87</v>
      </c>
      <c r="L35" s="46">
        <f>SUM(L4:L34)</f>
        <v>68134.87</v>
      </c>
      <c r="M35" s="46"/>
      <c r="N35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T38"/>
  <sheetViews>
    <sheetView topLeftCell="A20" workbookViewId="0">
      <selection activeCell="M34" sqref="M34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20" ht="15.75" customHeight="1">
      <c r="A1" s="481" t="s">
        <v>52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</row>
    <row r="2" spans="1:20">
      <c r="A2" s="131" t="s">
        <v>122</v>
      </c>
      <c r="B2" s="131" t="s">
        <v>123</v>
      </c>
      <c r="C2" s="131" t="s">
        <v>124</v>
      </c>
      <c r="D2" s="131" t="s">
        <v>125</v>
      </c>
      <c r="E2" s="184" t="s">
        <v>126</v>
      </c>
      <c r="F2" s="184" t="s">
        <v>127</v>
      </c>
      <c r="G2" s="184" t="s">
        <v>128</v>
      </c>
      <c r="H2" s="184" t="s">
        <v>129</v>
      </c>
      <c r="I2" s="184" t="s">
        <v>127</v>
      </c>
      <c r="J2" s="184" t="s">
        <v>128</v>
      </c>
      <c r="K2" s="184" t="s">
        <v>130</v>
      </c>
      <c r="L2" s="131" t="s">
        <v>164</v>
      </c>
      <c r="M2" s="134" t="s">
        <v>131</v>
      </c>
      <c r="N2" s="131" t="s">
        <v>133</v>
      </c>
    </row>
    <row r="3" spans="1:20">
      <c r="A3" s="17"/>
      <c r="B3" s="17"/>
      <c r="C3" s="17"/>
      <c r="D3" s="17" t="s">
        <v>134</v>
      </c>
      <c r="E3" s="17"/>
      <c r="F3" s="17"/>
      <c r="G3" s="17"/>
      <c r="H3" s="17"/>
      <c r="I3" s="17"/>
      <c r="J3" s="17"/>
      <c r="K3" s="189">
        <v>29018.260799999989</v>
      </c>
      <c r="L3" s="17"/>
      <c r="M3" s="189">
        <v>29018.260799999989</v>
      </c>
      <c r="N3" s="17"/>
    </row>
    <row r="4" spans="1:20">
      <c r="A4" s="26">
        <v>1</v>
      </c>
      <c r="B4" s="27">
        <v>45992</v>
      </c>
      <c r="C4" s="144"/>
      <c r="D4" s="144"/>
      <c r="E4" s="99">
        <v>50</v>
      </c>
      <c r="F4" s="99">
        <v>90.88</v>
      </c>
      <c r="G4" s="189">
        <f>F4*E4</f>
        <v>4544</v>
      </c>
      <c r="H4" s="99">
        <v>5</v>
      </c>
      <c r="I4" s="99">
        <v>102.77</v>
      </c>
      <c r="J4" s="189">
        <f t="shared" ref="J4" si="0">H4*I4</f>
        <v>513.85</v>
      </c>
      <c r="K4" s="189">
        <f>G4+J4</f>
        <v>5057.8500000000004</v>
      </c>
      <c r="L4" s="189"/>
      <c r="M4" s="189">
        <f>M3+K4-L4</f>
        <v>34076.110799999988</v>
      </c>
      <c r="N4" s="144"/>
    </row>
    <row r="5" spans="1:20">
      <c r="A5" s="26">
        <v>2</v>
      </c>
      <c r="B5" s="27">
        <v>45993</v>
      </c>
      <c r="C5" s="17"/>
      <c r="D5" s="144"/>
      <c r="E5" s="99"/>
      <c r="F5" s="99"/>
      <c r="G5" s="189">
        <f t="shared" ref="G5:G33" si="1">F5*E5</f>
        <v>0</v>
      </c>
      <c r="H5" s="99">
        <v>10</v>
      </c>
      <c r="I5" s="99">
        <v>102.77</v>
      </c>
      <c r="J5" s="189">
        <f t="shared" ref="J5:J34" si="2">H5*I5</f>
        <v>1027.7</v>
      </c>
      <c r="K5" s="189">
        <f t="shared" ref="K5:K34" si="3">G5+J5</f>
        <v>1027.7</v>
      </c>
      <c r="L5" s="189"/>
      <c r="M5" s="189">
        <f t="shared" ref="M5:M34" si="4">M4+K5-L5</f>
        <v>35103.810799999985</v>
      </c>
      <c r="N5" s="17"/>
      <c r="S5">
        <v>90.88</v>
      </c>
      <c r="T5">
        <v>102.77</v>
      </c>
    </row>
    <row r="6" spans="1:20">
      <c r="A6" s="26">
        <v>3</v>
      </c>
      <c r="B6" s="27">
        <v>45994</v>
      </c>
      <c r="C6" s="17"/>
      <c r="D6" s="144"/>
      <c r="E6" s="99">
        <v>30</v>
      </c>
      <c r="F6" s="99">
        <v>90.88</v>
      </c>
      <c r="G6" s="189">
        <f t="shared" si="1"/>
        <v>2726.3999999999996</v>
      </c>
      <c r="H6" s="99"/>
      <c r="I6" s="99"/>
      <c r="J6" s="189">
        <f t="shared" si="2"/>
        <v>0</v>
      </c>
      <c r="K6" s="189">
        <f t="shared" si="3"/>
        <v>2726.3999999999996</v>
      </c>
      <c r="L6" s="189"/>
      <c r="M6" s="189">
        <f t="shared" si="4"/>
        <v>37830.210799999986</v>
      </c>
      <c r="N6" s="17"/>
    </row>
    <row r="7" spans="1:20">
      <c r="A7" s="26">
        <v>4</v>
      </c>
      <c r="B7" s="27">
        <v>45995</v>
      </c>
      <c r="C7" s="17"/>
      <c r="D7" s="144"/>
      <c r="E7" s="99">
        <v>18.170000000000002</v>
      </c>
      <c r="F7" s="99">
        <v>90.88</v>
      </c>
      <c r="G7" s="189">
        <f t="shared" si="1"/>
        <v>1651.2896000000001</v>
      </c>
      <c r="H7" s="99"/>
      <c r="I7" s="99"/>
      <c r="J7" s="189">
        <f t="shared" si="2"/>
        <v>0</v>
      </c>
      <c r="K7" s="189">
        <f t="shared" si="3"/>
        <v>1651.2896000000001</v>
      </c>
      <c r="L7" s="189"/>
      <c r="M7" s="189">
        <f t="shared" si="4"/>
        <v>39481.50039999999</v>
      </c>
      <c r="N7" s="17"/>
    </row>
    <row r="8" spans="1:20">
      <c r="A8" s="26">
        <v>5</v>
      </c>
      <c r="B8" s="27">
        <v>45996</v>
      </c>
      <c r="C8" s="17"/>
      <c r="D8" s="144"/>
      <c r="E8" s="99"/>
      <c r="F8" s="99"/>
      <c r="G8" s="189">
        <f t="shared" si="1"/>
        <v>0</v>
      </c>
      <c r="H8" s="99">
        <v>10</v>
      </c>
      <c r="I8" s="99">
        <v>102.77</v>
      </c>
      <c r="J8" s="189">
        <f t="shared" si="2"/>
        <v>1027.7</v>
      </c>
      <c r="K8" s="189">
        <f t="shared" si="3"/>
        <v>1027.7</v>
      </c>
      <c r="L8" s="189"/>
      <c r="M8" s="189">
        <f t="shared" si="4"/>
        <v>40509.200399999987</v>
      </c>
      <c r="N8" s="17"/>
    </row>
    <row r="9" spans="1:20">
      <c r="A9" s="26">
        <v>6</v>
      </c>
      <c r="B9" s="27">
        <v>45997</v>
      </c>
      <c r="C9" s="17"/>
      <c r="D9" s="144"/>
      <c r="E9" s="99"/>
      <c r="F9" s="99"/>
      <c r="G9" s="189">
        <f t="shared" si="1"/>
        <v>0</v>
      </c>
      <c r="H9" s="99"/>
      <c r="I9" s="99"/>
      <c r="J9" s="189">
        <f t="shared" si="2"/>
        <v>0</v>
      </c>
      <c r="K9" s="189">
        <f t="shared" si="3"/>
        <v>0</v>
      </c>
      <c r="L9" s="189"/>
      <c r="M9" s="189">
        <f t="shared" si="4"/>
        <v>40509.200399999987</v>
      </c>
      <c r="N9" s="17"/>
    </row>
    <row r="10" spans="1:20">
      <c r="A10" s="26">
        <v>7</v>
      </c>
      <c r="B10" s="27">
        <v>45998</v>
      </c>
      <c r="C10" s="17"/>
      <c r="D10" s="144"/>
      <c r="E10" s="99">
        <v>55</v>
      </c>
      <c r="F10" s="99">
        <v>90.88</v>
      </c>
      <c r="G10" s="189">
        <f t="shared" si="1"/>
        <v>4998.3999999999996</v>
      </c>
      <c r="H10" s="99"/>
      <c r="I10" s="99"/>
      <c r="J10" s="189">
        <f t="shared" si="2"/>
        <v>0</v>
      </c>
      <c r="K10" s="189">
        <f t="shared" si="3"/>
        <v>4998.3999999999996</v>
      </c>
      <c r="L10" s="189"/>
      <c r="M10" s="189">
        <f t="shared" si="4"/>
        <v>45507.600399999988</v>
      </c>
      <c r="N10" s="17"/>
    </row>
    <row r="11" spans="1:20">
      <c r="A11" s="26">
        <v>8</v>
      </c>
      <c r="B11" s="27">
        <v>45999</v>
      </c>
      <c r="C11" s="17"/>
      <c r="D11" s="144"/>
      <c r="E11" s="99"/>
      <c r="F11" s="99"/>
      <c r="G11" s="189">
        <f t="shared" si="1"/>
        <v>0</v>
      </c>
      <c r="H11" s="99"/>
      <c r="I11" s="99"/>
      <c r="J11" s="189">
        <f t="shared" si="2"/>
        <v>0</v>
      </c>
      <c r="K11" s="189">
        <f t="shared" si="3"/>
        <v>0</v>
      </c>
      <c r="L11" s="189"/>
      <c r="M11" s="189">
        <f t="shared" si="4"/>
        <v>45507.600399999988</v>
      </c>
      <c r="N11" s="17"/>
    </row>
    <row r="12" spans="1:20">
      <c r="A12" s="26">
        <v>9</v>
      </c>
      <c r="B12" s="27">
        <v>46000</v>
      </c>
      <c r="C12" s="17"/>
      <c r="D12" s="144"/>
      <c r="E12" s="99">
        <v>38</v>
      </c>
      <c r="F12" s="99">
        <v>90.88</v>
      </c>
      <c r="G12" s="189">
        <f t="shared" si="1"/>
        <v>3453.4399999999996</v>
      </c>
      <c r="H12" s="99">
        <v>5</v>
      </c>
      <c r="I12" s="99">
        <v>102.77</v>
      </c>
      <c r="J12" s="189">
        <f t="shared" si="2"/>
        <v>513.85</v>
      </c>
      <c r="K12" s="189">
        <f t="shared" si="3"/>
        <v>3967.2899999999995</v>
      </c>
      <c r="L12" s="189"/>
      <c r="M12" s="189">
        <f t="shared" si="4"/>
        <v>49474.890399999989</v>
      </c>
      <c r="N12" s="17"/>
    </row>
    <row r="13" spans="1:20">
      <c r="A13" s="26">
        <v>10</v>
      </c>
      <c r="B13" s="27">
        <v>46001</v>
      </c>
      <c r="C13" s="17"/>
      <c r="D13" s="144"/>
      <c r="E13" s="99">
        <v>30</v>
      </c>
      <c r="F13" s="99">
        <v>90.88</v>
      </c>
      <c r="G13" s="189">
        <f t="shared" si="1"/>
        <v>2726.3999999999996</v>
      </c>
      <c r="H13" s="99"/>
      <c r="I13" s="99"/>
      <c r="J13" s="189">
        <f t="shared" si="2"/>
        <v>0</v>
      </c>
      <c r="K13" s="189">
        <f t="shared" si="3"/>
        <v>2726.3999999999996</v>
      </c>
      <c r="L13" s="189"/>
      <c r="M13" s="189">
        <f>M12+K13-L13</f>
        <v>52201.290399999991</v>
      </c>
      <c r="N13" s="17"/>
    </row>
    <row r="14" spans="1:20">
      <c r="A14" s="26">
        <v>11</v>
      </c>
      <c r="B14" s="27">
        <v>46002</v>
      </c>
      <c r="C14" s="17"/>
      <c r="D14" s="144"/>
      <c r="E14" s="99"/>
      <c r="F14" s="99"/>
      <c r="G14" s="189">
        <f t="shared" si="1"/>
        <v>0</v>
      </c>
      <c r="H14" s="99"/>
      <c r="I14" s="99"/>
      <c r="J14" s="189">
        <f t="shared" si="2"/>
        <v>0</v>
      </c>
      <c r="K14" s="189">
        <f t="shared" si="3"/>
        <v>0</v>
      </c>
      <c r="L14" s="189"/>
      <c r="M14" s="189">
        <f t="shared" si="4"/>
        <v>52201.290399999991</v>
      </c>
      <c r="N14" s="17"/>
    </row>
    <row r="15" spans="1:20">
      <c r="A15" s="26">
        <v>12</v>
      </c>
      <c r="B15" s="27">
        <v>46003</v>
      </c>
      <c r="C15" s="17"/>
      <c r="D15" s="144"/>
      <c r="E15" s="99"/>
      <c r="F15" s="99"/>
      <c r="G15" s="189">
        <f t="shared" si="1"/>
        <v>0</v>
      </c>
      <c r="H15" s="99"/>
      <c r="I15" s="99"/>
      <c r="J15" s="189">
        <f t="shared" si="2"/>
        <v>0</v>
      </c>
      <c r="K15" s="189">
        <f t="shared" si="3"/>
        <v>0</v>
      </c>
      <c r="L15" s="189">
        <v>50000</v>
      </c>
      <c r="M15" s="189">
        <f t="shared" si="4"/>
        <v>2201.2903999999908</v>
      </c>
      <c r="N15" s="17"/>
    </row>
    <row r="16" spans="1:20">
      <c r="A16" s="26">
        <v>13</v>
      </c>
      <c r="B16" s="27">
        <v>46004</v>
      </c>
      <c r="C16" s="17"/>
      <c r="D16" s="144"/>
      <c r="E16" s="99">
        <v>265</v>
      </c>
      <c r="F16" s="99">
        <v>90.88</v>
      </c>
      <c r="G16" s="189">
        <f t="shared" si="1"/>
        <v>24083.199999999997</v>
      </c>
      <c r="H16" s="99">
        <v>7</v>
      </c>
      <c r="I16" s="99">
        <v>102.77</v>
      </c>
      <c r="J16" s="189">
        <f t="shared" si="2"/>
        <v>719.39</v>
      </c>
      <c r="K16" s="189">
        <f t="shared" si="3"/>
        <v>24802.589999999997</v>
      </c>
      <c r="L16" s="189"/>
      <c r="M16" s="189">
        <f t="shared" si="4"/>
        <v>27003.880399999987</v>
      </c>
      <c r="N16" s="17"/>
    </row>
    <row r="17" spans="1:15">
      <c r="A17" s="26">
        <v>14</v>
      </c>
      <c r="B17" s="27">
        <v>46005</v>
      </c>
      <c r="C17" s="17"/>
      <c r="D17" s="144"/>
      <c r="E17" s="99">
        <v>50</v>
      </c>
      <c r="F17" s="99">
        <v>90.88</v>
      </c>
      <c r="G17" s="189">
        <f t="shared" si="1"/>
        <v>4544</v>
      </c>
      <c r="H17" s="99">
        <v>5</v>
      </c>
      <c r="I17" s="99">
        <v>102.77</v>
      </c>
      <c r="J17" s="189">
        <f t="shared" si="2"/>
        <v>513.85</v>
      </c>
      <c r="K17" s="189">
        <f t="shared" si="3"/>
        <v>5057.8500000000004</v>
      </c>
      <c r="L17" s="189"/>
      <c r="M17" s="189">
        <f t="shared" si="4"/>
        <v>32061.730399999986</v>
      </c>
      <c r="N17" s="17"/>
    </row>
    <row r="18" spans="1:15">
      <c r="A18" s="26">
        <v>15</v>
      </c>
      <c r="B18" s="27">
        <v>46006</v>
      </c>
      <c r="C18" s="17"/>
      <c r="D18" s="144"/>
      <c r="E18" s="99">
        <v>65</v>
      </c>
      <c r="F18" s="99">
        <v>90.88</v>
      </c>
      <c r="G18" s="189">
        <f t="shared" si="1"/>
        <v>5907.2</v>
      </c>
      <c r="H18" s="99"/>
      <c r="I18" s="99"/>
      <c r="J18" s="189">
        <f t="shared" si="2"/>
        <v>0</v>
      </c>
      <c r="K18" s="189">
        <f t="shared" si="3"/>
        <v>5907.2</v>
      </c>
      <c r="L18" s="189"/>
      <c r="M18" s="189">
        <f>M17+K18-L18</f>
        <v>37968.930399999983</v>
      </c>
      <c r="N18" s="17"/>
    </row>
    <row r="19" spans="1:15">
      <c r="A19" s="26">
        <v>16</v>
      </c>
      <c r="B19" s="27">
        <v>46007</v>
      </c>
      <c r="C19" s="17"/>
      <c r="D19" s="144"/>
      <c r="E19" s="99">
        <v>50</v>
      </c>
      <c r="F19" s="99">
        <v>90.88</v>
      </c>
      <c r="G19" s="189">
        <f t="shared" si="1"/>
        <v>4544</v>
      </c>
      <c r="H19" s="99">
        <v>5</v>
      </c>
      <c r="I19" s="99">
        <v>102.77</v>
      </c>
      <c r="J19" s="189">
        <f t="shared" si="2"/>
        <v>513.85</v>
      </c>
      <c r="K19" s="189">
        <f t="shared" si="3"/>
        <v>5057.8500000000004</v>
      </c>
      <c r="L19" s="189"/>
      <c r="M19" s="189">
        <f t="shared" si="4"/>
        <v>43026.780399999981</v>
      </c>
      <c r="N19" s="17"/>
    </row>
    <row r="20" spans="1:15">
      <c r="A20" s="26">
        <v>17</v>
      </c>
      <c r="B20" s="27">
        <v>46008</v>
      </c>
      <c r="C20" s="17"/>
      <c r="D20" s="144"/>
      <c r="E20" s="99">
        <v>30</v>
      </c>
      <c r="F20" s="99">
        <v>90.88</v>
      </c>
      <c r="G20" s="189">
        <f t="shared" si="1"/>
        <v>2726.3999999999996</v>
      </c>
      <c r="H20" s="99">
        <v>5</v>
      </c>
      <c r="I20" s="99">
        <v>102.77</v>
      </c>
      <c r="J20" s="189">
        <f t="shared" si="2"/>
        <v>513.85</v>
      </c>
      <c r="K20" s="189">
        <f t="shared" si="3"/>
        <v>3240.2499999999995</v>
      </c>
      <c r="L20" s="189"/>
      <c r="M20" s="189">
        <f t="shared" si="4"/>
        <v>46267.030399999981</v>
      </c>
      <c r="N20" s="17"/>
      <c r="O20">
        <v>16.68</v>
      </c>
    </row>
    <row r="21" spans="1:15">
      <c r="A21" s="26">
        <v>18</v>
      </c>
      <c r="B21" s="27">
        <v>46009</v>
      </c>
      <c r="C21" s="17"/>
      <c r="D21" s="144"/>
      <c r="E21" s="99"/>
      <c r="F21" s="99"/>
      <c r="G21" s="189">
        <f t="shared" si="1"/>
        <v>0</v>
      </c>
      <c r="H21" s="99"/>
      <c r="I21" s="99"/>
      <c r="J21" s="189">
        <f t="shared" si="2"/>
        <v>0</v>
      </c>
      <c r="K21" s="189">
        <f t="shared" si="3"/>
        <v>0</v>
      </c>
      <c r="L21" s="189"/>
      <c r="M21" s="189">
        <f>M20+K21-L21</f>
        <v>46267.030399999981</v>
      </c>
      <c r="N21" s="17"/>
    </row>
    <row r="22" spans="1:15">
      <c r="A22" s="26">
        <v>19</v>
      </c>
      <c r="B22" s="27">
        <v>46010</v>
      </c>
      <c r="C22" s="17"/>
      <c r="D22" s="144"/>
      <c r="E22" s="99"/>
      <c r="F22" s="99"/>
      <c r="G22" s="189">
        <f t="shared" si="1"/>
        <v>0</v>
      </c>
      <c r="H22" s="99"/>
      <c r="I22" s="99"/>
      <c r="J22" s="189">
        <f t="shared" si="2"/>
        <v>0</v>
      </c>
      <c r="K22" s="189">
        <f t="shared" si="3"/>
        <v>0</v>
      </c>
      <c r="L22" s="189"/>
      <c r="M22" s="189">
        <f t="shared" si="4"/>
        <v>46267.030399999981</v>
      </c>
      <c r="N22" s="17"/>
    </row>
    <row r="23" spans="1:15">
      <c r="A23" s="26">
        <v>20</v>
      </c>
      <c r="B23" s="27">
        <v>46011</v>
      </c>
      <c r="C23" s="17"/>
      <c r="D23" s="144"/>
      <c r="E23" s="99">
        <v>20</v>
      </c>
      <c r="F23" s="99">
        <v>90.88</v>
      </c>
      <c r="G23" s="189">
        <f t="shared" si="1"/>
        <v>1817.6</v>
      </c>
      <c r="H23" s="99"/>
      <c r="I23" s="99"/>
      <c r="J23" s="189">
        <f t="shared" si="2"/>
        <v>0</v>
      </c>
      <c r="K23" s="189">
        <f t="shared" si="3"/>
        <v>1817.6</v>
      </c>
      <c r="L23" s="189"/>
      <c r="M23" s="189">
        <f t="shared" si="4"/>
        <v>48084.63039999998</v>
      </c>
      <c r="N23" s="17">
        <v>0</v>
      </c>
    </row>
    <row r="24" spans="1:15">
      <c r="A24" s="26">
        <v>21</v>
      </c>
      <c r="B24" s="27">
        <v>46012</v>
      </c>
      <c r="C24" s="17"/>
      <c r="D24" s="144"/>
      <c r="E24" s="99"/>
      <c r="F24" s="99"/>
      <c r="G24" s="189">
        <f t="shared" si="1"/>
        <v>0</v>
      </c>
      <c r="H24" s="99"/>
      <c r="I24" s="99"/>
      <c r="J24" s="189">
        <f t="shared" si="2"/>
        <v>0</v>
      </c>
      <c r="K24" s="189">
        <f t="shared" si="3"/>
        <v>0</v>
      </c>
      <c r="L24" s="189"/>
      <c r="M24" s="189">
        <f t="shared" si="4"/>
        <v>48084.63039999998</v>
      </c>
      <c r="N24" s="17"/>
    </row>
    <row r="25" spans="1:15">
      <c r="A25" s="26">
        <v>22</v>
      </c>
      <c r="B25" s="27">
        <v>46013</v>
      </c>
      <c r="C25" s="17"/>
      <c r="D25" s="144"/>
      <c r="E25" s="99">
        <v>160</v>
      </c>
      <c r="F25" s="99">
        <v>90.88</v>
      </c>
      <c r="G25" s="189">
        <f t="shared" si="1"/>
        <v>14540.8</v>
      </c>
      <c r="H25" s="99">
        <v>5</v>
      </c>
      <c r="I25" s="99">
        <v>102.77</v>
      </c>
      <c r="J25" s="189">
        <f t="shared" si="2"/>
        <v>513.85</v>
      </c>
      <c r="K25" s="189">
        <f t="shared" si="3"/>
        <v>15054.65</v>
      </c>
      <c r="L25" s="189"/>
      <c r="M25" s="189">
        <f t="shared" si="4"/>
        <v>63139.280399999981</v>
      </c>
      <c r="N25" s="17"/>
    </row>
    <row r="26" spans="1:15">
      <c r="A26" s="26">
        <v>23</v>
      </c>
      <c r="B26" s="27">
        <v>46014</v>
      </c>
      <c r="C26" s="17"/>
      <c r="D26" s="144"/>
      <c r="E26" s="99">
        <v>60</v>
      </c>
      <c r="F26" s="99">
        <v>90.88</v>
      </c>
      <c r="G26" s="189">
        <f t="shared" si="1"/>
        <v>5452.7999999999993</v>
      </c>
      <c r="H26" s="99">
        <v>6</v>
      </c>
      <c r="I26" s="99">
        <v>102.77</v>
      </c>
      <c r="J26" s="189">
        <f t="shared" si="2"/>
        <v>616.62</v>
      </c>
      <c r="K26" s="189">
        <f t="shared" si="3"/>
        <v>6069.4199999999992</v>
      </c>
      <c r="L26" s="189"/>
      <c r="M26" s="189">
        <f t="shared" si="4"/>
        <v>69208.700399999987</v>
      </c>
      <c r="N26" s="17"/>
    </row>
    <row r="27" spans="1:15">
      <c r="A27" s="26">
        <v>24</v>
      </c>
      <c r="B27" s="27">
        <v>46015</v>
      </c>
      <c r="C27" s="17"/>
      <c r="D27" s="144"/>
      <c r="E27" s="99">
        <v>60</v>
      </c>
      <c r="F27" s="99">
        <v>90.88</v>
      </c>
      <c r="G27" s="189">
        <f t="shared" si="1"/>
        <v>5452.7999999999993</v>
      </c>
      <c r="H27" s="99"/>
      <c r="I27" s="99"/>
      <c r="J27" s="189">
        <f t="shared" si="2"/>
        <v>0</v>
      </c>
      <c r="K27" s="189">
        <f t="shared" si="3"/>
        <v>5452.7999999999993</v>
      </c>
      <c r="L27" s="189"/>
      <c r="M27" s="189">
        <f t="shared" si="4"/>
        <v>74661.50039999999</v>
      </c>
      <c r="N27" s="17"/>
    </row>
    <row r="28" spans="1:15">
      <c r="A28" s="26">
        <v>25</v>
      </c>
      <c r="B28" s="27">
        <v>46016</v>
      </c>
      <c r="C28" s="17"/>
      <c r="D28" s="144"/>
      <c r="E28" s="99">
        <v>60</v>
      </c>
      <c r="F28" s="99">
        <v>90.88</v>
      </c>
      <c r="G28" s="189">
        <f t="shared" si="1"/>
        <v>5452.7999999999993</v>
      </c>
      <c r="H28" s="99">
        <v>5</v>
      </c>
      <c r="I28" s="99">
        <v>102.77</v>
      </c>
      <c r="J28" s="189">
        <f t="shared" si="2"/>
        <v>513.85</v>
      </c>
      <c r="K28" s="189">
        <f t="shared" si="3"/>
        <v>5966.65</v>
      </c>
      <c r="L28" s="189"/>
      <c r="M28" s="189">
        <f t="shared" si="4"/>
        <v>80628.150399999984</v>
      </c>
      <c r="N28" s="17"/>
    </row>
    <row r="29" spans="1:15">
      <c r="A29" s="26">
        <v>26</v>
      </c>
      <c r="B29" s="27">
        <v>46017</v>
      </c>
      <c r="C29" s="17"/>
      <c r="D29" s="144"/>
      <c r="E29" s="99">
        <v>120</v>
      </c>
      <c r="F29" s="99">
        <v>90.88</v>
      </c>
      <c r="G29" s="189">
        <f t="shared" si="1"/>
        <v>10905.599999999999</v>
      </c>
      <c r="H29" s="99">
        <v>5</v>
      </c>
      <c r="I29" s="99">
        <v>102.77</v>
      </c>
      <c r="J29" s="189">
        <f t="shared" si="2"/>
        <v>513.85</v>
      </c>
      <c r="K29" s="189">
        <f t="shared" si="3"/>
        <v>11419.449999999999</v>
      </c>
      <c r="L29" s="189"/>
      <c r="M29" s="189">
        <f t="shared" si="4"/>
        <v>92047.600399999981</v>
      </c>
      <c r="N29" s="17"/>
    </row>
    <row r="30" spans="1:15">
      <c r="A30" s="26">
        <v>27</v>
      </c>
      <c r="B30" s="27">
        <v>46018</v>
      </c>
      <c r="C30" s="17"/>
      <c r="D30" s="144"/>
      <c r="E30" s="99"/>
      <c r="F30" s="99"/>
      <c r="G30" s="189">
        <f t="shared" si="1"/>
        <v>0</v>
      </c>
      <c r="H30" s="99"/>
      <c r="I30" s="99"/>
      <c r="J30" s="189">
        <f t="shared" si="2"/>
        <v>0</v>
      </c>
      <c r="K30" s="189">
        <f t="shared" si="3"/>
        <v>0</v>
      </c>
      <c r="L30" s="189"/>
      <c r="M30" s="189">
        <f t="shared" si="4"/>
        <v>92047.600399999981</v>
      </c>
      <c r="N30" s="17"/>
    </row>
    <row r="31" spans="1:15">
      <c r="A31" s="26">
        <v>28</v>
      </c>
      <c r="B31" s="27">
        <v>46019</v>
      </c>
      <c r="C31" s="17"/>
      <c r="D31" s="144"/>
      <c r="E31" s="99">
        <v>40</v>
      </c>
      <c r="F31" s="99">
        <v>90.88</v>
      </c>
      <c r="G31" s="189">
        <f t="shared" si="1"/>
        <v>3635.2</v>
      </c>
      <c r="H31" s="99">
        <v>5</v>
      </c>
      <c r="I31" s="99">
        <v>102.77</v>
      </c>
      <c r="J31" s="189">
        <f t="shared" si="2"/>
        <v>513.85</v>
      </c>
      <c r="K31" s="189">
        <f t="shared" si="3"/>
        <v>4149.05</v>
      </c>
      <c r="L31" s="189"/>
      <c r="M31" s="189">
        <f t="shared" si="4"/>
        <v>96196.650399999984</v>
      </c>
      <c r="N31" s="17"/>
    </row>
    <row r="32" spans="1:15">
      <c r="A32" s="26">
        <v>29</v>
      </c>
      <c r="B32" s="27">
        <v>46020</v>
      </c>
      <c r="C32" s="17"/>
      <c r="D32" s="144"/>
      <c r="E32" s="99"/>
      <c r="F32" s="99"/>
      <c r="G32" s="189">
        <f t="shared" si="1"/>
        <v>0</v>
      </c>
      <c r="H32" s="99"/>
      <c r="I32" s="99"/>
      <c r="J32" s="189">
        <f t="shared" si="2"/>
        <v>0</v>
      </c>
      <c r="K32" s="189">
        <f t="shared" si="3"/>
        <v>0</v>
      </c>
      <c r="L32" s="189"/>
      <c r="M32" s="189">
        <f t="shared" si="4"/>
        <v>96196.650399999984</v>
      </c>
      <c r="N32" s="17"/>
    </row>
    <row r="33" spans="1:14">
      <c r="A33" s="26">
        <v>30</v>
      </c>
      <c r="B33" s="27">
        <v>46021</v>
      </c>
      <c r="C33" s="17"/>
      <c r="D33" s="144"/>
      <c r="E33" s="99">
        <v>25</v>
      </c>
      <c r="F33" s="99">
        <v>90.88</v>
      </c>
      <c r="G33" s="189">
        <f t="shared" si="1"/>
        <v>2272</v>
      </c>
      <c r="H33" s="99"/>
      <c r="I33" s="99"/>
      <c r="J33" s="189">
        <f t="shared" si="2"/>
        <v>0</v>
      </c>
      <c r="K33" s="189">
        <f t="shared" si="3"/>
        <v>2272</v>
      </c>
      <c r="L33" s="189"/>
      <c r="M33" s="189">
        <f t="shared" si="4"/>
        <v>98468.650399999984</v>
      </c>
      <c r="N33" s="17"/>
    </row>
    <row r="34" spans="1:14">
      <c r="A34" s="26">
        <v>31</v>
      </c>
      <c r="B34" s="27">
        <v>46022</v>
      </c>
      <c r="C34" s="17"/>
      <c r="D34" s="17"/>
      <c r="E34" s="99"/>
      <c r="F34" s="99"/>
      <c r="G34" s="189"/>
      <c r="H34" s="99">
        <v>5</v>
      </c>
      <c r="I34" s="99">
        <v>102.77</v>
      </c>
      <c r="J34" s="189">
        <f t="shared" si="2"/>
        <v>513.85</v>
      </c>
      <c r="K34" s="189">
        <f t="shared" si="3"/>
        <v>513.85</v>
      </c>
      <c r="L34" s="144"/>
      <c r="M34" s="189">
        <f t="shared" si="4"/>
        <v>98982.50039999999</v>
      </c>
      <c r="N34" s="17"/>
    </row>
    <row r="35" spans="1:14">
      <c r="A35" s="46"/>
      <c r="B35" s="46"/>
      <c r="C35" s="46"/>
      <c r="D35" s="46"/>
      <c r="E35" s="46">
        <f>SUM(E4:E34)</f>
        <v>1226.17</v>
      </c>
      <c r="F35" s="46"/>
      <c r="G35" s="46">
        <f>SUM(G4:G34)</f>
        <v>111434.32959999998</v>
      </c>
      <c r="H35" s="46">
        <f>SUM(H4:H34)</f>
        <v>83</v>
      </c>
      <c r="I35" s="46"/>
      <c r="J35" s="46">
        <f>SUM(J4:J34)</f>
        <v>8529.9100000000017</v>
      </c>
      <c r="K35" s="46">
        <f>SUM(K4:K34)</f>
        <v>119964.23959999999</v>
      </c>
      <c r="L35" s="46">
        <f>SUM(L4:L34)</f>
        <v>50000</v>
      </c>
      <c r="M35" s="46">
        <f>SUM(M4:M34)</f>
        <v>1711212.953599999</v>
      </c>
      <c r="N35" s="46"/>
    </row>
    <row r="36" spans="1:14">
      <c r="E36">
        <v>1541.87</v>
      </c>
    </row>
    <row r="37" spans="1:14">
      <c r="E37">
        <v>1661</v>
      </c>
      <c r="H37">
        <v>43.92</v>
      </c>
      <c r="K37" s="22"/>
    </row>
    <row r="38" spans="1:14">
      <c r="E38">
        <f>E37-E36</f>
        <v>119.13000000000011</v>
      </c>
    </row>
  </sheetData>
  <mergeCells count="1">
    <mergeCell ref="A1:N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D717-3CA9-494A-8EBD-D74F2C499AC3}">
  <dimension ref="A1:Q37"/>
  <sheetViews>
    <sheetView topLeftCell="A8" workbookViewId="0">
      <selection activeCell="E16" sqref="E16"/>
    </sheetView>
  </sheetViews>
  <sheetFormatPr defaultRowHeight="15"/>
  <cols>
    <col min="1" max="1" width="5.140625" bestFit="1" customWidth="1"/>
    <col min="3" max="3" width="8" bestFit="1" customWidth="1"/>
    <col min="4" max="4" width="16" bestFit="1" customWidth="1"/>
    <col min="5" max="5" width="10.7109375" bestFit="1" customWidth="1"/>
    <col min="6" max="6" width="6.140625" bestFit="1" customWidth="1"/>
    <col min="7" max="7" width="10.42578125" bestFit="1" customWidth="1"/>
    <col min="8" max="8" width="10.7109375" bestFit="1" customWidth="1"/>
    <col min="9" max="9" width="9.28515625" customWidth="1"/>
    <col min="10" max="10" width="8.7109375" bestFit="1" customWidth="1"/>
    <col min="11" max="12" width="13.5703125" bestFit="1" customWidth="1"/>
    <col min="13" max="13" width="11.28515625" bestFit="1" customWidth="1"/>
    <col min="14" max="14" width="8.7109375" bestFit="1" customWidth="1"/>
  </cols>
  <sheetData>
    <row r="1" spans="1:17" ht="15.75">
      <c r="A1" s="481" t="s">
        <v>54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98"/>
      <c r="P1" s="98"/>
      <c r="Q1" s="98"/>
    </row>
    <row r="2" spans="1:17">
      <c r="A2" s="70" t="s">
        <v>122</v>
      </c>
      <c r="B2" s="70" t="s">
        <v>123</v>
      </c>
      <c r="C2" s="70" t="s">
        <v>124</v>
      </c>
      <c r="D2" s="70" t="s">
        <v>125</v>
      </c>
      <c r="E2" s="97" t="s">
        <v>126</v>
      </c>
      <c r="F2" s="97" t="s">
        <v>127</v>
      </c>
      <c r="G2" s="97" t="s">
        <v>128</v>
      </c>
      <c r="H2" s="97" t="s">
        <v>129</v>
      </c>
      <c r="I2" s="97" t="s">
        <v>127</v>
      </c>
      <c r="J2" s="97" t="s">
        <v>128</v>
      </c>
      <c r="K2" s="97" t="s">
        <v>130</v>
      </c>
      <c r="L2" s="91" t="s">
        <v>131</v>
      </c>
      <c r="M2" s="91" t="s">
        <v>132</v>
      </c>
      <c r="N2" s="70" t="s">
        <v>133</v>
      </c>
    </row>
    <row r="3" spans="1:17">
      <c r="A3" s="17"/>
      <c r="B3" s="17"/>
      <c r="C3" s="17"/>
      <c r="D3" s="17" t="s">
        <v>134</v>
      </c>
      <c r="E3" s="17"/>
      <c r="F3" s="17"/>
      <c r="G3" s="17"/>
      <c r="H3" s="17"/>
      <c r="I3" s="17"/>
      <c r="J3" s="17"/>
      <c r="K3" s="42">
        <v>554212.7041999998</v>
      </c>
      <c r="L3" s="17"/>
      <c r="M3" s="42">
        <v>554212.7041999998</v>
      </c>
      <c r="N3" s="17"/>
      <c r="O3" s="42">
        <v>26506.399999999994</v>
      </c>
    </row>
    <row r="4" spans="1:17">
      <c r="A4" s="26">
        <v>1</v>
      </c>
      <c r="B4" s="27">
        <v>45992</v>
      </c>
      <c r="C4" s="17"/>
      <c r="D4" s="17"/>
      <c r="E4" s="99"/>
      <c r="F4" s="99"/>
      <c r="G4" s="42">
        <f>E4*F4</f>
        <v>0</v>
      </c>
      <c r="H4" s="48"/>
      <c r="I4" s="48"/>
      <c r="J4" s="42">
        <f>H4*I4</f>
        <v>0</v>
      </c>
      <c r="K4" s="42">
        <f>G4+J4</f>
        <v>0</v>
      </c>
      <c r="L4" s="42"/>
      <c r="M4" s="42">
        <f>M3+K4-L4</f>
        <v>554212.7041999998</v>
      </c>
      <c r="N4" s="17"/>
    </row>
    <row r="5" spans="1:17">
      <c r="A5" s="26">
        <v>2</v>
      </c>
      <c r="B5" s="27">
        <v>45993</v>
      </c>
      <c r="C5" s="17"/>
      <c r="D5" s="17"/>
      <c r="E5" s="99"/>
      <c r="F5" s="99"/>
      <c r="G5" s="42">
        <f t="shared" ref="G5:G36" si="0">E5*F5</f>
        <v>0</v>
      </c>
      <c r="H5" s="48"/>
      <c r="I5" s="48"/>
      <c r="J5" s="42">
        <f t="shared" ref="J5:J36" si="1">H5*I5</f>
        <v>0</v>
      </c>
      <c r="K5" s="42">
        <f t="shared" ref="K5:K36" si="2">G5+J5</f>
        <v>0</v>
      </c>
      <c r="L5" s="42"/>
      <c r="M5" s="42">
        <f>M4+K5-L5</f>
        <v>554212.7041999998</v>
      </c>
      <c r="N5" s="17"/>
    </row>
    <row r="6" spans="1:17">
      <c r="A6" s="26">
        <v>3</v>
      </c>
      <c r="B6" s="27">
        <v>45994</v>
      </c>
      <c r="C6" s="17"/>
      <c r="D6" s="17"/>
      <c r="E6" s="99"/>
      <c r="F6" s="99"/>
      <c r="G6" s="42">
        <f t="shared" si="0"/>
        <v>0</v>
      </c>
      <c r="H6" s="48"/>
      <c r="I6" s="48"/>
      <c r="J6" s="42">
        <f t="shared" si="1"/>
        <v>0</v>
      </c>
      <c r="K6" s="42">
        <f t="shared" si="2"/>
        <v>0</v>
      </c>
      <c r="L6" s="42"/>
      <c r="M6" s="42">
        <f>M5+K6-L6</f>
        <v>554212.7041999998</v>
      </c>
      <c r="N6" s="17"/>
    </row>
    <row r="7" spans="1:17">
      <c r="A7" s="26">
        <v>4</v>
      </c>
      <c r="B7" s="27">
        <v>45995</v>
      </c>
      <c r="C7" s="17"/>
      <c r="D7" s="17"/>
      <c r="E7" s="367"/>
      <c r="F7" s="367"/>
      <c r="G7" s="42">
        <f t="shared" si="0"/>
        <v>0</v>
      </c>
      <c r="H7" s="48">
        <v>6</v>
      </c>
      <c r="I7" s="48">
        <v>103.18</v>
      </c>
      <c r="J7" s="42">
        <f t="shared" si="1"/>
        <v>619.08000000000004</v>
      </c>
      <c r="K7" s="42">
        <f t="shared" si="2"/>
        <v>619.08000000000004</v>
      </c>
      <c r="L7" s="42">
        <v>619</v>
      </c>
      <c r="M7" s="42">
        <f>M6+K7-L7</f>
        <v>554212.78419999976</v>
      </c>
      <c r="N7" s="17"/>
    </row>
    <row r="8" spans="1:17">
      <c r="A8" s="26">
        <v>5</v>
      </c>
      <c r="B8" s="27">
        <v>45996</v>
      </c>
      <c r="C8" s="17"/>
      <c r="D8" s="17"/>
      <c r="E8" s="367">
        <v>21.92</v>
      </c>
      <c r="F8" s="367">
        <v>91.26</v>
      </c>
      <c r="G8" s="42">
        <f t="shared" si="0"/>
        <v>2000.4192000000003</v>
      </c>
      <c r="H8" s="48">
        <v>19.38</v>
      </c>
      <c r="I8" s="48">
        <v>103.18</v>
      </c>
      <c r="J8" s="42">
        <f t="shared" si="1"/>
        <v>1999.6284000000001</v>
      </c>
      <c r="K8" s="42">
        <f t="shared" si="2"/>
        <v>4000.0476000000003</v>
      </c>
      <c r="L8" s="42">
        <v>4000</v>
      </c>
      <c r="M8" s="42">
        <f>M7+K8-L8</f>
        <v>554212.83179999981</v>
      </c>
      <c r="N8" s="17"/>
    </row>
    <row r="9" spans="1:17">
      <c r="A9" s="26">
        <v>6</v>
      </c>
      <c r="B9" s="27">
        <v>45997</v>
      </c>
      <c r="C9" s="17"/>
      <c r="D9" s="17"/>
      <c r="E9" s="99"/>
      <c r="F9" s="367"/>
      <c r="G9" s="42">
        <f t="shared" si="0"/>
        <v>0</v>
      </c>
      <c r="H9" s="48"/>
      <c r="I9" s="48"/>
      <c r="J9" s="42">
        <f t="shared" si="1"/>
        <v>0</v>
      </c>
      <c r="K9" s="42">
        <f t="shared" si="2"/>
        <v>0</v>
      </c>
      <c r="L9" s="42"/>
      <c r="M9" s="42">
        <f t="shared" ref="M9:M36" si="3">M8+K9-L9</f>
        <v>554212.83179999981</v>
      </c>
      <c r="N9" s="17"/>
    </row>
    <row r="10" spans="1:17">
      <c r="A10" s="26">
        <v>7</v>
      </c>
      <c r="B10" s="27">
        <v>45998</v>
      </c>
      <c r="C10" s="17"/>
      <c r="D10" s="17"/>
      <c r="E10" s="99"/>
      <c r="F10" s="367"/>
      <c r="G10" s="42">
        <f t="shared" si="0"/>
        <v>0</v>
      </c>
      <c r="H10" s="48"/>
      <c r="I10" s="48"/>
      <c r="J10" s="42">
        <f t="shared" si="1"/>
        <v>0</v>
      </c>
      <c r="K10" s="42">
        <f t="shared" si="2"/>
        <v>0</v>
      </c>
      <c r="L10" s="42"/>
      <c r="M10" s="42">
        <f t="shared" si="3"/>
        <v>554212.83179999981</v>
      </c>
      <c r="N10" s="17"/>
    </row>
    <row r="11" spans="1:17">
      <c r="A11" s="26">
        <v>8</v>
      </c>
      <c r="B11" s="27">
        <v>45999</v>
      </c>
      <c r="C11" s="17"/>
      <c r="D11" s="17"/>
      <c r="E11" s="99"/>
      <c r="F11" s="367"/>
      <c r="G11" s="42">
        <f t="shared" si="0"/>
        <v>0</v>
      </c>
      <c r="H11" s="48"/>
      <c r="I11" s="48"/>
      <c r="J11" s="42">
        <f t="shared" si="1"/>
        <v>0</v>
      </c>
      <c r="K11" s="42">
        <f t="shared" si="2"/>
        <v>0</v>
      </c>
      <c r="L11" s="42"/>
      <c r="M11" s="42">
        <f t="shared" si="3"/>
        <v>554212.83179999981</v>
      </c>
      <c r="N11" s="17"/>
    </row>
    <row r="12" spans="1:17">
      <c r="A12" s="26">
        <v>9</v>
      </c>
      <c r="B12" s="27">
        <v>46000</v>
      </c>
      <c r="C12" s="17"/>
      <c r="D12" s="17"/>
      <c r="E12" s="99">
        <v>70</v>
      </c>
      <c r="F12" s="42">
        <v>91.51</v>
      </c>
      <c r="G12" s="42">
        <f t="shared" si="0"/>
        <v>6405.7000000000007</v>
      </c>
      <c r="H12" s="48"/>
      <c r="I12" s="48"/>
      <c r="J12" s="42">
        <f t="shared" si="1"/>
        <v>0</v>
      </c>
      <c r="K12" s="42">
        <f t="shared" si="2"/>
        <v>6405.7000000000007</v>
      </c>
      <c r="L12" s="42">
        <v>6405.7</v>
      </c>
      <c r="M12" s="42">
        <f>M11+K12-L12</f>
        <v>554212.83179999981</v>
      </c>
      <c r="N12" s="17"/>
    </row>
    <row r="13" spans="1:17">
      <c r="A13" s="26">
        <v>10</v>
      </c>
      <c r="B13" s="27">
        <v>46001</v>
      </c>
      <c r="C13" s="17"/>
      <c r="D13" s="17"/>
      <c r="E13" s="99"/>
      <c r="F13" s="99"/>
      <c r="G13" s="42">
        <f t="shared" si="0"/>
        <v>0</v>
      </c>
      <c r="H13" s="48"/>
      <c r="I13" s="48"/>
      <c r="J13" s="42">
        <f t="shared" si="1"/>
        <v>0</v>
      </c>
      <c r="K13" s="42">
        <f t="shared" si="2"/>
        <v>0</v>
      </c>
      <c r="L13" s="42"/>
      <c r="M13" s="42">
        <f t="shared" si="3"/>
        <v>554212.83179999981</v>
      </c>
      <c r="N13" s="17"/>
    </row>
    <row r="14" spans="1:17">
      <c r="A14" s="26">
        <v>11</v>
      </c>
      <c r="B14" s="27">
        <v>46002</v>
      </c>
      <c r="C14" s="17"/>
      <c r="D14" s="17"/>
      <c r="E14" s="99">
        <v>415.26</v>
      </c>
      <c r="F14" s="99">
        <v>91.51</v>
      </c>
      <c r="G14" s="42">
        <f t="shared" si="0"/>
        <v>38000.442600000002</v>
      </c>
      <c r="H14" s="48">
        <v>19.329999999999998</v>
      </c>
      <c r="I14" s="48">
        <v>103.44</v>
      </c>
      <c r="J14" s="42">
        <f t="shared" si="1"/>
        <v>1999.4951999999998</v>
      </c>
      <c r="K14" s="42">
        <f t="shared" si="2"/>
        <v>39999.9378</v>
      </c>
      <c r="L14" s="42">
        <v>40000</v>
      </c>
      <c r="M14" s="42">
        <f>M13+K14-L14</f>
        <v>554212.76959999977</v>
      </c>
      <c r="N14" s="17"/>
    </row>
    <row r="15" spans="1:17">
      <c r="A15" s="26">
        <v>12</v>
      </c>
      <c r="B15" s="27">
        <v>46003</v>
      </c>
      <c r="C15" s="17"/>
      <c r="D15" s="99"/>
      <c r="E15" s="99"/>
      <c r="F15" s="99"/>
      <c r="G15" s="42">
        <f t="shared" si="0"/>
        <v>0</v>
      </c>
      <c r="H15" s="48"/>
      <c r="I15" s="48"/>
      <c r="J15" s="42">
        <f t="shared" si="1"/>
        <v>0</v>
      </c>
      <c r="K15" s="42">
        <f t="shared" si="2"/>
        <v>0</v>
      </c>
      <c r="L15" s="42">
        <v>500000</v>
      </c>
      <c r="M15" s="42">
        <f t="shared" si="3"/>
        <v>54212.769599999767</v>
      </c>
      <c r="N15" s="17"/>
    </row>
    <row r="16" spans="1:17">
      <c r="A16" s="26">
        <v>13</v>
      </c>
      <c r="B16" s="27">
        <v>46004</v>
      </c>
      <c r="C16" s="17"/>
      <c r="D16" s="17">
        <v>600</v>
      </c>
      <c r="E16" s="453">
        <v>635</v>
      </c>
      <c r="F16" s="99">
        <v>91.32</v>
      </c>
      <c r="G16" s="42">
        <f t="shared" si="0"/>
        <v>57988.2</v>
      </c>
      <c r="H16" s="48"/>
      <c r="I16" s="48"/>
      <c r="J16" s="42">
        <f t="shared" si="1"/>
        <v>0</v>
      </c>
      <c r="K16" s="42">
        <f t="shared" si="2"/>
        <v>57988.2</v>
      </c>
      <c r="L16" s="42"/>
      <c r="M16" s="42">
        <f t="shared" si="3"/>
        <v>112200.96959999976</v>
      </c>
      <c r="N16" s="17"/>
      <c r="Q16" s="391"/>
    </row>
    <row r="17" spans="1:16">
      <c r="A17" s="26">
        <v>14</v>
      </c>
      <c r="B17" s="27">
        <v>46005</v>
      </c>
      <c r="C17" s="17"/>
      <c r="D17" s="17"/>
      <c r="E17" s="99"/>
      <c r="F17" s="99"/>
      <c r="G17" s="42">
        <f t="shared" si="0"/>
        <v>0</v>
      </c>
      <c r="H17" s="48"/>
      <c r="I17" s="48"/>
      <c r="J17" s="42">
        <f t="shared" si="1"/>
        <v>0</v>
      </c>
      <c r="K17" s="42">
        <f t="shared" si="2"/>
        <v>0</v>
      </c>
      <c r="L17" s="42"/>
      <c r="M17" s="42">
        <f t="shared" si="3"/>
        <v>112200.96959999976</v>
      </c>
      <c r="N17" s="17"/>
    </row>
    <row r="18" spans="1:16">
      <c r="A18" s="26">
        <v>15</v>
      </c>
      <c r="B18" s="27">
        <v>46006</v>
      </c>
      <c r="C18" s="17"/>
      <c r="D18" s="17"/>
      <c r="E18" s="99">
        <v>630</v>
      </c>
      <c r="F18" s="99">
        <v>91.32</v>
      </c>
      <c r="G18" s="42">
        <f t="shared" si="0"/>
        <v>57531.6</v>
      </c>
      <c r="H18" s="48">
        <v>12</v>
      </c>
      <c r="I18" s="48">
        <v>103.24</v>
      </c>
      <c r="J18" s="42">
        <f t="shared" si="1"/>
        <v>1238.8799999999999</v>
      </c>
      <c r="K18" s="42">
        <f t="shared" si="2"/>
        <v>58770.479999999996</v>
      </c>
      <c r="L18" s="42">
        <v>107000</v>
      </c>
      <c r="M18" s="42">
        <f t="shared" si="3"/>
        <v>63971.44959999976</v>
      </c>
      <c r="N18" s="17"/>
    </row>
    <row r="19" spans="1:16">
      <c r="A19" s="26">
        <v>16</v>
      </c>
      <c r="B19" s="27">
        <v>46007</v>
      </c>
      <c r="C19" s="17"/>
      <c r="D19" s="17"/>
      <c r="E19" s="99">
        <v>633.46</v>
      </c>
      <c r="F19" s="99">
        <v>91.32</v>
      </c>
      <c r="G19" s="42">
        <f t="shared" si="0"/>
        <v>57847.567199999998</v>
      </c>
      <c r="H19" s="48">
        <v>5</v>
      </c>
      <c r="I19" s="48">
        <v>103.24</v>
      </c>
      <c r="J19" s="42">
        <f t="shared" si="1"/>
        <v>516.19999999999993</v>
      </c>
      <c r="K19" s="42">
        <f t="shared" si="2"/>
        <v>58363.767199999995</v>
      </c>
      <c r="L19" s="42"/>
      <c r="M19" s="42">
        <f t="shared" si="3"/>
        <v>122335.21679999976</v>
      </c>
      <c r="N19" s="17"/>
    </row>
    <row r="20" spans="1:16">
      <c r="A20" s="26">
        <v>17</v>
      </c>
      <c r="B20" s="27">
        <v>46008</v>
      </c>
      <c r="C20" s="17"/>
      <c r="D20" s="17"/>
      <c r="E20" s="99"/>
      <c r="F20" s="99"/>
      <c r="G20" s="42">
        <f t="shared" si="0"/>
        <v>0</v>
      </c>
      <c r="H20" s="48">
        <v>6</v>
      </c>
      <c r="I20" s="48">
        <v>103.24</v>
      </c>
      <c r="J20" s="42">
        <f t="shared" si="1"/>
        <v>619.43999999999994</v>
      </c>
      <c r="K20" s="42">
        <f t="shared" si="2"/>
        <v>619.43999999999994</v>
      </c>
      <c r="L20" s="42"/>
      <c r="M20" s="42">
        <f t="shared" si="3"/>
        <v>122954.65679999976</v>
      </c>
      <c r="N20" s="17"/>
    </row>
    <row r="21" spans="1:16">
      <c r="A21" s="26">
        <v>18</v>
      </c>
      <c r="B21" s="27">
        <v>46009</v>
      </c>
      <c r="C21" s="17"/>
      <c r="D21" s="17"/>
      <c r="E21" s="367">
        <v>668.61</v>
      </c>
      <c r="F21" s="99">
        <v>91.32</v>
      </c>
      <c r="G21" s="42">
        <f t="shared" si="0"/>
        <v>61057.465199999999</v>
      </c>
      <c r="H21" s="48">
        <v>22</v>
      </c>
      <c r="I21" s="48">
        <v>103.24</v>
      </c>
      <c r="J21" s="42">
        <f t="shared" si="1"/>
        <v>2271.2799999999997</v>
      </c>
      <c r="K21" s="42">
        <f t="shared" si="2"/>
        <v>63328.745199999998</v>
      </c>
      <c r="L21" s="42"/>
      <c r="M21" s="42">
        <f t="shared" si="3"/>
        <v>186283.40199999977</v>
      </c>
      <c r="N21" s="17"/>
    </row>
    <row r="22" spans="1:16">
      <c r="A22" s="26">
        <v>19</v>
      </c>
      <c r="B22" s="27">
        <v>46010</v>
      </c>
      <c r="C22" s="17"/>
      <c r="D22" s="17"/>
      <c r="E22" s="367"/>
      <c r="F22" s="99"/>
      <c r="G22" s="42">
        <f t="shared" si="0"/>
        <v>0</v>
      </c>
      <c r="H22" s="48"/>
      <c r="I22" s="48"/>
      <c r="J22" s="42">
        <f t="shared" si="1"/>
        <v>0</v>
      </c>
      <c r="K22" s="42">
        <f t="shared" si="2"/>
        <v>0</v>
      </c>
      <c r="L22" s="42"/>
      <c r="M22" s="42">
        <f t="shared" si="3"/>
        <v>186283.40199999977</v>
      </c>
      <c r="N22" s="17"/>
    </row>
    <row r="23" spans="1:16">
      <c r="A23" s="26">
        <v>20</v>
      </c>
      <c r="B23" s="27">
        <v>46011</v>
      </c>
      <c r="C23" s="17"/>
      <c r="D23" s="17"/>
      <c r="E23" s="432">
        <v>630</v>
      </c>
      <c r="F23" s="432">
        <v>91.32</v>
      </c>
      <c r="G23" s="42">
        <f t="shared" si="0"/>
        <v>57531.6</v>
      </c>
      <c r="H23" s="48">
        <v>11</v>
      </c>
      <c r="I23" s="48">
        <v>103.24</v>
      </c>
      <c r="J23" s="42">
        <f t="shared" si="1"/>
        <v>1135.6399999999999</v>
      </c>
      <c r="K23" s="42">
        <f t="shared" si="2"/>
        <v>58667.24</v>
      </c>
      <c r="L23" s="42"/>
      <c r="M23" s="42">
        <f t="shared" si="3"/>
        <v>244950.64199999976</v>
      </c>
      <c r="N23" s="17"/>
    </row>
    <row r="24" spans="1:16">
      <c r="A24" s="26">
        <v>21</v>
      </c>
      <c r="B24" s="27">
        <v>46012</v>
      </c>
      <c r="C24" s="17"/>
      <c r="D24" s="17"/>
      <c r="E24" s="433">
        <v>400</v>
      </c>
      <c r="F24" s="432">
        <v>91.32</v>
      </c>
      <c r="G24" s="42">
        <f t="shared" si="0"/>
        <v>36528</v>
      </c>
      <c r="H24" s="48"/>
      <c r="I24" s="48"/>
      <c r="J24" s="42">
        <f t="shared" si="1"/>
        <v>0</v>
      </c>
      <c r="K24" s="42">
        <f t="shared" si="2"/>
        <v>36528</v>
      </c>
      <c r="L24" s="42"/>
      <c r="M24" s="42">
        <f t="shared" si="3"/>
        <v>281478.64199999976</v>
      </c>
      <c r="N24" s="17"/>
    </row>
    <row r="25" spans="1:16">
      <c r="A25" s="26">
        <v>22</v>
      </c>
      <c r="B25" s="27">
        <v>46013</v>
      </c>
      <c r="C25" s="17"/>
      <c r="D25" s="17"/>
      <c r="E25" s="433">
        <v>400</v>
      </c>
      <c r="F25" s="432">
        <v>91.32</v>
      </c>
      <c r="G25" s="42">
        <f t="shared" si="0"/>
        <v>36528</v>
      </c>
      <c r="H25" s="48"/>
      <c r="I25" s="48"/>
      <c r="J25" s="42">
        <f t="shared" si="1"/>
        <v>0</v>
      </c>
      <c r="K25" s="42">
        <f t="shared" si="2"/>
        <v>36528</v>
      </c>
      <c r="L25" s="42"/>
      <c r="M25" s="42">
        <f t="shared" si="3"/>
        <v>318006.64199999976</v>
      </c>
      <c r="N25" s="17"/>
    </row>
    <row r="26" spans="1:16">
      <c r="A26" s="26">
        <v>23</v>
      </c>
      <c r="B26" s="27">
        <v>46014</v>
      </c>
      <c r="C26" s="17"/>
      <c r="D26" s="17"/>
      <c r="E26" s="99"/>
      <c r="F26" s="99"/>
      <c r="G26" s="42">
        <f t="shared" si="0"/>
        <v>0</v>
      </c>
      <c r="H26" s="48">
        <v>22</v>
      </c>
      <c r="I26" s="48">
        <v>103.44</v>
      </c>
      <c r="J26" s="42">
        <f t="shared" si="1"/>
        <v>2275.6799999999998</v>
      </c>
      <c r="K26" s="42">
        <f t="shared" si="2"/>
        <v>2275.6799999999998</v>
      </c>
      <c r="L26" s="42"/>
      <c r="M26" s="42">
        <f t="shared" si="3"/>
        <v>320282.32199999975</v>
      </c>
      <c r="N26" s="17"/>
    </row>
    <row r="27" spans="1:16">
      <c r="A27" s="26">
        <v>24</v>
      </c>
      <c r="B27" s="27">
        <v>46015</v>
      </c>
      <c r="C27" s="17"/>
      <c r="D27" s="17"/>
      <c r="E27" s="99">
        <v>600</v>
      </c>
      <c r="F27" s="99">
        <v>91.32</v>
      </c>
      <c r="G27" s="42">
        <f t="shared" si="0"/>
        <v>54791.999999999993</v>
      </c>
      <c r="H27" s="48">
        <v>11</v>
      </c>
      <c r="I27" s="48">
        <v>103.44</v>
      </c>
      <c r="J27" s="42">
        <f t="shared" si="1"/>
        <v>1137.8399999999999</v>
      </c>
      <c r="K27" s="42">
        <f t="shared" si="2"/>
        <v>55929.839999999989</v>
      </c>
      <c r="L27" s="42"/>
      <c r="M27" s="42">
        <f t="shared" si="3"/>
        <v>376212.16199999972</v>
      </c>
      <c r="N27" s="17"/>
      <c r="P27" s="22"/>
    </row>
    <row r="28" spans="1:16">
      <c r="A28" s="26">
        <v>25</v>
      </c>
      <c r="B28" s="27">
        <v>46016</v>
      </c>
      <c r="C28" s="17"/>
      <c r="D28" s="17"/>
      <c r="E28" s="99">
        <v>500</v>
      </c>
      <c r="F28" s="99">
        <v>91.32</v>
      </c>
      <c r="G28" s="42">
        <f t="shared" si="0"/>
        <v>45660</v>
      </c>
      <c r="H28" s="48">
        <v>5</v>
      </c>
      <c r="I28" s="48">
        <v>103.44</v>
      </c>
      <c r="J28" s="42">
        <f t="shared" si="1"/>
        <v>517.20000000000005</v>
      </c>
      <c r="K28" s="42">
        <f t="shared" si="2"/>
        <v>46177.2</v>
      </c>
      <c r="L28" s="42"/>
      <c r="M28" s="42">
        <f t="shared" si="3"/>
        <v>422389.36199999973</v>
      </c>
      <c r="N28" s="17"/>
    </row>
    <row r="29" spans="1:16">
      <c r="A29" s="26">
        <v>26</v>
      </c>
      <c r="B29" s="27">
        <v>46017</v>
      </c>
      <c r="C29" s="17"/>
      <c r="D29" s="245"/>
      <c r="E29" s="99">
        <v>400</v>
      </c>
      <c r="F29" s="99">
        <v>91.32</v>
      </c>
      <c r="G29" s="42">
        <f t="shared" si="0"/>
        <v>36528</v>
      </c>
      <c r="H29" s="48">
        <v>5</v>
      </c>
      <c r="I29" s="48">
        <v>103.44</v>
      </c>
      <c r="J29" s="42">
        <f t="shared" si="1"/>
        <v>517.20000000000005</v>
      </c>
      <c r="K29" s="42">
        <f t="shared" si="2"/>
        <v>37045.199999999997</v>
      </c>
      <c r="L29" s="42"/>
      <c r="M29" s="42">
        <f t="shared" si="3"/>
        <v>459434.56199999974</v>
      </c>
      <c r="N29" s="17"/>
    </row>
    <row r="30" spans="1:16">
      <c r="A30" s="26">
        <v>27</v>
      </c>
      <c r="B30" s="27">
        <v>46018</v>
      </c>
      <c r="C30" s="17"/>
      <c r="D30" s="17"/>
      <c r="E30" s="99">
        <v>500</v>
      </c>
      <c r="F30" s="99">
        <v>91.32</v>
      </c>
      <c r="G30" s="42">
        <f t="shared" si="0"/>
        <v>45660</v>
      </c>
      <c r="H30" s="48">
        <v>5</v>
      </c>
      <c r="I30" s="48">
        <v>103.44</v>
      </c>
      <c r="J30" s="42">
        <f t="shared" si="1"/>
        <v>517.20000000000005</v>
      </c>
      <c r="K30" s="42">
        <f t="shared" si="2"/>
        <v>46177.2</v>
      </c>
      <c r="L30" s="42"/>
      <c r="M30" s="42">
        <f t="shared" si="3"/>
        <v>505611.76199999976</v>
      </c>
      <c r="N30" s="17"/>
    </row>
    <row r="31" spans="1:16">
      <c r="A31" s="26">
        <v>28</v>
      </c>
      <c r="B31" s="27">
        <v>46019</v>
      </c>
      <c r="C31" s="17"/>
      <c r="D31" s="17"/>
      <c r="E31" s="99">
        <v>550</v>
      </c>
      <c r="F31" s="99">
        <v>91.32</v>
      </c>
      <c r="G31" s="42">
        <f t="shared" si="0"/>
        <v>50225.999999999993</v>
      </c>
      <c r="H31" s="48">
        <v>17</v>
      </c>
      <c r="I31" s="48">
        <v>103.44</v>
      </c>
      <c r="J31" s="42">
        <f t="shared" si="1"/>
        <v>1758.48</v>
      </c>
      <c r="K31" s="42">
        <f t="shared" si="2"/>
        <v>51984.479999999996</v>
      </c>
      <c r="L31" s="42"/>
      <c r="M31" s="42">
        <f t="shared" si="3"/>
        <v>557596.24199999974</v>
      </c>
      <c r="N31" s="17"/>
    </row>
    <row r="32" spans="1:16">
      <c r="A32" s="26">
        <v>29</v>
      </c>
      <c r="B32" s="27">
        <v>46020</v>
      </c>
      <c r="C32" s="17"/>
      <c r="D32" s="17"/>
      <c r="E32" s="99">
        <v>500</v>
      </c>
      <c r="F32" s="99">
        <v>91.32</v>
      </c>
      <c r="G32" s="42">
        <f t="shared" si="0"/>
        <v>45660</v>
      </c>
      <c r="H32" s="48">
        <v>12</v>
      </c>
      <c r="I32" s="48">
        <v>103.44</v>
      </c>
      <c r="J32" s="42">
        <f t="shared" si="1"/>
        <v>1241.28</v>
      </c>
      <c r="K32" s="42">
        <f t="shared" si="2"/>
        <v>46901.279999999999</v>
      </c>
      <c r="L32" s="42"/>
      <c r="M32" s="42">
        <f t="shared" si="3"/>
        <v>604497.52199999976</v>
      </c>
      <c r="N32" s="17"/>
    </row>
    <row r="33" spans="1:17">
      <c r="A33" s="26">
        <v>30</v>
      </c>
      <c r="B33" s="27">
        <v>46021</v>
      </c>
      <c r="C33" s="17"/>
      <c r="D33" s="17"/>
      <c r="E33" s="99">
        <v>600</v>
      </c>
      <c r="F33" s="99">
        <v>91.32</v>
      </c>
      <c r="G33" s="42">
        <f t="shared" si="0"/>
        <v>54791.999999999993</v>
      </c>
      <c r="H33" s="48">
        <v>12</v>
      </c>
      <c r="I33" s="48">
        <v>103.44</v>
      </c>
      <c r="J33" s="42">
        <f t="shared" si="1"/>
        <v>1241.28</v>
      </c>
      <c r="K33" s="42">
        <f t="shared" si="2"/>
        <v>56033.279999999992</v>
      </c>
      <c r="L33" s="42">
        <v>0</v>
      </c>
      <c r="M33" s="42">
        <f t="shared" si="3"/>
        <v>660530.80199999979</v>
      </c>
      <c r="N33" s="17"/>
    </row>
    <row r="34" spans="1:17">
      <c r="A34" s="26">
        <v>31</v>
      </c>
      <c r="B34" s="27"/>
      <c r="C34" s="17"/>
      <c r="D34" s="17"/>
      <c r="E34" s="99"/>
      <c r="F34" s="99"/>
      <c r="G34" s="42">
        <f t="shared" si="0"/>
        <v>0</v>
      </c>
      <c r="H34" s="48"/>
      <c r="I34" s="48"/>
      <c r="J34" s="42">
        <f t="shared" si="1"/>
        <v>0</v>
      </c>
      <c r="K34" s="42">
        <f t="shared" si="2"/>
        <v>0</v>
      </c>
      <c r="L34" s="42">
        <v>0</v>
      </c>
      <c r="M34" s="42">
        <f>M33+K34-L34</f>
        <v>660530.80199999979</v>
      </c>
      <c r="N34" s="17"/>
      <c r="Q34" s="256"/>
    </row>
    <row r="35" spans="1:17">
      <c r="A35" s="26">
        <v>32</v>
      </c>
      <c r="B35" s="27"/>
      <c r="C35" s="17"/>
      <c r="D35" s="17"/>
      <c r="E35" s="99"/>
      <c r="F35" s="99"/>
      <c r="G35" s="42">
        <f t="shared" si="0"/>
        <v>0</v>
      </c>
      <c r="H35" s="48"/>
      <c r="I35" s="48"/>
      <c r="J35" s="42">
        <f t="shared" si="1"/>
        <v>0</v>
      </c>
      <c r="K35" s="42">
        <f t="shared" si="2"/>
        <v>0</v>
      </c>
      <c r="L35" s="42">
        <v>0</v>
      </c>
      <c r="M35" s="42">
        <f t="shared" si="3"/>
        <v>660530.80199999979</v>
      </c>
      <c r="N35" s="17"/>
      <c r="Q35" s="256"/>
    </row>
    <row r="36" spans="1:17">
      <c r="A36" s="26">
        <v>33</v>
      </c>
      <c r="B36" s="27"/>
      <c r="C36" s="17"/>
      <c r="D36" s="17"/>
      <c r="E36" s="99"/>
      <c r="F36" s="99"/>
      <c r="G36" s="42">
        <f t="shared" si="0"/>
        <v>0</v>
      </c>
      <c r="H36" s="48"/>
      <c r="I36" s="48"/>
      <c r="J36" s="42">
        <f t="shared" si="1"/>
        <v>0</v>
      </c>
      <c r="K36" s="42">
        <f t="shared" si="2"/>
        <v>0</v>
      </c>
      <c r="L36" s="42">
        <v>0</v>
      </c>
      <c r="M36" s="42">
        <f t="shared" si="3"/>
        <v>660530.80199999979</v>
      </c>
      <c r="N36" s="17"/>
      <c r="Q36" s="256"/>
    </row>
    <row r="37" spans="1:17">
      <c r="A37" s="46"/>
      <c r="B37" s="46"/>
      <c r="C37" s="46"/>
      <c r="D37" s="46"/>
      <c r="E37" s="46">
        <f>SUM(E4:E36)</f>
        <v>8154.25</v>
      </c>
      <c r="F37" s="46"/>
      <c r="G37" s="46">
        <f>SUM(G4:G36)</f>
        <v>744736.99419999996</v>
      </c>
      <c r="H37" s="46">
        <f>SUM(H4:H36)</f>
        <v>189.70999999999998</v>
      </c>
      <c r="I37" s="46"/>
      <c r="J37" s="46">
        <f>SUM(J4:J36)</f>
        <v>19605.803599999999</v>
      </c>
      <c r="K37" s="46">
        <f>SUM(K4:K36)</f>
        <v>764342.79779999983</v>
      </c>
      <c r="L37" s="46">
        <f>SUM(L4:L36)</f>
        <v>658024.69999999995</v>
      </c>
      <c r="M37" s="46"/>
      <c r="N37" s="46"/>
    </row>
  </sheetData>
  <mergeCells count="1">
    <mergeCell ref="A1:N1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4"/>
  <sheetViews>
    <sheetView workbookViewId="0">
      <pane ySplit="2" topLeftCell="A16" activePane="bottomLeft" state="frozen"/>
      <selection pane="bottomLeft" activeCell="O41" sqref="O41"/>
    </sheetView>
  </sheetViews>
  <sheetFormatPr defaultRowHeight="15"/>
  <cols>
    <col min="1" max="1" width="5.140625" style="75" bestFit="1" customWidth="1"/>
    <col min="2" max="2" width="10.85546875" style="75" bestFit="1" customWidth="1"/>
    <col min="3" max="3" width="8" style="75" bestFit="1" customWidth="1"/>
    <col min="4" max="4" width="16" style="75" bestFit="1" customWidth="1"/>
    <col min="5" max="5" width="10.7109375" style="75" bestFit="1" customWidth="1"/>
    <col min="6" max="6" width="14.5703125" style="75" bestFit="1" customWidth="1"/>
    <col min="7" max="7" width="11.85546875" style="75" bestFit="1" customWidth="1"/>
    <col min="8" max="8" width="10.7109375" style="75" bestFit="1" customWidth="1"/>
    <col min="9" max="9" width="7.28515625" style="75" bestFit="1" customWidth="1"/>
    <col min="10" max="10" width="10.85546875" style="75" bestFit="1" customWidth="1"/>
    <col min="11" max="11" width="14.5703125" style="75" bestFit="1" customWidth="1"/>
    <col min="12" max="12" width="13.5703125" style="75" bestFit="1" customWidth="1"/>
    <col min="13" max="13" width="13.5703125" style="75" customWidth="1"/>
    <col min="14" max="14" width="14.140625" style="75" bestFit="1" customWidth="1"/>
    <col min="15" max="15" width="11.28515625" style="75" customWidth="1"/>
    <col min="16" max="16" width="9.140625" style="75" customWidth="1"/>
    <col min="17" max="16384" width="9.140625" style="75"/>
  </cols>
  <sheetData>
    <row r="1" spans="1:17" ht="15.75">
      <c r="A1" s="470" t="s">
        <v>58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88"/>
    </row>
    <row r="2" spans="1:17" ht="30">
      <c r="A2" s="70" t="s">
        <v>122</v>
      </c>
      <c r="B2" s="89" t="s">
        <v>123</v>
      </c>
      <c r="C2" s="89" t="s">
        <v>124</v>
      </c>
      <c r="D2" s="89" t="s">
        <v>125</v>
      </c>
      <c r="E2" s="89" t="s">
        <v>126</v>
      </c>
      <c r="F2" s="89" t="s">
        <v>127</v>
      </c>
      <c r="G2" s="89" t="s">
        <v>128</v>
      </c>
      <c r="H2" s="89" t="s">
        <v>129</v>
      </c>
      <c r="I2" s="89" t="s">
        <v>127</v>
      </c>
      <c r="J2" s="90" t="s">
        <v>128</v>
      </c>
      <c r="K2" s="70" t="s">
        <v>130</v>
      </c>
      <c r="L2" s="91" t="s">
        <v>131</v>
      </c>
      <c r="M2" s="91" t="s">
        <v>138</v>
      </c>
      <c r="N2" s="89" t="s">
        <v>133</v>
      </c>
      <c r="O2" s="65"/>
    </row>
    <row r="3" spans="1:17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4"/>
      <c r="K3" s="171">
        <v>394249.74100000021</v>
      </c>
      <c r="L3" s="73"/>
      <c r="M3" s="171">
        <v>394249.74100000021</v>
      </c>
      <c r="N3" s="73"/>
      <c r="O3" s="65">
        <v>235015.76</v>
      </c>
      <c r="P3" s="255">
        <f>O3-M3</f>
        <v>-159233.9810000002</v>
      </c>
    </row>
    <row r="4" spans="1:17">
      <c r="A4" s="26">
        <v>1</v>
      </c>
      <c r="B4" s="27">
        <v>45992</v>
      </c>
      <c r="C4" s="73"/>
      <c r="D4" s="167"/>
      <c r="E4" s="172">
        <v>206.16</v>
      </c>
      <c r="F4" s="172">
        <v>91.93</v>
      </c>
      <c r="G4" s="8">
        <f>E4*F4</f>
        <v>18952.288800000002</v>
      </c>
      <c r="H4" s="172">
        <v>40</v>
      </c>
      <c r="I4" s="172">
        <v>103.89</v>
      </c>
      <c r="J4" s="8">
        <f>H4*I4</f>
        <v>4155.6000000000004</v>
      </c>
      <c r="K4" s="8">
        <f>G4+J4</f>
        <v>23107.888800000001</v>
      </c>
      <c r="L4" s="173">
        <v>0</v>
      </c>
      <c r="M4" s="173">
        <f t="shared" ref="M4:M20" si="0">M3+K4-L4</f>
        <v>417357.62980000023</v>
      </c>
      <c r="N4" s="43"/>
      <c r="Q4" s="75">
        <v>235410</v>
      </c>
    </row>
    <row r="5" spans="1:17">
      <c r="A5" s="26">
        <v>2</v>
      </c>
      <c r="B5" s="27">
        <v>45993</v>
      </c>
      <c r="C5" s="73"/>
      <c r="D5" s="167"/>
      <c r="E5" s="172">
        <v>35</v>
      </c>
      <c r="F5" s="172">
        <v>91.93</v>
      </c>
      <c r="G5" s="8">
        <f t="shared" ref="G5:G34" si="1">E5*F5</f>
        <v>3217.55</v>
      </c>
      <c r="H5" s="172"/>
      <c r="I5" s="172"/>
      <c r="J5" s="8">
        <f t="shared" ref="J5:J34" si="2">H5*I5</f>
        <v>0</v>
      </c>
      <c r="K5" s="8">
        <f t="shared" ref="K5:K34" si="3">G5+J5</f>
        <v>3217.55</v>
      </c>
      <c r="L5" s="173">
        <v>0</v>
      </c>
      <c r="M5" s="173">
        <f t="shared" si="0"/>
        <v>420575.17980000022</v>
      </c>
      <c r="N5" s="43"/>
    </row>
    <row r="6" spans="1:17">
      <c r="A6" s="26">
        <v>3</v>
      </c>
      <c r="B6" s="27">
        <v>45994</v>
      </c>
      <c r="C6" s="73"/>
      <c r="D6" s="167"/>
      <c r="E6" s="172">
        <v>305</v>
      </c>
      <c r="F6" s="172">
        <v>91.93</v>
      </c>
      <c r="G6" s="8">
        <f t="shared" si="1"/>
        <v>28038.65</v>
      </c>
      <c r="H6" s="172"/>
      <c r="I6" s="172"/>
      <c r="J6" s="8">
        <f t="shared" si="2"/>
        <v>0</v>
      </c>
      <c r="K6" s="8">
        <f t="shared" si="3"/>
        <v>28038.65</v>
      </c>
      <c r="L6" s="173">
        <v>0</v>
      </c>
      <c r="M6" s="173">
        <f t="shared" si="0"/>
        <v>448613.82980000024</v>
      </c>
      <c r="N6" s="43"/>
    </row>
    <row r="7" spans="1:17">
      <c r="A7" s="26">
        <v>4</v>
      </c>
      <c r="B7" s="27">
        <v>45995</v>
      </c>
      <c r="C7" s="73"/>
      <c r="D7" s="167"/>
      <c r="E7" s="172"/>
      <c r="F7" s="172"/>
      <c r="G7" s="8">
        <f t="shared" si="1"/>
        <v>0</v>
      </c>
      <c r="H7" s="172"/>
      <c r="I7" s="361"/>
      <c r="J7" s="8">
        <f t="shared" si="2"/>
        <v>0</v>
      </c>
      <c r="K7" s="8">
        <f t="shared" si="3"/>
        <v>0</v>
      </c>
      <c r="L7" s="173">
        <v>0</v>
      </c>
      <c r="M7" s="173">
        <f t="shared" si="0"/>
        <v>448613.82980000024</v>
      </c>
      <c r="N7" s="43"/>
    </row>
    <row r="8" spans="1:17">
      <c r="A8" s="26">
        <v>5</v>
      </c>
      <c r="B8" s="27">
        <v>45996</v>
      </c>
      <c r="C8" s="73"/>
      <c r="D8" s="167"/>
      <c r="E8" s="172">
        <v>570</v>
      </c>
      <c r="F8" s="172">
        <v>91.93</v>
      </c>
      <c r="G8" s="8">
        <f t="shared" si="1"/>
        <v>52400.100000000006</v>
      </c>
      <c r="H8" s="172">
        <v>40</v>
      </c>
      <c r="I8" s="361">
        <v>103.89</v>
      </c>
      <c r="J8" s="8">
        <f t="shared" si="2"/>
        <v>4155.6000000000004</v>
      </c>
      <c r="K8" s="8">
        <f t="shared" si="3"/>
        <v>56555.700000000004</v>
      </c>
      <c r="L8" s="173">
        <v>0</v>
      </c>
      <c r="M8" s="173">
        <f t="shared" si="0"/>
        <v>505169.52980000025</v>
      </c>
      <c r="N8" s="43"/>
    </row>
    <row r="9" spans="1:17">
      <c r="A9" s="26">
        <v>6</v>
      </c>
      <c r="B9" s="27">
        <v>45997</v>
      </c>
      <c r="C9" s="73"/>
      <c r="D9" s="167"/>
      <c r="E9" s="172">
        <v>35</v>
      </c>
      <c r="F9" s="172">
        <v>91.93</v>
      </c>
      <c r="G9" s="8">
        <f t="shared" si="1"/>
        <v>3217.55</v>
      </c>
      <c r="H9" s="172"/>
      <c r="I9" s="383"/>
      <c r="J9" s="8">
        <f t="shared" si="2"/>
        <v>0</v>
      </c>
      <c r="K9" s="8">
        <f t="shared" si="3"/>
        <v>3217.55</v>
      </c>
      <c r="L9" s="173"/>
      <c r="M9" s="173">
        <f t="shared" si="0"/>
        <v>508387.07980000024</v>
      </c>
      <c r="N9" s="43"/>
    </row>
    <row r="10" spans="1:17">
      <c r="A10" s="26">
        <v>7</v>
      </c>
      <c r="B10" s="27">
        <v>45998</v>
      </c>
      <c r="C10" s="73"/>
      <c r="D10" s="167"/>
      <c r="E10" s="172">
        <v>35</v>
      </c>
      <c r="F10" s="172">
        <v>91.93</v>
      </c>
      <c r="G10" s="8">
        <f t="shared" si="1"/>
        <v>3217.55</v>
      </c>
      <c r="H10" s="172"/>
      <c r="I10" s="361"/>
      <c r="J10" s="8">
        <f t="shared" si="2"/>
        <v>0</v>
      </c>
      <c r="K10" s="8">
        <f t="shared" si="3"/>
        <v>3217.55</v>
      </c>
      <c r="L10" s="173"/>
      <c r="M10" s="173">
        <f t="shared" si="0"/>
        <v>511604.62980000023</v>
      </c>
      <c r="N10" s="43"/>
    </row>
    <row r="11" spans="1:17">
      <c r="A11" s="26">
        <v>8</v>
      </c>
      <c r="B11" s="27">
        <v>45999</v>
      </c>
      <c r="C11" s="73"/>
      <c r="D11" s="167"/>
      <c r="E11" s="172"/>
      <c r="F11" s="172"/>
      <c r="G11" s="8">
        <f t="shared" si="1"/>
        <v>0</v>
      </c>
      <c r="H11" s="172"/>
      <c r="I11" s="172"/>
      <c r="J11" s="8">
        <f t="shared" si="2"/>
        <v>0</v>
      </c>
      <c r="K11" s="8">
        <f t="shared" si="3"/>
        <v>0</v>
      </c>
      <c r="L11" s="173"/>
      <c r="M11" s="173">
        <f t="shared" si="0"/>
        <v>511604.62980000023</v>
      </c>
      <c r="N11" s="43" t="s">
        <v>156</v>
      </c>
      <c r="P11" s="254"/>
      <c r="Q11" s="255"/>
    </row>
    <row r="12" spans="1:17">
      <c r="A12" s="26">
        <v>9</v>
      </c>
      <c r="B12" s="27">
        <v>46000</v>
      </c>
      <c r="C12" s="73"/>
      <c r="D12" s="167"/>
      <c r="E12" s="172">
        <v>540</v>
      </c>
      <c r="F12" s="172">
        <v>91.93</v>
      </c>
      <c r="G12" s="8">
        <f t="shared" si="1"/>
        <v>49642.200000000004</v>
      </c>
      <c r="H12" s="172"/>
      <c r="I12" s="172"/>
      <c r="J12" s="8">
        <f t="shared" si="2"/>
        <v>0</v>
      </c>
      <c r="K12" s="8">
        <f t="shared" si="3"/>
        <v>49642.200000000004</v>
      </c>
      <c r="L12" s="173"/>
      <c r="M12" s="173">
        <f t="shared" si="0"/>
        <v>561246.82980000018</v>
      </c>
      <c r="N12" s="43"/>
    </row>
    <row r="13" spans="1:17">
      <c r="A13" s="26">
        <v>10</v>
      </c>
      <c r="B13" s="27">
        <v>46001</v>
      </c>
      <c r="C13" s="73"/>
      <c r="D13" s="167"/>
      <c r="E13" s="172">
        <v>95</v>
      </c>
      <c r="F13" s="172">
        <v>91.93</v>
      </c>
      <c r="G13" s="8">
        <f t="shared" si="1"/>
        <v>8733.35</v>
      </c>
      <c r="H13" s="172"/>
      <c r="I13" s="172"/>
      <c r="J13" s="8">
        <f t="shared" si="2"/>
        <v>0</v>
      </c>
      <c r="K13" s="8">
        <f t="shared" si="3"/>
        <v>8733.35</v>
      </c>
      <c r="L13" s="173"/>
      <c r="M13" s="173">
        <f t="shared" si="0"/>
        <v>569980.17980000016</v>
      </c>
      <c r="N13" s="43"/>
    </row>
    <row r="14" spans="1:17">
      <c r="A14" s="26">
        <v>11</v>
      </c>
      <c r="B14" s="27">
        <v>46002</v>
      </c>
      <c r="C14" s="73"/>
      <c r="D14" s="167"/>
      <c r="E14" s="365">
        <v>0</v>
      </c>
      <c r="F14" s="172">
        <v>91.93</v>
      </c>
      <c r="G14" s="8">
        <f t="shared" si="1"/>
        <v>0</v>
      </c>
      <c r="H14" s="365">
        <v>5</v>
      </c>
      <c r="I14" s="361">
        <v>103.89</v>
      </c>
      <c r="J14" s="8">
        <f t="shared" si="2"/>
        <v>519.45000000000005</v>
      </c>
      <c r="K14" s="8">
        <f t="shared" si="3"/>
        <v>519.45000000000005</v>
      </c>
      <c r="L14" s="173"/>
      <c r="M14" s="173">
        <f t="shared" si="0"/>
        <v>570499.62980000011</v>
      </c>
      <c r="N14" s="43"/>
    </row>
    <row r="15" spans="1:17">
      <c r="A15" s="26">
        <v>12</v>
      </c>
      <c r="B15" s="27">
        <v>46003</v>
      </c>
      <c r="C15" s="73"/>
      <c r="D15" s="167"/>
      <c r="E15" s="365">
        <v>175</v>
      </c>
      <c r="F15" s="172">
        <v>91.93</v>
      </c>
      <c r="G15" s="8">
        <f t="shared" si="1"/>
        <v>16087.750000000002</v>
      </c>
      <c r="H15" s="365">
        <v>0</v>
      </c>
      <c r="I15" s="361">
        <v>103.89</v>
      </c>
      <c r="J15" s="8">
        <f t="shared" si="2"/>
        <v>0</v>
      </c>
      <c r="K15" s="8">
        <f t="shared" si="3"/>
        <v>16087.750000000002</v>
      </c>
      <c r="L15" s="173">
        <v>300000</v>
      </c>
      <c r="M15" s="173">
        <f t="shared" si="0"/>
        <v>286587.37980000011</v>
      </c>
      <c r="N15" s="43"/>
    </row>
    <row r="16" spans="1:17">
      <c r="A16" s="26">
        <v>13</v>
      </c>
      <c r="B16" s="27">
        <v>46004</v>
      </c>
      <c r="C16" s="73"/>
      <c r="D16" s="167"/>
      <c r="E16" s="365">
        <v>235</v>
      </c>
      <c r="F16" s="172">
        <v>91.93</v>
      </c>
      <c r="G16" s="8">
        <f t="shared" si="1"/>
        <v>21603.550000000003</v>
      </c>
      <c r="H16" s="365">
        <v>50</v>
      </c>
      <c r="I16" s="361">
        <v>103.89</v>
      </c>
      <c r="J16" s="8">
        <f t="shared" si="2"/>
        <v>5194.5</v>
      </c>
      <c r="K16" s="8">
        <f t="shared" si="3"/>
        <v>26798.050000000003</v>
      </c>
      <c r="L16" s="173"/>
      <c r="M16" s="173">
        <f t="shared" si="0"/>
        <v>313385.4298000001</v>
      </c>
      <c r="N16" s="43"/>
    </row>
    <row r="17" spans="1:14">
      <c r="A17" s="26">
        <v>14</v>
      </c>
      <c r="B17" s="27">
        <v>46005</v>
      </c>
      <c r="C17" s="73"/>
      <c r="D17" s="167"/>
      <c r="E17" s="365">
        <v>0</v>
      </c>
      <c r="F17" s="172">
        <v>91.93</v>
      </c>
      <c r="G17" s="8">
        <f t="shared" si="1"/>
        <v>0</v>
      </c>
      <c r="H17" s="365">
        <v>0</v>
      </c>
      <c r="I17" s="361">
        <v>103.89</v>
      </c>
      <c r="J17" s="8">
        <f t="shared" si="2"/>
        <v>0</v>
      </c>
      <c r="K17" s="8">
        <f t="shared" si="3"/>
        <v>0</v>
      </c>
      <c r="L17" s="173"/>
      <c r="M17" s="173">
        <f t="shared" si="0"/>
        <v>313385.4298000001</v>
      </c>
      <c r="N17" s="43"/>
    </row>
    <row r="18" spans="1:14">
      <c r="A18" s="26">
        <v>15</v>
      </c>
      <c r="B18" s="27">
        <v>46006</v>
      </c>
      <c r="C18" s="73"/>
      <c r="D18" s="167"/>
      <c r="E18" s="172">
        <v>50</v>
      </c>
      <c r="F18" s="172">
        <v>91.93</v>
      </c>
      <c r="G18" s="8">
        <f t="shared" si="1"/>
        <v>4596.5</v>
      </c>
      <c r="H18" s="172"/>
      <c r="I18" s="172"/>
      <c r="J18" s="8">
        <f t="shared" si="2"/>
        <v>0</v>
      </c>
      <c r="K18" s="8">
        <f t="shared" si="3"/>
        <v>4596.5</v>
      </c>
      <c r="L18" s="173">
        <v>313314</v>
      </c>
      <c r="M18" s="173">
        <f t="shared" si="0"/>
        <v>4667.9298000000999</v>
      </c>
      <c r="N18" s="43"/>
    </row>
    <row r="19" spans="1:14">
      <c r="A19" s="26">
        <v>16</v>
      </c>
      <c r="B19" s="27">
        <v>46007</v>
      </c>
      <c r="C19" s="73"/>
      <c r="D19" s="167"/>
      <c r="E19" s="172">
        <v>435</v>
      </c>
      <c r="F19" s="172">
        <v>91.93</v>
      </c>
      <c r="G19" s="8">
        <f t="shared" si="1"/>
        <v>39989.550000000003</v>
      </c>
      <c r="H19" s="172">
        <v>25</v>
      </c>
      <c r="I19" s="172">
        <v>103.9</v>
      </c>
      <c r="J19" s="8">
        <f t="shared" si="2"/>
        <v>2597.5</v>
      </c>
      <c r="K19" s="8">
        <f t="shared" si="3"/>
        <v>42587.05</v>
      </c>
      <c r="L19" s="173"/>
      <c r="M19" s="173">
        <f t="shared" si="0"/>
        <v>47254.979800000103</v>
      </c>
      <c r="N19" s="43"/>
    </row>
    <row r="20" spans="1:14">
      <c r="A20" s="26">
        <v>17</v>
      </c>
      <c r="B20" s="27">
        <v>46008</v>
      </c>
      <c r="C20" s="73"/>
      <c r="D20" s="167"/>
      <c r="E20" s="172">
        <v>40</v>
      </c>
      <c r="F20" s="172">
        <v>91.93</v>
      </c>
      <c r="G20" s="8">
        <f t="shared" si="1"/>
        <v>3677.2000000000003</v>
      </c>
      <c r="H20" s="172"/>
      <c r="I20" s="172"/>
      <c r="J20" s="8">
        <f t="shared" si="2"/>
        <v>0</v>
      </c>
      <c r="K20" s="8">
        <f t="shared" si="3"/>
        <v>3677.2000000000003</v>
      </c>
      <c r="L20" s="173"/>
      <c r="M20" s="173">
        <f t="shared" si="0"/>
        <v>50932.1798000001</v>
      </c>
      <c r="N20" s="43"/>
    </row>
    <row r="21" spans="1:14">
      <c r="A21" s="26">
        <v>18</v>
      </c>
      <c r="B21" s="27">
        <v>46009</v>
      </c>
      <c r="C21" s="73"/>
      <c r="D21" s="167"/>
      <c r="E21" s="172">
        <v>200</v>
      </c>
      <c r="F21" s="172">
        <v>91.93</v>
      </c>
      <c r="G21" s="8">
        <f t="shared" si="1"/>
        <v>18386</v>
      </c>
      <c r="H21" s="172"/>
      <c r="I21" s="361"/>
      <c r="J21" s="8">
        <f t="shared" si="2"/>
        <v>0</v>
      </c>
      <c r="K21" s="8">
        <f t="shared" si="3"/>
        <v>18386</v>
      </c>
      <c r="L21" s="173"/>
      <c r="M21" s="173">
        <f t="shared" ref="M21:M34" si="4">M20+K21-L21</f>
        <v>69318.1798000001</v>
      </c>
      <c r="N21" s="43"/>
    </row>
    <row r="22" spans="1:14">
      <c r="A22" s="26">
        <v>19</v>
      </c>
      <c r="B22" s="27">
        <v>46010</v>
      </c>
      <c r="C22" s="73"/>
      <c r="D22" s="167"/>
      <c r="E22" s="172">
        <v>35</v>
      </c>
      <c r="F22" s="172">
        <v>91.93</v>
      </c>
      <c r="G22" s="8">
        <f t="shared" si="1"/>
        <v>3217.55</v>
      </c>
      <c r="H22" s="172"/>
      <c r="I22" s="172"/>
      <c r="J22" s="8">
        <f t="shared" si="2"/>
        <v>0</v>
      </c>
      <c r="K22" s="8">
        <f t="shared" si="3"/>
        <v>3217.55</v>
      </c>
      <c r="L22" s="173"/>
      <c r="M22" s="173">
        <f t="shared" si="4"/>
        <v>72535.729800000103</v>
      </c>
      <c r="N22" s="43"/>
    </row>
    <row r="23" spans="1:14">
      <c r="A23" s="26">
        <v>20</v>
      </c>
      <c r="B23" s="27">
        <v>46011</v>
      </c>
      <c r="C23" s="73"/>
      <c r="D23" s="167"/>
      <c r="E23" s="172">
        <v>380</v>
      </c>
      <c r="F23" s="172">
        <v>91.93</v>
      </c>
      <c r="G23" s="8">
        <f t="shared" si="1"/>
        <v>34933.4</v>
      </c>
      <c r="H23" s="365">
        <v>39.979999999999997</v>
      </c>
      <c r="I23" s="172">
        <v>103.9</v>
      </c>
      <c r="J23" s="8">
        <f t="shared" si="2"/>
        <v>4153.9219999999996</v>
      </c>
      <c r="K23" s="8">
        <f t="shared" si="3"/>
        <v>39087.322</v>
      </c>
      <c r="L23" s="173"/>
      <c r="M23" s="173">
        <f t="shared" si="4"/>
        <v>111623.0518000001</v>
      </c>
      <c r="N23" s="43"/>
    </row>
    <row r="24" spans="1:14">
      <c r="A24" s="26">
        <v>21</v>
      </c>
      <c r="B24" s="27">
        <v>46012</v>
      </c>
      <c r="C24" s="73"/>
      <c r="D24" s="167"/>
      <c r="E24" s="172"/>
      <c r="F24" s="172"/>
      <c r="G24" s="8">
        <f t="shared" si="1"/>
        <v>0</v>
      </c>
      <c r="H24" s="365">
        <v>5</v>
      </c>
      <c r="I24" s="172">
        <v>111.13</v>
      </c>
      <c r="J24" s="8">
        <f t="shared" si="2"/>
        <v>555.65</v>
      </c>
      <c r="K24" s="8">
        <f t="shared" si="3"/>
        <v>555.65</v>
      </c>
      <c r="L24" s="173">
        <v>0</v>
      </c>
      <c r="M24" s="173">
        <f t="shared" si="4"/>
        <v>112178.7018000001</v>
      </c>
      <c r="N24" s="43"/>
    </row>
    <row r="25" spans="1:14">
      <c r="A25" s="26">
        <v>22</v>
      </c>
      <c r="B25" s="27">
        <v>46013</v>
      </c>
      <c r="C25" s="73"/>
      <c r="D25" s="167"/>
      <c r="E25" s="172">
        <v>30</v>
      </c>
      <c r="F25" s="172">
        <v>91.93</v>
      </c>
      <c r="G25" s="8">
        <f t="shared" si="1"/>
        <v>2757.9</v>
      </c>
      <c r="H25" s="172"/>
      <c r="I25" s="172"/>
      <c r="J25" s="8">
        <f t="shared" si="2"/>
        <v>0</v>
      </c>
      <c r="K25" s="8">
        <f t="shared" si="3"/>
        <v>2757.9</v>
      </c>
      <c r="L25" s="173">
        <v>0</v>
      </c>
      <c r="M25" s="173">
        <f t="shared" si="4"/>
        <v>114936.60180000009</v>
      </c>
      <c r="N25" s="43"/>
    </row>
    <row r="26" spans="1:14">
      <c r="A26" s="26">
        <v>23</v>
      </c>
      <c r="B26" s="27">
        <v>46014</v>
      </c>
      <c r="C26" s="73"/>
      <c r="D26" s="167"/>
      <c r="E26" s="172">
        <v>295</v>
      </c>
      <c r="F26" s="172">
        <v>91.93</v>
      </c>
      <c r="G26" s="8">
        <f t="shared" si="1"/>
        <v>27119.350000000002</v>
      </c>
      <c r="H26" s="172"/>
      <c r="I26" s="172"/>
      <c r="J26" s="8">
        <f t="shared" si="2"/>
        <v>0</v>
      </c>
      <c r="K26" s="8">
        <f t="shared" si="3"/>
        <v>27119.350000000002</v>
      </c>
      <c r="L26" s="173">
        <v>0</v>
      </c>
      <c r="M26" s="173">
        <f t="shared" si="4"/>
        <v>142055.9518000001</v>
      </c>
      <c r="N26" s="43"/>
    </row>
    <row r="27" spans="1:14">
      <c r="A27" s="26">
        <v>24</v>
      </c>
      <c r="B27" s="27">
        <v>46015</v>
      </c>
      <c r="C27" s="73"/>
      <c r="D27" s="167"/>
      <c r="E27" s="172"/>
      <c r="F27" s="172"/>
      <c r="G27" s="8">
        <f t="shared" si="1"/>
        <v>0</v>
      </c>
      <c r="H27" s="172"/>
      <c r="I27" s="172"/>
      <c r="J27" s="8">
        <f t="shared" si="2"/>
        <v>0</v>
      </c>
      <c r="K27" s="8">
        <f t="shared" si="3"/>
        <v>0</v>
      </c>
      <c r="L27" s="173">
        <v>0</v>
      </c>
      <c r="M27" s="173">
        <f t="shared" si="4"/>
        <v>142055.9518000001</v>
      </c>
      <c r="N27" s="43"/>
    </row>
    <row r="28" spans="1:14">
      <c r="A28" s="26">
        <v>25</v>
      </c>
      <c r="B28" s="27">
        <v>46016</v>
      </c>
      <c r="C28" s="73"/>
      <c r="D28" s="167"/>
      <c r="E28" s="172">
        <v>435</v>
      </c>
      <c r="F28" s="172">
        <v>91.93</v>
      </c>
      <c r="G28" s="8">
        <f t="shared" si="1"/>
        <v>39989.550000000003</v>
      </c>
      <c r="H28" s="172">
        <v>35</v>
      </c>
      <c r="I28" s="172">
        <v>103.89</v>
      </c>
      <c r="J28" s="8">
        <f t="shared" si="2"/>
        <v>3636.15</v>
      </c>
      <c r="K28" s="8">
        <f t="shared" si="3"/>
        <v>43625.700000000004</v>
      </c>
      <c r="L28" s="173">
        <v>0</v>
      </c>
      <c r="M28" s="173">
        <f t="shared" si="4"/>
        <v>185681.65180000011</v>
      </c>
      <c r="N28" s="43"/>
    </row>
    <row r="29" spans="1:14">
      <c r="A29" s="26">
        <v>26</v>
      </c>
      <c r="B29" s="27">
        <v>46017</v>
      </c>
      <c r="C29" s="207"/>
      <c r="D29" s="167"/>
      <c r="E29" s="172"/>
      <c r="F29" s="172"/>
      <c r="G29" s="8">
        <f t="shared" si="1"/>
        <v>0</v>
      </c>
      <c r="H29" s="172"/>
      <c r="I29" s="172"/>
      <c r="J29" s="8">
        <f t="shared" si="2"/>
        <v>0</v>
      </c>
      <c r="K29" s="8">
        <f t="shared" si="3"/>
        <v>0</v>
      </c>
      <c r="L29" s="173">
        <v>0</v>
      </c>
      <c r="M29" s="173">
        <f t="shared" si="4"/>
        <v>185681.65180000011</v>
      </c>
      <c r="N29" s="43"/>
    </row>
    <row r="30" spans="1:14">
      <c r="A30" s="26">
        <v>27</v>
      </c>
      <c r="B30" s="27">
        <v>46018</v>
      </c>
      <c r="C30" s="73"/>
      <c r="D30" s="167"/>
      <c r="E30" s="172">
        <v>295</v>
      </c>
      <c r="F30" s="172">
        <v>91.93</v>
      </c>
      <c r="G30" s="8">
        <f t="shared" si="1"/>
        <v>27119.350000000002</v>
      </c>
      <c r="H30" s="172">
        <v>40</v>
      </c>
      <c r="I30" s="172">
        <v>103.89</v>
      </c>
      <c r="J30" s="8">
        <f t="shared" si="2"/>
        <v>4155.6000000000004</v>
      </c>
      <c r="K30" s="8">
        <f t="shared" si="3"/>
        <v>31274.950000000004</v>
      </c>
      <c r="L30" s="173">
        <v>0</v>
      </c>
      <c r="M30" s="173">
        <f t="shared" si="4"/>
        <v>216956.60180000012</v>
      </c>
      <c r="N30" s="43"/>
    </row>
    <row r="31" spans="1:14">
      <c r="A31" s="26">
        <v>28</v>
      </c>
      <c r="B31" s="27">
        <v>46019</v>
      </c>
      <c r="C31" s="73"/>
      <c r="D31" s="167"/>
      <c r="E31" s="172">
        <v>80</v>
      </c>
      <c r="F31" s="172">
        <v>91.93</v>
      </c>
      <c r="G31" s="8">
        <f t="shared" si="1"/>
        <v>7354.4000000000005</v>
      </c>
      <c r="H31" s="172"/>
      <c r="I31" s="172"/>
      <c r="J31" s="8">
        <f t="shared" si="2"/>
        <v>0</v>
      </c>
      <c r="K31" s="8">
        <f t="shared" si="3"/>
        <v>7354.4000000000005</v>
      </c>
      <c r="L31" s="173">
        <v>0</v>
      </c>
      <c r="M31" s="173">
        <f t="shared" si="4"/>
        <v>224311.00180000011</v>
      </c>
      <c r="N31" s="43"/>
    </row>
    <row r="32" spans="1:14">
      <c r="A32" s="26">
        <v>29</v>
      </c>
      <c r="B32" s="27">
        <v>46020</v>
      </c>
      <c r="C32" s="73"/>
      <c r="D32" s="167"/>
      <c r="E32" s="172">
        <v>35</v>
      </c>
      <c r="F32" s="172">
        <v>91.93</v>
      </c>
      <c r="G32" s="8">
        <f t="shared" si="1"/>
        <v>3217.55</v>
      </c>
      <c r="H32" s="172"/>
      <c r="I32" s="172"/>
      <c r="J32" s="8">
        <f t="shared" si="2"/>
        <v>0</v>
      </c>
      <c r="K32" s="8">
        <f t="shared" si="3"/>
        <v>3217.55</v>
      </c>
      <c r="L32" s="173">
        <v>0</v>
      </c>
      <c r="M32" s="173">
        <f t="shared" si="4"/>
        <v>227528.5518000001</v>
      </c>
      <c r="N32" s="43"/>
    </row>
    <row r="33" spans="1:15">
      <c r="A33" s="26">
        <v>30</v>
      </c>
      <c r="B33" s="27">
        <v>46021</v>
      </c>
      <c r="C33" s="73"/>
      <c r="D33" s="167"/>
      <c r="E33" s="172">
        <v>705.29</v>
      </c>
      <c r="F33" s="172">
        <v>91.93</v>
      </c>
      <c r="G33" s="8">
        <f t="shared" si="1"/>
        <v>64837.309699999998</v>
      </c>
      <c r="H33" s="172"/>
      <c r="I33" s="172"/>
      <c r="J33" s="8">
        <f t="shared" si="2"/>
        <v>0</v>
      </c>
      <c r="K33" s="8">
        <f t="shared" si="3"/>
        <v>64837.309699999998</v>
      </c>
      <c r="L33" s="173">
        <v>0</v>
      </c>
      <c r="M33" s="173">
        <f t="shared" si="4"/>
        <v>292365.86150000012</v>
      </c>
      <c r="N33" s="43"/>
    </row>
    <row r="34" spans="1:15">
      <c r="A34" s="26">
        <v>31</v>
      </c>
      <c r="B34" s="27">
        <v>46022</v>
      </c>
      <c r="C34" s="73"/>
      <c r="D34" s="167"/>
      <c r="E34" s="172"/>
      <c r="F34" s="172">
        <v>0</v>
      </c>
      <c r="G34" s="8">
        <f t="shared" si="1"/>
        <v>0</v>
      </c>
      <c r="H34" s="172"/>
      <c r="I34" s="172"/>
      <c r="J34" s="8">
        <f t="shared" si="2"/>
        <v>0</v>
      </c>
      <c r="K34" s="8">
        <f t="shared" si="3"/>
        <v>0</v>
      </c>
      <c r="L34" s="173">
        <v>0</v>
      </c>
      <c r="M34" s="173">
        <f t="shared" si="4"/>
        <v>292365.86150000012</v>
      </c>
      <c r="N34" s="43"/>
    </row>
    <row r="35" spans="1:15">
      <c r="A35" s="168"/>
      <c r="B35" s="168"/>
      <c r="C35" s="168"/>
      <c r="D35" s="168"/>
      <c r="E35" s="169">
        <f>SUM(E4:E34)</f>
        <v>5246.45</v>
      </c>
      <c r="F35" s="169"/>
      <c r="G35" s="169">
        <f>SUM(G4:G34)</f>
        <v>482306.14850000001</v>
      </c>
      <c r="H35" s="169">
        <f>SUM(H4:H34)</f>
        <v>279.98</v>
      </c>
      <c r="I35" s="69"/>
      <c r="J35" s="169">
        <f>SUM(J4:J34)</f>
        <v>29123.972000000002</v>
      </c>
      <c r="K35" s="169">
        <f>SUM(K4:K34)</f>
        <v>511430.12050000008</v>
      </c>
      <c r="L35" s="169">
        <f>SUM(L4:L34)</f>
        <v>613314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</row>
    <row r="42" spans="1:15">
      <c r="B42" s="65"/>
      <c r="G42" s="82"/>
      <c r="J42" s="65"/>
      <c r="K42" s="65"/>
      <c r="L42" s="65"/>
      <c r="M42" s="65"/>
      <c r="O42" s="80"/>
    </row>
    <row r="43" spans="1:15">
      <c r="B43" s="472"/>
      <c r="C43" s="472"/>
      <c r="D43" s="472"/>
      <c r="E43" s="472"/>
      <c r="I43" s="472"/>
      <c r="J43" s="472"/>
      <c r="K43" s="472"/>
      <c r="L43" s="472"/>
      <c r="M43" s="472"/>
      <c r="N43" s="472"/>
      <c r="O43" s="80"/>
    </row>
    <row r="44" spans="1:15">
      <c r="B44" s="65"/>
      <c r="J44" s="65"/>
      <c r="K44" s="65"/>
      <c r="L44" s="65"/>
      <c r="M44" s="65"/>
      <c r="O44" s="80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R44"/>
  <sheetViews>
    <sheetView workbookViewId="0">
      <pane ySplit="2" topLeftCell="AH34" activePane="bottomLeft" state="frozen"/>
      <selection pane="bottomLeft" activeCell="M34" sqref="M34"/>
    </sheetView>
  </sheetViews>
  <sheetFormatPr defaultRowHeight="15"/>
  <cols>
    <col min="1" max="1" width="5.140625" style="83" bestFit="1" customWidth="1"/>
    <col min="2" max="2" width="10.85546875" style="83" bestFit="1" customWidth="1"/>
    <col min="3" max="3" width="16" style="83" bestFit="1" customWidth="1"/>
    <col min="4" max="4" width="13.28515625" style="83" bestFit="1" customWidth="1"/>
    <col min="5" max="6" width="10.7109375" style="83" bestFit="1" customWidth="1"/>
    <col min="7" max="7" width="11.5703125" style="83" bestFit="1" customWidth="1"/>
    <col min="8" max="8" width="10.7109375" style="83" bestFit="1" customWidth="1"/>
    <col min="9" max="9" width="7.140625" style="83" bestFit="1" customWidth="1"/>
    <col min="10" max="10" width="9.7109375" style="83" bestFit="1" customWidth="1"/>
    <col min="11" max="11" width="13.5703125" style="83" bestFit="1" customWidth="1"/>
    <col min="12" max="12" width="13.5703125" style="267" bestFit="1" customWidth="1"/>
    <col min="13" max="13" width="15" style="83" customWidth="1"/>
    <col min="14" max="14" width="14.28515625" style="83" bestFit="1" customWidth="1"/>
    <col min="15" max="16384" width="9.140625" style="83"/>
  </cols>
  <sheetData>
    <row r="1" spans="1:15" ht="15.75">
      <c r="A1" s="455" t="s">
        <v>56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59"/>
    </row>
    <row r="2" spans="1:15" ht="30">
      <c r="A2" s="104" t="s">
        <v>122</v>
      </c>
      <c r="B2" s="105" t="s">
        <v>123</v>
      </c>
      <c r="C2" s="105" t="s">
        <v>124</v>
      </c>
      <c r="D2" s="105" t="s">
        <v>139</v>
      </c>
      <c r="E2" s="105" t="s">
        <v>126</v>
      </c>
      <c r="F2" s="105" t="s">
        <v>127</v>
      </c>
      <c r="G2" s="105" t="s">
        <v>128</v>
      </c>
      <c r="H2" s="105" t="s">
        <v>129</v>
      </c>
      <c r="I2" s="105" t="s">
        <v>127</v>
      </c>
      <c r="J2" s="145" t="s">
        <v>128</v>
      </c>
      <c r="K2" s="106" t="s">
        <v>130</v>
      </c>
      <c r="L2" s="242" t="s">
        <v>131</v>
      </c>
      <c r="M2" s="150" t="s">
        <v>138</v>
      </c>
      <c r="N2" s="107" t="s">
        <v>133</v>
      </c>
      <c r="O2" s="65"/>
    </row>
    <row r="3" spans="1:15">
      <c r="A3" s="460" t="s">
        <v>134</v>
      </c>
      <c r="B3" s="483"/>
      <c r="C3" s="483"/>
      <c r="D3" s="483"/>
      <c r="E3" s="483"/>
      <c r="F3" s="483"/>
      <c r="G3" s="483"/>
      <c r="H3" s="483"/>
      <c r="I3" s="483"/>
      <c r="J3" s="484"/>
      <c r="K3" s="221">
        <v>67414.901499999964</v>
      </c>
      <c r="L3" s="221"/>
      <c r="M3" s="221">
        <v>67414.901499999964</v>
      </c>
      <c r="N3" s="164"/>
      <c r="O3" s="8"/>
    </row>
    <row r="4" spans="1:15">
      <c r="A4" s="26">
        <v>1</v>
      </c>
      <c r="B4" s="27">
        <v>45992</v>
      </c>
      <c r="C4" s="25"/>
      <c r="D4" s="18"/>
      <c r="E4" s="51">
        <v>1001.48</v>
      </c>
      <c r="F4" s="51">
        <v>91.77</v>
      </c>
      <c r="G4" s="8">
        <f>E4*F4</f>
        <v>91905.819600000003</v>
      </c>
      <c r="H4" s="51"/>
      <c r="I4" s="51"/>
      <c r="J4" s="8">
        <f>H4*I4</f>
        <v>0</v>
      </c>
      <c r="K4" s="8">
        <f>G4+J4</f>
        <v>91905.819600000003</v>
      </c>
      <c r="L4" s="265">
        <v>0</v>
      </c>
      <c r="M4" s="8">
        <f>M3+K4-L4</f>
        <v>159320.72109999997</v>
      </c>
      <c r="N4" s="8"/>
      <c r="O4" s="65"/>
    </row>
    <row r="5" spans="1:15">
      <c r="A5" s="26">
        <v>2</v>
      </c>
      <c r="B5" s="27">
        <v>45993</v>
      </c>
      <c r="C5" s="25"/>
      <c r="D5" s="18"/>
      <c r="E5" s="51">
        <v>35</v>
      </c>
      <c r="F5" s="51">
        <v>91.77</v>
      </c>
      <c r="G5" s="8">
        <f t="shared" ref="G5:G34" si="0">E5*F5</f>
        <v>3211.95</v>
      </c>
      <c r="H5" s="51"/>
      <c r="I5" s="51"/>
      <c r="J5" s="8">
        <f t="shared" ref="J5:J34" si="1">H5*I5</f>
        <v>0</v>
      </c>
      <c r="K5" s="8">
        <f t="shared" ref="K5:K34" si="2">G5+J5</f>
        <v>3211.95</v>
      </c>
      <c r="L5" s="265"/>
      <c r="M5" s="8">
        <f t="shared" ref="M5:M15" si="3">M4+K5-L5</f>
        <v>162532.67109999998</v>
      </c>
      <c r="N5" s="8"/>
      <c r="O5" s="65"/>
    </row>
    <row r="6" spans="1:15">
      <c r="A6" s="26">
        <v>3</v>
      </c>
      <c r="B6" s="27">
        <v>45994</v>
      </c>
      <c r="C6" s="25"/>
      <c r="D6" s="18"/>
      <c r="E6" s="51">
        <v>44.5</v>
      </c>
      <c r="F6" s="51">
        <v>91.77</v>
      </c>
      <c r="G6" s="8">
        <f t="shared" ref="G6:G33" si="4">E6*F6</f>
        <v>4083.7649999999999</v>
      </c>
      <c r="H6" s="51"/>
      <c r="I6" s="51"/>
      <c r="J6" s="8">
        <f t="shared" ref="J6:J33" si="5">H6*I6</f>
        <v>0</v>
      </c>
      <c r="K6" s="8">
        <f t="shared" ref="K6:K33" si="6">G6+J6</f>
        <v>4083.7649999999999</v>
      </c>
      <c r="L6" s="265"/>
      <c r="M6" s="8">
        <f t="shared" si="3"/>
        <v>166616.43609999999</v>
      </c>
      <c r="N6" s="8"/>
      <c r="O6" s="65"/>
    </row>
    <row r="7" spans="1:15">
      <c r="A7" s="26">
        <v>4</v>
      </c>
      <c r="B7" s="27">
        <v>45995</v>
      </c>
      <c r="C7" s="25"/>
      <c r="D7" s="18"/>
      <c r="E7" s="51">
        <v>50</v>
      </c>
      <c r="F7" s="51">
        <v>91.77</v>
      </c>
      <c r="G7" s="8">
        <f t="shared" si="4"/>
        <v>4588.5</v>
      </c>
      <c r="H7" s="51">
        <v>10</v>
      </c>
      <c r="I7" s="51">
        <v>103.7</v>
      </c>
      <c r="J7" s="8">
        <f t="shared" si="5"/>
        <v>1037</v>
      </c>
      <c r="K7" s="8">
        <f t="shared" si="6"/>
        <v>5625.5</v>
      </c>
      <c r="L7" s="265"/>
      <c r="M7" s="8">
        <f t="shared" si="3"/>
        <v>172241.93609999999</v>
      </c>
      <c r="N7" s="8"/>
      <c r="O7" s="65"/>
    </row>
    <row r="8" spans="1:15">
      <c r="A8" s="26">
        <v>5</v>
      </c>
      <c r="B8" s="27">
        <v>45996</v>
      </c>
      <c r="C8" s="25"/>
      <c r="D8" s="18"/>
      <c r="E8" s="51">
        <v>70</v>
      </c>
      <c r="F8" s="51">
        <v>91.77</v>
      </c>
      <c r="G8" s="8">
        <f t="shared" si="4"/>
        <v>6423.9</v>
      </c>
      <c r="H8" s="51"/>
      <c r="I8" s="51"/>
      <c r="J8" s="8">
        <f t="shared" si="5"/>
        <v>0</v>
      </c>
      <c r="K8" s="8">
        <f t="shared" si="6"/>
        <v>6423.9</v>
      </c>
      <c r="L8" s="265"/>
      <c r="M8" s="8">
        <f t="shared" si="3"/>
        <v>178665.83609999999</v>
      </c>
      <c r="N8" s="8"/>
      <c r="O8" s="65"/>
    </row>
    <row r="9" spans="1:15">
      <c r="A9" s="26">
        <v>6</v>
      </c>
      <c r="B9" s="27">
        <v>45997</v>
      </c>
      <c r="C9" s="25"/>
      <c r="D9" s="18"/>
      <c r="E9" s="51">
        <v>170</v>
      </c>
      <c r="F9" s="51">
        <v>91.77</v>
      </c>
      <c r="G9" s="8">
        <f t="shared" si="4"/>
        <v>15600.9</v>
      </c>
      <c r="H9" s="51"/>
      <c r="I9" s="51"/>
      <c r="J9" s="8">
        <f t="shared" si="5"/>
        <v>0</v>
      </c>
      <c r="K9" s="8">
        <f t="shared" si="6"/>
        <v>15600.9</v>
      </c>
      <c r="L9" s="265"/>
      <c r="M9" s="8">
        <f t="shared" si="3"/>
        <v>194266.73609999998</v>
      </c>
      <c r="N9" s="8"/>
      <c r="O9" s="65"/>
    </row>
    <row r="10" spans="1:15">
      <c r="A10" s="26">
        <v>7</v>
      </c>
      <c r="B10" s="27">
        <v>45998</v>
      </c>
      <c r="C10" s="25"/>
      <c r="D10" s="18"/>
      <c r="E10" s="51">
        <v>900</v>
      </c>
      <c r="F10" s="51">
        <v>91.77</v>
      </c>
      <c r="G10" s="8">
        <f t="shared" si="4"/>
        <v>82593</v>
      </c>
      <c r="H10" s="51">
        <v>15</v>
      </c>
      <c r="I10" s="51">
        <v>103.7</v>
      </c>
      <c r="J10" s="8">
        <f t="shared" si="5"/>
        <v>1555.5</v>
      </c>
      <c r="K10" s="8">
        <f t="shared" si="6"/>
        <v>84148.5</v>
      </c>
      <c r="L10" s="265"/>
      <c r="M10" s="8">
        <f t="shared" si="3"/>
        <v>278415.23609999998</v>
      </c>
      <c r="N10" s="8"/>
      <c r="O10" s="65"/>
    </row>
    <row r="11" spans="1:15">
      <c r="A11" s="26">
        <v>8</v>
      </c>
      <c r="B11" s="27">
        <v>45999</v>
      </c>
      <c r="C11" s="25"/>
      <c r="D11" s="18"/>
      <c r="E11" s="51">
        <v>568.14</v>
      </c>
      <c r="F11" s="51">
        <v>91.77</v>
      </c>
      <c r="G11" s="8">
        <f t="shared" si="4"/>
        <v>52138.207799999996</v>
      </c>
      <c r="H11" s="51">
        <v>10</v>
      </c>
      <c r="I11" s="51">
        <v>103.7</v>
      </c>
      <c r="J11" s="8">
        <f t="shared" si="5"/>
        <v>1037</v>
      </c>
      <c r="K11" s="8">
        <f t="shared" si="6"/>
        <v>53175.207799999996</v>
      </c>
      <c r="L11" s="265"/>
      <c r="M11" s="8">
        <f t="shared" si="3"/>
        <v>331590.44389999995</v>
      </c>
      <c r="N11" s="8"/>
      <c r="O11" s="65"/>
    </row>
    <row r="12" spans="1:15">
      <c r="A12" s="26">
        <v>9</v>
      </c>
      <c r="B12" s="27">
        <v>46000</v>
      </c>
      <c r="C12" s="25"/>
      <c r="D12" s="18"/>
      <c r="E12" s="51">
        <v>337</v>
      </c>
      <c r="F12" s="51">
        <v>91.77</v>
      </c>
      <c r="G12" s="8">
        <f t="shared" si="4"/>
        <v>30926.489999999998</v>
      </c>
      <c r="H12" s="51"/>
      <c r="I12" s="51"/>
      <c r="J12" s="8">
        <f t="shared" si="5"/>
        <v>0</v>
      </c>
      <c r="K12" s="8">
        <f t="shared" si="6"/>
        <v>30926.489999999998</v>
      </c>
      <c r="L12" s="265"/>
      <c r="M12" s="8">
        <f t="shared" si="3"/>
        <v>362516.93389999995</v>
      </c>
      <c r="N12" s="8"/>
      <c r="O12" s="65"/>
    </row>
    <row r="13" spans="1:15">
      <c r="A13" s="26">
        <v>10</v>
      </c>
      <c r="B13" s="27">
        <v>46001</v>
      </c>
      <c r="C13" s="25"/>
      <c r="D13" s="18"/>
      <c r="E13" s="51">
        <v>330</v>
      </c>
      <c r="F13" s="51">
        <v>91.77</v>
      </c>
      <c r="G13" s="8">
        <f t="shared" si="4"/>
        <v>30284.1</v>
      </c>
      <c r="H13" s="51"/>
      <c r="I13" s="51"/>
      <c r="J13" s="8">
        <f t="shared" si="5"/>
        <v>0</v>
      </c>
      <c r="K13" s="8">
        <f t="shared" si="6"/>
        <v>30284.1</v>
      </c>
      <c r="L13" s="265"/>
      <c r="M13" s="8">
        <f>M12+K13-L13</f>
        <v>392801.03389999992</v>
      </c>
      <c r="N13" s="19"/>
      <c r="O13" s="65"/>
    </row>
    <row r="14" spans="1:15">
      <c r="A14" s="26">
        <v>11</v>
      </c>
      <c r="B14" s="27">
        <v>46002</v>
      </c>
      <c r="C14" s="25"/>
      <c r="D14" s="18"/>
      <c r="E14" s="51"/>
      <c r="F14" s="51"/>
      <c r="G14" s="8">
        <f t="shared" si="4"/>
        <v>0</v>
      </c>
      <c r="H14" s="51"/>
      <c r="I14" s="51"/>
      <c r="J14" s="8">
        <f t="shared" si="5"/>
        <v>0</v>
      </c>
      <c r="K14" s="8">
        <f t="shared" si="6"/>
        <v>0</v>
      </c>
      <c r="L14" s="265"/>
      <c r="M14" s="8">
        <f>M13+K14-L14</f>
        <v>392801.03389999992</v>
      </c>
      <c r="N14" s="19"/>
      <c r="O14" s="65"/>
    </row>
    <row r="15" spans="1:15">
      <c r="A15" s="26">
        <v>12</v>
      </c>
      <c r="B15" s="27">
        <v>46003</v>
      </c>
      <c r="C15" s="25"/>
      <c r="D15" s="18"/>
      <c r="E15" s="51">
        <v>420</v>
      </c>
      <c r="F15" s="51">
        <v>91.77</v>
      </c>
      <c r="G15" s="8">
        <f t="shared" si="4"/>
        <v>38543.4</v>
      </c>
      <c r="H15" s="51"/>
      <c r="I15" s="51"/>
      <c r="J15" s="8">
        <f t="shared" si="5"/>
        <v>0</v>
      </c>
      <c r="K15" s="8">
        <f t="shared" si="6"/>
        <v>38543.4</v>
      </c>
      <c r="L15" s="265"/>
      <c r="M15" s="8">
        <f t="shared" si="3"/>
        <v>431344.43389999995</v>
      </c>
      <c r="N15" s="19"/>
      <c r="O15" s="65"/>
    </row>
    <row r="16" spans="1:15">
      <c r="A16" s="26">
        <v>13</v>
      </c>
      <c r="B16" s="27">
        <v>46004</v>
      </c>
      <c r="C16" s="25"/>
      <c r="D16" s="18"/>
      <c r="E16" s="51"/>
      <c r="F16" s="51"/>
      <c r="G16" s="8">
        <f t="shared" si="4"/>
        <v>0</v>
      </c>
      <c r="H16" s="51"/>
      <c r="I16" s="51"/>
      <c r="J16" s="8">
        <f t="shared" si="5"/>
        <v>0</v>
      </c>
      <c r="K16" s="8">
        <f t="shared" si="6"/>
        <v>0</v>
      </c>
      <c r="L16" s="265">
        <v>225000</v>
      </c>
      <c r="M16" s="8">
        <f t="shared" ref="M16:M24" si="7">M15+K16-L16</f>
        <v>206344.43389999995</v>
      </c>
      <c r="N16" s="19"/>
      <c r="O16" s="65"/>
    </row>
    <row r="17" spans="1:18">
      <c r="A17" s="26">
        <v>14</v>
      </c>
      <c r="B17" s="27">
        <v>46005</v>
      </c>
      <c r="C17" s="25"/>
      <c r="D17" s="18"/>
      <c r="E17" s="51">
        <v>908.71</v>
      </c>
      <c r="F17" s="51">
        <v>91.77</v>
      </c>
      <c r="G17" s="8">
        <f t="shared" si="4"/>
        <v>83392.316699999996</v>
      </c>
      <c r="H17" s="51">
        <v>5</v>
      </c>
      <c r="I17" s="51">
        <v>103.7</v>
      </c>
      <c r="J17" s="8">
        <f t="shared" si="5"/>
        <v>518.5</v>
      </c>
      <c r="K17" s="8">
        <f t="shared" si="6"/>
        <v>83910.816699999996</v>
      </c>
      <c r="L17" s="265"/>
      <c r="M17" s="8">
        <f t="shared" si="7"/>
        <v>290255.25059999991</v>
      </c>
      <c r="N17" s="19"/>
      <c r="O17" s="65"/>
    </row>
    <row r="18" spans="1:18">
      <c r="A18" s="26">
        <v>15</v>
      </c>
      <c r="B18" s="27">
        <v>46006</v>
      </c>
      <c r="C18" s="25"/>
      <c r="D18" s="18"/>
      <c r="E18" s="51">
        <v>20</v>
      </c>
      <c r="F18" s="51">
        <v>91.77</v>
      </c>
      <c r="G18" s="8">
        <f t="shared" si="4"/>
        <v>1835.3999999999999</v>
      </c>
      <c r="H18" s="51"/>
      <c r="I18" s="51"/>
      <c r="J18" s="8">
        <f t="shared" si="5"/>
        <v>0</v>
      </c>
      <c r="K18" s="8">
        <f t="shared" si="6"/>
        <v>1835.3999999999999</v>
      </c>
      <c r="L18" s="265"/>
      <c r="M18" s="8">
        <f t="shared" si="7"/>
        <v>292090.65059999994</v>
      </c>
      <c r="N18" s="19"/>
      <c r="O18" s="65"/>
    </row>
    <row r="19" spans="1:18">
      <c r="A19" s="26">
        <v>16</v>
      </c>
      <c r="B19" s="27">
        <v>46007</v>
      </c>
      <c r="C19" s="25"/>
      <c r="D19" s="18"/>
      <c r="E19" s="51">
        <v>210</v>
      </c>
      <c r="F19" s="51">
        <v>91.77</v>
      </c>
      <c r="G19" s="8">
        <f t="shared" si="4"/>
        <v>19271.7</v>
      </c>
      <c r="H19" s="51">
        <v>5</v>
      </c>
      <c r="I19" s="51">
        <v>103.7</v>
      </c>
      <c r="J19" s="8">
        <f t="shared" si="5"/>
        <v>518.5</v>
      </c>
      <c r="K19" s="8">
        <f t="shared" si="6"/>
        <v>19790.2</v>
      </c>
      <c r="L19" s="265">
        <v>287043.30059999996</v>
      </c>
      <c r="M19" s="8">
        <f t="shared" si="7"/>
        <v>24837.549999999988</v>
      </c>
      <c r="N19" s="19"/>
      <c r="O19" s="65"/>
    </row>
    <row r="20" spans="1:18">
      <c r="A20" s="26">
        <v>17</v>
      </c>
      <c r="B20" s="27">
        <v>46008</v>
      </c>
      <c r="C20" s="25"/>
      <c r="D20" s="18"/>
      <c r="E20" s="51">
        <v>45</v>
      </c>
      <c r="F20" s="51">
        <v>91.77</v>
      </c>
      <c r="G20" s="8">
        <f t="shared" si="4"/>
        <v>4129.6499999999996</v>
      </c>
      <c r="H20" s="51"/>
      <c r="I20" s="51"/>
      <c r="J20" s="8">
        <f t="shared" si="5"/>
        <v>0</v>
      </c>
      <c r="K20" s="8">
        <f t="shared" si="6"/>
        <v>4129.6499999999996</v>
      </c>
      <c r="L20" s="265"/>
      <c r="M20" s="8">
        <f t="shared" si="7"/>
        <v>28967.19999999999</v>
      </c>
      <c r="N20" s="19"/>
      <c r="O20" s="65"/>
    </row>
    <row r="21" spans="1:18">
      <c r="A21" s="26">
        <v>18</v>
      </c>
      <c r="B21" s="27">
        <v>46009</v>
      </c>
      <c r="C21" s="25"/>
      <c r="D21" s="18"/>
      <c r="E21" s="51">
        <v>80</v>
      </c>
      <c r="F21" s="51">
        <v>91.77</v>
      </c>
      <c r="G21" s="8">
        <f t="shared" si="4"/>
        <v>7341.5999999999995</v>
      </c>
      <c r="H21" s="51"/>
      <c r="I21" s="51"/>
      <c r="J21" s="8">
        <f t="shared" si="5"/>
        <v>0</v>
      </c>
      <c r="K21" s="8">
        <f t="shared" si="6"/>
        <v>7341.5999999999995</v>
      </c>
      <c r="L21" s="265"/>
      <c r="M21" s="8">
        <f t="shared" si="7"/>
        <v>36308.799999999988</v>
      </c>
      <c r="N21" s="19"/>
      <c r="O21" s="65"/>
    </row>
    <row r="22" spans="1:18">
      <c r="A22" s="26">
        <v>19</v>
      </c>
      <c r="B22" s="27">
        <v>46010</v>
      </c>
      <c r="C22" s="25"/>
      <c r="D22" s="18"/>
      <c r="E22" s="51">
        <v>200</v>
      </c>
      <c r="F22" s="51">
        <v>91.77</v>
      </c>
      <c r="G22" s="8">
        <f t="shared" si="4"/>
        <v>18354</v>
      </c>
      <c r="H22" s="51">
        <v>5</v>
      </c>
      <c r="I22" s="51">
        <v>103.7</v>
      </c>
      <c r="J22" s="8">
        <f t="shared" si="5"/>
        <v>518.5</v>
      </c>
      <c r="K22" s="8">
        <f t="shared" si="6"/>
        <v>18872.5</v>
      </c>
      <c r="L22" s="265"/>
      <c r="M22" s="8">
        <f t="shared" si="7"/>
        <v>55181.299999999988</v>
      </c>
      <c r="N22" s="19"/>
      <c r="O22" s="65"/>
    </row>
    <row r="23" spans="1:18">
      <c r="A23" s="26">
        <v>20</v>
      </c>
      <c r="B23" s="27">
        <v>46011</v>
      </c>
      <c r="C23" s="25"/>
      <c r="D23" s="18"/>
      <c r="E23" s="51">
        <v>35</v>
      </c>
      <c r="F23" s="51">
        <v>91.77</v>
      </c>
      <c r="G23" s="8">
        <f t="shared" si="4"/>
        <v>3211.95</v>
      </c>
      <c r="H23" s="51"/>
      <c r="I23" s="51"/>
      <c r="J23" s="8">
        <f t="shared" si="5"/>
        <v>0</v>
      </c>
      <c r="K23" s="8">
        <f t="shared" si="6"/>
        <v>3211.95</v>
      </c>
      <c r="L23" s="265"/>
      <c r="M23" s="8">
        <f t="shared" si="7"/>
        <v>58393.249999999985</v>
      </c>
      <c r="N23" s="19"/>
      <c r="O23" s="65"/>
    </row>
    <row r="24" spans="1:18">
      <c r="A24" s="26">
        <v>21</v>
      </c>
      <c r="B24" s="27">
        <v>46012</v>
      </c>
      <c r="C24" s="25"/>
      <c r="D24" s="18"/>
      <c r="E24" s="51"/>
      <c r="F24" s="51"/>
      <c r="G24" s="8">
        <f t="shared" si="4"/>
        <v>0</v>
      </c>
      <c r="H24" s="51"/>
      <c r="I24" s="51"/>
      <c r="J24" s="8">
        <f t="shared" si="5"/>
        <v>0</v>
      </c>
      <c r="K24" s="8">
        <f t="shared" si="6"/>
        <v>0</v>
      </c>
      <c r="L24" s="265"/>
      <c r="M24" s="8">
        <f t="shared" si="7"/>
        <v>58393.249999999985</v>
      </c>
      <c r="N24" s="19"/>
      <c r="O24" s="65"/>
    </row>
    <row r="25" spans="1:18">
      <c r="A25" s="26">
        <v>22</v>
      </c>
      <c r="B25" s="27">
        <v>46013</v>
      </c>
      <c r="C25" s="25"/>
      <c r="D25" s="18"/>
      <c r="E25" s="51"/>
      <c r="F25" s="51"/>
      <c r="G25" s="8">
        <f t="shared" si="4"/>
        <v>0</v>
      </c>
      <c r="H25" s="51">
        <v>5</v>
      </c>
      <c r="I25" s="51">
        <v>103.7</v>
      </c>
      <c r="J25" s="8">
        <f t="shared" si="5"/>
        <v>518.5</v>
      </c>
      <c r="K25" s="8">
        <f t="shared" si="6"/>
        <v>518.5</v>
      </c>
      <c r="L25" s="265"/>
      <c r="M25" s="8">
        <f t="shared" ref="M25:M34" si="8">M24+K25-L25</f>
        <v>58911.749999999985</v>
      </c>
      <c r="N25" s="19"/>
      <c r="O25" s="65"/>
    </row>
    <row r="26" spans="1:18">
      <c r="A26" s="26">
        <v>23</v>
      </c>
      <c r="B26" s="27">
        <v>46014</v>
      </c>
      <c r="C26" s="25"/>
      <c r="D26" s="18"/>
      <c r="E26" s="51"/>
      <c r="F26" s="51"/>
      <c r="G26" s="8">
        <f t="shared" si="4"/>
        <v>0</v>
      </c>
      <c r="H26" s="51"/>
      <c r="I26" s="51"/>
      <c r="J26" s="8">
        <f t="shared" si="5"/>
        <v>0</v>
      </c>
      <c r="K26" s="8">
        <f t="shared" si="6"/>
        <v>0</v>
      </c>
      <c r="L26" s="265"/>
      <c r="M26" s="8">
        <f t="shared" si="8"/>
        <v>58911.749999999985</v>
      </c>
      <c r="N26" s="19"/>
      <c r="O26" s="65"/>
      <c r="Q26" s="83" t="s">
        <v>165</v>
      </c>
    </row>
    <row r="27" spans="1:18">
      <c r="A27" s="26">
        <v>24</v>
      </c>
      <c r="B27" s="27">
        <v>46015</v>
      </c>
      <c r="C27" s="25"/>
      <c r="D27" s="18"/>
      <c r="E27" s="51"/>
      <c r="F27" s="51"/>
      <c r="G27" s="8">
        <f t="shared" si="4"/>
        <v>0</v>
      </c>
      <c r="H27" s="51">
        <v>5</v>
      </c>
      <c r="I27" s="51">
        <v>103.7</v>
      </c>
      <c r="J27" s="8">
        <f t="shared" si="5"/>
        <v>518.5</v>
      </c>
      <c r="K27" s="8">
        <f t="shared" si="6"/>
        <v>518.5</v>
      </c>
      <c r="L27" s="265"/>
      <c r="M27" s="8">
        <f t="shared" si="8"/>
        <v>59430.249999999985</v>
      </c>
      <c r="N27" s="19"/>
      <c r="O27" s="65"/>
      <c r="Q27" s="83">
        <v>30</v>
      </c>
      <c r="R27" s="83">
        <v>50</v>
      </c>
    </row>
    <row r="28" spans="1:18">
      <c r="A28" s="26">
        <v>25</v>
      </c>
      <c r="B28" s="27">
        <v>46016</v>
      </c>
      <c r="C28" s="25"/>
      <c r="D28" s="18"/>
      <c r="E28" s="51"/>
      <c r="F28" s="51"/>
      <c r="G28" s="8">
        <f t="shared" si="4"/>
        <v>0</v>
      </c>
      <c r="H28" s="51"/>
      <c r="I28" s="51"/>
      <c r="J28" s="8">
        <f t="shared" si="5"/>
        <v>0</v>
      </c>
      <c r="K28" s="8">
        <f t="shared" si="6"/>
        <v>0</v>
      </c>
      <c r="L28" s="265"/>
      <c r="M28" s="8">
        <f t="shared" si="8"/>
        <v>59430.249999999985</v>
      </c>
      <c r="N28" s="19"/>
      <c r="O28" s="65"/>
      <c r="Q28" s="83">
        <v>50</v>
      </c>
      <c r="R28" s="83">
        <v>4.51</v>
      </c>
    </row>
    <row r="29" spans="1:18">
      <c r="A29" s="26">
        <v>26</v>
      </c>
      <c r="B29" s="27">
        <v>46017</v>
      </c>
      <c r="C29" s="25"/>
      <c r="D29" s="18"/>
      <c r="E29" s="51"/>
      <c r="F29" s="51"/>
      <c r="G29" s="8">
        <f t="shared" si="4"/>
        <v>0</v>
      </c>
      <c r="H29" s="51"/>
      <c r="I29" s="51"/>
      <c r="J29" s="8">
        <f t="shared" si="5"/>
        <v>0</v>
      </c>
      <c r="K29" s="8">
        <f t="shared" si="6"/>
        <v>0</v>
      </c>
      <c r="L29" s="265"/>
      <c r="M29" s="8">
        <f t="shared" si="8"/>
        <v>59430.249999999985</v>
      </c>
      <c r="N29" s="19"/>
      <c r="O29" s="65"/>
    </row>
    <row r="30" spans="1:18">
      <c r="A30" s="26">
        <v>27</v>
      </c>
      <c r="B30" s="27">
        <v>46018</v>
      </c>
      <c r="C30" s="25"/>
      <c r="D30" s="18"/>
      <c r="E30" s="51">
        <v>29.03</v>
      </c>
      <c r="F30" s="51">
        <v>91.77</v>
      </c>
      <c r="G30" s="8">
        <f t="shared" si="4"/>
        <v>2664.0830999999998</v>
      </c>
      <c r="H30" s="51"/>
      <c r="I30" s="51"/>
      <c r="J30" s="8">
        <f t="shared" si="5"/>
        <v>0</v>
      </c>
      <c r="K30" s="8">
        <f t="shared" si="6"/>
        <v>2664.0830999999998</v>
      </c>
      <c r="L30" s="265"/>
      <c r="M30" s="8">
        <f t="shared" si="8"/>
        <v>62094.333099999989</v>
      </c>
      <c r="N30" s="19"/>
      <c r="O30" s="65"/>
    </row>
    <row r="31" spans="1:18">
      <c r="A31" s="231">
        <v>28</v>
      </c>
      <c r="B31" s="27">
        <v>46019</v>
      </c>
      <c r="C31" s="25"/>
      <c r="D31" s="18"/>
      <c r="E31" s="51"/>
      <c r="F31" s="51"/>
      <c r="G31" s="8">
        <f t="shared" si="4"/>
        <v>0</v>
      </c>
      <c r="H31" s="51">
        <v>10</v>
      </c>
      <c r="I31" s="51">
        <v>103.7</v>
      </c>
      <c r="J31" s="8">
        <f t="shared" si="5"/>
        <v>1037</v>
      </c>
      <c r="K31" s="8">
        <f t="shared" si="6"/>
        <v>1037</v>
      </c>
      <c r="L31" s="265"/>
      <c r="M31" s="8">
        <f t="shared" si="8"/>
        <v>63131.333099999989</v>
      </c>
      <c r="N31" s="19"/>
      <c r="O31" s="65"/>
    </row>
    <row r="32" spans="1:18">
      <c r="A32" s="26">
        <v>29</v>
      </c>
      <c r="B32" s="27">
        <v>46020</v>
      </c>
      <c r="C32" s="25"/>
      <c r="D32" s="18"/>
      <c r="E32" s="51">
        <v>29</v>
      </c>
      <c r="F32" s="51">
        <v>91.77</v>
      </c>
      <c r="G32" s="8">
        <f t="shared" si="4"/>
        <v>2661.33</v>
      </c>
      <c r="H32" s="51"/>
      <c r="I32" s="51"/>
      <c r="J32" s="8">
        <f t="shared" si="5"/>
        <v>0</v>
      </c>
      <c r="K32" s="8">
        <f t="shared" si="6"/>
        <v>2661.33</v>
      </c>
      <c r="L32" s="265"/>
      <c r="M32" s="8">
        <f t="shared" si="8"/>
        <v>65792.663099999991</v>
      </c>
      <c r="N32" s="19"/>
      <c r="O32" s="65"/>
    </row>
    <row r="33" spans="1:15">
      <c r="A33" s="26">
        <v>30</v>
      </c>
      <c r="B33" s="27">
        <v>46021</v>
      </c>
      <c r="C33" s="25"/>
      <c r="D33" s="18"/>
      <c r="E33" s="51">
        <v>35</v>
      </c>
      <c r="F33" s="51">
        <v>91.77</v>
      </c>
      <c r="G33" s="8">
        <f t="shared" si="4"/>
        <v>3211.95</v>
      </c>
      <c r="H33" s="51"/>
      <c r="I33" s="51"/>
      <c r="J33" s="8">
        <f t="shared" si="5"/>
        <v>0</v>
      </c>
      <c r="K33" s="8">
        <f t="shared" si="6"/>
        <v>3211.95</v>
      </c>
      <c r="L33" s="265"/>
      <c r="M33" s="8">
        <f t="shared" si="8"/>
        <v>69004.613099999988</v>
      </c>
      <c r="N33" s="19"/>
      <c r="O33" s="65"/>
    </row>
    <row r="34" spans="1:15">
      <c r="A34" s="26">
        <v>31</v>
      </c>
      <c r="B34" s="27">
        <v>46022</v>
      </c>
      <c r="C34" s="25"/>
      <c r="D34" s="18"/>
      <c r="E34" s="51">
        <v>560</v>
      </c>
      <c r="F34" s="51">
        <v>91.77</v>
      </c>
      <c r="G34" s="8">
        <f t="shared" si="0"/>
        <v>51391.199999999997</v>
      </c>
      <c r="H34" s="51"/>
      <c r="I34" s="51"/>
      <c r="J34" s="8">
        <f t="shared" si="1"/>
        <v>0</v>
      </c>
      <c r="K34" s="8">
        <f t="shared" si="2"/>
        <v>51391.199999999997</v>
      </c>
      <c r="L34" s="265"/>
      <c r="M34" s="8">
        <f>M33+K34-L34</f>
        <v>120395.81309999998</v>
      </c>
      <c r="N34" s="19"/>
      <c r="O34" s="65"/>
    </row>
    <row r="35" spans="1:15">
      <c r="A35" s="168"/>
      <c r="B35" s="168"/>
      <c r="C35" s="168"/>
      <c r="D35" s="168"/>
      <c r="E35" s="169">
        <f>SUM(E4:E34)</f>
        <v>6077.86</v>
      </c>
      <c r="F35" s="169"/>
      <c r="G35" s="169">
        <f>SUM(G4:G34)</f>
        <v>557765.21220000007</v>
      </c>
      <c r="H35" s="169">
        <f>SUM(H4:H34)</f>
        <v>70</v>
      </c>
      <c r="I35" s="169"/>
      <c r="J35" s="169">
        <f>SUM(J4:J34)</f>
        <v>7259</v>
      </c>
      <c r="K35" s="169">
        <f>SUM(K4:K34)</f>
        <v>565024.21220000007</v>
      </c>
      <c r="L35" s="169">
        <f>SUM(L4:L34)</f>
        <v>512043.30059999996</v>
      </c>
      <c r="M35" s="169"/>
      <c r="N35" s="169"/>
      <c r="O35" s="65"/>
    </row>
    <row r="36" spans="1:15">
      <c r="A36" s="79"/>
      <c r="B36" s="79"/>
      <c r="C36" s="79"/>
      <c r="D36" s="79"/>
      <c r="E36" s="81"/>
      <c r="F36" s="81"/>
      <c r="G36" s="81"/>
      <c r="H36" s="81"/>
      <c r="I36" s="81"/>
      <c r="J36" s="81"/>
      <c r="K36" s="81"/>
      <c r="L36" s="266"/>
      <c r="M36" s="81"/>
      <c r="N36" s="81"/>
      <c r="O36" s="65"/>
    </row>
    <row r="37" spans="1:15">
      <c r="E37" s="270"/>
      <c r="F37" s="270"/>
      <c r="G37" s="270"/>
      <c r="H37" s="270"/>
      <c r="I37" s="270"/>
      <c r="J37" s="270"/>
      <c r="K37" s="270"/>
      <c r="L37" s="270"/>
      <c r="O37" s="65"/>
    </row>
    <row r="38" spans="1:15">
      <c r="O38" s="65"/>
    </row>
    <row r="39" spans="1:15">
      <c r="O39" s="65"/>
    </row>
    <row r="40" spans="1:15">
      <c r="O40" s="65"/>
    </row>
    <row r="41" spans="1:15">
      <c r="O41" s="65"/>
    </row>
    <row r="42" spans="1:15">
      <c r="A42" s="65"/>
      <c r="B42" s="65"/>
      <c r="C42" s="65"/>
      <c r="D42" s="65"/>
      <c r="E42" s="65"/>
      <c r="F42" s="65"/>
      <c r="G42" s="87"/>
      <c r="H42" s="65"/>
      <c r="I42" s="65"/>
      <c r="J42" s="65"/>
      <c r="K42" s="65"/>
      <c r="L42" s="79"/>
      <c r="M42" s="65"/>
      <c r="N42" s="65"/>
      <c r="O42" s="81"/>
    </row>
    <row r="43" spans="1:15">
      <c r="A43" s="65"/>
      <c r="B43" s="482"/>
      <c r="C43" s="482"/>
      <c r="D43" s="482"/>
      <c r="E43" s="482"/>
      <c r="F43" s="65"/>
      <c r="G43" s="65"/>
      <c r="H43" s="65"/>
      <c r="I43" s="482"/>
      <c r="J43" s="482"/>
      <c r="K43" s="482"/>
      <c r="L43" s="482"/>
      <c r="M43" s="482"/>
      <c r="N43" s="482"/>
      <c r="O43" s="81"/>
    </row>
    <row r="44" spans="1:15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79"/>
      <c r="M44" s="65"/>
      <c r="N44" s="65"/>
      <c r="O44" s="81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topLeftCell="A17" workbookViewId="0">
      <selection activeCell="L33" sqref="L33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2" customWidth="1"/>
    <col min="8" max="8" width="12" style="22" customWidth="1"/>
    <col min="9" max="9" width="9.140625" style="22"/>
    <col min="10" max="10" width="11.140625" style="22" customWidth="1"/>
    <col min="11" max="11" width="12" style="22" customWidth="1"/>
    <col min="12" max="12" width="11.85546875" style="22" customWidth="1"/>
    <col min="13" max="13" width="13.85546875" customWidth="1"/>
  </cols>
  <sheetData>
    <row r="1" spans="1:14" ht="15.75">
      <c r="A1" s="455" t="s">
        <v>60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</row>
    <row r="2" spans="1:14">
      <c r="A2" s="104" t="s">
        <v>122</v>
      </c>
      <c r="B2" s="105" t="s">
        <v>123</v>
      </c>
      <c r="C2" s="105" t="s">
        <v>124</v>
      </c>
      <c r="D2" s="105" t="s">
        <v>139</v>
      </c>
      <c r="E2" s="105" t="s">
        <v>126</v>
      </c>
      <c r="F2" s="105" t="s">
        <v>127</v>
      </c>
      <c r="G2" s="241" t="s">
        <v>128</v>
      </c>
      <c r="H2" s="241" t="s">
        <v>129</v>
      </c>
      <c r="I2" s="241" t="s">
        <v>127</v>
      </c>
      <c r="J2" s="241" t="s">
        <v>128</v>
      </c>
      <c r="K2" s="242" t="s">
        <v>130</v>
      </c>
      <c r="L2" s="242" t="s">
        <v>131</v>
      </c>
      <c r="M2" s="150" t="s">
        <v>138</v>
      </c>
      <c r="N2" s="107" t="s">
        <v>133</v>
      </c>
    </row>
    <row r="3" spans="1:14">
      <c r="A3" s="485" t="s">
        <v>134</v>
      </c>
      <c r="B3" s="486"/>
      <c r="C3" s="486"/>
      <c r="D3" s="486"/>
      <c r="E3" s="486"/>
      <c r="F3" s="486"/>
      <c r="G3" s="486"/>
      <c r="H3" s="486"/>
      <c r="I3" s="486"/>
      <c r="J3" s="487"/>
      <c r="K3" s="226">
        <v>0</v>
      </c>
      <c r="L3" s="226"/>
      <c r="M3" s="182">
        <f>+K3</f>
        <v>0</v>
      </c>
      <c r="N3" s="227"/>
    </row>
    <row r="4" spans="1:14">
      <c r="A4" s="26">
        <v>1</v>
      </c>
      <c r="B4" s="27">
        <v>45992</v>
      </c>
      <c r="C4" s="17"/>
      <c r="D4" s="17"/>
      <c r="E4" s="204"/>
      <c r="F4" s="204"/>
      <c r="G4" s="221">
        <f>E4*F4</f>
        <v>0</v>
      </c>
      <c r="H4" s="284"/>
      <c r="I4" s="221"/>
      <c r="J4" s="221">
        <f>H4*I4</f>
        <v>0</v>
      </c>
      <c r="K4" s="221">
        <f>G4+J4</f>
        <v>0</v>
      </c>
      <c r="L4" s="221">
        <f>+K4</f>
        <v>0</v>
      </c>
      <c r="M4" s="204"/>
      <c r="N4" s="17"/>
    </row>
    <row r="5" spans="1:14">
      <c r="A5" s="26">
        <v>2</v>
      </c>
      <c r="B5" s="27">
        <v>45993</v>
      </c>
      <c r="C5" s="17"/>
      <c r="D5" s="17"/>
      <c r="E5" s="204"/>
      <c r="F5" s="204"/>
      <c r="G5" s="221">
        <f t="shared" ref="G5:G32" si="0">E5*F5</f>
        <v>0</v>
      </c>
      <c r="H5" s="284"/>
      <c r="I5" s="221"/>
      <c r="J5" s="221">
        <f>H5*I5</f>
        <v>0</v>
      </c>
      <c r="K5" s="221">
        <f t="shared" ref="K5:K34" si="1">G5+J5</f>
        <v>0</v>
      </c>
      <c r="L5" s="221">
        <f t="shared" ref="L5:L33" si="2">+K5</f>
        <v>0</v>
      </c>
      <c r="M5" s="204"/>
      <c r="N5" s="17"/>
    </row>
    <row r="6" spans="1:14">
      <c r="A6" s="26">
        <v>3</v>
      </c>
      <c r="B6" s="27">
        <v>45994</v>
      </c>
      <c r="C6" s="17"/>
      <c r="D6" s="17"/>
      <c r="E6" s="204"/>
      <c r="F6" s="204"/>
      <c r="G6" s="221">
        <f t="shared" si="0"/>
        <v>0</v>
      </c>
      <c r="H6" s="221"/>
      <c r="I6" s="221"/>
      <c r="J6" s="221">
        <f t="shared" ref="J6:J34" si="3">H6*I6</f>
        <v>0</v>
      </c>
      <c r="K6" s="221">
        <f t="shared" si="1"/>
        <v>0</v>
      </c>
      <c r="L6" s="221">
        <f t="shared" si="2"/>
        <v>0</v>
      </c>
      <c r="M6" s="204"/>
      <c r="N6" s="17"/>
    </row>
    <row r="7" spans="1:14">
      <c r="A7" s="26">
        <v>4</v>
      </c>
      <c r="B7" s="27">
        <v>45995</v>
      </c>
      <c r="C7" s="17"/>
      <c r="D7" s="17"/>
      <c r="E7" s="204">
        <v>30</v>
      </c>
      <c r="F7" s="204">
        <v>91.59</v>
      </c>
      <c r="G7" s="221">
        <f t="shared" si="0"/>
        <v>2747.7000000000003</v>
      </c>
      <c r="H7" s="221"/>
      <c r="I7" s="221"/>
      <c r="J7" s="221">
        <f t="shared" si="3"/>
        <v>0</v>
      </c>
      <c r="K7" s="221">
        <f t="shared" si="1"/>
        <v>2747.7000000000003</v>
      </c>
      <c r="L7" s="221">
        <f t="shared" si="2"/>
        <v>2747.7000000000003</v>
      </c>
      <c r="M7" s="204"/>
      <c r="N7" s="17"/>
    </row>
    <row r="8" spans="1:14">
      <c r="A8" s="26">
        <v>5</v>
      </c>
      <c r="B8" s="27">
        <v>45996</v>
      </c>
      <c r="C8" s="17"/>
      <c r="D8" s="17"/>
      <c r="E8" s="204"/>
      <c r="F8" s="204"/>
      <c r="G8" s="221">
        <f t="shared" si="0"/>
        <v>0</v>
      </c>
      <c r="H8" s="221"/>
      <c r="I8" s="221"/>
      <c r="J8" s="221">
        <f t="shared" si="3"/>
        <v>0</v>
      </c>
      <c r="K8" s="221">
        <f t="shared" si="1"/>
        <v>0</v>
      </c>
      <c r="L8" s="221">
        <f t="shared" si="2"/>
        <v>0</v>
      </c>
      <c r="M8" s="204"/>
      <c r="N8" s="17"/>
    </row>
    <row r="9" spans="1:14">
      <c r="A9" s="26">
        <v>6</v>
      </c>
      <c r="B9" s="27">
        <v>45997</v>
      </c>
      <c r="C9" s="17"/>
      <c r="D9" s="17"/>
      <c r="E9" s="204">
        <v>40</v>
      </c>
      <c r="F9" s="204">
        <v>91.59</v>
      </c>
      <c r="G9" s="221">
        <f t="shared" si="0"/>
        <v>3663.6000000000004</v>
      </c>
      <c r="H9" s="221"/>
      <c r="I9" s="221"/>
      <c r="J9" s="221">
        <f t="shared" si="3"/>
        <v>0</v>
      </c>
      <c r="K9" s="221">
        <f t="shared" si="1"/>
        <v>3663.6000000000004</v>
      </c>
      <c r="L9" s="221">
        <f t="shared" si="2"/>
        <v>3663.6000000000004</v>
      </c>
      <c r="M9" s="204"/>
      <c r="N9" s="17"/>
    </row>
    <row r="10" spans="1:14">
      <c r="A10" s="26">
        <v>7</v>
      </c>
      <c r="B10" s="27">
        <v>45998</v>
      </c>
      <c r="C10" s="17"/>
      <c r="D10" s="17"/>
      <c r="E10" s="204">
        <v>10</v>
      </c>
      <c r="F10" s="204">
        <v>91.59</v>
      </c>
      <c r="G10" s="221">
        <f t="shared" si="0"/>
        <v>915.90000000000009</v>
      </c>
      <c r="H10" s="221"/>
      <c r="I10" s="221"/>
      <c r="J10" s="221">
        <f t="shared" si="3"/>
        <v>0</v>
      </c>
      <c r="K10" s="221">
        <f t="shared" si="1"/>
        <v>915.90000000000009</v>
      </c>
      <c r="L10" s="221">
        <f t="shared" si="2"/>
        <v>915.90000000000009</v>
      </c>
      <c r="M10" s="204"/>
      <c r="N10" s="17"/>
    </row>
    <row r="11" spans="1:14">
      <c r="A11" s="26">
        <v>8</v>
      </c>
      <c r="B11" s="27">
        <v>45999</v>
      </c>
      <c r="C11" s="17"/>
      <c r="D11" s="17"/>
      <c r="E11" s="204">
        <v>20</v>
      </c>
      <c r="F11" s="204">
        <v>91.59</v>
      </c>
      <c r="G11" s="221">
        <f t="shared" si="0"/>
        <v>1831.8000000000002</v>
      </c>
      <c r="H11" s="221"/>
      <c r="I11" s="221"/>
      <c r="J11" s="221">
        <f t="shared" si="3"/>
        <v>0</v>
      </c>
      <c r="K11" s="221">
        <f t="shared" si="1"/>
        <v>1831.8000000000002</v>
      </c>
      <c r="L11" s="221">
        <f t="shared" si="2"/>
        <v>1831.8000000000002</v>
      </c>
      <c r="M11" s="204"/>
      <c r="N11" s="17"/>
    </row>
    <row r="12" spans="1:14">
      <c r="A12" s="26">
        <v>9</v>
      </c>
      <c r="B12" s="27">
        <v>46000</v>
      </c>
      <c r="C12" s="17"/>
      <c r="D12" s="17"/>
      <c r="E12" s="204"/>
      <c r="F12" s="204"/>
      <c r="G12" s="221">
        <f t="shared" si="0"/>
        <v>0</v>
      </c>
      <c r="H12" s="221"/>
      <c r="I12" s="221"/>
      <c r="J12" s="221">
        <f t="shared" si="3"/>
        <v>0</v>
      </c>
      <c r="K12" s="221">
        <f t="shared" si="1"/>
        <v>0</v>
      </c>
      <c r="L12" s="221">
        <f t="shared" si="2"/>
        <v>0</v>
      </c>
      <c r="M12" s="204"/>
      <c r="N12" s="17"/>
    </row>
    <row r="13" spans="1:14">
      <c r="A13" s="26">
        <v>10</v>
      </c>
      <c r="B13" s="27">
        <v>46001</v>
      </c>
      <c r="C13" s="17"/>
      <c r="D13" s="17"/>
      <c r="E13" s="204"/>
      <c r="F13" s="204"/>
      <c r="G13" s="221">
        <f t="shared" si="0"/>
        <v>0</v>
      </c>
      <c r="H13" s="221"/>
      <c r="I13" s="221"/>
      <c r="J13" s="221">
        <f t="shared" si="3"/>
        <v>0</v>
      </c>
      <c r="K13" s="221">
        <f t="shared" si="1"/>
        <v>0</v>
      </c>
      <c r="L13" s="221">
        <f t="shared" si="2"/>
        <v>0</v>
      </c>
      <c r="M13" s="204"/>
      <c r="N13" s="17"/>
    </row>
    <row r="14" spans="1:14">
      <c r="A14" s="26">
        <v>11</v>
      </c>
      <c r="B14" s="27">
        <v>46002</v>
      </c>
      <c r="C14" s="17"/>
      <c r="D14" s="17"/>
      <c r="E14" s="204"/>
      <c r="F14" s="204"/>
      <c r="G14" s="221">
        <f t="shared" si="0"/>
        <v>0</v>
      </c>
      <c r="H14" s="221"/>
      <c r="I14" s="221"/>
      <c r="J14" s="221">
        <f t="shared" si="3"/>
        <v>0</v>
      </c>
      <c r="K14" s="221">
        <f t="shared" si="1"/>
        <v>0</v>
      </c>
      <c r="L14" s="221">
        <f t="shared" si="2"/>
        <v>0</v>
      </c>
      <c r="M14" s="204"/>
      <c r="N14" s="17"/>
    </row>
    <row r="15" spans="1:14">
      <c r="A15" s="26">
        <v>12</v>
      </c>
      <c r="B15" s="27">
        <v>46003</v>
      </c>
      <c r="C15" s="17"/>
      <c r="D15" s="17"/>
      <c r="E15" s="204"/>
      <c r="F15" s="204"/>
      <c r="G15" s="221">
        <f t="shared" si="0"/>
        <v>0</v>
      </c>
      <c r="H15" s="221"/>
      <c r="I15" s="221"/>
      <c r="J15" s="221">
        <f t="shared" si="3"/>
        <v>0</v>
      </c>
      <c r="K15" s="221">
        <f t="shared" si="1"/>
        <v>0</v>
      </c>
      <c r="L15" s="221">
        <f t="shared" si="2"/>
        <v>0</v>
      </c>
      <c r="M15" s="204"/>
      <c r="N15" s="17"/>
    </row>
    <row r="16" spans="1:14">
      <c r="A16" s="26">
        <v>13</v>
      </c>
      <c r="B16" s="27">
        <v>46004</v>
      </c>
      <c r="C16" s="17"/>
      <c r="D16" s="17"/>
      <c r="E16" s="204"/>
      <c r="F16" s="204"/>
      <c r="G16" s="221">
        <f t="shared" si="0"/>
        <v>0</v>
      </c>
      <c r="H16" s="221"/>
      <c r="I16" s="221"/>
      <c r="J16" s="221">
        <f t="shared" si="3"/>
        <v>0</v>
      </c>
      <c r="K16" s="221">
        <f t="shared" si="1"/>
        <v>0</v>
      </c>
      <c r="L16" s="221">
        <f t="shared" si="2"/>
        <v>0</v>
      </c>
      <c r="M16" s="204"/>
      <c r="N16" s="17"/>
    </row>
    <row r="17" spans="1:15">
      <c r="A17" s="26">
        <v>14</v>
      </c>
      <c r="B17" s="27">
        <v>46005</v>
      </c>
      <c r="C17" s="17"/>
      <c r="D17" s="17"/>
      <c r="E17" s="204"/>
      <c r="F17" s="204"/>
      <c r="G17" s="221">
        <f t="shared" si="0"/>
        <v>0</v>
      </c>
      <c r="H17" s="221"/>
      <c r="I17" s="221"/>
      <c r="J17" s="221">
        <f t="shared" si="3"/>
        <v>0</v>
      </c>
      <c r="K17" s="221">
        <f t="shared" si="1"/>
        <v>0</v>
      </c>
      <c r="L17" s="221">
        <f t="shared" si="2"/>
        <v>0</v>
      </c>
      <c r="M17" s="204"/>
      <c r="N17" s="17"/>
    </row>
    <row r="18" spans="1:15">
      <c r="A18" s="26">
        <v>15</v>
      </c>
      <c r="B18" s="27">
        <v>46006</v>
      </c>
      <c r="C18" s="17"/>
      <c r="D18" s="17"/>
      <c r="E18" s="204"/>
      <c r="F18" s="204"/>
      <c r="G18" s="221">
        <f t="shared" si="0"/>
        <v>0</v>
      </c>
      <c r="H18" s="221">
        <v>14.51</v>
      </c>
      <c r="I18" s="221">
        <v>103.53</v>
      </c>
      <c r="J18" s="221">
        <f t="shared" si="3"/>
        <v>1502.2203</v>
      </c>
      <c r="K18" s="221">
        <f t="shared" si="1"/>
        <v>1502.2203</v>
      </c>
      <c r="L18" s="221">
        <f t="shared" si="2"/>
        <v>1502.2203</v>
      </c>
      <c r="M18" s="204"/>
      <c r="N18" s="17"/>
    </row>
    <row r="19" spans="1:15">
      <c r="A19" s="26">
        <v>16</v>
      </c>
      <c r="B19" s="27">
        <v>46007</v>
      </c>
      <c r="C19" s="17"/>
      <c r="D19" s="17"/>
      <c r="E19" s="204">
        <v>20</v>
      </c>
      <c r="F19" s="204">
        <v>91.59</v>
      </c>
      <c r="G19" s="221">
        <f t="shared" si="0"/>
        <v>1831.8000000000002</v>
      </c>
      <c r="H19" s="221"/>
      <c r="I19" s="221"/>
      <c r="J19" s="221">
        <f t="shared" si="3"/>
        <v>0</v>
      </c>
      <c r="K19" s="221">
        <f t="shared" si="1"/>
        <v>1831.8000000000002</v>
      </c>
      <c r="L19" s="221">
        <f t="shared" si="2"/>
        <v>1831.8000000000002</v>
      </c>
      <c r="M19" s="204"/>
      <c r="N19" s="17"/>
    </row>
    <row r="20" spans="1:15">
      <c r="A20" s="26">
        <v>17</v>
      </c>
      <c r="B20" s="27">
        <v>46008</v>
      </c>
      <c r="C20" s="17"/>
      <c r="D20" s="17"/>
      <c r="E20" s="204">
        <v>20</v>
      </c>
      <c r="F20" s="204">
        <v>91.59</v>
      </c>
      <c r="G20" s="221">
        <f t="shared" si="0"/>
        <v>1831.8000000000002</v>
      </c>
      <c r="H20" s="221"/>
      <c r="I20" s="221"/>
      <c r="J20" s="221">
        <f t="shared" si="3"/>
        <v>0</v>
      </c>
      <c r="K20" s="221">
        <f t="shared" si="1"/>
        <v>1831.8000000000002</v>
      </c>
      <c r="L20" s="221">
        <f t="shared" si="2"/>
        <v>1831.8000000000002</v>
      </c>
      <c r="M20" s="204"/>
      <c r="N20" s="17"/>
    </row>
    <row r="21" spans="1:15">
      <c r="A21" s="26">
        <v>18</v>
      </c>
      <c r="B21" s="27">
        <v>46009</v>
      </c>
      <c r="C21" s="17"/>
      <c r="D21" s="17"/>
      <c r="E21" s="204">
        <v>50</v>
      </c>
      <c r="F21" s="204">
        <v>91.59</v>
      </c>
      <c r="G21" s="221">
        <f t="shared" si="0"/>
        <v>4579.5</v>
      </c>
      <c r="H21" s="221">
        <v>6.07</v>
      </c>
      <c r="I21" s="221">
        <v>103.53</v>
      </c>
      <c r="J21" s="221">
        <f t="shared" si="3"/>
        <v>628.4271</v>
      </c>
      <c r="K21" s="221">
        <f t="shared" si="1"/>
        <v>5207.9270999999999</v>
      </c>
      <c r="L21" s="221">
        <f t="shared" si="2"/>
        <v>5207.9270999999999</v>
      </c>
      <c r="M21" s="204"/>
    </row>
    <row r="22" spans="1:15">
      <c r="A22" s="26">
        <v>19</v>
      </c>
      <c r="B22" s="27">
        <v>46010</v>
      </c>
      <c r="C22" s="17"/>
      <c r="D22" s="17"/>
      <c r="E22" s="204"/>
      <c r="F22" s="204"/>
      <c r="G22" s="221">
        <f t="shared" si="0"/>
        <v>0</v>
      </c>
      <c r="H22" s="221"/>
      <c r="I22" s="221"/>
      <c r="J22" s="221">
        <f t="shared" si="3"/>
        <v>0</v>
      </c>
      <c r="K22" s="221">
        <f t="shared" si="1"/>
        <v>0</v>
      </c>
      <c r="L22" s="221">
        <f t="shared" si="2"/>
        <v>0</v>
      </c>
      <c r="M22" s="204"/>
      <c r="N22" s="17"/>
    </row>
    <row r="23" spans="1:15">
      <c r="A23" s="26">
        <v>20</v>
      </c>
      <c r="B23" s="27">
        <v>46011</v>
      </c>
      <c r="C23" s="17"/>
      <c r="D23" s="17"/>
      <c r="E23" s="204"/>
      <c r="F23" s="204"/>
      <c r="G23" s="221">
        <f t="shared" si="0"/>
        <v>0</v>
      </c>
      <c r="H23" s="221"/>
      <c r="I23" s="221"/>
      <c r="J23" s="221">
        <f t="shared" si="3"/>
        <v>0</v>
      </c>
      <c r="K23" s="221">
        <f t="shared" si="1"/>
        <v>0</v>
      </c>
      <c r="L23" s="221">
        <f t="shared" si="2"/>
        <v>0</v>
      </c>
      <c r="M23" s="204"/>
      <c r="N23" s="17"/>
    </row>
    <row r="24" spans="1:15">
      <c r="A24" s="26">
        <v>21</v>
      </c>
      <c r="B24" s="27">
        <v>46012</v>
      </c>
      <c r="C24" s="17"/>
      <c r="D24" s="17"/>
      <c r="E24" s="204"/>
      <c r="F24" s="204"/>
      <c r="G24" s="221">
        <f t="shared" si="0"/>
        <v>0</v>
      </c>
      <c r="H24" s="221"/>
      <c r="I24" s="221"/>
      <c r="J24" s="221">
        <f t="shared" si="3"/>
        <v>0</v>
      </c>
      <c r="K24" s="221">
        <f t="shared" si="1"/>
        <v>0</v>
      </c>
      <c r="L24" s="221">
        <f t="shared" si="2"/>
        <v>0</v>
      </c>
      <c r="M24" s="204"/>
      <c r="N24" s="17"/>
    </row>
    <row r="25" spans="1:15">
      <c r="A25" s="26">
        <v>22</v>
      </c>
      <c r="B25" s="27">
        <v>46013</v>
      </c>
      <c r="C25" s="17"/>
      <c r="D25" s="17"/>
      <c r="E25" s="204"/>
      <c r="F25" s="204"/>
      <c r="G25" s="221">
        <f t="shared" si="0"/>
        <v>0</v>
      </c>
      <c r="H25" s="221"/>
      <c r="I25" s="221"/>
      <c r="J25" s="221">
        <f t="shared" si="3"/>
        <v>0</v>
      </c>
      <c r="K25" s="221">
        <f t="shared" si="1"/>
        <v>0</v>
      </c>
      <c r="L25" s="221">
        <f t="shared" si="2"/>
        <v>0</v>
      </c>
      <c r="M25" s="204"/>
      <c r="N25" s="17"/>
    </row>
    <row r="26" spans="1:15">
      <c r="A26" s="26">
        <v>23</v>
      </c>
      <c r="B26" s="27">
        <v>46014</v>
      </c>
      <c r="C26" s="17"/>
      <c r="D26" s="17"/>
      <c r="E26" s="204"/>
      <c r="F26" s="204"/>
      <c r="G26" s="221">
        <f t="shared" si="0"/>
        <v>0</v>
      </c>
      <c r="H26" s="221"/>
      <c r="I26" s="221"/>
      <c r="J26" s="221">
        <f t="shared" si="3"/>
        <v>0</v>
      </c>
      <c r="K26" s="221">
        <f t="shared" si="1"/>
        <v>0</v>
      </c>
      <c r="L26" s="221">
        <f t="shared" si="2"/>
        <v>0</v>
      </c>
      <c r="M26" s="204"/>
      <c r="N26" s="17"/>
    </row>
    <row r="27" spans="1:15">
      <c r="A27" s="26">
        <v>24</v>
      </c>
      <c r="B27" s="27">
        <v>46015</v>
      </c>
      <c r="C27" s="17"/>
      <c r="D27" s="17"/>
      <c r="E27" s="204"/>
      <c r="F27" s="204"/>
      <c r="G27" s="221">
        <f t="shared" si="0"/>
        <v>0</v>
      </c>
      <c r="H27" s="221"/>
      <c r="I27" s="221"/>
      <c r="J27" s="221">
        <f t="shared" si="3"/>
        <v>0</v>
      </c>
      <c r="K27" s="221">
        <f t="shared" ref="K27:K33" si="4">G27+J27</f>
        <v>0</v>
      </c>
      <c r="L27" s="221">
        <f t="shared" si="2"/>
        <v>0</v>
      </c>
      <c r="M27" s="204"/>
      <c r="N27" s="17"/>
      <c r="O27">
        <v>0</v>
      </c>
    </row>
    <row r="28" spans="1:15">
      <c r="A28" s="26">
        <v>25</v>
      </c>
      <c r="B28" s="27">
        <v>46016</v>
      </c>
      <c r="C28" s="17"/>
      <c r="D28" s="17"/>
      <c r="E28" s="204"/>
      <c r="F28" s="204"/>
      <c r="G28" s="221">
        <f t="shared" si="0"/>
        <v>0</v>
      </c>
      <c r="H28" s="221">
        <v>5</v>
      </c>
      <c r="I28" s="221">
        <v>103.53</v>
      </c>
      <c r="J28" s="221">
        <f t="shared" si="3"/>
        <v>517.65</v>
      </c>
      <c r="K28" s="221">
        <f t="shared" si="4"/>
        <v>517.65</v>
      </c>
      <c r="L28" s="221">
        <f t="shared" si="2"/>
        <v>517.65</v>
      </c>
      <c r="M28" s="204"/>
      <c r="N28" s="17"/>
    </row>
    <row r="29" spans="1:15">
      <c r="A29" s="26">
        <v>26</v>
      </c>
      <c r="B29" s="27">
        <v>46017</v>
      </c>
      <c r="C29" s="17"/>
      <c r="D29" s="17"/>
      <c r="E29" s="204"/>
      <c r="F29" s="204"/>
      <c r="G29" s="221">
        <f t="shared" si="0"/>
        <v>0</v>
      </c>
      <c r="H29" s="221"/>
      <c r="I29" s="221"/>
      <c r="J29" s="221">
        <f t="shared" si="3"/>
        <v>0</v>
      </c>
      <c r="K29" s="221">
        <f t="shared" si="4"/>
        <v>0</v>
      </c>
      <c r="L29" s="221">
        <f t="shared" si="2"/>
        <v>0</v>
      </c>
      <c r="M29" s="204"/>
      <c r="N29" s="17"/>
    </row>
    <row r="30" spans="1:15">
      <c r="A30" s="26">
        <v>27</v>
      </c>
      <c r="B30" s="27">
        <v>46018</v>
      </c>
      <c r="C30" s="17"/>
      <c r="D30" s="17"/>
      <c r="E30" s="204"/>
      <c r="F30" s="204"/>
      <c r="G30" s="221">
        <f t="shared" si="0"/>
        <v>0</v>
      </c>
      <c r="H30" s="221"/>
      <c r="I30" s="221"/>
      <c r="J30" s="221">
        <f t="shared" si="3"/>
        <v>0</v>
      </c>
      <c r="K30" s="221">
        <f t="shared" si="4"/>
        <v>0</v>
      </c>
      <c r="L30" s="221">
        <f t="shared" si="2"/>
        <v>0</v>
      </c>
      <c r="M30" s="204"/>
      <c r="N30" s="17"/>
    </row>
    <row r="31" spans="1:15">
      <c r="A31" s="231">
        <v>28</v>
      </c>
      <c r="B31" s="27">
        <v>46019</v>
      </c>
      <c r="C31" s="17"/>
      <c r="D31" s="17"/>
      <c r="E31" s="204"/>
      <c r="F31" s="204"/>
      <c r="G31" s="221">
        <f t="shared" si="0"/>
        <v>0</v>
      </c>
      <c r="H31" s="221"/>
      <c r="I31" s="221"/>
      <c r="J31" s="221">
        <f t="shared" si="3"/>
        <v>0</v>
      </c>
      <c r="K31" s="221">
        <f t="shared" si="4"/>
        <v>0</v>
      </c>
      <c r="L31" s="221">
        <f t="shared" si="2"/>
        <v>0</v>
      </c>
      <c r="M31" s="204"/>
      <c r="N31" s="100"/>
    </row>
    <row r="32" spans="1:15">
      <c r="A32" s="26">
        <v>29</v>
      </c>
      <c r="B32" s="27">
        <v>46020</v>
      </c>
      <c r="C32" s="17"/>
      <c r="D32" s="17"/>
      <c r="E32" s="204"/>
      <c r="F32" s="204"/>
      <c r="G32" s="221">
        <f t="shared" si="0"/>
        <v>0</v>
      </c>
      <c r="H32" s="221"/>
      <c r="I32" s="221"/>
      <c r="J32" s="221">
        <f t="shared" si="3"/>
        <v>0</v>
      </c>
      <c r="K32" s="221">
        <f t="shared" si="4"/>
        <v>0</v>
      </c>
      <c r="L32" s="221">
        <f t="shared" si="2"/>
        <v>0</v>
      </c>
      <c r="M32" s="204"/>
      <c r="N32" s="17"/>
    </row>
    <row r="33" spans="1:14">
      <c r="A33" s="26">
        <v>30</v>
      </c>
      <c r="B33" s="27">
        <v>46021</v>
      </c>
      <c r="C33" s="17"/>
      <c r="D33" s="17"/>
      <c r="E33" s="204">
        <v>50</v>
      </c>
      <c r="F33" s="204">
        <v>91.59</v>
      </c>
      <c r="G33" s="221">
        <f t="shared" ref="G33:G34" si="5">E33*F33</f>
        <v>4579.5</v>
      </c>
      <c r="H33" s="221"/>
      <c r="I33" s="221"/>
      <c r="J33" s="221">
        <f t="shared" si="3"/>
        <v>0</v>
      </c>
      <c r="K33" s="221">
        <f t="shared" si="4"/>
        <v>4579.5</v>
      </c>
      <c r="L33" s="221">
        <f t="shared" si="2"/>
        <v>4579.5</v>
      </c>
      <c r="M33" s="204"/>
      <c r="N33" s="17"/>
    </row>
    <row r="34" spans="1:14">
      <c r="A34" s="26">
        <v>31</v>
      </c>
      <c r="B34" s="27"/>
      <c r="C34" s="17"/>
      <c r="D34" s="17"/>
      <c r="E34" s="204"/>
      <c r="F34" s="204"/>
      <c r="G34" s="221">
        <f t="shared" si="5"/>
        <v>0</v>
      </c>
      <c r="H34" s="221"/>
      <c r="I34" s="221"/>
      <c r="J34" s="221">
        <f t="shared" si="3"/>
        <v>0</v>
      </c>
      <c r="K34" s="221">
        <f t="shared" si="1"/>
        <v>0</v>
      </c>
      <c r="L34" s="221"/>
      <c r="M34" s="204"/>
      <c r="N34" s="17"/>
    </row>
    <row r="35" spans="1:14">
      <c r="A35" s="191"/>
      <c r="B35" s="191"/>
      <c r="C35" s="191"/>
      <c r="D35" s="191"/>
      <c r="E35" s="191">
        <f>SUM(E4:E34)</f>
        <v>240</v>
      </c>
      <c r="F35" s="191"/>
      <c r="G35" s="191">
        <f>SUM(G4:G34)</f>
        <v>21981.599999999999</v>
      </c>
      <c r="H35" s="191">
        <f>SUM(H4:H34)</f>
        <v>25.58</v>
      </c>
      <c r="I35" s="191"/>
      <c r="J35" s="191">
        <f>SUM(J4:J34)</f>
        <v>2648.2973999999999</v>
      </c>
      <c r="K35" s="191">
        <f>SUM(K4:K34)</f>
        <v>24629.897400000002</v>
      </c>
      <c r="L35" s="191">
        <f>SUM(L4:L34)</f>
        <v>24629.897400000002</v>
      </c>
      <c r="M35" s="191"/>
      <c r="N35" s="191"/>
    </row>
  </sheetData>
  <mergeCells count="2">
    <mergeCell ref="A1:N1"/>
    <mergeCell ref="A3:J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R35"/>
  <sheetViews>
    <sheetView workbookViewId="0">
      <pane ySplit="2" topLeftCell="A27" activePane="bottomLeft" state="frozen"/>
      <selection pane="bottomLeft" activeCell="L34" sqref="L34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8" ht="15.75" customHeight="1">
      <c r="A1" s="488" t="s">
        <v>62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</row>
    <row r="2" spans="1:18">
      <c r="A2" s="70" t="s">
        <v>122</v>
      </c>
      <c r="B2" s="70" t="s">
        <v>123</v>
      </c>
      <c r="C2" s="70" t="s">
        <v>124</v>
      </c>
      <c r="D2" s="70" t="s">
        <v>125</v>
      </c>
      <c r="E2" s="97" t="s">
        <v>126</v>
      </c>
      <c r="F2" s="97" t="s">
        <v>127</v>
      </c>
      <c r="G2" s="97" t="s">
        <v>128</v>
      </c>
      <c r="H2" s="97" t="s">
        <v>129</v>
      </c>
      <c r="I2" s="97" t="s">
        <v>127</v>
      </c>
      <c r="J2" s="97" t="s">
        <v>128</v>
      </c>
      <c r="K2" s="97" t="s">
        <v>130</v>
      </c>
      <c r="L2" s="91" t="s">
        <v>131</v>
      </c>
      <c r="M2" s="91" t="s">
        <v>138</v>
      </c>
      <c r="N2" s="70" t="s">
        <v>133</v>
      </c>
    </row>
    <row r="3" spans="1:18">
      <c r="A3" s="489" t="s">
        <v>134</v>
      </c>
      <c r="B3" s="489"/>
      <c r="C3" s="489"/>
      <c r="D3" s="489"/>
      <c r="E3" s="489"/>
      <c r="F3" s="489"/>
      <c r="G3" s="489"/>
      <c r="H3" s="489"/>
      <c r="I3" s="489"/>
      <c r="J3" s="489"/>
      <c r="K3" s="187">
        <v>0</v>
      </c>
      <c r="L3" s="108"/>
      <c r="M3" s="108">
        <f>+K3</f>
        <v>0</v>
      </c>
    </row>
    <row r="4" spans="1:18">
      <c r="A4" s="26">
        <v>1</v>
      </c>
      <c r="B4" s="27">
        <v>45992</v>
      </c>
      <c r="C4" s="6"/>
      <c r="D4" s="6"/>
      <c r="E4" s="283">
        <v>150</v>
      </c>
      <c r="F4" s="48">
        <v>91.92</v>
      </c>
      <c r="G4" s="72">
        <f>E4*F4</f>
        <v>13788</v>
      </c>
      <c r="H4" s="48">
        <v>7</v>
      </c>
      <c r="I4" s="48">
        <v>103.96</v>
      </c>
      <c r="J4" s="72">
        <f>H4*I4</f>
        <v>727.71999999999991</v>
      </c>
      <c r="K4" s="72">
        <f>G4+J4</f>
        <v>14515.72</v>
      </c>
      <c r="L4" s="72">
        <f>+K4</f>
        <v>14515.72</v>
      </c>
      <c r="M4" s="72">
        <f>M3+K4-L4</f>
        <v>0</v>
      </c>
      <c r="N4" s="6" t="s">
        <v>166</v>
      </c>
    </row>
    <row r="5" spans="1:18">
      <c r="A5" s="26">
        <v>2</v>
      </c>
      <c r="B5" s="27">
        <v>45993</v>
      </c>
      <c r="C5" s="6"/>
      <c r="D5" s="6"/>
      <c r="E5" s="283">
        <v>80</v>
      </c>
      <c r="F5" s="48">
        <v>91.92</v>
      </c>
      <c r="G5" s="72">
        <f t="shared" ref="G5:G33" si="0">E5*F5</f>
        <v>7353.6</v>
      </c>
      <c r="H5" s="48"/>
      <c r="I5" s="48"/>
      <c r="J5" s="72">
        <f t="shared" ref="J5:J33" si="1">H5*I5</f>
        <v>0</v>
      </c>
      <c r="K5" s="72">
        <f t="shared" ref="K5:K33" si="2">G5+J5</f>
        <v>7353.6</v>
      </c>
      <c r="L5" s="72">
        <f t="shared" ref="L5:L33" si="3">+K5</f>
        <v>7353.6</v>
      </c>
      <c r="M5" s="72">
        <f t="shared" ref="M5:M30" si="4">M4+K5-L5</f>
        <v>0</v>
      </c>
      <c r="N5" s="6"/>
    </row>
    <row r="6" spans="1:18">
      <c r="A6" s="26">
        <v>3</v>
      </c>
      <c r="B6" s="27">
        <v>45994</v>
      </c>
      <c r="C6" s="6"/>
      <c r="D6" s="6"/>
      <c r="E6" s="283">
        <v>120</v>
      </c>
      <c r="F6" s="48">
        <v>91.92</v>
      </c>
      <c r="G6" s="72">
        <f t="shared" si="0"/>
        <v>11030.4</v>
      </c>
      <c r="H6" s="48">
        <v>6.81</v>
      </c>
      <c r="I6" s="48">
        <v>103.96</v>
      </c>
      <c r="J6" s="72">
        <f t="shared" si="1"/>
        <v>707.96759999999995</v>
      </c>
      <c r="K6" s="72">
        <f t="shared" si="2"/>
        <v>11738.3676</v>
      </c>
      <c r="L6" s="72">
        <f t="shared" si="3"/>
        <v>11738.3676</v>
      </c>
      <c r="M6" s="72">
        <f t="shared" si="4"/>
        <v>0</v>
      </c>
      <c r="N6" s="6"/>
    </row>
    <row r="7" spans="1:18">
      <c r="A7" s="26">
        <v>4</v>
      </c>
      <c r="B7" s="27">
        <v>45995</v>
      </c>
      <c r="C7" s="6"/>
      <c r="D7" s="6"/>
      <c r="E7" s="283"/>
      <c r="F7" s="48"/>
      <c r="G7" s="72">
        <f t="shared" si="0"/>
        <v>0</v>
      </c>
      <c r="H7" s="48"/>
      <c r="I7" s="48"/>
      <c r="J7" s="72">
        <f t="shared" si="1"/>
        <v>0</v>
      </c>
      <c r="K7" s="72">
        <f t="shared" si="2"/>
        <v>0</v>
      </c>
      <c r="L7" s="72">
        <f t="shared" si="3"/>
        <v>0</v>
      </c>
      <c r="M7" s="72">
        <f t="shared" si="4"/>
        <v>0</v>
      </c>
      <c r="N7" s="6"/>
    </row>
    <row r="8" spans="1:18">
      <c r="A8" s="26">
        <v>5</v>
      </c>
      <c r="B8" s="27">
        <v>45996</v>
      </c>
      <c r="C8" s="6"/>
      <c r="D8" s="6"/>
      <c r="E8" s="283">
        <v>79.73</v>
      </c>
      <c r="F8" s="48">
        <v>91.92</v>
      </c>
      <c r="G8" s="72">
        <f t="shared" si="0"/>
        <v>7328.7816000000003</v>
      </c>
      <c r="H8" s="48"/>
      <c r="I8" s="48"/>
      <c r="J8" s="72">
        <f t="shared" si="1"/>
        <v>0</v>
      </c>
      <c r="K8" s="72">
        <f t="shared" si="2"/>
        <v>7328.7816000000003</v>
      </c>
      <c r="L8" s="72">
        <f t="shared" si="3"/>
        <v>7328.7816000000003</v>
      </c>
      <c r="M8" s="72">
        <f t="shared" si="4"/>
        <v>0</v>
      </c>
      <c r="N8" s="6"/>
    </row>
    <row r="9" spans="1:18">
      <c r="A9" s="26">
        <v>6</v>
      </c>
      <c r="B9" s="27">
        <v>45997</v>
      </c>
      <c r="C9" s="6"/>
      <c r="D9" s="6"/>
      <c r="E9" s="283"/>
      <c r="F9" s="48"/>
      <c r="G9" s="72">
        <f t="shared" si="0"/>
        <v>0</v>
      </c>
      <c r="H9" s="48"/>
      <c r="I9" s="48"/>
      <c r="J9" s="72">
        <f t="shared" si="1"/>
        <v>0</v>
      </c>
      <c r="K9" s="72">
        <f t="shared" si="2"/>
        <v>0</v>
      </c>
      <c r="L9" s="72">
        <f t="shared" si="3"/>
        <v>0</v>
      </c>
      <c r="M9" s="72">
        <f t="shared" si="4"/>
        <v>0</v>
      </c>
      <c r="N9" s="6"/>
      <c r="R9" s="48">
        <v>91.92</v>
      </c>
    </row>
    <row r="10" spans="1:18">
      <c r="A10" s="26">
        <v>7</v>
      </c>
      <c r="B10" s="27">
        <v>45998</v>
      </c>
      <c r="C10" s="6"/>
      <c r="D10" s="6"/>
      <c r="E10" s="283">
        <v>250</v>
      </c>
      <c r="F10" s="48">
        <v>91.92</v>
      </c>
      <c r="G10" s="72">
        <f t="shared" si="0"/>
        <v>22980</v>
      </c>
      <c r="H10" s="48">
        <v>13</v>
      </c>
      <c r="I10" s="48">
        <v>103.96</v>
      </c>
      <c r="J10" s="72">
        <f t="shared" si="1"/>
        <v>1351.48</v>
      </c>
      <c r="K10" s="72">
        <f t="shared" si="2"/>
        <v>24331.48</v>
      </c>
      <c r="L10" s="72">
        <f t="shared" si="3"/>
        <v>24331.48</v>
      </c>
      <c r="M10" s="72">
        <f t="shared" si="4"/>
        <v>0</v>
      </c>
      <c r="N10" s="6"/>
    </row>
    <row r="11" spans="1:18">
      <c r="A11" s="26">
        <v>8</v>
      </c>
      <c r="B11" s="27">
        <v>45999</v>
      </c>
      <c r="C11" s="6"/>
      <c r="D11" s="6"/>
      <c r="E11" s="283">
        <v>30</v>
      </c>
      <c r="F11" s="48">
        <v>91.92</v>
      </c>
      <c r="G11" s="72">
        <f t="shared" si="0"/>
        <v>2757.6</v>
      </c>
      <c r="H11" s="48"/>
      <c r="I11" s="48"/>
      <c r="J11" s="72">
        <f t="shared" si="1"/>
        <v>0</v>
      </c>
      <c r="K11" s="72">
        <f t="shared" si="2"/>
        <v>2757.6</v>
      </c>
      <c r="L11" s="72">
        <f t="shared" si="3"/>
        <v>2757.6</v>
      </c>
      <c r="M11" s="72">
        <f t="shared" si="4"/>
        <v>0</v>
      </c>
      <c r="N11" s="6"/>
      <c r="R11" s="5">
        <f>6.5/675.74</f>
        <v>9.6190842631781459E-3</v>
      </c>
    </row>
    <row r="12" spans="1:18">
      <c r="A12" s="26">
        <v>9</v>
      </c>
      <c r="B12" s="27">
        <v>46000</v>
      </c>
      <c r="C12" s="6"/>
      <c r="D12" s="6"/>
      <c r="E12" s="283">
        <v>130</v>
      </c>
      <c r="F12" s="48">
        <v>91.92</v>
      </c>
      <c r="G12" s="72">
        <f t="shared" si="0"/>
        <v>11949.6</v>
      </c>
      <c r="H12" s="48">
        <v>5</v>
      </c>
      <c r="I12" s="48">
        <v>103.96</v>
      </c>
      <c r="J12" s="72">
        <f t="shared" si="1"/>
        <v>519.79999999999995</v>
      </c>
      <c r="K12" s="72">
        <f t="shared" si="2"/>
        <v>12469.4</v>
      </c>
      <c r="L12" s="72">
        <f t="shared" si="3"/>
        <v>12469.4</v>
      </c>
      <c r="M12" s="72">
        <f t="shared" si="4"/>
        <v>0</v>
      </c>
      <c r="N12" s="6"/>
    </row>
    <row r="13" spans="1:18">
      <c r="A13" s="26">
        <v>10</v>
      </c>
      <c r="B13" s="27">
        <v>46001</v>
      </c>
      <c r="C13" s="6"/>
      <c r="D13" s="6"/>
      <c r="E13" s="283">
        <v>40</v>
      </c>
      <c r="F13" s="48">
        <v>91.92</v>
      </c>
      <c r="G13" s="72">
        <f t="shared" si="0"/>
        <v>3676.8</v>
      </c>
      <c r="H13" s="48">
        <v>9.56</v>
      </c>
      <c r="I13" s="48">
        <v>103.96</v>
      </c>
      <c r="J13" s="72">
        <f t="shared" si="1"/>
        <v>993.85760000000005</v>
      </c>
      <c r="K13" s="72">
        <f t="shared" si="2"/>
        <v>4670.6576000000005</v>
      </c>
      <c r="L13" s="72">
        <f t="shared" si="3"/>
        <v>4670.6576000000005</v>
      </c>
      <c r="M13" s="72">
        <f t="shared" si="4"/>
        <v>0</v>
      </c>
      <c r="N13" s="6"/>
      <c r="R13" s="5">
        <f>675.74/6.5</f>
        <v>103.96000000000001</v>
      </c>
    </row>
    <row r="14" spans="1:18">
      <c r="A14" s="26">
        <v>11</v>
      </c>
      <c r="B14" s="27">
        <v>46002</v>
      </c>
      <c r="C14" s="6"/>
      <c r="D14" s="6"/>
      <c r="E14" s="283"/>
      <c r="F14" s="48"/>
      <c r="G14" s="72">
        <f t="shared" si="0"/>
        <v>0</v>
      </c>
      <c r="H14" s="48"/>
      <c r="I14" s="48"/>
      <c r="J14" s="72">
        <f t="shared" si="1"/>
        <v>0</v>
      </c>
      <c r="K14" s="72">
        <f t="shared" si="2"/>
        <v>0</v>
      </c>
      <c r="L14" s="72">
        <f t="shared" si="3"/>
        <v>0</v>
      </c>
      <c r="M14" s="72">
        <f t="shared" si="4"/>
        <v>0</v>
      </c>
      <c r="N14" s="6"/>
    </row>
    <row r="15" spans="1:18">
      <c r="A15" s="26">
        <v>12</v>
      </c>
      <c r="B15" s="27">
        <v>46003</v>
      </c>
      <c r="C15" s="6"/>
      <c r="D15" s="6"/>
      <c r="E15" s="283"/>
      <c r="F15" s="48"/>
      <c r="G15" s="72">
        <f t="shared" si="0"/>
        <v>0</v>
      </c>
      <c r="H15" s="48"/>
      <c r="I15" s="48"/>
      <c r="J15" s="72">
        <f t="shared" si="1"/>
        <v>0</v>
      </c>
      <c r="K15" s="72">
        <f t="shared" si="2"/>
        <v>0</v>
      </c>
      <c r="L15" s="72">
        <f t="shared" si="3"/>
        <v>0</v>
      </c>
      <c r="M15" s="72">
        <f t="shared" si="4"/>
        <v>0</v>
      </c>
      <c r="N15" s="6"/>
    </row>
    <row r="16" spans="1:18">
      <c r="A16" s="26">
        <v>13</v>
      </c>
      <c r="B16" s="27">
        <v>46004</v>
      </c>
      <c r="C16" s="6"/>
      <c r="D16" s="6"/>
      <c r="E16" s="283">
        <v>80</v>
      </c>
      <c r="F16" s="48">
        <v>91.92</v>
      </c>
      <c r="G16" s="72">
        <f t="shared" si="0"/>
        <v>7353.6</v>
      </c>
      <c r="H16" s="48">
        <v>10</v>
      </c>
      <c r="I16" s="48">
        <v>103.96</v>
      </c>
      <c r="J16" s="72">
        <f t="shared" si="1"/>
        <v>1039.5999999999999</v>
      </c>
      <c r="K16" s="72">
        <f t="shared" si="2"/>
        <v>8393.2000000000007</v>
      </c>
      <c r="L16" s="72">
        <f t="shared" si="3"/>
        <v>8393.2000000000007</v>
      </c>
      <c r="M16" s="72">
        <f t="shared" si="4"/>
        <v>0</v>
      </c>
      <c r="N16" s="6"/>
    </row>
    <row r="17" spans="1:14">
      <c r="A17" s="26">
        <v>14</v>
      </c>
      <c r="B17" s="27">
        <v>46005</v>
      </c>
      <c r="C17" s="186"/>
      <c r="D17" s="6"/>
      <c r="E17" s="283">
        <v>80</v>
      </c>
      <c r="F17" s="48">
        <v>91.92</v>
      </c>
      <c r="G17" s="72">
        <f t="shared" si="0"/>
        <v>7353.6</v>
      </c>
      <c r="H17" s="48"/>
      <c r="I17" s="48"/>
      <c r="J17" s="72">
        <f t="shared" si="1"/>
        <v>0</v>
      </c>
      <c r="K17" s="72">
        <f t="shared" si="2"/>
        <v>7353.6</v>
      </c>
      <c r="L17" s="72">
        <f t="shared" si="3"/>
        <v>7353.6</v>
      </c>
      <c r="M17" s="72">
        <f t="shared" si="4"/>
        <v>0</v>
      </c>
      <c r="N17" s="6"/>
    </row>
    <row r="18" spans="1:14">
      <c r="A18" s="26">
        <v>15</v>
      </c>
      <c r="B18" s="27">
        <v>46006</v>
      </c>
      <c r="C18" s="186"/>
      <c r="D18" s="6"/>
      <c r="E18" s="283">
        <v>100</v>
      </c>
      <c r="F18" s="48">
        <v>91.92</v>
      </c>
      <c r="G18" s="72">
        <f t="shared" si="0"/>
        <v>9192</v>
      </c>
      <c r="H18" s="48">
        <v>5</v>
      </c>
      <c r="I18" s="48">
        <v>103.96</v>
      </c>
      <c r="J18" s="72">
        <f t="shared" si="1"/>
        <v>519.79999999999995</v>
      </c>
      <c r="K18" s="72">
        <f t="shared" si="2"/>
        <v>9711.7999999999993</v>
      </c>
      <c r="L18" s="72">
        <f t="shared" si="3"/>
        <v>9711.7999999999993</v>
      </c>
      <c r="M18" s="72">
        <f t="shared" si="4"/>
        <v>0</v>
      </c>
      <c r="N18" s="6"/>
    </row>
    <row r="19" spans="1:14">
      <c r="A19" s="26">
        <v>16</v>
      </c>
      <c r="B19" s="27">
        <v>46007</v>
      </c>
      <c r="C19" s="186"/>
      <c r="D19" s="6"/>
      <c r="E19" s="283">
        <v>100</v>
      </c>
      <c r="F19" s="48">
        <v>91.92</v>
      </c>
      <c r="G19" s="72">
        <f t="shared" si="0"/>
        <v>9192</v>
      </c>
      <c r="H19" s="48"/>
      <c r="I19" s="48"/>
      <c r="J19" s="72">
        <f t="shared" si="1"/>
        <v>0</v>
      </c>
      <c r="K19" s="72">
        <f t="shared" si="2"/>
        <v>9192</v>
      </c>
      <c r="L19" s="72">
        <f t="shared" si="3"/>
        <v>9192</v>
      </c>
      <c r="M19" s="72">
        <f t="shared" si="4"/>
        <v>0</v>
      </c>
      <c r="N19" s="6"/>
    </row>
    <row r="20" spans="1:14">
      <c r="A20" s="26">
        <v>17</v>
      </c>
      <c r="B20" s="27">
        <v>46008</v>
      </c>
      <c r="C20" s="186"/>
      <c r="D20" s="6"/>
      <c r="E20" s="283"/>
      <c r="F20" s="48"/>
      <c r="G20" s="72">
        <f t="shared" si="0"/>
        <v>0</v>
      </c>
      <c r="H20" s="48"/>
      <c r="I20" s="48"/>
      <c r="J20" s="72">
        <f t="shared" si="1"/>
        <v>0</v>
      </c>
      <c r="K20" s="72">
        <f t="shared" si="2"/>
        <v>0</v>
      </c>
      <c r="L20" s="72">
        <f t="shared" si="3"/>
        <v>0</v>
      </c>
      <c r="M20" s="72">
        <f t="shared" si="4"/>
        <v>0</v>
      </c>
      <c r="N20" s="6"/>
    </row>
    <row r="21" spans="1:14">
      <c r="A21" s="26">
        <v>18</v>
      </c>
      <c r="B21" s="27">
        <v>46009</v>
      </c>
      <c r="C21" s="186"/>
      <c r="D21" s="6"/>
      <c r="E21" s="283">
        <v>100</v>
      </c>
      <c r="F21" s="48">
        <v>91.92</v>
      </c>
      <c r="G21" s="72">
        <f t="shared" si="0"/>
        <v>9192</v>
      </c>
      <c r="H21" s="48">
        <v>6</v>
      </c>
      <c r="I21" s="48">
        <v>103.96</v>
      </c>
      <c r="J21" s="72">
        <f t="shared" si="1"/>
        <v>623.76</v>
      </c>
      <c r="K21" s="72">
        <f t="shared" si="2"/>
        <v>9815.76</v>
      </c>
      <c r="L21" s="72">
        <f t="shared" si="3"/>
        <v>9815.76</v>
      </c>
      <c r="M21" s="72">
        <f t="shared" si="4"/>
        <v>0</v>
      </c>
      <c r="N21" s="6"/>
    </row>
    <row r="22" spans="1:14">
      <c r="A22" s="26">
        <v>19</v>
      </c>
      <c r="B22" s="27">
        <v>46010</v>
      </c>
      <c r="C22" s="186"/>
      <c r="D22" s="6"/>
      <c r="E22" s="283">
        <v>80</v>
      </c>
      <c r="F22" s="48">
        <v>91.92</v>
      </c>
      <c r="G22" s="72">
        <f t="shared" si="0"/>
        <v>7353.6</v>
      </c>
      <c r="H22" s="48"/>
      <c r="I22" s="48"/>
      <c r="J22" s="72">
        <f t="shared" si="1"/>
        <v>0</v>
      </c>
      <c r="K22" s="72">
        <f t="shared" si="2"/>
        <v>7353.6</v>
      </c>
      <c r="L22" s="72">
        <f t="shared" si="3"/>
        <v>7353.6</v>
      </c>
      <c r="M22" s="72">
        <f t="shared" si="4"/>
        <v>0</v>
      </c>
      <c r="N22" s="6"/>
    </row>
    <row r="23" spans="1:14">
      <c r="A23" s="26">
        <v>20</v>
      </c>
      <c r="B23" s="27">
        <v>46011</v>
      </c>
      <c r="C23" s="186"/>
      <c r="D23" s="6"/>
      <c r="E23" s="283">
        <v>50</v>
      </c>
      <c r="F23" s="48">
        <v>91.92</v>
      </c>
      <c r="G23" s="72">
        <f t="shared" si="0"/>
        <v>4596</v>
      </c>
      <c r="H23" s="48">
        <v>7</v>
      </c>
      <c r="I23" s="48">
        <v>103.96</v>
      </c>
      <c r="J23" s="72">
        <f t="shared" si="1"/>
        <v>727.71999999999991</v>
      </c>
      <c r="K23" s="72">
        <f t="shared" si="2"/>
        <v>5323.72</v>
      </c>
      <c r="L23" s="72">
        <f t="shared" si="3"/>
        <v>5323.72</v>
      </c>
      <c r="M23" s="72">
        <f t="shared" si="4"/>
        <v>0</v>
      </c>
      <c r="N23" s="6"/>
    </row>
    <row r="24" spans="1:14">
      <c r="A24" s="26">
        <v>21</v>
      </c>
      <c r="B24" s="27">
        <v>46012</v>
      </c>
      <c r="C24" s="186"/>
      <c r="D24" s="6"/>
      <c r="E24" s="283"/>
      <c r="F24" s="48"/>
      <c r="G24" s="72">
        <f t="shared" si="0"/>
        <v>0</v>
      </c>
      <c r="H24" s="48"/>
      <c r="I24" s="48"/>
      <c r="J24" s="72">
        <f t="shared" si="1"/>
        <v>0</v>
      </c>
      <c r="K24" s="72">
        <f t="shared" si="2"/>
        <v>0</v>
      </c>
      <c r="L24" s="72">
        <f t="shared" si="3"/>
        <v>0</v>
      </c>
      <c r="M24" s="72">
        <f t="shared" si="4"/>
        <v>0</v>
      </c>
      <c r="N24" s="6"/>
    </row>
    <row r="25" spans="1:14">
      <c r="A25" s="26">
        <v>22</v>
      </c>
      <c r="B25" s="27">
        <v>46013</v>
      </c>
      <c r="C25" s="186"/>
      <c r="D25" s="6"/>
      <c r="E25" s="283"/>
      <c r="F25" s="48"/>
      <c r="G25" s="72">
        <f t="shared" si="0"/>
        <v>0</v>
      </c>
      <c r="H25" s="48"/>
      <c r="I25" s="48"/>
      <c r="J25" s="72">
        <f t="shared" si="1"/>
        <v>0</v>
      </c>
      <c r="K25" s="72">
        <f t="shared" si="2"/>
        <v>0</v>
      </c>
      <c r="L25" s="72">
        <f t="shared" si="3"/>
        <v>0</v>
      </c>
      <c r="M25" s="72">
        <f t="shared" si="4"/>
        <v>0</v>
      </c>
      <c r="N25" s="6"/>
    </row>
    <row r="26" spans="1:14">
      <c r="A26" s="26">
        <v>23</v>
      </c>
      <c r="B26" s="27">
        <v>46014</v>
      </c>
      <c r="C26" s="186"/>
      <c r="D26" s="6"/>
      <c r="E26" s="283"/>
      <c r="F26" s="48"/>
      <c r="G26" s="72">
        <f t="shared" ref="G26" si="5">E26*F26</f>
        <v>0</v>
      </c>
      <c r="H26" s="48">
        <v>5.3</v>
      </c>
      <c r="I26" s="48">
        <v>103.96</v>
      </c>
      <c r="J26" s="72">
        <f t="shared" ref="J26" si="6">H26*I26</f>
        <v>550.98799999999994</v>
      </c>
      <c r="K26" s="72">
        <f t="shared" si="2"/>
        <v>550.98799999999994</v>
      </c>
      <c r="L26" s="72">
        <f t="shared" si="3"/>
        <v>550.98799999999994</v>
      </c>
      <c r="M26" s="72">
        <f t="shared" si="4"/>
        <v>0</v>
      </c>
      <c r="N26" s="6"/>
    </row>
    <row r="27" spans="1:14">
      <c r="A27" s="26">
        <v>24</v>
      </c>
      <c r="B27" s="27">
        <v>46015</v>
      </c>
      <c r="C27" s="186"/>
      <c r="D27" s="6"/>
      <c r="E27" s="283">
        <v>190</v>
      </c>
      <c r="F27" s="48">
        <v>91.92</v>
      </c>
      <c r="G27" s="72">
        <f t="shared" si="0"/>
        <v>17464.8</v>
      </c>
      <c r="H27" s="48">
        <v>10</v>
      </c>
      <c r="I27" s="48">
        <v>103.96</v>
      </c>
      <c r="J27" s="72">
        <f t="shared" si="1"/>
        <v>1039.5999999999999</v>
      </c>
      <c r="K27" s="72">
        <f t="shared" si="2"/>
        <v>18504.399999999998</v>
      </c>
      <c r="L27" s="72">
        <f t="shared" si="3"/>
        <v>18504.399999999998</v>
      </c>
      <c r="M27" s="72">
        <f t="shared" si="4"/>
        <v>0</v>
      </c>
      <c r="N27" s="6"/>
    </row>
    <row r="28" spans="1:14">
      <c r="A28" s="26">
        <v>25</v>
      </c>
      <c r="B28" s="27">
        <v>46016</v>
      </c>
      <c r="C28" s="186"/>
      <c r="D28" s="6"/>
      <c r="E28" s="283"/>
      <c r="F28" s="48"/>
      <c r="G28" s="72">
        <f t="shared" si="0"/>
        <v>0</v>
      </c>
      <c r="H28" s="48"/>
      <c r="I28" s="48"/>
      <c r="J28" s="72">
        <f t="shared" si="1"/>
        <v>0</v>
      </c>
      <c r="K28" s="72">
        <f t="shared" si="2"/>
        <v>0</v>
      </c>
      <c r="L28" s="72">
        <f t="shared" si="3"/>
        <v>0</v>
      </c>
      <c r="M28" s="72">
        <f t="shared" si="4"/>
        <v>0</v>
      </c>
      <c r="N28" s="6"/>
    </row>
    <row r="29" spans="1:14">
      <c r="A29" s="26">
        <v>26</v>
      </c>
      <c r="B29" s="27">
        <v>46017</v>
      </c>
      <c r="C29" s="186"/>
      <c r="D29" s="6"/>
      <c r="E29" s="283">
        <v>81.260000000000005</v>
      </c>
      <c r="F29" s="48">
        <v>91.92</v>
      </c>
      <c r="G29" s="72">
        <f t="shared" si="0"/>
        <v>7469.4192000000003</v>
      </c>
      <c r="H29" s="48"/>
      <c r="I29" s="48"/>
      <c r="J29" s="72">
        <f t="shared" si="1"/>
        <v>0</v>
      </c>
      <c r="K29" s="72">
        <f t="shared" si="2"/>
        <v>7469.4192000000003</v>
      </c>
      <c r="L29" s="72">
        <f t="shared" si="3"/>
        <v>7469.4192000000003</v>
      </c>
      <c r="M29" s="72">
        <f t="shared" si="4"/>
        <v>0</v>
      </c>
      <c r="N29" s="6"/>
    </row>
    <row r="30" spans="1:14">
      <c r="A30" s="26">
        <v>27</v>
      </c>
      <c r="B30" s="27">
        <v>46018</v>
      </c>
      <c r="C30" s="186"/>
      <c r="D30" s="6"/>
      <c r="E30" s="283"/>
      <c r="F30" s="48"/>
      <c r="G30" s="72">
        <f t="shared" si="0"/>
        <v>0</v>
      </c>
      <c r="H30" s="48">
        <v>4.32</v>
      </c>
      <c r="I30" s="48">
        <v>103.96</v>
      </c>
      <c r="J30" s="72">
        <f t="shared" si="1"/>
        <v>449.10719999999998</v>
      </c>
      <c r="K30" s="72">
        <f t="shared" si="2"/>
        <v>449.10719999999998</v>
      </c>
      <c r="L30" s="72">
        <f t="shared" si="3"/>
        <v>449.10719999999998</v>
      </c>
      <c r="M30" s="72">
        <f t="shared" si="4"/>
        <v>0</v>
      </c>
      <c r="N30" s="6"/>
    </row>
    <row r="31" spans="1:14">
      <c r="A31" s="231">
        <v>28</v>
      </c>
      <c r="B31" s="27">
        <v>46019</v>
      </c>
      <c r="C31" s="186"/>
      <c r="D31" s="6"/>
      <c r="E31" s="283">
        <v>50</v>
      </c>
      <c r="F31" s="48">
        <v>91.92</v>
      </c>
      <c r="G31" s="72">
        <f t="shared" si="0"/>
        <v>4596</v>
      </c>
      <c r="H31" s="48">
        <v>9.6199999999999992</v>
      </c>
      <c r="I31" s="48">
        <v>103.96</v>
      </c>
      <c r="J31" s="72">
        <f t="shared" si="1"/>
        <v>1000.0951999999999</v>
      </c>
      <c r="K31" s="72">
        <f t="shared" si="2"/>
        <v>5596.0951999999997</v>
      </c>
      <c r="L31" s="72">
        <f t="shared" si="3"/>
        <v>5596.0951999999997</v>
      </c>
      <c r="M31" s="72">
        <f t="shared" ref="M31:M32" si="7">M30+K31-L31</f>
        <v>0</v>
      </c>
      <c r="N31" s="6"/>
    </row>
    <row r="32" spans="1:14">
      <c r="A32" s="26">
        <v>29</v>
      </c>
      <c r="B32" s="27">
        <v>46020</v>
      </c>
      <c r="C32" s="186"/>
      <c r="D32" s="6"/>
      <c r="E32" s="283">
        <v>110</v>
      </c>
      <c r="F32" s="48">
        <v>91.92</v>
      </c>
      <c r="G32" s="72">
        <f t="shared" si="0"/>
        <v>10111.200000000001</v>
      </c>
      <c r="H32" s="48">
        <v>16.850000000000001</v>
      </c>
      <c r="I32" s="48">
        <v>103.96</v>
      </c>
      <c r="J32" s="72">
        <f t="shared" si="1"/>
        <v>1751.7260000000001</v>
      </c>
      <c r="K32" s="72">
        <f t="shared" si="2"/>
        <v>11862.926000000001</v>
      </c>
      <c r="L32" s="72">
        <f t="shared" si="3"/>
        <v>11862.926000000001</v>
      </c>
      <c r="M32" s="72">
        <f t="shared" si="7"/>
        <v>0</v>
      </c>
      <c r="N32" s="6"/>
    </row>
    <row r="33" spans="1:14">
      <c r="A33" s="26">
        <v>30</v>
      </c>
      <c r="B33" s="27">
        <v>46021</v>
      </c>
      <c r="C33" s="186"/>
      <c r="D33" s="6"/>
      <c r="E33" s="283">
        <v>125</v>
      </c>
      <c r="F33" s="48">
        <v>91.92</v>
      </c>
      <c r="G33" s="72">
        <f t="shared" si="0"/>
        <v>11490</v>
      </c>
      <c r="H33" s="48"/>
      <c r="I33" s="48"/>
      <c r="J33" s="72">
        <f t="shared" si="1"/>
        <v>0</v>
      </c>
      <c r="K33" s="72">
        <f t="shared" si="2"/>
        <v>11490</v>
      </c>
      <c r="L33" s="72">
        <f t="shared" si="3"/>
        <v>11490</v>
      </c>
      <c r="M33" s="72">
        <f t="shared" ref="M33:M34" si="8">M32+K33-L33</f>
        <v>0</v>
      </c>
      <c r="N33" s="6"/>
    </row>
    <row r="34" spans="1:14">
      <c r="A34" s="26">
        <v>31</v>
      </c>
      <c r="B34" s="27">
        <v>46022</v>
      </c>
      <c r="C34" s="186"/>
      <c r="D34" s="6"/>
      <c r="E34" s="283">
        <v>47.28</v>
      </c>
      <c r="F34" s="48">
        <v>91.92</v>
      </c>
      <c r="G34" s="72">
        <f t="shared" ref="G34" si="9">E34*F34</f>
        <v>4345.9776000000002</v>
      </c>
      <c r="H34" s="48">
        <v>5.78</v>
      </c>
      <c r="I34" s="48">
        <v>103.96</v>
      </c>
      <c r="J34" s="72">
        <f t="shared" ref="J34" si="10">H34*I34</f>
        <v>600.88879999999995</v>
      </c>
      <c r="K34" s="72">
        <f t="shared" ref="K34" si="11">G34+J34</f>
        <v>4946.8663999999999</v>
      </c>
      <c r="L34" s="72">
        <f t="shared" ref="L34" si="12">+K34</f>
        <v>4946.8663999999999</v>
      </c>
      <c r="M34" s="72">
        <f t="shared" si="8"/>
        <v>0</v>
      </c>
      <c r="N34" s="6"/>
    </row>
    <row r="35" spans="1:14">
      <c r="A35" s="46"/>
      <c r="B35" s="46"/>
      <c r="C35" s="46"/>
      <c r="D35" s="46"/>
      <c r="E35" s="46">
        <f>SUM(E4:E34)</f>
        <v>2073.27</v>
      </c>
      <c r="F35" s="46"/>
      <c r="G35" s="46">
        <f>SUM(G4:G34)</f>
        <v>190574.97840000005</v>
      </c>
      <c r="H35" s="46">
        <f>SUM(H4:H34)</f>
        <v>121.24000000000001</v>
      </c>
      <c r="I35" s="46"/>
      <c r="J35" s="46">
        <f>SUM(J4:J34)</f>
        <v>12604.110400000001</v>
      </c>
      <c r="K35" s="46">
        <f>SUM(K4:K34)</f>
        <v>203179.08880000003</v>
      </c>
      <c r="L35" s="46">
        <f>SUM(L4:L34)</f>
        <v>203179.08880000003</v>
      </c>
      <c r="M35" s="46"/>
      <c r="N35" s="46"/>
    </row>
  </sheetData>
  <mergeCells count="2">
    <mergeCell ref="A1:N1"/>
    <mergeCell ref="A3:J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Q54"/>
  <sheetViews>
    <sheetView workbookViewId="0">
      <pane ySplit="2" topLeftCell="A24" activePane="bottomLeft" state="frozen"/>
      <selection pane="bottomLeft" activeCell="E33" sqref="E33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2" bestFit="1" customWidth="1"/>
    <col min="6" max="6" width="9.5703125" style="22" bestFit="1" customWidth="1"/>
    <col min="7" max="7" width="10.42578125" style="22" bestFit="1" customWidth="1"/>
    <col min="8" max="8" width="10.7109375" style="22" bestFit="1" customWidth="1"/>
    <col min="9" max="9" width="7.140625" style="22" bestFit="1" customWidth="1"/>
    <col min="10" max="10" width="8.7109375" style="22" bestFit="1" customWidth="1"/>
    <col min="11" max="11" width="13.5703125" style="22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4" ht="15.75">
      <c r="A1" s="490" t="s">
        <v>64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</row>
    <row r="2" spans="1:14" ht="30">
      <c r="A2" s="70" t="s">
        <v>122</v>
      </c>
      <c r="B2" s="89" t="s">
        <v>123</v>
      </c>
      <c r="C2" s="89" t="s">
        <v>124</v>
      </c>
      <c r="D2" s="89" t="s">
        <v>125</v>
      </c>
      <c r="E2" s="96" t="s">
        <v>126</v>
      </c>
      <c r="F2" s="96" t="s">
        <v>127</v>
      </c>
      <c r="G2" s="96" t="s">
        <v>128</v>
      </c>
      <c r="H2" s="96" t="s">
        <v>129</v>
      </c>
      <c r="I2" s="96" t="s">
        <v>127</v>
      </c>
      <c r="J2" s="96" t="s">
        <v>128</v>
      </c>
      <c r="K2" s="97" t="s">
        <v>130</v>
      </c>
      <c r="L2" s="91" t="s">
        <v>131</v>
      </c>
      <c r="M2" s="91" t="s">
        <v>138</v>
      </c>
      <c r="N2" s="132" t="s">
        <v>133</v>
      </c>
    </row>
    <row r="3" spans="1:14">
      <c r="A3" s="468" t="s">
        <v>134</v>
      </c>
      <c r="B3" s="468"/>
      <c r="C3" s="468"/>
      <c r="D3" s="468"/>
      <c r="E3" s="468"/>
      <c r="F3" s="468"/>
      <c r="G3" s="468"/>
      <c r="H3" s="468"/>
      <c r="I3" s="468"/>
      <c r="J3" s="474"/>
      <c r="K3" s="214">
        <v>1148460.7971999999</v>
      </c>
      <c r="M3" s="142">
        <f>+K3</f>
        <v>1148460.7971999999</v>
      </c>
      <c r="N3" s="100"/>
    </row>
    <row r="4" spans="1:14">
      <c r="A4" s="26">
        <v>1</v>
      </c>
      <c r="B4" s="27" t="s">
        <v>167</v>
      </c>
      <c r="C4" s="17"/>
      <c r="D4" s="17"/>
      <c r="E4" s="42">
        <v>400</v>
      </c>
      <c r="F4" s="42">
        <v>91.71</v>
      </c>
      <c r="G4" s="42">
        <f>E4*F4</f>
        <v>36684</v>
      </c>
      <c r="H4" s="42"/>
      <c r="I4" s="42"/>
      <c r="J4" s="42">
        <f>H4*I4</f>
        <v>0</v>
      </c>
      <c r="K4" s="42">
        <f>G4+J4</f>
        <v>36684</v>
      </c>
      <c r="L4" s="42"/>
      <c r="M4" s="143">
        <f>M3+K4-L4</f>
        <v>1185144.7971999999</v>
      </c>
      <c r="N4" s="17"/>
    </row>
    <row r="5" spans="1:14">
      <c r="A5" s="26">
        <v>2</v>
      </c>
      <c r="B5" s="27" t="s">
        <v>168</v>
      </c>
      <c r="C5" s="17"/>
      <c r="D5" s="17"/>
      <c r="E5" s="42"/>
      <c r="F5" s="42"/>
      <c r="G5" s="42">
        <f t="shared" ref="G5:G52" si="0">E5*F5</f>
        <v>0</v>
      </c>
      <c r="H5" s="42">
        <v>15</v>
      </c>
      <c r="I5" s="42">
        <v>105.19</v>
      </c>
      <c r="J5" s="42">
        <f t="shared" ref="J5:J52" si="1">H5*I5</f>
        <v>1577.85</v>
      </c>
      <c r="K5" s="42">
        <f t="shared" ref="K5:K52" si="2">G5+J5</f>
        <v>1577.85</v>
      </c>
      <c r="L5" s="42"/>
      <c r="M5" s="143">
        <f t="shared" ref="M5:M53" si="3">M4+K5-L5</f>
        <v>1186722.6472</v>
      </c>
      <c r="N5" s="17"/>
    </row>
    <row r="6" spans="1:14">
      <c r="A6" s="26">
        <v>3</v>
      </c>
      <c r="B6" s="27" t="s">
        <v>169</v>
      </c>
      <c r="C6" s="17"/>
      <c r="D6" s="17"/>
      <c r="E6" s="42">
        <v>600</v>
      </c>
      <c r="F6" s="42">
        <v>91.71</v>
      </c>
      <c r="G6" s="42">
        <f t="shared" si="0"/>
        <v>55025.999999999993</v>
      </c>
      <c r="H6" s="42">
        <v>15</v>
      </c>
      <c r="I6" s="42">
        <v>105.19</v>
      </c>
      <c r="J6" s="42">
        <f t="shared" si="1"/>
        <v>1577.85</v>
      </c>
      <c r="K6" s="42">
        <f t="shared" si="2"/>
        <v>56603.849999999991</v>
      </c>
      <c r="L6" s="42"/>
      <c r="M6" s="143">
        <f t="shared" si="3"/>
        <v>1243326.4972000001</v>
      </c>
      <c r="N6" s="17"/>
    </row>
    <row r="7" spans="1:14">
      <c r="A7" s="26">
        <v>4</v>
      </c>
      <c r="B7" s="27" t="s">
        <v>170</v>
      </c>
      <c r="C7" s="17"/>
      <c r="D7" s="17"/>
      <c r="E7" s="42"/>
      <c r="F7" s="42"/>
      <c r="G7" s="42"/>
      <c r="H7" s="42">
        <v>15</v>
      </c>
      <c r="I7" s="42">
        <v>105.19</v>
      </c>
      <c r="J7" s="42">
        <f t="shared" si="1"/>
        <v>1577.85</v>
      </c>
      <c r="K7" s="42">
        <f t="shared" si="2"/>
        <v>1577.85</v>
      </c>
      <c r="L7" s="42"/>
      <c r="M7" s="143">
        <f t="shared" si="3"/>
        <v>1244904.3472000002</v>
      </c>
      <c r="N7" s="17"/>
    </row>
    <row r="8" spans="1:14">
      <c r="A8" s="26">
        <v>5</v>
      </c>
      <c r="B8" s="27" t="s">
        <v>171</v>
      </c>
      <c r="C8" s="17"/>
      <c r="D8" s="17"/>
      <c r="E8" s="42">
        <v>400</v>
      </c>
      <c r="F8" s="42">
        <v>91.61</v>
      </c>
      <c r="G8" s="42">
        <f t="shared" si="0"/>
        <v>36644</v>
      </c>
      <c r="H8" s="42">
        <v>5</v>
      </c>
      <c r="I8" s="42">
        <v>105.19</v>
      </c>
      <c r="J8" s="42">
        <f t="shared" si="1"/>
        <v>525.95000000000005</v>
      </c>
      <c r="K8" s="42">
        <f t="shared" si="2"/>
        <v>37169.949999999997</v>
      </c>
      <c r="L8" s="42"/>
      <c r="M8" s="143">
        <f t="shared" si="3"/>
        <v>1282074.2972000001</v>
      </c>
      <c r="N8" s="17"/>
    </row>
    <row r="9" spans="1:14">
      <c r="A9" s="26">
        <v>6</v>
      </c>
      <c r="B9" s="27" t="s">
        <v>172</v>
      </c>
      <c r="C9" s="17"/>
      <c r="D9" s="17"/>
      <c r="E9" s="42"/>
      <c r="F9" s="42"/>
      <c r="G9" s="42">
        <f t="shared" si="0"/>
        <v>0</v>
      </c>
      <c r="H9" s="42"/>
      <c r="I9" s="42"/>
      <c r="J9" s="42">
        <f t="shared" si="1"/>
        <v>0</v>
      </c>
      <c r="K9" s="42">
        <f t="shared" si="2"/>
        <v>0</v>
      </c>
      <c r="L9" s="42"/>
      <c r="M9" s="143">
        <f t="shared" si="3"/>
        <v>1282074.2972000001</v>
      </c>
      <c r="N9" s="17"/>
    </row>
    <row r="10" spans="1:14">
      <c r="A10" s="26">
        <v>7</v>
      </c>
      <c r="B10" s="27" t="s">
        <v>173</v>
      </c>
      <c r="C10" s="17"/>
      <c r="D10" s="17"/>
      <c r="E10" s="42">
        <v>500</v>
      </c>
      <c r="F10" s="42">
        <v>91.71</v>
      </c>
      <c r="G10" s="42">
        <f t="shared" si="0"/>
        <v>45855</v>
      </c>
      <c r="H10" s="42"/>
      <c r="I10" s="42"/>
      <c r="J10" s="42">
        <f t="shared" si="1"/>
        <v>0</v>
      </c>
      <c r="K10" s="42">
        <f t="shared" si="2"/>
        <v>45855</v>
      </c>
      <c r="L10" s="42"/>
      <c r="M10" s="143">
        <f t="shared" si="3"/>
        <v>1327929.2972000001</v>
      </c>
      <c r="N10" s="17"/>
    </row>
    <row r="11" spans="1:14">
      <c r="A11" s="26">
        <v>8</v>
      </c>
      <c r="B11" s="27" t="s">
        <v>174</v>
      </c>
      <c r="C11" s="17"/>
      <c r="D11" s="17"/>
      <c r="E11" s="42"/>
      <c r="F11" s="42"/>
      <c r="G11" s="42">
        <f t="shared" si="0"/>
        <v>0</v>
      </c>
      <c r="H11" s="42">
        <v>25</v>
      </c>
      <c r="I11" s="42">
        <v>105.19</v>
      </c>
      <c r="J11" s="42">
        <f t="shared" si="1"/>
        <v>2629.75</v>
      </c>
      <c r="K11" s="42">
        <f t="shared" si="2"/>
        <v>2629.75</v>
      </c>
      <c r="L11" s="42"/>
      <c r="M11" s="143">
        <f t="shared" si="3"/>
        <v>1330559.0472000001</v>
      </c>
      <c r="N11" s="17"/>
    </row>
    <row r="12" spans="1:14">
      <c r="A12" s="26">
        <v>9</v>
      </c>
      <c r="B12" s="27" t="s">
        <v>175</v>
      </c>
      <c r="C12" s="17"/>
      <c r="D12" s="17"/>
      <c r="E12" s="42">
        <v>700</v>
      </c>
      <c r="F12" s="426">
        <v>91.71</v>
      </c>
      <c r="G12" s="42">
        <f t="shared" si="0"/>
        <v>64196.999999999993</v>
      </c>
      <c r="H12" s="42">
        <v>12</v>
      </c>
      <c r="I12" s="42">
        <v>105.19</v>
      </c>
      <c r="J12" s="42">
        <f t="shared" si="1"/>
        <v>1262.28</v>
      </c>
      <c r="K12" s="42">
        <f t="shared" si="2"/>
        <v>65459.279999999992</v>
      </c>
      <c r="L12" s="42"/>
      <c r="M12" s="143">
        <f t="shared" si="3"/>
        <v>1396018.3272000002</v>
      </c>
      <c r="N12" s="17"/>
    </row>
    <row r="13" spans="1:14">
      <c r="A13" s="26">
        <v>10</v>
      </c>
      <c r="B13" s="27" t="s">
        <v>176</v>
      </c>
      <c r="C13" s="17"/>
      <c r="D13" s="17"/>
      <c r="E13" s="42">
        <v>500</v>
      </c>
      <c r="F13" s="426">
        <v>91.71</v>
      </c>
      <c r="G13" s="42">
        <f t="shared" si="0"/>
        <v>45855</v>
      </c>
      <c r="H13" s="42"/>
      <c r="I13" s="42"/>
      <c r="J13" s="42">
        <f t="shared" si="1"/>
        <v>0</v>
      </c>
      <c r="K13" s="42">
        <f t="shared" si="2"/>
        <v>45855</v>
      </c>
      <c r="L13" s="42"/>
      <c r="M13" s="143">
        <f t="shared" si="3"/>
        <v>1441873.3272000002</v>
      </c>
      <c r="N13" s="48"/>
    </row>
    <row r="14" spans="1:14">
      <c r="A14" s="26">
        <v>11</v>
      </c>
      <c r="B14" s="27" t="s">
        <v>177</v>
      </c>
      <c r="C14" s="17"/>
      <c r="D14" s="17"/>
      <c r="E14" s="42">
        <v>500</v>
      </c>
      <c r="F14" s="426">
        <v>91.71</v>
      </c>
      <c r="G14" s="42">
        <f t="shared" si="0"/>
        <v>45855</v>
      </c>
      <c r="H14" s="42">
        <v>40</v>
      </c>
      <c r="I14" s="42">
        <v>105.19</v>
      </c>
      <c r="J14" s="42">
        <f t="shared" si="1"/>
        <v>4207.6000000000004</v>
      </c>
      <c r="K14" s="42">
        <f t="shared" si="2"/>
        <v>50062.6</v>
      </c>
      <c r="L14" s="42"/>
      <c r="M14" s="143">
        <f t="shared" si="3"/>
        <v>1491935.9272000003</v>
      </c>
      <c r="N14" s="48"/>
    </row>
    <row r="15" spans="1:14">
      <c r="A15" s="26">
        <v>12</v>
      </c>
      <c r="B15" s="27" t="s">
        <v>120</v>
      </c>
      <c r="C15" s="17"/>
      <c r="D15" s="17"/>
      <c r="E15" s="42"/>
      <c r="F15" s="42"/>
      <c r="G15" s="42">
        <f t="shared" si="0"/>
        <v>0</v>
      </c>
      <c r="H15" s="42"/>
      <c r="I15" s="42"/>
      <c r="J15" s="42"/>
      <c r="K15" s="42">
        <f t="shared" si="2"/>
        <v>0</v>
      </c>
      <c r="L15" s="42"/>
      <c r="M15" s="143">
        <f t="shared" si="3"/>
        <v>1491935.9272000003</v>
      </c>
      <c r="N15" s="48"/>
    </row>
    <row r="16" spans="1:14">
      <c r="A16" s="26">
        <v>13</v>
      </c>
      <c r="B16" s="27" t="s">
        <v>110</v>
      </c>
      <c r="C16" s="17"/>
      <c r="D16" s="17"/>
      <c r="E16" s="42">
        <v>600</v>
      </c>
      <c r="F16" s="42">
        <v>91.71</v>
      </c>
      <c r="G16" s="42">
        <f t="shared" si="0"/>
        <v>55025.999999999993</v>
      </c>
      <c r="H16" s="42"/>
      <c r="I16" s="42"/>
      <c r="J16" s="42">
        <f t="shared" si="1"/>
        <v>0</v>
      </c>
      <c r="K16" s="42">
        <f t="shared" si="2"/>
        <v>55025.999999999993</v>
      </c>
      <c r="L16" s="42"/>
      <c r="M16" s="143">
        <f t="shared" si="3"/>
        <v>1546961.9272000003</v>
      </c>
      <c r="N16" s="48"/>
    </row>
    <row r="17" spans="1:16">
      <c r="A17" s="26">
        <v>14</v>
      </c>
      <c r="B17" s="27" t="s">
        <v>178</v>
      </c>
      <c r="C17" s="17"/>
      <c r="D17" s="17"/>
      <c r="E17" s="42">
        <v>2000</v>
      </c>
      <c r="F17" s="42">
        <v>91.71</v>
      </c>
      <c r="G17" s="42">
        <f t="shared" si="0"/>
        <v>183420</v>
      </c>
      <c r="H17" s="42"/>
      <c r="I17" s="42"/>
      <c r="J17" s="42"/>
      <c r="K17" s="42">
        <f t="shared" si="2"/>
        <v>183420</v>
      </c>
      <c r="L17" s="42"/>
      <c r="M17" s="143">
        <f t="shared" si="3"/>
        <v>1730381.9272000003</v>
      </c>
      <c r="N17" s="48"/>
    </row>
    <row r="18" spans="1:16">
      <c r="A18" s="26">
        <v>15</v>
      </c>
      <c r="B18" s="27" t="s">
        <v>107</v>
      </c>
      <c r="C18" s="17"/>
      <c r="D18" s="17"/>
      <c r="E18" s="42">
        <v>400</v>
      </c>
      <c r="F18" s="42">
        <v>91.71</v>
      </c>
      <c r="G18" s="42">
        <f t="shared" si="0"/>
        <v>36684</v>
      </c>
      <c r="H18" s="42"/>
      <c r="I18" s="42"/>
      <c r="J18" s="42">
        <f t="shared" si="1"/>
        <v>0</v>
      </c>
      <c r="K18" s="42">
        <f t="shared" si="2"/>
        <v>36684</v>
      </c>
      <c r="L18" s="42">
        <v>1700000</v>
      </c>
      <c r="M18" s="143">
        <f t="shared" si="3"/>
        <v>67065.927200000267</v>
      </c>
      <c r="N18" s="48"/>
    </row>
    <row r="19" spans="1:16">
      <c r="A19" s="26">
        <v>16</v>
      </c>
      <c r="B19" s="27" t="s">
        <v>111</v>
      </c>
      <c r="C19" s="17"/>
      <c r="D19" s="17"/>
      <c r="E19" s="42">
        <v>400</v>
      </c>
      <c r="F19" s="42">
        <v>91.71</v>
      </c>
      <c r="G19" s="42">
        <f t="shared" si="0"/>
        <v>36684</v>
      </c>
      <c r="H19" s="42"/>
      <c r="I19" s="42"/>
      <c r="J19" s="42">
        <f t="shared" si="1"/>
        <v>0</v>
      </c>
      <c r="K19" s="42">
        <f t="shared" si="2"/>
        <v>36684</v>
      </c>
      <c r="L19" s="42"/>
      <c r="M19" s="143">
        <f t="shared" si="3"/>
        <v>103749.92720000027</v>
      </c>
      <c r="N19" s="48"/>
      <c r="P19" s="22"/>
    </row>
    <row r="20" spans="1:16">
      <c r="A20" s="26">
        <v>17</v>
      </c>
      <c r="B20" s="27" t="s">
        <v>179</v>
      </c>
      <c r="C20" s="17"/>
      <c r="D20" s="17"/>
      <c r="E20" s="42"/>
      <c r="F20" s="42"/>
      <c r="G20" s="42">
        <f t="shared" si="0"/>
        <v>0</v>
      </c>
      <c r="H20" s="42">
        <v>35</v>
      </c>
      <c r="I20" s="42">
        <v>105.19</v>
      </c>
      <c r="J20" s="42">
        <f t="shared" si="1"/>
        <v>3681.65</v>
      </c>
      <c r="K20" s="42">
        <f t="shared" si="2"/>
        <v>3681.65</v>
      </c>
      <c r="L20" s="42"/>
      <c r="M20" s="143">
        <f t="shared" si="3"/>
        <v>107431.57720000026</v>
      </c>
      <c r="N20" s="48"/>
      <c r="P20" s="22"/>
    </row>
    <row r="21" spans="1:16">
      <c r="A21" s="26">
        <v>18</v>
      </c>
      <c r="B21" s="27" t="s">
        <v>180</v>
      </c>
      <c r="C21" s="17"/>
      <c r="D21" s="17"/>
      <c r="E21" s="42">
        <v>500</v>
      </c>
      <c r="F21" s="42">
        <v>91.71</v>
      </c>
      <c r="G21" s="42">
        <f t="shared" si="0"/>
        <v>45855</v>
      </c>
      <c r="H21" s="42"/>
      <c r="I21" s="42"/>
      <c r="J21" s="42"/>
      <c r="K21" s="42">
        <f t="shared" si="2"/>
        <v>45855</v>
      </c>
      <c r="L21" s="42"/>
      <c r="M21" s="143">
        <f t="shared" si="3"/>
        <v>153286.57720000026</v>
      </c>
      <c r="N21" s="48"/>
      <c r="P21" s="22"/>
    </row>
    <row r="22" spans="1:16">
      <c r="A22" s="26">
        <v>19</v>
      </c>
      <c r="B22" s="27" t="s">
        <v>181</v>
      </c>
      <c r="C22" s="17"/>
      <c r="D22" s="17"/>
      <c r="E22" s="42">
        <v>700</v>
      </c>
      <c r="F22" s="42">
        <v>91.71</v>
      </c>
      <c r="G22" s="42">
        <f t="shared" si="0"/>
        <v>64196.999999999993</v>
      </c>
      <c r="H22" s="42"/>
      <c r="I22" s="42"/>
      <c r="J22" s="42"/>
      <c r="K22" s="42">
        <f t="shared" si="2"/>
        <v>64196.999999999993</v>
      </c>
      <c r="L22" s="42"/>
      <c r="M22" s="143">
        <f t="shared" si="3"/>
        <v>217483.57720000026</v>
      </c>
      <c r="N22" s="48"/>
      <c r="P22" s="22"/>
    </row>
    <row r="23" spans="1:16">
      <c r="A23" s="26">
        <v>20</v>
      </c>
      <c r="B23" s="27" t="s">
        <v>182</v>
      </c>
      <c r="C23" s="17"/>
      <c r="D23" s="17"/>
      <c r="E23" s="42"/>
      <c r="F23" s="42"/>
      <c r="G23" s="42">
        <f t="shared" si="0"/>
        <v>0</v>
      </c>
      <c r="H23" s="42"/>
      <c r="I23" s="42"/>
      <c r="J23" s="42">
        <f t="shared" si="1"/>
        <v>0</v>
      </c>
      <c r="K23" s="42">
        <f t="shared" si="2"/>
        <v>0</v>
      </c>
      <c r="L23" s="42"/>
      <c r="M23" s="143">
        <f t="shared" si="3"/>
        <v>217483.57720000026</v>
      </c>
      <c r="N23" s="48"/>
      <c r="P23" s="22"/>
    </row>
    <row r="24" spans="1:16">
      <c r="A24" s="26">
        <v>21</v>
      </c>
      <c r="B24" s="27" t="s">
        <v>183</v>
      </c>
      <c r="C24" s="17"/>
      <c r="D24" s="17"/>
      <c r="E24" s="42">
        <v>500</v>
      </c>
      <c r="F24" s="42">
        <v>91.71</v>
      </c>
      <c r="G24" s="42">
        <f t="shared" si="0"/>
        <v>45855</v>
      </c>
      <c r="H24" s="42"/>
      <c r="I24" s="42"/>
      <c r="J24" s="42">
        <f t="shared" si="1"/>
        <v>0</v>
      </c>
      <c r="K24" s="42">
        <f t="shared" si="2"/>
        <v>45855</v>
      </c>
      <c r="L24" s="42"/>
      <c r="M24" s="143">
        <f t="shared" si="3"/>
        <v>263338.57720000029</v>
      </c>
      <c r="N24" s="48"/>
      <c r="P24" s="22"/>
    </row>
    <row r="25" spans="1:16">
      <c r="A25" s="26">
        <v>22</v>
      </c>
      <c r="B25" s="27" t="s">
        <v>184</v>
      </c>
      <c r="C25" s="17"/>
      <c r="D25" s="17"/>
      <c r="E25" s="42">
        <v>33.130000000000003</v>
      </c>
      <c r="F25" s="42">
        <v>90.56</v>
      </c>
      <c r="G25" s="42">
        <f t="shared" si="0"/>
        <v>3000.2528000000002</v>
      </c>
      <c r="H25" s="42"/>
      <c r="I25" s="42"/>
      <c r="J25" s="42">
        <f t="shared" si="1"/>
        <v>0</v>
      </c>
      <c r="K25" s="42">
        <f t="shared" si="2"/>
        <v>3000.2528000000002</v>
      </c>
      <c r="L25" s="42">
        <v>3000.25</v>
      </c>
      <c r="M25" s="143">
        <f t="shared" si="3"/>
        <v>263338.58000000031</v>
      </c>
      <c r="N25" s="48"/>
      <c r="P25" s="22"/>
    </row>
    <row r="26" spans="1:16">
      <c r="A26" s="26">
        <v>23</v>
      </c>
      <c r="B26" s="27" t="s">
        <v>185</v>
      </c>
      <c r="C26" s="17"/>
      <c r="D26" s="17"/>
      <c r="E26" s="42">
        <v>500</v>
      </c>
      <c r="F26" s="42">
        <v>91.71</v>
      </c>
      <c r="G26" s="42">
        <f t="shared" si="0"/>
        <v>45855</v>
      </c>
      <c r="H26" s="42">
        <v>30</v>
      </c>
      <c r="I26" s="42">
        <v>105.19</v>
      </c>
      <c r="J26" s="42">
        <f t="shared" si="1"/>
        <v>3155.7</v>
      </c>
      <c r="K26" s="42">
        <f t="shared" si="2"/>
        <v>49010.7</v>
      </c>
      <c r="L26" s="42"/>
      <c r="M26" s="143">
        <f t="shared" si="3"/>
        <v>312349.28000000032</v>
      </c>
      <c r="N26" s="48"/>
      <c r="P26" s="22"/>
    </row>
    <row r="27" spans="1:16">
      <c r="A27" s="26">
        <v>24</v>
      </c>
      <c r="B27" s="27" t="s">
        <v>121</v>
      </c>
      <c r="C27" s="17"/>
      <c r="D27" s="17"/>
      <c r="E27" s="42">
        <v>500</v>
      </c>
      <c r="F27" s="42">
        <v>91.71</v>
      </c>
      <c r="G27" s="42">
        <f t="shared" si="0"/>
        <v>45855</v>
      </c>
      <c r="H27" s="42"/>
      <c r="I27" s="42"/>
      <c r="J27" s="42">
        <f t="shared" si="1"/>
        <v>0</v>
      </c>
      <c r="K27" s="42">
        <f t="shared" si="2"/>
        <v>45855</v>
      </c>
      <c r="L27" s="42"/>
      <c r="M27" s="143">
        <f t="shared" si="3"/>
        <v>358204.28000000032</v>
      </c>
      <c r="N27" s="48"/>
      <c r="P27" s="22"/>
    </row>
    <row r="28" spans="1:16">
      <c r="A28" s="26">
        <v>25</v>
      </c>
      <c r="B28" s="27" t="s">
        <v>186</v>
      </c>
      <c r="C28" s="17"/>
      <c r="D28" s="17"/>
      <c r="E28" s="42">
        <v>500</v>
      </c>
      <c r="F28" s="42">
        <v>91.71</v>
      </c>
      <c r="G28" s="42">
        <f t="shared" si="0"/>
        <v>45855</v>
      </c>
      <c r="H28" s="42"/>
      <c r="I28" s="42"/>
      <c r="J28" s="42">
        <f t="shared" si="1"/>
        <v>0</v>
      </c>
      <c r="K28" s="42">
        <f t="shared" si="2"/>
        <v>45855</v>
      </c>
      <c r="L28" s="42"/>
      <c r="M28" s="143">
        <f t="shared" si="3"/>
        <v>404059.28000000032</v>
      </c>
      <c r="N28" s="48"/>
    </row>
    <row r="29" spans="1:16">
      <c r="A29" s="26">
        <v>26</v>
      </c>
      <c r="B29" s="27" t="s">
        <v>114</v>
      </c>
      <c r="C29" s="17"/>
      <c r="D29" s="17"/>
      <c r="E29" s="42">
        <v>500</v>
      </c>
      <c r="F29" s="42">
        <v>91.71</v>
      </c>
      <c r="G29" s="42">
        <f t="shared" si="0"/>
        <v>45855</v>
      </c>
      <c r="H29" s="42">
        <v>30</v>
      </c>
      <c r="I29" s="42">
        <v>105.19</v>
      </c>
      <c r="J29" s="42">
        <f t="shared" si="1"/>
        <v>3155.7</v>
      </c>
      <c r="K29" s="42">
        <f t="shared" si="2"/>
        <v>49010.7</v>
      </c>
      <c r="L29" s="42"/>
      <c r="M29" s="143">
        <f t="shared" si="3"/>
        <v>453069.98000000033</v>
      </c>
      <c r="N29" s="48"/>
    </row>
    <row r="30" spans="1:16">
      <c r="A30" s="26">
        <v>27</v>
      </c>
      <c r="B30" s="27" t="s">
        <v>187</v>
      </c>
      <c r="C30" s="17"/>
      <c r="D30" s="17"/>
      <c r="E30" s="42">
        <v>500</v>
      </c>
      <c r="F30" s="42">
        <v>91.71</v>
      </c>
      <c r="G30" s="42">
        <f t="shared" si="0"/>
        <v>45855</v>
      </c>
      <c r="H30" s="42"/>
      <c r="I30" s="42"/>
      <c r="J30" s="42">
        <f t="shared" si="1"/>
        <v>0</v>
      </c>
      <c r="K30" s="42">
        <f t="shared" si="2"/>
        <v>45855</v>
      </c>
      <c r="L30" s="42"/>
      <c r="M30" s="143">
        <f t="shared" si="3"/>
        <v>498924.98000000033</v>
      </c>
      <c r="N30" s="48"/>
    </row>
    <row r="31" spans="1:16">
      <c r="A31" s="26">
        <v>28</v>
      </c>
      <c r="B31" s="27" t="s">
        <v>188</v>
      </c>
      <c r="C31" s="17"/>
      <c r="D31" s="17"/>
      <c r="E31" s="42">
        <v>38.65</v>
      </c>
      <c r="F31" s="42">
        <v>90.56</v>
      </c>
      <c r="G31" s="42">
        <f t="shared" si="0"/>
        <v>3500.1439999999998</v>
      </c>
      <c r="H31" s="42"/>
      <c r="I31" s="42"/>
      <c r="J31" s="42">
        <f t="shared" si="1"/>
        <v>0</v>
      </c>
      <c r="K31" s="42">
        <f t="shared" si="2"/>
        <v>3500.1439999999998</v>
      </c>
      <c r="L31" s="42">
        <v>3500.14</v>
      </c>
      <c r="M31" s="143">
        <f t="shared" si="3"/>
        <v>498924.98400000029</v>
      </c>
      <c r="N31" s="48"/>
    </row>
    <row r="32" spans="1:16">
      <c r="A32" s="26">
        <v>29</v>
      </c>
      <c r="B32" s="27" t="s">
        <v>116</v>
      </c>
      <c r="C32" s="17"/>
      <c r="D32" s="17"/>
      <c r="E32" s="42">
        <v>2500</v>
      </c>
      <c r="F32" s="42">
        <v>91.71</v>
      </c>
      <c r="G32" s="42">
        <f t="shared" si="0"/>
        <v>229274.99999999997</v>
      </c>
      <c r="H32" s="42">
        <v>20</v>
      </c>
      <c r="I32" s="42">
        <v>105.19</v>
      </c>
      <c r="J32" s="42">
        <f t="shared" si="1"/>
        <v>2103.8000000000002</v>
      </c>
      <c r="K32" s="42">
        <f t="shared" si="2"/>
        <v>231378.79999999996</v>
      </c>
      <c r="L32" s="42"/>
      <c r="M32" s="143">
        <f t="shared" si="3"/>
        <v>730303.78400000022</v>
      </c>
      <c r="N32" s="48"/>
    </row>
    <row r="33" spans="1:17">
      <c r="A33" s="26">
        <v>30</v>
      </c>
      <c r="B33" s="27" t="s">
        <v>189</v>
      </c>
      <c r="C33" s="17"/>
      <c r="D33" s="17"/>
      <c r="E33" s="42">
        <v>37.67</v>
      </c>
      <c r="F33" s="42">
        <v>91.27</v>
      </c>
      <c r="G33" s="42">
        <f t="shared" si="0"/>
        <v>3438.1408999999999</v>
      </c>
      <c r="H33" s="42"/>
      <c r="I33" s="42"/>
      <c r="J33" s="42">
        <f t="shared" si="1"/>
        <v>0</v>
      </c>
      <c r="K33" s="42">
        <f t="shared" si="2"/>
        <v>3438.1408999999999</v>
      </c>
      <c r="L33" s="42">
        <v>3438.14</v>
      </c>
      <c r="M33" s="143">
        <f t="shared" si="3"/>
        <v>730303.7849000002</v>
      </c>
      <c r="N33" s="48"/>
    </row>
    <row r="34" spans="1:17">
      <c r="A34" s="26">
        <v>31</v>
      </c>
      <c r="B34" s="27"/>
      <c r="C34" s="17"/>
      <c r="D34" s="17"/>
      <c r="E34" s="42"/>
      <c r="F34" s="42"/>
      <c r="G34" s="42">
        <f t="shared" si="0"/>
        <v>0</v>
      </c>
      <c r="H34" s="42"/>
      <c r="I34" s="42"/>
      <c r="J34" s="42">
        <f t="shared" si="1"/>
        <v>0</v>
      </c>
      <c r="K34" s="42">
        <f t="shared" si="2"/>
        <v>0</v>
      </c>
      <c r="L34" s="42"/>
      <c r="M34" s="143">
        <f t="shared" si="3"/>
        <v>730303.7849000002</v>
      </c>
      <c r="N34" s="48"/>
    </row>
    <row r="35" spans="1:17">
      <c r="A35" s="26">
        <v>32</v>
      </c>
      <c r="B35" s="27"/>
      <c r="C35" s="17"/>
      <c r="D35" s="17"/>
      <c r="E35" s="42"/>
      <c r="F35" s="42"/>
      <c r="G35" s="42">
        <f t="shared" si="0"/>
        <v>0</v>
      </c>
      <c r="H35" s="42"/>
      <c r="I35" s="42"/>
      <c r="J35" s="42">
        <f t="shared" si="1"/>
        <v>0</v>
      </c>
      <c r="K35" s="42">
        <f t="shared" si="2"/>
        <v>0</v>
      </c>
      <c r="L35" s="42"/>
      <c r="M35" s="143">
        <f t="shared" si="3"/>
        <v>730303.7849000002</v>
      </c>
      <c r="N35" s="48"/>
    </row>
    <row r="36" spans="1:17">
      <c r="A36" s="26">
        <v>33</v>
      </c>
      <c r="B36" s="27"/>
      <c r="C36" s="17"/>
      <c r="D36" s="17"/>
      <c r="E36" s="42"/>
      <c r="F36" s="42"/>
      <c r="G36" s="42">
        <f t="shared" si="0"/>
        <v>0</v>
      </c>
      <c r="H36" s="42"/>
      <c r="I36" s="42"/>
      <c r="J36" s="42">
        <f t="shared" si="1"/>
        <v>0</v>
      </c>
      <c r="K36" s="42">
        <f t="shared" si="2"/>
        <v>0</v>
      </c>
      <c r="L36" s="42">
        <v>0</v>
      </c>
      <c r="M36" s="143">
        <f t="shared" si="3"/>
        <v>730303.7849000002</v>
      </c>
      <c r="N36" s="48"/>
    </row>
    <row r="37" spans="1:17">
      <c r="A37" s="26">
        <v>34</v>
      </c>
      <c r="B37" s="27"/>
      <c r="C37" s="17"/>
      <c r="D37" s="17"/>
      <c r="E37" s="42"/>
      <c r="F37" s="42"/>
      <c r="G37" s="42">
        <f t="shared" si="0"/>
        <v>0</v>
      </c>
      <c r="H37" s="42"/>
      <c r="I37" s="42"/>
      <c r="J37" s="42">
        <f t="shared" si="1"/>
        <v>0</v>
      </c>
      <c r="K37" s="42">
        <f t="shared" si="2"/>
        <v>0</v>
      </c>
      <c r="L37" s="42">
        <v>0</v>
      </c>
      <c r="M37" s="143">
        <f t="shared" si="3"/>
        <v>730303.7849000002</v>
      </c>
      <c r="N37" s="48"/>
      <c r="P37">
        <v>41</v>
      </c>
    </row>
    <row r="38" spans="1:17">
      <c r="A38" s="26">
        <v>35</v>
      </c>
      <c r="B38" s="27"/>
      <c r="C38" s="17"/>
      <c r="D38" s="17"/>
      <c r="E38" s="42"/>
      <c r="F38" s="42"/>
      <c r="G38" s="42">
        <f t="shared" si="0"/>
        <v>0</v>
      </c>
      <c r="H38" s="42"/>
      <c r="I38" s="42"/>
      <c r="J38" s="42">
        <f t="shared" si="1"/>
        <v>0</v>
      </c>
      <c r="K38" s="42">
        <f t="shared" si="2"/>
        <v>0</v>
      </c>
      <c r="L38" s="42">
        <v>0</v>
      </c>
      <c r="M38" s="143">
        <f t="shared" si="3"/>
        <v>730303.7849000002</v>
      </c>
      <c r="N38" s="48"/>
      <c r="P38">
        <v>40</v>
      </c>
      <c r="Q38">
        <v>5</v>
      </c>
    </row>
    <row r="39" spans="1:17">
      <c r="A39" s="26">
        <v>36</v>
      </c>
      <c r="B39" s="27"/>
      <c r="C39" s="17"/>
      <c r="D39" s="17"/>
      <c r="E39" s="42"/>
      <c r="F39" s="42"/>
      <c r="G39" s="42">
        <f t="shared" si="0"/>
        <v>0</v>
      </c>
      <c r="H39" s="42"/>
      <c r="I39" s="42"/>
      <c r="J39" s="42">
        <f t="shared" si="1"/>
        <v>0</v>
      </c>
      <c r="K39" s="42">
        <f t="shared" si="2"/>
        <v>0</v>
      </c>
      <c r="L39" s="42">
        <v>0</v>
      </c>
      <c r="M39" s="143">
        <f t="shared" si="3"/>
        <v>730303.7849000002</v>
      </c>
      <c r="N39" s="48"/>
    </row>
    <row r="40" spans="1:17">
      <c r="A40" s="26">
        <v>37</v>
      </c>
      <c r="B40" s="27"/>
      <c r="C40" s="17"/>
      <c r="D40" s="17"/>
      <c r="E40" s="42"/>
      <c r="F40" s="42"/>
      <c r="G40" s="42">
        <f t="shared" si="0"/>
        <v>0</v>
      </c>
      <c r="H40" s="42"/>
      <c r="I40" s="42"/>
      <c r="J40" s="42">
        <f t="shared" si="1"/>
        <v>0</v>
      </c>
      <c r="K40" s="42">
        <f t="shared" si="2"/>
        <v>0</v>
      </c>
      <c r="L40" s="42">
        <v>0</v>
      </c>
      <c r="M40" s="143">
        <f t="shared" si="3"/>
        <v>730303.7849000002</v>
      </c>
      <c r="N40" s="48"/>
    </row>
    <row r="41" spans="1:17">
      <c r="A41" s="26">
        <v>38</v>
      </c>
      <c r="B41" s="27"/>
      <c r="C41" s="17"/>
      <c r="D41" s="17"/>
      <c r="E41" s="42"/>
      <c r="F41" s="42"/>
      <c r="G41" s="42">
        <f t="shared" si="0"/>
        <v>0</v>
      </c>
      <c r="H41" s="42"/>
      <c r="I41" s="42"/>
      <c r="J41" s="42">
        <f t="shared" si="1"/>
        <v>0</v>
      </c>
      <c r="K41" s="42">
        <f t="shared" si="2"/>
        <v>0</v>
      </c>
      <c r="L41" s="42">
        <v>0</v>
      </c>
      <c r="M41" s="143">
        <f t="shared" si="3"/>
        <v>730303.7849000002</v>
      </c>
      <c r="N41" s="48"/>
    </row>
    <row r="42" spans="1:17">
      <c r="A42" s="26">
        <v>39</v>
      </c>
      <c r="B42" s="27"/>
      <c r="C42" s="17"/>
      <c r="D42" s="17"/>
      <c r="E42" s="42"/>
      <c r="F42" s="42"/>
      <c r="G42" s="42">
        <f t="shared" si="0"/>
        <v>0</v>
      </c>
      <c r="H42" s="42"/>
      <c r="I42" s="42"/>
      <c r="J42" s="42">
        <f t="shared" si="1"/>
        <v>0</v>
      </c>
      <c r="K42" s="42">
        <f t="shared" si="2"/>
        <v>0</v>
      </c>
      <c r="L42" s="42">
        <v>0</v>
      </c>
      <c r="M42" s="143">
        <f t="shared" si="3"/>
        <v>730303.7849000002</v>
      </c>
      <c r="N42" s="48"/>
    </row>
    <row r="43" spans="1:17">
      <c r="A43" s="26">
        <v>40</v>
      </c>
      <c r="B43" s="27"/>
      <c r="C43" s="17"/>
      <c r="D43" s="17"/>
      <c r="E43" s="42"/>
      <c r="F43" s="42"/>
      <c r="G43" s="42">
        <f t="shared" si="0"/>
        <v>0</v>
      </c>
      <c r="H43" s="42"/>
      <c r="I43" s="42"/>
      <c r="J43" s="42">
        <f t="shared" si="1"/>
        <v>0</v>
      </c>
      <c r="K43" s="42">
        <f t="shared" si="2"/>
        <v>0</v>
      </c>
      <c r="L43" s="42">
        <v>0</v>
      </c>
      <c r="M43" s="143">
        <f t="shared" si="3"/>
        <v>730303.7849000002</v>
      </c>
      <c r="N43" s="48"/>
    </row>
    <row r="44" spans="1:17">
      <c r="A44" s="26">
        <v>41</v>
      </c>
      <c r="B44" s="27"/>
      <c r="C44" s="17"/>
      <c r="D44" s="17"/>
      <c r="E44" s="42"/>
      <c r="F44" s="42"/>
      <c r="G44" s="42">
        <f t="shared" si="0"/>
        <v>0</v>
      </c>
      <c r="H44" s="42"/>
      <c r="I44" s="42"/>
      <c r="J44" s="42">
        <f t="shared" si="1"/>
        <v>0</v>
      </c>
      <c r="K44" s="42">
        <f t="shared" si="2"/>
        <v>0</v>
      </c>
      <c r="L44" s="42">
        <v>0</v>
      </c>
      <c r="M44" s="143">
        <f t="shared" si="3"/>
        <v>730303.7849000002</v>
      </c>
      <c r="N44" s="48"/>
    </row>
    <row r="45" spans="1:17">
      <c r="A45" s="26">
        <v>42</v>
      </c>
      <c r="B45" s="27"/>
      <c r="C45" s="17"/>
      <c r="D45" s="17"/>
      <c r="E45" s="42"/>
      <c r="F45" s="42"/>
      <c r="G45" s="42">
        <f t="shared" si="0"/>
        <v>0</v>
      </c>
      <c r="H45" s="42"/>
      <c r="I45" s="42"/>
      <c r="J45" s="42">
        <f t="shared" si="1"/>
        <v>0</v>
      </c>
      <c r="K45" s="42">
        <f t="shared" si="2"/>
        <v>0</v>
      </c>
      <c r="L45" s="42">
        <v>0</v>
      </c>
      <c r="M45" s="143">
        <f t="shared" si="3"/>
        <v>730303.7849000002</v>
      </c>
      <c r="N45" s="48"/>
    </row>
    <row r="46" spans="1:17">
      <c r="A46" s="26">
        <v>43</v>
      </c>
      <c r="B46" s="27"/>
      <c r="C46" s="17"/>
      <c r="D46" s="17"/>
      <c r="E46" s="42"/>
      <c r="F46" s="42"/>
      <c r="G46" s="42">
        <f t="shared" si="0"/>
        <v>0</v>
      </c>
      <c r="H46" s="42"/>
      <c r="I46" s="42"/>
      <c r="J46" s="42">
        <f t="shared" si="1"/>
        <v>0</v>
      </c>
      <c r="K46" s="42">
        <f t="shared" si="2"/>
        <v>0</v>
      </c>
      <c r="L46" s="42">
        <v>0</v>
      </c>
      <c r="M46" s="143">
        <f t="shared" si="3"/>
        <v>730303.7849000002</v>
      </c>
      <c r="N46" s="48"/>
    </row>
    <row r="47" spans="1:17">
      <c r="A47" s="26">
        <v>44</v>
      </c>
      <c r="B47" s="27"/>
      <c r="C47" s="17"/>
      <c r="D47" s="17"/>
      <c r="E47" s="42"/>
      <c r="F47" s="42"/>
      <c r="G47" s="42">
        <f t="shared" si="0"/>
        <v>0</v>
      </c>
      <c r="H47" s="42"/>
      <c r="I47" s="42"/>
      <c r="J47" s="42">
        <f t="shared" si="1"/>
        <v>0</v>
      </c>
      <c r="K47" s="42">
        <f t="shared" si="2"/>
        <v>0</v>
      </c>
      <c r="L47" s="42">
        <v>0</v>
      </c>
      <c r="M47" s="143">
        <f t="shared" si="3"/>
        <v>730303.7849000002</v>
      </c>
      <c r="N47" s="48"/>
    </row>
    <row r="48" spans="1:17">
      <c r="A48" s="26">
        <v>45</v>
      </c>
      <c r="B48" s="27"/>
      <c r="C48" s="17"/>
      <c r="D48" s="17"/>
      <c r="E48" s="42"/>
      <c r="F48" s="42"/>
      <c r="G48" s="42">
        <f t="shared" si="0"/>
        <v>0</v>
      </c>
      <c r="H48" s="42"/>
      <c r="I48" s="42"/>
      <c r="J48" s="42">
        <f t="shared" si="1"/>
        <v>0</v>
      </c>
      <c r="K48" s="42">
        <f t="shared" si="2"/>
        <v>0</v>
      </c>
      <c r="L48" s="42">
        <v>0</v>
      </c>
      <c r="M48" s="143">
        <f t="shared" si="3"/>
        <v>730303.7849000002</v>
      </c>
      <c r="N48" s="48"/>
    </row>
    <row r="49" spans="1:16">
      <c r="A49" s="26">
        <v>46</v>
      </c>
      <c r="B49" s="27"/>
      <c r="C49" s="17"/>
      <c r="D49" s="17"/>
      <c r="E49" s="42"/>
      <c r="F49" s="42"/>
      <c r="G49" s="42">
        <f t="shared" si="0"/>
        <v>0</v>
      </c>
      <c r="H49" s="42"/>
      <c r="I49" s="42"/>
      <c r="J49" s="42">
        <f t="shared" si="1"/>
        <v>0</v>
      </c>
      <c r="K49" s="42">
        <f t="shared" si="2"/>
        <v>0</v>
      </c>
      <c r="L49" s="42">
        <v>0</v>
      </c>
      <c r="M49" s="143">
        <f t="shared" si="3"/>
        <v>730303.7849000002</v>
      </c>
      <c r="N49" s="48"/>
    </row>
    <row r="50" spans="1:16">
      <c r="A50" s="26">
        <v>47</v>
      </c>
      <c r="B50" s="27"/>
      <c r="C50" s="17"/>
      <c r="D50" s="17"/>
      <c r="E50" s="42"/>
      <c r="F50" s="42"/>
      <c r="G50" s="42">
        <f t="shared" si="0"/>
        <v>0</v>
      </c>
      <c r="H50" s="42"/>
      <c r="I50" s="42"/>
      <c r="J50" s="42">
        <f t="shared" si="1"/>
        <v>0</v>
      </c>
      <c r="K50" s="42">
        <f t="shared" si="2"/>
        <v>0</v>
      </c>
      <c r="L50" s="42">
        <v>0</v>
      </c>
      <c r="M50" s="143">
        <f t="shared" si="3"/>
        <v>730303.7849000002</v>
      </c>
      <c r="N50" s="48"/>
    </row>
    <row r="51" spans="1:16">
      <c r="A51" s="26">
        <v>48</v>
      </c>
      <c r="B51" s="27"/>
      <c r="C51" s="100"/>
      <c r="D51" s="100"/>
      <c r="E51" s="42"/>
      <c r="F51" s="42"/>
      <c r="G51" s="42">
        <f t="shared" si="0"/>
        <v>0</v>
      </c>
      <c r="H51" s="42"/>
      <c r="I51" s="42"/>
      <c r="J51" s="42">
        <f t="shared" si="1"/>
        <v>0</v>
      </c>
      <c r="K51" s="42">
        <f t="shared" si="2"/>
        <v>0</v>
      </c>
      <c r="L51" s="42">
        <v>0</v>
      </c>
      <c r="M51" s="143">
        <f t="shared" si="3"/>
        <v>730303.7849000002</v>
      </c>
      <c r="N51" s="239"/>
    </row>
    <row r="52" spans="1:16">
      <c r="A52" s="26">
        <v>49</v>
      </c>
      <c r="B52" s="27"/>
      <c r="C52" s="17"/>
      <c r="D52" s="17"/>
      <c r="E52" s="42"/>
      <c r="F52" s="42"/>
      <c r="G52" s="42">
        <f t="shared" si="0"/>
        <v>0</v>
      </c>
      <c r="H52" s="42"/>
      <c r="I52" s="42"/>
      <c r="J52" s="42">
        <f t="shared" si="1"/>
        <v>0</v>
      </c>
      <c r="K52" s="42">
        <f t="shared" si="2"/>
        <v>0</v>
      </c>
      <c r="L52" s="42">
        <v>0</v>
      </c>
      <c r="M52" s="143">
        <f t="shared" si="3"/>
        <v>730303.7849000002</v>
      </c>
      <c r="N52" s="48"/>
    </row>
    <row r="53" spans="1:16">
      <c r="A53" s="26">
        <v>50</v>
      </c>
      <c r="B53" s="27"/>
      <c r="C53" s="17"/>
      <c r="D53" s="17"/>
      <c r="E53" s="42"/>
      <c r="F53" s="42"/>
      <c r="G53" s="42">
        <f t="shared" ref="G53" si="4">E53*F53</f>
        <v>0</v>
      </c>
      <c r="H53" s="42"/>
      <c r="I53" s="42"/>
      <c r="J53" s="42">
        <f t="shared" ref="J53" si="5">H53*I53</f>
        <v>0</v>
      </c>
      <c r="K53" s="42">
        <f t="shared" ref="K53" si="6">G53+J53</f>
        <v>0</v>
      </c>
      <c r="L53" s="42">
        <v>0</v>
      </c>
      <c r="M53" s="143">
        <f t="shared" si="3"/>
        <v>730303.7849000002</v>
      </c>
      <c r="N53" s="48"/>
      <c r="O53">
        <v>1109792.2825999993</v>
      </c>
      <c r="P53" s="183">
        <f>M53-O53</f>
        <v>-379488.49769999913</v>
      </c>
    </row>
    <row r="54" spans="1:16">
      <c r="A54" s="191"/>
      <c r="B54" s="191"/>
      <c r="C54" s="191"/>
      <c r="D54" s="191"/>
      <c r="E54" s="191">
        <f>SUM(E4:E53)</f>
        <v>13809.449999999999</v>
      </c>
      <c r="F54" s="191"/>
      <c r="G54" s="191">
        <f>SUM(G4:G53)</f>
        <v>1266325.5377</v>
      </c>
      <c r="H54" s="191">
        <f>SUM(H4:H53)</f>
        <v>242</v>
      </c>
      <c r="I54" s="191"/>
      <c r="J54" s="191">
        <f>SUM(J4:J53)</f>
        <v>25455.98</v>
      </c>
      <c r="K54" s="191">
        <f>SUM(K4:K53)</f>
        <v>1291781.5177000002</v>
      </c>
      <c r="L54" s="191">
        <f>SUM(L4:L53)</f>
        <v>1709938.5299999998</v>
      </c>
      <c r="M54" s="191"/>
      <c r="N54" s="191"/>
    </row>
  </sheetData>
  <mergeCells count="2">
    <mergeCell ref="A1:N1"/>
    <mergeCell ref="A3:J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41"/>
  <sheetViews>
    <sheetView workbookViewId="0">
      <pane ySplit="2" topLeftCell="A28" activePane="bottomLeft" state="frozen"/>
      <selection pane="bottomLeft" activeCell="M37" sqref="M37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2.5703125" bestFit="1" customWidth="1"/>
  </cols>
  <sheetData>
    <row r="1" spans="1:15" ht="15.75" customHeight="1">
      <c r="A1" s="455" t="s">
        <v>66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59"/>
    </row>
    <row r="2" spans="1:15" ht="30">
      <c r="A2" s="60" t="s">
        <v>122</v>
      </c>
      <c r="B2" s="61" t="s">
        <v>123</v>
      </c>
      <c r="C2" s="61" t="s">
        <v>124</v>
      </c>
      <c r="D2" s="61" t="s">
        <v>125</v>
      </c>
      <c r="E2" s="61" t="s">
        <v>126</v>
      </c>
      <c r="F2" s="61" t="s">
        <v>127</v>
      </c>
      <c r="G2" s="61" t="s">
        <v>128</v>
      </c>
      <c r="H2" s="61" t="s">
        <v>129</v>
      </c>
      <c r="I2" s="61" t="s">
        <v>127</v>
      </c>
      <c r="J2" s="62" t="s">
        <v>128</v>
      </c>
      <c r="K2" s="63" t="s">
        <v>130</v>
      </c>
      <c r="L2" s="64" t="s">
        <v>131</v>
      </c>
      <c r="M2" s="123" t="s">
        <v>138</v>
      </c>
      <c r="N2" s="107" t="s">
        <v>133</v>
      </c>
      <c r="O2" s="65"/>
    </row>
    <row r="3" spans="1:15">
      <c r="A3" s="139" t="s">
        <v>134</v>
      </c>
      <c r="B3" s="140"/>
      <c r="C3" s="140"/>
      <c r="D3" s="140"/>
      <c r="E3" s="140"/>
      <c r="F3" s="140"/>
      <c r="G3" s="140"/>
      <c r="H3" s="140"/>
      <c r="I3" s="140"/>
      <c r="J3" s="140"/>
      <c r="K3" s="8">
        <v>437930.64999999991</v>
      </c>
      <c r="L3" s="141"/>
      <c r="M3" s="280">
        <f>+K3</f>
        <v>437930.64999999991</v>
      </c>
      <c r="N3" s="17"/>
      <c r="O3" s="65">
        <v>1194596.9738</v>
      </c>
    </row>
    <row r="4" spans="1:15">
      <c r="A4" s="50">
        <v>1</v>
      </c>
      <c r="B4" s="213">
        <v>45992</v>
      </c>
      <c r="C4" s="10">
        <v>0</v>
      </c>
      <c r="D4" s="18"/>
      <c r="E4" s="8">
        <v>0</v>
      </c>
      <c r="F4" s="8">
        <v>0</v>
      </c>
      <c r="G4" s="16">
        <f>E4*F4</f>
        <v>0</v>
      </c>
      <c r="H4" s="7">
        <v>0</v>
      </c>
      <c r="I4" s="7">
        <v>0</v>
      </c>
      <c r="J4" s="21">
        <f>H4*I4</f>
        <v>0</v>
      </c>
      <c r="K4" s="8">
        <f>G4+J4</f>
        <v>0</v>
      </c>
      <c r="L4" s="8"/>
      <c r="M4" s="8">
        <f t="shared" ref="M4:M16" si="0">M3+K4-L4</f>
        <v>437930.64999999991</v>
      </c>
      <c r="N4" s="19"/>
      <c r="O4" s="1"/>
    </row>
    <row r="5" spans="1:15">
      <c r="A5" s="50">
        <v>2</v>
      </c>
      <c r="B5" s="213">
        <v>45993</v>
      </c>
      <c r="C5" s="10">
        <v>0</v>
      </c>
      <c r="D5" s="18"/>
      <c r="E5" s="8">
        <v>500</v>
      </c>
      <c r="F5" s="8">
        <v>91.14</v>
      </c>
      <c r="G5" s="16">
        <f>E5*F5</f>
        <v>45570</v>
      </c>
      <c r="H5" s="7">
        <v>0</v>
      </c>
      <c r="I5" s="7">
        <v>0</v>
      </c>
      <c r="J5" s="21">
        <f t="shared" ref="J5" si="1">H5*I5</f>
        <v>0</v>
      </c>
      <c r="K5" s="8">
        <f t="shared" ref="K5:K6" si="2">G5+J5</f>
        <v>45570</v>
      </c>
      <c r="L5" s="8"/>
      <c r="M5" s="8">
        <f t="shared" si="0"/>
        <v>483500.64999999991</v>
      </c>
      <c r="N5" s="8"/>
      <c r="O5" s="1"/>
    </row>
    <row r="6" spans="1:15">
      <c r="A6" s="50">
        <v>3</v>
      </c>
      <c r="B6" s="213">
        <v>45994</v>
      </c>
      <c r="C6" s="10">
        <v>0</v>
      </c>
      <c r="D6" s="18"/>
      <c r="E6" s="8">
        <v>0</v>
      </c>
      <c r="F6" s="8">
        <v>0</v>
      </c>
      <c r="G6" s="16">
        <f t="shared" ref="G6:G7" si="3">E6*F6</f>
        <v>0</v>
      </c>
      <c r="H6" s="7">
        <v>5</v>
      </c>
      <c r="I6" s="7">
        <v>350</v>
      </c>
      <c r="J6" s="21">
        <f>H6*I6</f>
        <v>1750</v>
      </c>
      <c r="K6" s="8">
        <f t="shared" si="2"/>
        <v>1750</v>
      </c>
      <c r="L6" s="8"/>
      <c r="M6" s="8">
        <f t="shared" si="0"/>
        <v>485250.64999999991</v>
      </c>
      <c r="N6" s="8"/>
      <c r="O6" s="1"/>
    </row>
    <row r="7" spans="1:15">
      <c r="A7" s="50">
        <v>4</v>
      </c>
      <c r="B7" s="213">
        <v>45995</v>
      </c>
      <c r="C7" s="10">
        <v>0</v>
      </c>
      <c r="D7" s="18"/>
      <c r="E7" s="8">
        <v>0</v>
      </c>
      <c r="F7" s="8">
        <v>0</v>
      </c>
      <c r="G7" s="16">
        <v>0</v>
      </c>
      <c r="H7" s="7">
        <v>0</v>
      </c>
      <c r="I7" s="390">
        <v>0</v>
      </c>
      <c r="J7" s="21">
        <v>0</v>
      </c>
      <c r="K7" s="8">
        <v>0</v>
      </c>
      <c r="L7" s="8"/>
      <c r="M7" s="8">
        <f t="shared" si="0"/>
        <v>485250.64999999991</v>
      </c>
      <c r="N7" s="8"/>
      <c r="O7" s="1"/>
    </row>
    <row r="8" spans="1:15">
      <c r="A8" s="50">
        <v>5</v>
      </c>
      <c r="B8" s="213">
        <v>45996</v>
      </c>
      <c r="C8" s="10">
        <v>0</v>
      </c>
      <c r="D8" s="18"/>
      <c r="E8" s="8">
        <v>800</v>
      </c>
      <c r="F8" s="8">
        <v>91.14</v>
      </c>
      <c r="G8" s="16">
        <f t="shared" ref="G8:G37" si="4">E8*F8</f>
        <v>72912</v>
      </c>
      <c r="H8" s="7">
        <v>20</v>
      </c>
      <c r="I8" s="7">
        <v>104.6</v>
      </c>
      <c r="J8" s="21">
        <f t="shared" ref="J8:J37" si="5">H8*I8</f>
        <v>2092</v>
      </c>
      <c r="K8" s="8">
        <f t="shared" ref="K8:K37" si="6">G8+J8</f>
        <v>75004</v>
      </c>
      <c r="L8" s="8"/>
      <c r="M8" s="8">
        <f t="shared" si="0"/>
        <v>560254.64999999991</v>
      </c>
      <c r="N8" s="8"/>
      <c r="O8" s="1"/>
    </row>
    <row r="9" spans="1:15">
      <c r="A9" s="50">
        <v>6</v>
      </c>
      <c r="B9" s="213">
        <v>45997</v>
      </c>
      <c r="C9" s="10">
        <v>0</v>
      </c>
      <c r="D9" s="18"/>
      <c r="E9" s="8"/>
      <c r="F9" s="8"/>
      <c r="G9" s="16">
        <f t="shared" ref="G9:G36" si="7">E9*F9</f>
        <v>0</v>
      </c>
      <c r="H9" s="7">
        <v>0</v>
      </c>
      <c r="I9" s="7">
        <v>0</v>
      </c>
      <c r="J9" s="21">
        <f t="shared" ref="J9:J36" si="8">H9*I9</f>
        <v>0</v>
      </c>
      <c r="K9" s="8">
        <f t="shared" ref="K9:K36" si="9">G9+J9</f>
        <v>0</v>
      </c>
      <c r="L9" s="8"/>
      <c r="M9" s="8">
        <f t="shared" si="0"/>
        <v>560254.64999999991</v>
      </c>
      <c r="N9" s="8"/>
      <c r="O9" s="1"/>
    </row>
    <row r="10" spans="1:15">
      <c r="A10" s="50">
        <v>7</v>
      </c>
      <c r="B10" s="213">
        <v>45998</v>
      </c>
      <c r="C10" s="10">
        <v>0</v>
      </c>
      <c r="D10" s="18"/>
      <c r="E10" s="8"/>
      <c r="F10" s="8"/>
      <c r="G10" s="16">
        <f t="shared" si="7"/>
        <v>0</v>
      </c>
      <c r="H10" s="7">
        <v>0</v>
      </c>
      <c r="I10" s="7">
        <v>0</v>
      </c>
      <c r="J10" s="21">
        <f t="shared" si="8"/>
        <v>0</v>
      </c>
      <c r="K10" s="8">
        <f t="shared" si="9"/>
        <v>0</v>
      </c>
      <c r="L10" s="8"/>
      <c r="M10" s="8">
        <f t="shared" si="0"/>
        <v>560254.64999999991</v>
      </c>
      <c r="N10" s="8"/>
      <c r="O10" s="1"/>
    </row>
    <row r="11" spans="1:15">
      <c r="A11" s="50">
        <v>8</v>
      </c>
      <c r="B11" s="213">
        <v>45999</v>
      </c>
      <c r="C11" s="10">
        <v>0</v>
      </c>
      <c r="D11" s="18"/>
      <c r="E11" s="8"/>
      <c r="F11" s="8"/>
      <c r="G11" s="16">
        <f t="shared" si="7"/>
        <v>0</v>
      </c>
      <c r="H11" s="7">
        <v>0</v>
      </c>
      <c r="I11" s="7">
        <v>0</v>
      </c>
      <c r="J11" s="21">
        <f t="shared" si="8"/>
        <v>0</v>
      </c>
      <c r="K11" s="8">
        <f t="shared" si="9"/>
        <v>0</v>
      </c>
      <c r="L11" s="8"/>
      <c r="M11" s="8">
        <f t="shared" si="0"/>
        <v>560254.64999999991</v>
      </c>
      <c r="N11" s="8"/>
      <c r="O11" s="1"/>
    </row>
    <row r="12" spans="1:15">
      <c r="A12" s="50">
        <v>9</v>
      </c>
      <c r="B12" s="213">
        <v>46000</v>
      </c>
      <c r="C12" s="10">
        <v>0</v>
      </c>
      <c r="D12" s="18"/>
      <c r="E12" s="8"/>
      <c r="F12" s="8"/>
      <c r="G12" s="16">
        <f t="shared" si="7"/>
        <v>0</v>
      </c>
      <c r="H12" s="7"/>
      <c r="I12" s="7">
        <v>0</v>
      </c>
      <c r="J12" s="21">
        <f t="shared" si="8"/>
        <v>0</v>
      </c>
      <c r="K12" s="8">
        <f t="shared" si="9"/>
        <v>0</v>
      </c>
      <c r="L12" s="8"/>
      <c r="M12" s="8">
        <f t="shared" si="0"/>
        <v>560254.64999999991</v>
      </c>
      <c r="N12" s="8"/>
      <c r="O12" s="1"/>
    </row>
    <row r="13" spans="1:15">
      <c r="A13" s="50">
        <v>10</v>
      </c>
      <c r="B13" s="213">
        <v>46001</v>
      </c>
      <c r="C13" s="10">
        <v>0</v>
      </c>
      <c r="D13" s="18"/>
      <c r="E13" s="8"/>
      <c r="F13" s="8"/>
      <c r="G13" s="16">
        <f t="shared" si="7"/>
        <v>0</v>
      </c>
      <c r="H13" s="7"/>
      <c r="I13" s="7">
        <v>0</v>
      </c>
      <c r="J13" s="21">
        <f t="shared" si="8"/>
        <v>0</v>
      </c>
      <c r="K13" s="8">
        <f t="shared" si="9"/>
        <v>0</v>
      </c>
      <c r="L13" s="8"/>
      <c r="M13" s="192">
        <f t="shared" si="0"/>
        <v>560254.64999999991</v>
      </c>
      <c r="N13" s="8"/>
      <c r="O13" s="1"/>
    </row>
    <row r="14" spans="1:15">
      <c r="A14" s="50">
        <v>11</v>
      </c>
      <c r="B14" s="213">
        <v>46002</v>
      </c>
      <c r="C14" s="10">
        <v>0</v>
      </c>
      <c r="D14" s="18"/>
      <c r="E14" s="8"/>
      <c r="F14" s="8"/>
      <c r="G14" s="16">
        <f t="shared" si="7"/>
        <v>0</v>
      </c>
      <c r="H14" s="7"/>
      <c r="I14" s="7">
        <v>0</v>
      </c>
      <c r="J14" s="21">
        <f t="shared" si="8"/>
        <v>0</v>
      </c>
      <c r="K14" s="8">
        <f t="shared" si="9"/>
        <v>0</v>
      </c>
      <c r="L14" s="8"/>
      <c r="M14" s="8">
        <f t="shared" si="0"/>
        <v>560254.64999999991</v>
      </c>
      <c r="N14" s="203"/>
      <c r="O14" s="1"/>
    </row>
    <row r="15" spans="1:15">
      <c r="A15" s="50">
        <v>12</v>
      </c>
      <c r="B15" s="213">
        <v>46003</v>
      </c>
      <c r="C15" s="10">
        <v>0</v>
      </c>
      <c r="D15" s="18"/>
      <c r="E15" s="8"/>
      <c r="F15" s="8"/>
      <c r="G15" s="16">
        <f t="shared" si="7"/>
        <v>0</v>
      </c>
      <c r="H15" s="7"/>
      <c r="I15" s="7">
        <v>0</v>
      </c>
      <c r="J15" s="21">
        <f t="shared" si="8"/>
        <v>0</v>
      </c>
      <c r="K15" s="8">
        <f t="shared" si="9"/>
        <v>0</v>
      </c>
      <c r="L15" s="8"/>
      <c r="M15" s="8">
        <f t="shared" si="0"/>
        <v>560254.64999999991</v>
      </c>
      <c r="N15" s="203"/>
      <c r="O15" s="1"/>
    </row>
    <row r="16" spans="1:15">
      <c r="A16" s="50">
        <v>13</v>
      </c>
      <c r="B16" s="213">
        <v>46004</v>
      </c>
      <c r="C16" s="10">
        <v>0</v>
      </c>
      <c r="D16" s="18"/>
      <c r="E16" s="8"/>
      <c r="F16" s="8"/>
      <c r="G16" s="16">
        <f t="shared" si="7"/>
        <v>0</v>
      </c>
      <c r="H16" s="7"/>
      <c r="I16" s="7">
        <v>0</v>
      </c>
      <c r="J16" s="21">
        <f t="shared" si="8"/>
        <v>0</v>
      </c>
      <c r="K16" s="8">
        <f t="shared" si="9"/>
        <v>0</v>
      </c>
      <c r="L16" s="8"/>
      <c r="M16" s="8">
        <f t="shared" si="0"/>
        <v>560254.64999999991</v>
      </c>
      <c r="N16" s="203"/>
      <c r="O16" s="1"/>
    </row>
    <row r="17" spans="1:17">
      <c r="A17" s="50">
        <v>14</v>
      </c>
      <c r="B17" s="213">
        <v>46005</v>
      </c>
      <c r="C17" s="10">
        <v>0</v>
      </c>
      <c r="D17" s="18"/>
      <c r="E17" s="8"/>
      <c r="F17" s="8"/>
      <c r="G17" s="16">
        <f t="shared" si="7"/>
        <v>0</v>
      </c>
      <c r="H17" s="7"/>
      <c r="I17" s="7">
        <v>0</v>
      </c>
      <c r="J17" s="21">
        <f t="shared" si="8"/>
        <v>0</v>
      </c>
      <c r="K17" s="8">
        <f t="shared" si="9"/>
        <v>0</v>
      </c>
      <c r="L17" s="8"/>
      <c r="M17" s="8">
        <f t="shared" ref="M17:M37" si="10">M16+K17-L17</f>
        <v>560254.64999999991</v>
      </c>
      <c r="N17" s="203"/>
      <c r="O17" s="1"/>
    </row>
    <row r="18" spans="1:17">
      <c r="A18" s="50">
        <v>15</v>
      </c>
      <c r="B18" s="213">
        <v>46006</v>
      </c>
      <c r="C18" s="10">
        <v>0</v>
      </c>
      <c r="D18" s="18"/>
      <c r="E18" s="8"/>
      <c r="F18" s="8"/>
      <c r="G18" s="16">
        <f t="shared" si="7"/>
        <v>0</v>
      </c>
      <c r="H18" s="7"/>
      <c r="I18" s="7"/>
      <c r="J18" s="21">
        <f t="shared" si="8"/>
        <v>0</v>
      </c>
      <c r="K18" s="8">
        <f t="shared" si="9"/>
        <v>0</v>
      </c>
      <c r="L18" s="8">
        <v>461912.77</v>
      </c>
      <c r="M18" s="8">
        <f t="shared" si="10"/>
        <v>98341.879999999888</v>
      </c>
      <c r="N18" s="203"/>
      <c r="O18" s="1"/>
    </row>
    <row r="19" spans="1:17">
      <c r="A19" s="50">
        <v>16</v>
      </c>
      <c r="B19" s="213">
        <v>46007</v>
      </c>
      <c r="C19" s="10">
        <v>0</v>
      </c>
      <c r="D19" s="18"/>
      <c r="E19" s="8">
        <v>600</v>
      </c>
      <c r="F19" s="8">
        <v>91.14</v>
      </c>
      <c r="G19" s="16">
        <f t="shared" si="7"/>
        <v>54684</v>
      </c>
      <c r="H19" s="7">
        <v>20</v>
      </c>
      <c r="I19" s="7">
        <v>104.6</v>
      </c>
      <c r="J19" s="21">
        <f t="shared" si="8"/>
        <v>2092</v>
      </c>
      <c r="K19" s="8">
        <f t="shared" si="9"/>
        <v>56776</v>
      </c>
      <c r="L19" s="8"/>
      <c r="M19" s="8">
        <f t="shared" si="10"/>
        <v>155117.87999999989</v>
      </c>
      <c r="N19" s="203"/>
      <c r="O19" s="1"/>
    </row>
    <row r="20" spans="1:17">
      <c r="A20" s="50">
        <v>17</v>
      </c>
      <c r="B20" s="213">
        <v>46008</v>
      </c>
      <c r="C20" s="10">
        <v>0</v>
      </c>
      <c r="D20" s="18"/>
      <c r="E20" s="8"/>
      <c r="F20" s="8"/>
      <c r="G20" s="16">
        <f t="shared" si="7"/>
        <v>0</v>
      </c>
      <c r="H20" s="7"/>
      <c r="I20" s="7"/>
      <c r="J20" s="21">
        <f t="shared" si="8"/>
        <v>0</v>
      </c>
      <c r="K20" s="8">
        <f t="shared" si="9"/>
        <v>0</v>
      </c>
      <c r="L20" s="8"/>
      <c r="M20" s="8">
        <f t="shared" si="10"/>
        <v>155117.87999999989</v>
      </c>
      <c r="N20" s="203"/>
      <c r="O20" s="1"/>
    </row>
    <row r="21" spans="1:17">
      <c r="A21" s="50">
        <v>18</v>
      </c>
      <c r="B21" s="213">
        <v>46009</v>
      </c>
      <c r="C21" s="10">
        <v>0</v>
      </c>
      <c r="D21" s="18"/>
      <c r="E21" s="8"/>
      <c r="F21" s="8"/>
      <c r="G21" s="16">
        <f t="shared" si="7"/>
        <v>0</v>
      </c>
      <c r="H21" s="7"/>
      <c r="I21" s="7"/>
      <c r="J21" s="21">
        <f t="shared" si="8"/>
        <v>0</v>
      </c>
      <c r="K21" s="8">
        <f t="shared" si="9"/>
        <v>0</v>
      </c>
      <c r="L21" s="8"/>
      <c r="M21" s="8">
        <f t="shared" si="10"/>
        <v>155117.87999999989</v>
      </c>
      <c r="N21" s="203"/>
      <c r="O21" s="1"/>
    </row>
    <row r="22" spans="1:17">
      <c r="A22" s="50">
        <v>19</v>
      </c>
      <c r="B22" s="213">
        <v>46010</v>
      </c>
      <c r="C22" s="10">
        <v>0</v>
      </c>
      <c r="D22" s="18"/>
      <c r="E22" s="8"/>
      <c r="F22" s="8"/>
      <c r="G22" s="16">
        <f t="shared" si="7"/>
        <v>0</v>
      </c>
      <c r="H22" s="7">
        <v>0</v>
      </c>
      <c r="I22" s="7">
        <v>0</v>
      </c>
      <c r="J22" s="21">
        <f t="shared" si="8"/>
        <v>0</v>
      </c>
      <c r="K22" s="8">
        <f t="shared" si="9"/>
        <v>0</v>
      </c>
      <c r="L22" s="8"/>
      <c r="M22" s="8">
        <f t="shared" si="10"/>
        <v>155117.87999999989</v>
      </c>
      <c r="N22" s="203"/>
      <c r="O22" s="1"/>
      <c r="Q22" s="447">
        <f>3800/26</f>
        <v>146.15384615384616</v>
      </c>
    </row>
    <row r="23" spans="1:17">
      <c r="A23" s="50"/>
      <c r="B23" s="213">
        <v>46011</v>
      </c>
      <c r="C23" s="10"/>
      <c r="D23" s="18"/>
      <c r="E23" s="8"/>
      <c r="F23" s="8"/>
      <c r="G23" s="16"/>
      <c r="H23" s="7"/>
      <c r="I23" s="7"/>
      <c r="J23" s="21">
        <f>H23*I23</f>
        <v>0</v>
      </c>
      <c r="K23" s="8">
        <f t="shared" si="9"/>
        <v>0</v>
      </c>
      <c r="L23" s="8"/>
      <c r="M23" s="8">
        <f t="shared" si="10"/>
        <v>155117.87999999989</v>
      </c>
      <c r="N23" s="203"/>
      <c r="O23" s="1"/>
    </row>
    <row r="24" spans="1:17">
      <c r="A24" s="50">
        <v>20</v>
      </c>
      <c r="B24" s="213">
        <v>46011</v>
      </c>
      <c r="C24" s="10">
        <v>0</v>
      </c>
      <c r="D24" s="18"/>
      <c r="E24" s="8">
        <v>600</v>
      </c>
      <c r="F24" s="8">
        <v>91.14</v>
      </c>
      <c r="G24" s="16">
        <f t="shared" si="7"/>
        <v>54684</v>
      </c>
      <c r="H24" s="7">
        <v>0</v>
      </c>
      <c r="I24" s="7"/>
      <c r="J24" s="21">
        <f t="shared" si="8"/>
        <v>0</v>
      </c>
      <c r="K24" s="8">
        <f t="shared" si="9"/>
        <v>54684</v>
      </c>
      <c r="L24" s="8"/>
      <c r="M24" s="8">
        <f>M22+K24-L24</f>
        <v>209801.87999999989</v>
      </c>
      <c r="N24" s="203"/>
      <c r="O24" s="1"/>
    </row>
    <row r="25" spans="1:17">
      <c r="A25" s="50">
        <v>21</v>
      </c>
      <c r="B25" s="213">
        <v>46012</v>
      </c>
      <c r="C25" s="10">
        <v>0</v>
      </c>
      <c r="D25" s="18"/>
      <c r="E25" s="8">
        <v>0</v>
      </c>
      <c r="F25" s="8">
        <v>0</v>
      </c>
      <c r="G25" s="16">
        <f t="shared" si="7"/>
        <v>0</v>
      </c>
      <c r="H25" s="7">
        <v>20</v>
      </c>
      <c r="I25" s="7">
        <v>104.6</v>
      </c>
      <c r="J25" s="21">
        <f t="shared" si="8"/>
        <v>2092</v>
      </c>
      <c r="K25" s="8">
        <f t="shared" si="9"/>
        <v>2092</v>
      </c>
      <c r="L25" s="8"/>
      <c r="M25" s="8">
        <f t="shared" si="10"/>
        <v>211893.87999999989</v>
      </c>
      <c r="N25" s="203"/>
      <c r="O25" s="1"/>
    </row>
    <row r="26" spans="1:17">
      <c r="A26" s="50">
        <v>22</v>
      </c>
      <c r="B26" s="213">
        <v>46013</v>
      </c>
      <c r="C26" s="10">
        <v>0</v>
      </c>
      <c r="D26" s="18"/>
      <c r="E26" s="8">
        <v>0</v>
      </c>
      <c r="F26" s="8">
        <v>0</v>
      </c>
      <c r="G26" s="16">
        <f t="shared" si="7"/>
        <v>0</v>
      </c>
      <c r="H26" s="7">
        <v>0</v>
      </c>
      <c r="I26" s="7">
        <v>0</v>
      </c>
      <c r="J26" s="21">
        <f t="shared" si="8"/>
        <v>0</v>
      </c>
      <c r="K26" s="8">
        <f t="shared" si="9"/>
        <v>0</v>
      </c>
      <c r="L26" s="8"/>
      <c r="M26" s="8">
        <f t="shared" si="10"/>
        <v>211893.87999999989</v>
      </c>
      <c r="N26" s="203"/>
      <c r="O26" s="1"/>
    </row>
    <row r="27" spans="1:17">
      <c r="A27" s="50">
        <v>23</v>
      </c>
      <c r="B27" s="213">
        <v>46014</v>
      </c>
      <c r="C27" s="10">
        <v>0</v>
      </c>
      <c r="D27" s="18"/>
      <c r="E27" s="8">
        <v>0</v>
      </c>
      <c r="F27" s="8">
        <v>0</v>
      </c>
      <c r="G27" s="16">
        <f t="shared" si="7"/>
        <v>0</v>
      </c>
      <c r="H27" s="7">
        <v>0</v>
      </c>
      <c r="I27" s="7">
        <v>0</v>
      </c>
      <c r="J27" s="21">
        <f t="shared" si="8"/>
        <v>0</v>
      </c>
      <c r="K27" s="8">
        <f t="shared" si="9"/>
        <v>0</v>
      </c>
      <c r="L27" s="8"/>
      <c r="M27" s="8">
        <f t="shared" si="10"/>
        <v>211893.87999999989</v>
      </c>
      <c r="N27" s="203"/>
      <c r="O27" s="1"/>
    </row>
    <row r="28" spans="1:17">
      <c r="A28" s="50">
        <v>24</v>
      </c>
      <c r="B28" s="213">
        <v>46015</v>
      </c>
      <c r="C28" s="10">
        <v>0</v>
      </c>
      <c r="D28" s="18"/>
      <c r="E28" s="8">
        <v>800</v>
      </c>
      <c r="F28" s="8">
        <v>91.14</v>
      </c>
      <c r="G28" s="16">
        <f t="shared" si="7"/>
        <v>72912</v>
      </c>
      <c r="H28" s="7">
        <v>26</v>
      </c>
      <c r="I28" s="7">
        <v>146.15</v>
      </c>
      <c r="J28" s="21">
        <f t="shared" si="8"/>
        <v>3799.9</v>
      </c>
      <c r="K28" s="8">
        <f t="shared" si="9"/>
        <v>76711.899999999994</v>
      </c>
      <c r="L28" s="8"/>
      <c r="M28" s="8">
        <f t="shared" si="10"/>
        <v>288605.77999999991</v>
      </c>
      <c r="N28" s="203"/>
      <c r="O28" s="1"/>
    </row>
    <row r="29" spans="1:17">
      <c r="A29" s="50"/>
      <c r="B29" s="213">
        <v>46015</v>
      </c>
      <c r="C29" s="10"/>
      <c r="D29" s="18"/>
      <c r="E29" s="8"/>
      <c r="F29" s="8"/>
      <c r="G29" s="16"/>
      <c r="H29" s="7">
        <v>10</v>
      </c>
      <c r="I29" s="7">
        <v>104.6</v>
      </c>
      <c r="J29" s="21">
        <f t="shared" si="8"/>
        <v>1046</v>
      </c>
      <c r="K29" s="8">
        <f t="shared" si="9"/>
        <v>1046</v>
      </c>
      <c r="L29" s="8"/>
      <c r="M29" s="8">
        <f t="shared" si="10"/>
        <v>289651.77999999991</v>
      </c>
      <c r="N29" s="203"/>
      <c r="O29" s="1"/>
    </row>
    <row r="30" spans="1:17">
      <c r="A30" s="50">
        <v>25</v>
      </c>
      <c r="B30" s="213">
        <v>46016</v>
      </c>
      <c r="C30" s="10">
        <v>0</v>
      </c>
      <c r="D30" s="18"/>
      <c r="E30" s="8"/>
      <c r="F30" s="8"/>
      <c r="G30" s="16">
        <f t="shared" si="7"/>
        <v>0</v>
      </c>
      <c r="H30" s="7"/>
      <c r="I30" s="7"/>
      <c r="J30" s="21">
        <f t="shared" si="8"/>
        <v>0</v>
      </c>
      <c r="K30" s="8">
        <f t="shared" si="9"/>
        <v>0</v>
      </c>
      <c r="L30" s="8"/>
      <c r="M30" s="8">
        <f t="shared" si="10"/>
        <v>289651.77999999991</v>
      </c>
      <c r="N30" s="203"/>
      <c r="O30" s="1"/>
    </row>
    <row r="31" spans="1:17">
      <c r="A31" s="50">
        <v>26</v>
      </c>
      <c r="B31" s="213">
        <v>46017</v>
      </c>
      <c r="C31" s="10">
        <v>0</v>
      </c>
      <c r="D31" s="18"/>
      <c r="E31" s="8"/>
      <c r="F31" s="8"/>
      <c r="G31" s="16">
        <f t="shared" si="7"/>
        <v>0</v>
      </c>
      <c r="H31" s="7"/>
      <c r="I31" s="7"/>
      <c r="J31" s="21">
        <f t="shared" si="8"/>
        <v>0</v>
      </c>
      <c r="K31" s="8">
        <f t="shared" si="9"/>
        <v>0</v>
      </c>
      <c r="L31" s="8"/>
      <c r="M31" s="8">
        <f t="shared" si="10"/>
        <v>289651.77999999991</v>
      </c>
      <c r="N31" s="203"/>
      <c r="O31" s="1"/>
    </row>
    <row r="32" spans="1:17">
      <c r="A32" s="50">
        <v>27</v>
      </c>
      <c r="B32" s="213">
        <v>46018</v>
      </c>
      <c r="C32" s="10">
        <v>0</v>
      </c>
      <c r="D32" s="18"/>
      <c r="E32" s="8"/>
      <c r="F32" s="8"/>
      <c r="G32" s="16">
        <f t="shared" si="7"/>
        <v>0</v>
      </c>
      <c r="H32" s="7">
        <v>0</v>
      </c>
      <c r="I32" s="7">
        <v>0</v>
      </c>
      <c r="J32" s="21">
        <f t="shared" si="8"/>
        <v>0</v>
      </c>
      <c r="K32" s="8">
        <f t="shared" si="9"/>
        <v>0</v>
      </c>
      <c r="L32" s="8"/>
      <c r="M32" s="8">
        <f t="shared" si="10"/>
        <v>289651.77999999991</v>
      </c>
      <c r="N32" s="203"/>
      <c r="O32" s="1"/>
    </row>
    <row r="33" spans="1:17">
      <c r="A33" s="50">
        <v>28</v>
      </c>
      <c r="B33" s="213">
        <v>46019</v>
      </c>
      <c r="C33" s="10">
        <v>0</v>
      </c>
      <c r="D33" s="18"/>
      <c r="E33" s="8"/>
      <c r="F33" s="8"/>
      <c r="G33" s="16">
        <f t="shared" si="7"/>
        <v>0</v>
      </c>
      <c r="H33" s="7">
        <v>0</v>
      </c>
      <c r="I33" s="7">
        <v>0</v>
      </c>
      <c r="J33" s="21">
        <f t="shared" si="8"/>
        <v>0</v>
      </c>
      <c r="K33" s="8">
        <f t="shared" si="9"/>
        <v>0</v>
      </c>
      <c r="L33" s="8"/>
      <c r="M33" s="8">
        <f t="shared" si="10"/>
        <v>289651.77999999991</v>
      </c>
      <c r="N33" s="203"/>
      <c r="O33" s="1"/>
    </row>
    <row r="34" spans="1:17">
      <c r="A34" s="50">
        <v>29</v>
      </c>
      <c r="B34" s="213">
        <v>46020</v>
      </c>
      <c r="C34" s="10">
        <v>0</v>
      </c>
      <c r="D34" s="18"/>
      <c r="E34" s="8">
        <v>0</v>
      </c>
      <c r="F34" s="8">
        <v>0</v>
      </c>
      <c r="G34" s="16">
        <f t="shared" si="7"/>
        <v>0</v>
      </c>
      <c r="H34" s="7">
        <v>0</v>
      </c>
      <c r="I34" s="7">
        <v>0</v>
      </c>
      <c r="J34" s="21">
        <f t="shared" si="8"/>
        <v>0</v>
      </c>
      <c r="K34" s="8">
        <f t="shared" si="9"/>
        <v>0</v>
      </c>
      <c r="L34" s="8"/>
      <c r="M34" s="8">
        <f t="shared" si="10"/>
        <v>289651.77999999991</v>
      </c>
      <c r="N34" s="203"/>
      <c r="O34" s="1"/>
    </row>
    <row r="35" spans="1:17">
      <c r="A35" s="50">
        <v>30</v>
      </c>
      <c r="B35" s="213">
        <v>46021</v>
      </c>
      <c r="C35" s="10">
        <v>0</v>
      </c>
      <c r="D35" s="18"/>
      <c r="E35" s="8">
        <v>800</v>
      </c>
      <c r="F35" s="8">
        <v>91.14</v>
      </c>
      <c r="G35" s="16">
        <f t="shared" si="7"/>
        <v>72912</v>
      </c>
      <c r="H35" s="7">
        <v>0</v>
      </c>
      <c r="I35" s="7">
        <v>0</v>
      </c>
      <c r="J35" s="21">
        <f t="shared" si="8"/>
        <v>0</v>
      </c>
      <c r="K35" s="8">
        <f t="shared" si="9"/>
        <v>72912</v>
      </c>
      <c r="L35" s="8"/>
      <c r="M35" s="8">
        <f t="shared" si="10"/>
        <v>362563.77999999991</v>
      </c>
      <c r="N35" s="203"/>
      <c r="O35" s="1"/>
    </row>
    <row r="36" spans="1:17">
      <c r="A36" s="50">
        <v>31</v>
      </c>
      <c r="B36" s="213"/>
      <c r="C36" s="263">
        <v>0</v>
      </c>
      <c r="D36" s="264"/>
      <c r="E36" s="8">
        <v>0</v>
      </c>
      <c r="F36" s="8">
        <v>0</v>
      </c>
      <c r="G36" s="16">
        <f t="shared" si="7"/>
        <v>0</v>
      </c>
      <c r="H36" s="7">
        <v>0</v>
      </c>
      <c r="I36" s="7">
        <v>0</v>
      </c>
      <c r="J36" s="21">
        <f t="shared" si="8"/>
        <v>0</v>
      </c>
      <c r="K36" s="8">
        <f t="shared" si="9"/>
        <v>0</v>
      </c>
      <c r="L36" s="8"/>
      <c r="M36" s="8">
        <f t="shared" si="10"/>
        <v>362563.77999999991</v>
      </c>
      <c r="N36" s="203"/>
      <c r="O36" s="1"/>
    </row>
    <row r="37" spans="1:17">
      <c r="A37" s="50">
        <v>32</v>
      </c>
      <c r="B37" s="213"/>
      <c r="C37" s="25"/>
      <c r="D37" s="18"/>
      <c r="E37" s="8">
        <v>0</v>
      </c>
      <c r="F37" s="8">
        <v>0</v>
      </c>
      <c r="G37" s="16">
        <f t="shared" si="4"/>
        <v>0</v>
      </c>
      <c r="H37" s="7">
        <v>0</v>
      </c>
      <c r="I37" s="7">
        <v>0</v>
      </c>
      <c r="J37" s="21">
        <f t="shared" si="5"/>
        <v>0</v>
      </c>
      <c r="K37" s="8">
        <f t="shared" si="6"/>
        <v>0</v>
      </c>
      <c r="L37" s="8"/>
      <c r="M37" s="8">
        <f t="shared" si="10"/>
        <v>362563.77999999991</v>
      </c>
      <c r="N37" s="203"/>
      <c r="O37" s="1"/>
      <c r="P37">
        <v>1194597.71</v>
      </c>
      <c r="Q37" s="324">
        <f>P37-M37</f>
        <v>832033.93</v>
      </c>
    </row>
    <row r="38" spans="1:17">
      <c r="A38" s="168"/>
      <c r="B38" s="168"/>
      <c r="C38" s="168"/>
      <c r="D38" s="168"/>
      <c r="E38" s="169">
        <f>SUM(E4:E37)</f>
        <v>4100</v>
      </c>
      <c r="F38" s="169"/>
      <c r="G38" s="169">
        <f>SUM(G4:G37)</f>
        <v>373674</v>
      </c>
      <c r="H38" s="169">
        <f>SUM(H4:H37)</f>
        <v>101</v>
      </c>
      <c r="I38" s="169"/>
      <c r="J38" s="169">
        <f>SUM(J4:J37)</f>
        <v>12871.9</v>
      </c>
      <c r="K38" s="169">
        <f>SUM(K4:K37)</f>
        <v>386545.9</v>
      </c>
      <c r="L38" s="169">
        <f>SUM(L4:L37)</f>
        <v>461912.77</v>
      </c>
      <c r="M38" s="169"/>
      <c r="N38" s="69"/>
      <c r="O38" s="65"/>
    </row>
    <row r="39" spans="1:17">
      <c r="A39" s="2"/>
      <c r="B39" s="2"/>
      <c r="C39" s="2"/>
      <c r="D39" s="2"/>
      <c r="E39" s="4"/>
      <c r="F39" s="4"/>
      <c r="G39" s="4"/>
      <c r="H39" s="4"/>
      <c r="I39" s="4"/>
      <c r="J39" s="4"/>
      <c r="K39" s="4"/>
      <c r="L39" s="4"/>
      <c r="M39" s="4"/>
      <c r="N39" s="4"/>
      <c r="O39" s="1"/>
    </row>
    <row r="40" spans="1:17">
      <c r="A40" s="1"/>
      <c r="B40" s="454"/>
      <c r="C40" s="454"/>
      <c r="D40" s="454"/>
      <c r="E40" s="454"/>
      <c r="F40" s="1"/>
      <c r="G40" s="1"/>
      <c r="H40" s="1"/>
      <c r="I40" s="454"/>
      <c r="J40" s="454"/>
      <c r="K40" s="454"/>
      <c r="L40" s="454"/>
      <c r="M40" s="454"/>
      <c r="N40" s="454"/>
      <c r="O40" s="4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</sheetData>
  <mergeCells count="3">
    <mergeCell ref="B40:E40"/>
    <mergeCell ref="I40:N40"/>
    <mergeCell ref="A1:N1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FCD-21AA-40DD-BCCB-514D4CD38E73}">
  <sheetPr>
    <tabColor rgb="FF7030A0"/>
  </sheetPr>
  <dimension ref="A1:R51"/>
  <sheetViews>
    <sheetView workbookViewId="0">
      <pane ySplit="2" topLeftCell="A24" activePane="bottomLeft" state="frozen"/>
      <selection pane="bottomLeft" activeCell="M32" sqref="M32"/>
    </sheetView>
  </sheetViews>
  <sheetFormatPr defaultColWidth="9.140625" defaultRowHeight="15"/>
  <cols>
    <col min="1" max="1" width="6.140625" bestFit="1" customWidth="1"/>
    <col min="2" max="2" width="11.5703125" customWidth="1"/>
    <col min="3" max="3" width="8" bestFit="1" customWidth="1"/>
    <col min="4" max="4" width="15.5703125" customWidth="1"/>
    <col min="5" max="5" width="10.85546875" bestFit="1" customWidth="1"/>
    <col min="6" max="7" width="11.85546875" bestFit="1" customWidth="1"/>
    <col min="8" max="8" width="10.7109375" bestFit="1" customWidth="1"/>
    <col min="9" max="9" width="8.140625" bestFit="1" customWidth="1"/>
    <col min="10" max="10" width="10.85546875" bestFit="1" customWidth="1"/>
    <col min="11" max="12" width="13.5703125" bestFit="1" customWidth="1"/>
    <col min="13" max="13" width="13.5703125" customWidth="1"/>
    <col min="14" max="14" width="17.7109375" bestFit="1" customWidth="1"/>
    <col min="15" max="15" width="7.140625" customWidth="1"/>
    <col min="16" max="16" width="9.7109375" customWidth="1"/>
    <col min="17" max="17" width="11.28515625" bestFit="1" customWidth="1"/>
  </cols>
  <sheetData>
    <row r="1" spans="1:15" ht="15.75">
      <c r="A1" s="465" t="s">
        <v>68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59"/>
    </row>
    <row r="2" spans="1:15" ht="18" customHeight="1">
      <c r="A2" s="70" t="s">
        <v>122</v>
      </c>
      <c r="B2" s="89" t="s">
        <v>123</v>
      </c>
      <c r="C2" s="89" t="s">
        <v>124</v>
      </c>
      <c r="D2" s="89" t="s">
        <v>125</v>
      </c>
      <c r="E2" s="89" t="s">
        <v>126</v>
      </c>
      <c r="F2" s="89" t="s">
        <v>127</v>
      </c>
      <c r="G2" s="89" t="s">
        <v>128</v>
      </c>
      <c r="H2" s="89" t="s">
        <v>129</v>
      </c>
      <c r="I2" s="89" t="s">
        <v>127</v>
      </c>
      <c r="J2" s="90" t="s">
        <v>128</v>
      </c>
      <c r="K2" s="70" t="s">
        <v>130</v>
      </c>
      <c r="L2" s="91" t="s">
        <v>131</v>
      </c>
      <c r="M2" s="174" t="s">
        <v>138</v>
      </c>
      <c r="N2" s="89" t="s">
        <v>133</v>
      </c>
      <c r="O2" s="65"/>
    </row>
    <row r="3" spans="1:15" ht="18" customHeight="1">
      <c r="A3" s="152"/>
      <c r="B3" s="153"/>
      <c r="C3" s="153"/>
      <c r="D3" s="139" t="s">
        <v>134</v>
      </c>
      <c r="E3" s="153"/>
      <c r="F3" s="153"/>
      <c r="G3" s="153"/>
      <c r="H3" s="153"/>
      <c r="I3" s="153"/>
      <c r="J3" s="154"/>
      <c r="K3" s="281"/>
      <c r="L3" s="246">
        <v>225176.0768999999</v>
      </c>
      <c r="M3" s="246">
        <v>225176.0768999999</v>
      </c>
      <c r="N3" s="153"/>
      <c r="O3" s="65"/>
    </row>
    <row r="4" spans="1:15">
      <c r="A4" s="50">
        <v>1</v>
      </c>
      <c r="B4" s="213">
        <v>45992</v>
      </c>
      <c r="C4" s="25"/>
      <c r="D4" s="25"/>
      <c r="E4" s="8">
        <v>0</v>
      </c>
      <c r="F4" s="8">
        <v>0</v>
      </c>
      <c r="G4" s="8"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55">
        <v>0</v>
      </c>
      <c r="M4" s="8">
        <f>M3+K4-L4</f>
        <v>225176.0768999999</v>
      </c>
      <c r="N4" s="48"/>
      <c r="O4" s="1"/>
    </row>
    <row r="5" spans="1:15">
      <c r="A5" s="50">
        <v>2</v>
      </c>
      <c r="B5" s="213">
        <v>45993</v>
      </c>
      <c r="C5" s="25"/>
      <c r="D5" s="25"/>
      <c r="E5" s="8">
        <v>0</v>
      </c>
      <c r="F5" s="8">
        <v>0</v>
      </c>
      <c r="G5" s="8">
        <f t="shared" ref="G5:G34" si="0">E5*F5</f>
        <v>0</v>
      </c>
      <c r="H5" s="9">
        <v>0</v>
      </c>
      <c r="I5" s="9">
        <v>0</v>
      </c>
      <c r="J5" s="8">
        <f t="shared" ref="J5:J34" si="1">H5*I5</f>
        <v>0</v>
      </c>
      <c r="K5" s="8">
        <f t="shared" ref="K5:K34" si="2">G5+J5</f>
        <v>0</v>
      </c>
      <c r="L5" s="155">
        <v>0</v>
      </c>
      <c r="M5" s="8">
        <f t="shared" ref="M5:M35" si="3">M4+K5-L5</f>
        <v>225176.0768999999</v>
      </c>
      <c r="N5" s="48"/>
      <c r="O5" s="1"/>
    </row>
    <row r="6" spans="1:15">
      <c r="A6" s="50">
        <v>3</v>
      </c>
      <c r="B6" s="213">
        <v>45994</v>
      </c>
      <c r="C6" s="25"/>
      <c r="D6" s="25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55">
        <v>0</v>
      </c>
      <c r="M6" s="8">
        <f t="shared" si="3"/>
        <v>225176.0768999999</v>
      </c>
      <c r="N6" s="48"/>
      <c r="O6" s="1"/>
    </row>
    <row r="7" spans="1:15">
      <c r="A7" s="50">
        <v>4</v>
      </c>
      <c r="B7" s="213">
        <v>45995</v>
      </c>
      <c r="C7" s="25"/>
      <c r="D7" s="25"/>
      <c r="E7" s="8">
        <v>0</v>
      </c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55">
        <v>0</v>
      </c>
      <c r="M7" s="8">
        <f t="shared" si="3"/>
        <v>225176.0768999999</v>
      </c>
      <c r="N7" s="48"/>
      <c r="O7" s="1"/>
    </row>
    <row r="8" spans="1:15">
      <c r="A8" s="50">
        <v>5</v>
      </c>
      <c r="B8" s="213">
        <v>45996</v>
      </c>
      <c r="C8" s="25"/>
      <c r="D8" s="25"/>
      <c r="E8" s="8">
        <v>0</v>
      </c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55">
        <v>0</v>
      </c>
      <c r="M8" s="8">
        <f t="shared" si="3"/>
        <v>225176.0768999999</v>
      </c>
      <c r="N8" s="48"/>
      <c r="O8" s="1"/>
    </row>
    <row r="9" spans="1:15">
      <c r="A9" s="50">
        <v>6</v>
      </c>
      <c r="B9" s="213">
        <v>45997</v>
      </c>
      <c r="C9" s="25"/>
      <c r="D9" s="25"/>
      <c r="E9" s="8">
        <v>0</v>
      </c>
      <c r="F9" s="8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55">
        <v>0</v>
      </c>
      <c r="M9" s="8">
        <f t="shared" si="3"/>
        <v>225176.0768999999</v>
      </c>
      <c r="N9" s="48"/>
      <c r="O9" s="1"/>
    </row>
    <row r="10" spans="1:15">
      <c r="A10" s="50">
        <v>7</v>
      </c>
      <c r="B10" s="213">
        <v>45998</v>
      </c>
      <c r="C10" s="25"/>
      <c r="D10" s="25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55">
        <v>0</v>
      </c>
      <c r="M10" s="8">
        <f t="shared" si="3"/>
        <v>225176.0768999999</v>
      </c>
      <c r="N10" s="48"/>
      <c r="O10" s="1"/>
    </row>
    <row r="11" spans="1:15">
      <c r="A11" s="50">
        <v>8</v>
      </c>
      <c r="B11" s="213">
        <v>45999</v>
      </c>
      <c r="C11" s="25"/>
      <c r="D11" s="25"/>
      <c r="E11" s="8">
        <v>0</v>
      </c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155">
        <v>0</v>
      </c>
      <c r="M11" s="8">
        <f t="shared" si="3"/>
        <v>225176.0768999999</v>
      </c>
      <c r="N11" s="48"/>
      <c r="O11" s="1"/>
    </row>
    <row r="12" spans="1:15">
      <c r="A12" s="50">
        <v>9</v>
      </c>
      <c r="B12" s="213">
        <v>46000</v>
      </c>
      <c r="C12" s="25"/>
      <c r="D12" s="25"/>
      <c r="E12" s="8">
        <v>0</v>
      </c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55">
        <v>0</v>
      </c>
      <c r="M12" s="8">
        <f t="shared" si="3"/>
        <v>225176.0768999999</v>
      </c>
      <c r="N12" s="48"/>
      <c r="O12" s="1" t="s">
        <v>190</v>
      </c>
    </row>
    <row r="13" spans="1:15">
      <c r="A13" s="50">
        <v>10</v>
      </c>
      <c r="B13" s="213">
        <v>46001</v>
      </c>
      <c r="C13" s="25"/>
      <c r="D13" s="25"/>
      <c r="E13" s="8">
        <v>0</v>
      </c>
      <c r="F13" s="8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155">
        <v>0</v>
      </c>
      <c r="M13" s="8">
        <f t="shared" si="3"/>
        <v>225176.0768999999</v>
      </c>
      <c r="N13" s="48"/>
      <c r="O13" s="1"/>
    </row>
    <row r="14" spans="1:15">
      <c r="A14" s="50">
        <v>11</v>
      </c>
      <c r="B14" s="213">
        <v>46002</v>
      </c>
      <c r="C14" s="25"/>
      <c r="D14" s="25"/>
      <c r="E14" s="8">
        <v>0</v>
      </c>
      <c r="F14" s="8">
        <v>0</v>
      </c>
      <c r="G14" s="8">
        <f t="shared" si="0"/>
        <v>0</v>
      </c>
      <c r="H14" s="9">
        <v>0</v>
      </c>
      <c r="I14" s="9">
        <v>0</v>
      </c>
      <c r="J14" s="8">
        <f t="shared" si="1"/>
        <v>0</v>
      </c>
      <c r="K14" s="8">
        <f t="shared" si="2"/>
        <v>0</v>
      </c>
      <c r="L14" s="155">
        <v>0</v>
      </c>
      <c r="M14" s="8">
        <f t="shared" si="3"/>
        <v>225176.0768999999</v>
      </c>
      <c r="N14" s="48"/>
      <c r="O14" s="1"/>
    </row>
    <row r="15" spans="1:15">
      <c r="A15" s="50">
        <v>12</v>
      </c>
      <c r="B15" s="213">
        <v>46003</v>
      </c>
      <c r="C15" s="25"/>
      <c r="D15" s="25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55">
        <v>224862</v>
      </c>
      <c r="M15" s="8">
        <f t="shared" si="3"/>
        <v>314.07689999989816</v>
      </c>
      <c r="N15" s="48"/>
      <c r="O15" s="1"/>
    </row>
    <row r="16" spans="1:15">
      <c r="A16" s="50">
        <v>13</v>
      </c>
      <c r="B16" s="213">
        <v>46004</v>
      </c>
      <c r="C16" s="25"/>
      <c r="D16" s="25"/>
      <c r="E16" s="8">
        <v>0</v>
      </c>
      <c r="F16" s="8">
        <v>0</v>
      </c>
      <c r="G16" s="8">
        <f t="shared" si="0"/>
        <v>0</v>
      </c>
      <c r="H16" s="9">
        <v>0</v>
      </c>
      <c r="I16" s="9">
        <v>0</v>
      </c>
      <c r="J16" s="8">
        <f t="shared" si="1"/>
        <v>0</v>
      </c>
      <c r="K16" s="8">
        <f t="shared" si="2"/>
        <v>0</v>
      </c>
      <c r="L16" s="155">
        <v>0</v>
      </c>
      <c r="M16" s="8">
        <f>M15+K16-L16</f>
        <v>314.07689999989816</v>
      </c>
      <c r="N16" s="48"/>
      <c r="O16" s="1"/>
    </row>
    <row r="17" spans="1:18">
      <c r="A17" s="50">
        <v>14</v>
      </c>
      <c r="B17" s="213">
        <v>46005</v>
      </c>
      <c r="C17" s="25"/>
      <c r="D17" s="25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/>
      <c r="K17" s="8">
        <f t="shared" si="2"/>
        <v>0</v>
      </c>
      <c r="L17" s="155">
        <v>0</v>
      </c>
      <c r="M17" s="8">
        <f>M16+K17-L17</f>
        <v>314.07689999989816</v>
      </c>
      <c r="N17" s="48"/>
      <c r="O17" s="1"/>
    </row>
    <row r="18" spans="1:18">
      <c r="A18" s="50">
        <v>15</v>
      </c>
      <c r="B18" s="213">
        <v>46006</v>
      </c>
      <c r="C18" s="25"/>
      <c r="D18" s="25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55">
        <v>0</v>
      </c>
      <c r="M18" s="8">
        <f t="shared" ref="M18:M36" si="4">M17+K18-L18</f>
        <v>314.07689999989816</v>
      </c>
      <c r="N18" s="48"/>
      <c r="O18" s="1"/>
    </row>
    <row r="19" spans="1:18">
      <c r="A19" s="50">
        <v>16</v>
      </c>
      <c r="B19" s="213">
        <v>46007</v>
      </c>
      <c r="C19" s="25"/>
      <c r="D19" s="25"/>
      <c r="E19" s="8">
        <v>0</v>
      </c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155">
        <v>0</v>
      </c>
      <c r="M19" s="8">
        <f t="shared" si="4"/>
        <v>314.07689999989816</v>
      </c>
      <c r="N19" s="48"/>
      <c r="O19" s="1"/>
    </row>
    <row r="20" spans="1:18">
      <c r="A20" s="50">
        <v>17</v>
      </c>
      <c r="B20" s="213">
        <v>46008</v>
      </c>
      <c r="C20" s="25"/>
      <c r="D20" s="25"/>
      <c r="E20" s="8">
        <v>0</v>
      </c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155">
        <v>0</v>
      </c>
      <c r="M20" s="8">
        <f t="shared" si="4"/>
        <v>314.07689999989816</v>
      </c>
      <c r="N20" s="48"/>
      <c r="O20" s="1"/>
    </row>
    <row r="21" spans="1:18">
      <c r="A21" s="50">
        <v>18</v>
      </c>
      <c r="B21" s="213">
        <v>46009</v>
      </c>
      <c r="C21" s="25"/>
      <c r="D21" s="25"/>
      <c r="E21" s="8">
        <v>0</v>
      </c>
      <c r="F21" s="8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155">
        <v>0</v>
      </c>
      <c r="M21" s="8">
        <f t="shared" si="4"/>
        <v>314.07689999989816</v>
      </c>
      <c r="N21" s="48"/>
      <c r="O21" s="1"/>
    </row>
    <row r="22" spans="1:18">
      <c r="A22" s="50">
        <v>19</v>
      </c>
      <c r="B22" s="213">
        <v>46010</v>
      </c>
      <c r="C22" s="25"/>
      <c r="D22" s="25"/>
      <c r="E22" s="8">
        <v>0</v>
      </c>
      <c r="F22" s="8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55">
        <v>0</v>
      </c>
      <c r="M22" s="8">
        <f t="shared" si="4"/>
        <v>314.07689999989816</v>
      </c>
      <c r="N22" s="48"/>
      <c r="O22" s="1"/>
    </row>
    <row r="23" spans="1:18">
      <c r="A23" s="50">
        <v>20</v>
      </c>
      <c r="B23" s="213">
        <v>46011</v>
      </c>
      <c r="C23" s="25"/>
      <c r="D23" s="25"/>
      <c r="E23" s="8">
        <v>0</v>
      </c>
      <c r="F23" s="8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55">
        <v>0</v>
      </c>
      <c r="M23" s="8">
        <f t="shared" si="4"/>
        <v>314.07689999989816</v>
      </c>
      <c r="N23" s="48"/>
      <c r="O23" s="1"/>
    </row>
    <row r="24" spans="1:18">
      <c r="A24" s="50">
        <v>21</v>
      </c>
      <c r="B24" s="213">
        <v>46012</v>
      </c>
      <c r="C24" s="25"/>
      <c r="D24" s="25"/>
      <c r="E24" s="8">
        <v>0</v>
      </c>
      <c r="F24" s="8">
        <v>0</v>
      </c>
      <c r="G24" s="8">
        <f t="shared" si="0"/>
        <v>0</v>
      </c>
      <c r="H24" s="9">
        <v>0</v>
      </c>
      <c r="I24" s="9">
        <v>0</v>
      </c>
      <c r="J24" s="8">
        <f t="shared" si="1"/>
        <v>0</v>
      </c>
      <c r="K24" s="8">
        <f t="shared" si="2"/>
        <v>0</v>
      </c>
      <c r="L24" s="155">
        <v>0</v>
      </c>
      <c r="M24" s="8">
        <f t="shared" si="4"/>
        <v>314.07689999989816</v>
      </c>
      <c r="N24" s="48"/>
      <c r="O24" s="1"/>
    </row>
    <row r="25" spans="1:18">
      <c r="A25" s="50">
        <v>22</v>
      </c>
      <c r="B25" s="213">
        <v>46013</v>
      </c>
      <c r="C25" s="25"/>
      <c r="D25" s="25"/>
      <c r="E25" s="8">
        <v>0</v>
      </c>
      <c r="F25" s="8">
        <v>0</v>
      </c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155">
        <v>0</v>
      </c>
      <c r="M25" s="8">
        <f t="shared" si="4"/>
        <v>314.07689999989816</v>
      </c>
      <c r="N25" s="48"/>
      <c r="O25" s="1"/>
    </row>
    <row r="26" spans="1:18">
      <c r="A26" s="50">
        <v>23</v>
      </c>
      <c r="B26" s="213">
        <v>46014</v>
      </c>
      <c r="C26" s="25"/>
      <c r="D26" s="25"/>
      <c r="E26" s="8">
        <v>0</v>
      </c>
      <c r="F26" s="8">
        <v>0</v>
      </c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55">
        <v>0</v>
      </c>
      <c r="M26" s="8">
        <f t="shared" si="4"/>
        <v>314.07689999989816</v>
      </c>
      <c r="N26" s="48"/>
      <c r="O26" s="1"/>
    </row>
    <row r="27" spans="1:18">
      <c r="A27" s="50">
        <v>24</v>
      </c>
      <c r="B27" s="213">
        <v>46015</v>
      </c>
      <c r="C27" s="25"/>
      <c r="D27" s="25"/>
      <c r="E27" s="8">
        <v>0</v>
      </c>
      <c r="F27" s="8">
        <v>0</v>
      </c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55">
        <v>0</v>
      </c>
      <c r="M27" s="8">
        <f t="shared" si="4"/>
        <v>314.07689999989816</v>
      </c>
      <c r="N27" s="48"/>
      <c r="O27" s="1"/>
    </row>
    <row r="28" spans="1:18">
      <c r="A28" s="50">
        <v>25</v>
      </c>
      <c r="B28" s="213">
        <v>46016</v>
      </c>
      <c r="C28" s="25"/>
      <c r="D28" s="25"/>
      <c r="E28" s="8">
        <v>0</v>
      </c>
      <c r="F28" s="8">
        <v>0</v>
      </c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155">
        <v>0</v>
      </c>
      <c r="M28" s="8">
        <f t="shared" si="4"/>
        <v>314.07689999989816</v>
      </c>
      <c r="N28" s="48"/>
      <c r="O28" s="1"/>
    </row>
    <row r="29" spans="1:18">
      <c r="A29" s="50">
        <v>26</v>
      </c>
      <c r="B29" s="213">
        <v>46017</v>
      </c>
      <c r="C29" s="25"/>
      <c r="D29" s="25"/>
      <c r="E29" s="8">
        <v>0</v>
      </c>
      <c r="F29" s="8">
        <v>0</v>
      </c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55">
        <v>0</v>
      </c>
      <c r="M29" s="8">
        <f t="shared" si="4"/>
        <v>314.07689999989816</v>
      </c>
      <c r="N29" s="48"/>
      <c r="O29" s="1"/>
    </row>
    <row r="30" spans="1:18">
      <c r="A30" s="50">
        <v>27</v>
      </c>
      <c r="B30" s="213">
        <v>46018</v>
      </c>
      <c r="C30" s="25"/>
      <c r="D30" s="25"/>
      <c r="E30" s="8">
        <v>0</v>
      </c>
      <c r="F30" s="8">
        <v>0</v>
      </c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55">
        <v>0</v>
      </c>
      <c r="M30" s="8">
        <f t="shared" si="4"/>
        <v>314.07689999989816</v>
      </c>
      <c r="N30" s="48"/>
      <c r="O30" s="1"/>
    </row>
    <row r="31" spans="1:18">
      <c r="A31" s="50">
        <v>28</v>
      </c>
      <c r="B31" s="213">
        <v>46019</v>
      </c>
      <c r="C31" s="25"/>
      <c r="D31" s="25"/>
      <c r="E31" s="8">
        <v>0</v>
      </c>
      <c r="F31" s="8">
        <v>0</v>
      </c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55">
        <v>0</v>
      </c>
      <c r="M31" s="8">
        <f t="shared" si="4"/>
        <v>314.07689999989816</v>
      </c>
      <c r="N31" s="48"/>
      <c r="O31" s="1"/>
      <c r="R31">
        <v>46.61</v>
      </c>
    </row>
    <row r="32" spans="1:18">
      <c r="A32" s="50">
        <v>29</v>
      </c>
      <c r="B32" s="213">
        <v>46020</v>
      </c>
      <c r="C32" s="25"/>
      <c r="D32" s="25"/>
      <c r="E32" s="8">
        <v>100</v>
      </c>
      <c r="F32" s="8">
        <v>91.47</v>
      </c>
      <c r="G32" s="8">
        <f t="shared" si="0"/>
        <v>9147</v>
      </c>
      <c r="H32" s="9">
        <v>0</v>
      </c>
      <c r="I32" s="9">
        <v>0</v>
      </c>
      <c r="J32" s="8">
        <f t="shared" si="1"/>
        <v>0</v>
      </c>
      <c r="K32" s="8">
        <f t="shared" si="2"/>
        <v>9147</v>
      </c>
      <c r="L32" s="155">
        <v>0</v>
      </c>
      <c r="M32" s="8">
        <f t="shared" si="4"/>
        <v>9461.0768999998982</v>
      </c>
      <c r="N32" s="48"/>
      <c r="O32" s="1"/>
      <c r="R32">
        <v>100</v>
      </c>
    </row>
    <row r="33" spans="1:18">
      <c r="A33" s="50">
        <v>30</v>
      </c>
      <c r="B33" s="213">
        <v>46021</v>
      </c>
      <c r="C33" s="25"/>
      <c r="D33" s="25"/>
      <c r="E33" s="8">
        <v>0</v>
      </c>
      <c r="F33" s="8">
        <v>0</v>
      </c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55">
        <v>0</v>
      </c>
      <c r="M33" s="8">
        <f t="shared" si="4"/>
        <v>9461.0768999998982</v>
      </c>
      <c r="N33" s="48"/>
      <c r="O33" s="1"/>
      <c r="R33">
        <v>35</v>
      </c>
    </row>
    <row r="34" spans="1:18">
      <c r="A34" s="50">
        <v>31</v>
      </c>
      <c r="B34" s="213">
        <v>46022</v>
      </c>
      <c r="C34" s="25"/>
      <c r="D34" s="25"/>
      <c r="E34" s="8">
        <v>0</v>
      </c>
      <c r="F34" s="8">
        <v>0</v>
      </c>
      <c r="G34" s="8">
        <f t="shared" si="0"/>
        <v>0</v>
      </c>
      <c r="H34" s="9">
        <v>0</v>
      </c>
      <c r="I34" s="9">
        <v>0</v>
      </c>
      <c r="J34" s="8">
        <f t="shared" si="1"/>
        <v>0</v>
      </c>
      <c r="K34" s="8">
        <f t="shared" si="2"/>
        <v>0</v>
      </c>
      <c r="L34" s="155">
        <v>0</v>
      </c>
      <c r="M34" s="8">
        <f t="shared" si="4"/>
        <v>9461.0768999998982</v>
      </c>
      <c r="N34" s="48" t="s">
        <v>191</v>
      </c>
      <c r="O34" s="1"/>
    </row>
    <row r="35" spans="1:18">
      <c r="A35" s="50">
        <v>32</v>
      </c>
      <c r="B35" s="213">
        <v>46023</v>
      </c>
      <c r="C35" s="25"/>
      <c r="D35" s="25"/>
      <c r="E35" s="8">
        <v>0</v>
      </c>
      <c r="F35" s="8">
        <v>0</v>
      </c>
      <c r="G35" s="8">
        <f t="shared" ref="G35" si="5">E35*F35</f>
        <v>0</v>
      </c>
      <c r="H35" s="9">
        <v>0</v>
      </c>
      <c r="I35" s="9">
        <v>0</v>
      </c>
      <c r="J35" s="8">
        <f t="shared" ref="J35" si="6">H35*I35</f>
        <v>0</v>
      </c>
      <c r="K35" s="8">
        <f t="shared" ref="K35" si="7">G35+J35</f>
        <v>0</v>
      </c>
      <c r="L35" s="155">
        <v>0</v>
      </c>
      <c r="M35" s="8">
        <f t="shared" si="4"/>
        <v>9461.0768999998982</v>
      </c>
      <c r="N35" s="48"/>
      <c r="O35" s="1"/>
    </row>
    <row r="36" spans="1:18">
      <c r="A36" s="208"/>
      <c r="B36" s="213"/>
      <c r="C36" s="25"/>
      <c r="D36" s="25"/>
      <c r="E36" s="8"/>
      <c r="F36" s="8"/>
      <c r="G36" s="8"/>
      <c r="H36" s="9">
        <v>0</v>
      </c>
      <c r="I36" s="9">
        <v>0</v>
      </c>
      <c r="J36" s="8"/>
      <c r="K36" s="8"/>
      <c r="L36" s="155"/>
      <c r="M36" s="8">
        <f t="shared" si="4"/>
        <v>9461.0768999998982</v>
      </c>
      <c r="N36" s="48"/>
      <c r="O36" s="1"/>
    </row>
    <row r="37" spans="1:18">
      <c r="A37" s="68"/>
      <c r="B37" s="68"/>
      <c r="C37" s="68"/>
      <c r="D37" s="68"/>
      <c r="E37" s="69">
        <f>SUM(E4:E35)</f>
        <v>100</v>
      </c>
      <c r="F37" s="69"/>
      <c r="G37" s="69">
        <f>SUM(G4:G35)</f>
        <v>9147</v>
      </c>
      <c r="H37" s="69">
        <f>SUM(H4:H35)</f>
        <v>0</v>
      </c>
      <c r="I37" s="69"/>
      <c r="J37" s="69">
        <f>SUM(J4:J35)</f>
        <v>0</v>
      </c>
      <c r="K37" s="69">
        <f>SUM(K4:K35)</f>
        <v>9147</v>
      </c>
      <c r="L37" s="69">
        <f>SUM(L4:L35)</f>
        <v>224862</v>
      </c>
      <c r="M37" s="69"/>
      <c r="N37" s="69"/>
      <c r="O37" s="65"/>
    </row>
    <row r="38" spans="1:18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8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8">
      <c r="A40" s="1"/>
      <c r="B40" s="454"/>
      <c r="C40" s="454"/>
      <c r="D40" s="454"/>
      <c r="E40" s="454"/>
      <c r="F40" s="1"/>
      <c r="G40" s="1"/>
      <c r="H40" s="1"/>
      <c r="I40" s="491">
        <f>K25+L25</f>
        <v>0</v>
      </c>
      <c r="J40" s="454"/>
      <c r="K40" s="454"/>
      <c r="L40" s="454"/>
      <c r="M40" s="454"/>
      <c r="N40" s="454"/>
      <c r="O40" s="4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B40:E40"/>
    <mergeCell ref="I40:N40"/>
    <mergeCell ref="A1:N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A481-4949-437A-B00D-681FFAC09D30}">
  <sheetPr>
    <tabColor rgb="FF7030A0"/>
  </sheetPr>
  <dimension ref="A1:R51"/>
  <sheetViews>
    <sheetView topLeftCell="A22" workbookViewId="0">
      <selection activeCell="H41" sqref="H41"/>
    </sheetView>
  </sheetViews>
  <sheetFormatPr defaultRowHeight="15"/>
  <cols>
    <col min="7" max="7" width="10.85546875" bestFit="1" customWidth="1"/>
    <col min="11" max="12" width="13.5703125" bestFit="1" customWidth="1"/>
    <col min="13" max="13" width="11.85546875" bestFit="1" customWidth="1"/>
  </cols>
  <sheetData>
    <row r="1" spans="1:15" ht="15.75">
      <c r="A1" s="465" t="s">
        <v>192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59"/>
    </row>
    <row r="2" spans="1:15" ht="30.75">
      <c r="A2" s="70" t="s">
        <v>122</v>
      </c>
      <c r="B2" s="89" t="s">
        <v>123</v>
      </c>
      <c r="C2" s="89" t="s">
        <v>124</v>
      </c>
      <c r="D2" s="89" t="s">
        <v>125</v>
      </c>
      <c r="E2" s="89" t="s">
        <v>126</v>
      </c>
      <c r="F2" s="89" t="s">
        <v>127</v>
      </c>
      <c r="G2" s="89" t="s">
        <v>128</v>
      </c>
      <c r="H2" s="89" t="s">
        <v>129</v>
      </c>
      <c r="I2" s="89" t="s">
        <v>127</v>
      </c>
      <c r="J2" s="90" t="s">
        <v>128</v>
      </c>
      <c r="K2" s="70" t="s">
        <v>130</v>
      </c>
      <c r="L2" s="91" t="s">
        <v>131</v>
      </c>
      <c r="M2" s="174" t="s">
        <v>138</v>
      </c>
      <c r="N2" s="89" t="s">
        <v>133</v>
      </c>
      <c r="O2" s="65"/>
    </row>
    <row r="3" spans="1:15">
      <c r="A3" s="152"/>
      <c r="B3" s="153"/>
      <c r="C3" s="153"/>
      <c r="D3" s="139" t="s">
        <v>134</v>
      </c>
      <c r="E3" s="153"/>
      <c r="F3" s="153"/>
      <c r="G3" s="153"/>
      <c r="H3" s="153"/>
      <c r="I3" s="153"/>
      <c r="J3" s="154"/>
      <c r="K3" s="281"/>
      <c r="L3" s="246">
        <v>0</v>
      </c>
      <c r="M3" s="246">
        <v>0</v>
      </c>
      <c r="N3" s="153"/>
      <c r="O3" s="65"/>
    </row>
    <row r="4" spans="1:15">
      <c r="A4" s="50">
        <v>1</v>
      </c>
      <c r="B4" s="213">
        <v>45992</v>
      </c>
      <c r="C4" s="25"/>
      <c r="D4" s="25"/>
      <c r="E4" s="8">
        <v>0</v>
      </c>
      <c r="F4" s="8">
        <v>0</v>
      </c>
      <c r="G4" s="8"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55">
        <v>0</v>
      </c>
      <c r="M4" s="8">
        <f>M3+K4-L4</f>
        <v>0</v>
      </c>
      <c r="N4" s="48"/>
      <c r="O4" s="1"/>
    </row>
    <row r="5" spans="1:15">
      <c r="A5" s="50">
        <v>2</v>
      </c>
      <c r="B5" s="213">
        <v>45993</v>
      </c>
      <c r="C5" s="25"/>
      <c r="D5" s="25"/>
      <c r="E5" s="8">
        <v>0</v>
      </c>
      <c r="F5" s="8">
        <v>0</v>
      </c>
      <c r="G5" s="8">
        <f t="shared" ref="G5:G35" si="0">E5*F5</f>
        <v>0</v>
      </c>
      <c r="H5" s="9">
        <v>0</v>
      </c>
      <c r="I5" s="9">
        <v>0</v>
      </c>
      <c r="J5" s="8">
        <f t="shared" ref="J5:J35" si="1">H5*I5</f>
        <v>0</v>
      </c>
      <c r="K5" s="8">
        <f t="shared" ref="K5:K35" si="2">G5+J5</f>
        <v>0</v>
      </c>
      <c r="L5" s="155">
        <v>0</v>
      </c>
      <c r="M5" s="8">
        <f t="shared" ref="M5:M15" si="3">M4+K5-L5</f>
        <v>0</v>
      </c>
      <c r="N5" s="48"/>
      <c r="O5" s="1"/>
    </row>
    <row r="6" spans="1:15">
      <c r="A6" s="50">
        <v>3</v>
      </c>
      <c r="B6" s="213">
        <v>45994</v>
      </c>
      <c r="C6" s="25"/>
      <c r="D6" s="25"/>
      <c r="E6" s="415">
        <v>132.43</v>
      </c>
      <c r="F6" s="416">
        <v>91.49</v>
      </c>
      <c r="G6" s="8">
        <f t="shared" si="0"/>
        <v>12116.020699999999</v>
      </c>
      <c r="H6" s="415">
        <v>19.5</v>
      </c>
      <c r="I6" s="9">
        <v>103.43</v>
      </c>
      <c r="J6" s="8">
        <f t="shared" si="1"/>
        <v>2016.8850000000002</v>
      </c>
      <c r="K6" s="8">
        <f t="shared" si="2"/>
        <v>14132.905699999999</v>
      </c>
      <c r="L6" s="155">
        <v>0</v>
      </c>
      <c r="M6" s="8">
        <f t="shared" si="3"/>
        <v>14132.905699999999</v>
      </c>
      <c r="N6" s="48"/>
      <c r="O6" s="1"/>
    </row>
    <row r="7" spans="1:15">
      <c r="A7" s="50">
        <v>4</v>
      </c>
      <c r="B7" s="213">
        <v>45995</v>
      </c>
      <c r="C7" s="25"/>
      <c r="D7" s="25"/>
      <c r="E7" s="415">
        <f>10+33+100+100</f>
        <v>243</v>
      </c>
      <c r="F7" s="416">
        <v>91.49</v>
      </c>
      <c r="G7" s="8">
        <f t="shared" si="0"/>
        <v>22232.07</v>
      </c>
      <c r="H7" s="415">
        <v>7</v>
      </c>
      <c r="I7" s="9">
        <v>103.43</v>
      </c>
      <c r="J7" s="8">
        <f t="shared" si="1"/>
        <v>724.01</v>
      </c>
      <c r="K7" s="8">
        <f t="shared" si="2"/>
        <v>22956.079999999998</v>
      </c>
      <c r="L7" s="155">
        <v>0</v>
      </c>
      <c r="M7" s="8">
        <f t="shared" si="3"/>
        <v>37088.985699999997</v>
      </c>
      <c r="N7" s="48"/>
      <c r="O7" s="1"/>
    </row>
    <row r="8" spans="1:15">
      <c r="A8" s="50">
        <v>5</v>
      </c>
      <c r="B8" s="213">
        <v>45996</v>
      </c>
      <c r="C8" s="25"/>
      <c r="D8" s="25"/>
      <c r="E8" s="415">
        <v>350.41</v>
      </c>
      <c r="F8" s="416">
        <v>91.49</v>
      </c>
      <c r="G8" s="8">
        <f t="shared" si="0"/>
        <v>32059.010900000001</v>
      </c>
      <c r="H8" s="9">
        <v>0</v>
      </c>
      <c r="I8" s="9">
        <v>0</v>
      </c>
      <c r="J8" s="8">
        <f t="shared" si="1"/>
        <v>0</v>
      </c>
      <c r="K8" s="8">
        <f t="shared" si="2"/>
        <v>32059.010900000001</v>
      </c>
      <c r="L8" s="155">
        <v>0</v>
      </c>
      <c r="M8" s="8">
        <f t="shared" si="3"/>
        <v>69147.996599999999</v>
      </c>
      <c r="N8" s="48"/>
      <c r="O8" s="1"/>
    </row>
    <row r="9" spans="1:15">
      <c r="A9" s="50">
        <v>6</v>
      </c>
      <c r="B9" s="213">
        <v>45997</v>
      </c>
      <c r="C9" s="25"/>
      <c r="D9" s="25"/>
      <c r="E9" s="8">
        <v>70</v>
      </c>
      <c r="F9" s="416">
        <v>91.49</v>
      </c>
      <c r="G9" s="8">
        <f t="shared" si="0"/>
        <v>6404.2999999999993</v>
      </c>
      <c r="H9" s="9">
        <v>5</v>
      </c>
      <c r="I9" s="9">
        <v>103.43</v>
      </c>
      <c r="J9" s="8">
        <f t="shared" si="1"/>
        <v>517.15000000000009</v>
      </c>
      <c r="K9" s="8">
        <f t="shared" si="2"/>
        <v>6921.4499999999989</v>
      </c>
      <c r="L9" s="155">
        <v>0</v>
      </c>
      <c r="M9" s="8">
        <f t="shared" si="3"/>
        <v>76069.446599999996</v>
      </c>
      <c r="N9" s="48"/>
      <c r="O9" s="1"/>
    </row>
    <row r="10" spans="1:15">
      <c r="A10" s="50">
        <v>7</v>
      </c>
      <c r="B10" s="213">
        <v>45998</v>
      </c>
      <c r="C10" s="25"/>
      <c r="D10" s="25"/>
      <c r="E10" s="8">
        <v>160</v>
      </c>
      <c r="F10" s="416">
        <v>91.49</v>
      </c>
      <c r="G10" s="8">
        <f t="shared" si="0"/>
        <v>14638.4</v>
      </c>
      <c r="H10" s="9">
        <v>6</v>
      </c>
      <c r="I10" s="9">
        <v>103.43</v>
      </c>
      <c r="J10" s="8">
        <f t="shared" si="1"/>
        <v>620.58000000000004</v>
      </c>
      <c r="K10" s="8">
        <f t="shared" si="2"/>
        <v>15258.98</v>
      </c>
      <c r="L10" s="155">
        <v>0</v>
      </c>
      <c r="M10" s="8">
        <f t="shared" si="3"/>
        <v>91328.426599999992</v>
      </c>
      <c r="N10" s="48"/>
      <c r="O10" s="1"/>
    </row>
    <row r="11" spans="1:15">
      <c r="A11" s="50">
        <v>8</v>
      </c>
      <c r="B11" s="213">
        <v>45999</v>
      </c>
      <c r="C11" s="25"/>
      <c r="D11" s="25"/>
      <c r="E11" s="8">
        <v>125</v>
      </c>
      <c r="F11" s="416">
        <v>91.49</v>
      </c>
      <c r="G11" s="8">
        <f t="shared" si="0"/>
        <v>11436.25</v>
      </c>
      <c r="H11" s="9">
        <v>0</v>
      </c>
      <c r="I11" s="9">
        <v>0</v>
      </c>
      <c r="J11" s="8">
        <f t="shared" si="1"/>
        <v>0</v>
      </c>
      <c r="K11" s="8">
        <f t="shared" si="2"/>
        <v>11436.25</v>
      </c>
      <c r="L11" s="155">
        <v>0</v>
      </c>
      <c r="M11" s="8">
        <f t="shared" si="3"/>
        <v>102764.67659999999</v>
      </c>
      <c r="N11" s="48"/>
      <c r="O11" s="1"/>
    </row>
    <row r="12" spans="1:15">
      <c r="A12" s="50">
        <v>9</v>
      </c>
      <c r="B12" s="213">
        <v>46000</v>
      </c>
      <c r="C12" s="25"/>
      <c r="D12" s="25"/>
      <c r="E12" s="8">
        <v>110.95</v>
      </c>
      <c r="F12" s="8">
        <v>91.49</v>
      </c>
      <c r="G12" s="8">
        <f t="shared" si="0"/>
        <v>10150.815499999999</v>
      </c>
      <c r="H12" s="9">
        <v>0</v>
      </c>
      <c r="I12" s="9">
        <v>0</v>
      </c>
      <c r="J12" s="8">
        <f t="shared" si="1"/>
        <v>0</v>
      </c>
      <c r="K12" s="8">
        <f t="shared" si="2"/>
        <v>10150.815499999999</v>
      </c>
      <c r="L12" s="155">
        <v>0</v>
      </c>
      <c r="M12" s="8">
        <f t="shared" si="3"/>
        <v>112915.49209999999</v>
      </c>
      <c r="N12" s="48"/>
      <c r="O12" s="1" t="s">
        <v>190</v>
      </c>
    </row>
    <row r="13" spans="1:15">
      <c r="A13" s="50">
        <v>10</v>
      </c>
      <c r="B13" s="213">
        <v>46001</v>
      </c>
      <c r="C13" s="25"/>
      <c r="D13" s="25"/>
      <c r="E13" s="8">
        <v>41.55</v>
      </c>
      <c r="F13" s="8">
        <v>91.49</v>
      </c>
      <c r="G13" s="8">
        <f t="shared" si="0"/>
        <v>3801.4094999999998</v>
      </c>
      <c r="H13" s="9">
        <v>0</v>
      </c>
      <c r="I13" s="9">
        <v>0</v>
      </c>
      <c r="J13" s="8">
        <f t="shared" si="1"/>
        <v>0</v>
      </c>
      <c r="K13" s="8">
        <f t="shared" si="2"/>
        <v>3801.4094999999998</v>
      </c>
      <c r="L13" s="155">
        <v>0</v>
      </c>
      <c r="M13" s="8">
        <f t="shared" si="3"/>
        <v>116716.90159999998</v>
      </c>
      <c r="N13" s="48"/>
      <c r="O13" s="1"/>
    </row>
    <row r="14" spans="1:15">
      <c r="A14" s="50">
        <v>11</v>
      </c>
      <c r="B14" s="213">
        <v>46002</v>
      </c>
      <c r="C14" s="25"/>
      <c r="D14" s="25"/>
      <c r="E14" s="8">
        <v>65</v>
      </c>
      <c r="F14" s="8">
        <v>91.49</v>
      </c>
      <c r="G14" s="8">
        <f t="shared" si="0"/>
        <v>5946.8499999999995</v>
      </c>
      <c r="H14" s="9">
        <v>0</v>
      </c>
      <c r="I14" s="9">
        <v>0</v>
      </c>
      <c r="J14" s="8">
        <f t="shared" si="1"/>
        <v>0</v>
      </c>
      <c r="K14" s="8">
        <f t="shared" si="2"/>
        <v>5946.8499999999995</v>
      </c>
      <c r="L14" s="155">
        <v>0</v>
      </c>
      <c r="M14" s="8">
        <f t="shared" si="3"/>
        <v>122663.75159999999</v>
      </c>
      <c r="N14" s="48"/>
      <c r="O14" s="1"/>
    </row>
    <row r="15" spans="1:15">
      <c r="A15" s="50">
        <v>12</v>
      </c>
      <c r="B15" s="213">
        <v>46003</v>
      </c>
      <c r="C15" s="25"/>
      <c r="D15" s="25"/>
      <c r="E15" s="8">
        <v>300</v>
      </c>
      <c r="F15" s="8">
        <v>91.49</v>
      </c>
      <c r="G15" s="8">
        <f t="shared" si="0"/>
        <v>27447</v>
      </c>
      <c r="H15" s="9">
        <v>15</v>
      </c>
      <c r="I15" s="9">
        <v>103.43</v>
      </c>
      <c r="J15" s="8">
        <f t="shared" si="1"/>
        <v>1551.45</v>
      </c>
      <c r="K15" s="8">
        <f t="shared" si="2"/>
        <v>28998.45</v>
      </c>
      <c r="L15" s="155">
        <v>0</v>
      </c>
      <c r="M15" s="8">
        <f t="shared" si="3"/>
        <v>151662.2016</v>
      </c>
      <c r="N15" s="48"/>
      <c r="O15" s="1"/>
    </row>
    <row r="16" spans="1:15">
      <c r="A16" s="50">
        <v>13</v>
      </c>
      <c r="B16" s="213">
        <v>46004</v>
      </c>
      <c r="C16" s="25"/>
      <c r="D16" s="25"/>
      <c r="E16" s="8">
        <v>43.72</v>
      </c>
      <c r="F16" s="8">
        <v>91.49</v>
      </c>
      <c r="G16" s="8">
        <f t="shared" si="0"/>
        <v>3999.9427999999998</v>
      </c>
      <c r="H16" s="9">
        <v>0</v>
      </c>
      <c r="I16" s="9">
        <v>0</v>
      </c>
      <c r="J16" s="8">
        <f t="shared" si="1"/>
        <v>0</v>
      </c>
      <c r="K16" s="8">
        <f t="shared" si="2"/>
        <v>3999.9427999999998</v>
      </c>
      <c r="L16" s="155">
        <v>141650</v>
      </c>
      <c r="M16" s="8">
        <f>M15+K16-L16</f>
        <v>14012.14439999999</v>
      </c>
      <c r="N16" s="48"/>
      <c r="O16" s="1"/>
    </row>
    <row r="17" spans="1:18">
      <c r="A17" s="50">
        <v>14</v>
      </c>
      <c r="B17" s="213">
        <v>46005</v>
      </c>
      <c r="C17" s="25"/>
      <c r="D17" s="25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/>
      <c r="K17" s="8">
        <f t="shared" si="2"/>
        <v>0</v>
      </c>
      <c r="L17" s="155">
        <v>0</v>
      </c>
      <c r="M17" s="8">
        <f>M16+K17-L17</f>
        <v>14012.14439999999</v>
      </c>
      <c r="N17" s="48"/>
      <c r="O17" s="1"/>
    </row>
    <row r="18" spans="1:18">
      <c r="A18" s="50">
        <v>15</v>
      </c>
      <c r="B18" s="213">
        <v>46006</v>
      </c>
      <c r="C18" s="25"/>
      <c r="D18" s="25"/>
      <c r="E18" s="8">
        <v>55.19</v>
      </c>
      <c r="F18" s="8">
        <v>91.49</v>
      </c>
      <c r="G18" s="8">
        <f t="shared" si="0"/>
        <v>5049.3330999999998</v>
      </c>
      <c r="H18" s="9">
        <v>12.06</v>
      </c>
      <c r="I18" s="9">
        <v>103.43</v>
      </c>
      <c r="J18" s="8">
        <f t="shared" si="1"/>
        <v>1247.3658</v>
      </c>
      <c r="K18" s="8">
        <f t="shared" si="2"/>
        <v>6296.6988999999994</v>
      </c>
      <c r="L18" s="155">
        <v>0</v>
      </c>
      <c r="M18" s="8">
        <f t="shared" ref="M18:M36" si="4">M17+K18-L18</f>
        <v>20308.84329999999</v>
      </c>
      <c r="N18" s="48"/>
      <c r="O18" s="1"/>
    </row>
    <row r="19" spans="1:18">
      <c r="A19" s="50">
        <v>16</v>
      </c>
      <c r="B19" s="213">
        <v>46007</v>
      </c>
      <c r="C19" s="25"/>
      <c r="D19" s="25"/>
      <c r="E19" s="8">
        <v>20</v>
      </c>
      <c r="F19" s="8">
        <v>91.49</v>
      </c>
      <c r="G19" s="8">
        <f t="shared" si="0"/>
        <v>1829.8</v>
      </c>
      <c r="H19" s="9">
        <v>0</v>
      </c>
      <c r="I19" s="9">
        <v>0</v>
      </c>
      <c r="J19" s="8">
        <f t="shared" si="1"/>
        <v>0</v>
      </c>
      <c r="K19" s="8">
        <f t="shared" si="2"/>
        <v>1829.8</v>
      </c>
      <c r="L19" s="155">
        <v>14064</v>
      </c>
      <c r="M19" s="8">
        <f t="shared" si="4"/>
        <v>8074.6432999999888</v>
      </c>
      <c r="N19" s="48"/>
      <c r="O19" s="1"/>
    </row>
    <row r="20" spans="1:18">
      <c r="A20" s="50">
        <v>17</v>
      </c>
      <c r="B20" s="213">
        <v>46008</v>
      </c>
      <c r="C20" s="25"/>
      <c r="D20" s="25"/>
      <c r="E20" s="8">
        <v>76.5</v>
      </c>
      <c r="F20" s="8">
        <v>91.49</v>
      </c>
      <c r="G20" s="8">
        <f t="shared" si="0"/>
        <v>6998.9849999999997</v>
      </c>
      <c r="H20" s="9">
        <v>0</v>
      </c>
      <c r="I20" s="9">
        <v>0</v>
      </c>
      <c r="J20" s="8">
        <f t="shared" si="1"/>
        <v>0</v>
      </c>
      <c r="K20" s="8">
        <f t="shared" si="2"/>
        <v>6998.9849999999997</v>
      </c>
      <c r="L20" s="155">
        <v>0</v>
      </c>
      <c r="M20" s="8">
        <f t="shared" si="4"/>
        <v>15073.628299999989</v>
      </c>
      <c r="N20" s="48"/>
      <c r="O20" s="1"/>
      <c r="R20">
        <v>141649</v>
      </c>
    </row>
    <row r="21" spans="1:18">
      <c r="A21" s="50">
        <v>18</v>
      </c>
      <c r="B21" s="213">
        <v>46009</v>
      </c>
      <c r="C21" s="25"/>
      <c r="D21" s="25"/>
      <c r="E21" s="8">
        <v>0</v>
      </c>
      <c r="F21" s="8">
        <v>0</v>
      </c>
      <c r="G21" s="8">
        <f t="shared" si="0"/>
        <v>0</v>
      </c>
      <c r="H21" s="9">
        <v>14</v>
      </c>
      <c r="I21" s="9">
        <v>103.43</v>
      </c>
      <c r="J21" s="8">
        <f t="shared" si="1"/>
        <v>1448.02</v>
      </c>
      <c r="K21" s="8">
        <f t="shared" si="2"/>
        <v>1448.02</v>
      </c>
      <c r="L21" s="155">
        <v>0</v>
      </c>
      <c r="M21" s="8">
        <f t="shared" si="4"/>
        <v>16521.64829999999</v>
      </c>
      <c r="N21" s="48"/>
      <c r="O21" s="1"/>
    </row>
    <row r="22" spans="1:18">
      <c r="A22" s="50">
        <v>19</v>
      </c>
      <c r="B22" s="213">
        <v>46010</v>
      </c>
      <c r="C22" s="25"/>
      <c r="D22" s="25"/>
      <c r="E22" s="8">
        <v>93.72</v>
      </c>
      <c r="F22" s="8">
        <v>91.49</v>
      </c>
      <c r="G22" s="8">
        <f t="shared" si="0"/>
        <v>8574.4427999999989</v>
      </c>
      <c r="H22" s="9">
        <v>0</v>
      </c>
      <c r="I22" s="9">
        <v>0</v>
      </c>
      <c r="J22" s="8">
        <f t="shared" si="1"/>
        <v>0</v>
      </c>
      <c r="K22" s="8">
        <f t="shared" si="2"/>
        <v>8574.4427999999989</v>
      </c>
      <c r="L22" s="155">
        <v>0</v>
      </c>
      <c r="M22" s="8">
        <f t="shared" si="4"/>
        <v>25096.091099999991</v>
      </c>
      <c r="N22" s="48"/>
      <c r="O22" s="1"/>
    </row>
    <row r="23" spans="1:18">
      <c r="A23" s="50">
        <v>20</v>
      </c>
      <c r="B23" s="213">
        <v>46011</v>
      </c>
      <c r="C23" s="25"/>
      <c r="D23" s="25"/>
      <c r="E23" s="8">
        <v>115</v>
      </c>
      <c r="F23" s="8">
        <v>91.49</v>
      </c>
      <c r="G23" s="8">
        <f t="shared" si="0"/>
        <v>10521.349999999999</v>
      </c>
      <c r="H23" s="9">
        <v>5</v>
      </c>
      <c r="I23" s="9">
        <v>103.43</v>
      </c>
      <c r="J23" s="8">
        <f t="shared" si="1"/>
        <v>517.15000000000009</v>
      </c>
      <c r="K23" s="8">
        <f t="shared" si="2"/>
        <v>11038.499999999998</v>
      </c>
      <c r="L23" s="155">
        <v>0</v>
      </c>
      <c r="M23" s="8">
        <f t="shared" si="4"/>
        <v>36134.591099999991</v>
      </c>
      <c r="N23" s="48"/>
      <c r="O23" s="1"/>
    </row>
    <row r="24" spans="1:18">
      <c r="A24" s="50">
        <v>21</v>
      </c>
      <c r="B24" s="213">
        <v>46012</v>
      </c>
      <c r="C24" s="25"/>
      <c r="D24" s="25"/>
      <c r="E24" s="8">
        <v>65</v>
      </c>
      <c r="F24" s="8">
        <v>91.49</v>
      </c>
      <c r="G24" s="8">
        <f t="shared" si="0"/>
        <v>5946.8499999999995</v>
      </c>
      <c r="H24" s="9">
        <v>0</v>
      </c>
      <c r="I24" s="9">
        <v>0</v>
      </c>
      <c r="J24" s="8">
        <f t="shared" si="1"/>
        <v>0</v>
      </c>
      <c r="K24" s="8">
        <f t="shared" si="2"/>
        <v>5946.8499999999995</v>
      </c>
      <c r="L24" s="155">
        <v>0</v>
      </c>
      <c r="M24" s="8">
        <f t="shared" si="4"/>
        <v>42081.441099999989</v>
      </c>
      <c r="N24" s="48"/>
      <c r="O24" s="1"/>
    </row>
    <row r="25" spans="1:18">
      <c r="A25" s="50">
        <v>22</v>
      </c>
      <c r="B25" s="213">
        <v>46013</v>
      </c>
      <c r="C25" s="25"/>
      <c r="D25" s="25"/>
      <c r="E25" s="8">
        <v>40</v>
      </c>
      <c r="F25" s="8">
        <v>91.49</v>
      </c>
      <c r="G25" s="8">
        <f t="shared" si="0"/>
        <v>3659.6</v>
      </c>
      <c r="H25" s="9">
        <v>0</v>
      </c>
      <c r="I25" s="9">
        <v>0</v>
      </c>
      <c r="J25" s="8">
        <f t="shared" si="1"/>
        <v>0</v>
      </c>
      <c r="K25" s="8">
        <f t="shared" si="2"/>
        <v>3659.6</v>
      </c>
      <c r="L25" s="155">
        <v>0</v>
      </c>
      <c r="M25" s="8">
        <f t="shared" si="4"/>
        <v>45741.041099999988</v>
      </c>
      <c r="N25" s="48"/>
      <c r="O25" s="1"/>
    </row>
    <row r="26" spans="1:18">
      <c r="A26" s="50">
        <v>23</v>
      </c>
      <c r="B26" s="213">
        <v>46014</v>
      </c>
      <c r="C26" s="25"/>
      <c r="D26" s="25"/>
      <c r="E26" s="8">
        <v>35</v>
      </c>
      <c r="F26" s="8">
        <v>91.49</v>
      </c>
      <c r="G26" s="8">
        <f t="shared" si="0"/>
        <v>3202.1499999999996</v>
      </c>
      <c r="H26" s="9">
        <v>0</v>
      </c>
      <c r="I26" s="9">
        <v>0</v>
      </c>
      <c r="J26" s="8">
        <f t="shared" si="1"/>
        <v>0</v>
      </c>
      <c r="K26" s="8">
        <f t="shared" si="2"/>
        <v>3202.1499999999996</v>
      </c>
      <c r="L26" s="155">
        <v>0</v>
      </c>
      <c r="M26" s="8">
        <f t="shared" si="4"/>
        <v>48943.191099999989</v>
      </c>
      <c r="N26" s="48"/>
      <c r="O26" s="1"/>
    </row>
    <row r="27" spans="1:18">
      <c r="A27" s="50">
        <v>24</v>
      </c>
      <c r="B27" s="213">
        <v>46015</v>
      </c>
      <c r="C27" s="25"/>
      <c r="D27" s="25"/>
      <c r="E27" s="8">
        <v>0</v>
      </c>
      <c r="F27" s="8">
        <v>0</v>
      </c>
      <c r="G27" s="8">
        <f t="shared" si="0"/>
        <v>0</v>
      </c>
      <c r="H27" s="9">
        <v>5</v>
      </c>
      <c r="I27" s="9">
        <v>103.43</v>
      </c>
      <c r="J27" s="8">
        <f t="shared" si="1"/>
        <v>517.15000000000009</v>
      </c>
      <c r="K27" s="8">
        <f t="shared" si="2"/>
        <v>517.15000000000009</v>
      </c>
      <c r="L27" s="155">
        <v>0</v>
      </c>
      <c r="M27" s="8">
        <f t="shared" si="4"/>
        <v>49460.341099999991</v>
      </c>
      <c r="N27" s="48"/>
      <c r="O27" s="1"/>
    </row>
    <row r="28" spans="1:18">
      <c r="A28" s="50">
        <v>25</v>
      </c>
      <c r="B28" s="213">
        <v>46016</v>
      </c>
      <c r="C28" s="25"/>
      <c r="D28" s="25"/>
      <c r="E28" s="8">
        <v>355</v>
      </c>
      <c r="F28" s="8">
        <v>91.49</v>
      </c>
      <c r="G28" s="8">
        <f t="shared" si="0"/>
        <v>32478.949999999997</v>
      </c>
      <c r="H28" s="9">
        <v>5</v>
      </c>
      <c r="I28" s="9">
        <v>103.43</v>
      </c>
      <c r="J28" s="8">
        <f t="shared" si="1"/>
        <v>517.15000000000009</v>
      </c>
      <c r="K28" s="8">
        <f t="shared" si="2"/>
        <v>32996.1</v>
      </c>
      <c r="L28" s="155">
        <v>0</v>
      </c>
      <c r="M28" s="8">
        <f t="shared" si="4"/>
        <v>82456.441099999996</v>
      </c>
      <c r="N28" s="48"/>
      <c r="O28" s="1"/>
    </row>
    <row r="29" spans="1:18">
      <c r="A29" s="50">
        <v>26</v>
      </c>
      <c r="B29" s="213">
        <v>46017</v>
      </c>
      <c r="C29" s="25"/>
      <c r="D29" s="25"/>
      <c r="E29" s="8">
        <v>70</v>
      </c>
      <c r="F29" s="8">
        <v>91.49</v>
      </c>
      <c r="G29" s="8">
        <f t="shared" si="0"/>
        <v>6404.2999999999993</v>
      </c>
      <c r="H29" s="9">
        <v>10</v>
      </c>
      <c r="I29" s="9">
        <v>103.43</v>
      </c>
      <c r="J29" s="8">
        <f t="shared" si="1"/>
        <v>1034.3000000000002</v>
      </c>
      <c r="K29" s="8">
        <f t="shared" si="2"/>
        <v>7438.5999999999995</v>
      </c>
      <c r="L29" s="155">
        <v>0</v>
      </c>
      <c r="M29" s="8">
        <f t="shared" si="4"/>
        <v>89895.041100000002</v>
      </c>
      <c r="N29" s="48"/>
      <c r="O29" s="1"/>
    </row>
    <row r="30" spans="1:18">
      <c r="A30" s="50">
        <v>27</v>
      </c>
      <c r="B30" s="213">
        <v>46018</v>
      </c>
      <c r="C30" s="25"/>
      <c r="D30" s="25"/>
      <c r="E30" s="8">
        <v>330</v>
      </c>
      <c r="F30" s="8">
        <v>91.49</v>
      </c>
      <c r="G30" s="8">
        <f t="shared" si="0"/>
        <v>30191.699999999997</v>
      </c>
      <c r="H30" s="9">
        <v>10</v>
      </c>
      <c r="I30" s="9">
        <v>103.43</v>
      </c>
      <c r="J30" s="8">
        <f t="shared" si="1"/>
        <v>1034.3000000000002</v>
      </c>
      <c r="K30" s="8">
        <f t="shared" si="2"/>
        <v>31225.999999999996</v>
      </c>
      <c r="L30" s="155">
        <v>0</v>
      </c>
      <c r="M30" s="8">
        <f t="shared" si="4"/>
        <v>121121.0411</v>
      </c>
      <c r="N30" s="48"/>
      <c r="O30" s="1"/>
    </row>
    <row r="31" spans="1:18">
      <c r="A31" s="50">
        <v>28</v>
      </c>
      <c r="B31" s="213">
        <v>46019</v>
      </c>
      <c r="C31" s="25"/>
      <c r="D31" s="25"/>
      <c r="E31" s="8">
        <v>0</v>
      </c>
      <c r="F31" s="8">
        <v>0</v>
      </c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55">
        <v>0</v>
      </c>
      <c r="M31" s="8">
        <f t="shared" si="4"/>
        <v>121121.0411</v>
      </c>
      <c r="N31" s="48"/>
      <c r="O31" s="1"/>
      <c r="R31">
        <v>46.61</v>
      </c>
    </row>
    <row r="32" spans="1:18">
      <c r="A32" s="50">
        <v>29</v>
      </c>
      <c r="B32" s="213">
        <v>46020</v>
      </c>
      <c r="C32" s="25"/>
      <c r="D32" s="25"/>
      <c r="E32" s="8">
        <v>39</v>
      </c>
      <c r="F32" s="8">
        <v>91.49</v>
      </c>
      <c r="G32" s="8">
        <f t="shared" si="0"/>
        <v>3568.1099999999997</v>
      </c>
      <c r="H32" s="9">
        <v>6</v>
      </c>
      <c r="I32" s="9">
        <v>103.43</v>
      </c>
      <c r="J32" s="8">
        <f t="shared" si="1"/>
        <v>620.58000000000004</v>
      </c>
      <c r="K32" s="8">
        <f t="shared" si="2"/>
        <v>4188.6899999999996</v>
      </c>
      <c r="L32" s="155">
        <v>0</v>
      </c>
      <c r="M32" s="8">
        <f t="shared" si="4"/>
        <v>125309.7311</v>
      </c>
      <c r="N32" s="48"/>
      <c r="O32" s="1"/>
      <c r="R32">
        <v>100</v>
      </c>
    </row>
    <row r="33" spans="1:18">
      <c r="A33" s="50">
        <v>30</v>
      </c>
      <c r="B33" s="213">
        <v>46021</v>
      </c>
      <c r="C33" s="25"/>
      <c r="D33" s="25"/>
      <c r="E33" s="8">
        <v>274</v>
      </c>
      <c r="F33" s="8">
        <v>91.49</v>
      </c>
      <c r="G33" s="8">
        <f t="shared" si="0"/>
        <v>25068.26</v>
      </c>
      <c r="H33" s="9">
        <v>0</v>
      </c>
      <c r="I33" s="9">
        <v>103.43</v>
      </c>
      <c r="J33" s="8">
        <f t="shared" si="1"/>
        <v>0</v>
      </c>
      <c r="K33" s="8">
        <f t="shared" si="2"/>
        <v>25068.26</v>
      </c>
      <c r="L33" s="155">
        <v>0</v>
      </c>
      <c r="M33" s="8">
        <f t="shared" si="4"/>
        <v>150377.99110000001</v>
      </c>
      <c r="N33" s="48"/>
      <c r="O33" s="1"/>
      <c r="R33">
        <v>35</v>
      </c>
    </row>
    <row r="34" spans="1:18">
      <c r="A34" s="50">
        <v>31</v>
      </c>
      <c r="B34" s="213">
        <v>46022</v>
      </c>
      <c r="C34" s="25"/>
      <c r="D34" s="25"/>
      <c r="E34" s="8">
        <v>130</v>
      </c>
      <c r="F34" s="8">
        <v>91.49</v>
      </c>
      <c r="G34" s="8">
        <f t="shared" si="0"/>
        <v>11893.699999999999</v>
      </c>
      <c r="H34" s="9">
        <v>21</v>
      </c>
      <c r="I34" s="9">
        <v>103.43</v>
      </c>
      <c r="J34" s="8">
        <f t="shared" si="1"/>
        <v>2172.0300000000002</v>
      </c>
      <c r="K34" s="8">
        <f t="shared" si="2"/>
        <v>14065.73</v>
      </c>
      <c r="L34" s="155">
        <v>0</v>
      </c>
      <c r="M34" s="8">
        <f t="shared" si="4"/>
        <v>164443.72110000002</v>
      </c>
      <c r="N34" s="48" t="s">
        <v>191</v>
      </c>
      <c r="O34" s="1"/>
    </row>
    <row r="35" spans="1:18">
      <c r="A35" s="50">
        <v>32</v>
      </c>
      <c r="B35" s="213">
        <v>46023</v>
      </c>
      <c r="C35" s="25"/>
      <c r="D35" s="25"/>
      <c r="E35" s="8">
        <v>0</v>
      </c>
      <c r="F35" s="8">
        <v>0</v>
      </c>
      <c r="G35" s="8">
        <f t="shared" si="0"/>
        <v>0</v>
      </c>
      <c r="H35" s="9">
        <v>0</v>
      </c>
      <c r="I35" s="9">
        <v>0</v>
      </c>
      <c r="J35" s="8">
        <f t="shared" si="1"/>
        <v>0</v>
      </c>
      <c r="K35" s="8">
        <f t="shared" si="2"/>
        <v>0</v>
      </c>
      <c r="L35" s="155">
        <v>0</v>
      </c>
      <c r="M35" s="8">
        <f t="shared" si="4"/>
        <v>164443.72110000002</v>
      </c>
      <c r="N35" s="48"/>
      <c r="O35" s="1"/>
    </row>
    <row r="36" spans="1:18">
      <c r="A36" s="208"/>
      <c r="B36" s="213"/>
      <c r="C36" s="25"/>
      <c r="D36" s="25"/>
      <c r="E36" s="8"/>
      <c r="F36" s="8"/>
      <c r="G36" s="8"/>
      <c r="H36" s="9">
        <v>0</v>
      </c>
      <c r="I36" s="9">
        <v>0</v>
      </c>
      <c r="J36" s="8"/>
      <c r="K36" s="8"/>
      <c r="L36" s="155"/>
      <c r="M36" s="8">
        <f t="shared" si="4"/>
        <v>164443.72110000002</v>
      </c>
      <c r="N36" s="48"/>
      <c r="O36" s="1"/>
    </row>
    <row r="37" spans="1:18">
      <c r="A37" s="68"/>
      <c r="B37" s="68"/>
      <c r="C37" s="68"/>
      <c r="D37" s="68"/>
      <c r="E37" s="69">
        <f>SUM(E4:E35)</f>
        <v>3340.4700000000003</v>
      </c>
      <c r="F37" s="69"/>
      <c r="G37" s="69">
        <f>SUM(G4:G35)</f>
        <v>305619.60029999993</v>
      </c>
      <c r="H37" s="69">
        <f>SUM(H4:H35)</f>
        <v>140.56</v>
      </c>
      <c r="I37" s="69"/>
      <c r="J37" s="69">
        <f>SUM(J4:J35)</f>
        <v>14538.120800000001</v>
      </c>
      <c r="K37" s="69">
        <f>SUM(K4:K35)</f>
        <v>320157.72109999991</v>
      </c>
      <c r="L37" s="69">
        <f>SUM(L4:L35)</f>
        <v>155714</v>
      </c>
      <c r="M37" s="69"/>
      <c r="N37" s="69"/>
      <c r="O37" s="65"/>
    </row>
    <row r="38" spans="1:18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8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8">
      <c r="A40" s="1"/>
      <c r="B40" s="454"/>
      <c r="C40" s="454"/>
      <c r="D40" s="454"/>
      <c r="E40" s="454"/>
      <c r="F40" s="1"/>
      <c r="G40" s="1"/>
      <c r="H40" s="1"/>
      <c r="I40" s="491">
        <f>K25+L25</f>
        <v>3659.6</v>
      </c>
      <c r="J40" s="454"/>
      <c r="K40" s="454"/>
      <c r="L40" s="454"/>
      <c r="M40" s="454"/>
      <c r="N40" s="454"/>
      <c r="O40" s="4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0BCA-CEB5-4CC4-B7FA-CDD92ABE66F3}">
  <sheetPr>
    <tabColor rgb="FF7030A0"/>
  </sheetPr>
  <dimension ref="A1:Q49"/>
  <sheetViews>
    <sheetView topLeftCell="A21" workbookViewId="0">
      <selection activeCell="M34" sqref="M34"/>
    </sheetView>
  </sheetViews>
  <sheetFormatPr defaultRowHeight="15"/>
  <cols>
    <col min="1" max="1" width="5.140625" bestFit="1" customWidth="1"/>
    <col min="2" max="2" width="10.140625" bestFit="1" customWidth="1"/>
    <col min="3" max="3" width="8" bestFit="1" customWidth="1"/>
    <col min="4" max="4" width="15.28515625" customWidth="1"/>
    <col min="5" max="5" width="9.7109375" bestFit="1" customWidth="1"/>
    <col min="6" max="6" width="7" bestFit="1" customWidth="1"/>
    <col min="7" max="7" width="11.5703125" bestFit="1" customWidth="1"/>
    <col min="9" max="10" width="10.85546875" bestFit="1" customWidth="1"/>
    <col min="11" max="12" width="13.5703125" bestFit="1" customWidth="1"/>
    <col min="13" max="13" width="11.85546875" bestFit="1" customWidth="1"/>
    <col min="14" max="14" width="10.42578125" bestFit="1" customWidth="1"/>
    <col min="15" max="15" width="9.42578125" customWidth="1"/>
  </cols>
  <sheetData>
    <row r="1" spans="1:15" ht="15.75">
      <c r="A1" s="465" t="s">
        <v>71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59"/>
    </row>
    <row r="2" spans="1:15" ht="30">
      <c r="A2" s="70" t="s">
        <v>122</v>
      </c>
      <c r="B2" s="89" t="s">
        <v>123</v>
      </c>
      <c r="C2" s="89" t="s">
        <v>124</v>
      </c>
      <c r="D2" s="89" t="s">
        <v>125</v>
      </c>
      <c r="E2" s="89" t="s">
        <v>126</v>
      </c>
      <c r="F2" s="89" t="s">
        <v>127</v>
      </c>
      <c r="G2" s="89" t="s">
        <v>128</v>
      </c>
      <c r="H2" s="89" t="s">
        <v>129</v>
      </c>
      <c r="I2" s="89" t="s">
        <v>127</v>
      </c>
      <c r="J2" s="90" t="s">
        <v>128</v>
      </c>
      <c r="K2" s="70" t="s">
        <v>130</v>
      </c>
      <c r="L2" s="91" t="s">
        <v>131</v>
      </c>
      <c r="M2" s="174" t="s">
        <v>138</v>
      </c>
      <c r="N2" s="89" t="s">
        <v>133</v>
      </c>
      <c r="O2" s="65"/>
    </row>
    <row r="3" spans="1:15">
      <c r="A3" s="152"/>
      <c r="B3" s="153"/>
      <c r="C3" s="153"/>
      <c r="D3" s="139" t="s">
        <v>134</v>
      </c>
      <c r="E3" s="153"/>
      <c r="F3" s="153"/>
      <c r="G3" s="153"/>
      <c r="H3" s="153"/>
      <c r="I3" s="153"/>
      <c r="J3" s="154"/>
      <c r="K3" s="152">
        <v>58502.010400000014</v>
      </c>
      <c r="L3" s="155">
        <v>0</v>
      </c>
      <c r="M3" s="155">
        <f>+K3</f>
        <v>58502.010400000014</v>
      </c>
      <c r="N3" s="153"/>
      <c r="O3" s="65"/>
    </row>
    <row r="4" spans="1:15">
      <c r="A4" s="50">
        <v>1</v>
      </c>
      <c r="B4" s="213">
        <v>45992</v>
      </c>
      <c r="C4" s="25"/>
      <c r="D4" s="25"/>
      <c r="E4" s="284">
        <v>200</v>
      </c>
      <c r="F4" s="284">
        <v>91.8</v>
      </c>
      <c r="G4" s="8">
        <f>E4*F4</f>
        <v>18360</v>
      </c>
      <c r="H4" s="9">
        <v>20</v>
      </c>
      <c r="I4" s="9">
        <v>103.76</v>
      </c>
      <c r="J4" s="8">
        <f>H4*I4</f>
        <v>2075.2000000000003</v>
      </c>
      <c r="K4" s="8">
        <f>G4+J4</f>
        <v>20435.2</v>
      </c>
      <c r="L4" s="155">
        <v>0</v>
      </c>
      <c r="M4" s="8">
        <f>M3+K4-L4</f>
        <v>78937.210400000011</v>
      </c>
      <c r="N4" s="48"/>
      <c r="O4" s="1"/>
    </row>
    <row r="5" spans="1:15">
      <c r="A5" s="50">
        <v>2</v>
      </c>
      <c r="B5" s="213">
        <v>45993</v>
      </c>
      <c r="C5" s="25"/>
      <c r="D5" s="25"/>
      <c r="E5" s="284">
        <v>100</v>
      </c>
      <c r="F5" s="284">
        <v>91.8</v>
      </c>
      <c r="G5" s="8">
        <f t="shared" ref="G5:G33" si="0">E5*F5</f>
        <v>9180</v>
      </c>
      <c r="H5" s="9">
        <v>5</v>
      </c>
      <c r="I5" s="9">
        <v>103.76</v>
      </c>
      <c r="J5" s="8">
        <f t="shared" ref="J5:J33" si="1">H5*I5</f>
        <v>518.80000000000007</v>
      </c>
      <c r="K5" s="8">
        <f t="shared" ref="K5:L33" si="2">G5+J5</f>
        <v>9698.7999999999993</v>
      </c>
      <c r="L5" s="155"/>
      <c r="M5" s="8">
        <f t="shared" ref="M5:M8" si="3">M4+K5-L5</f>
        <v>88636.010400000014</v>
      </c>
      <c r="N5" s="48"/>
      <c r="O5" s="1"/>
    </row>
    <row r="6" spans="1:15">
      <c r="A6" s="50">
        <v>3</v>
      </c>
      <c r="B6" s="213">
        <v>45994</v>
      </c>
      <c r="C6" s="25"/>
      <c r="D6" s="25"/>
      <c r="E6" s="284">
        <v>165</v>
      </c>
      <c r="F6" s="284">
        <v>91.8</v>
      </c>
      <c r="G6" s="8">
        <f t="shared" si="0"/>
        <v>15147</v>
      </c>
      <c r="H6" s="9"/>
      <c r="I6" s="9"/>
      <c r="J6" s="8">
        <f t="shared" si="1"/>
        <v>0</v>
      </c>
      <c r="K6" s="8">
        <f t="shared" si="2"/>
        <v>15147</v>
      </c>
      <c r="L6" s="155"/>
      <c r="M6" s="8">
        <f t="shared" si="3"/>
        <v>103783.01040000001</v>
      </c>
      <c r="N6" s="48"/>
      <c r="O6" s="1"/>
    </row>
    <row r="7" spans="1:15">
      <c r="A7" s="50">
        <v>4</v>
      </c>
      <c r="B7" s="213">
        <v>45995</v>
      </c>
      <c r="C7" s="25"/>
      <c r="D7" s="25"/>
      <c r="E7" s="284">
        <v>30</v>
      </c>
      <c r="F7" s="284">
        <v>91.8</v>
      </c>
      <c r="G7" s="8">
        <f t="shared" si="0"/>
        <v>2754</v>
      </c>
      <c r="H7" s="9">
        <v>4</v>
      </c>
      <c r="I7" s="9">
        <v>103.76</v>
      </c>
      <c r="J7" s="8">
        <f t="shared" si="1"/>
        <v>415.04</v>
      </c>
      <c r="K7" s="8">
        <f t="shared" si="2"/>
        <v>3169.04</v>
      </c>
      <c r="L7" s="8"/>
      <c r="M7" s="8">
        <f t="shared" si="3"/>
        <v>106952.05040000001</v>
      </c>
      <c r="N7" s="48"/>
      <c r="O7" s="1"/>
    </row>
    <row r="8" spans="1:15">
      <c r="A8" s="50">
        <v>5</v>
      </c>
      <c r="B8" s="213">
        <v>45996</v>
      </c>
      <c r="C8" s="25"/>
      <c r="D8" s="25"/>
      <c r="E8" s="284"/>
      <c r="F8" s="284"/>
      <c r="G8" s="8">
        <f t="shared" si="0"/>
        <v>0</v>
      </c>
      <c r="H8" s="9">
        <v>10</v>
      </c>
      <c r="I8" s="9">
        <v>103.76</v>
      </c>
      <c r="J8" s="8">
        <f t="shared" si="1"/>
        <v>1037.6000000000001</v>
      </c>
      <c r="K8" s="8">
        <f t="shared" si="2"/>
        <v>1037.6000000000001</v>
      </c>
      <c r="L8" s="155"/>
      <c r="M8" s="8">
        <f t="shared" si="3"/>
        <v>107989.65040000001</v>
      </c>
      <c r="N8" s="48"/>
      <c r="O8" s="1"/>
    </row>
    <row r="9" spans="1:15">
      <c r="A9" s="50">
        <v>6</v>
      </c>
      <c r="B9" s="213">
        <v>45997</v>
      </c>
      <c r="C9" s="25"/>
      <c r="D9" s="25"/>
      <c r="E9" s="284">
        <v>30</v>
      </c>
      <c r="F9" s="284">
        <v>91.8</v>
      </c>
      <c r="G9" s="8">
        <f t="shared" si="0"/>
        <v>2754</v>
      </c>
      <c r="H9" s="9">
        <v>8</v>
      </c>
      <c r="I9" s="9">
        <v>103.76</v>
      </c>
      <c r="J9" s="8">
        <f t="shared" si="1"/>
        <v>830.08</v>
      </c>
      <c r="K9" s="8">
        <f t="shared" si="2"/>
        <v>3584.08</v>
      </c>
      <c r="L9" s="155"/>
      <c r="M9" s="8">
        <f t="shared" ref="M9:M34" si="4">M8+K9-L9</f>
        <v>111573.73040000001</v>
      </c>
      <c r="N9" s="48"/>
      <c r="O9" s="1"/>
    </row>
    <row r="10" spans="1:15">
      <c r="A10" s="50">
        <v>7</v>
      </c>
      <c r="B10" s="213">
        <v>45998</v>
      </c>
      <c r="C10" s="25"/>
      <c r="D10" s="25"/>
      <c r="E10" s="284"/>
      <c r="F10" s="284"/>
      <c r="G10" s="8">
        <f t="shared" si="0"/>
        <v>0</v>
      </c>
      <c r="H10" s="9"/>
      <c r="I10" s="9"/>
      <c r="J10" s="8">
        <f t="shared" si="1"/>
        <v>0</v>
      </c>
      <c r="K10" s="8">
        <f t="shared" si="2"/>
        <v>0</v>
      </c>
      <c r="L10" s="155"/>
      <c r="M10" s="8">
        <f t="shared" si="4"/>
        <v>111573.73040000001</v>
      </c>
      <c r="N10" s="48"/>
      <c r="O10" s="1"/>
    </row>
    <row r="11" spans="1:15">
      <c r="A11" s="50">
        <v>8</v>
      </c>
      <c r="B11" s="213">
        <v>45999</v>
      </c>
      <c r="C11" s="25"/>
      <c r="D11" s="25"/>
      <c r="E11" s="284">
        <v>60</v>
      </c>
      <c r="F11" s="284">
        <v>91.8</v>
      </c>
      <c r="G11" s="8">
        <f t="shared" si="0"/>
        <v>5508</v>
      </c>
      <c r="H11" s="9">
        <v>5</v>
      </c>
      <c r="I11" s="9">
        <v>103.76</v>
      </c>
      <c r="J11" s="8">
        <f t="shared" si="1"/>
        <v>518.80000000000007</v>
      </c>
      <c r="K11" s="8">
        <f t="shared" si="2"/>
        <v>6026.8</v>
      </c>
      <c r="L11" s="155"/>
      <c r="M11" s="8">
        <f t="shared" si="4"/>
        <v>117600.53040000002</v>
      </c>
      <c r="N11" s="48"/>
      <c r="O11" s="1"/>
    </row>
    <row r="12" spans="1:15">
      <c r="A12" s="50">
        <v>9</v>
      </c>
      <c r="B12" s="213">
        <v>46000</v>
      </c>
      <c r="C12" s="25"/>
      <c r="D12" s="25"/>
      <c r="E12" s="284">
        <v>40</v>
      </c>
      <c r="F12" s="284">
        <v>91.8</v>
      </c>
      <c r="G12" s="8">
        <f t="shared" si="0"/>
        <v>3672</v>
      </c>
      <c r="H12" s="9"/>
      <c r="I12" s="9"/>
      <c r="J12" s="8">
        <f t="shared" si="1"/>
        <v>0</v>
      </c>
      <c r="K12" s="8">
        <f t="shared" si="2"/>
        <v>3672</v>
      </c>
      <c r="L12" s="155"/>
      <c r="M12" s="8">
        <f t="shared" si="4"/>
        <v>121272.53040000002</v>
      </c>
      <c r="N12" s="48"/>
      <c r="O12" s="1" t="s">
        <v>190</v>
      </c>
    </row>
    <row r="13" spans="1:15">
      <c r="A13" s="50">
        <v>10</v>
      </c>
      <c r="B13" s="213">
        <v>46001</v>
      </c>
      <c r="C13" s="25"/>
      <c r="D13" s="25"/>
      <c r="E13" s="284"/>
      <c r="F13" s="284"/>
      <c r="G13" s="8">
        <f t="shared" si="0"/>
        <v>0</v>
      </c>
      <c r="H13" s="362"/>
      <c r="I13" s="9"/>
      <c r="J13" s="8">
        <f t="shared" si="1"/>
        <v>0</v>
      </c>
      <c r="K13" s="8">
        <f t="shared" si="2"/>
        <v>0</v>
      </c>
      <c r="L13" s="155"/>
      <c r="M13" s="8">
        <f t="shared" si="4"/>
        <v>121272.53040000002</v>
      </c>
      <c r="N13" s="48"/>
      <c r="O13" s="1"/>
    </row>
    <row r="14" spans="1:15">
      <c r="A14" s="50">
        <v>11</v>
      </c>
      <c r="B14" s="213">
        <v>46002</v>
      </c>
      <c r="C14" s="25"/>
      <c r="D14" s="25"/>
      <c r="E14" s="284">
        <v>100</v>
      </c>
      <c r="F14" s="284">
        <v>91.8</v>
      </c>
      <c r="G14" s="8">
        <f t="shared" si="0"/>
        <v>9180</v>
      </c>
      <c r="H14" s="9">
        <v>8</v>
      </c>
      <c r="I14" s="9">
        <v>103.76</v>
      </c>
      <c r="J14" s="8">
        <f t="shared" si="1"/>
        <v>830.08</v>
      </c>
      <c r="K14" s="8">
        <f t="shared" si="2"/>
        <v>10010.08</v>
      </c>
      <c r="L14" s="155"/>
      <c r="M14" s="8">
        <f t="shared" si="4"/>
        <v>131282.61040000001</v>
      </c>
      <c r="N14" s="48"/>
      <c r="O14" s="1"/>
    </row>
    <row r="15" spans="1:15">
      <c r="A15" s="50">
        <v>12</v>
      </c>
      <c r="B15" s="213">
        <v>46003</v>
      </c>
      <c r="C15" s="25"/>
      <c r="D15" s="25"/>
      <c r="E15" s="284"/>
      <c r="F15" s="284"/>
      <c r="G15" s="8">
        <f t="shared" si="0"/>
        <v>0</v>
      </c>
      <c r="H15" s="9"/>
      <c r="I15" s="9"/>
      <c r="J15" s="8">
        <f t="shared" si="1"/>
        <v>0</v>
      </c>
      <c r="K15" s="8">
        <f t="shared" si="2"/>
        <v>0</v>
      </c>
      <c r="L15" s="155"/>
      <c r="M15" s="8">
        <f t="shared" si="4"/>
        <v>131282.61040000001</v>
      </c>
      <c r="N15" s="48"/>
      <c r="O15" s="1"/>
    </row>
    <row r="16" spans="1:15">
      <c r="A16" s="50">
        <v>13</v>
      </c>
      <c r="B16" s="213">
        <v>46004</v>
      </c>
      <c r="C16" s="25"/>
      <c r="D16" s="25"/>
      <c r="E16" s="284">
        <v>5</v>
      </c>
      <c r="F16" s="284">
        <v>91.8</v>
      </c>
      <c r="G16" s="8">
        <f t="shared" si="0"/>
        <v>459</v>
      </c>
      <c r="H16" s="9">
        <v>0</v>
      </c>
      <c r="I16" s="9">
        <v>103.76</v>
      </c>
      <c r="J16" s="8">
        <f t="shared" si="1"/>
        <v>0</v>
      </c>
      <c r="K16" s="8">
        <f t="shared" si="2"/>
        <v>459</v>
      </c>
      <c r="L16" s="155">
        <v>121500</v>
      </c>
      <c r="M16" s="8">
        <f t="shared" si="4"/>
        <v>10241.610400000005</v>
      </c>
      <c r="N16" s="48"/>
      <c r="O16" s="1"/>
    </row>
    <row r="17" spans="1:17">
      <c r="A17" s="50">
        <v>14</v>
      </c>
      <c r="B17" s="213">
        <v>46005</v>
      </c>
      <c r="C17" s="25"/>
      <c r="D17" s="25"/>
      <c r="E17" s="284"/>
      <c r="F17" s="284"/>
      <c r="G17" s="8">
        <f t="shared" si="0"/>
        <v>0</v>
      </c>
      <c r="H17" s="9"/>
      <c r="I17" s="9"/>
      <c r="J17" s="8">
        <f t="shared" si="1"/>
        <v>0</v>
      </c>
      <c r="K17" s="8">
        <f t="shared" si="2"/>
        <v>0</v>
      </c>
      <c r="L17" s="155"/>
      <c r="M17" s="8">
        <f t="shared" si="4"/>
        <v>10241.610400000005</v>
      </c>
      <c r="N17" s="48"/>
      <c r="O17" s="1"/>
    </row>
    <row r="18" spans="1:17">
      <c r="A18" s="50">
        <v>15</v>
      </c>
      <c r="B18" s="213">
        <v>46006</v>
      </c>
      <c r="C18" s="25"/>
      <c r="D18" s="25"/>
      <c r="E18" s="284">
        <v>205.6</v>
      </c>
      <c r="F18" s="284">
        <v>91.8</v>
      </c>
      <c r="G18" s="8">
        <f t="shared" si="0"/>
        <v>18874.079999999998</v>
      </c>
      <c r="H18" s="9">
        <v>10</v>
      </c>
      <c r="I18" s="9">
        <v>103.76</v>
      </c>
      <c r="J18" s="8">
        <f t="shared" si="1"/>
        <v>1037.6000000000001</v>
      </c>
      <c r="K18" s="8">
        <f t="shared" si="2"/>
        <v>19911.679999999997</v>
      </c>
      <c r="L18" s="155"/>
      <c r="M18" s="8">
        <f t="shared" si="4"/>
        <v>30153.290400000002</v>
      </c>
      <c r="N18" s="48"/>
      <c r="O18" s="1"/>
    </row>
    <row r="19" spans="1:17">
      <c r="A19" s="50">
        <v>16</v>
      </c>
      <c r="B19" s="213">
        <v>46007</v>
      </c>
      <c r="C19" s="25"/>
      <c r="D19" s="25"/>
      <c r="E19" s="284"/>
      <c r="F19" s="284"/>
      <c r="G19" s="8">
        <f t="shared" si="0"/>
        <v>0</v>
      </c>
      <c r="H19" s="9">
        <v>5</v>
      </c>
      <c r="I19" s="9">
        <v>103.76</v>
      </c>
      <c r="J19" s="8">
        <f t="shared" si="1"/>
        <v>518.80000000000007</v>
      </c>
      <c r="K19" s="8">
        <f t="shared" si="2"/>
        <v>518.80000000000007</v>
      </c>
      <c r="L19" s="155">
        <v>0</v>
      </c>
      <c r="M19" s="8">
        <f t="shared" si="4"/>
        <v>30672.090400000001</v>
      </c>
      <c r="N19" s="48"/>
      <c r="O19" s="1"/>
    </row>
    <row r="20" spans="1:17">
      <c r="A20" s="50">
        <v>17</v>
      </c>
      <c r="B20" s="213">
        <v>46008</v>
      </c>
      <c r="C20" s="25"/>
      <c r="D20" s="25"/>
      <c r="E20" s="284">
        <v>420</v>
      </c>
      <c r="F20" s="284">
        <v>91.8</v>
      </c>
      <c r="G20" s="8">
        <f t="shared" si="0"/>
        <v>38556</v>
      </c>
      <c r="H20" s="9">
        <v>8</v>
      </c>
      <c r="I20" s="9">
        <v>103.76</v>
      </c>
      <c r="J20" s="8">
        <f t="shared" si="1"/>
        <v>830.08</v>
      </c>
      <c r="K20" s="8">
        <f t="shared" si="2"/>
        <v>39386.080000000002</v>
      </c>
      <c r="L20" s="155"/>
      <c r="M20" s="8">
        <f t="shared" si="4"/>
        <v>70058.170400000003</v>
      </c>
      <c r="N20" s="48"/>
      <c r="O20" s="1"/>
    </row>
    <row r="21" spans="1:17">
      <c r="A21" s="50">
        <v>18</v>
      </c>
      <c r="B21" s="213">
        <v>46009</v>
      </c>
      <c r="C21" s="25"/>
      <c r="D21" s="25"/>
      <c r="E21" s="284">
        <v>245</v>
      </c>
      <c r="F21" s="284">
        <v>91.8</v>
      </c>
      <c r="G21" s="8">
        <f t="shared" si="0"/>
        <v>22491</v>
      </c>
      <c r="H21" s="9">
        <v>10</v>
      </c>
      <c r="I21" s="9">
        <v>103.76</v>
      </c>
      <c r="J21" s="8">
        <f t="shared" si="1"/>
        <v>1037.6000000000001</v>
      </c>
      <c r="K21" s="8">
        <f t="shared" si="2"/>
        <v>23528.6</v>
      </c>
      <c r="L21" s="155"/>
      <c r="M21" s="8">
        <f t="shared" si="4"/>
        <v>93586.770400000009</v>
      </c>
      <c r="N21" s="48"/>
      <c r="O21" s="1"/>
    </row>
    <row r="22" spans="1:17">
      <c r="A22" s="50">
        <v>19</v>
      </c>
      <c r="B22" s="213">
        <v>46010</v>
      </c>
      <c r="C22" s="25"/>
      <c r="D22" s="25"/>
      <c r="E22" s="284">
        <v>120</v>
      </c>
      <c r="F22" s="284">
        <v>91.8</v>
      </c>
      <c r="G22" s="8">
        <f t="shared" si="0"/>
        <v>11016</v>
      </c>
      <c r="H22" s="9">
        <v>5</v>
      </c>
      <c r="I22" s="9">
        <v>103.76</v>
      </c>
      <c r="J22" s="8">
        <f t="shared" si="1"/>
        <v>518.80000000000007</v>
      </c>
      <c r="K22" s="8">
        <f t="shared" si="2"/>
        <v>11534.8</v>
      </c>
      <c r="L22" s="155"/>
      <c r="M22" s="8">
        <f t="shared" si="4"/>
        <v>105121.57040000001</v>
      </c>
      <c r="N22" s="48"/>
      <c r="O22" s="1"/>
    </row>
    <row r="23" spans="1:17">
      <c r="A23" s="50">
        <v>20</v>
      </c>
      <c r="B23" s="213">
        <v>46011</v>
      </c>
      <c r="C23" s="25"/>
      <c r="D23" s="25"/>
      <c r="E23" s="284"/>
      <c r="F23" s="284"/>
      <c r="G23" s="8">
        <f t="shared" si="0"/>
        <v>0</v>
      </c>
      <c r="H23" s="9"/>
      <c r="I23" s="9"/>
      <c r="J23" s="8">
        <f t="shared" si="1"/>
        <v>0</v>
      </c>
      <c r="K23" s="8">
        <f t="shared" si="2"/>
        <v>0</v>
      </c>
      <c r="L23" s="155"/>
      <c r="M23" s="8">
        <f t="shared" si="4"/>
        <v>105121.57040000001</v>
      </c>
      <c r="N23" s="48"/>
      <c r="O23" s="1"/>
    </row>
    <row r="24" spans="1:17">
      <c r="A24" s="50">
        <v>21</v>
      </c>
      <c r="B24" s="213">
        <v>46012</v>
      </c>
      <c r="C24" s="25"/>
      <c r="D24" s="25"/>
      <c r="E24" s="284">
        <v>180</v>
      </c>
      <c r="F24" s="284">
        <v>91.8</v>
      </c>
      <c r="G24" s="8">
        <f t="shared" si="0"/>
        <v>16524</v>
      </c>
      <c r="H24" s="9"/>
      <c r="I24" s="9"/>
      <c r="J24" s="8">
        <f t="shared" si="1"/>
        <v>0</v>
      </c>
      <c r="K24" s="8">
        <f t="shared" si="2"/>
        <v>16524</v>
      </c>
      <c r="L24" s="155"/>
      <c r="M24" s="8">
        <f t="shared" si="4"/>
        <v>121645.57040000001</v>
      </c>
      <c r="N24" s="48"/>
      <c r="O24" s="1"/>
    </row>
    <row r="25" spans="1:17">
      <c r="A25" s="50">
        <v>22</v>
      </c>
      <c r="B25" s="213">
        <v>46013</v>
      </c>
      <c r="C25" s="25"/>
      <c r="D25" s="25"/>
      <c r="E25" s="284">
        <v>180</v>
      </c>
      <c r="F25" s="284">
        <v>91.8</v>
      </c>
      <c r="G25" s="8">
        <f t="shared" si="0"/>
        <v>16524</v>
      </c>
      <c r="H25" s="9">
        <v>15</v>
      </c>
      <c r="I25" s="9">
        <v>103.76</v>
      </c>
      <c r="J25" s="8">
        <f t="shared" si="1"/>
        <v>1556.4</v>
      </c>
      <c r="K25" s="8">
        <f t="shared" si="2"/>
        <v>18080.400000000001</v>
      </c>
      <c r="L25" s="155"/>
      <c r="M25" s="8">
        <f t="shared" si="4"/>
        <v>139725.97040000002</v>
      </c>
      <c r="N25" s="48"/>
      <c r="O25" s="1"/>
    </row>
    <row r="26" spans="1:17">
      <c r="A26" s="50">
        <v>23</v>
      </c>
      <c r="B26" s="213">
        <v>46014</v>
      </c>
      <c r="C26" s="25"/>
      <c r="D26" s="25"/>
      <c r="E26" s="284">
        <v>220</v>
      </c>
      <c r="F26" s="284">
        <v>91.8</v>
      </c>
      <c r="G26" s="8">
        <f t="shared" si="0"/>
        <v>20196</v>
      </c>
      <c r="H26" s="9"/>
      <c r="I26" s="9"/>
      <c r="J26" s="8">
        <f t="shared" si="1"/>
        <v>0</v>
      </c>
      <c r="K26" s="8">
        <f t="shared" si="2"/>
        <v>20196</v>
      </c>
      <c r="L26" s="155"/>
      <c r="M26" s="8">
        <f t="shared" si="4"/>
        <v>159921.97040000002</v>
      </c>
      <c r="N26" s="48"/>
      <c r="O26" s="1"/>
    </row>
    <row r="27" spans="1:17">
      <c r="A27" s="50">
        <v>24</v>
      </c>
      <c r="B27" s="213">
        <v>46015</v>
      </c>
      <c r="C27" s="25"/>
      <c r="D27" s="25"/>
      <c r="E27" s="284">
        <v>262</v>
      </c>
      <c r="F27" s="284">
        <v>91.8</v>
      </c>
      <c r="G27" s="8">
        <f t="shared" si="0"/>
        <v>24051.599999999999</v>
      </c>
      <c r="H27" s="9">
        <v>5</v>
      </c>
      <c r="I27" s="9">
        <v>103.76</v>
      </c>
      <c r="J27" s="8">
        <f t="shared" si="1"/>
        <v>518.80000000000007</v>
      </c>
      <c r="K27" s="8">
        <f t="shared" si="2"/>
        <v>24570.399999999998</v>
      </c>
      <c r="L27" s="155">
        <v>50000</v>
      </c>
      <c r="M27" s="8">
        <f t="shared" si="4"/>
        <v>134492.37040000001</v>
      </c>
      <c r="N27" s="48"/>
      <c r="O27" s="1"/>
    </row>
    <row r="28" spans="1:17">
      <c r="A28" s="50">
        <v>25</v>
      </c>
      <c r="B28" s="213">
        <v>46016</v>
      </c>
      <c r="C28" s="25"/>
      <c r="D28" s="25"/>
      <c r="E28" s="284">
        <v>343</v>
      </c>
      <c r="F28" s="284">
        <v>91.8</v>
      </c>
      <c r="G28" s="8">
        <f t="shared" si="0"/>
        <v>31487.399999999998</v>
      </c>
      <c r="H28" s="9"/>
      <c r="I28" s="9"/>
      <c r="J28" s="8">
        <f t="shared" si="1"/>
        <v>0</v>
      </c>
      <c r="K28" s="8">
        <f t="shared" si="2"/>
        <v>31487.399999999998</v>
      </c>
      <c r="L28" s="155"/>
      <c r="M28" s="8">
        <f t="shared" si="4"/>
        <v>165979.77040000001</v>
      </c>
      <c r="N28" s="48"/>
      <c r="O28" s="1"/>
    </row>
    <row r="29" spans="1:17">
      <c r="A29" s="50">
        <v>26</v>
      </c>
      <c r="B29" s="213">
        <v>46017</v>
      </c>
      <c r="C29" s="25"/>
      <c r="D29" s="25"/>
      <c r="E29" s="284">
        <v>385</v>
      </c>
      <c r="F29" s="284">
        <v>91.8</v>
      </c>
      <c r="G29" s="8">
        <f t="shared" si="0"/>
        <v>35343</v>
      </c>
      <c r="H29" s="9"/>
      <c r="I29" s="9"/>
      <c r="J29" s="8">
        <f t="shared" si="1"/>
        <v>0</v>
      </c>
      <c r="K29" s="8">
        <f t="shared" si="2"/>
        <v>35343</v>
      </c>
      <c r="L29" s="155"/>
      <c r="M29" s="8">
        <f t="shared" si="4"/>
        <v>201322.77040000001</v>
      </c>
      <c r="N29" s="48"/>
      <c r="O29" s="1"/>
      <c r="Q29">
        <v>30</v>
      </c>
    </row>
    <row r="30" spans="1:17">
      <c r="A30" s="50">
        <v>27</v>
      </c>
      <c r="B30" s="213">
        <v>46018</v>
      </c>
      <c r="C30" s="25"/>
      <c r="D30" s="25"/>
      <c r="E30" s="284"/>
      <c r="F30" s="284"/>
      <c r="G30" s="8">
        <f t="shared" si="0"/>
        <v>0</v>
      </c>
      <c r="H30" s="9"/>
      <c r="I30" s="9"/>
      <c r="J30" s="8">
        <f t="shared" si="1"/>
        <v>0</v>
      </c>
      <c r="K30" s="8">
        <f t="shared" si="2"/>
        <v>0</v>
      </c>
      <c r="L30" s="155">
        <v>0</v>
      </c>
      <c r="M30" s="8">
        <f t="shared" si="4"/>
        <v>201322.77040000001</v>
      </c>
      <c r="N30" s="48"/>
      <c r="O30" s="1"/>
      <c r="Q30">
        <v>20.02</v>
      </c>
    </row>
    <row r="31" spans="1:17">
      <c r="A31" s="50">
        <v>28</v>
      </c>
      <c r="B31" s="213">
        <v>46019</v>
      </c>
      <c r="C31" s="25"/>
      <c r="D31" s="25"/>
      <c r="E31" s="284">
        <v>40</v>
      </c>
      <c r="F31" s="284">
        <v>91.8</v>
      </c>
      <c r="G31" s="8">
        <f t="shared" si="0"/>
        <v>3672</v>
      </c>
      <c r="H31" s="9">
        <v>15</v>
      </c>
      <c r="I31" s="9">
        <v>103.76</v>
      </c>
      <c r="J31" s="8">
        <f t="shared" si="1"/>
        <v>1556.4</v>
      </c>
      <c r="K31" s="8">
        <f t="shared" si="2"/>
        <v>5228.3999999999996</v>
      </c>
      <c r="L31" s="155">
        <v>0</v>
      </c>
      <c r="M31" s="8">
        <f t="shared" si="4"/>
        <v>206551.1704</v>
      </c>
      <c r="N31" s="48"/>
      <c r="O31" s="1"/>
    </row>
    <row r="32" spans="1:17">
      <c r="A32" s="208">
        <v>29</v>
      </c>
      <c r="B32" s="213">
        <v>46020</v>
      </c>
      <c r="C32" s="25"/>
      <c r="D32" s="25"/>
      <c r="E32" s="284">
        <v>475</v>
      </c>
      <c r="F32" s="284">
        <v>91.8</v>
      </c>
      <c r="G32" s="8">
        <f t="shared" si="0"/>
        <v>43605</v>
      </c>
      <c r="H32" s="9">
        <v>5</v>
      </c>
      <c r="I32" s="9">
        <v>103.76</v>
      </c>
      <c r="J32" s="8">
        <f t="shared" si="1"/>
        <v>518.80000000000007</v>
      </c>
      <c r="K32" s="8">
        <f t="shared" si="2"/>
        <v>44123.8</v>
      </c>
      <c r="L32" s="155">
        <v>0</v>
      </c>
      <c r="M32" s="8">
        <f t="shared" si="4"/>
        <v>250674.97039999999</v>
      </c>
      <c r="N32" s="48"/>
      <c r="O32" s="1"/>
    </row>
    <row r="33" spans="1:15">
      <c r="A33" s="208">
        <v>30</v>
      </c>
      <c r="B33" s="213">
        <v>46021</v>
      </c>
      <c r="C33" s="25"/>
      <c r="D33" s="25"/>
      <c r="E33" s="284">
        <v>490</v>
      </c>
      <c r="F33" s="284">
        <v>91.8</v>
      </c>
      <c r="G33" s="8">
        <f t="shared" si="0"/>
        <v>44982</v>
      </c>
      <c r="H33" s="9">
        <v>5</v>
      </c>
      <c r="I33" s="9">
        <v>103.76</v>
      </c>
      <c r="J33" s="8">
        <f t="shared" si="1"/>
        <v>518.80000000000007</v>
      </c>
      <c r="K33" s="8">
        <f t="shared" si="2"/>
        <v>45500.800000000003</v>
      </c>
      <c r="L33" s="155">
        <v>0</v>
      </c>
      <c r="M33" s="8">
        <f t="shared" si="4"/>
        <v>296175.77039999998</v>
      </c>
      <c r="N33" s="48"/>
      <c r="O33" s="1"/>
    </row>
    <row r="34" spans="1:15">
      <c r="A34" s="208">
        <v>31</v>
      </c>
      <c r="B34" s="213">
        <v>46022</v>
      </c>
      <c r="C34" s="25"/>
      <c r="D34" s="25"/>
      <c r="E34" s="8">
        <v>430</v>
      </c>
      <c r="F34" s="284">
        <v>91.8</v>
      </c>
      <c r="G34" s="8">
        <f t="shared" ref="G34" si="5">E34*F34</f>
        <v>39474</v>
      </c>
      <c r="H34" s="9">
        <v>10</v>
      </c>
      <c r="I34" s="9">
        <v>103.76</v>
      </c>
      <c r="J34" s="8">
        <f t="shared" ref="J34" si="6">H34*I34</f>
        <v>1037.6000000000001</v>
      </c>
      <c r="K34" s="8">
        <f t="shared" ref="K34" si="7">G34+J34</f>
        <v>40511.599999999999</v>
      </c>
      <c r="L34" s="155">
        <v>0</v>
      </c>
      <c r="M34" s="8">
        <f t="shared" si="4"/>
        <v>336687.37039999996</v>
      </c>
      <c r="N34" s="48"/>
      <c r="O34" s="1"/>
    </row>
    <row r="35" spans="1:15">
      <c r="A35" s="68"/>
      <c r="B35" s="68"/>
      <c r="C35" s="68"/>
      <c r="D35" s="68"/>
      <c r="E35" s="69">
        <f>SUM(E4:E34)</f>
        <v>4725.6000000000004</v>
      </c>
      <c r="F35" s="69"/>
      <c r="G35" s="69">
        <f>SUM(G4:G34)</f>
        <v>433810.08</v>
      </c>
      <c r="H35" s="69">
        <f>SUM(H4:H34)</f>
        <v>153</v>
      </c>
      <c r="I35" s="69"/>
      <c r="J35" s="69">
        <f>SUM(J4:J34)</f>
        <v>15875.279999999999</v>
      </c>
      <c r="K35" s="69">
        <f>SUM(K4:K34)</f>
        <v>449685.36</v>
      </c>
      <c r="L35" s="69">
        <f>SUM(L4:L34)</f>
        <v>171500</v>
      </c>
      <c r="M35" s="69"/>
      <c r="N35" s="69"/>
      <c r="O35" s="65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54"/>
      <c r="C38" s="454"/>
      <c r="D38" s="454"/>
      <c r="E38" s="454"/>
      <c r="F38" s="1"/>
      <c r="G38" s="1"/>
      <c r="H38" s="1"/>
      <c r="I38" s="491">
        <f>K24+L24</f>
        <v>16524</v>
      </c>
      <c r="J38" s="454"/>
      <c r="K38" s="454"/>
      <c r="L38" s="454"/>
      <c r="M38" s="454"/>
      <c r="N38" s="454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Q49"/>
  <sheetViews>
    <sheetView topLeftCell="A11" workbookViewId="0">
      <selection activeCell="H20" sqref="H19:H21"/>
    </sheetView>
  </sheetViews>
  <sheetFormatPr defaultRowHeight="15"/>
  <cols>
    <col min="2" max="2" width="10.42578125" bestFit="1" customWidth="1"/>
    <col min="7" max="7" width="11.85546875" bestFit="1" customWidth="1"/>
    <col min="9" max="9" width="9.7109375" bestFit="1" customWidth="1"/>
    <col min="10" max="10" width="10.85546875" bestFit="1" customWidth="1"/>
    <col min="11" max="12" width="13.5703125" bestFit="1" customWidth="1"/>
    <col min="13" max="13" width="10.85546875" bestFit="1" customWidth="1"/>
    <col min="14" max="14" width="10.42578125" bestFit="1" customWidth="1"/>
    <col min="17" max="17" width="12.140625" customWidth="1"/>
  </cols>
  <sheetData>
    <row r="1" spans="1:17" ht="15.75">
      <c r="A1" s="465" t="s">
        <v>193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59"/>
    </row>
    <row r="2" spans="1:17" ht="45">
      <c r="A2" s="70" t="s">
        <v>122</v>
      </c>
      <c r="B2" s="89" t="s">
        <v>123</v>
      </c>
      <c r="C2" s="89" t="s">
        <v>124</v>
      </c>
      <c r="D2" s="89" t="s">
        <v>125</v>
      </c>
      <c r="E2" s="89" t="s">
        <v>126</v>
      </c>
      <c r="F2" s="89" t="s">
        <v>127</v>
      </c>
      <c r="G2" s="89" t="s">
        <v>128</v>
      </c>
      <c r="H2" s="89" t="s">
        <v>129</v>
      </c>
      <c r="I2" s="89" t="s">
        <v>127</v>
      </c>
      <c r="J2" s="90" t="s">
        <v>128</v>
      </c>
      <c r="K2" s="70" t="s">
        <v>130</v>
      </c>
      <c r="L2" s="91" t="s">
        <v>131</v>
      </c>
      <c r="M2" s="174" t="s">
        <v>138</v>
      </c>
      <c r="N2" s="89" t="s">
        <v>133</v>
      </c>
      <c r="O2" s="65"/>
    </row>
    <row r="3" spans="1:17">
      <c r="A3" s="152"/>
      <c r="B3" s="153"/>
      <c r="C3" s="153"/>
      <c r="D3" s="139" t="s">
        <v>134</v>
      </c>
      <c r="E3" s="153"/>
      <c r="F3" s="153"/>
      <c r="G3" s="153"/>
      <c r="H3" s="153"/>
      <c r="I3" s="153"/>
      <c r="J3" s="154"/>
      <c r="K3" s="152">
        <v>135998.27080000003</v>
      </c>
      <c r="L3" s="155"/>
      <c r="M3" s="155">
        <v>135998.27080000003</v>
      </c>
      <c r="N3" s="153"/>
      <c r="O3" s="65"/>
    </row>
    <row r="4" spans="1:17">
      <c r="A4" s="50">
        <v>1</v>
      </c>
      <c r="B4" s="213">
        <v>45992</v>
      </c>
      <c r="C4" s="25"/>
      <c r="D4" s="25"/>
      <c r="E4" s="8">
        <v>138.02000000000001</v>
      </c>
      <c r="F4" s="8">
        <v>92.04</v>
      </c>
      <c r="G4" s="8">
        <f>E4*F4</f>
        <v>12703.360800000002</v>
      </c>
      <c r="H4" s="9">
        <v>0</v>
      </c>
      <c r="I4" s="9">
        <v>0</v>
      </c>
      <c r="J4" s="8">
        <f>H4*I4</f>
        <v>0</v>
      </c>
      <c r="K4" s="8">
        <f>G4+J4</f>
        <v>12703.360800000002</v>
      </c>
      <c r="L4" s="155">
        <v>0</v>
      </c>
      <c r="M4" s="8">
        <f>M3+K4-L4</f>
        <v>148701.63160000002</v>
      </c>
      <c r="N4" s="48"/>
      <c r="O4" s="1"/>
    </row>
    <row r="5" spans="1:17">
      <c r="A5" s="50">
        <v>2</v>
      </c>
      <c r="B5" s="213">
        <v>45993</v>
      </c>
      <c r="C5" s="25"/>
      <c r="D5" s="25"/>
      <c r="E5" s="8">
        <v>194.77</v>
      </c>
      <c r="F5" s="8">
        <v>92.04</v>
      </c>
      <c r="G5" s="8">
        <f t="shared" ref="G5:G33" si="0">E5*F5</f>
        <v>17926.630800000003</v>
      </c>
      <c r="H5" s="9">
        <v>6</v>
      </c>
      <c r="I5" s="9">
        <v>104.02</v>
      </c>
      <c r="J5" s="8">
        <f t="shared" ref="J5:J33" si="1">H5*I5</f>
        <v>624.12</v>
      </c>
      <c r="K5" s="8">
        <f t="shared" ref="K5:K33" si="2">G5+J5</f>
        <v>18550.750800000002</v>
      </c>
      <c r="L5" s="155">
        <v>0</v>
      </c>
      <c r="M5" s="8">
        <f t="shared" ref="M5:M23" si="3">M4+K5-L5</f>
        <v>167252.38240000003</v>
      </c>
      <c r="N5" s="48"/>
      <c r="O5" s="1"/>
    </row>
    <row r="6" spans="1:17">
      <c r="A6" s="50">
        <v>3</v>
      </c>
      <c r="B6" s="213">
        <v>45994</v>
      </c>
      <c r="C6" s="25"/>
      <c r="D6" s="25"/>
      <c r="E6" s="8"/>
      <c r="F6" s="8"/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55">
        <v>0</v>
      </c>
      <c r="M6" s="8">
        <f t="shared" si="3"/>
        <v>167252.38240000003</v>
      </c>
      <c r="N6" s="48"/>
      <c r="O6" s="1"/>
    </row>
    <row r="7" spans="1:17">
      <c r="A7" s="50">
        <v>4</v>
      </c>
      <c r="B7" s="213">
        <v>45995</v>
      </c>
      <c r="C7" s="25"/>
      <c r="D7" s="25"/>
      <c r="E7" s="8"/>
      <c r="F7" s="8"/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55">
        <v>0</v>
      </c>
      <c r="M7" s="8">
        <f t="shared" si="3"/>
        <v>167252.38240000003</v>
      </c>
      <c r="N7" s="48"/>
      <c r="O7" s="1"/>
    </row>
    <row r="8" spans="1:17">
      <c r="A8" s="50">
        <v>5</v>
      </c>
      <c r="B8" s="213">
        <v>45996</v>
      </c>
      <c r="C8" s="25"/>
      <c r="D8" s="25"/>
      <c r="E8" s="8">
        <v>146.59</v>
      </c>
      <c r="F8" s="8">
        <v>92.04</v>
      </c>
      <c r="G8" s="8">
        <f t="shared" si="0"/>
        <v>13492.143600000001</v>
      </c>
      <c r="H8" s="9">
        <v>12</v>
      </c>
      <c r="I8" s="9">
        <v>104.02</v>
      </c>
      <c r="J8" s="8">
        <f t="shared" si="1"/>
        <v>1248.24</v>
      </c>
      <c r="K8" s="8">
        <f t="shared" si="2"/>
        <v>14740.383600000001</v>
      </c>
      <c r="L8" s="155">
        <v>0</v>
      </c>
      <c r="M8" s="8">
        <f t="shared" si="3"/>
        <v>181992.76600000003</v>
      </c>
      <c r="N8" s="48"/>
      <c r="O8" s="1"/>
    </row>
    <row r="9" spans="1:17">
      <c r="A9" s="50">
        <v>6</v>
      </c>
      <c r="B9" s="213">
        <v>45997</v>
      </c>
      <c r="C9" s="25"/>
      <c r="D9" s="25"/>
      <c r="E9" s="8">
        <v>90</v>
      </c>
      <c r="F9" s="8">
        <v>92.04</v>
      </c>
      <c r="G9" s="8">
        <f t="shared" si="0"/>
        <v>8283.6</v>
      </c>
      <c r="H9" s="9">
        <v>0</v>
      </c>
      <c r="I9" s="9">
        <v>0</v>
      </c>
      <c r="J9" s="8">
        <f t="shared" si="1"/>
        <v>0</v>
      </c>
      <c r="K9" s="8">
        <f t="shared" si="2"/>
        <v>8283.6</v>
      </c>
      <c r="L9" s="155">
        <v>0</v>
      </c>
      <c r="M9" s="8">
        <f t="shared" si="3"/>
        <v>190276.36600000004</v>
      </c>
      <c r="N9" s="48"/>
      <c r="O9" s="1"/>
    </row>
    <row r="10" spans="1:17">
      <c r="A10" s="50">
        <v>7</v>
      </c>
      <c r="B10" s="213">
        <v>45998</v>
      </c>
      <c r="C10" s="25"/>
      <c r="D10" s="25"/>
      <c r="E10" s="8"/>
      <c r="F10" s="8"/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55">
        <v>0</v>
      </c>
      <c r="M10" s="8">
        <f t="shared" si="3"/>
        <v>190276.36600000004</v>
      </c>
      <c r="N10" s="48"/>
      <c r="O10" s="1"/>
    </row>
    <row r="11" spans="1:17">
      <c r="A11" s="50">
        <v>8</v>
      </c>
      <c r="B11" s="213">
        <v>45999</v>
      </c>
      <c r="C11" s="25"/>
      <c r="D11" s="25"/>
      <c r="E11" s="8">
        <v>105.3</v>
      </c>
      <c r="F11" s="8">
        <v>92.04</v>
      </c>
      <c r="G11" s="8">
        <f t="shared" si="0"/>
        <v>9691.8119999999999</v>
      </c>
      <c r="H11" s="9">
        <v>6</v>
      </c>
      <c r="I11" s="9">
        <v>104.02</v>
      </c>
      <c r="J11" s="8">
        <f t="shared" si="1"/>
        <v>624.12</v>
      </c>
      <c r="K11" s="8">
        <f t="shared" si="2"/>
        <v>10315.932000000001</v>
      </c>
      <c r="L11" s="155">
        <v>0</v>
      </c>
      <c r="M11" s="8">
        <f t="shared" si="3"/>
        <v>200592.29800000004</v>
      </c>
      <c r="N11" s="48"/>
      <c r="O11" s="1"/>
    </row>
    <row r="12" spans="1:17">
      <c r="A12" s="50">
        <v>9</v>
      </c>
      <c r="B12" s="213">
        <v>46000</v>
      </c>
      <c r="C12" s="25"/>
      <c r="D12" s="25"/>
      <c r="E12" s="8"/>
      <c r="F12" s="8"/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55">
        <v>0</v>
      </c>
      <c r="M12" s="8">
        <f t="shared" si="3"/>
        <v>200592.29800000004</v>
      </c>
      <c r="N12" s="48"/>
      <c r="O12" s="1" t="s">
        <v>190</v>
      </c>
    </row>
    <row r="13" spans="1:17">
      <c r="A13" s="50">
        <v>10</v>
      </c>
      <c r="B13" s="213">
        <v>46001</v>
      </c>
      <c r="C13" s="25"/>
      <c r="D13" s="25"/>
      <c r="E13" s="8">
        <v>200</v>
      </c>
      <c r="F13" s="8">
        <v>92.04</v>
      </c>
      <c r="G13" s="8">
        <f t="shared" si="0"/>
        <v>18408</v>
      </c>
      <c r="H13" s="9">
        <v>0</v>
      </c>
      <c r="I13" s="9">
        <v>0</v>
      </c>
      <c r="J13" s="8">
        <f t="shared" si="1"/>
        <v>0</v>
      </c>
      <c r="K13" s="8">
        <f t="shared" si="2"/>
        <v>18408</v>
      </c>
      <c r="L13" s="155">
        <v>0</v>
      </c>
      <c r="M13" s="8">
        <f t="shared" si="3"/>
        <v>219000.29800000004</v>
      </c>
      <c r="N13" s="48"/>
      <c r="O13" s="1"/>
      <c r="Q13" s="155"/>
    </row>
    <row r="14" spans="1:17">
      <c r="A14" s="50">
        <v>11</v>
      </c>
      <c r="B14" s="213">
        <v>46002</v>
      </c>
      <c r="C14" s="25"/>
      <c r="D14" s="25"/>
      <c r="E14" s="8">
        <v>287.31</v>
      </c>
      <c r="F14" s="8">
        <v>92.04</v>
      </c>
      <c r="G14" s="8">
        <f t="shared" si="0"/>
        <v>26444.012400000003</v>
      </c>
      <c r="H14" s="9">
        <v>0</v>
      </c>
      <c r="I14" s="9">
        <v>0</v>
      </c>
      <c r="J14" s="8">
        <f t="shared" si="1"/>
        <v>0</v>
      </c>
      <c r="K14" s="8">
        <f t="shared" si="2"/>
        <v>26444.012400000003</v>
      </c>
      <c r="L14" s="155">
        <v>0</v>
      </c>
      <c r="M14" s="8">
        <f t="shared" si="3"/>
        <v>245444.31040000005</v>
      </c>
      <c r="N14" s="48"/>
      <c r="O14" s="1"/>
    </row>
    <row r="15" spans="1:17">
      <c r="A15" s="50">
        <v>12</v>
      </c>
      <c r="B15" s="213">
        <v>46003</v>
      </c>
      <c r="C15" s="25"/>
      <c r="D15" s="25"/>
      <c r="E15" s="8">
        <v>70</v>
      </c>
      <c r="F15" s="8">
        <v>92.04</v>
      </c>
      <c r="G15" s="8">
        <f t="shared" si="0"/>
        <v>6442.8</v>
      </c>
      <c r="H15" s="9">
        <v>0</v>
      </c>
      <c r="I15" s="9">
        <v>0</v>
      </c>
      <c r="J15" s="8">
        <f t="shared" si="1"/>
        <v>0</v>
      </c>
      <c r="K15" s="8">
        <f t="shared" si="2"/>
        <v>6442.8</v>
      </c>
      <c r="L15" s="155">
        <v>0</v>
      </c>
      <c r="M15" s="8">
        <f t="shared" si="3"/>
        <v>251887.11040000003</v>
      </c>
      <c r="N15" s="48"/>
      <c r="O15" s="1"/>
    </row>
    <row r="16" spans="1:17">
      <c r="A16" s="50">
        <v>13</v>
      </c>
      <c r="B16" s="213">
        <v>46004</v>
      </c>
      <c r="C16" s="25"/>
      <c r="D16" s="25"/>
      <c r="E16" s="8">
        <v>135.84</v>
      </c>
      <c r="F16" s="8">
        <v>92.04</v>
      </c>
      <c r="G16" s="8">
        <f t="shared" si="0"/>
        <v>12502.713600000001</v>
      </c>
      <c r="H16" s="9">
        <v>15</v>
      </c>
      <c r="I16" s="9">
        <v>104.02</v>
      </c>
      <c r="J16" s="8">
        <f t="shared" si="1"/>
        <v>1560.3</v>
      </c>
      <c r="K16" s="8">
        <f t="shared" si="2"/>
        <v>14063.0136</v>
      </c>
      <c r="L16" s="155">
        <v>0</v>
      </c>
      <c r="M16" s="8">
        <f t="shared" si="3"/>
        <v>265950.12400000001</v>
      </c>
      <c r="N16" s="48"/>
      <c r="O16" s="1"/>
    </row>
    <row r="17" spans="1:15">
      <c r="A17" s="50">
        <v>14</v>
      </c>
      <c r="B17" s="213">
        <v>46005</v>
      </c>
      <c r="C17" s="25"/>
      <c r="D17" s="25"/>
      <c r="E17" s="8">
        <v>70</v>
      </c>
      <c r="F17" s="8">
        <v>92.04</v>
      </c>
      <c r="G17" s="8">
        <f t="shared" si="0"/>
        <v>6442.8</v>
      </c>
      <c r="H17" s="9">
        <v>0</v>
      </c>
      <c r="I17" s="9">
        <v>0</v>
      </c>
      <c r="J17" s="8">
        <f t="shared" si="1"/>
        <v>0</v>
      </c>
      <c r="K17" s="8">
        <f t="shared" si="2"/>
        <v>6442.8</v>
      </c>
      <c r="L17" s="155">
        <v>0</v>
      </c>
      <c r="M17" s="8">
        <f t="shared" si="3"/>
        <v>272392.924</v>
      </c>
      <c r="N17" s="48"/>
      <c r="O17" s="1"/>
    </row>
    <row r="18" spans="1:15">
      <c r="A18" s="50">
        <v>15</v>
      </c>
      <c r="B18" s="213">
        <v>46006</v>
      </c>
      <c r="C18" s="25"/>
      <c r="D18" s="25"/>
      <c r="E18" s="8">
        <v>70</v>
      </c>
      <c r="F18" s="8">
        <v>92.04</v>
      </c>
      <c r="G18" s="8">
        <f t="shared" si="0"/>
        <v>6442.8</v>
      </c>
      <c r="H18" s="9">
        <v>0</v>
      </c>
      <c r="I18" s="9">
        <v>0</v>
      </c>
      <c r="J18" s="8">
        <f t="shared" si="1"/>
        <v>0</v>
      </c>
      <c r="K18" s="8">
        <f t="shared" si="2"/>
        <v>6442.8</v>
      </c>
      <c r="L18" s="155">
        <v>272393</v>
      </c>
      <c r="M18" s="8">
        <f t="shared" si="3"/>
        <v>6442.7239999999874</v>
      </c>
      <c r="N18" s="48"/>
      <c r="O18" s="1"/>
    </row>
    <row r="19" spans="1:15">
      <c r="A19" s="50">
        <v>16</v>
      </c>
      <c r="B19" s="213">
        <v>46007</v>
      </c>
      <c r="C19" s="25"/>
      <c r="D19" s="25"/>
      <c r="E19" s="8"/>
      <c r="F19" s="8">
        <v>92.04</v>
      </c>
      <c r="G19" s="8">
        <f t="shared" si="0"/>
        <v>0</v>
      </c>
      <c r="H19" s="284"/>
      <c r="I19" s="9">
        <v>104.02</v>
      </c>
      <c r="J19" s="8">
        <f t="shared" si="1"/>
        <v>0</v>
      </c>
      <c r="K19" s="8">
        <f t="shared" si="2"/>
        <v>0</v>
      </c>
      <c r="L19" s="155">
        <v>0</v>
      </c>
      <c r="M19" s="8">
        <f t="shared" si="3"/>
        <v>6442.7239999999874</v>
      </c>
      <c r="N19" s="48"/>
      <c r="O19" s="1"/>
    </row>
    <row r="20" spans="1:15">
      <c r="A20" s="50">
        <v>17</v>
      </c>
      <c r="B20" s="213">
        <v>46008</v>
      </c>
      <c r="C20" s="25"/>
      <c r="D20" s="25"/>
      <c r="E20" s="8"/>
      <c r="F20" s="8">
        <v>92.04</v>
      </c>
      <c r="G20" s="8">
        <f t="shared" si="0"/>
        <v>0</v>
      </c>
      <c r="H20" s="284"/>
      <c r="I20" s="9">
        <v>104.02</v>
      </c>
      <c r="J20" s="8">
        <f t="shared" si="1"/>
        <v>0</v>
      </c>
      <c r="K20" s="8">
        <f t="shared" si="2"/>
        <v>0</v>
      </c>
      <c r="L20" s="155">
        <v>0</v>
      </c>
      <c r="M20" s="8">
        <f t="shared" si="3"/>
        <v>6442.7239999999874</v>
      </c>
      <c r="N20" s="48"/>
      <c r="O20" s="1"/>
    </row>
    <row r="21" spans="1:15">
      <c r="A21" s="50">
        <v>18</v>
      </c>
      <c r="B21" s="213">
        <v>46009</v>
      </c>
      <c r="C21" s="25"/>
      <c r="D21" s="25"/>
      <c r="E21" s="8"/>
      <c r="F21" s="8"/>
      <c r="G21" s="8">
        <f t="shared" si="0"/>
        <v>0</v>
      </c>
      <c r="H21" s="9"/>
      <c r="I21" s="9">
        <v>0</v>
      </c>
      <c r="J21" s="8">
        <f t="shared" si="1"/>
        <v>0</v>
      </c>
      <c r="K21" s="8">
        <f t="shared" si="2"/>
        <v>0</v>
      </c>
      <c r="L21" s="155">
        <v>0</v>
      </c>
      <c r="M21" s="8">
        <f t="shared" si="3"/>
        <v>6442.7239999999874</v>
      </c>
      <c r="N21" s="48"/>
      <c r="O21" s="1"/>
    </row>
    <row r="22" spans="1:15">
      <c r="A22" s="50">
        <v>19</v>
      </c>
      <c r="B22" s="213">
        <v>46010</v>
      </c>
      <c r="C22" s="25"/>
      <c r="D22" s="25"/>
      <c r="E22" s="8"/>
      <c r="F22" s="8"/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55">
        <v>0</v>
      </c>
      <c r="M22" s="8">
        <f t="shared" si="3"/>
        <v>6442.7239999999874</v>
      </c>
      <c r="N22" s="48"/>
      <c r="O22" s="1"/>
    </row>
    <row r="23" spans="1:15">
      <c r="A23" s="50">
        <v>20</v>
      </c>
      <c r="B23" s="213">
        <v>46011</v>
      </c>
      <c r="C23" s="25"/>
      <c r="D23" s="25"/>
      <c r="E23" s="8"/>
      <c r="F23" s="8"/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55">
        <v>0</v>
      </c>
      <c r="M23" s="8">
        <f t="shared" si="3"/>
        <v>6442.7239999999874</v>
      </c>
      <c r="N23" s="48"/>
      <c r="O23" s="1"/>
    </row>
    <row r="24" spans="1:15">
      <c r="A24" s="50">
        <v>21</v>
      </c>
      <c r="B24" s="213">
        <v>46012</v>
      </c>
      <c r="C24" s="25"/>
      <c r="D24" s="25"/>
      <c r="E24" s="8"/>
      <c r="F24" s="8"/>
      <c r="G24" s="8">
        <f t="shared" si="0"/>
        <v>0</v>
      </c>
      <c r="H24" s="9">
        <v>0</v>
      </c>
      <c r="I24" s="9">
        <v>0</v>
      </c>
      <c r="J24" s="8">
        <f t="shared" si="1"/>
        <v>0</v>
      </c>
      <c r="K24" s="8">
        <f t="shared" si="2"/>
        <v>0</v>
      </c>
      <c r="L24" s="155">
        <v>0</v>
      </c>
      <c r="M24" s="8">
        <f t="shared" ref="M24:M34" si="4">M23+K24-L24</f>
        <v>6442.7239999999874</v>
      </c>
      <c r="N24" s="48"/>
      <c r="O24" s="1"/>
    </row>
    <row r="25" spans="1:15">
      <c r="A25" s="50">
        <v>22</v>
      </c>
      <c r="B25" s="213">
        <v>46013</v>
      </c>
      <c r="C25" s="25"/>
      <c r="D25" s="25"/>
      <c r="E25" s="8"/>
      <c r="F25" s="8"/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155">
        <v>0</v>
      </c>
      <c r="M25" s="8">
        <f t="shared" si="4"/>
        <v>6442.7239999999874</v>
      </c>
      <c r="N25" s="48"/>
      <c r="O25" s="1"/>
    </row>
    <row r="26" spans="1:15">
      <c r="A26" s="50">
        <v>23</v>
      </c>
      <c r="B26" s="213">
        <v>46014</v>
      </c>
      <c r="C26" s="25"/>
      <c r="D26" s="25"/>
      <c r="E26" s="8"/>
      <c r="F26" s="8"/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55">
        <v>0</v>
      </c>
      <c r="M26" s="8">
        <f t="shared" si="4"/>
        <v>6442.7239999999874</v>
      </c>
      <c r="N26" s="48"/>
      <c r="O26" s="1"/>
    </row>
    <row r="27" spans="1:15">
      <c r="A27" s="50">
        <v>24</v>
      </c>
      <c r="B27" s="213">
        <v>46015</v>
      </c>
      <c r="C27" s="25"/>
      <c r="D27" s="25"/>
      <c r="E27" s="8"/>
      <c r="F27" s="8"/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55">
        <v>0</v>
      </c>
      <c r="M27" s="8">
        <f t="shared" si="4"/>
        <v>6442.7239999999874</v>
      </c>
      <c r="N27" s="48"/>
      <c r="O27" s="1"/>
    </row>
    <row r="28" spans="1:15">
      <c r="A28" s="50">
        <v>25</v>
      </c>
      <c r="B28" s="213">
        <v>46016</v>
      </c>
      <c r="C28" s="25"/>
      <c r="D28" s="25"/>
      <c r="E28" s="8"/>
      <c r="F28" s="8"/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155">
        <v>0</v>
      </c>
      <c r="M28" s="8">
        <f t="shared" si="4"/>
        <v>6442.7239999999874</v>
      </c>
      <c r="N28" s="48"/>
      <c r="O28" s="1"/>
    </row>
    <row r="29" spans="1:15">
      <c r="A29" s="50">
        <v>26</v>
      </c>
      <c r="B29" s="213">
        <v>46017</v>
      </c>
      <c r="C29" s="25"/>
      <c r="D29" s="25"/>
      <c r="E29" s="8"/>
      <c r="F29" s="8"/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55">
        <v>0</v>
      </c>
      <c r="M29" s="8">
        <f t="shared" si="4"/>
        <v>6442.7239999999874</v>
      </c>
      <c r="N29" s="48"/>
      <c r="O29" s="1"/>
    </row>
    <row r="30" spans="1:15">
      <c r="A30" s="50">
        <v>27</v>
      </c>
      <c r="B30" s="213">
        <v>46018</v>
      </c>
      <c r="C30" s="25"/>
      <c r="D30" s="25"/>
      <c r="E30" s="8"/>
      <c r="F30" s="8"/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55">
        <v>0</v>
      </c>
      <c r="M30" s="8">
        <f t="shared" si="4"/>
        <v>6442.7239999999874</v>
      </c>
      <c r="N30" s="48"/>
      <c r="O30" s="1"/>
    </row>
    <row r="31" spans="1:15">
      <c r="A31" s="50">
        <v>28</v>
      </c>
      <c r="B31" s="213">
        <v>46019</v>
      </c>
      <c r="C31" s="25"/>
      <c r="D31" s="25"/>
      <c r="E31" s="8"/>
      <c r="F31" s="8"/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55">
        <v>0</v>
      </c>
      <c r="M31" s="8">
        <f t="shared" si="4"/>
        <v>6442.7239999999874</v>
      </c>
      <c r="N31" s="48"/>
      <c r="O31" s="1"/>
    </row>
    <row r="32" spans="1:15">
      <c r="A32" s="208">
        <v>29</v>
      </c>
      <c r="B32" s="213">
        <v>46020</v>
      </c>
      <c r="C32" s="25"/>
      <c r="D32" s="25"/>
      <c r="E32" s="8"/>
      <c r="F32" s="8"/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>
        <f t="shared" si="2"/>
        <v>0</v>
      </c>
      <c r="L32" s="155">
        <v>0</v>
      </c>
      <c r="M32" s="8">
        <f t="shared" si="4"/>
        <v>6442.7239999999874</v>
      </c>
      <c r="N32" s="48"/>
      <c r="O32" s="1"/>
    </row>
    <row r="33" spans="1:17">
      <c r="A33" s="208">
        <v>30</v>
      </c>
      <c r="B33" s="213">
        <v>46021</v>
      </c>
      <c r="C33" s="25"/>
      <c r="D33" s="25"/>
      <c r="E33" s="8"/>
      <c r="F33" s="8"/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55">
        <v>0</v>
      </c>
      <c r="M33" s="8">
        <f t="shared" si="4"/>
        <v>6442.7239999999874</v>
      </c>
      <c r="N33" s="48"/>
      <c r="O33" s="1"/>
      <c r="Q33">
        <v>30</v>
      </c>
    </row>
    <row r="34" spans="1:17">
      <c r="A34" s="208">
        <v>31</v>
      </c>
      <c r="B34" s="213"/>
      <c r="C34" s="25"/>
      <c r="D34" s="25"/>
      <c r="E34" s="8">
        <v>0</v>
      </c>
      <c r="F34" s="8">
        <v>0</v>
      </c>
      <c r="G34" s="8">
        <f t="shared" ref="G34" si="5">E34*F34</f>
        <v>0</v>
      </c>
      <c r="H34" s="9">
        <v>0</v>
      </c>
      <c r="I34" s="9">
        <v>0</v>
      </c>
      <c r="J34" s="8">
        <f t="shared" ref="J34" si="6">H34*I34</f>
        <v>0</v>
      </c>
      <c r="K34" s="8">
        <f t="shared" ref="K34" si="7">G34+J34</f>
        <v>0</v>
      </c>
      <c r="L34" s="155">
        <f t="shared" ref="L34" si="8">+K34</f>
        <v>0</v>
      </c>
      <c r="M34" s="8">
        <f t="shared" si="4"/>
        <v>6442.7239999999874</v>
      </c>
      <c r="N34" s="48"/>
      <c r="O34" s="1"/>
    </row>
    <row r="35" spans="1:17">
      <c r="A35" s="68"/>
      <c r="B35" s="68"/>
      <c r="C35" s="68"/>
      <c r="D35" s="68"/>
      <c r="E35" s="69">
        <f>SUM(E4:E34)</f>
        <v>1507.83</v>
      </c>
      <c r="F35" s="69"/>
      <c r="G35" s="69">
        <f>SUM(G4:G34)</f>
        <v>138780.67319999999</v>
      </c>
      <c r="H35" s="69">
        <f>SUM(H4:H34)</f>
        <v>39</v>
      </c>
      <c r="I35" s="69"/>
      <c r="J35" s="69">
        <f>SUM(J4:J34)</f>
        <v>4056.7799999999997</v>
      </c>
      <c r="K35" s="69">
        <f>SUM(K4:K34)</f>
        <v>142837.45320000002</v>
      </c>
      <c r="L35" s="69">
        <f>SUM(L4:L34)</f>
        <v>272393</v>
      </c>
      <c r="M35" s="69"/>
      <c r="N35" s="69"/>
      <c r="O35" s="65"/>
    </row>
    <row r="36" spans="1:17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7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7">
      <c r="A38" s="1"/>
      <c r="B38" s="454"/>
      <c r="C38" s="454"/>
      <c r="D38" s="454"/>
      <c r="E38" s="454"/>
      <c r="F38" s="1"/>
      <c r="G38" s="1"/>
      <c r="H38" s="1"/>
      <c r="I38" s="491">
        <f>K24+L24</f>
        <v>0</v>
      </c>
      <c r="J38" s="454"/>
      <c r="K38" s="454"/>
      <c r="L38" s="454"/>
      <c r="M38" s="454"/>
      <c r="N38" s="454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D1B-A817-4C7F-A5CC-FB5F768C0F89}">
  <dimension ref="A1:R51"/>
  <sheetViews>
    <sheetView topLeftCell="A17" workbookViewId="0">
      <selection activeCell="F31" sqref="F31"/>
    </sheetView>
  </sheetViews>
  <sheetFormatPr defaultRowHeight="15"/>
  <cols>
    <col min="7" max="7" width="11.85546875" bestFit="1" customWidth="1"/>
    <col min="11" max="12" width="13.5703125" bestFit="1" customWidth="1"/>
    <col min="13" max="13" width="11.85546875" bestFit="1" customWidth="1"/>
  </cols>
  <sheetData>
    <row r="1" spans="1:15" ht="15.75">
      <c r="A1" s="465" t="s">
        <v>75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59"/>
    </row>
    <row r="2" spans="1:15" ht="30.75">
      <c r="A2" s="70" t="s">
        <v>122</v>
      </c>
      <c r="B2" s="89" t="s">
        <v>123</v>
      </c>
      <c r="C2" s="89" t="s">
        <v>124</v>
      </c>
      <c r="D2" s="89" t="s">
        <v>125</v>
      </c>
      <c r="E2" s="89" t="s">
        <v>126</v>
      </c>
      <c r="F2" s="89" t="s">
        <v>127</v>
      </c>
      <c r="G2" s="89" t="s">
        <v>128</v>
      </c>
      <c r="H2" s="89" t="s">
        <v>129</v>
      </c>
      <c r="I2" s="89" t="s">
        <v>127</v>
      </c>
      <c r="J2" s="90" t="s">
        <v>128</v>
      </c>
      <c r="K2" s="70" t="s">
        <v>130</v>
      </c>
      <c r="L2" s="91" t="s">
        <v>131</v>
      </c>
      <c r="M2" s="174" t="s">
        <v>138</v>
      </c>
      <c r="N2" s="89" t="s">
        <v>133</v>
      </c>
      <c r="O2" s="65"/>
    </row>
    <row r="3" spans="1:15">
      <c r="A3" s="152"/>
      <c r="B3" s="153"/>
      <c r="C3" s="153"/>
      <c r="D3" s="139" t="s">
        <v>134</v>
      </c>
      <c r="E3" s="153"/>
      <c r="F3" s="153"/>
      <c r="G3" s="153"/>
      <c r="H3" s="153"/>
      <c r="I3" s="153"/>
      <c r="J3" s="154"/>
      <c r="K3" s="281"/>
      <c r="L3" s="246">
        <v>0</v>
      </c>
      <c r="M3" s="246">
        <v>0</v>
      </c>
      <c r="N3" s="153"/>
      <c r="O3" s="65"/>
    </row>
    <row r="4" spans="1:15">
      <c r="A4" s="50">
        <v>1</v>
      </c>
      <c r="B4" s="213">
        <v>45992</v>
      </c>
      <c r="C4" s="25"/>
      <c r="D4" s="25"/>
      <c r="E4" s="8">
        <v>0</v>
      </c>
      <c r="F4" s="8">
        <v>0</v>
      </c>
      <c r="G4" s="8"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55">
        <v>0</v>
      </c>
      <c r="M4" s="8">
        <f>M3+K4-L4</f>
        <v>0</v>
      </c>
      <c r="N4" s="48"/>
      <c r="O4" s="1"/>
    </row>
    <row r="5" spans="1:15">
      <c r="A5" s="50">
        <v>2</v>
      </c>
      <c r="B5" s="213">
        <v>45993</v>
      </c>
      <c r="C5" s="25"/>
      <c r="D5" s="25"/>
      <c r="E5" s="8">
        <v>0</v>
      </c>
      <c r="F5" s="8">
        <v>0</v>
      </c>
      <c r="G5" s="8">
        <f t="shared" ref="G5:G35" si="0">E5*F5</f>
        <v>0</v>
      </c>
      <c r="H5" s="9">
        <v>0</v>
      </c>
      <c r="I5" s="9">
        <v>0</v>
      </c>
      <c r="J5" s="8">
        <f t="shared" ref="J5:J35" si="1">H5*I5</f>
        <v>0</v>
      </c>
      <c r="K5" s="8">
        <f t="shared" ref="K5:K35" si="2">G5+J5</f>
        <v>0</v>
      </c>
      <c r="L5" s="155">
        <v>0</v>
      </c>
      <c r="M5" s="8">
        <f t="shared" ref="M5:M15" si="3">M4+K5-L5</f>
        <v>0</v>
      </c>
      <c r="N5" s="48"/>
      <c r="O5" s="1"/>
    </row>
    <row r="6" spans="1:15">
      <c r="A6" s="50">
        <v>3</v>
      </c>
      <c r="B6" s="213">
        <v>45994</v>
      </c>
      <c r="C6" s="25"/>
      <c r="D6" s="25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55">
        <v>0</v>
      </c>
      <c r="M6" s="8">
        <f t="shared" si="3"/>
        <v>0</v>
      </c>
      <c r="N6" s="48"/>
      <c r="O6" s="1"/>
    </row>
    <row r="7" spans="1:15">
      <c r="A7" s="50">
        <v>4</v>
      </c>
      <c r="B7" s="213">
        <v>45995</v>
      </c>
      <c r="C7" s="25"/>
      <c r="D7" s="25"/>
      <c r="E7" s="8">
        <v>0</v>
      </c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55">
        <v>0</v>
      </c>
      <c r="M7" s="8">
        <f t="shared" si="3"/>
        <v>0</v>
      </c>
      <c r="N7" s="48"/>
      <c r="O7" s="1"/>
    </row>
    <row r="8" spans="1:15">
      <c r="A8" s="50">
        <v>5</v>
      </c>
      <c r="B8" s="213">
        <v>45996</v>
      </c>
      <c r="C8" s="25"/>
      <c r="D8" s="25"/>
      <c r="E8" s="8">
        <v>0</v>
      </c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55">
        <v>0</v>
      </c>
      <c r="M8" s="8">
        <f t="shared" si="3"/>
        <v>0</v>
      </c>
      <c r="N8" s="48"/>
      <c r="O8" s="1"/>
    </row>
    <row r="9" spans="1:15">
      <c r="A9" s="50">
        <v>6</v>
      </c>
      <c r="B9" s="213">
        <v>45997</v>
      </c>
      <c r="C9" s="25"/>
      <c r="D9" s="25"/>
      <c r="E9" s="8">
        <v>0</v>
      </c>
      <c r="F9" s="8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55">
        <v>0</v>
      </c>
      <c r="M9" s="8">
        <f t="shared" si="3"/>
        <v>0</v>
      </c>
      <c r="N9" s="48"/>
      <c r="O9" s="1"/>
    </row>
    <row r="10" spans="1:15">
      <c r="A10" s="50">
        <v>7</v>
      </c>
      <c r="B10" s="213">
        <v>45998</v>
      </c>
      <c r="C10" s="25"/>
      <c r="D10" s="25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55">
        <v>0</v>
      </c>
      <c r="M10" s="8">
        <f t="shared" si="3"/>
        <v>0</v>
      </c>
      <c r="N10" s="48"/>
      <c r="O10" s="1"/>
    </row>
    <row r="11" spans="1:15">
      <c r="A11" s="50">
        <v>8</v>
      </c>
      <c r="B11" s="213">
        <v>45999</v>
      </c>
      <c r="C11" s="25"/>
      <c r="D11" s="25"/>
      <c r="E11" s="8">
        <v>0</v>
      </c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155">
        <v>0</v>
      </c>
      <c r="M11" s="8">
        <f t="shared" si="3"/>
        <v>0</v>
      </c>
      <c r="N11" s="48"/>
      <c r="O11" s="1"/>
    </row>
    <row r="12" spans="1:15">
      <c r="A12" s="50">
        <v>9</v>
      </c>
      <c r="B12" s="213">
        <v>46000</v>
      </c>
      <c r="C12" s="25"/>
      <c r="D12" s="25"/>
      <c r="E12" s="8">
        <v>0</v>
      </c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55">
        <v>0</v>
      </c>
      <c r="M12" s="8">
        <f t="shared" si="3"/>
        <v>0</v>
      </c>
      <c r="N12" s="48"/>
      <c r="O12" s="1" t="s">
        <v>190</v>
      </c>
    </row>
    <row r="13" spans="1:15">
      <c r="A13" s="50">
        <v>10</v>
      </c>
      <c r="B13" s="213">
        <v>46001</v>
      </c>
      <c r="C13" s="25"/>
      <c r="D13" s="25"/>
      <c r="E13" s="8">
        <v>0</v>
      </c>
      <c r="F13" s="8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155">
        <v>0</v>
      </c>
      <c r="M13" s="8">
        <f t="shared" si="3"/>
        <v>0</v>
      </c>
      <c r="N13" s="48"/>
      <c r="O13" s="1"/>
    </row>
    <row r="14" spans="1:15">
      <c r="A14" s="50">
        <v>11</v>
      </c>
      <c r="B14" s="213">
        <v>46002</v>
      </c>
      <c r="C14" s="25"/>
      <c r="D14" s="25"/>
      <c r="E14" s="8">
        <v>0</v>
      </c>
      <c r="F14" s="8">
        <v>0</v>
      </c>
      <c r="G14" s="8">
        <f t="shared" si="0"/>
        <v>0</v>
      </c>
      <c r="H14" s="9">
        <v>0</v>
      </c>
      <c r="I14" s="9">
        <v>0</v>
      </c>
      <c r="J14" s="8">
        <f t="shared" si="1"/>
        <v>0</v>
      </c>
      <c r="K14" s="8">
        <f t="shared" si="2"/>
        <v>0</v>
      </c>
      <c r="L14" s="155">
        <v>0</v>
      </c>
      <c r="M14" s="8">
        <f t="shared" si="3"/>
        <v>0</v>
      </c>
      <c r="N14" s="48"/>
      <c r="O14" s="1"/>
    </row>
    <row r="15" spans="1:15">
      <c r="A15" s="50">
        <v>12</v>
      </c>
      <c r="B15" s="213">
        <v>46003</v>
      </c>
      <c r="C15" s="25"/>
      <c r="D15" s="25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55">
        <v>0</v>
      </c>
      <c r="M15" s="8">
        <f t="shared" si="3"/>
        <v>0</v>
      </c>
      <c r="N15" s="48"/>
      <c r="O15" s="1"/>
    </row>
    <row r="16" spans="1:15">
      <c r="A16" s="50">
        <v>13</v>
      </c>
      <c r="B16" s="213">
        <v>46004</v>
      </c>
      <c r="C16" s="25"/>
      <c r="D16" s="25"/>
      <c r="E16" s="8">
        <v>0</v>
      </c>
      <c r="F16" s="8">
        <v>0</v>
      </c>
      <c r="G16" s="8">
        <f t="shared" si="0"/>
        <v>0</v>
      </c>
      <c r="H16" s="9">
        <v>0</v>
      </c>
      <c r="I16" s="9">
        <v>0</v>
      </c>
      <c r="J16" s="8">
        <f t="shared" si="1"/>
        <v>0</v>
      </c>
      <c r="K16" s="8">
        <f t="shared" si="2"/>
        <v>0</v>
      </c>
      <c r="L16" s="155">
        <v>0</v>
      </c>
      <c r="M16" s="8">
        <f>M15+K16-L16</f>
        <v>0</v>
      </c>
      <c r="N16" s="48"/>
      <c r="O16" s="1"/>
    </row>
    <row r="17" spans="1:18">
      <c r="A17" s="50">
        <v>14</v>
      </c>
      <c r="B17" s="213">
        <v>46005</v>
      </c>
      <c r="C17" s="25"/>
      <c r="D17" s="25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/>
      <c r="K17" s="8">
        <f t="shared" si="2"/>
        <v>0</v>
      </c>
      <c r="L17" s="155">
        <v>0</v>
      </c>
      <c r="M17" s="8">
        <f>M16+K17-L17</f>
        <v>0</v>
      </c>
      <c r="N17" s="48"/>
      <c r="O17" s="1"/>
    </row>
    <row r="18" spans="1:18">
      <c r="A18" s="50">
        <v>15</v>
      </c>
      <c r="B18" s="213">
        <v>46006</v>
      </c>
      <c r="C18" s="25"/>
      <c r="D18" s="25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55">
        <v>0</v>
      </c>
      <c r="M18" s="8">
        <f t="shared" ref="M18:M36" si="4">M17+K18-L18</f>
        <v>0</v>
      </c>
      <c r="N18" s="48"/>
      <c r="O18" s="1"/>
    </row>
    <row r="19" spans="1:18">
      <c r="A19" s="50">
        <v>16</v>
      </c>
      <c r="B19" s="213">
        <v>46007</v>
      </c>
      <c r="C19" s="25"/>
      <c r="D19" s="25"/>
      <c r="E19" s="284">
        <v>190</v>
      </c>
      <c r="F19" s="284">
        <v>91.89</v>
      </c>
      <c r="G19" s="8">
        <f t="shared" si="0"/>
        <v>17459.099999999999</v>
      </c>
      <c r="H19" s="9">
        <v>0</v>
      </c>
      <c r="I19" s="9">
        <v>0</v>
      </c>
      <c r="J19" s="8">
        <f t="shared" si="1"/>
        <v>0</v>
      </c>
      <c r="K19" s="8">
        <f t="shared" si="2"/>
        <v>17459.099999999999</v>
      </c>
      <c r="L19" s="155">
        <v>0</v>
      </c>
      <c r="M19" s="8">
        <f t="shared" si="4"/>
        <v>17459.099999999999</v>
      </c>
      <c r="N19" s="48"/>
      <c r="O19" s="1"/>
    </row>
    <row r="20" spans="1:18">
      <c r="A20" s="50">
        <v>17</v>
      </c>
      <c r="B20" s="213">
        <v>46008</v>
      </c>
      <c r="C20" s="25"/>
      <c r="D20" s="25"/>
      <c r="E20" s="284">
        <v>105</v>
      </c>
      <c r="F20" s="284">
        <v>91.89</v>
      </c>
      <c r="G20" s="8">
        <f t="shared" si="0"/>
        <v>9648.4500000000007</v>
      </c>
      <c r="H20" s="9">
        <v>0</v>
      </c>
      <c r="I20" s="9">
        <v>0</v>
      </c>
      <c r="J20" s="8">
        <f t="shared" si="1"/>
        <v>0</v>
      </c>
      <c r="K20" s="8">
        <f t="shared" si="2"/>
        <v>9648.4500000000007</v>
      </c>
      <c r="L20" s="155">
        <v>0</v>
      </c>
      <c r="M20" s="8">
        <f t="shared" si="4"/>
        <v>27107.55</v>
      </c>
      <c r="N20" s="48"/>
      <c r="O20" s="1"/>
    </row>
    <row r="21" spans="1:18">
      <c r="A21" s="50">
        <v>18</v>
      </c>
      <c r="B21" s="213">
        <v>46009</v>
      </c>
      <c r="C21" s="25"/>
      <c r="D21" s="25"/>
      <c r="E21" s="284">
        <v>136</v>
      </c>
      <c r="F21" s="284">
        <v>91.89</v>
      </c>
      <c r="G21" s="8">
        <f t="shared" si="0"/>
        <v>12497.04</v>
      </c>
      <c r="H21" s="9">
        <v>17</v>
      </c>
      <c r="I21" s="9">
        <v>111.62</v>
      </c>
      <c r="J21" s="8">
        <f t="shared" si="1"/>
        <v>1897.54</v>
      </c>
      <c r="K21" s="8">
        <f t="shared" si="2"/>
        <v>14394.580000000002</v>
      </c>
      <c r="L21" s="155">
        <v>0</v>
      </c>
      <c r="M21" s="8">
        <f t="shared" si="4"/>
        <v>41502.130000000005</v>
      </c>
      <c r="N21" s="48"/>
      <c r="O21" s="1"/>
    </row>
    <row r="22" spans="1:18">
      <c r="A22" s="50">
        <v>19</v>
      </c>
      <c r="B22" s="213">
        <v>46010</v>
      </c>
      <c r="C22" s="25"/>
      <c r="D22" s="25"/>
      <c r="E22" s="8">
        <v>205</v>
      </c>
      <c r="F22" s="284">
        <v>91.89</v>
      </c>
      <c r="G22" s="8">
        <f t="shared" si="0"/>
        <v>18837.45</v>
      </c>
      <c r="H22" s="9">
        <v>0</v>
      </c>
      <c r="I22" s="9">
        <v>0</v>
      </c>
      <c r="J22" s="8">
        <f t="shared" si="1"/>
        <v>0</v>
      </c>
      <c r="K22" s="8">
        <f t="shared" si="2"/>
        <v>18837.45</v>
      </c>
      <c r="L22" s="155">
        <v>0</v>
      </c>
      <c r="M22" s="8">
        <f t="shared" si="4"/>
        <v>60339.58</v>
      </c>
      <c r="N22" s="48"/>
      <c r="O22" s="1"/>
    </row>
    <row r="23" spans="1:18">
      <c r="A23" s="50">
        <v>20</v>
      </c>
      <c r="B23" s="213">
        <v>46011</v>
      </c>
      <c r="C23" s="25"/>
      <c r="D23" s="25"/>
      <c r="E23" s="284">
        <v>260</v>
      </c>
      <c r="F23" s="284">
        <v>91.89</v>
      </c>
      <c r="G23" s="8">
        <f t="shared" si="0"/>
        <v>23891.4</v>
      </c>
      <c r="H23" s="9">
        <v>0</v>
      </c>
      <c r="I23" s="9">
        <v>0</v>
      </c>
      <c r="J23" s="8">
        <f t="shared" si="1"/>
        <v>0</v>
      </c>
      <c r="K23" s="8">
        <f t="shared" si="2"/>
        <v>23891.4</v>
      </c>
      <c r="L23" s="155">
        <v>0</v>
      </c>
      <c r="M23" s="8">
        <f t="shared" si="4"/>
        <v>84230.98000000001</v>
      </c>
      <c r="N23" s="48"/>
      <c r="O23" s="1"/>
    </row>
    <row r="24" spans="1:18">
      <c r="A24" s="50">
        <v>21</v>
      </c>
      <c r="B24" s="213">
        <v>46012</v>
      </c>
      <c r="C24" s="25"/>
      <c r="D24" s="25"/>
      <c r="E24" s="284">
        <v>430</v>
      </c>
      <c r="F24" s="284">
        <v>91.89</v>
      </c>
      <c r="G24" s="8">
        <f t="shared" si="0"/>
        <v>39512.699999999997</v>
      </c>
      <c r="H24" s="9">
        <v>20</v>
      </c>
      <c r="I24" s="9">
        <v>111.62</v>
      </c>
      <c r="J24" s="8">
        <f t="shared" si="1"/>
        <v>2232.4</v>
      </c>
      <c r="K24" s="8">
        <f t="shared" si="2"/>
        <v>41745.1</v>
      </c>
      <c r="L24" s="155">
        <v>0</v>
      </c>
      <c r="M24" s="8">
        <f t="shared" si="4"/>
        <v>125976.08000000002</v>
      </c>
      <c r="N24" s="48"/>
      <c r="O24" s="1"/>
    </row>
    <row r="25" spans="1:18">
      <c r="A25" s="50">
        <v>22</v>
      </c>
      <c r="B25" s="213">
        <v>46013</v>
      </c>
      <c r="C25" s="25"/>
      <c r="D25" s="25"/>
      <c r="E25" s="8">
        <v>160</v>
      </c>
      <c r="F25" s="284">
        <v>91.89</v>
      </c>
      <c r="G25" s="8">
        <f t="shared" si="0"/>
        <v>14702.4</v>
      </c>
      <c r="H25" s="9">
        <v>0</v>
      </c>
      <c r="I25" s="9">
        <v>0</v>
      </c>
      <c r="J25" s="8">
        <f t="shared" si="1"/>
        <v>0</v>
      </c>
      <c r="K25" s="8">
        <f t="shared" si="2"/>
        <v>14702.4</v>
      </c>
      <c r="L25" s="155">
        <v>0</v>
      </c>
      <c r="M25" s="8">
        <f t="shared" si="4"/>
        <v>140678.48000000001</v>
      </c>
      <c r="N25" s="48"/>
      <c r="O25" s="1"/>
    </row>
    <row r="26" spans="1:18">
      <c r="A26" s="50">
        <v>23</v>
      </c>
      <c r="B26" s="213">
        <v>46014</v>
      </c>
      <c r="C26" s="25"/>
      <c r="D26" s="25"/>
      <c r="E26" s="8">
        <v>270</v>
      </c>
      <c r="F26" s="284">
        <v>91.89</v>
      </c>
      <c r="G26" s="8">
        <f t="shared" si="0"/>
        <v>24810.3</v>
      </c>
      <c r="H26" s="9">
        <v>0</v>
      </c>
      <c r="I26" s="9">
        <v>0</v>
      </c>
      <c r="J26" s="8">
        <f t="shared" si="1"/>
        <v>0</v>
      </c>
      <c r="K26" s="8">
        <f t="shared" si="2"/>
        <v>24810.3</v>
      </c>
      <c r="L26" s="155">
        <v>0</v>
      </c>
      <c r="M26" s="8">
        <f t="shared" si="4"/>
        <v>165488.78</v>
      </c>
      <c r="N26" s="48"/>
      <c r="O26" s="1"/>
    </row>
    <row r="27" spans="1:18">
      <c r="A27" s="50">
        <v>24</v>
      </c>
      <c r="B27" s="213">
        <v>46015</v>
      </c>
      <c r="C27" s="25"/>
      <c r="D27" s="25"/>
      <c r="E27" s="8">
        <v>206</v>
      </c>
      <c r="F27" s="284">
        <v>91.89</v>
      </c>
      <c r="G27" s="8">
        <f t="shared" si="0"/>
        <v>18929.34</v>
      </c>
      <c r="H27" s="9">
        <v>16</v>
      </c>
      <c r="I27" s="9">
        <v>111.62</v>
      </c>
      <c r="J27" s="8">
        <f t="shared" si="1"/>
        <v>1785.92</v>
      </c>
      <c r="K27" s="8">
        <f t="shared" si="2"/>
        <v>20715.260000000002</v>
      </c>
      <c r="L27" s="155">
        <v>0</v>
      </c>
      <c r="M27" s="8">
        <f t="shared" si="4"/>
        <v>186204.04</v>
      </c>
      <c r="N27" s="48"/>
      <c r="O27" s="1"/>
    </row>
    <row r="28" spans="1:18">
      <c r="A28" s="50">
        <v>25</v>
      </c>
      <c r="B28" s="213">
        <v>46016</v>
      </c>
      <c r="C28" s="25"/>
      <c r="D28" s="25"/>
      <c r="E28" s="8">
        <v>35</v>
      </c>
      <c r="F28" s="284">
        <v>91.89</v>
      </c>
      <c r="G28" s="8">
        <f t="shared" si="0"/>
        <v>3216.15</v>
      </c>
      <c r="H28" s="9">
        <v>0</v>
      </c>
      <c r="I28" s="9">
        <v>0</v>
      </c>
      <c r="J28" s="8">
        <f t="shared" si="1"/>
        <v>0</v>
      </c>
      <c r="K28" s="8">
        <f t="shared" si="2"/>
        <v>3216.15</v>
      </c>
      <c r="L28" s="155">
        <v>0</v>
      </c>
      <c r="M28" s="8">
        <f t="shared" si="4"/>
        <v>189420.19</v>
      </c>
      <c r="N28" s="48"/>
      <c r="O28" s="1"/>
    </row>
    <row r="29" spans="1:18">
      <c r="A29" s="50">
        <v>26</v>
      </c>
      <c r="B29" s="213">
        <v>46017</v>
      </c>
      <c r="C29" s="25"/>
      <c r="D29" s="25"/>
      <c r="E29" s="8">
        <v>230</v>
      </c>
      <c r="F29" s="284">
        <v>91.89</v>
      </c>
      <c r="G29" s="8">
        <f t="shared" si="0"/>
        <v>21134.7</v>
      </c>
      <c r="H29" s="9">
        <v>5</v>
      </c>
      <c r="I29" s="9">
        <v>103.85</v>
      </c>
      <c r="J29" s="8">
        <f t="shared" si="1"/>
        <v>519.25</v>
      </c>
      <c r="K29" s="8">
        <f t="shared" si="2"/>
        <v>21653.95</v>
      </c>
      <c r="L29" s="155">
        <v>0</v>
      </c>
      <c r="M29" s="8">
        <f t="shared" si="4"/>
        <v>211074.14</v>
      </c>
      <c r="N29" s="48"/>
      <c r="O29" s="1"/>
    </row>
    <row r="30" spans="1:18">
      <c r="A30" s="50">
        <v>27</v>
      </c>
      <c r="B30" s="213">
        <v>46018</v>
      </c>
      <c r="C30" s="25"/>
      <c r="D30" s="25"/>
      <c r="E30" s="8">
        <v>205</v>
      </c>
      <c r="F30" s="284">
        <v>91.89</v>
      </c>
      <c r="G30" s="8">
        <f t="shared" si="0"/>
        <v>18837.45</v>
      </c>
      <c r="H30" s="284">
        <v>6</v>
      </c>
      <c r="I30" s="9">
        <v>103.85</v>
      </c>
      <c r="J30" s="8">
        <f t="shared" si="1"/>
        <v>623.09999999999991</v>
      </c>
      <c r="K30" s="8">
        <f t="shared" si="2"/>
        <v>19460.55</v>
      </c>
      <c r="L30" s="155">
        <v>0</v>
      </c>
      <c r="M30" s="8">
        <f t="shared" si="4"/>
        <v>230534.69</v>
      </c>
      <c r="N30" s="48"/>
      <c r="O30" s="1"/>
    </row>
    <row r="31" spans="1:18">
      <c r="A31" s="50">
        <v>28</v>
      </c>
      <c r="B31" s="213">
        <v>46019</v>
      </c>
      <c r="C31" s="25"/>
      <c r="D31" s="25"/>
      <c r="E31" s="8">
        <v>360</v>
      </c>
      <c r="F31" s="284">
        <v>91.89</v>
      </c>
      <c r="G31" s="8">
        <f t="shared" si="0"/>
        <v>33080.400000000001</v>
      </c>
      <c r="H31" s="284">
        <v>5</v>
      </c>
      <c r="I31" s="9">
        <v>103.85</v>
      </c>
      <c r="J31" s="8">
        <f t="shared" si="1"/>
        <v>519.25</v>
      </c>
      <c r="K31" s="8">
        <f t="shared" si="2"/>
        <v>33599.65</v>
      </c>
      <c r="L31" s="155">
        <v>0</v>
      </c>
      <c r="M31" s="8">
        <f t="shared" si="4"/>
        <v>264134.34000000003</v>
      </c>
      <c r="N31" s="48"/>
      <c r="O31" s="1"/>
      <c r="R31">
        <v>46.61</v>
      </c>
    </row>
    <row r="32" spans="1:18">
      <c r="A32" s="50">
        <v>29</v>
      </c>
      <c r="B32" s="213">
        <v>46020</v>
      </c>
      <c r="C32" s="25"/>
      <c r="D32" s="25"/>
      <c r="E32" s="8">
        <v>150</v>
      </c>
      <c r="F32" s="284">
        <v>91.89</v>
      </c>
      <c r="G32" s="8">
        <f t="shared" si="0"/>
        <v>13783.5</v>
      </c>
      <c r="H32" s="9">
        <v>0</v>
      </c>
      <c r="I32" s="9">
        <v>103.85</v>
      </c>
      <c r="J32" s="8">
        <f t="shared" si="1"/>
        <v>0</v>
      </c>
      <c r="K32" s="8">
        <f t="shared" si="2"/>
        <v>13783.5</v>
      </c>
      <c r="L32" s="155">
        <v>0</v>
      </c>
      <c r="M32" s="8">
        <f t="shared" si="4"/>
        <v>277917.84000000003</v>
      </c>
      <c r="N32" s="48"/>
      <c r="O32" s="1"/>
      <c r="R32">
        <v>100</v>
      </c>
    </row>
    <row r="33" spans="1:18">
      <c r="A33" s="50">
        <v>30</v>
      </c>
      <c r="B33" s="213">
        <v>46021</v>
      </c>
      <c r="C33" s="25"/>
      <c r="D33" s="25"/>
      <c r="E33" s="8">
        <v>281.25</v>
      </c>
      <c r="F33" s="284">
        <v>91.89</v>
      </c>
      <c r="G33" s="8">
        <f t="shared" si="0"/>
        <v>25844.0625</v>
      </c>
      <c r="H33" s="9">
        <v>22</v>
      </c>
      <c r="I33" s="9">
        <v>103.85</v>
      </c>
      <c r="J33" s="8">
        <f t="shared" si="1"/>
        <v>2284.6999999999998</v>
      </c>
      <c r="K33" s="8">
        <f t="shared" si="2"/>
        <v>28128.762500000001</v>
      </c>
      <c r="L33" s="155">
        <v>0</v>
      </c>
      <c r="M33" s="8">
        <f t="shared" si="4"/>
        <v>306046.60250000004</v>
      </c>
      <c r="N33" s="48"/>
      <c r="O33" s="1"/>
      <c r="R33">
        <v>35</v>
      </c>
    </row>
    <row r="34" spans="1:18">
      <c r="A34" s="50">
        <v>31</v>
      </c>
      <c r="B34" s="213">
        <v>46022</v>
      </c>
      <c r="C34" s="25"/>
      <c r="D34" s="25"/>
      <c r="E34" s="8">
        <v>30</v>
      </c>
      <c r="F34" s="284">
        <v>91.89</v>
      </c>
      <c r="G34" s="8">
        <f t="shared" si="0"/>
        <v>2756.7</v>
      </c>
      <c r="H34" s="9">
        <v>20</v>
      </c>
      <c r="I34" s="9">
        <v>103.85</v>
      </c>
      <c r="J34" s="8">
        <f t="shared" si="1"/>
        <v>2077</v>
      </c>
      <c r="K34" s="8">
        <f t="shared" si="2"/>
        <v>4833.7</v>
      </c>
      <c r="L34" s="155">
        <v>0</v>
      </c>
      <c r="M34" s="8">
        <f t="shared" si="4"/>
        <v>310880.30250000005</v>
      </c>
      <c r="N34" s="48"/>
      <c r="O34" s="1"/>
    </row>
    <row r="35" spans="1:18">
      <c r="A35" s="50">
        <v>32</v>
      </c>
      <c r="B35" s="213">
        <v>46023</v>
      </c>
      <c r="C35" s="25"/>
      <c r="D35" s="25"/>
      <c r="E35" s="8">
        <v>0</v>
      </c>
      <c r="F35" s="8">
        <v>0</v>
      </c>
      <c r="G35" s="8">
        <f t="shared" si="0"/>
        <v>0</v>
      </c>
      <c r="H35" s="9">
        <v>0</v>
      </c>
      <c r="I35" s="9">
        <v>0</v>
      </c>
      <c r="J35" s="8">
        <f t="shared" si="1"/>
        <v>0</v>
      </c>
      <c r="K35" s="8">
        <f t="shared" si="2"/>
        <v>0</v>
      </c>
      <c r="L35" s="155">
        <v>0</v>
      </c>
      <c r="M35" s="8">
        <f t="shared" si="4"/>
        <v>310880.30250000005</v>
      </c>
      <c r="N35" s="48"/>
      <c r="O35" s="1"/>
    </row>
    <row r="36" spans="1:18">
      <c r="A36" s="208"/>
      <c r="B36" s="213"/>
      <c r="C36" s="25"/>
      <c r="D36" s="25"/>
      <c r="E36" s="8"/>
      <c r="F36" s="8"/>
      <c r="G36" s="8"/>
      <c r="H36" s="9">
        <v>0</v>
      </c>
      <c r="I36" s="9">
        <v>0</v>
      </c>
      <c r="J36" s="8"/>
      <c r="K36" s="8"/>
      <c r="L36" s="155"/>
      <c r="M36" s="8">
        <f t="shared" si="4"/>
        <v>310880.30250000005</v>
      </c>
      <c r="N36" s="48"/>
      <c r="O36" s="1"/>
    </row>
    <row r="37" spans="1:18">
      <c r="A37" s="68"/>
      <c r="B37" s="68"/>
      <c r="C37" s="68"/>
      <c r="D37" s="68"/>
      <c r="E37" s="69">
        <f>SUM(E4:E35)</f>
        <v>3253.25</v>
      </c>
      <c r="F37" s="69"/>
      <c r="G37" s="69">
        <f>SUM(G4:G35)</f>
        <v>298941.14250000002</v>
      </c>
      <c r="H37" s="69">
        <f>SUM(H4:H35)</f>
        <v>111</v>
      </c>
      <c r="I37" s="69"/>
      <c r="J37" s="69">
        <f>SUM(J4:J35)</f>
        <v>11939.16</v>
      </c>
      <c r="K37" s="69">
        <f>SUM(K4:K35)</f>
        <v>310880.30250000005</v>
      </c>
      <c r="L37" s="69">
        <f>SUM(L4:L35)</f>
        <v>0</v>
      </c>
      <c r="M37" s="69"/>
      <c r="N37" s="69"/>
      <c r="O37" s="65"/>
    </row>
    <row r="38" spans="1:18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8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8">
      <c r="A40" s="1"/>
      <c r="B40" s="454"/>
      <c r="C40" s="454"/>
      <c r="D40" s="454"/>
      <c r="E40" s="454"/>
      <c r="F40" s="1"/>
      <c r="G40" s="1"/>
      <c r="H40" s="1"/>
      <c r="I40" s="491">
        <f>K25+L25</f>
        <v>14702.4</v>
      </c>
      <c r="J40" s="454"/>
      <c r="K40" s="454"/>
      <c r="L40" s="454"/>
      <c r="M40" s="454"/>
      <c r="N40" s="454"/>
      <c r="O40" s="4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A22" activePane="bottomLeft" state="frozen"/>
      <selection pane="bottomLeft" activeCell="M32" sqref="M32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461" t="s">
        <v>77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8"/>
    </row>
    <row r="2" spans="1:16">
      <c r="A2" s="104" t="s">
        <v>122</v>
      </c>
      <c r="B2" s="105" t="s">
        <v>123</v>
      </c>
      <c r="C2" s="105" t="s">
        <v>124</v>
      </c>
      <c r="D2" s="105" t="s">
        <v>139</v>
      </c>
      <c r="E2" s="105" t="s">
        <v>126</v>
      </c>
      <c r="F2" s="105" t="s">
        <v>127</v>
      </c>
      <c r="G2" s="105" t="s">
        <v>128</v>
      </c>
      <c r="H2" s="105" t="s">
        <v>129</v>
      </c>
      <c r="I2" s="105" t="s">
        <v>127</v>
      </c>
      <c r="J2" s="145" t="s">
        <v>128</v>
      </c>
      <c r="K2" s="106" t="s">
        <v>130</v>
      </c>
      <c r="L2" s="146" t="s">
        <v>131</v>
      </c>
      <c r="M2" s="150" t="s">
        <v>138</v>
      </c>
      <c r="N2" s="107" t="s">
        <v>133</v>
      </c>
      <c r="O2" s="65"/>
    </row>
    <row r="3" spans="1:16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4"/>
      <c r="K3" s="171">
        <v>1290.2615000000078</v>
      </c>
      <c r="L3" s="17"/>
      <c r="M3" s="112">
        <v>1290.2615000000078</v>
      </c>
      <c r="N3" s="17"/>
      <c r="O3" s="65"/>
    </row>
    <row r="4" spans="1:16">
      <c r="A4" s="50">
        <v>1</v>
      </c>
      <c r="B4" s="213">
        <v>45962</v>
      </c>
      <c r="C4" s="159"/>
      <c r="D4" s="160"/>
      <c r="E4" s="161">
        <v>0</v>
      </c>
      <c r="F4" s="161">
        <v>0</v>
      </c>
      <c r="G4" s="147">
        <f>E4*F4</f>
        <v>0</v>
      </c>
      <c r="H4" s="161">
        <v>5</v>
      </c>
      <c r="I4" s="162">
        <v>103.8</v>
      </c>
      <c r="J4" s="20">
        <f>H4*I4</f>
        <v>519</v>
      </c>
      <c r="K4" s="20">
        <f>G4+J4</f>
        <v>519</v>
      </c>
      <c r="L4" s="148"/>
      <c r="M4" s="148">
        <f t="shared" ref="M4:M21" si="0">M3+K4-L4</f>
        <v>1809.2615000000078</v>
      </c>
      <c r="N4" s="149"/>
    </row>
    <row r="5" spans="1:16">
      <c r="A5" s="50">
        <v>2</v>
      </c>
      <c r="B5" s="213">
        <v>45963</v>
      </c>
      <c r="C5" s="11"/>
      <c r="D5" s="11"/>
      <c r="E5" s="161">
        <v>0</v>
      </c>
      <c r="F5" s="161">
        <v>0</v>
      </c>
      <c r="G5" s="147">
        <f t="shared" ref="G5:G34" si="1">E5*F5</f>
        <v>0</v>
      </c>
      <c r="H5" s="161">
        <v>0</v>
      </c>
      <c r="I5" s="162">
        <v>0</v>
      </c>
      <c r="J5" s="20">
        <f t="shared" ref="J5:J34" si="2">H5*I5</f>
        <v>0</v>
      </c>
      <c r="K5" s="20">
        <f t="shared" ref="K5:K34" si="3">G5+J5</f>
        <v>0</v>
      </c>
      <c r="L5" s="148"/>
      <c r="M5" s="14">
        <f t="shared" si="0"/>
        <v>1809.2615000000078</v>
      </c>
      <c r="N5" s="12"/>
    </row>
    <row r="6" spans="1:16">
      <c r="A6" s="50">
        <v>3</v>
      </c>
      <c r="B6" s="213">
        <v>45964</v>
      </c>
      <c r="C6" s="11"/>
      <c r="D6" s="11"/>
      <c r="E6" s="161">
        <v>0</v>
      </c>
      <c r="F6" s="161">
        <v>0</v>
      </c>
      <c r="G6" s="147">
        <f t="shared" si="1"/>
        <v>0</v>
      </c>
      <c r="H6" s="161">
        <v>0</v>
      </c>
      <c r="I6" s="162">
        <v>0</v>
      </c>
      <c r="J6" s="20">
        <f t="shared" si="2"/>
        <v>0</v>
      </c>
      <c r="K6" s="20">
        <f t="shared" si="3"/>
        <v>0</v>
      </c>
      <c r="L6" s="148"/>
      <c r="M6" s="14">
        <f t="shared" si="0"/>
        <v>1809.2615000000078</v>
      </c>
      <c r="N6" s="13"/>
    </row>
    <row r="7" spans="1:16">
      <c r="A7" s="50">
        <v>4</v>
      </c>
      <c r="B7" s="213">
        <v>45965</v>
      </c>
      <c r="C7" s="76"/>
      <c r="D7" s="77"/>
      <c r="E7" s="161">
        <v>0</v>
      </c>
      <c r="F7" s="161">
        <v>0</v>
      </c>
      <c r="G7" s="147">
        <f t="shared" si="1"/>
        <v>0</v>
      </c>
      <c r="H7" s="161">
        <v>0</v>
      </c>
      <c r="I7" s="162">
        <v>0</v>
      </c>
      <c r="J7" s="20">
        <f t="shared" si="2"/>
        <v>0</v>
      </c>
      <c r="K7" s="20">
        <f t="shared" si="3"/>
        <v>0</v>
      </c>
      <c r="L7" s="148"/>
      <c r="M7" s="14">
        <f t="shared" si="0"/>
        <v>1809.2615000000078</v>
      </c>
      <c r="N7" s="43"/>
    </row>
    <row r="8" spans="1:16">
      <c r="A8" s="50">
        <v>5</v>
      </c>
      <c r="B8" s="213">
        <v>45966</v>
      </c>
      <c r="C8" s="76"/>
      <c r="D8" s="77"/>
      <c r="E8" s="161">
        <v>0</v>
      </c>
      <c r="F8" s="161">
        <v>0</v>
      </c>
      <c r="G8" s="147">
        <f t="shared" si="1"/>
        <v>0</v>
      </c>
      <c r="H8" s="161">
        <v>0</v>
      </c>
      <c r="I8" s="162">
        <v>0</v>
      </c>
      <c r="J8" s="20">
        <f t="shared" si="2"/>
        <v>0</v>
      </c>
      <c r="K8" s="20">
        <f t="shared" si="3"/>
        <v>0</v>
      </c>
      <c r="L8" s="148"/>
      <c r="M8" s="14">
        <f t="shared" si="0"/>
        <v>1809.2615000000078</v>
      </c>
      <c r="N8" s="43"/>
      <c r="O8" s="258">
        <v>8497892194</v>
      </c>
      <c r="P8" s="259" t="s">
        <v>194</v>
      </c>
    </row>
    <row r="9" spans="1:16">
      <c r="A9" s="50">
        <v>6</v>
      </c>
      <c r="B9" s="213">
        <v>45967</v>
      </c>
      <c r="C9" s="76"/>
      <c r="D9" s="77"/>
      <c r="E9" s="161">
        <v>0</v>
      </c>
      <c r="F9" s="161">
        <v>0</v>
      </c>
      <c r="G9" s="147">
        <f t="shared" si="1"/>
        <v>0</v>
      </c>
      <c r="H9" s="161">
        <v>0</v>
      </c>
      <c r="I9" s="162">
        <v>0</v>
      </c>
      <c r="J9" s="20">
        <f t="shared" si="2"/>
        <v>0</v>
      </c>
      <c r="K9" s="20">
        <f t="shared" si="3"/>
        <v>0</v>
      </c>
      <c r="L9" s="148"/>
      <c r="M9" s="14">
        <f t="shared" si="0"/>
        <v>1809.2615000000078</v>
      </c>
      <c r="N9" s="43"/>
      <c r="O9" s="75"/>
    </row>
    <row r="10" spans="1:16">
      <c r="A10" s="50">
        <v>7</v>
      </c>
      <c r="B10" s="213">
        <v>45968</v>
      </c>
      <c r="C10" s="76"/>
      <c r="D10" s="77"/>
      <c r="E10" s="161">
        <v>0</v>
      </c>
      <c r="F10" s="161">
        <v>0</v>
      </c>
      <c r="G10" s="147">
        <f t="shared" si="1"/>
        <v>0</v>
      </c>
      <c r="H10" s="161">
        <v>0</v>
      </c>
      <c r="I10" s="162">
        <v>0</v>
      </c>
      <c r="J10" s="20">
        <f t="shared" si="2"/>
        <v>0</v>
      </c>
      <c r="K10" s="20">
        <f t="shared" si="3"/>
        <v>0</v>
      </c>
      <c r="L10" s="148"/>
      <c r="M10" s="14">
        <f t="shared" si="0"/>
        <v>1809.2615000000078</v>
      </c>
      <c r="N10" s="43"/>
      <c r="O10" s="75"/>
    </row>
    <row r="11" spans="1:16">
      <c r="A11" s="50">
        <v>8</v>
      </c>
      <c r="B11" s="213">
        <v>45969</v>
      </c>
      <c r="C11" s="76"/>
      <c r="D11" s="77"/>
      <c r="E11" s="161">
        <v>0</v>
      </c>
      <c r="F11" s="161">
        <v>0</v>
      </c>
      <c r="G11" s="147">
        <f t="shared" si="1"/>
        <v>0</v>
      </c>
      <c r="H11" s="161">
        <v>0</v>
      </c>
      <c r="I11" s="162">
        <v>0</v>
      </c>
      <c r="J11" s="20">
        <f t="shared" si="2"/>
        <v>0</v>
      </c>
      <c r="K11" s="20">
        <f t="shared" si="3"/>
        <v>0</v>
      </c>
      <c r="L11" s="148"/>
      <c r="M11" s="14">
        <f t="shared" si="0"/>
        <v>1809.2615000000078</v>
      </c>
      <c r="N11" s="43"/>
      <c r="O11" s="75"/>
    </row>
    <row r="12" spans="1:16">
      <c r="A12" s="50">
        <v>9</v>
      </c>
      <c r="B12" s="213">
        <v>45970</v>
      </c>
      <c r="C12" s="76"/>
      <c r="D12" s="77"/>
      <c r="E12" s="161">
        <v>0</v>
      </c>
      <c r="F12" s="161">
        <v>0</v>
      </c>
      <c r="G12" s="147">
        <f t="shared" si="1"/>
        <v>0</v>
      </c>
      <c r="H12" s="161">
        <v>0</v>
      </c>
      <c r="I12" s="162">
        <v>0</v>
      </c>
      <c r="J12" s="20">
        <f t="shared" si="2"/>
        <v>0</v>
      </c>
      <c r="K12" s="20">
        <f t="shared" si="3"/>
        <v>0</v>
      </c>
      <c r="L12" s="148"/>
      <c r="M12" s="14">
        <f t="shared" si="0"/>
        <v>1809.2615000000078</v>
      </c>
      <c r="N12" s="43"/>
      <c r="O12" s="75"/>
    </row>
    <row r="13" spans="1:16">
      <c r="A13" s="50">
        <v>10</v>
      </c>
      <c r="B13" s="213">
        <v>45971</v>
      </c>
      <c r="C13" s="76"/>
      <c r="D13" s="77"/>
      <c r="E13" s="161">
        <v>0</v>
      </c>
      <c r="F13" s="161">
        <v>0</v>
      </c>
      <c r="G13" s="147">
        <f t="shared" si="1"/>
        <v>0</v>
      </c>
      <c r="H13" s="161">
        <v>0</v>
      </c>
      <c r="I13" s="162">
        <v>0</v>
      </c>
      <c r="J13" s="20">
        <f t="shared" si="2"/>
        <v>0</v>
      </c>
      <c r="K13" s="20">
        <f t="shared" si="3"/>
        <v>0</v>
      </c>
      <c r="L13" s="148"/>
      <c r="M13" s="14">
        <f t="shared" si="0"/>
        <v>1809.2615000000078</v>
      </c>
      <c r="N13" s="43"/>
      <c r="O13" s="75"/>
    </row>
    <row r="14" spans="1:16">
      <c r="A14" s="50">
        <v>11</v>
      </c>
      <c r="B14" s="213">
        <v>45972</v>
      </c>
      <c r="C14" s="76"/>
      <c r="D14" s="77"/>
      <c r="E14" s="161">
        <v>0</v>
      </c>
      <c r="F14" s="161">
        <v>0</v>
      </c>
      <c r="G14" s="147">
        <f t="shared" si="1"/>
        <v>0</v>
      </c>
      <c r="H14" s="161">
        <v>0</v>
      </c>
      <c r="I14" s="162">
        <v>0</v>
      </c>
      <c r="J14" s="20">
        <f t="shared" si="2"/>
        <v>0</v>
      </c>
      <c r="K14" s="20">
        <f t="shared" si="3"/>
        <v>0</v>
      </c>
      <c r="L14" s="148"/>
      <c r="M14" s="14">
        <f t="shared" si="0"/>
        <v>1809.2615000000078</v>
      </c>
      <c r="N14" s="43"/>
      <c r="O14" s="75"/>
    </row>
    <row r="15" spans="1:16">
      <c r="A15" s="50">
        <v>12</v>
      </c>
      <c r="B15" s="213">
        <v>45973</v>
      </c>
      <c r="C15" s="76"/>
      <c r="D15" s="77"/>
      <c r="E15" s="161">
        <v>0</v>
      </c>
      <c r="F15" s="161">
        <v>0</v>
      </c>
      <c r="G15" s="147">
        <f t="shared" si="1"/>
        <v>0</v>
      </c>
      <c r="H15" s="161">
        <v>0</v>
      </c>
      <c r="I15" s="162">
        <v>0</v>
      </c>
      <c r="J15" s="20">
        <f t="shared" si="2"/>
        <v>0</v>
      </c>
      <c r="K15" s="20">
        <f t="shared" si="3"/>
        <v>0</v>
      </c>
      <c r="L15" s="148"/>
      <c r="M15" s="14">
        <f t="shared" si="0"/>
        <v>1809.2615000000078</v>
      </c>
      <c r="N15" s="43"/>
      <c r="O15" s="75"/>
    </row>
    <row r="16" spans="1:16">
      <c r="A16" s="50">
        <v>13</v>
      </c>
      <c r="B16" s="213">
        <v>45974</v>
      </c>
      <c r="C16" s="76"/>
      <c r="D16" s="77"/>
      <c r="E16" s="161">
        <v>0</v>
      </c>
      <c r="F16" s="161">
        <v>0</v>
      </c>
      <c r="G16" s="147">
        <f t="shared" si="1"/>
        <v>0</v>
      </c>
      <c r="H16" s="161">
        <v>0</v>
      </c>
      <c r="I16" s="162">
        <v>0</v>
      </c>
      <c r="J16" s="20">
        <f t="shared" si="2"/>
        <v>0</v>
      </c>
      <c r="K16" s="20">
        <f t="shared" si="3"/>
        <v>0</v>
      </c>
      <c r="L16" s="148"/>
      <c r="M16" s="257">
        <f t="shared" si="0"/>
        <v>1809.2615000000078</v>
      </c>
      <c r="N16" s="43"/>
      <c r="O16" s="75"/>
    </row>
    <row r="17" spans="1:18">
      <c r="A17" s="50">
        <v>14</v>
      </c>
      <c r="B17" s="213">
        <v>45975</v>
      </c>
      <c r="C17" s="76"/>
      <c r="D17" s="77"/>
      <c r="E17" s="161">
        <v>0</v>
      </c>
      <c r="F17" s="161">
        <v>0</v>
      </c>
      <c r="G17" s="147">
        <f t="shared" si="1"/>
        <v>0</v>
      </c>
      <c r="H17" s="161">
        <v>0</v>
      </c>
      <c r="I17" s="162">
        <v>0</v>
      </c>
      <c r="J17" s="20">
        <f t="shared" si="2"/>
        <v>0</v>
      </c>
      <c r="K17" s="20">
        <f t="shared" si="3"/>
        <v>0</v>
      </c>
      <c r="L17" s="148"/>
      <c r="M17" s="14">
        <f t="shared" si="0"/>
        <v>1809.2615000000078</v>
      </c>
      <c r="N17" s="43"/>
      <c r="O17" s="75"/>
    </row>
    <row r="18" spans="1:18">
      <c r="A18" s="50">
        <v>15</v>
      </c>
      <c r="B18" s="213">
        <v>45976</v>
      </c>
      <c r="C18" s="76"/>
      <c r="D18" s="77"/>
      <c r="E18" s="161">
        <v>0</v>
      </c>
      <c r="F18" s="161">
        <v>0</v>
      </c>
      <c r="G18" s="147">
        <f t="shared" si="1"/>
        <v>0</v>
      </c>
      <c r="H18" s="161">
        <v>0</v>
      </c>
      <c r="I18" s="162">
        <v>0</v>
      </c>
      <c r="J18" s="20">
        <f t="shared" si="2"/>
        <v>0</v>
      </c>
      <c r="K18" s="20">
        <f t="shared" si="3"/>
        <v>0</v>
      </c>
      <c r="L18" s="148"/>
      <c r="M18" s="14">
        <f t="shared" si="0"/>
        <v>1809.2615000000078</v>
      </c>
      <c r="N18" s="43"/>
      <c r="O18" s="75"/>
    </row>
    <row r="19" spans="1:18">
      <c r="A19" s="50">
        <v>16</v>
      </c>
      <c r="B19" s="213">
        <v>45977</v>
      </c>
      <c r="C19" s="200"/>
      <c r="D19" s="201"/>
      <c r="E19" s="161">
        <v>0</v>
      </c>
      <c r="F19" s="161">
        <v>0</v>
      </c>
      <c r="G19" s="147">
        <f t="shared" si="1"/>
        <v>0</v>
      </c>
      <c r="H19" s="161">
        <v>0</v>
      </c>
      <c r="I19" s="162">
        <v>0</v>
      </c>
      <c r="J19" s="20">
        <f t="shared" si="2"/>
        <v>0</v>
      </c>
      <c r="K19" s="20">
        <f t="shared" si="3"/>
        <v>0</v>
      </c>
      <c r="L19" s="148"/>
      <c r="M19" s="15">
        <f t="shared" si="0"/>
        <v>1809.2615000000078</v>
      </c>
      <c r="N19" s="202"/>
      <c r="O19" s="75"/>
    </row>
    <row r="20" spans="1:18">
      <c r="A20" s="50">
        <v>17</v>
      </c>
      <c r="B20" s="213">
        <v>45978</v>
      </c>
      <c r="C20" s="73"/>
      <c r="D20" s="77"/>
      <c r="E20" s="161">
        <v>0</v>
      </c>
      <c r="F20" s="161">
        <v>0</v>
      </c>
      <c r="G20" s="147">
        <f t="shared" si="1"/>
        <v>0</v>
      </c>
      <c r="H20" s="161">
        <v>0</v>
      </c>
      <c r="I20" s="162">
        <v>0</v>
      </c>
      <c r="J20" s="20">
        <f t="shared" si="2"/>
        <v>0</v>
      </c>
      <c r="K20" s="20">
        <f t="shared" si="3"/>
        <v>0</v>
      </c>
      <c r="L20" s="148"/>
      <c r="M20" s="15">
        <f t="shared" si="0"/>
        <v>1809.2615000000078</v>
      </c>
      <c r="N20" s="43"/>
      <c r="O20" s="75"/>
    </row>
    <row r="21" spans="1:18">
      <c r="A21" s="50">
        <v>18</v>
      </c>
      <c r="B21" s="213">
        <v>45979</v>
      </c>
      <c r="C21" s="73"/>
      <c r="D21" s="77"/>
      <c r="E21" s="161">
        <v>0</v>
      </c>
      <c r="F21" s="161">
        <v>0</v>
      </c>
      <c r="G21" s="147">
        <f t="shared" si="1"/>
        <v>0</v>
      </c>
      <c r="H21" s="161">
        <v>5</v>
      </c>
      <c r="I21" s="162">
        <v>103.8</v>
      </c>
      <c r="J21" s="20">
        <f t="shared" si="2"/>
        <v>519</v>
      </c>
      <c r="K21" s="20">
        <f t="shared" si="3"/>
        <v>519</v>
      </c>
      <c r="L21" s="148"/>
      <c r="M21" s="15">
        <f t="shared" si="0"/>
        <v>2328.2615000000078</v>
      </c>
      <c r="N21" s="43"/>
      <c r="O21" s="75"/>
    </row>
    <row r="22" spans="1:18">
      <c r="A22" s="50">
        <v>19</v>
      </c>
      <c r="B22" s="213">
        <v>45980</v>
      </c>
      <c r="C22" s="73"/>
      <c r="D22" s="77"/>
      <c r="E22" s="161">
        <v>0</v>
      </c>
      <c r="F22" s="161">
        <v>0</v>
      </c>
      <c r="G22" s="147">
        <f t="shared" si="1"/>
        <v>0</v>
      </c>
      <c r="H22" s="161">
        <v>0</v>
      </c>
      <c r="I22" s="162">
        <v>0</v>
      </c>
      <c r="J22" s="20">
        <f t="shared" si="2"/>
        <v>0</v>
      </c>
      <c r="K22" s="20">
        <f t="shared" si="3"/>
        <v>0</v>
      </c>
      <c r="L22" s="148"/>
      <c r="M22" s="15">
        <f t="shared" ref="M22:M30" si="4">M21+K22-L22</f>
        <v>2328.2615000000078</v>
      </c>
      <c r="N22" s="43"/>
      <c r="O22" s="75"/>
    </row>
    <row r="23" spans="1:18">
      <c r="A23" s="50">
        <v>20</v>
      </c>
      <c r="B23" s="213">
        <v>45981</v>
      </c>
      <c r="C23" s="73"/>
      <c r="D23" s="77"/>
      <c r="E23" s="161">
        <v>0</v>
      </c>
      <c r="F23" s="161">
        <v>0</v>
      </c>
      <c r="G23" s="147">
        <f t="shared" si="1"/>
        <v>0</v>
      </c>
      <c r="H23" s="161">
        <v>0</v>
      </c>
      <c r="I23" s="162">
        <v>0</v>
      </c>
      <c r="J23" s="20">
        <f t="shared" si="2"/>
        <v>0</v>
      </c>
      <c r="K23" s="20">
        <f t="shared" si="3"/>
        <v>0</v>
      </c>
      <c r="L23" s="148"/>
      <c r="M23" s="15">
        <f t="shared" si="4"/>
        <v>2328.2615000000078</v>
      </c>
      <c r="N23" s="43"/>
      <c r="O23" s="75"/>
    </row>
    <row r="24" spans="1:18">
      <c r="A24" s="50">
        <v>21</v>
      </c>
      <c r="B24" s="213">
        <v>45982</v>
      </c>
      <c r="C24" s="73"/>
      <c r="D24" s="77"/>
      <c r="E24" s="161">
        <v>0</v>
      </c>
      <c r="F24" s="161">
        <v>0</v>
      </c>
      <c r="G24" s="147">
        <f t="shared" si="1"/>
        <v>0</v>
      </c>
      <c r="H24" s="161">
        <v>0</v>
      </c>
      <c r="I24" s="162">
        <v>0</v>
      </c>
      <c r="J24" s="20">
        <f t="shared" si="2"/>
        <v>0</v>
      </c>
      <c r="K24" s="20">
        <f t="shared" si="3"/>
        <v>0</v>
      </c>
      <c r="L24" s="148"/>
      <c r="M24" s="15">
        <f t="shared" si="4"/>
        <v>2328.2615000000078</v>
      </c>
      <c r="N24" s="43"/>
      <c r="O24" s="75"/>
    </row>
    <row r="25" spans="1:18">
      <c r="A25" s="50">
        <v>22</v>
      </c>
      <c r="B25" s="213">
        <v>45983</v>
      </c>
      <c r="C25" s="73"/>
      <c r="D25" s="77"/>
      <c r="E25" s="161">
        <v>0</v>
      </c>
      <c r="F25" s="161">
        <v>0</v>
      </c>
      <c r="G25" s="147">
        <f t="shared" si="1"/>
        <v>0</v>
      </c>
      <c r="H25" s="161">
        <v>0</v>
      </c>
      <c r="I25" s="162">
        <v>0</v>
      </c>
      <c r="J25" s="20">
        <f t="shared" si="2"/>
        <v>0</v>
      </c>
      <c r="K25" s="20">
        <f t="shared" si="3"/>
        <v>0</v>
      </c>
      <c r="L25" s="148"/>
      <c r="M25" s="15">
        <f t="shared" si="4"/>
        <v>2328.2615000000078</v>
      </c>
      <c r="N25" s="43"/>
      <c r="O25" s="75"/>
    </row>
    <row r="26" spans="1:18">
      <c r="A26" s="50">
        <v>23</v>
      </c>
      <c r="B26" s="213">
        <v>45984</v>
      </c>
      <c r="C26" s="73"/>
      <c r="D26" s="77"/>
      <c r="E26" s="161">
        <v>0</v>
      </c>
      <c r="F26" s="161">
        <v>0</v>
      </c>
      <c r="G26" s="147">
        <f t="shared" si="1"/>
        <v>0</v>
      </c>
      <c r="H26" s="161">
        <v>0</v>
      </c>
      <c r="I26" s="162">
        <v>0</v>
      </c>
      <c r="J26" s="20">
        <f t="shared" si="2"/>
        <v>0</v>
      </c>
      <c r="K26" s="20">
        <f t="shared" si="3"/>
        <v>0</v>
      </c>
      <c r="L26" s="148"/>
      <c r="M26" s="15">
        <f t="shared" si="4"/>
        <v>2328.2615000000078</v>
      </c>
      <c r="N26" s="43"/>
      <c r="O26" s="75"/>
    </row>
    <row r="27" spans="1:18">
      <c r="A27" s="50">
        <v>24</v>
      </c>
      <c r="B27" s="213">
        <v>45985</v>
      </c>
      <c r="C27" s="73"/>
      <c r="D27" s="77"/>
      <c r="E27" s="161">
        <v>0</v>
      </c>
      <c r="F27" s="161">
        <v>0</v>
      </c>
      <c r="G27" s="147">
        <f t="shared" si="1"/>
        <v>0</v>
      </c>
      <c r="H27" s="161">
        <v>5</v>
      </c>
      <c r="I27" s="162">
        <v>103.8</v>
      </c>
      <c r="J27" s="20">
        <f t="shared" si="2"/>
        <v>519</v>
      </c>
      <c r="K27" s="20">
        <f t="shared" si="3"/>
        <v>519</v>
      </c>
      <c r="L27" s="148"/>
      <c r="M27" s="15">
        <f t="shared" si="4"/>
        <v>2847.2615000000078</v>
      </c>
      <c r="N27" s="43"/>
      <c r="O27" s="75"/>
      <c r="R27">
        <v>66742</v>
      </c>
    </row>
    <row r="28" spans="1:18">
      <c r="A28" s="232">
        <v>25</v>
      </c>
      <c r="B28" s="213">
        <v>45986</v>
      </c>
      <c r="C28" s="207"/>
      <c r="D28" s="201"/>
      <c r="E28" s="161">
        <v>0</v>
      </c>
      <c r="F28" s="161">
        <v>0</v>
      </c>
      <c r="G28" s="147">
        <f t="shared" si="1"/>
        <v>0</v>
      </c>
      <c r="H28" s="161">
        <v>0</v>
      </c>
      <c r="I28" s="162">
        <v>0</v>
      </c>
      <c r="J28" s="20">
        <f t="shared" si="2"/>
        <v>0</v>
      </c>
      <c r="K28" s="20">
        <f t="shared" si="3"/>
        <v>0</v>
      </c>
      <c r="L28" s="148"/>
      <c r="M28" s="15">
        <f t="shared" si="4"/>
        <v>2847.2615000000078</v>
      </c>
      <c r="N28" s="202"/>
      <c r="O28" s="75"/>
    </row>
    <row r="29" spans="1:18">
      <c r="A29" s="50">
        <v>26</v>
      </c>
      <c r="B29" s="213">
        <v>45987</v>
      </c>
      <c r="C29" s="73"/>
      <c r="D29" s="77"/>
      <c r="E29" s="161">
        <v>0</v>
      </c>
      <c r="F29" s="161">
        <v>0</v>
      </c>
      <c r="G29" s="147">
        <f t="shared" si="1"/>
        <v>0</v>
      </c>
      <c r="H29" s="161">
        <v>0</v>
      </c>
      <c r="I29" s="162">
        <v>0</v>
      </c>
      <c r="J29" s="20">
        <f t="shared" si="2"/>
        <v>0</v>
      </c>
      <c r="K29" s="20">
        <f t="shared" si="3"/>
        <v>0</v>
      </c>
      <c r="L29" s="148"/>
      <c r="M29" s="15">
        <f t="shared" si="4"/>
        <v>2847.2615000000078</v>
      </c>
      <c r="N29" s="43"/>
      <c r="O29" s="75"/>
    </row>
    <row r="30" spans="1:18">
      <c r="A30" s="50">
        <v>27</v>
      </c>
      <c r="B30" s="213">
        <v>45988</v>
      </c>
      <c r="C30" s="73"/>
      <c r="D30" s="77"/>
      <c r="E30" s="161">
        <v>0</v>
      </c>
      <c r="F30" s="161">
        <v>0</v>
      </c>
      <c r="G30" s="147">
        <f t="shared" si="1"/>
        <v>0</v>
      </c>
      <c r="H30" s="161">
        <v>0</v>
      </c>
      <c r="I30" s="162">
        <v>0</v>
      </c>
      <c r="J30" s="20">
        <f t="shared" si="2"/>
        <v>0</v>
      </c>
      <c r="K30" s="20">
        <f t="shared" si="3"/>
        <v>0</v>
      </c>
      <c r="L30" s="148"/>
      <c r="M30" s="15">
        <f t="shared" si="4"/>
        <v>2847.2615000000078</v>
      </c>
      <c r="N30" s="43"/>
      <c r="O30" s="75"/>
    </row>
    <row r="31" spans="1:18">
      <c r="A31" s="50">
        <v>28</v>
      </c>
      <c r="B31" s="213">
        <v>45989</v>
      </c>
      <c r="C31" s="73"/>
      <c r="D31" s="77"/>
      <c r="E31" s="161">
        <v>18</v>
      </c>
      <c r="F31" s="161">
        <v>91.83</v>
      </c>
      <c r="G31" s="147">
        <f t="shared" si="1"/>
        <v>1652.94</v>
      </c>
      <c r="H31" s="161">
        <v>0</v>
      </c>
      <c r="I31" s="162">
        <v>103.8</v>
      </c>
      <c r="J31" s="20">
        <f t="shared" si="2"/>
        <v>0</v>
      </c>
      <c r="K31" s="20">
        <f t="shared" si="3"/>
        <v>1652.94</v>
      </c>
      <c r="L31" s="148"/>
      <c r="M31" s="15">
        <f>M30+K31-L31</f>
        <v>4500.2015000000083</v>
      </c>
      <c r="N31" s="43"/>
      <c r="O31" s="75"/>
    </row>
    <row r="32" spans="1:18">
      <c r="A32" s="50">
        <v>29</v>
      </c>
      <c r="B32" s="213">
        <v>45990</v>
      </c>
      <c r="C32" s="73"/>
      <c r="D32" s="77"/>
      <c r="E32" s="161">
        <v>0</v>
      </c>
      <c r="F32" s="161">
        <v>0</v>
      </c>
      <c r="G32" s="147">
        <f t="shared" si="1"/>
        <v>0</v>
      </c>
      <c r="H32" s="161">
        <v>0</v>
      </c>
      <c r="I32" s="162">
        <v>0</v>
      </c>
      <c r="J32" s="20">
        <f t="shared" si="2"/>
        <v>0</v>
      </c>
      <c r="K32" s="20">
        <f t="shared" si="3"/>
        <v>0</v>
      </c>
      <c r="L32" s="148"/>
      <c r="M32" s="15">
        <f>M31+K32-L32</f>
        <v>4500.2015000000083</v>
      </c>
      <c r="N32" s="43"/>
      <c r="O32" s="75"/>
    </row>
    <row r="33" spans="1:15">
      <c r="A33" s="50">
        <v>30</v>
      </c>
      <c r="B33" s="213">
        <v>45991</v>
      </c>
      <c r="C33" s="73"/>
      <c r="D33" s="77"/>
      <c r="E33" s="161">
        <v>0</v>
      </c>
      <c r="F33" s="161">
        <v>0</v>
      </c>
      <c r="G33" s="147">
        <f t="shared" si="1"/>
        <v>0</v>
      </c>
      <c r="H33" s="161">
        <v>0</v>
      </c>
      <c r="I33" s="162">
        <v>0</v>
      </c>
      <c r="J33" s="20">
        <f t="shared" si="2"/>
        <v>0</v>
      </c>
      <c r="K33" s="20">
        <f t="shared" si="3"/>
        <v>0</v>
      </c>
      <c r="L33" s="148"/>
      <c r="M33" s="15">
        <f>M32+K33-L33</f>
        <v>4500.2015000000083</v>
      </c>
      <c r="N33" s="43"/>
      <c r="O33" s="75"/>
    </row>
    <row r="34" spans="1:15">
      <c r="A34" s="50">
        <v>31</v>
      </c>
      <c r="B34" s="213"/>
      <c r="C34" s="73"/>
      <c r="D34" s="77"/>
      <c r="E34" s="161">
        <v>0</v>
      </c>
      <c r="F34" s="161">
        <v>0</v>
      </c>
      <c r="G34" s="147">
        <f t="shared" si="1"/>
        <v>0</v>
      </c>
      <c r="H34" s="161">
        <v>0</v>
      </c>
      <c r="I34" s="162">
        <v>0</v>
      </c>
      <c r="J34" s="20">
        <f t="shared" si="2"/>
        <v>0</v>
      </c>
      <c r="K34" s="20">
        <f t="shared" si="3"/>
        <v>0</v>
      </c>
      <c r="L34" s="148"/>
      <c r="M34" s="15">
        <f>M33+K34-L34</f>
        <v>4500.2015000000083</v>
      </c>
      <c r="N34" s="43"/>
      <c r="O34" s="75"/>
    </row>
    <row r="35" spans="1:15">
      <c r="A35" s="168"/>
      <c r="B35" s="168"/>
      <c r="C35" s="168"/>
      <c r="D35" s="168"/>
      <c r="E35" s="169">
        <f>SUM(E4:E34)</f>
        <v>18</v>
      </c>
      <c r="F35" s="169"/>
      <c r="G35" s="169">
        <f>SUM(G4:G34)</f>
        <v>1652.94</v>
      </c>
      <c r="H35" s="169">
        <f>SUM(H4:H34)</f>
        <v>15</v>
      </c>
      <c r="I35" s="169"/>
      <c r="J35" s="169">
        <f>SUM(J4:J34)</f>
        <v>1557</v>
      </c>
      <c r="K35" s="169">
        <f>SUM(K4:K34)</f>
        <v>3209.94</v>
      </c>
      <c r="L35" s="169">
        <f>SUM(L4:L34)</f>
        <v>0</v>
      </c>
      <c r="M35" s="169"/>
      <c r="N35" s="1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72"/>
      <c r="C43" s="472"/>
      <c r="D43" s="472"/>
      <c r="E43" s="472"/>
      <c r="F43" s="75"/>
      <c r="G43" s="75"/>
      <c r="H43" s="75"/>
      <c r="I43" s="472"/>
      <c r="J43" s="472"/>
      <c r="K43" s="472"/>
      <c r="L43" s="472"/>
      <c r="M43" s="472"/>
      <c r="N43" s="472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41"/>
  <sheetViews>
    <sheetView topLeftCell="A22" workbookViewId="0">
      <selection activeCell="I32" activeCellId="1" sqref="F32 I32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22" bestFit="1" customWidth="1"/>
  </cols>
  <sheetData>
    <row r="1" spans="1:16" ht="15.75">
      <c r="A1" s="455" t="s">
        <v>79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</row>
    <row r="2" spans="1:16" ht="30">
      <c r="A2" s="104" t="s">
        <v>122</v>
      </c>
      <c r="B2" s="105" t="s">
        <v>123</v>
      </c>
      <c r="C2" s="105" t="s">
        <v>124</v>
      </c>
      <c r="D2" s="105" t="s">
        <v>125</v>
      </c>
      <c r="E2" s="105" t="s">
        <v>126</v>
      </c>
      <c r="F2" s="105" t="s">
        <v>127</v>
      </c>
      <c r="G2" s="193" t="s">
        <v>128</v>
      </c>
      <c r="H2" s="105" t="s">
        <v>129</v>
      </c>
      <c r="I2" s="105" t="s">
        <v>127</v>
      </c>
      <c r="J2" s="196" t="s">
        <v>128</v>
      </c>
      <c r="K2" s="106" t="s">
        <v>130</v>
      </c>
      <c r="L2" s="146" t="s">
        <v>131</v>
      </c>
      <c r="M2" s="325" t="s">
        <v>138</v>
      </c>
      <c r="N2" s="107" t="s">
        <v>133</v>
      </c>
    </row>
    <row r="3" spans="1:16">
      <c r="A3" s="163"/>
      <c r="B3" s="17"/>
      <c r="C3" s="17"/>
      <c r="D3" s="234" t="s">
        <v>134</v>
      </c>
      <c r="E3" s="17"/>
      <c r="F3" s="17"/>
      <c r="G3" s="194"/>
      <c r="H3" s="17"/>
      <c r="I3" s="17"/>
      <c r="J3" s="194"/>
      <c r="K3" s="344">
        <v>619206.32700000051</v>
      </c>
      <c r="L3" s="17"/>
      <c r="M3" s="42">
        <v>619206.32700000051</v>
      </c>
      <c r="N3" s="17">
        <v>0</v>
      </c>
      <c r="O3">
        <v>0</v>
      </c>
      <c r="P3" s="22">
        <v>0</v>
      </c>
    </row>
    <row r="4" spans="1:16">
      <c r="A4" s="208">
        <v>1</v>
      </c>
      <c r="B4" s="233">
        <v>45992</v>
      </c>
      <c r="C4" s="144"/>
      <c r="D4" s="144"/>
      <c r="E4" s="260">
        <v>889.99</v>
      </c>
      <c r="F4" s="320">
        <v>91.48</v>
      </c>
      <c r="G4" s="268">
        <f>E4*F4</f>
        <v>81416.285199999998</v>
      </c>
      <c r="H4" s="260">
        <v>11</v>
      </c>
      <c r="I4" s="260">
        <v>103.41</v>
      </c>
      <c r="J4" s="260">
        <f>H4*I4</f>
        <v>1137.51</v>
      </c>
      <c r="K4" s="268">
        <f>G4+J4</f>
        <v>82553.795199999993</v>
      </c>
      <c r="L4" s="144"/>
      <c r="M4" s="326">
        <f>M3+K4-L4</f>
        <v>701760.12220000057</v>
      </c>
      <c r="N4" s="144"/>
      <c r="O4" s="22"/>
    </row>
    <row r="5" spans="1:16">
      <c r="A5" s="50">
        <v>2</v>
      </c>
      <c r="B5" s="233">
        <v>45993</v>
      </c>
      <c r="C5" s="17"/>
      <c r="D5" s="17"/>
      <c r="E5" s="260">
        <v>277.23</v>
      </c>
      <c r="F5" s="320">
        <v>91.48</v>
      </c>
      <c r="G5" s="268">
        <f t="shared" ref="G5:G39" si="0">E5*F5</f>
        <v>25361.000400000004</v>
      </c>
      <c r="H5" s="260">
        <v>21</v>
      </c>
      <c r="I5" s="260">
        <v>103.41</v>
      </c>
      <c r="J5" s="260">
        <f t="shared" ref="J5:J39" si="1">H5*I5</f>
        <v>2171.61</v>
      </c>
      <c r="K5" s="268">
        <f t="shared" ref="K5:K39" si="2">G5+J5</f>
        <v>27532.610400000005</v>
      </c>
      <c r="L5" s="144"/>
      <c r="M5" s="326">
        <f t="shared" ref="M5:M39" si="3">M4+K5-L5</f>
        <v>729292.73260000057</v>
      </c>
      <c r="N5" s="17"/>
    </row>
    <row r="6" spans="1:16">
      <c r="A6" s="50">
        <v>3</v>
      </c>
      <c r="B6" s="233">
        <v>45994</v>
      </c>
      <c r="C6" s="17"/>
      <c r="D6" s="17"/>
      <c r="E6" s="260">
        <v>446.12</v>
      </c>
      <c r="F6" s="320">
        <v>91.48</v>
      </c>
      <c r="G6" s="268">
        <f t="shared" si="0"/>
        <v>40811.0576</v>
      </c>
      <c r="H6" s="260">
        <v>6</v>
      </c>
      <c r="I6" s="260">
        <v>103.41</v>
      </c>
      <c r="J6" s="260">
        <f t="shared" si="1"/>
        <v>620.46</v>
      </c>
      <c r="K6" s="268">
        <f t="shared" si="2"/>
        <v>41431.517599999999</v>
      </c>
      <c r="L6" s="144"/>
      <c r="M6" s="326">
        <f t="shared" si="3"/>
        <v>770724.25020000059</v>
      </c>
      <c r="N6" s="17"/>
    </row>
    <row r="7" spans="1:16">
      <c r="A7" s="208">
        <v>4</v>
      </c>
      <c r="B7" s="233">
        <v>45995</v>
      </c>
      <c r="C7" s="17"/>
      <c r="D7" s="17"/>
      <c r="E7" s="260">
        <v>139.86000000000001</v>
      </c>
      <c r="F7" s="320">
        <v>91.48</v>
      </c>
      <c r="G7" s="268">
        <f t="shared" si="0"/>
        <v>12794.392800000001</v>
      </c>
      <c r="H7" s="260">
        <v>6</v>
      </c>
      <c r="I7" s="260">
        <v>103.41</v>
      </c>
      <c r="J7" s="260">
        <f t="shared" si="1"/>
        <v>620.46</v>
      </c>
      <c r="K7" s="268">
        <f t="shared" si="2"/>
        <v>13414.852800000001</v>
      </c>
      <c r="L7" s="144"/>
      <c r="M7" s="326">
        <f t="shared" si="3"/>
        <v>784139.10300000058</v>
      </c>
      <c r="N7" s="17"/>
    </row>
    <row r="8" spans="1:16">
      <c r="A8" s="50">
        <v>5</v>
      </c>
      <c r="B8" s="233">
        <v>45996</v>
      </c>
      <c r="C8" s="17"/>
      <c r="D8" s="17"/>
      <c r="E8" s="260">
        <v>121.52</v>
      </c>
      <c r="F8" s="320">
        <v>91.48</v>
      </c>
      <c r="G8" s="268">
        <f t="shared" si="0"/>
        <v>11116.649600000001</v>
      </c>
      <c r="H8" s="260">
        <v>12</v>
      </c>
      <c r="I8" s="260">
        <v>103.41</v>
      </c>
      <c r="J8" s="260">
        <f t="shared" si="1"/>
        <v>1240.92</v>
      </c>
      <c r="K8" s="268">
        <f t="shared" si="2"/>
        <v>12357.569600000001</v>
      </c>
      <c r="L8" s="144"/>
      <c r="M8" s="326">
        <f t="shared" si="3"/>
        <v>796496.67260000063</v>
      </c>
      <c r="N8" s="17"/>
    </row>
    <row r="9" spans="1:16">
      <c r="A9" s="50">
        <v>6</v>
      </c>
      <c r="B9" s="233">
        <v>45997</v>
      </c>
      <c r="C9" s="17"/>
      <c r="D9" s="17"/>
      <c r="E9" s="260">
        <v>638.08000000000004</v>
      </c>
      <c r="F9" s="320">
        <v>91.48</v>
      </c>
      <c r="G9" s="268">
        <f t="shared" si="0"/>
        <v>58371.558400000009</v>
      </c>
      <c r="H9" s="260">
        <v>11</v>
      </c>
      <c r="I9" s="260">
        <v>103.41</v>
      </c>
      <c r="J9" s="260">
        <f t="shared" si="1"/>
        <v>1137.51</v>
      </c>
      <c r="K9" s="268">
        <f t="shared" si="2"/>
        <v>59509.068400000011</v>
      </c>
      <c r="L9" s="144"/>
      <c r="M9" s="326">
        <f t="shared" si="3"/>
        <v>856005.74100000062</v>
      </c>
      <c r="N9" s="17"/>
    </row>
    <row r="10" spans="1:16">
      <c r="A10" s="208">
        <v>7</v>
      </c>
      <c r="B10" s="233">
        <v>45998</v>
      </c>
      <c r="C10" s="17"/>
      <c r="D10" s="17"/>
      <c r="E10" s="260">
        <v>495.94</v>
      </c>
      <c r="F10" s="320">
        <v>91.48</v>
      </c>
      <c r="G10" s="268">
        <f t="shared" si="0"/>
        <v>45368.591200000003</v>
      </c>
      <c r="H10" s="260">
        <v>26</v>
      </c>
      <c r="I10" s="260">
        <v>103.41</v>
      </c>
      <c r="J10" s="260">
        <f t="shared" si="1"/>
        <v>2688.66</v>
      </c>
      <c r="K10" s="268">
        <f t="shared" si="2"/>
        <v>48057.251199999999</v>
      </c>
      <c r="L10" s="144"/>
      <c r="M10" s="326">
        <f t="shared" si="3"/>
        <v>904062.99220000068</v>
      </c>
      <c r="N10" s="17"/>
    </row>
    <row r="11" spans="1:16">
      <c r="A11" s="50">
        <v>8</v>
      </c>
      <c r="B11" s="233">
        <v>45999</v>
      </c>
      <c r="C11" s="17"/>
      <c r="D11" s="17"/>
      <c r="E11" s="260">
        <v>821.69</v>
      </c>
      <c r="F11" s="320">
        <v>91.48</v>
      </c>
      <c r="G11" s="268">
        <f t="shared" si="0"/>
        <v>75168.20120000001</v>
      </c>
      <c r="H11" s="260"/>
      <c r="I11" s="260"/>
      <c r="J11" s="260">
        <f t="shared" si="1"/>
        <v>0</v>
      </c>
      <c r="K11" s="268">
        <f t="shared" si="2"/>
        <v>75168.20120000001</v>
      </c>
      <c r="L11" s="144"/>
      <c r="M11" s="326">
        <f t="shared" si="3"/>
        <v>979231.19340000069</v>
      </c>
      <c r="N11" s="17"/>
    </row>
    <row r="12" spans="1:16">
      <c r="A12" s="50">
        <v>9</v>
      </c>
      <c r="B12" s="233">
        <v>46000</v>
      </c>
      <c r="C12" s="17"/>
      <c r="D12" s="17"/>
      <c r="E12" s="260">
        <v>699.35</v>
      </c>
      <c r="F12" s="320">
        <v>91.48</v>
      </c>
      <c r="G12" s="268">
        <f t="shared" si="0"/>
        <v>63976.538000000008</v>
      </c>
      <c r="H12" s="260">
        <v>12</v>
      </c>
      <c r="I12" s="260">
        <v>103.41</v>
      </c>
      <c r="J12" s="260">
        <f t="shared" si="1"/>
        <v>1240.92</v>
      </c>
      <c r="K12" s="268">
        <f t="shared" si="2"/>
        <v>65217.458000000006</v>
      </c>
      <c r="L12" s="144"/>
      <c r="M12" s="326">
        <f t="shared" si="3"/>
        <v>1044448.6514000007</v>
      </c>
      <c r="N12" s="17"/>
      <c r="O12">
        <v>1032881</v>
      </c>
      <c r="P12" s="22">
        <f>M12-O12</f>
        <v>11567.651400000672</v>
      </c>
    </row>
    <row r="13" spans="1:16">
      <c r="A13" s="208">
        <v>10</v>
      </c>
      <c r="B13" s="233">
        <v>46001</v>
      </c>
      <c r="C13" s="17"/>
      <c r="D13" s="17"/>
      <c r="E13" s="260">
        <v>45.06</v>
      </c>
      <c r="F13" s="320">
        <v>91.48</v>
      </c>
      <c r="G13" s="268">
        <f t="shared" si="0"/>
        <v>4122.0888000000004</v>
      </c>
      <c r="H13" s="260">
        <v>10</v>
      </c>
      <c r="I13" s="260">
        <v>103.41</v>
      </c>
      <c r="J13" s="260">
        <f t="shared" si="1"/>
        <v>1034.0999999999999</v>
      </c>
      <c r="K13" s="268">
        <f t="shared" si="2"/>
        <v>5156.1887999999999</v>
      </c>
      <c r="L13" s="144"/>
      <c r="M13" s="326">
        <f t="shared" si="3"/>
        <v>1049604.8402000007</v>
      </c>
      <c r="N13" s="17"/>
    </row>
    <row r="14" spans="1:16">
      <c r="A14" s="50">
        <v>11</v>
      </c>
      <c r="B14" s="233">
        <v>46002</v>
      </c>
      <c r="C14" s="17"/>
      <c r="D14" s="17"/>
      <c r="E14" s="260"/>
      <c r="F14" s="320"/>
      <c r="G14" s="268">
        <f t="shared" si="0"/>
        <v>0</v>
      </c>
      <c r="H14" s="260"/>
      <c r="I14" s="260"/>
      <c r="J14" s="260">
        <f t="shared" si="1"/>
        <v>0</v>
      </c>
      <c r="K14" s="268">
        <f t="shared" si="2"/>
        <v>0</v>
      </c>
      <c r="L14" s="144"/>
      <c r="M14" s="326">
        <f t="shared" si="3"/>
        <v>1049604.8402000007</v>
      </c>
      <c r="N14" s="17"/>
    </row>
    <row r="15" spans="1:16">
      <c r="A15" s="50">
        <v>12</v>
      </c>
      <c r="B15" s="233">
        <v>46003</v>
      </c>
      <c r="C15" s="17"/>
      <c r="D15" s="17"/>
      <c r="E15" s="260"/>
      <c r="F15" s="320"/>
      <c r="G15" s="268">
        <f t="shared" si="0"/>
        <v>0</v>
      </c>
      <c r="H15" s="260"/>
      <c r="I15" s="260"/>
      <c r="J15" s="260">
        <f t="shared" si="1"/>
        <v>0</v>
      </c>
      <c r="K15" s="268">
        <f t="shared" si="2"/>
        <v>0</v>
      </c>
      <c r="L15" s="144"/>
      <c r="M15" s="326">
        <f t="shared" si="3"/>
        <v>1049604.8402000007</v>
      </c>
      <c r="N15" s="17"/>
    </row>
    <row r="16" spans="1:16">
      <c r="A16" s="208">
        <v>13</v>
      </c>
      <c r="B16" s="233">
        <v>46004</v>
      </c>
      <c r="C16" s="17"/>
      <c r="D16" s="17"/>
      <c r="E16" s="260"/>
      <c r="F16" s="320"/>
      <c r="G16" s="268">
        <f t="shared" si="0"/>
        <v>0</v>
      </c>
      <c r="H16" s="260"/>
      <c r="I16" s="260"/>
      <c r="J16" s="260">
        <f t="shared" si="1"/>
        <v>0</v>
      </c>
      <c r="K16" s="268">
        <f t="shared" si="2"/>
        <v>0</v>
      </c>
      <c r="L16" s="144">
        <v>1000000</v>
      </c>
      <c r="M16" s="326">
        <f t="shared" si="3"/>
        <v>49604.840200000675</v>
      </c>
      <c r="N16" s="17"/>
    </row>
    <row r="17" spans="1:16">
      <c r="A17" s="50">
        <v>14</v>
      </c>
      <c r="B17" s="233">
        <v>46005</v>
      </c>
      <c r="C17" s="17"/>
      <c r="D17" s="17"/>
      <c r="E17" s="260"/>
      <c r="F17" s="320"/>
      <c r="G17" s="268">
        <f t="shared" si="0"/>
        <v>0</v>
      </c>
      <c r="H17" s="260"/>
      <c r="I17" s="260"/>
      <c r="J17" s="260">
        <f t="shared" si="1"/>
        <v>0</v>
      </c>
      <c r="K17" s="268">
        <f t="shared" si="2"/>
        <v>0</v>
      </c>
      <c r="L17" s="144"/>
      <c r="M17" s="326">
        <f t="shared" si="3"/>
        <v>49604.840200000675</v>
      </c>
      <c r="N17" s="17"/>
      <c r="P17" s="282"/>
    </row>
    <row r="18" spans="1:16">
      <c r="A18" s="50">
        <v>15</v>
      </c>
      <c r="B18" s="233">
        <v>46006</v>
      </c>
      <c r="C18" s="17"/>
      <c r="D18" s="17"/>
      <c r="E18" s="260">
        <v>687.99</v>
      </c>
      <c r="F18" s="320">
        <v>91.48</v>
      </c>
      <c r="G18" s="268">
        <f t="shared" si="0"/>
        <v>62937.325200000007</v>
      </c>
      <c r="H18" s="260">
        <v>10</v>
      </c>
      <c r="I18" s="260">
        <v>103.41</v>
      </c>
      <c r="J18" s="260">
        <f t="shared" si="1"/>
        <v>1034.0999999999999</v>
      </c>
      <c r="K18" s="268">
        <f t="shared" si="2"/>
        <v>63971.425200000005</v>
      </c>
      <c r="L18" s="144">
        <v>38037</v>
      </c>
      <c r="M18" s="326">
        <f t="shared" si="3"/>
        <v>75539.265400000673</v>
      </c>
      <c r="N18" s="17"/>
    </row>
    <row r="19" spans="1:16">
      <c r="A19" s="208">
        <v>16</v>
      </c>
      <c r="B19" s="233">
        <v>46007</v>
      </c>
      <c r="C19" s="17"/>
      <c r="D19" s="17"/>
      <c r="E19" s="260">
        <v>654.91</v>
      </c>
      <c r="F19" s="320">
        <v>91.48</v>
      </c>
      <c r="G19" s="268">
        <f t="shared" si="0"/>
        <v>59911.166799999999</v>
      </c>
      <c r="H19" s="260">
        <v>11</v>
      </c>
      <c r="I19" s="260">
        <v>103.41</v>
      </c>
      <c r="J19" s="260">
        <f t="shared" si="1"/>
        <v>1137.51</v>
      </c>
      <c r="K19" s="268">
        <f t="shared" si="2"/>
        <v>61048.676800000001</v>
      </c>
      <c r="L19" s="144"/>
      <c r="M19" s="326">
        <f t="shared" si="3"/>
        <v>136587.94220000069</v>
      </c>
      <c r="N19" s="17"/>
      <c r="P19" s="22">
        <f>M19-O19</f>
        <v>136587.94220000069</v>
      </c>
    </row>
    <row r="20" spans="1:16">
      <c r="A20" s="50">
        <v>17</v>
      </c>
      <c r="B20" s="233">
        <v>46008</v>
      </c>
      <c r="C20" s="17"/>
      <c r="D20" s="17"/>
      <c r="E20" s="260">
        <v>1112.4100000000001</v>
      </c>
      <c r="F20" s="320">
        <v>91.48</v>
      </c>
      <c r="G20" s="268">
        <f t="shared" si="0"/>
        <v>101763.26680000001</v>
      </c>
      <c r="H20" s="260">
        <v>24</v>
      </c>
      <c r="I20" s="260">
        <v>103.41</v>
      </c>
      <c r="J20" s="260">
        <f t="shared" si="1"/>
        <v>2481.84</v>
      </c>
      <c r="K20" s="268">
        <f t="shared" si="2"/>
        <v>104245.10680000001</v>
      </c>
      <c r="L20" s="144"/>
      <c r="M20" s="326">
        <f t="shared" si="3"/>
        <v>240833.0490000007</v>
      </c>
      <c r="N20" s="17"/>
    </row>
    <row r="21" spans="1:16">
      <c r="A21" s="50">
        <v>18</v>
      </c>
      <c r="B21" s="233">
        <v>46009</v>
      </c>
      <c r="C21" s="17"/>
      <c r="D21" s="17"/>
      <c r="E21" s="260">
        <v>39</v>
      </c>
      <c r="F21" s="320">
        <v>91.48</v>
      </c>
      <c r="G21" s="268">
        <f t="shared" si="0"/>
        <v>3567.7200000000003</v>
      </c>
      <c r="H21" s="260">
        <v>6</v>
      </c>
      <c r="I21" s="260">
        <v>103.41</v>
      </c>
      <c r="J21" s="260">
        <f t="shared" si="1"/>
        <v>620.46</v>
      </c>
      <c r="K21" s="268">
        <f t="shared" si="2"/>
        <v>4188.18</v>
      </c>
      <c r="L21" s="144"/>
      <c r="M21" s="326">
        <f t="shared" si="3"/>
        <v>245021.22900000069</v>
      </c>
      <c r="N21" s="17"/>
    </row>
    <row r="22" spans="1:16">
      <c r="A22" s="208">
        <v>19</v>
      </c>
      <c r="B22" s="233">
        <v>46010</v>
      </c>
      <c r="C22" s="17"/>
      <c r="D22" s="17"/>
      <c r="E22" s="260">
        <v>77.489999999999995</v>
      </c>
      <c r="F22" s="320">
        <v>91.48</v>
      </c>
      <c r="G22" s="268">
        <f t="shared" si="0"/>
        <v>7088.7852000000003</v>
      </c>
      <c r="H22" s="260">
        <v>26</v>
      </c>
      <c r="I22" s="260">
        <v>103.41</v>
      </c>
      <c r="J22" s="260">
        <f t="shared" si="1"/>
        <v>2688.66</v>
      </c>
      <c r="K22" s="268">
        <f t="shared" si="2"/>
        <v>9777.4452000000001</v>
      </c>
      <c r="L22" s="144"/>
      <c r="M22" s="326">
        <f t="shared" si="3"/>
        <v>254798.67420000068</v>
      </c>
      <c r="N22" s="17"/>
    </row>
    <row r="23" spans="1:16">
      <c r="A23" s="50">
        <v>20</v>
      </c>
      <c r="B23" s="233">
        <v>46011</v>
      </c>
      <c r="C23" s="17"/>
      <c r="D23" s="17"/>
      <c r="E23" s="260">
        <v>232.01</v>
      </c>
      <c r="F23" s="320">
        <v>91.48</v>
      </c>
      <c r="G23" s="268">
        <f t="shared" si="0"/>
        <v>21224.274799999999</v>
      </c>
      <c r="H23" s="260">
        <v>6</v>
      </c>
      <c r="I23" s="260">
        <v>103.41</v>
      </c>
      <c r="J23" s="260">
        <f t="shared" si="1"/>
        <v>620.46</v>
      </c>
      <c r="K23" s="268">
        <f t="shared" si="2"/>
        <v>21844.734799999998</v>
      </c>
      <c r="L23" s="144"/>
      <c r="M23" s="326">
        <f t="shared" si="3"/>
        <v>276643.40900000068</v>
      </c>
      <c r="N23" s="17"/>
    </row>
    <row r="24" spans="1:16">
      <c r="A24" s="50">
        <v>21</v>
      </c>
      <c r="B24" s="233">
        <v>46012</v>
      </c>
      <c r="C24" s="17"/>
      <c r="D24" s="17"/>
      <c r="E24" s="260">
        <v>237.86</v>
      </c>
      <c r="F24" s="320">
        <v>91.48</v>
      </c>
      <c r="G24" s="268">
        <f t="shared" si="0"/>
        <v>21759.432800000002</v>
      </c>
      <c r="H24" s="260"/>
      <c r="I24" s="260"/>
      <c r="J24" s="260">
        <f t="shared" si="1"/>
        <v>0</v>
      </c>
      <c r="K24" s="268">
        <f t="shared" si="2"/>
        <v>21759.432800000002</v>
      </c>
      <c r="L24" s="144"/>
      <c r="M24" s="326">
        <f t="shared" si="3"/>
        <v>298402.84180000069</v>
      </c>
      <c r="N24" s="17"/>
    </row>
    <row r="25" spans="1:16">
      <c r="A25" s="208">
        <v>22</v>
      </c>
      <c r="B25" s="233">
        <v>46013</v>
      </c>
      <c r="C25" s="17"/>
      <c r="D25" s="17"/>
      <c r="E25" s="260">
        <v>143.85</v>
      </c>
      <c r="F25" s="320">
        <v>91.48</v>
      </c>
      <c r="G25" s="268">
        <f t="shared" si="0"/>
        <v>13159.397999999999</v>
      </c>
      <c r="H25" s="260">
        <v>6</v>
      </c>
      <c r="I25" s="260">
        <v>103.41</v>
      </c>
      <c r="J25" s="260">
        <f t="shared" si="1"/>
        <v>620.46</v>
      </c>
      <c r="K25" s="268">
        <f t="shared" si="2"/>
        <v>13779.858</v>
      </c>
      <c r="L25" s="144"/>
      <c r="M25" s="326">
        <f t="shared" si="3"/>
        <v>312182.6998000007</v>
      </c>
      <c r="N25" s="17"/>
    </row>
    <row r="26" spans="1:16">
      <c r="A26" s="50">
        <v>23</v>
      </c>
      <c r="B26" s="233">
        <v>46014</v>
      </c>
      <c r="C26" s="17"/>
      <c r="D26" s="17"/>
      <c r="E26" s="260">
        <v>523.04</v>
      </c>
      <c r="F26" s="320">
        <v>91.48</v>
      </c>
      <c r="G26" s="268">
        <f t="shared" si="0"/>
        <v>47847.699199999995</v>
      </c>
      <c r="H26" s="260">
        <v>11</v>
      </c>
      <c r="I26" s="260">
        <v>103.41</v>
      </c>
      <c r="J26" s="260">
        <f t="shared" si="1"/>
        <v>1137.51</v>
      </c>
      <c r="K26" s="268">
        <f t="shared" si="2"/>
        <v>48985.209199999998</v>
      </c>
      <c r="L26" s="144"/>
      <c r="M26" s="326">
        <f t="shared" si="3"/>
        <v>361167.90900000068</v>
      </c>
      <c r="N26" s="17"/>
    </row>
    <row r="27" spans="1:16">
      <c r="A27" s="50">
        <v>24</v>
      </c>
      <c r="B27" s="233">
        <v>46015</v>
      </c>
      <c r="C27" s="17"/>
      <c r="D27" s="17"/>
      <c r="E27" s="260">
        <v>276.01</v>
      </c>
      <c r="F27" s="320">
        <v>91.48</v>
      </c>
      <c r="G27" s="268">
        <f t="shared" si="0"/>
        <v>25249.394800000002</v>
      </c>
      <c r="H27" s="260">
        <v>15</v>
      </c>
      <c r="I27" s="260">
        <v>103.41</v>
      </c>
      <c r="J27" s="260">
        <f t="shared" si="1"/>
        <v>1551.1499999999999</v>
      </c>
      <c r="K27" s="268">
        <f t="shared" si="2"/>
        <v>26800.544800000003</v>
      </c>
      <c r="L27" s="144"/>
      <c r="M27" s="326">
        <f t="shared" si="3"/>
        <v>387968.45380000072</v>
      </c>
      <c r="N27" s="17"/>
    </row>
    <row r="28" spans="1:16">
      <c r="A28" s="208">
        <v>25</v>
      </c>
      <c r="B28" s="233">
        <v>46016</v>
      </c>
      <c r="C28" s="17"/>
      <c r="D28" s="17"/>
      <c r="E28" s="260">
        <v>186.72</v>
      </c>
      <c r="F28" s="320">
        <v>91.48</v>
      </c>
      <c r="G28" s="268">
        <f t="shared" si="0"/>
        <v>17081.1456</v>
      </c>
      <c r="H28" s="260">
        <v>12</v>
      </c>
      <c r="I28" s="260">
        <v>103.41</v>
      </c>
      <c r="J28" s="260">
        <f t="shared" si="1"/>
        <v>1240.92</v>
      </c>
      <c r="K28" s="268">
        <f t="shared" si="2"/>
        <v>18322.065600000002</v>
      </c>
      <c r="L28" s="144"/>
      <c r="M28" s="326">
        <f t="shared" si="3"/>
        <v>406290.51940000069</v>
      </c>
      <c r="N28" s="17"/>
    </row>
    <row r="29" spans="1:16">
      <c r="A29" s="50">
        <v>26</v>
      </c>
      <c r="B29" s="233">
        <v>46017</v>
      </c>
      <c r="C29" s="17"/>
      <c r="D29" s="17"/>
      <c r="E29" s="260">
        <v>997.17</v>
      </c>
      <c r="F29" s="320">
        <v>91.48</v>
      </c>
      <c r="G29" s="268">
        <f t="shared" si="0"/>
        <v>91221.111600000004</v>
      </c>
      <c r="H29" s="260">
        <v>6</v>
      </c>
      <c r="I29" s="260">
        <v>103.41</v>
      </c>
      <c r="J29" s="260">
        <f t="shared" si="1"/>
        <v>620.46</v>
      </c>
      <c r="K29" s="268">
        <f t="shared" si="2"/>
        <v>91841.57160000001</v>
      </c>
      <c r="L29" s="144"/>
      <c r="M29" s="326">
        <f t="shared" si="3"/>
        <v>498132.09100000071</v>
      </c>
      <c r="N29" s="17"/>
    </row>
    <row r="30" spans="1:16">
      <c r="A30" s="50">
        <v>27</v>
      </c>
      <c r="B30" s="233">
        <v>46018</v>
      </c>
      <c r="C30" s="17"/>
      <c r="D30" s="17"/>
      <c r="E30" s="260">
        <v>275.26</v>
      </c>
      <c r="F30" s="320">
        <v>91.48</v>
      </c>
      <c r="G30" s="268">
        <f t="shared" si="0"/>
        <v>25180.784800000001</v>
      </c>
      <c r="H30" s="260">
        <v>5</v>
      </c>
      <c r="I30" s="260">
        <v>103.41</v>
      </c>
      <c r="J30" s="260">
        <f t="shared" si="1"/>
        <v>517.04999999999995</v>
      </c>
      <c r="K30" s="268">
        <f t="shared" si="2"/>
        <v>25697.834800000001</v>
      </c>
      <c r="L30" s="144"/>
      <c r="M30" s="326">
        <f t="shared" si="3"/>
        <v>523829.92580000072</v>
      </c>
      <c r="N30" s="17"/>
    </row>
    <row r="31" spans="1:16">
      <c r="A31" s="208">
        <v>28</v>
      </c>
      <c r="B31" s="233">
        <v>46019</v>
      </c>
      <c r="C31" s="100"/>
      <c r="D31" s="100"/>
      <c r="E31" s="260"/>
      <c r="F31" s="320"/>
      <c r="G31" s="268">
        <f t="shared" si="0"/>
        <v>0</v>
      </c>
      <c r="H31" s="260">
        <v>6</v>
      </c>
      <c r="I31" s="260">
        <v>103.41</v>
      </c>
      <c r="J31" s="260">
        <f t="shared" si="1"/>
        <v>620.46</v>
      </c>
      <c r="K31" s="268">
        <f t="shared" si="2"/>
        <v>620.46</v>
      </c>
      <c r="L31" s="144"/>
      <c r="M31" s="326">
        <f t="shared" si="3"/>
        <v>524450.38580000075</v>
      </c>
      <c r="N31" s="100"/>
    </row>
    <row r="32" spans="1:16">
      <c r="A32" s="50">
        <v>29</v>
      </c>
      <c r="B32" s="233">
        <v>46020</v>
      </c>
      <c r="C32" s="17"/>
      <c r="D32" s="17"/>
      <c r="E32" s="260">
        <v>191.02</v>
      </c>
      <c r="F32" s="320">
        <v>91.48</v>
      </c>
      <c r="G32" s="268">
        <f t="shared" si="0"/>
        <v>17474.509600000001</v>
      </c>
      <c r="H32" s="260">
        <v>6</v>
      </c>
      <c r="I32" s="260">
        <v>103.41</v>
      </c>
      <c r="J32" s="260">
        <f t="shared" si="1"/>
        <v>620.46</v>
      </c>
      <c r="K32" s="268">
        <f t="shared" si="2"/>
        <v>18094.9696</v>
      </c>
      <c r="L32" s="144"/>
      <c r="M32" s="326">
        <f t="shared" si="3"/>
        <v>542545.3554000007</v>
      </c>
      <c r="N32" s="17"/>
    </row>
    <row r="33" spans="1:16">
      <c r="A33" s="50">
        <v>30</v>
      </c>
      <c r="B33" s="233">
        <v>46021</v>
      </c>
      <c r="C33" s="17"/>
      <c r="D33" s="17"/>
      <c r="E33" s="260">
        <v>39.06</v>
      </c>
      <c r="F33" s="320">
        <v>91.48</v>
      </c>
      <c r="G33" s="268">
        <f t="shared" si="0"/>
        <v>3573.2088000000003</v>
      </c>
      <c r="H33" s="260">
        <v>6</v>
      </c>
      <c r="I33" s="260">
        <v>103.41</v>
      </c>
      <c r="J33" s="260">
        <f t="shared" si="1"/>
        <v>620.46</v>
      </c>
      <c r="K33" s="268">
        <f t="shared" si="2"/>
        <v>4193.6688000000004</v>
      </c>
      <c r="L33" s="144"/>
      <c r="M33" s="326">
        <f t="shared" si="3"/>
        <v>546739.02420000068</v>
      </c>
      <c r="N33" s="17"/>
    </row>
    <row r="34" spans="1:16">
      <c r="A34" s="208">
        <v>31</v>
      </c>
      <c r="B34" s="233">
        <v>46022</v>
      </c>
      <c r="C34" s="17"/>
      <c r="D34" s="17"/>
      <c r="E34" s="260"/>
      <c r="F34" s="260"/>
      <c r="G34" s="268">
        <f t="shared" si="0"/>
        <v>0</v>
      </c>
      <c r="H34" s="260">
        <v>6</v>
      </c>
      <c r="I34" s="260">
        <v>103.41</v>
      </c>
      <c r="J34" s="260">
        <f t="shared" si="1"/>
        <v>620.46</v>
      </c>
      <c r="K34" s="268">
        <f t="shared" si="2"/>
        <v>620.46</v>
      </c>
      <c r="L34" s="144"/>
      <c r="M34" s="326">
        <f t="shared" si="3"/>
        <v>547359.48420000065</v>
      </c>
      <c r="N34" s="17"/>
    </row>
    <row r="35" spans="1:16">
      <c r="A35" s="50">
        <v>32</v>
      </c>
      <c r="B35" s="233"/>
      <c r="C35" s="17"/>
      <c r="D35" s="17"/>
      <c r="E35" s="260"/>
      <c r="F35" s="260"/>
      <c r="G35" s="268">
        <f t="shared" si="0"/>
        <v>0</v>
      </c>
      <c r="H35" s="260"/>
      <c r="I35" s="260"/>
      <c r="J35" s="260">
        <f t="shared" si="1"/>
        <v>0</v>
      </c>
      <c r="K35" s="268">
        <f t="shared" si="2"/>
        <v>0</v>
      </c>
      <c r="L35" s="144"/>
      <c r="M35" s="326">
        <f t="shared" si="3"/>
        <v>547359.48420000065</v>
      </c>
      <c r="N35" s="17"/>
    </row>
    <row r="36" spans="1:16">
      <c r="A36" s="50">
        <v>33</v>
      </c>
      <c r="B36" s="233"/>
      <c r="C36" s="17"/>
      <c r="D36" s="17"/>
      <c r="E36" s="260"/>
      <c r="F36" s="260"/>
      <c r="G36" s="268">
        <f t="shared" si="0"/>
        <v>0</v>
      </c>
      <c r="H36" s="260"/>
      <c r="I36" s="260"/>
      <c r="J36" s="260">
        <f t="shared" si="1"/>
        <v>0</v>
      </c>
      <c r="K36" s="268">
        <f t="shared" si="2"/>
        <v>0</v>
      </c>
      <c r="L36" s="144"/>
      <c r="M36" s="326">
        <f t="shared" si="3"/>
        <v>547359.48420000065</v>
      </c>
      <c r="N36" s="17"/>
    </row>
    <row r="37" spans="1:16">
      <c r="A37" s="208">
        <v>34</v>
      </c>
      <c r="B37" s="233"/>
      <c r="C37" s="17"/>
      <c r="D37" s="17"/>
      <c r="E37" s="260"/>
      <c r="F37" s="260"/>
      <c r="G37" s="268">
        <f t="shared" si="0"/>
        <v>0</v>
      </c>
      <c r="H37" s="260"/>
      <c r="I37" s="260"/>
      <c r="J37" s="260">
        <f t="shared" si="1"/>
        <v>0</v>
      </c>
      <c r="K37" s="268">
        <f t="shared" si="2"/>
        <v>0</v>
      </c>
      <c r="L37" s="144"/>
      <c r="M37" s="326">
        <f t="shared" si="3"/>
        <v>547359.48420000065</v>
      </c>
      <c r="N37" s="100"/>
    </row>
    <row r="38" spans="1:16">
      <c r="A38" s="50">
        <v>35</v>
      </c>
      <c r="B38" s="233"/>
      <c r="C38" s="17"/>
      <c r="D38" s="17"/>
      <c r="E38" s="260"/>
      <c r="F38" s="260"/>
      <c r="G38" s="268">
        <f t="shared" si="0"/>
        <v>0</v>
      </c>
      <c r="H38" s="260"/>
      <c r="I38" s="260"/>
      <c r="J38" s="260">
        <f t="shared" si="1"/>
        <v>0</v>
      </c>
      <c r="K38" s="268">
        <f t="shared" si="2"/>
        <v>0</v>
      </c>
      <c r="L38" s="144"/>
      <c r="M38" s="326">
        <f t="shared" si="3"/>
        <v>547359.48420000065</v>
      </c>
      <c r="N38" s="17"/>
      <c r="P38" s="22"/>
    </row>
    <row r="39" spans="1:16">
      <c r="A39" s="49"/>
      <c r="B39" s="233"/>
      <c r="C39" s="17"/>
      <c r="D39" s="17"/>
      <c r="E39" s="260">
        <v>0</v>
      </c>
      <c r="F39" s="260">
        <v>0</v>
      </c>
      <c r="G39" s="268">
        <f t="shared" si="0"/>
        <v>0</v>
      </c>
      <c r="H39" s="260"/>
      <c r="I39" s="260"/>
      <c r="J39" s="260">
        <f t="shared" si="1"/>
        <v>0</v>
      </c>
      <c r="K39" s="268">
        <f t="shared" si="2"/>
        <v>0</v>
      </c>
      <c r="L39" s="144"/>
      <c r="M39" s="326">
        <f t="shared" si="3"/>
        <v>547359.48420000065</v>
      </c>
      <c r="N39" s="17"/>
      <c r="P39" s="22"/>
    </row>
    <row r="40" spans="1:16">
      <c r="A40" s="191"/>
      <c r="B40" s="191"/>
      <c r="C40" s="191"/>
      <c r="D40" s="191"/>
      <c r="E40" s="191">
        <f>SUM(E4:E37)</f>
        <v>10248.640000000001</v>
      </c>
      <c r="F40" s="191"/>
      <c r="G40" s="191">
        <f>SUM(G4:G37)</f>
        <v>937545.5872000003</v>
      </c>
      <c r="H40" s="191">
        <f>SUM(H4:H37)</f>
        <v>277</v>
      </c>
      <c r="I40" s="191"/>
      <c r="J40" s="191">
        <f>SUM(J4:J37)</f>
        <v>28644.569999999996</v>
      </c>
      <c r="K40" s="191">
        <f>SUM(K4:K37)</f>
        <v>966190.1571999999</v>
      </c>
      <c r="L40" s="191">
        <f>SUM(L4:L37)</f>
        <v>1038037</v>
      </c>
      <c r="M40" s="191"/>
      <c r="N40" s="191"/>
    </row>
    <row r="41" spans="1:16">
      <c r="P41" s="22"/>
    </row>
  </sheetData>
  <mergeCells count="1">
    <mergeCell ref="A1:N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P35"/>
  <sheetViews>
    <sheetView topLeftCell="A19" workbookViewId="0">
      <selection activeCell="M34" sqref="M34"/>
    </sheetView>
  </sheetViews>
  <sheetFormatPr defaultRowHeight="15"/>
  <cols>
    <col min="2" max="2" width="10.140625" bestFit="1" customWidth="1"/>
    <col min="5" max="5" width="9.7109375" bestFit="1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6" ht="15.75">
      <c r="A1" s="492" t="s">
        <v>195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</row>
    <row r="2" spans="1:16" ht="45">
      <c r="A2" s="131" t="s">
        <v>122</v>
      </c>
      <c r="B2" s="225" t="s">
        <v>123</v>
      </c>
      <c r="C2" s="225" t="s">
        <v>124</v>
      </c>
      <c r="D2" s="225" t="s">
        <v>139</v>
      </c>
      <c r="E2" s="225" t="s">
        <v>126</v>
      </c>
      <c r="F2" s="225" t="s">
        <v>127</v>
      </c>
      <c r="G2" s="225" t="s">
        <v>128</v>
      </c>
      <c r="H2" s="225" t="s">
        <v>129</v>
      </c>
      <c r="I2" s="225" t="s">
        <v>127</v>
      </c>
      <c r="J2" s="225" t="s">
        <v>128</v>
      </c>
      <c r="K2" s="184" t="s">
        <v>130</v>
      </c>
      <c r="L2" s="184" t="s">
        <v>131</v>
      </c>
      <c r="M2" s="184" t="s">
        <v>138</v>
      </c>
      <c r="N2" s="225" t="s">
        <v>133</v>
      </c>
    </row>
    <row r="3" spans="1:16">
      <c r="A3" s="493" t="s">
        <v>134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>
        <v>109864.34919999997</v>
      </c>
      <c r="N3" s="493"/>
    </row>
    <row r="4" spans="1:16">
      <c r="A4" s="208">
        <v>1</v>
      </c>
      <c r="B4" s="233">
        <v>45992</v>
      </c>
      <c r="C4" s="42">
        <v>0</v>
      </c>
      <c r="D4" s="42"/>
      <c r="E4" s="284">
        <v>300</v>
      </c>
      <c r="F4" s="320">
        <v>91.31</v>
      </c>
      <c r="G4" s="42">
        <f>E4*F4</f>
        <v>27393</v>
      </c>
      <c r="H4" s="42"/>
      <c r="I4" s="42"/>
      <c r="J4" s="42">
        <f>H4*I4</f>
        <v>0</v>
      </c>
      <c r="K4" s="42">
        <f>G4+J4</f>
        <v>27393</v>
      </c>
      <c r="L4" s="42">
        <v>0</v>
      </c>
      <c r="M4" s="42">
        <f>M3+K4-L4</f>
        <v>137257.34919999997</v>
      </c>
      <c r="N4" s="42"/>
    </row>
    <row r="5" spans="1:16">
      <c r="A5" s="50">
        <v>2</v>
      </c>
      <c r="B5" s="233">
        <v>45993</v>
      </c>
      <c r="C5" s="42">
        <v>0</v>
      </c>
      <c r="D5" s="42"/>
      <c r="E5" s="284">
        <v>370</v>
      </c>
      <c r="F5" s="320">
        <v>91.31</v>
      </c>
      <c r="G5" s="42">
        <f>E5*F5</f>
        <v>33784.700000000004</v>
      </c>
      <c r="H5" s="42">
        <v>6</v>
      </c>
      <c r="I5" s="42">
        <v>103.23</v>
      </c>
      <c r="J5" s="42">
        <f t="shared" ref="J5:J34" si="0">H5*I5</f>
        <v>619.38</v>
      </c>
      <c r="K5" s="42">
        <f t="shared" ref="K5:K34" si="1">G5+J5</f>
        <v>34404.080000000002</v>
      </c>
      <c r="L5" s="42">
        <v>0</v>
      </c>
      <c r="M5" s="42">
        <f t="shared" ref="M5:M34" si="2">M4+K5-L5</f>
        <v>171661.42919999996</v>
      </c>
      <c r="N5" s="42"/>
    </row>
    <row r="6" spans="1:16">
      <c r="A6" s="50">
        <v>3</v>
      </c>
      <c r="B6" s="233">
        <v>45994</v>
      </c>
      <c r="C6" s="42">
        <v>0</v>
      </c>
      <c r="D6" s="42"/>
      <c r="E6" s="284">
        <v>320</v>
      </c>
      <c r="F6" s="320">
        <v>91.31</v>
      </c>
      <c r="G6" s="42">
        <f>E6*F6</f>
        <v>29219.200000000001</v>
      </c>
      <c r="H6" s="42"/>
      <c r="I6" s="42"/>
      <c r="J6" s="42">
        <f t="shared" si="0"/>
        <v>0</v>
      </c>
      <c r="K6" s="42">
        <f t="shared" si="1"/>
        <v>29219.200000000001</v>
      </c>
      <c r="L6" s="42">
        <v>0</v>
      </c>
      <c r="M6" s="42">
        <f t="shared" si="2"/>
        <v>200880.62919999997</v>
      </c>
      <c r="N6" s="42"/>
    </row>
    <row r="7" spans="1:16">
      <c r="A7" s="50">
        <v>4</v>
      </c>
      <c r="B7" s="233">
        <v>45995</v>
      </c>
      <c r="C7" s="42">
        <v>0</v>
      </c>
      <c r="D7" s="42"/>
      <c r="E7" s="284">
        <v>410.43</v>
      </c>
      <c r="F7" s="320">
        <v>91.31</v>
      </c>
      <c r="G7" s="42">
        <f t="shared" ref="G7:G34" si="3">E7*F7</f>
        <v>37476.363300000005</v>
      </c>
      <c r="H7" s="42">
        <v>6</v>
      </c>
      <c r="I7" s="42">
        <v>103.23</v>
      </c>
      <c r="J7" s="42">
        <f t="shared" si="0"/>
        <v>619.38</v>
      </c>
      <c r="K7" s="42">
        <f t="shared" si="1"/>
        <v>38095.743300000002</v>
      </c>
      <c r="L7" s="42">
        <v>0</v>
      </c>
      <c r="M7" s="42">
        <f t="shared" si="2"/>
        <v>238976.37249999997</v>
      </c>
      <c r="N7" s="42"/>
    </row>
    <row r="8" spans="1:16">
      <c r="A8" s="50">
        <v>5</v>
      </c>
      <c r="B8" s="233">
        <v>45996</v>
      </c>
      <c r="C8" s="42">
        <v>0</v>
      </c>
      <c r="D8" s="42"/>
      <c r="E8" s="284">
        <v>0</v>
      </c>
      <c r="F8" s="320">
        <v>91.31</v>
      </c>
      <c r="G8" s="42">
        <f t="shared" si="3"/>
        <v>0</v>
      </c>
      <c r="H8" s="42"/>
      <c r="I8" s="42"/>
      <c r="J8" s="42">
        <f t="shared" si="0"/>
        <v>0</v>
      </c>
      <c r="K8" s="42">
        <f t="shared" si="1"/>
        <v>0</v>
      </c>
      <c r="L8" s="42">
        <v>0</v>
      </c>
      <c r="M8" s="42">
        <f t="shared" si="2"/>
        <v>238976.37249999997</v>
      </c>
      <c r="N8" s="42"/>
    </row>
    <row r="9" spans="1:16">
      <c r="A9" s="50">
        <v>6</v>
      </c>
      <c r="B9" s="233">
        <v>45997</v>
      </c>
      <c r="C9" s="42">
        <v>0</v>
      </c>
      <c r="D9" s="42"/>
      <c r="E9" s="284">
        <v>400</v>
      </c>
      <c r="F9" s="320">
        <v>91.31</v>
      </c>
      <c r="G9" s="42">
        <f t="shared" si="3"/>
        <v>36524</v>
      </c>
      <c r="H9" s="42">
        <v>0</v>
      </c>
      <c r="I9" s="42">
        <v>103.23</v>
      </c>
      <c r="J9" s="42">
        <f t="shared" si="0"/>
        <v>0</v>
      </c>
      <c r="K9" s="42">
        <f t="shared" si="1"/>
        <v>36524</v>
      </c>
      <c r="L9" s="42">
        <v>0</v>
      </c>
      <c r="M9" s="42">
        <f t="shared" si="2"/>
        <v>275500.37249999994</v>
      </c>
      <c r="N9" s="42"/>
    </row>
    <row r="10" spans="1:16">
      <c r="A10" s="50">
        <v>7</v>
      </c>
      <c r="B10" s="233">
        <v>45998</v>
      </c>
      <c r="C10" s="42">
        <v>0</v>
      </c>
      <c r="D10" s="42"/>
      <c r="E10" s="284"/>
      <c r="F10" s="320"/>
      <c r="G10" s="42">
        <f t="shared" si="3"/>
        <v>0</v>
      </c>
      <c r="H10" s="42">
        <v>5</v>
      </c>
      <c r="I10" s="42">
        <v>103.23</v>
      </c>
      <c r="J10" s="42">
        <f t="shared" si="0"/>
        <v>516.15</v>
      </c>
      <c r="K10" s="42">
        <f t="shared" si="1"/>
        <v>516.15</v>
      </c>
      <c r="L10" s="42">
        <v>0</v>
      </c>
      <c r="M10" s="42">
        <f t="shared" si="2"/>
        <v>276016.52249999996</v>
      </c>
      <c r="N10" s="42"/>
    </row>
    <row r="11" spans="1:16">
      <c r="A11" s="50">
        <v>8</v>
      </c>
      <c r="B11" s="233">
        <v>45999</v>
      </c>
      <c r="C11" s="42">
        <v>0</v>
      </c>
      <c r="D11" s="42"/>
      <c r="E11" s="284"/>
      <c r="F11" s="320"/>
      <c r="G11" s="42">
        <f t="shared" si="3"/>
        <v>0</v>
      </c>
      <c r="H11" s="42">
        <v>10</v>
      </c>
      <c r="I11" s="42">
        <v>103.23</v>
      </c>
      <c r="J11" s="42">
        <f t="shared" si="0"/>
        <v>1032.3</v>
      </c>
      <c r="K11" s="42">
        <f t="shared" si="1"/>
        <v>1032.3</v>
      </c>
      <c r="L11" s="42">
        <v>0</v>
      </c>
      <c r="M11" s="42">
        <f t="shared" si="2"/>
        <v>277048.82249999995</v>
      </c>
      <c r="N11" s="42"/>
      <c r="P11" s="22"/>
    </row>
    <row r="12" spans="1:16">
      <c r="A12" s="50">
        <v>9</v>
      </c>
      <c r="B12" s="233">
        <v>46000</v>
      </c>
      <c r="C12" s="42">
        <v>0</v>
      </c>
      <c r="D12" s="42"/>
      <c r="E12" s="284">
        <v>300</v>
      </c>
      <c r="F12" s="320">
        <v>91.31</v>
      </c>
      <c r="G12" s="42">
        <f t="shared" si="3"/>
        <v>27393</v>
      </c>
      <c r="H12" s="42"/>
      <c r="I12" s="42"/>
      <c r="J12" s="42">
        <f t="shared" si="0"/>
        <v>0</v>
      </c>
      <c r="K12" s="42">
        <f t="shared" si="1"/>
        <v>27393</v>
      </c>
      <c r="L12" s="42">
        <v>0</v>
      </c>
      <c r="M12" s="42">
        <f t="shared" si="2"/>
        <v>304441.82249999995</v>
      </c>
      <c r="N12" s="42"/>
    </row>
    <row r="13" spans="1:16">
      <c r="A13" s="50">
        <v>10</v>
      </c>
      <c r="B13" s="233">
        <v>46001</v>
      </c>
      <c r="C13" s="42">
        <v>0</v>
      </c>
      <c r="D13" s="42"/>
      <c r="E13" s="284">
        <v>20</v>
      </c>
      <c r="F13" s="320">
        <v>91.31</v>
      </c>
      <c r="G13" s="42">
        <f t="shared" si="3"/>
        <v>1826.2</v>
      </c>
      <c r="H13" s="42">
        <v>3</v>
      </c>
      <c r="I13" s="42">
        <v>103.23</v>
      </c>
      <c r="J13" s="42">
        <f t="shared" si="0"/>
        <v>309.69</v>
      </c>
      <c r="K13" s="42">
        <f t="shared" si="1"/>
        <v>2135.89</v>
      </c>
      <c r="L13" s="42">
        <v>0</v>
      </c>
      <c r="M13" s="42">
        <f t="shared" si="2"/>
        <v>306577.71249999997</v>
      </c>
      <c r="N13" s="42"/>
    </row>
    <row r="14" spans="1:16">
      <c r="A14" s="50">
        <v>11</v>
      </c>
      <c r="B14" s="233">
        <v>46002</v>
      </c>
      <c r="C14" s="42">
        <v>0</v>
      </c>
      <c r="D14" s="42"/>
      <c r="E14" s="284">
        <v>277.89</v>
      </c>
      <c r="F14" s="320">
        <v>91.31</v>
      </c>
      <c r="G14" s="42">
        <f t="shared" si="3"/>
        <v>25374.135900000001</v>
      </c>
      <c r="H14" s="42">
        <v>16</v>
      </c>
      <c r="I14" s="42">
        <v>103.23</v>
      </c>
      <c r="J14" s="42">
        <f t="shared" si="0"/>
        <v>1651.68</v>
      </c>
      <c r="K14" s="42">
        <f t="shared" si="1"/>
        <v>27025.815900000001</v>
      </c>
      <c r="L14" s="42">
        <v>0</v>
      </c>
      <c r="M14" s="42">
        <f t="shared" si="2"/>
        <v>333603.52839999995</v>
      </c>
      <c r="N14" s="42"/>
    </row>
    <row r="15" spans="1:16">
      <c r="A15" s="50">
        <v>12</v>
      </c>
      <c r="B15" s="233">
        <v>46003</v>
      </c>
      <c r="C15" s="42">
        <v>0</v>
      </c>
      <c r="D15" s="42"/>
      <c r="E15" s="284">
        <v>239.08</v>
      </c>
      <c r="F15" s="320">
        <v>91.31</v>
      </c>
      <c r="G15" s="42">
        <f t="shared" si="3"/>
        <v>21830.394800000002</v>
      </c>
      <c r="H15" s="42">
        <v>15</v>
      </c>
      <c r="I15" s="42">
        <v>103.23</v>
      </c>
      <c r="J15" s="42">
        <f t="shared" si="0"/>
        <v>1548.45</v>
      </c>
      <c r="K15" s="42">
        <f t="shared" si="1"/>
        <v>23378.844800000003</v>
      </c>
      <c r="L15" s="42">
        <v>0</v>
      </c>
      <c r="M15" s="42">
        <f t="shared" si="2"/>
        <v>356982.37319999997</v>
      </c>
      <c r="N15" s="42"/>
    </row>
    <row r="16" spans="1:16">
      <c r="A16" s="50">
        <v>13</v>
      </c>
      <c r="B16" s="233">
        <v>46004</v>
      </c>
      <c r="C16" s="42">
        <v>0</v>
      </c>
      <c r="D16" s="42"/>
      <c r="E16" s="284">
        <v>45.6</v>
      </c>
      <c r="F16" s="320">
        <v>91.31</v>
      </c>
      <c r="G16" s="42">
        <f t="shared" si="3"/>
        <v>4163.7359999999999</v>
      </c>
      <c r="H16" s="42">
        <v>6</v>
      </c>
      <c r="I16" s="42">
        <v>103.23</v>
      </c>
      <c r="J16" s="42">
        <f t="shared" si="0"/>
        <v>619.38</v>
      </c>
      <c r="K16" s="42">
        <f t="shared" si="1"/>
        <v>4783.116</v>
      </c>
      <c r="L16" s="42">
        <v>0</v>
      </c>
      <c r="M16" s="42">
        <f>M15+K16-L16</f>
        <v>361765.48919999995</v>
      </c>
      <c r="N16" s="42"/>
    </row>
    <row r="17" spans="1:14">
      <c r="A17" s="50">
        <v>14</v>
      </c>
      <c r="B17" s="233">
        <v>46005</v>
      </c>
      <c r="C17" s="42">
        <v>0</v>
      </c>
      <c r="D17" s="42"/>
      <c r="E17" s="284"/>
      <c r="F17" s="320"/>
      <c r="G17" s="42">
        <f t="shared" si="3"/>
        <v>0</v>
      </c>
      <c r="H17" s="42"/>
      <c r="I17" s="42"/>
      <c r="J17" s="42">
        <f t="shared" si="0"/>
        <v>0</v>
      </c>
      <c r="K17" s="42">
        <f t="shared" si="1"/>
        <v>0</v>
      </c>
      <c r="L17" s="42">
        <v>0</v>
      </c>
      <c r="M17" s="42">
        <f t="shared" si="2"/>
        <v>361765.48919999995</v>
      </c>
      <c r="N17" s="42"/>
    </row>
    <row r="18" spans="1:14">
      <c r="A18" s="50">
        <v>15</v>
      </c>
      <c r="B18" s="233">
        <v>46006</v>
      </c>
      <c r="C18" s="42">
        <v>0</v>
      </c>
      <c r="D18" s="42"/>
      <c r="E18" s="284"/>
      <c r="F18" s="320"/>
      <c r="G18" s="42">
        <f t="shared" si="3"/>
        <v>0</v>
      </c>
      <c r="H18" s="42"/>
      <c r="I18" s="42"/>
      <c r="J18" s="42">
        <f t="shared" si="0"/>
        <v>0</v>
      </c>
      <c r="K18" s="42">
        <f t="shared" si="1"/>
        <v>0</v>
      </c>
      <c r="L18" s="42">
        <v>361718.01</v>
      </c>
      <c r="M18" s="42">
        <f t="shared" si="2"/>
        <v>47.479199999943376</v>
      </c>
      <c r="N18" s="42"/>
    </row>
    <row r="19" spans="1:14">
      <c r="A19" s="50">
        <v>16</v>
      </c>
      <c r="B19" s="233">
        <v>46007</v>
      </c>
      <c r="C19" s="42">
        <v>0</v>
      </c>
      <c r="D19" s="42"/>
      <c r="E19" s="284">
        <v>40</v>
      </c>
      <c r="F19" s="320">
        <v>91.31</v>
      </c>
      <c r="G19" s="42">
        <f t="shared" si="3"/>
        <v>3652.4</v>
      </c>
      <c r="H19" s="42">
        <v>23</v>
      </c>
      <c r="I19" s="42">
        <v>103.23</v>
      </c>
      <c r="J19" s="42">
        <f t="shared" si="0"/>
        <v>2374.29</v>
      </c>
      <c r="K19" s="42">
        <f t="shared" si="1"/>
        <v>6026.6900000000005</v>
      </c>
      <c r="L19" s="42">
        <v>0</v>
      </c>
      <c r="M19" s="42">
        <f t="shared" si="2"/>
        <v>6074.1691999999439</v>
      </c>
      <c r="N19" s="42"/>
    </row>
    <row r="20" spans="1:14">
      <c r="A20" s="50">
        <v>17</v>
      </c>
      <c r="B20" s="233">
        <v>46008</v>
      </c>
      <c r="C20" s="42">
        <v>0</v>
      </c>
      <c r="D20" s="42"/>
      <c r="E20" s="284">
        <v>17.05</v>
      </c>
      <c r="F20" s="320">
        <v>91.31</v>
      </c>
      <c r="G20" s="42">
        <f t="shared" si="3"/>
        <v>1556.8355000000001</v>
      </c>
      <c r="H20" s="42">
        <v>10</v>
      </c>
      <c r="I20" s="42">
        <v>103.23</v>
      </c>
      <c r="J20" s="42">
        <f t="shared" si="0"/>
        <v>1032.3</v>
      </c>
      <c r="K20" s="42">
        <f t="shared" si="1"/>
        <v>2589.1355000000003</v>
      </c>
      <c r="L20" s="42">
        <v>0</v>
      </c>
      <c r="M20" s="42">
        <f t="shared" si="2"/>
        <v>8663.3046999999442</v>
      </c>
      <c r="N20" s="42"/>
    </row>
    <row r="21" spans="1:14">
      <c r="A21" s="50">
        <v>18</v>
      </c>
      <c r="B21" s="233">
        <v>46009</v>
      </c>
      <c r="C21" s="42">
        <v>0</v>
      </c>
      <c r="D21" s="42"/>
      <c r="E21" s="284"/>
      <c r="F21" s="320"/>
      <c r="G21" s="42">
        <f t="shared" si="3"/>
        <v>0</v>
      </c>
      <c r="H21" s="42">
        <v>10</v>
      </c>
      <c r="I21" s="42">
        <v>103.23</v>
      </c>
      <c r="J21" s="42">
        <f t="shared" si="0"/>
        <v>1032.3</v>
      </c>
      <c r="K21" s="42">
        <f t="shared" si="1"/>
        <v>1032.3</v>
      </c>
      <c r="L21" s="42">
        <v>0</v>
      </c>
      <c r="M21" s="42">
        <f>M20+K21-L21</f>
        <v>9695.6046999999435</v>
      </c>
      <c r="N21" s="42"/>
    </row>
    <row r="22" spans="1:14">
      <c r="A22" s="50">
        <v>19</v>
      </c>
      <c r="B22" s="233">
        <v>46010</v>
      </c>
      <c r="C22" s="42">
        <v>0</v>
      </c>
      <c r="D22" s="42"/>
      <c r="E22" s="284">
        <v>256.39</v>
      </c>
      <c r="F22" s="320">
        <v>91.31</v>
      </c>
      <c r="G22" s="42">
        <f t="shared" si="3"/>
        <v>23410.9709</v>
      </c>
      <c r="H22" s="42"/>
      <c r="I22" s="42"/>
      <c r="J22" s="42">
        <f t="shared" si="0"/>
        <v>0</v>
      </c>
      <c r="K22" s="42">
        <f t="shared" si="1"/>
        <v>23410.9709</v>
      </c>
      <c r="L22" s="42">
        <v>0</v>
      </c>
      <c r="M22" s="42">
        <f t="shared" si="2"/>
        <v>33106.575599999946</v>
      </c>
      <c r="N22" s="42"/>
    </row>
    <row r="23" spans="1:14">
      <c r="A23" s="50">
        <v>20</v>
      </c>
      <c r="B23" s="233">
        <v>46011</v>
      </c>
      <c r="C23" s="42">
        <v>0</v>
      </c>
      <c r="D23" s="42"/>
      <c r="E23" s="284">
        <v>211.32</v>
      </c>
      <c r="F23" s="320">
        <v>91.31</v>
      </c>
      <c r="G23" s="42">
        <f t="shared" si="3"/>
        <v>19295.629199999999</v>
      </c>
      <c r="H23" s="42">
        <v>6</v>
      </c>
      <c r="I23" s="42">
        <v>103.23</v>
      </c>
      <c r="J23" s="42">
        <f t="shared" si="0"/>
        <v>619.38</v>
      </c>
      <c r="K23" s="42">
        <f t="shared" si="1"/>
        <v>19915.0092</v>
      </c>
      <c r="L23" s="42">
        <v>0</v>
      </c>
      <c r="M23" s="42">
        <f t="shared" si="2"/>
        <v>53021.584799999946</v>
      </c>
      <c r="N23" s="42"/>
    </row>
    <row r="24" spans="1:14">
      <c r="A24" s="50">
        <v>21</v>
      </c>
      <c r="B24" s="233">
        <v>46012</v>
      </c>
      <c r="C24" s="42">
        <v>0</v>
      </c>
      <c r="D24" s="42"/>
      <c r="E24" s="284">
        <v>40</v>
      </c>
      <c r="F24" s="320">
        <v>91.31</v>
      </c>
      <c r="G24" s="42">
        <f t="shared" si="3"/>
        <v>3652.4</v>
      </c>
      <c r="H24" s="42"/>
      <c r="I24" s="42"/>
      <c r="J24" s="42">
        <f t="shared" si="0"/>
        <v>0</v>
      </c>
      <c r="K24" s="42">
        <f t="shared" si="1"/>
        <v>3652.4</v>
      </c>
      <c r="L24" s="42">
        <v>0</v>
      </c>
      <c r="M24" s="42">
        <f t="shared" si="2"/>
        <v>56673.984799999947</v>
      </c>
      <c r="N24" s="42"/>
    </row>
    <row r="25" spans="1:14">
      <c r="A25" s="50">
        <v>22</v>
      </c>
      <c r="B25" s="233">
        <v>46013</v>
      </c>
      <c r="C25" s="42">
        <v>0</v>
      </c>
      <c r="D25" s="42"/>
      <c r="E25" s="284">
        <v>24.65</v>
      </c>
      <c r="F25" s="320">
        <v>91.31</v>
      </c>
      <c r="G25" s="42">
        <f t="shared" si="3"/>
        <v>2250.7914999999998</v>
      </c>
      <c r="H25" s="42">
        <v>6</v>
      </c>
      <c r="I25" s="42">
        <v>103.23</v>
      </c>
      <c r="J25" s="42">
        <f t="shared" si="0"/>
        <v>619.38</v>
      </c>
      <c r="K25" s="42">
        <f t="shared" si="1"/>
        <v>2870.1714999999999</v>
      </c>
      <c r="L25" s="42">
        <v>0</v>
      </c>
      <c r="M25" s="42">
        <f t="shared" si="2"/>
        <v>59544.156299999944</v>
      </c>
      <c r="N25" s="42"/>
    </row>
    <row r="26" spans="1:14">
      <c r="A26" s="50">
        <v>23</v>
      </c>
      <c r="B26" s="233">
        <v>46014</v>
      </c>
      <c r="C26" s="42">
        <v>0</v>
      </c>
      <c r="D26" s="42"/>
      <c r="E26" s="284">
        <v>45.6</v>
      </c>
      <c r="F26" s="320">
        <v>91.31</v>
      </c>
      <c r="G26" s="42">
        <f t="shared" si="3"/>
        <v>4163.7359999999999</v>
      </c>
      <c r="H26" s="42">
        <v>6</v>
      </c>
      <c r="I26" s="42">
        <v>103.23</v>
      </c>
      <c r="J26" s="42">
        <f t="shared" si="0"/>
        <v>619.38</v>
      </c>
      <c r="K26" s="42">
        <f t="shared" si="1"/>
        <v>4783.116</v>
      </c>
      <c r="L26" s="42">
        <v>0</v>
      </c>
      <c r="M26" s="42">
        <f t="shared" si="2"/>
        <v>64327.272299999946</v>
      </c>
      <c r="N26" s="42"/>
    </row>
    <row r="27" spans="1:14">
      <c r="A27" s="50">
        <v>24</v>
      </c>
      <c r="B27" s="233">
        <v>46015</v>
      </c>
      <c r="C27" s="42">
        <v>0</v>
      </c>
      <c r="D27" s="42"/>
      <c r="E27" s="284"/>
      <c r="F27" s="320"/>
      <c r="G27" s="42">
        <f t="shared" si="3"/>
        <v>0</v>
      </c>
      <c r="H27" s="42"/>
      <c r="I27" s="42"/>
      <c r="J27" s="42">
        <f t="shared" si="0"/>
        <v>0</v>
      </c>
      <c r="K27" s="42">
        <f t="shared" si="1"/>
        <v>0</v>
      </c>
      <c r="L27" s="42">
        <v>0</v>
      </c>
      <c r="M27" s="42">
        <f t="shared" si="2"/>
        <v>64327.272299999946</v>
      </c>
      <c r="N27" s="42"/>
    </row>
    <row r="28" spans="1:14">
      <c r="A28" s="235">
        <v>25</v>
      </c>
      <c r="B28" s="233">
        <v>46016</v>
      </c>
      <c r="C28" s="42">
        <v>0</v>
      </c>
      <c r="D28" s="42"/>
      <c r="E28" s="284">
        <v>20.8</v>
      </c>
      <c r="F28" s="320">
        <v>91.31</v>
      </c>
      <c r="G28" s="42">
        <f t="shared" si="3"/>
        <v>1899.248</v>
      </c>
      <c r="H28" s="42"/>
      <c r="I28" s="42"/>
      <c r="J28" s="42">
        <f t="shared" si="0"/>
        <v>0</v>
      </c>
      <c r="K28" s="42">
        <f t="shared" si="1"/>
        <v>1899.248</v>
      </c>
      <c r="L28" s="42">
        <v>0</v>
      </c>
      <c r="M28" s="42">
        <f t="shared" si="2"/>
        <v>66226.520299999946</v>
      </c>
      <c r="N28" s="42"/>
    </row>
    <row r="29" spans="1:14">
      <c r="A29" s="235">
        <v>26</v>
      </c>
      <c r="B29" s="233">
        <v>46017</v>
      </c>
      <c r="C29" s="42">
        <v>0</v>
      </c>
      <c r="D29" s="42"/>
      <c r="E29" s="284">
        <v>600</v>
      </c>
      <c r="F29" s="320">
        <v>91.31</v>
      </c>
      <c r="G29" s="42">
        <f t="shared" si="3"/>
        <v>54786</v>
      </c>
      <c r="H29" s="42"/>
      <c r="I29" s="42"/>
      <c r="J29" s="42">
        <f t="shared" si="0"/>
        <v>0</v>
      </c>
      <c r="K29" s="42">
        <f t="shared" si="1"/>
        <v>54786</v>
      </c>
      <c r="L29" s="42">
        <v>0</v>
      </c>
      <c r="M29" s="42">
        <f t="shared" si="2"/>
        <v>121012.52029999995</v>
      </c>
      <c r="N29" s="42"/>
    </row>
    <row r="30" spans="1:14">
      <c r="A30" s="235">
        <v>27</v>
      </c>
      <c r="B30" s="233">
        <v>46018</v>
      </c>
      <c r="C30" s="42">
        <v>0</v>
      </c>
      <c r="D30" s="42"/>
      <c r="E30" s="284">
        <v>20</v>
      </c>
      <c r="F30" s="320">
        <v>91.31</v>
      </c>
      <c r="G30" s="42">
        <f t="shared" si="3"/>
        <v>1826.2</v>
      </c>
      <c r="H30" s="42"/>
      <c r="I30" s="42"/>
      <c r="J30" s="42">
        <f t="shared" si="0"/>
        <v>0</v>
      </c>
      <c r="K30" s="42">
        <f t="shared" si="1"/>
        <v>1826.2</v>
      </c>
      <c r="L30" s="42">
        <v>0</v>
      </c>
      <c r="M30" s="42">
        <f t="shared" si="2"/>
        <v>122838.72029999994</v>
      </c>
      <c r="N30" s="42"/>
    </row>
    <row r="31" spans="1:14">
      <c r="A31" s="235">
        <v>28</v>
      </c>
      <c r="B31" s="233">
        <v>46019</v>
      </c>
      <c r="C31" s="42">
        <v>0</v>
      </c>
      <c r="D31" s="42"/>
      <c r="E31" s="284"/>
      <c r="F31" s="320"/>
      <c r="G31" s="42">
        <f t="shared" si="3"/>
        <v>0</v>
      </c>
      <c r="H31" s="42">
        <v>6</v>
      </c>
      <c r="I31" s="42">
        <v>103.23</v>
      </c>
      <c r="J31" s="42">
        <f t="shared" si="0"/>
        <v>619.38</v>
      </c>
      <c r="K31" s="42">
        <f t="shared" si="1"/>
        <v>619.38</v>
      </c>
      <c r="L31" s="42">
        <v>0</v>
      </c>
      <c r="M31" s="42">
        <f t="shared" si="2"/>
        <v>123458.10029999995</v>
      </c>
      <c r="N31" s="42"/>
    </row>
    <row r="32" spans="1:14">
      <c r="A32" s="236">
        <v>29</v>
      </c>
      <c r="B32" s="233">
        <v>46020</v>
      </c>
      <c r="C32" s="42">
        <v>0</v>
      </c>
      <c r="D32" s="42"/>
      <c r="E32" s="284">
        <v>161.12</v>
      </c>
      <c r="F32" s="320">
        <v>91.31</v>
      </c>
      <c r="G32" s="42">
        <f t="shared" si="3"/>
        <v>14711.867200000001</v>
      </c>
      <c r="H32" s="42">
        <v>6</v>
      </c>
      <c r="I32" s="42">
        <v>103.23</v>
      </c>
      <c r="J32" s="42">
        <f t="shared" si="0"/>
        <v>619.38</v>
      </c>
      <c r="K32" s="42">
        <f t="shared" si="1"/>
        <v>15331.2472</v>
      </c>
      <c r="L32" s="42">
        <v>0</v>
      </c>
      <c r="M32" s="42">
        <f t="shared" si="2"/>
        <v>138789.34749999995</v>
      </c>
      <c r="N32" s="42"/>
    </row>
    <row r="33" spans="1:14">
      <c r="A33" s="236">
        <v>30</v>
      </c>
      <c r="B33" s="233">
        <v>46021</v>
      </c>
      <c r="C33" s="42">
        <v>0</v>
      </c>
      <c r="D33" s="42"/>
      <c r="E33" s="284">
        <v>41.2</v>
      </c>
      <c r="F33" s="320">
        <v>91.31</v>
      </c>
      <c r="G33" s="42">
        <f t="shared" si="3"/>
        <v>3761.9720000000002</v>
      </c>
      <c r="H33" s="42">
        <v>10</v>
      </c>
      <c r="I33" s="42">
        <v>103.23</v>
      </c>
      <c r="J33" s="42">
        <f t="shared" si="0"/>
        <v>1032.3</v>
      </c>
      <c r="K33" s="42">
        <f t="shared" si="1"/>
        <v>4794.2719999999999</v>
      </c>
      <c r="L33" s="42">
        <v>0</v>
      </c>
      <c r="M33" s="42">
        <f t="shared" si="2"/>
        <v>143583.61949999994</v>
      </c>
      <c r="N33" s="42"/>
    </row>
    <row r="34" spans="1:14">
      <c r="A34" s="236">
        <v>31</v>
      </c>
      <c r="B34" s="233">
        <v>46022</v>
      </c>
      <c r="C34" s="42">
        <v>0</v>
      </c>
      <c r="D34" s="42"/>
      <c r="E34" s="284">
        <v>400</v>
      </c>
      <c r="F34" s="320">
        <v>91.31</v>
      </c>
      <c r="G34" s="42">
        <f t="shared" si="3"/>
        <v>36524</v>
      </c>
      <c r="H34" s="42"/>
      <c r="I34" s="42">
        <v>0</v>
      </c>
      <c r="J34" s="42">
        <f t="shared" si="0"/>
        <v>0</v>
      </c>
      <c r="K34" s="42">
        <f t="shared" si="1"/>
        <v>36524</v>
      </c>
      <c r="L34" s="42">
        <v>0</v>
      </c>
      <c r="M34" s="42">
        <f t="shared" si="2"/>
        <v>180107.61949999994</v>
      </c>
      <c r="N34" s="42"/>
    </row>
    <row r="35" spans="1:14">
      <c r="A35" s="191"/>
      <c r="B35" s="191"/>
      <c r="C35" s="191"/>
      <c r="D35" s="191"/>
      <c r="E35" s="191">
        <f>SUM(E4:E34)</f>
        <v>4561.13</v>
      </c>
      <c r="F35" s="191"/>
      <c r="G35" s="191">
        <f>SUM(G4:G34)</f>
        <v>416476.78030000004</v>
      </c>
      <c r="H35" s="191">
        <f>SUM(H4:H34)</f>
        <v>150</v>
      </c>
      <c r="I35" s="191"/>
      <c r="J35" s="191">
        <f>SUM(J4:J34)</f>
        <v>15484.499999999995</v>
      </c>
      <c r="K35" s="191">
        <f>SUM(K4:K34)</f>
        <v>431961.28030000004</v>
      </c>
      <c r="L35" s="191">
        <f>SUM(L4:L34)</f>
        <v>361718.01</v>
      </c>
      <c r="M35" s="191"/>
      <c r="N35" s="191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7"/>
  <sheetViews>
    <sheetView topLeftCell="A25" workbookViewId="0">
      <selection activeCell="L34" sqref="L34"/>
    </sheetView>
  </sheetViews>
  <sheetFormatPr defaultRowHeight="15"/>
  <cols>
    <col min="2" max="2" width="10.5703125" bestFit="1" customWidth="1"/>
    <col min="12" max="12" width="12.42578125" bestFit="1" customWidth="1"/>
  </cols>
  <sheetData>
    <row r="1" spans="1:14" ht="15.75">
      <c r="A1" s="492" t="s">
        <v>196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</row>
    <row r="2" spans="1:14" ht="45">
      <c r="A2" s="131" t="s">
        <v>122</v>
      </c>
      <c r="B2" s="225" t="s">
        <v>123</v>
      </c>
      <c r="C2" s="225" t="s">
        <v>124</v>
      </c>
      <c r="D2" s="225" t="s">
        <v>139</v>
      </c>
      <c r="E2" s="225" t="s">
        <v>126</v>
      </c>
      <c r="F2" s="225" t="s">
        <v>127</v>
      </c>
      <c r="G2" s="225" t="s">
        <v>128</v>
      </c>
      <c r="H2" s="225" t="s">
        <v>129</v>
      </c>
      <c r="I2" s="225" t="s">
        <v>127</v>
      </c>
      <c r="J2" s="225" t="s">
        <v>128</v>
      </c>
      <c r="K2" s="184" t="s">
        <v>130</v>
      </c>
      <c r="L2" s="184" t="s">
        <v>131</v>
      </c>
      <c r="M2" s="184" t="s">
        <v>138</v>
      </c>
      <c r="N2" s="225" t="s">
        <v>133</v>
      </c>
    </row>
    <row r="3" spans="1:14">
      <c r="A3" s="493" t="s">
        <v>134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>
        <v>0</v>
      </c>
      <c r="N3" s="493"/>
    </row>
    <row r="4" spans="1:14">
      <c r="A4" s="208">
        <v>1</v>
      </c>
      <c r="B4" s="233">
        <v>45992</v>
      </c>
      <c r="C4" s="42">
        <v>0</v>
      </c>
      <c r="D4" s="42"/>
      <c r="E4" s="42">
        <v>30</v>
      </c>
      <c r="F4" s="42">
        <v>91.3</v>
      </c>
      <c r="G4" s="42">
        <f>E4*F4</f>
        <v>2739</v>
      </c>
      <c r="H4" s="42">
        <v>16</v>
      </c>
      <c r="I4" s="42">
        <v>103.22</v>
      </c>
      <c r="J4" s="42">
        <f>H4*I4</f>
        <v>1651.52</v>
      </c>
      <c r="K4" s="42">
        <f>G4+J4</f>
        <v>4390.5200000000004</v>
      </c>
      <c r="L4" s="42">
        <f>+K4</f>
        <v>4390.5200000000004</v>
      </c>
      <c r="M4" s="42">
        <f>M3+K4-L4</f>
        <v>0</v>
      </c>
      <c r="N4" s="42"/>
    </row>
    <row r="5" spans="1:14">
      <c r="A5" s="50">
        <v>2</v>
      </c>
      <c r="B5" s="233">
        <v>45993</v>
      </c>
      <c r="C5" s="42">
        <v>0</v>
      </c>
      <c r="D5" s="42"/>
      <c r="E5" s="42">
        <v>0</v>
      </c>
      <c r="F5" s="42">
        <v>0</v>
      </c>
      <c r="G5" s="42">
        <f t="shared" ref="G5:G32" si="0">E5*F5</f>
        <v>0</v>
      </c>
      <c r="H5" s="42">
        <v>0</v>
      </c>
      <c r="I5" s="42">
        <v>0</v>
      </c>
      <c r="J5" s="42">
        <f t="shared" ref="J5:J34" si="1">H5*I5</f>
        <v>0</v>
      </c>
      <c r="K5" s="42">
        <f t="shared" ref="K5:K34" si="2">G5+J5</f>
        <v>0</v>
      </c>
      <c r="L5" s="42">
        <f t="shared" ref="L5:L32" si="3">+K5</f>
        <v>0</v>
      </c>
      <c r="M5" s="42">
        <f t="shared" ref="M5:M34" si="4">M4+K5-L5</f>
        <v>0</v>
      </c>
      <c r="N5" s="42"/>
    </row>
    <row r="6" spans="1:14">
      <c r="A6" s="50">
        <v>3</v>
      </c>
      <c r="B6" s="233">
        <v>45994</v>
      </c>
      <c r="C6" s="42">
        <v>0</v>
      </c>
      <c r="D6" s="42"/>
      <c r="E6" s="42">
        <v>40</v>
      </c>
      <c r="F6" s="42">
        <v>91.3</v>
      </c>
      <c r="G6" s="42">
        <f t="shared" si="0"/>
        <v>3652</v>
      </c>
      <c r="H6" s="42">
        <v>6</v>
      </c>
      <c r="I6" s="42">
        <v>103.22</v>
      </c>
      <c r="J6" s="42">
        <f t="shared" si="1"/>
        <v>619.31999999999994</v>
      </c>
      <c r="K6" s="42">
        <f t="shared" si="2"/>
        <v>4271.32</v>
      </c>
      <c r="L6" s="42">
        <f t="shared" si="3"/>
        <v>4271.32</v>
      </c>
      <c r="M6" s="42">
        <f t="shared" si="4"/>
        <v>0</v>
      </c>
      <c r="N6" s="42"/>
    </row>
    <row r="7" spans="1:14">
      <c r="A7" s="50">
        <v>4</v>
      </c>
      <c r="B7" s="233">
        <v>45995</v>
      </c>
      <c r="C7" s="42">
        <v>0</v>
      </c>
      <c r="D7" s="42"/>
      <c r="E7" s="42">
        <v>0</v>
      </c>
      <c r="F7" s="42">
        <v>0</v>
      </c>
      <c r="G7" s="42">
        <f t="shared" si="0"/>
        <v>0</v>
      </c>
      <c r="H7" s="42">
        <v>0</v>
      </c>
      <c r="I7" s="42">
        <v>0</v>
      </c>
      <c r="J7" s="42">
        <f t="shared" si="1"/>
        <v>0</v>
      </c>
      <c r="K7" s="42">
        <f t="shared" si="2"/>
        <v>0</v>
      </c>
      <c r="L7" s="42">
        <f t="shared" si="3"/>
        <v>0</v>
      </c>
      <c r="M7" s="42">
        <f t="shared" si="4"/>
        <v>0</v>
      </c>
      <c r="N7" s="42"/>
    </row>
    <row r="8" spans="1:14">
      <c r="A8" s="50">
        <v>5</v>
      </c>
      <c r="B8" s="233">
        <v>45996</v>
      </c>
      <c r="C8" s="42">
        <v>0</v>
      </c>
      <c r="D8" s="42"/>
      <c r="E8" s="42">
        <v>50</v>
      </c>
      <c r="F8" s="42">
        <v>91.3</v>
      </c>
      <c r="G8" s="42">
        <f t="shared" si="0"/>
        <v>4565</v>
      </c>
      <c r="H8" s="42">
        <v>0</v>
      </c>
      <c r="I8" s="42">
        <v>0</v>
      </c>
      <c r="J8" s="42">
        <f t="shared" si="1"/>
        <v>0</v>
      </c>
      <c r="K8" s="42">
        <f t="shared" si="2"/>
        <v>4565</v>
      </c>
      <c r="L8" s="42">
        <f t="shared" si="3"/>
        <v>4565</v>
      </c>
      <c r="M8" s="42">
        <f t="shared" si="4"/>
        <v>0</v>
      </c>
      <c r="N8" s="42"/>
    </row>
    <row r="9" spans="1:14">
      <c r="A9" s="50">
        <v>6</v>
      </c>
      <c r="B9" s="233">
        <v>45997</v>
      </c>
      <c r="C9" s="42">
        <v>0</v>
      </c>
      <c r="D9" s="42"/>
      <c r="E9" s="42">
        <v>0</v>
      </c>
      <c r="F9" s="42">
        <v>0</v>
      </c>
      <c r="G9" s="42">
        <f t="shared" si="0"/>
        <v>0</v>
      </c>
      <c r="H9" s="42">
        <v>0</v>
      </c>
      <c r="I9" s="42">
        <v>0</v>
      </c>
      <c r="J9" s="42">
        <f t="shared" si="1"/>
        <v>0</v>
      </c>
      <c r="K9" s="42">
        <f t="shared" si="2"/>
        <v>0</v>
      </c>
      <c r="L9" s="42">
        <f t="shared" si="3"/>
        <v>0</v>
      </c>
      <c r="M9" s="42">
        <f t="shared" si="4"/>
        <v>0</v>
      </c>
      <c r="N9" s="42"/>
    </row>
    <row r="10" spans="1:14">
      <c r="A10" s="50">
        <v>7</v>
      </c>
      <c r="B10" s="233">
        <v>45998</v>
      </c>
      <c r="C10" s="42">
        <v>0</v>
      </c>
      <c r="D10" s="42"/>
      <c r="E10" s="42">
        <v>0</v>
      </c>
      <c r="F10" s="42">
        <v>0</v>
      </c>
      <c r="G10" s="42">
        <f t="shared" si="0"/>
        <v>0</v>
      </c>
      <c r="H10" s="42">
        <v>0</v>
      </c>
      <c r="I10" s="42">
        <v>0</v>
      </c>
      <c r="J10" s="42">
        <f t="shared" si="1"/>
        <v>0</v>
      </c>
      <c r="K10" s="42">
        <f t="shared" si="2"/>
        <v>0</v>
      </c>
      <c r="L10" s="42">
        <f t="shared" si="3"/>
        <v>0</v>
      </c>
      <c r="M10" s="42">
        <f t="shared" si="4"/>
        <v>0</v>
      </c>
      <c r="N10" s="42"/>
    </row>
    <row r="11" spans="1:14">
      <c r="A11" s="50">
        <v>8</v>
      </c>
      <c r="B11" s="233">
        <v>45999</v>
      </c>
      <c r="C11" s="42">
        <v>0</v>
      </c>
      <c r="D11" s="42"/>
      <c r="E11" s="42">
        <v>50</v>
      </c>
      <c r="F11" s="42">
        <v>91.3</v>
      </c>
      <c r="G11" s="42">
        <f t="shared" si="0"/>
        <v>4565</v>
      </c>
      <c r="H11" s="42">
        <v>0</v>
      </c>
      <c r="I11" s="42">
        <v>0</v>
      </c>
      <c r="J11" s="42">
        <f t="shared" si="1"/>
        <v>0</v>
      </c>
      <c r="K11" s="42">
        <f t="shared" si="2"/>
        <v>4565</v>
      </c>
      <c r="L11" s="42">
        <f t="shared" si="3"/>
        <v>4565</v>
      </c>
      <c r="M11" s="42">
        <f t="shared" si="4"/>
        <v>0</v>
      </c>
      <c r="N11" s="42"/>
    </row>
    <row r="12" spans="1:14">
      <c r="A12" s="50">
        <v>9</v>
      </c>
      <c r="B12" s="233">
        <v>46000</v>
      </c>
      <c r="C12" s="42">
        <v>0</v>
      </c>
      <c r="D12" s="42"/>
      <c r="E12" s="42">
        <v>0</v>
      </c>
      <c r="F12" s="42">
        <v>0</v>
      </c>
      <c r="G12" s="42">
        <f t="shared" si="0"/>
        <v>0</v>
      </c>
      <c r="H12" s="42">
        <v>0</v>
      </c>
      <c r="I12" s="42">
        <v>0</v>
      </c>
      <c r="J12" s="42">
        <f t="shared" si="1"/>
        <v>0</v>
      </c>
      <c r="K12" s="42">
        <f t="shared" si="2"/>
        <v>0</v>
      </c>
      <c r="L12" s="42">
        <f t="shared" si="3"/>
        <v>0</v>
      </c>
      <c r="M12" s="42">
        <f t="shared" si="4"/>
        <v>0</v>
      </c>
      <c r="N12" s="42"/>
    </row>
    <row r="13" spans="1:14">
      <c r="A13" s="50">
        <v>10</v>
      </c>
      <c r="B13" s="233">
        <v>46001</v>
      </c>
      <c r="C13" s="42">
        <v>0</v>
      </c>
      <c r="D13" s="42"/>
      <c r="E13" s="42">
        <v>50</v>
      </c>
      <c r="F13" s="42">
        <v>91.3</v>
      </c>
      <c r="G13" s="42">
        <f t="shared" si="0"/>
        <v>4565</v>
      </c>
      <c r="H13" s="42">
        <v>0</v>
      </c>
      <c r="I13" s="42">
        <v>0</v>
      </c>
      <c r="J13" s="42">
        <f t="shared" si="1"/>
        <v>0</v>
      </c>
      <c r="K13" s="42">
        <f t="shared" si="2"/>
        <v>4565</v>
      </c>
      <c r="L13" s="42">
        <f t="shared" si="3"/>
        <v>4565</v>
      </c>
      <c r="M13" s="42">
        <f t="shared" si="4"/>
        <v>0</v>
      </c>
      <c r="N13" s="42"/>
    </row>
    <row r="14" spans="1:14">
      <c r="A14" s="50">
        <v>11</v>
      </c>
      <c r="B14" s="233">
        <v>46002</v>
      </c>
      <c r="C14" s="42">
        <v>0</v>
      </c>
      <c r="D14" s="42"/>
      <c r="E14" s="42">
        <v>30</v>
      </c>
      <c r="F14" s="42">
        <v>91.3</v>
      </c>
      <c r="G14" s="42">
        <f t="shared" si="0"/>
        <v>2739</v>
      </c>
      <c r="H14" s="42">
        <v>0</v>
      </c>
      <c r="I14" s="42">
        <v>0</v>
      </c>
      <c r="J14" s="42">
        <f t="shared" si="1"/>
        <v>0</v>
      </c>
      <c r="K14" s="42">
        <f t="shared" si="2"/>
        <v>2739</v>
      </c>
      <c r="L14" s="42">
        <f t="shared" si="3"/>
        <v>2739</v>
      </c>
      <c r="M14" s="42">
        <f t="shared" si="4"/>
        <v>0</v>
      </c>
      <c r="N14" s="42"/>
    </row>
    <row r="15" spans="1:14">
      <c r="A15" s="50">
        <v>12</v>
      </c>
      <c r="B15" s="233">
        <v>46003</v>
      </c>
      <c r="C15" s="42">
        <v>0</v>
      </c>
      <c r="D15" s="42"/>
      <c r="E15" s="42">
        <v>0</v>
      </c>
      <c r="F15" s="42">
        <v>0</v>
      </c>
      <c r="G15" s="42">
        <f t="shared" ref="G15:G21" si="5">E15*F15</f>
        <v>0</v>
      </c>
      <c r="H15" s="42">
        <v>0</v>
      </c>
      <c r="I15" s="42">
        <v>0</v>
      </c>
      <c r="J15" s="42">
        <f t="shared" ref="J15:J21" si="6">H15*I15</f>
        <v>0</v>
      </c>
      <c r="K15" s="42">
        <f t="shared" si="2"/>
        <v>0</v>
      </c>
      <c r="L15" s="42">
        <f t="shared" si="3"/>
        <v>0</v>
      </c>
      <c r="M15" s="42">
        <f t="shared" si="4"/>
        <v>0</v>
      </c>
      <c r="N15" s="42"/>
    </row>
    <row r="16" spans="1:14">
      <c r="A16" s="50">
        <v>13</v>
      </c>
      <c r="B16" s="233">
        <v>46004</v>
      </c>
      <c r="C16" s="42">
        <v>0</v>
      </c>
      <c r="D16" s="42"/>
      <c r="E16" s="42">
        <v>45</v>
      </c>
      <c r="F16" s="42">
        <v>91.3</v>
      </c>
      <c r="G16" s="42">
        <f t="shared" si="5"/>
        <v>4108.5</v>
      </c>
      <c r="H16" s="42">
        <v>0</v>
      </c>
      <c r="I16" s="42">
        <v>0</v>
      </c>
      <c r="J16" s="42">
        <f t="shared" si="6"/>
        <v>0</v>
      </c>
      <c r="K16" s="42">
        <f t="shared" si="2"/>
        <v>4108.5</v>
      </c>
      <c r="L16" s="42">
        <f t="shared" si="3"/>
        <v>4108.5</v>
      </c>
      <c r="M16" s="42">
        <f t="shared" si="4"/>
        <v>0</v>
      </c>
      <c r="N16" s="42"/>
    </row>
    <row r="17" spans="1:14">
      <c r="A17" s="50">
        <v>14</v>
      </c>
      <c r="B17" s="233">
        <v>46005</v>
      </c>
      <c r="C17" s="42">
        <v>0</v>
      </c>
      <c r="D17" s="42"/>
      <c r="E17" s="42">
        <v>0</v>
      </c>
      <c r="F17" s="42">
        <v>0</v>
      </c>
      <c r="G17" s="42">
        <f t="shared" si="5"/>
        <v>0</v>
      </c>
      <c r="H17" s="42">
        <v>0</v>
      </c>
      <c r="I17" s="42">
        <v>0</v>
      </c>
      <c r="J17" s="42">
        <f t="shared" si="6"/>
        <v>0</v>
      </c>
      <c r="K17" s="42">
        <f t="shared" si="2"/>
        <v>0</v>
      </c>
      <c r="L17" s="42">
        <f t="shared" si="3"/>
        <v>0</v>
      </c>
      <c r="M17" s="42">
        <f t="shared" si="4"/>
        <v>0</v>
      </c>
      <c r="N17" s="42"/>
    </row>
    <row r="18" spans="1:14">
      <c r="A18" s="50">
        <v>15</v>
      </c>
      <c r="B18" s="233">
        <v>46006</v>
      </c>
      <c r="C18" s="42">
        <v>0</v>
      </c>
      <c r="D18" s="42"/>
      <c r="E18" s="42">
        <v>0</v>
      </c>
      <c r="F18" s="42">
        <v>0</v>
      </c>
      <c r="G18" s="42">
        <f t="shared" si="5"/>
        <v>0</v>
      </c>
      <c r="H18" s="42">
        <v>0</v>
      </c>
      <c r="I18" s="42">
        <v>0</v>
      </c>
      <c r="J18" s="42">
        <f t="shared" si="6"/>
        <v>0</v>
      </c>
      <c r="K18" s="42">
        <f t="shared" si="2"/>
        <v>0</v>
      </c>
      <c r="L18" s="42">
        <f t="shared" si="3"/>
        <v>0</v>
      </c>
      <c r="M18" s="42">
        <f t="shared" si="4"/>
        <v>0</v>
      </c>
      <c r="N18" s="42"/>
    </row>
    <row r="19" spans="1:14">
      <c r="A19" s="50">
        <v>16</v>
      </c>
      <c r="B19" s="233">
        <v>46007</v>
      </c>
      <c r="C19" s="42">
        <v>0</v>
      </c>
      <c r="D19" s="42"/>
      <c r="E19" s="42">
        <v>40</v>
      </c>
      <c r="F19" s="42">
        <v>91.39</v>
      </c>
      <c r="G19" s="42">
        <f t="shared" si="5"/>
        <v>3655.6</v>
      </c>
      <c r="H19" s="42">
        <v>5</v>
      </c>
      <c r="I19" s="42">
        <v>103.22</v>
      </c>
      <c r="J19" s="42">
        <f t="shared" si="6"/>
        <v>516.1</v>
      </c>
      <c r="K19" s="42">
        <f t="shared" si="2"/>
        <v>4171.7</v>
      </c>
      <c r="L19" s="42">
        <f t="shared" si="3"/>
        <v>4171.7</v>
      </c>
      <c r="M19" s="42">
        <f t="shared" si="4"/>
        <v>0</v>
      </c>
      <c r="N19" s="42"/>
    </row>
    <row r="20" spans="1:14">
      <c r="A20" s="50">
        <v>17</v>
      </c>
      <c r="B20" s="233">
        <v>46008</v>
      </c>
      <c r="C20" s="42">
        <v>0</v>
      </c>
      <c r="D20" s="42"/>
      <c r="E20" s="42">
        <v>0</v>
      </c>
      <c r="F20" s="42">
        <v>0</v>
      </c>
      <c r="G20" s="42">
        <f t="shared" si="5"/>
        <v>0</v>
      </c>
      <c r="H20" s="42">
        <v>0</v>
      </c>
      <c r="I20" s="42">
        <v>0</v>
      </c>
      <c r="J20" s="42">
        <f t="shared" si="6"/>
        <v>0</v>
      </c>
      <c r="K20" s="42">
        <f t="shared" si="2"/>
        <v>0</v>
      </c>
      <c r="L20" s="42">
        <f t="shared" si="3"/>
        <v>0</v>
      </c>
      <c r="M20" s="42">
        <f t="shared" si="4"/>
        <v>0</v>
      </c>
      <c r="N20" s="42"/>
    </row>
    <row r="21" spans="1:14">
      <c r="A21" s="50">
        <v>18</v>
      </c>
      <c r="B21" s="233">
        <v>46009</v>
      </c>
      <c r="C21" s="42">
        <v>0</v>
      </c>
      <c r="D21" s="42"/>
      <c r="E21" s="42">
        <v>0</v>
      </c>
      <c r="F21" s="42">
        <v>0</v>
      </c>
      <c r="G21" s="42">
        <f t="shared" si="5"/>
        <v>0</v>
      </c>
      <c r="H21" s="42">
        <v>11</v>
      </c>
      <c r="I21" s="42">
        <v>103.22</v>
      </c>
      <c r="J21" s="42">
        <f t="shared" si="6"/>
        <v>1135.42</v>
      </c>
      <c r="K21" s="42">
        <f t="shared" si="2"/>
        <v>1135.42</v>
      </c>
      <c r="L21" s="42">
        <f t="shared" si="3"/>
        <v>1135.42</v>
      </c>
      <c r="M21" s="42">
        <f t="shared" si="4"/>
        <v>0</v>
      </c>
      <c r="N21" s="42"/>
    </row>
    <row r="22" spans="1:14">
      <c r="A22" s="50">
        <v>19</v>
      </c>
      <c r="B22" s="233">
        <v>46010</v>
      </c>
      <c r="C22" s="42">
        <v>0</v>
      </c>
      <c r="D22" s="42"/>
      <c r="E22" s="42">
        <v>50</v>
      </c>
      <c r="F22" s="42">
        <v>91.3</v>
      </c>
      <c r="G22" s="42">
        <f t="shared" si="0"/>
        <v>4565</v>
      </c>
      <c r="H22" s="42">
        <v>0</v>
      </c>
      <c r="I22" s="42">
        <v>0</v>
      </c>
      <c r="J22" s="42">
        <f t="shared" si="1"/>
        <v>0</v>
      </c>
      <c r="K22" s="42">
        <f t="shared" si="2"/>
        <v>4565</v>
      </c>
      <c r="L22" s="42">
        <f t="shared" si="3"/>
        <v>4565</v>
      </c>
      <c r="M22" s="42">
        <f t="shared" si="4"/>
        <v>0</v>
      </c>
      <c r="N22" s="42"/>
    </row>
    <row r="23" spans="1:14">
      <c r="A23" s="50">
        <v>20</v>
      </c>
      <c r="B23" s="233">
        <v>46011</v>
      </c>
      <c r="C23" s="42">
        <v>0</v>
      </c>
      <c r="D23" s="42"/>
      <c r="E23" s="42">
        <v>0</v>
      </c>
      <c r="F23" s="42">
        <v>0</v>
      </c>
      <c r="G23" s="42">
        <f t="shared" si="0"/>
        <v>0</v>
      </c>
      <c r="H23" s="42">
        <v>0</v>
      </c>
      <c r="I23" s="42">
        <v>0</v>
      </c>
      <c r="J23" s="42">
        <f t="shared" si="1"/>
        <v>0</v>
      </c>
      <c r="K23" s="42">
        <f t="shared" si="2"/>
        <v>0</v>
      </c>
      <c r="L23" s="42">
        <f t="shared" si="3"/>
        <v>0</v>
      </c>
      <c r="M23" s="42">
        <f t="shared" si="4"/>
        <v>0</v>
      </c>
      <c r="N23" s="42"/>
    </row>
    <row r="24" spans="1:14">
      <c r="A24" s="50">
        <v>21</v>
      </c>
      <c r="B24" s="233">
        <v>46012</v>
      </c>
      <c r="C24" s="42">
        <v>0</v>
      </c>
      <c r="D24" s="42"/>
      <c r="E24" s="42">
        <v>0</v>
      </c>
      <c r="F24" s="42">
        <v>0</v>
      </c>
      <c r="G24" s="42">
        <f t="shared" si="0"/>
        <v>0</v>
      </c>
      <c r="H24" s="42">
        <v>0</v>
      </c>
      <c r="I24" s="42">
        <v>0</v>
      </c>
      <c r="J24" s="42">
        <f t="shared" si="1"/>
        <v>0</v>
      </c>
      <c r="K24" s="42">
        <f t="shared" si="2"/>
        <v>0</v>
      </c>
      <c r="L24" s="42">
        <f t="shared" si="3"/>
        <v>0</v>
      </c>
      <c r="M24" s="42">
        <f t="shared" si="4"/>
        <v>0</v>
      </c>
      <c r="N24" s="42"/>
    </row>
    <row r="25" spans="1:14">
      <c r="A25" s="50">
        <v>22</v>
      </c>
      <c r="B25" s="233">
        <v>46013</v>
      </c>
      <c r="C25" s="42">
        <v>0</v>
      </c>
      <c r="D25" s="42"/>
      <c r="E25" s="42">
        <v>0</v>
      </c>
      <c r="F25" s="42">
        <v>0</v>
      </c>
      <c r="G25" s="42">
        <f t="shared" si="0"/>
        <v>0</v>
      </c>
      <c r="H25" s="42">
        <v>0</v>
      </c>
      <c r="I25" s="42">
        <v>0</v>
      </c>
      <c r="J25" s="42">
        <f t="shared" si="1"/>
        <v>0</v>
      </c>
      <c r="K25" s="42">
        <f t="shared" si="2"/>
        <v>0</v>
      </c>
      <c r="L25" s="42">
        <f t="shared" si="3"/>
        <v>0</v>
      </c>
      <c r="M25" s="42">
        <f t="shared" si="4"/>
        <v>0</v>
      </c>
      <c r="N25" s="42"/>
    </row>
    <row r="26" spans="1:14">
      <c r="A26" s="50">
        <v>23</v>
      </c>
      <c r="B26" s="233">
        <v>46014</v>
      </c>
      <c r="C26" s="42">
        <v>0</v>
      </c>
      <c r="D26" s="42"/>
      <c r="E26" s="42">
        <v>110</v>
      </c>
      <c r="F26" s="42">
        <v>91.3</v>
      </c>
      <c r="G26" s="42">
        <f t="shared" si="0"/>
        <v>10043</v>
      </c>
      <c r="H26" s="42">
        <v>6</v>
      </c>
      <c r="I26" s="42">
        <v>103.22</v>
      </c>
      <c r="J26" s="42">
        <f t="shared" si="1"/>
        <v>619.31999999999994</v>
      </c>
      <c r="K26" s="42">
        <f t="shared" si="2"/>
        <v>10662.32</v>
      </c>
      <c r="L26" s="42">
        <f t="shared" si="3"/>
        <v>10662.32</v>
      </c>
      <c r="M26" s="42">
        <f t="shared" si="4"/>
        <v>0</v>
      </c>
      <c r="N26" s="42"/>
    </row>
    <row r="27" spans="1:14">
      <c r="A27" s="50">
        <v>24</v>
      </c>
      <c r="B27" s="233">
        <v>46015</v>
      </c>
      <c r="C27" s="42">
        <v>0</v>
      </c>
      <c r="D27" s="42"/>
      <c r="E27" s="42">
        <v>0</v>
      </c>
      <c r="F27" s="42">
        <v>0</v>
      </c>
      <c r="G27" s="42">
        <f t="shared" si="0"/>
        <v>0</v>
      </c>
      <c r="H27" s="42">
        <v>0</v>
      </c>
      <c r="I27" s="42">
        <v>103.22</v>
      </c>
      <c r="J27" s="42">
        <f t="shared" si="1"/>
        <v>0</v>
      </c>
      <c r="K27" s="42">
        <f t="shared" si="2"/>
        <v>0</v>
      </c>
      <c r="L27" s="42">
        <f t="shared" si="3"/>
        <v>0</v>
      </c>
      <c r="M27" s="42">
        <f t="shared" si="4"/>
        <v>0</v>
      </c>
      <c r="N27" s="42"/>
    </row>
    <row r="28" spans="1:14">
      <c r="A28" s="235">
        <v>25</v>
      </c>
      <c r="B28" s="233">
        <v>46016</v>
      </c>
      <c r="C28" s="42">
        <v>0</v>
      </c>
      <c r="D28" s="42"/>
      <c r="E28" s="42">
        <v>10</v>
      </c>
      <c r="F28" s="42">
        <v>91.3</v>
      </c>
      <c r="G28" s="42">
        <f t="shared" si="0"/>
        <v>913</v>
      </c>
      <c r="H28" s="42">
        <v>0</v>
      </c>
      <c r="I28" s="42">
        <v>0</v>
      </c>
      <c r="J28" s="42">
        <f t="shared" si="1"/>
        <v>0</v>
      </c>
      <c r="K28" s="42">
        <f t="shared" si="2"/>
        <v>913</v>
      </c>
      <c r="L28" s="42">
        <f t="shared" si="3"/>
        <v>913</v>
      </c>
      <c r="M28" s="42">
        <f t="shared" si="4"/>
        <v>0</v>
      </c>
      <c r="N28" s="42"/>
    </row>
    <row r="29" spans="1:14">
      <c r="A29" s="235">
        <v>26</v>
      </c>
      <c r="B29" s="233">
        <v>46017</v>
      </c>
      <c r="C29" s="42">
        <v>0</v>
      </c>
      <c r="D29" s="42"/>
      <c r="E29" s="42">
        <v>60</v>
      </c>
      <c r="F29" s="42">
        <v>91.3</v>
      </c>
      <c r="G29" s="42">
        <f t="shared" si="0"/>
        <v>5478</v>
      </c>
      <c r="H29" s="42">
        <v>6</v>
      </c>
      <c r="I29" s="42">
        <v>103.22</v>
      </c>
      <c r="J29" s="42">
        <f t="shared" si="1"/>
        <v>619.31999999999994</v>
      </c>
      <c r="K29" s="42">
        <f t="shared" si="2"/>
        <v>6097.32</v>
      </c>
      <c r="L29" s="42">
        <f t="shared" si="3"/>
        <v>6097.32</v>
      </c>
      <c r="M29" s="42">
        <f t="shared" si="4"/>
        <v>0</v>
      </c>
      <c r="N29" s="42"/>
    </row>
    <row r="30" spans="1:14">
      <c r="A30" s="235">
        <v>27</v>
      </c>
      <c r="B30" s="233">
        <v>46018</v>
      </c>
      <c r="C30" s="42">
        <v>0</v>
      </c>
      <c r="D30" s="42"/>
      <c r="E30" s="42">
        <v>80</v>
      </c>
      <c r="F30" s="42">
        <v>91.3</v>
      </c>
      <c r="G30" s="42">
        <f t="shared" si="0"/>
        <v>7304</v>
      </c>
      <c r="H30" s="42">
        <v>0</v>
      </c>
      <c r="I30" s="42">
        <v>0</v>
      </c>
      <c r="J30" s="42">
        <f t="shared" si="1"/>
        <v>0</v>
      </c>
      <c r="K30" s="42">
        <f t="shared" si="2"/>
        <v>7304</v>
      </c>
      <c r="L30" s="42">
        <f t="shared" si="3"/>
        <v>7304</v>
      </c>
      <c r="M30" s="42">
        <f t="shared" si="4"/>
        <v>0</v>
      </c>
      <c r="N30" s="42"/>
    </row>
    <row r="31" spans="1:14">
      <c r="A31" s="235">
        <v>28</v>
      </c>
      <c r="B31" s="233">
        <v>46019</v>
      </c>
      <c r="C31" s="42">
        <v>0</v>
      </c>
      <c r="D31" s="42"/>
      <c r="E31" s="42">
        <v>0</v>
      </c>
      <c r="F31" s="42">
        <v>0</v>
      </c>
      <c r="G31" s="42">
        <f t="shared" si="0"/>
        <v>0</v>
      </c>
      <c r="H31" s="42">
        <v>0</v>
      </c>
      <c r="I31" s="42">
        <v>0</v>
      </c>
      <c r="J31" s="42">
        <f t="shared" si="1"/>
        <v>0</v>
      </c>
      <c r="K31" s="42">
        <f t="shared" si="2"/>
        <v>0</v>
      </c>
      <c r="L31" s="42">
        <f t="shared" si="3"/>
        <v>0</v>
      </c>
      <c r="M31" s="42">
        <f t="shared" si="4"/>
        <v>0</v>
      </c>
      <c r="N31" s="42"/>
    </row>
    <row r="32" spans="1:14">
      <c r="A32" s="236">
        <v>29</v>
      </c>
      <c r="B32" s="233">
        <v>46020</v>
      </c>
      <c r="C32" s="42">
        <v>0</v>
      </c>
      <c r="D32" s="42"/>
      <c r="E32" s="42">
        <v>55</v>
      </c>
      <c r="F32" s="42">
        <v>91.3</v>
      </c>
      <c r="G32" s="42">
        <f t="shared" si="0"/>
        <v>5021.5</v>
      </c>
      <c r="H32" s="42">
        <v>12</v>
      </c>
      <c r="I32" s="42">
        <v>103.22</v>
      </c>
      <c r="J32" s="42">
        <f t="shared" si="1"/>
        <v>1238.6399999999999</v>
      </c>
      <c r="K32" s="42">
        <f t="shared" si="2"/>
        <v>6260.1399999999994</v>
      </c>
      <c r="L32" s="42">
        <f t="shared" si="3"/>
        <v>6260.1399999999994</v>
      </c>
      <c r="M32" s="42">
        <f t="shared" si="4"/>
        <v>0</v>
      </c>
      <c r="N32" s="42"/>
    </row>
    <row r="33" spans="1:14">
      <c r="A33" s="236">
        <v>30</v>
      </c>
      <c r="B33" s="233">
        <v>46021</v>
      </c>
      <c r="C33" s="42">
        <v>0</v>
      </c>
      <c r="D33" s="42"/>
      <c r="E33" s="42">
        <v>0</v>
      </c>
      <c r="F33" s="42">
        <v>0</v>
      </c>
      <c r="G33" s="42">
        <f t="shared" ref="G33:G34" si="7">E33*F33</f>
        <v>0</v>
      </c>
      <c r="H33" s="42">
        <v>0</v>
      </c>
      <c r="I33" s="42">
        <v>0</v>
      </c>
      <c r="J33" s="42">
        <f t="shared" si="1"/>
        <v>0</v>
      </c>
      <c r="K33" s="42">
        <f t="shared" si="2"/>
        <v>0</v>
      </c>
      <c r="L33" s="42">
        <f t="shared" ref="L33:L34" si="8">+K33</f>
        <v>0</v>
      </c>
      <c r="M33" s="42">
        <f t="shared" si="4"/>
        <v>0</v>
      </c>
      <c r="N33" s="42"/>
    </row>
    <row r="34" spans="1:14">
      <c r="A34" s="236">
        <v>31</v>
      </c>
      <c r="B34" s="233">
        <v>46022</v>
      </c>
      <c r="C34" s="42">
        <v>0</v>
      </c>
      <c r="D34" s="42"/>
      <c r="E34" s="42">
        <v>30</v>
      </c>
      <c r="F34" s="42">
        <v>91.3</v>
      </c>
      <c r="G34" s="42">
        <f t="shared" si="7"/>
        <v>2739</v>
      </c>
      <c r="H34" s="42">
        <v>0</v>
      </c>
      <c r="I34" s="42">
        <v>0</v>
      </c>
      <c r="J34" s="42">
        <f t="shared" si="1"/>
        <v>0</v>
      </c>
      <c r="K34" s="42">
        <f t="shared" si="2"/>
        <v>2739</v>
      </c>
      <c r="L34" s="42">
        <f t="shared" si="8"/>
        <v>2739</v>
      </c>
      <c r="M34" s="42">
        <f t="shared" si="4"/>
        <v>0</v>
      </c>
      <c r="N34" s="42"/>
    </row>
    <row r="35" spans="1:14">
      <c r="A35" s="191"/>
      <c r="B35" s="191"/>
      <c r="C35" s="191"/>
      <c r="D35" s="191"/>
      <c r="E35" s="191">
        <f>SUM(E4:E34)</f>
        <v>730</v>
      </c>
      <c r="F35" s="191"/>
      <c r="G35" s="191">
        <f>SUM(G4:G34)</f>
        <v>66652.600000000006</v>
      </c>
      <c r="H35" s="191">
        <f>SUM(H4:H34)</f>
        <v>62</v>
      </c>
      <c r="I35" s="191"/>
      <c r="J35" s="191">
        <f>SUM(J4:J34)</f>
        <v>6399.6399999999994</v>
      </c>
      <c r="K35" s="191">
        <f>SUM(K4:K34)</f>
        <v>73052.239999999991</v>
      </c>
      <c r="L35" s="191">
        <f>SUM(L4:L34)</f>
        <v>73052.239999999991</v>
      </c>
      <c r="M35" s="191"/>
      <c r="N35" s="191"/>
    </row>
    <row r="37" spans="1:14">
      <c r="E37">
        <v>295</v>
      </c>
      <c r="H37">
        <v>41.17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O46"/>
  <sheetViews>
    <sheetView workbookViewId="0">
      <pane ySplit="2" topLeftCell="A6" activePane="bottomLeft" state="frozen"/>
      <selection pane="bottomLeft" activeCell="N3" sqref="N3"/>
    </sheetView>
  </sheetViews>
  <sheetFormatPr defaultRowHeight="15"/>
  <cols>
    <col min="1" max="1" width="9.140625" style="5"/>
    <col min="2" max="2" width="11.710937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08" bestFit="1" customWidth="1"/>
    <col min="8" max="8" width="11.140625" style="5" customWidth="1"/>
    <col min="9" max="9" width="9.140625" style="5"/>
    <col min="10" max="10" width="10.85546875" style="108" bestFit="1" customWidth="1"/>
    <col min="11" max="11" width="12.85546875" style="5" customWidth="1"/>
    <col min="12" max="12" width="13.5703125" style="108" bestFit="1" customWidth="1"/>
    <col min="13" max="13" width="13.5703125" style="108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4" ht="15.75">
      <c r="A1" s="470" t="s">
        <v>197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spans="1:14" ht="18" customHeight="1">
      <c r="A2" s="70" t="s">
        <v>122</v>
      </c>
      <c r="B2" s="89" t="s">
        <v>123</v>
      </c>
      <c r="C2" s="89" t="s">
        <v>124</v>
      </c>
      <c r="D2" s="89" t="s">
        <v>139</v>
      </c>
      <c r="E2" s="89" t="s">
        <v>126</v>
      </c>
      <c r="F2" s="89" t="s">
        <v>127</v>
      </c>
      <c r="G2" s="96" t="s">
        <v>128</v>
      </c>
      <c r="H2" s="89" t="s">
        <v>129</v>
      </c>
      <c r="I2" s="89" t="s">
        <v>127</v>
      </c>
      <c r="J2" s="96" t="s">
        <v>128</v>
      </c>
      <c r="K2" s="70" t="s">
        <v>130</v>
      </c>
      <c r="L2" s="97" t="s">
        <v>131</v>
      </c>
      <c r="M2" s="134" t="s">
        <v>138</v>
      </c>
      <c r="N2" s="89" t="s">
        <v>133</v>
      </c>
    </row>
    <row r="3" spans="1:14" ht="18" customHeight="1">
      <c r="A3" s="494" t="s">
        <v>134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317"/>
      <c r="N3" s="316">
        <v>55674.448899999988</v>
      </c>
    </row>
    <row r="4" spans="1:14">
      <c r="A4" s="6">
        <v>1</v>
      </c>
      <c r="B4" s="84" t="s">
        <v>167</v>
      </c>
      <c r="C4" s="6"/>
      <c r="D4" s="6"/>
      <c r="E4" s="71">
        <v>80</v>
      </c>
      <c r="F4" s="6">
        <v>91.5</v>
      </c>
      <c r="G4" s="72">
        <f>E4*F4</f>
        <v>7320</v>
      </c>
      <c r="H4" s="71">
        <v>10</v>
      </c>
      <c r="I4" s="363">
        <v>103.44</v>
      </c>
      <c r="J4" s="72">
        <f>H4*I4</f>
        <v>1034.4000000000001</v>
      </c>
      <c r="K4" s="72">
        <f>G4+J4</f>
        <v>8354.4</v>
      </c>
      <c r="L4" s="72"/>
      <c r="M4" s="318">
        <f>N3+K4-L4</f>
        <v>64028.84889999999</v>
      </c>
      <c r="N4" s="50" t="s">
        <v>166</v>
      </c>
    </row>
    <row r="5" spans="1:14">
      <c r="A5" s="6">
        <v>2</v>
      </c>
      <c r="B5" s="84" t="s">
        <v>107</v>
      </c>
      <c r="C5" s="6"/>
      <c r="D5" s="6"/>
      <c r="E5" s="71"/>
      <c r="F5" s="6"/>
      <c r="G5" s="72">
        <f t="shared" ref="G5:G44" si="0">E5*F5</f>
        <v>0</v>
      </c>
      <c r="H5" s="71"/>
      <c r="I5" s="363"/>
      <c r="J5" s="72">
        <f t="shared" ref="J5:J44" si="1">H5*I5</f>
        <v>0</v>
      </c>
      <c r="K5" s="72">
        <f t="shared" ref="K5:K44" si="2">G5+J5</f>
        <v>0</v>
      </c>
      <c r="L5" s="72">
        <v>64000</v>
      </c>
      <c r="M5" s="156">
        <f t="shared" ref="M5:M45" si="3">M4+K5-L5</f>
        <v>28.848899999989953</v>
      </c>
      <c r="N5" s="50" t="s">
        <v>166</v>
      </c>
    </row>
    <row r="6" spans="1:14">
      <c r="A6" s="6">
        <v>3</v>
      </c>
      <c r="B6" s="84" t="s">
        <v>111</v>
      </c>
      <c r="C6" s="6"/>
      <c r="D6" s="6"/>
      <c r="E6" s="71">
        <v>34</v>
      </c>
      <c r="F6" s="6">
        <v>91.5</v>
      </c>
      <c r="G6" s="72">
        <f t="shared" si="0"/>
        <v>3111</v>
      </c>
      <c r="H6" s="71"/>
      <c r="I6" s="6"/>
      <c r="J6" s="72">
        <f t="shared" si="1"/>
        <v>0</v>
      </c>
      <c r="K6" s="72">
        <f t="shared" si="2"/>
        <v>3111</v>
      </c>
      <c r="L6" s="72"/>
      <c r="M6" s="156">
        <f t="shared" si="3"/>
        <v>3139.84889999999</v>
      </c>
      <c r="N6" s="50" t="s">
        <v>166</v>
      </c>
    </row>
    <row r="7" spans="1:14">
      <c r="A7" s="6">
        <v>4</v>
      </c>
      <c r="B7" s="84" t="s">
        <v>179</v>
      </c>
      <c r="C7" s="6"/>
      <c r="D7" s="6"/>
      <c r="E7" s="71">
        <v>42.01</v>
      </c>
      <c r="F7" s="6">
        <v>91.5</v>
      </c>
      <c r="G7" s="72">
        <f t="shared" si="0"/>
        <v>3843.915</v>
      </c>
      <c r="H7" s="71">
        <v>14.49</v>
      </c>
      <c r="I7" s="6">
        <v>103.44</v>
      </c>
      <c r="J7" s="72">
        <f t="shared" si="1"/>
        <v>1498.8455999999999</v>
      </c>
      <c r="K7" s="72">
        <f t="shared" si="2"/>
        <v>5342.7605999999996</v>
      </c>
      <c r="L7" s="72"/>
      <c r="M7" s="156">
        <f t="shared" si="3"/>
        <v>8482.6094999999896</v>
      </c>
      <c r="N7" s="50" t="s">
        <v>166</v>
      </c>
    </row>
    <row r="8" spans="1:14">
      <c r="A8" s="6">
        <v>5</v>
      </c>
      <c r="B8" s="84" t="s">
        <v>180</v>
      </c>
      <c r="C8" s="6"/>
      <c r="D8" s="6"/>
      <c r="E8" s="71">
        <v>36.200000000000003</v>
      </c>
      <c r="F8" s="6">
        <v>91.5</v>
      </c>
      <c r="G8" s="72">
        <f t="shared" si="0"/>
        <v>3312.3</v>
      </c>
      <c r="H8" s="71"/>
      <c r="I8" s="6"/>
      <c r="J8" s="72">
        <f t="shared" si="1"/>
        <v>0</v>
      </c>
      <c r="K8" s="72">
        <f t="shared" si="2"/>
        <v>3312.3</v>
      </c>
      <c r="L8" s="72"/>
      <c r="M8" s="156">
        <f>M7+K8-L8</f>
        <v>11794.909499999991</v>
      </c>
      <c r="N8" s="50" t="s">
        <v>166</v>
      </c>
    </row>
    <row r="9" spans="1:14">
      <c r="A9" s="6">
        <v>6</v>
      </c>
      <c r="B9" s="84" t="s">
        <v>184</v>
      </c>
      <c r="C9" s="6"/>
      <c r="D9" s="6"/>
      <c r="E9" s="71">
        <v>65</v>
      </c>
      <c r="F9" s="6">
        <v>91.5</v>
      </c>
      <c r="G9" s="72">
        <f t="shared" si="0"/>
        <v>5947.5</v>
      </c>
      <c r="H9" s="71">
        <v>12</v>
      </c>
      <c r="I9" s="6">
        <v>103.44</v>
      </c>
      <c r="J9" s="72">
        <f t="shared" si="1"/>
        <v>1241.28</v>
      </c>
      <c r="K9" s="72">
        <f t="shared" si="2"/>
        <v>7188.78</v>
      </c>
      <c r="L9" s="72"/>
      <c r="M9" s="156">
        <f>M8+K9-L9</f>
        <v>18983.689499999989</v>
      </c>
      <c r="N9" s="50" t="s">
        <v>166</v>
      </c>
    </row>
    <row r="10" spans="1:14">
      <c r="A10" s="6">
        <v>7</v>
      </c>
      <c r="B10" s="84" t="s">
        <v>185</v>
      </c>
      <c r="C10" s="6"/>
      <c r="D10" s="6"/>
      <c r="E10" s="71">
        <v>20</v>
      </c>
      <c r="F10" s="6">
        <v>91.5</v>
      </c>
      <c r="G10" s="72">
        <f t="shared" si="0"/>
        <v>1830</v>
      </c>
      <c r="H10" s="71"/>
      <c r="I10" s="6"/>
      <c r="J10" s="72">
        <f t="shared" si="1"/>
        <v>0</v>
      </c>
      <c r="K10" s="72">
        <f t="shared" si="2"/>
        <v>1830</v>
      </c>
      <c r="L10" s="72"/>
      <c r="M10" s="156">
        <f t="shared" si="3"/>
        <v>20813.689499999989</v>
      </c>
      <c r="N10" s="50" t="s">
        <v>166</v>
      </c>
    </row>
    <row r="11" spans="1:14">
      <c r="A11" s="6">
        <v>8</v>
      </c>
      <c r="B11" s="84" t="s">
        <v>121</v>
      </c>
      <c r="C11" s="6"/>
      <c r="D11" s="6"/>
      <c r="E11" s="71">
        <v>12</v>
      </c>
      <c r="F11" s="6">
        <v>91.5</v>
      </c>
      <c r="G11" s="72">
        <f t="shared" si="0"/>
        <v>1098</v>
      </c>
      <c r="H11" s="71">
        <v>10</v>
      </c>
      <c r="I11" s="6">
        <v>103.44</v>
      </c>
      <c r="J11" s="72">
        <f t="shared" si="1"/>
        <v>1034.4000000000001</v>
      </c>
      <c r="K11" s="72">
        <f t="shared" si="2"/>
        <v>2132.4</v>
      </c>
      <c r="L11" s="72"/>
      <c r="M11" s="156">
        <f t="shared" si="3"/>
        <v>22946.089499999991</v>
      </c>
      <c r="N11" s="50" t="s">
        <v>166</v>
      </c>
    </row>
    <row r="12" spans="1:14">
      <c r="A12" s="6">
        <v>9</v>
      </c>
      <c r="B12" s="84" t="s">
        <v>186</v>
      </c>
      <c r="C12" s="6"/>
      <c r="D12" s="6"/>
      <c r="E12" s="71">
        <v>75</v>
      </c>
      <c r="F12" s="6">
        <v>91.5</v>
      </c>
      <c r="G12" s="72">
        <f t="shared" si="0"/>
        <v>6862.5</v>
      </c>
      <c r="H12" s="71"/>
      <c r="I12" s="6"/>
      <c r="J12" s="72">
        <f t="shared" si="1"/>
        <v>0</v>
      </c>
      <c r="K12" s="72">
        <f t="shared" si="2"/>
        <v>6862.5</v>
      </c>
      <c r="L12" s="72"/>
      <c r="M12" s="156">
        <f t="shared" si="3"/>
        <v>29808.589499999991</v>
      </c>
      <c r="N12" s="50" t="s">
        <v>166</v>
      </c>
    </row>
    <row r="13" spans="1:14">
      <c r="A13" s="6">
        <v>10</v>
      </c>
      <c r="B13" s="84" t="s">
        <v>114</v>
      </c>
      <c r="C13" s="6"/>
      <c r="D13" s="6"/>
      <c r="E13" s="71"/>
      <c r="F13" s="6"/>
      <c r="G13" s="72">
        <f t="shared" si="0"/>
        <v>0</v>
      </c>
      <c r="H13" s="71"/>
      <c r="I13" s="6"/>
      <c r="J13" s="72">
        <f t="shared" si="1"/>
        <v>0</v>
      </c>
      <c r="K13" s="72">
        <f t="shared" si="2"/>
        <v>0</v>
      </c>
      <c r="L13" s="72">
        <v>10000</v>
      </c>
      <c r="M13" s="156">
        <f t="shared" si="3"/>
        <v>19808.589499999991</v>
      </c>
      <c r="N13" s="50" t="s">
        <v>166</v>
      </c>
    </row>
    <row r="14" spans="1:14">
      <c r="A14" s="6">
        <v>11</v>
      </c>
      <c r="B14" s="84" t="s">
        <v>187</v>
      </c>
      <c r="C14" s="6"/>
      <c r="D14" s="6"/>
      <c r="E14" s="343">
        <v>0</v>
      </c>
      <c r="F14" s="363">
        <v>0</v>
      </c>
      <c r="G14" s="72">
        <f t="shared" si="0"/>
        <v>0</v>
      </c>
      <c r="H14" s="71">
        <v>12.56</v>
      </c>
      <c r="I14" s="6">
        <v>103.44</v>
      </c>
      <c r="J14" s="72">
        <f t="shared" si="1"/>
        <v>1299.2064</v>
      </c>
      <c r="K14" s="72">
        <f t="shared" si="2"/>
        <v>1299.2064</v>
      </c>
      <c r="L14" s="72"/>
      <c r="M14" s="156">
        <f t="shared" si="3"/>
        <v>21107.79589999999</v>
      </c>
      <c r="N14" s="50" t="s">
        <v>166</v>
      </c>
    </row>
    <row r="15" spans="1:14">
      <c r="A15" s="6">
        <v>12</v>
      </c>
      <c r="B15" s="84"/>
      <c r="C15" s="6"/>
      <c r="D15" s="6"/>
      <c r="E15" s="343"/>
      <c r="F15" s="363"/>
      <c r="G15" s="72">
        <f t="shared" si="0"/>
        <v>0</v>
      </c>
      <c r="H15" s="71"/>
      <c r="I15" s="6"/>
      <c r="J15" s="72">
        <f t="shared" si="1"/>
        <v>0</v>
      </c>
      <c r="K15" s="72">
        <f t="shared" si="2"/>
        <v>0</v>
      </c>
      <c r="L15" s="72"/>
      <c r="M15" s="156">
        <f t="shared" si="3"/>
        <v>21107.79589999999</v>
      </c>
      <c r="N15" s="50" t="s">
        <v>166</v>
      </c>
    </row>
    <row r="16" spans="1:14">
      <c r="A16" s="6">
        <v>13</v>
      </c>
      <c r="B16" s="84"/>
      <c r="C16" s="6"/>
      <c r="D16" s="6"/>
      <c r="E16" s="71"/>
      <c r="F16" s="363"/>
      <c r="G16" s="72">
        <f t="shared" si="0"/>
        <v>0</v>
      </c>
      <c r="H16" s="71"/>
      <c r="I16" s="6"/>
      <c r="J16" s="72">
        <f t="shared" si="1"/>
        <v>0</v>
      </c>
      <c r="K16" s="72">
        <f t="shared" si="2"/>
        <v>0</v>
      </c>
      <c r="L16" s="72"/>
      <c r="M16" s="156">
        <f t="shared" si="3"/>
        <v>21107.79589999999</v>
      </c>
      <c r="N16" s="50" t="s">
        <v>166</v>
      </c>
    </row>
    <row r="17" spans="1:14">
      <c r="A17" s="6">
        <v>14</v>
      </c>
      <c r="B17" s="84"/>
      <c r="C17" s="6"/>
      <c r="D17" s="6"/>
      <c r="E17" s="71"/>
      <c r="F17" s="363"/>
      <c r="G17" s="72">
        <f t="shared" si="0"/>
        <v>0</v>
      </c>
      <c r="H17" s="343"/>
      <c r="I17" s="6"/>
      <c r="J17" s="72">
        <f t="shared" si="1"/>
        <v>0</v>
      </c>
      <c r="K17" s="72">
        <f t="shared" si="2"/>
        <v>0</v>
      </c>
      <c r="L17" s="72"/>
      <c r="M17" s="156">
        <f t="shared" si="3"/>
        <v>21107.79589999999</v>
      </c>
      <c r="N17" s="50" t="s">
        <v>166</v>
      </c>
    </row>
    <row r="18" spans="1:14">
      <c r="A18" s="6">
        <v>15</v>
      </c>
      <c r="B18" s="84"/>
      <c r="C18" s="6"/>
      <c r="D18" s="6"/>
      <c r="E18" s="71"/>
      <c r="F18" s="363"/>
      <c r="G18" s="72">
        <f t="shared" si="0"/>
        <v>0</v>
      </c>
      <c r="H18" s="343"/>
      <c r="I18" s="6"/>
      <c r="J18" s="72">
        <f t="shared" si="1"/>
        <v>0</v>
      </c>
      <c r="K18" s="72">
        <f t="shared" si="2"/>
        <v>0</v>
      </c>
      <c r="L18" s="72"/>
      <c r="M18" s="156">
        <f t="shared" si="3"/>
        <v>21107.79589999999</v>
      </c>
      <c r="N18" s="50" t="s">
        <v>166</v>
      </c>
    </row>
    <row r="19" spans="1:14">
      <c r="A19" s="6">
        <v>16</v>
      </c>
      <c r="B19" s="84"/>
      <c r="C19" s="6"/>
      <c r="D19" s="6"/>
      <c r="E19" s="343"/>
      <c r="F19" s="363"/>
      <c r="G19" s="72">
        <f t="shared" si="0"/>
        <v>0</v>
      </c>
      <c r="H19" s="71"/>
      <c r="I19" s="6"/>
      <c r="J19" s="72">
        <f t="shared" si="1"/>
        <v>0</v>
      </c>
      <c r="K19" s="72">
        <f t="shared" si="2"/>
        <v>0</v>
      </c>
      <c r="L19" s="72"/>
      <c r="M19" s="156">
        <f t="shared" si="3"/>
        <v>21107.79589999999</v>
      </c>
      <c r="N19" s="50" t="s">
        <v>166</v>
      </c>
    </row>
    <row r="20" spans="1:14">
      <c r="A20" s="6">
        <v>17</v>
      </c>
      <c r="B20" s="84"/>
      <c r="C20" s="6"/>
      <c r="D20" s="6"/>
      <c r="E20" s="343"/>
      <c r="F20" s="363"/>
      <c r="G20" s="72">
        <f t="shared" si="0"/>
        <v>0</v>
      </c>
      <c r="H20" s="71"/>
      <c r="I20" s="6"/>
      <c r="J20" s="72">
        <f t="shared" si="1"/>
        <v>0</v>
      </c>
      <c r="K20" s="72">
        <f t="shared" si="2"/>
        <v>0</v>
      </c>
      <c r="L20" s="72"/>
      <c r="M20" s="156">
        <f t="shared" si="3"/>
        <v>21107.79589999999</v>
      </c>
      <c r="N20" s="50" t="s">
        <v>166</v>
      </c>
    </row>
    <row r="21" spans="1:14">
      <c r="A21" s="6">
        <v>18</v>
      </c>
      <c r="B21" s="84"/>
      <c r="C21" s="6"/>
      <c r="D21" s="6"/>
      <c r="E21" s="71"/>
      <c r="F21" s="363"/>
      <c r="G21" s="72">
        <f t="shared" si="0"/>
        <v>0</v>
      </c>
      <c r="H21" s="71"/>
      <c r="I21" s="6"/>
      <c r="J21" s="72">
        <f t="shared" si="1"/>
        <v>0</v>
      </c>
      <c r="K21" s="72">
        <f t="shared" si="2"/>
        <v>0</v>
      </c>
      <c r="L21" s="72"/>
      <c r="M21" s="156">
        <f t="shared" si="3"/>
        <v>21107.79589999999</v>
      </c>
      <c r="N21" s="50" t="s">
        <v>166</v>
      </c>
    </row>
    <row r="22" spans="1:14">
      <c r="A22" s="6">
        <v>19</v>
      </c>
      <c r="B22" s="84"/>
      <c r="C22" s="6"/>
      <c r="D22" s="6"/>
      <c r="E22" s="71"/>
      <c r="F22" s="363"/>
      <c r="G22" s="72">
        <f t="shared" si="0"/>
        <v>0</v>
      </c>
      <c r="H22" s="71"/>
      <c r="I22" s="6"/>
      <c r="J22" s="72">
        <f t="shared" si="1"/>
        <v>0</v>
      </c>
      <c r="K22" s="72">
        <f t="shared" si="2"/>
        <v>0</v>
      </c>
      <c r="L22" s="72"/>
      <c r="M22" s="156">
        <f t="shared" si="3"/>
        <v>21107.79589999999</v>
      </c>
      <c r="N22" s="50" t="s">
        <v>166</v>
      </c>
    </row>
    <row r="23" spans="1:14">
      <c r="A23" s="6">
        <v>20</v>
      </c>
      <c r="B23" s="84"/>
      <c r="C23" s="6"/>
      <c r="D23" s="6"/>
      <c r="E23" s="71"/>
      <c r="F23" s="363"/>
      <c r="G23" s="72">
        <f t="shared" si="0"/>
        <v>0</v>
      </c>
      <c r="H23" s="71"/>
      <c r="I23" s="6"/>
      <c r="J23" s="72">
        <f t="shared" si="1"/>
        <v>0</v>
      </c>
      <c r="K23" s="72">
        <f t="shared" si="2"/>
        <v>0</v>
      </c>
      <c r="L23" s="72"/>
      <c r="M23" s="156">
        <f t="shared" si="3"/>
        <v>21107.79589999999</v>
      </c>
      <c r="N23" s="50" t="s">
        <v>166</v>
      </c>
    </row>
    <row r="24" spans="1:14">
      <c r="A24" s="6">
        <v>21</v>
      </c>
      <c r="B24" s="84"/>
      <c r="C24" s="6"/>
      <c r="D24" s="6"/>
      <c r="E24" s="71"/>
      <c r="F24" s="6"/>
      <c r="G24" s="72">
        <f t="shared" si="0"/>
        <v>0</v>
      </c>
      <c r="H24" s="71"/>
      <c r="I24" s="6"/>
      <c r="J24" s="72">
        <f t="shared" si="1"/>
        <v>0</v>
      </c>
      <c r="K24" s="72">
        <f t="shared" si="2"/>
        <v>0</v>
      </c>
      <c r="L24" s="72"/>
      <c r="M24" s="156">
        <f t="shared" si="3"/>
        <v>21107.79589999999</v>
      </c>
      <c r="N24" s="50" t="s">
        <v>166</v>
      </c>
    </row>
    <row r="25" spans="1:14">
      <c r="A25" s="6">
        <v>22</v>
      </c>
      <c r="B25" s="84"/>
      <c r="C25" s="6"/>
      <c r="D25" s="6"/>
      <c r="E25" s="71"/>
      <c r="F25" s="6"/>
      <c r="G25" s="72">
        <f t="shared" si="0"/>
        <v>0</v>
      </c>
      <c r="H25" s="71"/>
      <c r="I25" s="6"/>
      <c r="J25" s="72">
        <f t="shared" si="1"/>
        <v>0</v>
      </c>
      <c r="K25" s="72">
        <f t="shared" si="2"/>
        <v>0</v>
      </c>
      <c r="L25" s="72"/>
      <c r="M25" s="156">
        <f t="shared" si="3"/>
        <v>21107.79589999999</v>
      </c>
      <c r="N25" s="50" t="s">
        <v>166</v>
      </c>
    </row>
    <row r="26" spans="1:14">
      <c r="A26" s="6">
        <v>23</v>
      </c>
      <c r="B26" s="84"/>
      <c r="C26" s="6"/>
      <c r="D26" s="6"/>
      <c r="E26" s="71"/>
      <c r="F26" s="6"/>
      <c r="G26" s="72">
        <f t="shared" si="0"/>
        <v>0</v>
      </c>
      <c r="H26" s="71"/>
      <c r="I26" s="6"/>
      <c r="J26" s="72">
        <f t="shared" si="1"/>
        <v>0</v>
      </c>
      <c r="K26" s="72">
        <f t="shared" si="2"/>
        <v>0</v>
      </c>
      <c r="L26" s="72"/>
      <c r="M26" s="156">
        <f t="shared" si="3"/>
        <v>21107.79589999999</v>
      </c>
      <c r="N26" s="50" t="s">
        <v>166</v>
      </c>
    </row>
    <row r="27" spans="1:14">
      <c r="A27" s="6">
        <v>24</v>
      </c>
      <c r="B27" s="84"/>
      <c r="C27" s="6"/>
      <c r="D27" s="6"/>
      <c r="E27" s="71"/>
      <c r="F27" s="6"/>
      <c r="G27" s="72">
        <f t="shared" si="0"/>
        <v>0</v>
      </c>
      <c r="H27" s="71"/>
      <c r="I27" s="6"/>
      <c r="J27" s="72">
        <f t="shared" si="1"/>
        <v>0</v>
      </c>
      <c r="K27" s="72">
        <f t="shared" si="2"/>
        <v>0</v>
      </c>
      <c r="L27" s="72"/>
      <c r="M27" s="156">
        <f t="shared" si="3"/>
        <v>21107.79589999999</v>
      </c>
      <c r="N27" s="50" t="s">
        <v>166</v>
      </c>
    </row>
    <row r="28" spans="1:14">
      <c r="A28" s="6">
        <v>25</v>
      </c>
      <c r="B28" s="84"/>
      <c r="C28" s="6"/>
      <c r="D28" s="6"/>
      <c r="E28" s="71"/>
      <c r="F28" s="6"/>
      <c r="G28" s="72">
        <f t="shared" si="0"/>
        <v>0</v>
      </c>
      <c r="H28" s="71"/>
      <c r="I28" s="6"/>
      <c r="J28" s="72">
        <f t="shared" si="1"/>
        <v>0</v>
      </c>
      <c r="K28" s="72">
        <f t="shared" si="2"/>
        <v>0</v>
      </c>
      <c r="L28" s="72"/>
      <c r="M28" s="156">
        <f t="shared" si="3"/>
        <v>21107.79589999999</v>
      </c>
      <c r="N28" s="50" t="s">
        <v>166</v>
      </c>
    </row>
    <row r="29" spans="1:14">
      <c r="A29" s="6">
        <v>26</v>
      </c>
      <c r="B29" s="84"/>
      <c r="C29" s="6"/>
      <c r="D29" s="6"/>
      <c r="E29" s="71"/>
      <c r="F29" s="6"/>
      <c r="G29" s="72">
        <f t="shared" si="0"/>
        <v>0</v>
      </c>
      <c r="H29" s="71"/>
      <c r="I29" s="6"/>
      <c r="J29" s="72">
        <f t="shared" si="1"/>
        <v>0</v>
      </c>
      <c r="K29" s="72">
        <f t="shared" si="2"/>
        <v>0</v>
      </c>
      <c r="L29" s="72"/>
      <c r="M29" s="156">
        <f t="shared" si="3"/>
        <v>21107.79589999999</v>
      </c>
      <c r="N29" s="50" t="s">
        <v>166</v>
      </c>
    </row>
    <row r="30" spans="1:14">
      <c r="A30" s="6">
        <v>27</v>
      </c>
      <c r="B30" s="84"/>
      <c r="C30" s="6"/>
      <c r="D30" s="6"/>
      <c r="E30" s="71"/>
      <c r="F30" s="6"/>
      <c r="G30" s="72">
        <f t="shared" si="0"/>
        <v>0</v>
      </c>
      <c r="H30" s="71"/>
      <c r="I30" s="6"/>
      <c r="J30" s="72">
        <f t="shared" si="1"/>
        <v>0</v>
      </c>
      <c r="K30" s="72">
        <f t="shared" si="2"/>
        <v>0</v>
      </c>
      <c r="L30" s="72"/>
      <c r="M30" s="156">
        <f t="shared" si="3"/>
        <v>21107.79589999999</v>
      </c>
      <c r="N30" s="50" t="s">
        <v>166</v>
      </c>
    </row>
    <row r="31" spans="1:14">
      <c r="A31" s="6">
        <v>28</v>
      </c>
      <c r="B31" s="84"/>
      <c r="C31" s="6"/>
      <c r="D31" s="6"/>
      <c r="E31" s="71"/>
      <c r="F31" s="6"/>
      <c r="G31" s="72">
        <f t="shared" si="0"/>
        <v>0</v>
      </c>
      <c r="H31" s="71"/>
      <c r="I31" s="6"/>
      <c r="J31" s="72">
        <f t="shared" si="1"/>
        <v>0</v>
      </c>
      <c r="K31" s="72">
        <f t="shared" si="2"/>
        <v>0</v>
      </c>
      <c r="L31" s="72"/>
      <c r="M31" s="156">
        <f t="shared" si="3"/>
        <v>21107.79589999999</v>
      </c>
      <c r="N31" s="50" t="s">
        <v>166</v>
      </c>
    </row>
    <row r="32" spans="1:14">
      <c r="A32" s="6">
        <v>29</v>
      </c>
      <c r="B32" s="84"/>
      <c r="C32" s="6"/>
      <c r="D32" s="6"/>
      <c r="E32" s="71"/>
      <c r="F32" s="6"/>
      <c r="G32" s="72">
        <f t="shared" si="0"/>
        <v>0</v>
      </c>
      <c r="H32" s="71"/>
      <c r="I32" s="6"/>
      <c r="J32" s="72">
        <f t="shared" si="1"/>
        <v>0</v>
      </c>
      <c r="K32" s="72">
        <f t="shared" si="2"/>
        <v>0</v>
      </c>
      <c r="L32" s="72"/>
      <c r="M32" s="156">
        <f t="shared" si="3"/>
        <v>21107.79589999999</v>
      </c>
      <c r="N32" s="50" t="s">
        <v>166</v>
      </c>
    </row>
    <row r="33" spans="1:15">
      <c r="A33" s="6">
        <v>30</v>
      </c>
      <c r="B33" s="84"/>
      <c r="C33" s="6"/>
      <c r="D33" s="6"/>
      <c r="E33" s="71"/>
      <c r="F33" s="6"/>
      <c r="G33" s="72">
        <f t="shared" si="0"/>
        <v>0</v>
      </c>
      <c r="H33" s="71"/>
      <c r="I33" s="6"/>
      <c r="J33" s="72">
        <f t="shared" si="1"/>
        <v>0</v>
      </c>
      <c r="K33" s="72">
        <f t="shared" si="2"/>
        <v>0</v>
      </c>
      <c r="L33" s="72"/>
      <c r="M33" s="156">
        <f t="shared" si="3"/>
        <v>21107.79589999999</v>
      </c>
      <c r="N33" s="50" t="s">
        <v>166</v>
      </c>
    </row>
    <row r="34" spans="1:15">
      <c r="A34" s="6">
        <v>31</v>
      </c>
      <c r="B34" s="84"/>
      <c r="C34" s="6"/>
      <c r="D34" s="6"/>
      <c r="E34" s="71"/>
      <c r="F34" s="6"/>
      <c r="G34" s="72">
        <f t="shared" si="0"/>
        <v>0</v>
      </c>
      <c r="H34" s="71"/>
      <c r="I34" s="6"/>
      <c r="J34" s="72">
        <f t="shared" si="1"/>
        <v>0</v>
      </c>
      <c r="K34" s="72">
        <f t="shared" si="2"/>
        <v>0</v>
      </c>
      <c r="L34" s="72"/>
      <c r="M34" s="156">
        <f t="shared" si="3"/>
        <v>21107.79589999999</v>
      </c>
      <c r="N34" s="50" t="s">
        <v>166</v>
      </c>
    </row>
    <row r="35" spans="1:15">
      <c r="A35" s="6">
        <v>32</v>
      </c>
      <c r="B35" s="84"/>
      <c r="C35" s="6"/>
      <c r="D35" s="6"/>
      <c r="E35" s="71"/>
      <c r="F35" s="6"/>
      <c r="G35" s="72">
        <f t="shared" si="0"/>
        <v>0</v>
      </c>
      <c r="H35" s="71"/>
      <c r="I35" s="6"/>
      <c r="J35" s="72">
        <f t="shared" si="1"/>
        <v>0</v>
      </c>
      <c r="K35" s="72">
        <f t="shared" si="2"/>
        <v>0</v>
      </c>
      <c r="L35" s="72"/>
      <c r="M35" s="156">
        <f t="shared" si="3"/>
        <v>21107.79589999999</v>
      </c>
      <c r="N35" s="50" t="s">
        <v>166</v>
      </c>
    </row>
    <row r="36" spans="1:15">
      <c r="A36" s="6">
        <v>33</v>
      </c>
      <c r="B36" s="84"/>
      <c r="C36" s="6"/>
      <c r="D36" s="6"/>
      <c r="E36" s="71"/>
      <c r="F36" s="6"/>
      <c r="G36" s="72">
        <f t="shared" si="0"/>
        <v>0</v>
      </c>
      <c r="H36" s="71"/>
      <c r="I36" s="6"/>
      <c r="J36" s="72">
        <f t="shared" si="1"/>
        <v>0</v>
      </c>
      <c r="K36" s="72">
        <f t="shared" si="2"/>
        <v>0</v>
      </c>
      <c r="L36" s="72"/>
      <c r="M36" s="156">
        <f t="shared" si="3"/>
        <v>21107.79589999999</v>
      </c>
      <c r="N36" s="50" t="s">
        <v>166</v>
      </c>
    </row>
    <row r="37" spans="1:15">
      <c r="A37" s="6">
        <v>34</v>
      </c>
      <c r="B37" s="84"/>
      <c r="C37" s="6"/>
      <c r="D37" s="6"/>
      <c r="E37" s="71"/>
      <c r="F37" s="6"/>
      <c r="G37" s="72">
        <f t="shared" si="0"/>
        <v>0</v>
      </c>
      <c r="H37" s="71"/>
      <c r="I37" s="6"/>
      <c r="J37" s="72">
        <f t="shared" si="1"/>
        <v>0</v>
      </c>
      <c r="K37" s="72">
        <f t="shared" si="2"/>
        <v>0</v>
      </c>
      <c r="L37" s="72"/>
      <c r="M37" s="156">
        <f t="shared" si="3"/>
        <v>21107.79589999999</v>
      </c>
      <c r="N37" s="50" t="s">
        <v>166</v>
      </c>
    </row>
    <row r="38" spans="1:15">
      <c r="A38" s="6">
        <v>35</v>
      </c>
      <c r="B38" s="84"/>
      <c r="C38" s="6"/>
      <c r="D38" s="6"/>
      <c r="E38" s="71"/>
      <c r="F38" s="6"/>
      <c r="G38" s="72">
        <f t="shared" si="0"/>
        <v>0</v>
      </c>
      <c r="H38" s="71"/>
      <c r="I38" s="6"/>
      <c r="J38" s="72">
        <f t="shared" si="1"/>
        <v>0</v>
      </c>
      <c r="K38" s="72">
        <f t="shared" si="2"/>
        <v>0</v>
      </c>
      <c r="L38" s="72"/>
      <c r="M38" s="156">
        <f t="shared" si="3"/>
        <v>21107.79589999999</v>
      </c>
      <c r="N38" s="50" t="s">
        <v>166</v>
      </c>
    </row>
    <row r="39" spans="1:15">
      <c r="A39" s="6">
        <v>36</v>
      </c>
      <c r="B39" s="84"/>
      <c r="C39" s="6"/>
      <c r="D39" s="6"/>
      <c r="E39" s="71"/>
      <c r="F39" s="6"/>
      <c r="G39" s="72">
        <f t="shared" si="0"/>
        <v>0</v>
      </c>
      <c r="H39" s="71"/>
      <c r="I39" s="6"/>
      <c r="J39" s="72">
        <f t="shared" si="1"/>
        <v>0</v>
      </c>
      <c r="K39" s="72">
        <f t="shared" si="2"/>
        <v>0</v>
      </c>
      <c r="L39" s="72"/>
      <c r="M39" s="156">
        <f t="shared" si="3"/>
        <v>21107.79589999999</v>
      </c>
      <c r="N39" s="50" t="s">
        <v>166</v>
      </c>
    </row>
    <row r="40" spans="1:15">
      <c r="A40" s="6">
        <v>37</v>
      </c>
      <c r="B40" s="84"/>
      <c r="C40" s="6"/>
      <c r="D40" s="6"/>
      <c r="E40" s="71"/>
      <c r="F40" s="6"/>
      <c r="G40" s="72">
        <f t="shared" si="0"/>
        <v>0</v>
      </c>
      <c r="H40" s="71"/>
      <c r="I40" s="6"/>
      <c r="J40" s="72">
        <f t="shared" si="1"/>
        <v>0</v>
      </c>
      <c r="K40" s="72">
        <f t="shared" si="2"/>
        <v>0</v>
      </c>
      <c r="L40" s="72"/>
      <c r="M40" s="156">
        <f t="shared" si="3"/>
        <v>21107.79589999999</v>
      </c>
      <c r="N40" s="50" t="s">
        <v>166</v>
      </c>
    </row>
    <row r="41" spans="1:15">
      <c r="A41" s="6">
        <v>38</v>
      </c>
      <c r="B41" s="84"/>
      <c r="C41" s="6"/>
      <c r="D41" s="6"/>
      <c r="E41" s="71"/>
      <c r="F41" s="6"/>
      <c r="G41" s="72">
        <f t="shared" si="0"/>
        <v>0</v>
      </c>
      <c r="H41" s="71"/>
      <c r="I41" s="6"/>
      <c r="J41" s="72">
        <f t="shared" si="1"/>
        <v>0</v>
      </c>
      <c r="K41" s="72">
        <f t="shared" si="2"/>
        <v>0</v>
      </c>
      <c r="L41" s="72"/>
      <c r="M41" s="156">
        <f t="shared" si="3"/>
        <v>21107.79589999999</v>
      </c>
      <c r="N41" s="50" t="s">
        <v>166</v>
      </c>
    </row>
    <row r="42" spans="1:15">
      <c r="A42" s="6">
        <v>39</v>
      </c>
      <c r="B42" s="179"/>
      <c r="C42" s="178"/>
      <c r="D42" s="6"/>
      <c r="E42" s="71"/>
      <c r="F42" s="6"/>
      <c r="G42" s="72">
        <f t="shared" si="0"/>
        <v>0</v>
      </c>
      <c r="H42" s="71"/>
      <c r="I42" s="6"/>
      <c r="J42" s="72">
        <f t="shared" si="1"/>
        <v>0</v>
      </c>
      <c r="K42" s="72">
        <f t="shared" si="2"/>
        <v>0</v>
      </c>
      <c r="L42" s="72"/>
      <c r="M42" s="156">
        <f t="shared" si="3"/>
        <v>21107.79589999999</v>
      </c>
      <c r="N42" s="50" t="s">
        <v>166</v>
      </c>
    </row>
    <row r="43" spans="1:15">
      <c r="A43" s="6">
        <v>40</v>
      </c>
      <c r="B43" s="6"/>
      <c r="C43" s="6"/>
      <c r="D43" s="6"/>
      <c r="E43" s="71"/>
      <c r="F43" s="6"/>
      <c r="G43" s="72">
        <f t="shared" si="0"/>
        <v>0</v>
      </c>
      <c r="H43" s="71"/>
      <c r="I43" s="6"/>
      <c r="J43" s="72">
        <f t="shared" si="1"/>
        <v>0</v>
      </c>
      <c r="K43" s="72">
        <f t="shared" si="2"/>
        <v>0</v>
      </c>
      <c r="L43" s="72"/>
      <c r="M43" s="156">
        <f t="shared" si="3"/>
        <v>21107.79589999999</v>
      </c>
      <c r="N43" s="50" t="s">
        <v>166</v>
      </c>
    </row>
    <row r="44" spans="1:15">
      <c r="A44" s="6">
        <v>41</v>
      </c>
      <c r="B44" s="178"/>
      <c r="C44" s="178"/>
      <c r="D44" s="6"/>
      <c r="E44" s="71"/>
      <c r="F44" s="6"/>
      <c r="G44" s="72">
        <f t="shared" si="0"/>
        <v>0</v>
      </c>
      <c r="H44" s="71"/>
      <c r="I44" s="6"/>
      <c r="J44" s="72">
        <f t="shared" si="1"/>
        <v>0</v>
      </c>
      <c r="K44" s="72">
        <f t="shared" si="2"/>
        <v>0</v>
      </c>
      <c r="L44" s="72"/>
      <c r="M44" s="156">
        <f t="shared" si="3"/>
        <v>21107.79589999999</v>
      </c>
      <c r="N44" s="50" t="s">
        <v>166</v>
      </c>
    </row>
    <row r="45" spans="1:15">
      <c r="A45" s="6">
        <v>42</v>
      </c>
      <c r="B45" s="178"/>
      <c r="C45" s="178"/>
      <c r="D45" s="6"/>
      <c r="E45" s="71"/>
      <c r="F45" s="6"/>
      <c r="G45" s="72">
        <f t="shared" ref="G45" si="4">E45*F45</f>
        <v>0</v>
      </c>
      <c r="H45" s="71"/>
      <c r="I45" s="6"/>
      <c r="J45" s="72">
        <f>H45*I45</f>
        <v>0</v>
      </c>
      <c r="K45" s="72">
        <f t="shared" ref="K45" si="5">G45+J45</f>
        <v>0</v>
      </c>
      <c r="L45" s="170"/>
      <c r="M45" s="156">
        <f t="shared" si="3"/>
        <v>21107.79589999999</v>
      </c>
      <c r="N45" s="50" t="s">
        <v>166</v>
      </c>
    </row>
    <row r="46" spans="1:15">
      <c r="A46" s="68"/>
      <c r="B46" s="68"/>
      <c r="C46" s="68"/>
      <c r="D46" s="68"/>
      <c r="E46" s="69">
        <f>SUM(E4:E45)</f>
        <v>364.21</v>
      </c>
      <c r="F46" s="69"/>
      <c r="G46" s="69">
        <f>SUM(G4:G45)</f>
        <v>33325.214999999997</v>
      </c>
      <c r="H46" s="69">
        <f>SUM(H4:H45)</f>
        <v>59.050000000000004</v>
      </c>
      <c r="I46" s="69"/>
      <c r="J46" s="69">
        <f>SUM(J4:J45)</f>
        <v>6108.1320000000005</v>
      </c>
      <c r="K46" s="69">
        <f>SUM(K4:K45)</f>
        <v>39433.347000000002</v>
      </c>
      <c r="L46" s="69">
        <f>SUM(L4:L45)</f>
        <v>74000</v>
      </c>
      <c r="M46" s="69"/>
      <c r="N46" s="69"/>
      <c r="O46" s="65"/>
    </row>
  </sheetData>
  <mergeCells count="2">
    <mergeCell ref="A1:N1"/>
    <mergeCell ref="A3:L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6"/>
  <sheetViews>
    <sheetView workbookViewId="0">
      <pane ySplit="2" topLeftCell="A32" activePane="bottomLeft" state="frozen"/>
      <selection pane="bottomLeft" activeCell="M34" sqref="M34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8" style="5" bestFit="1" customWidth="1"/>
    <col min="10" max="10" width="10.855468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455" t="s">
        <v>87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59"/>
    </row>
    <row r="2" spans="1:15">
      <c r="A2" s="104" t="s">
        <v>122</v>
      </c>
      <c r="B2" s="105" t="s">
        <v>123</v>
      </c>
      <c r="C2" s="105" t="s">
        <v>124</v>
      </c>
      <c r="D2" s="105" t="s">
        <v>139</v>
      </c>
      <c r="E2" s="105" t="s">
        <v>126</v>
      </c>
      <c r="F2" s="105" t="s">
        <v>127</v>
      </c>
      <c r="G2" s="105" t="s">
        <v>128</v>
      </c>
      <c r="H2" s="105" t="s">
        <v>129</v>
      </c>
      <c r="I2" s="105" t="s">
        <v>127</v>
      </c>
      <c r="J2" s="145" t="s">
        <v>128</v>
      </c>
      <c r="K2" s="106" t="s">
        <v>130</v>
      </c>
      <c r="L2" s="146" t="s">
        <v>131</v>
      </c>
      <c r="M2" s="150" t="s">
        <v>138</v>
      </c>
      <c r="N2" s="107" t="s">
        <v>133</v>
      </c>
      <c r="O2" s="65"/>
    </row>
    <row r="3" spans="1:15">
      <c r="A3" s="163"/>
      <c r="B3" s="17" t="s">
        <v>134</v>
      </c>
      <c r="C3" s="164"/>
      <c r="D3" s="164"/>
      <c r="E3" s="164"/>
      <c r="F3" s="164"/>
      <c r="G3" s="164"/>
      <c r="H3" s="164"/>
      <c r="I3" s="164"/>
      <c r="J3" s="165"/>
      <c r="K3" s="74">
        <v>71075.95540000005</v>
      </c>
      <c r="L3" s="166"/>
      <c r="M3" s="86">
        <f>+K3</f>
        <v>71075.95540000005</v>
      </c>
      <c r="N3" s="164"/>
      <c r="O3" s="65">
        <v>86559.56660000002</v>
      </c>
    </row>
    <row r="4" spans="1:15">
      <c r="A4" s="208">
        <v>1</v>
      </c>
      <c r="B4" s="233">
        <v>45992</v>
      </c>
      <c r="C4" s="73"/>
      <c r="D4" s="167"/>
      <c r="E4" s="71">
        <v>26.27</v>
      </c>
      <c r="F4" s="6">
        <v>91.23</v>
      </c>
      <c r="G4" s="8">
        <f>E4*F4</f>
        <v>2396.6121000000003</v>
      </c>
      <c r="H4" s="71"/>
      <c r="I4" s="6"/>
      <c r="J4" s="8">
        <f>H4*I4</f>
        <v>0</v>
      </c>
      <c r="K4" s="8">
        <f>G4+J4</f>
        <v>2396.6121000000003</v>
      </c>
      <c r="L4" s="74"/>
      <c r="M4" s="74">
        <f>M3+K4-L4</f>
        <v>73472.567500000048</v>
      </c>
      <c r="N4" s="43"/>
      <c r="O4" s="75"/>
    </row>
    <row r="5" spans="1:15">
      <c r="A5" s="50">
        <v>2</v>
      </c>
      <c r="B5" s="233">
        <v>45993</v>
      </c>
      <c r="C5" s="73"/>
      <c r="D5" s="77"/>
      <c r="E5" s="71"/>
      <c r="F5" s="6"/>
      <c r="G5" s="8">
        <f t="shared" ref="G5:G34" si="0">E5*F5</f>
        <v>0</v>
      </c>
      <c r="H5" s="71">
        <v>5</v>
      </c>
      <c r="I5" s="6">
        <v>103.16</v>
      </c>
      <c r="J5" s="8">
        <f t="shared" ref="J5:J34" si="1">H5*I5</f>
        <v>515.79999999999995</v>
      </c>
      <c r="K5" s="8">
        <f t="shared" ref="K5:K34" si="2">G5+J5</f>
        <v>515.79999999999995</v>
      </c>
      <c r="L5" s="74"/>
      <c r="M5" s="74">
        <f t="shared" ref="M5:M19" si="3">M4+K5-L5</f>
        <v>73988.367500000051</v>
      </c>
      <c r="N5" s="43"/>
      <c r="O5" s="75"/>
    </row>
    <row r="6" spans="1:15">
      <c r="A6" s="50">
        <v>3</v>
      </c>
      <c r="B6" s="233">
        <v>45994</v>
      </c>
      <c r="C6" s="73"/>
      <c r="D6" s="77"/>
      <c r="E6" s="71">
        <v>31.97</v>
      </c>
      <c r="F6" s="6">
        <v>91.23</v>
      </c>
      <c r="G6" s="8">
        <f t="shared" si="0"/>
        <v>2916.6231000000002</v>
      </c>
      <c r="H6" s="71"/>
      <c r="I6" s="6"/>
      <c r="J6" s="8">
        <f t="shared" si="1"/>
        <v>0</v>
      </c>
      <c r="K6" s="8">
        <f t="shared" si="2"/>
        <v>2916.6231000000002</v>
      </c>
      <c r="L6" s="74"/>
      <c r="M6" s="74">
        <f t="shared" si="3"/>
        <v>76904.990600000048</v>
      </c>
      <c r="N6" s="43"/>
      <c r="O6" s="75"/>
    </row>
    <row r="7" spans="1:15">
      <c r="A7" s="50">
        <v>4</v>
      </c>
      <c r="B7" s="233">
        <v>45995</v>
      </c>
      <c r="C7" s="73"/>
      <c r="D7" s="77"/>
      <c r="E7" s="71"/>
      <c r="F7" s="6"/>
      <c r="G7" s="8">
        <f t="shared" si="0"/>
        <v>0</v>
      </c>
      <c r="H7" s="71">
        <v>9.99</v>
      </c>
      <c r="I7" s="6">
        <v>103.16</v>
      </c>
      <c r="J7" s="8">
        <f t="shared" si="1"/>
        <v>1030.5683999999999</v>
      </c>
      <c r="K7" s="8">
        <f t="shared" si="2"/>
        <v>1030.5683999999999</v>
      </c>
      <c r="L7" s="74"/>
      <c r="M7" s="74">
        <f t="shared" si="3"/>
        <v>77935.559000000052</v>
      </c>
      <c r="N7" s="43"/>
      <c r="O7" s="75"/>
    </row>
    <row r="8" spans="1:15">
      <c r="A8" s="50">
        <v>5</v>
      </c>
      <c r="B8" s="233">
        <v>45996</v>
      </c>
      <c r="C8" s="73"/>
      <c r="D8" s="77"/>
      <c r="E8" s="71">
        <v>59</v>
      </c>
      <c r="F8" s="6">
        <v>91.23</v>
      </c>
      <c r="G8" s="8">
        <f t="shared" si="0"/>
        <v>5382.5700000000006</v>
      </c>
      <c r="H8" s="50">
        <v>8.7899999999999991</v>
      </c>
      <c r="I8" s="6">
        <v>103.16</v>
      </c>
      <c r="J8" s="8">
        <f t="shared" si="1"/>
        <v>906.77639999999985</v>
      </c>
      <c r="K8" s="8">
        <f t="shared" si="2"/>
        <v>6289.3464000000004</v>
      </c>
      <c r="L8" s="74"/>
      <c r="M8" s="74">
        <f t="shared" si="3"/>
        <v>84224.905400000047</v>
      </c>
      <c r="N8" s="43"/>
      <c r="O8" s="75"/>
    </row>
    <row r="9" spans="1:15">
      <c r="A9" s="50">
        <v>6</v>
      </c>
      <c r="B9" s="233">
        <v>45997</v>
      </c>
      <c r="C9" s="73"/>
      <c r="D9" s="77"/>
      <c r="E9" s="71">
        <v>109.00999999999999</v>
      </c>
      <c r="F9" s="6">
        <v>91.23</v>
      </c>
      <c r="G9" s="8">
        <f t="shared" si="0"/>
        <v>9944.9822999999997</v>
      </c>
      <c r="H9" s="71">
        <v>5</v>
      </c>
      <c r="I9" s="6">
        <v>103.16</v>
      </c>
      <c r="J9" s="8">
        <f t="shared" si="1"/>
        <v>515.79999999999995</v>
      </c>
      <c r="K9" s="8">
        <f t="shared" si="2"/>
        <v>10460.782299999999</v>
      </c>
      <c r="L9" s="74"/>
      <c r="M9" s="74">
        <f t="shared" si="3"/>
        <v>94685.687700000039</v>
      </c>
      <c r="N9" s="43"/>
      <c r="O9" s="75"/>
    </row>
    <row r="10" spans="1:15">
      <c r="A10" s="50">
        <v>7</v>
      </c>
      <c r="B10" s="233">
        <v>45998</v>
      </c>
      <c r="C10" s="73"/>
      <c r="D10" s="77"/>
      <c r="E10" s="71">
        <v>54.58</v>
      </c>
      <c r="F10" s="6">
        <v>91.23</v>
      </c>
      <c r="G10" s="8">
        <f t="shared" si="0"/>
        <v>4979.3334000000004</v>
      </c>
      <c r="H10" s="71">
        <v>5</v>
      </c>
      <c r="I10" s="6">
        <v>103.16</v>
      </c>
      <c r="J10" s="8">
        <f t="shared" si="1"/>
        <v>515.79999999999995</v>
      </c>
      <c r="K10" s="8">
        <f t="shared" si="2"/>
        <v>5495.1334000000006</v>
      </c>
      <c r="L10" s="74"/>
      <c r="M10" s="74">
        <f t="shared" si="3"/>
        <v>100180.82110000004</v>
      </c>
      <c r="N10" s="43"/>
      <c r="O10" s="75"/>
    </row>
    <row r="11" spans="1:15">
      <c r="A11" s="50">
        <v>8</v>
      </c>
      <c r="B11" s="233">
        <v>45999</v>
      </c>
      <c r="C11" s="73"/>
      <c r="D11" s="77"/>
      <c r="E11" s="71">
        <v>152.38</v>
      </c>
      <c r="F11" s="6">
        <v>91.23</v>
      </c>
      <c r="G11" s="8">
        <f t="shared" si="0"/>
        <v>13901.627399999999</v>
      </c>
      <c r="H11" s="71"/>
      <c r="I11" s="6"/>
      <c r="J11" s="8">
        <f t="shared" si="1"/>
        <v>0</v>
      </c>
      <c r="K11" s="8">
        <f t="shared" si="2"/>
        <v>13901.627399999999</v>
      </c>
      <c r="L11" s="74"/>
      <c r="M11" s="74">
        <f t="shared" si="3"/>
        <v>114082.44850000004</v>
      </c>
      <c r="N11" s="43"/>
      <c r="O11" s="75"/>
    </row>
    <row r="12" spans="1:15">
      <c r="A12" s="50">
        <v>9</v>
      </c>
      <c r="B12" s="233">
        <v>46000</v>
      </c>
      <c r="C12" s="73"/>
      <c r="D12" s="77"/>
      <c r="E12" s="71">
        <v>10</v>
      </c>
      <c r="F12" s="6">
        <v>91.23</v>
      </c>
      <c r="G12" s="8">
        <f t="shared" si="0"/>
        <v>912.30000000000007</v>
      </c>
      <c r="H12" s="71"/>
      <c r="I12" s="6"/>
      <c r="J12" s="8">
        <f t="shared" si="1"/>
        <v>0</v>
      </c>
      <c r="K12" s="8">
        <f t="shared" si="2"/>
        <v>912.30000000000007</v>
      </c>
      <c r="L12" s="74"/>
      <c r="M12" s="74">
        <f t="shared" si="3"/>
        <v>114994.74850000005</v>
      </c>
      <c r="N12" s="43"/>
      <c r="O12" s="75"/>
    </row>
    <row r="13" spans="1:15">
      <c r="A13" s="50">
        <v>10</v>
      </c>
      <c r="B13" s="233">
        <v>46001</v>
      </c>
      <c r="C13" s="197"/>
      <c r="D13" s="198"/>
      <c r="E13" s="71">
        <v>141.29</v>
      </c>
      <c r="F13" s="6">
        <v>91.23</v>
      </c>
      <c r="G13" s="8">
        <f t="shared" si="0"/>
        <v>12889.886699999999</v>
      </c>
      <c r="H13" s="71">
        <v>2</v>
      </c>
      <c r="I13" s="6">
        <v>103.16</v>
      </c>
      <c r="J13" s="8">
        <f t="shared" si="1"/>
        <v>206.32</v>
      </c>
      <c r="K13" s="8">
        <f t="shared" si="2"/>
        <v>13096.206699999999</v>
      </c>
      <c r="L13" s="74"/>
      <c r="M13" s="74">
        <f>M12+K13-L13</f>
        <v>128090.95520000004</v>
      </c>
      <c r="N13" s="43"/>
      <c r="O13" s="75"/>
    </row>
    <row r="14" spans="1:15">
      <c r="A14" s="50">
        <v>11</v>
      </c>
      <c r="B14" s="233">
        <v>46002</v>
      </c>
      <c r="C14" s="185"/>
      <c r="D14" s="185"/>
      <c r="E14" s="71">
        <v>280</v>
      </c>
      <c r="F14" s="6">
        <v>91.23</v>
      </c>
      <c r="G14" s="8">
        <f t="shared" si="0"/>
        <v>25544.400000000001</v>
      </c>
      <c r="H14" s="71"/>
      <c r="I14" s="6"/>
      <c r="J14" s="8">
        <f t="shared" si="1"/>
        <v>0</v>
      </c>
      <c r="K14" s="8">
        <f t="shared" si="2"/>
        <v>25544.400000000001</v>
      </c>
      <c r="L14" s="74"/>
      <c r="M14" s="74">
        <f t="shared" si="3"/>
        <v>153635.35520000005</v>
      </c>
      <c r="N14" s="43"/>
      <c r="O14" s="75"/>
    </row>
    <row r="15" spans="1:15">
      <c r="A15" s="50">
        <v>12</v>
      </c>
      <c r="B15" s="233">
        <v>46003</v>
      </c>
      <c r="C15" s="185"/>
      <c r="D15" s="185"/>
      <c r="E15" s="71">
        <v>68</v>
      </c>
      <c r="F15" s="6">
        <v>91.23</v>
      </c>
      <c r="G15" s="8">
        <f t="shared" si="0"/>
        <v>6203.64</v>
      </c>
      <c r="H15" s="71"/>
      <c r="I15" s="6"/>
      <c r="J15" s="8">
        <f t="shared" si="1"/>
        <v>0</v>
      </c>
      <c r="K15" s="8">
        <f t="shared" si="2"/>
        <v>6203.64</v>
      </c>
      <c r="L15" s="74"/>
      <c r="M15" s="74">
        <f t="shared" si="3"/>
        <v>159838.99520000006</v>
      </c>
      <c r="N15" s="43"/>
      <c r="O15" s="75"/>
    </row>
    <row r="16" spans="1:15">
      <c r="A16" s="50">
        <v>13</v>
      </c>
      <c r="B16" s="233">
        <v>46004</v>
      </c>
      <c r="C16" s="185"/>
      <c r="D16" s="185"/>
      <c r="E16" s="71">
        <v>0</v>
      </c>
      <c r="F16" s="6">
        <v>91.23</v>
      </c>
      <c r="G16" s="8">
        <f t="shared" si="0"/>
        <v>0</v>
      </c>
      <c r="H16" s="71">
        <v>12.45</v>
      </c>
      <c r="I16" s="6">
        <v>103.16</v>
      </c>
      <c r="J16" s="8">
        <f t="shared" si="1"/>
        <v>1284.3419999999999</v>
      </c>
      <c r="K16" s="8">
        <f t="shared" si="2"/>
        <v>1284.3419999999999</v>
      </c>
      <c r="L16" s="74"/>
      <c r="M16" s="74">
        <f t="shared" si="3"/>
        <v>161123.33720000007</v>
      </c>
      <c r="N16" s="43"/>
      <c r="O16" s="75"/>
    </row>
    <row r="17" spans="1:15">
      <c r="A17" s="50">
        <v>14</v>
      </c>
      <c r="B17" s="233">
        <v>46005</v>
      </c>
      <c r="C17" s="185"/>
      <c r="D17" s="185"/>
      <c r="E17" s="71">
        <v>130.22999999999999</v>
      </c>
      <c r="F17" s="6">
        <v>91.23</v>
      </c>
      <c r="G17" s="8">
        <f t="shared" si="0"/>
        <v>11880.882899999999</v>
      </c>
      <c r="H17" s="71"/>
      <c r="I17" s="6"/>
      <c r="J17" s="8">
        <f t="shared" si="1"/>
        <v>0</v>
      </c>
      <c r="K17" s="8">
        <f t="shared" si="2"/>
        <v>11880.882899999999</v>
      </c>
      <c r="L17" s="74"/>
      <c r="M17" s="74">
        <f t="shared" si="3"/>
        <v>173004.22010000006</v>
      </c>
      <c r="N17" s="43"/>
      <c r="O17" s="75"/>
    </row>
    <row r="18" spans="1:15">
      <c r="A18" s="50">
        <v>15</v>
      </c>
      <c r="B18" s="233">
        <v>46006</v>
      </c>
      <c r="C18" s="185"/>
      <c r="D18" s="185"/>
      <c r="E18" s="71"/>
      <c r="F18" s="6"/>
      <c r="G18" s="8">
        <f t="shared" si="0"/>
        <v>0</v>
      </c>
      <c r="H18" s="71"/>
      <c r="I18" s="6"/>
      <c r="J18" s="8">
        <f t="shared" si="1"/>
        <v>0</v>
      </c>
      <c r="K18" s="8">
        <f t="shared" si="2"/>
        <v>0</v>
      </c>
      <c r="L18" s="74">
        <v>173004</v>
      </c>
      <c r="M18" s="74">
        <f t="shared" si="3"/>
        <v>0.22010000006412156</v>
      </c>
      <c r="N18" s="43"/>
      <c r="O18" s="75"/>
    </row>
    <row r="19" spans="1:15">
      <c r="A19" s="50">
        <v>16</v>
      </c>
      <c r="B19" s="233">
        <v>46007</v>
      </c>
      <c r="C19" s="185"/>
      <c r="D19" s="185"/>
      <c r="E19" s="71">
        <v>50</v>
      </c>
      <c r="F19" s="6">
        <v>91.23</v>
      </c>
      <c r="G19" s="8">
        <f t="shared" si="0"/>
        <v>4561.5</v>
      </c>
      <c r="H19" s="71">
        <v>6.39</v>
      </c>
      <c r="I19" s="6">
        <v>103.16</v>
      </c>
      <c r="J19" s="8">
        <f t="shared" si="1"/>
        <v>659.19239999999991</v>
      </c>
      <c r="K19" s="8">
        <f t="shared" si="2"/>
        <v>5220.6923999999999</v>
      </c>
      <c r="L19" s="74"/>
      <c r="M19" s="74">
        <f t="shared" si="3"/>
        <v>5220.912500000064</v>
      </c>
      <c r="N19" s="43"/>
      <c r="O19" s="75"/>
    </row>
    <row r="20" spans="1:15">
      <c r="A20" s="50">
        <v>17</v>
      </c>
      <c r="B20" s="233">
        <v>46008</v>
      </c>
      <c r="C20" s="185"/>
      <c r="D20" s="185"/>
      <c r="E20" s="71">
        <v>46.54</v>
      </c>
      <c r="F20" s="6">
        <v>91.23</v>
      </c>
      <c r="G20" s="8">
        <f t="shared" si="0"/>
        <v>4245.8442000000005</v>
      </c>
      <c r="H20" s="71"/>
      <c r="I20" s="6"/>
      <c r="J20" s="8">
        <f t="shared" si="1"/>
        <v>0</v>
      </c>
      <c r="K20" s="8">
        <f t="shared" si="2"/>
        <v>4245.8442000000005</v>
      </c>
      <c r="L20" s="74"/>
      <c r="M20" s="74">
        <f t="shared" ref="M20:M34" si="4">M19+K20-L20</f>
        <v>9466.7567000000636</v>
      </c>
      <c r="N20" s="43"/>
      <c r="O20" s="75"/>
    </row>
    <row r="21" spans="1:15">
      <c r="A21" s="50">
        <v>18</v>
      </c>
      <c r="B21" s="233">
        <v>46009</v>
      </c>
      <c r="C21" s="185"/>
      <c r="D21" s="185"/>
      <c r="E21" s="343">
        <v>45</v>
      </c>
      <c r="F21" s="6">
        <v>91.23</v>
      </c>
      <c r="G21" s="8">
        <f t="shared" si="0"/>
        <v>4105.3500000000004</v>
      </c>
      <c r="H21" s="71"/>
      <c r="I21" s="6"/>
      <c r="J21" s="8">
        <f t="shared" si="1"/>
        <v>0</v>
      </c>
      <c r="K21" s="8">
        <f t="shared" si="2"/>
        <v>4105.3500000000004</v>
      </c>
      <c r="L21" s="74"/>
      <c r="M21" s="74">
        <f t="shared" si="4"/>
        <v>13572.106700000064</v>
      </c>
      <c r="N21" s="43"/>
      <c r="O21" s="75"/>
    </row>
    <row r="22" spans="1:15">
      <c r="A22" s="50">
        <v>19</v>
      </c>
      <c r="B22" s="233">
        <v>46010</v>
      </c>
      <c r="C22" s="185"/>
      <c r="D22" s="185"/>
      <c r="E22" s="71">
        <v>20</v>
      </c>
      <c r="F22" s="6">
        <v>91.23</v>
      </c>
      <c r="G22" s="8">
        <f t="shared" si="0"/>
        <v>1824.6000000000001</v>
      </c>
      <c r="H22" s="71">
        <v>6.9</v>
      </c>
      <c r="I22" s="6">
        <v>103.16</v>
      </c>
      <c r="J22" s="8">
        <f t="shared" si="1"/>
        <v>711.80399999999997</v>
      </c>
      <c r="K22" s="8">
        <f t="shared" si="2"/>
        <v>2536.404</v>
      </c>
      <c r="L22" s="74"/>
      <c r="M22" s="74">
        <f t="shared" si="4"/>
        <v>16108.510700000064</v>
      </c>
      <c r="N22" s="43"/>
      <c r="O22" s="75"/>
    </row>
    <row r="23" spans="1:15">
      <c r="A23" s="50">
        <v>20</v>
      </c>
      <c r="B23" s="233">
        <v>46011</v>
      </c>
      <c r="C23" s="185"/>
      <c r="D23" s="185"/>
      <c r="E23" s="71"/>
      <c r="F23" s="6"/>
      <c r="G23" s="8">
        <f t="shared" si="0"/>
        <v>0</v>
      </c>
      <c r="H23" s="71"/>
      <c r="I23" s="6"/>
      <c r="J23" s="8">
        <f t="shared" si="1"/>
        <v>0</v>
      </c>
      <c r="K23" s="8">
        <f t="shared" si="2"/>
        <v>0</v>
      </c>
      <c r="L23" s="74"/>
      <c r="M23" s="74">
        <f t="shared" si="4"/>
        <v>16108.510700000064</v>
      </c>
      <c r="N23" s="43"/>
      <c r="O23" s="75"/>
    </row>
    <row r="24" spans="1:15">
      <c r="A24" s="50">
        <v>21</v>
      </c>
      <c r="B24" s="233">
        <v>46012</v>
      </c>
      <c r="C24" s="185"/>
      <c r="D24" s="185"/>
      <c r="E24" s="71">
        <v>100</v>
      </c>
      <c r="F24" s="6">
        <v>91.23</v>
      </c>
      <c r="G24" s="8">
        <f t="shared" si="0"/>
        <v>9123</v>
      </c>
      <c r="H24" s="71"/>
      <c r="I24" s="6"/>
      <c r="J24" s="8">
        <f t="shared" si="1"/>
        <v>0</v>
      </c>
      <c r="K24" s="8">
        <f t="shared" si="2"/>
        <v>9123</v>
      </c>
      <c r="L24" s="74"/>
      <c r="M24" s="74">
        <f t="shared" si="4"/>
        <v>25231.510700000064</v>
      </c>
      <c r="N24" s="43"/>
      <c r="O24" s="75"/>
    </row>
    <row r="25" spans="1:15">
      <c r="A25" s="50">
        <v>22</v>
      </c>
      <c r="B25" s="233">
        <v>46013</v>
      </c>
      <c r="C25" s="185"/>
      <c r="D25" s="185"/>
      <c r="E25" s="71">
        <v>30</v>
      </c>
      <c r="F25" s="6">
        <v>91.23</v>
      </c>
      <c r="G25" s="8">
        <f t="shared" si="0"/>
        <v>2736.9</v>
      </c>
      <c r="H25" s="71"/>
      <c r="I25" s="6"/>
      <c r="J25" s="8">
        <f t="shared" si="1"/>
        <v>0</v>
      </c>
      <c r="K25" s="8">
        <f t="shared" si="2"/>
        <v>2736.9</v>
      </c>
      <c r="L25" s="74"/>
      <c r="M25" s="74">
        <f t="shared" si="4"/>
        <v>27968.410700000066</v>
      </c>
      <c r="N25" s="43"/>
      <c r="O25" s="75"/>
    </row>
    <row r="26" spans="1:15">
      <c r="A26" s="50">
        <v>23</v>
      </c>
      <c r="B26" s="233">
        <v>46014</v>
      </c>
      <c r="C26" s="222"/>
      <c r="D26" s="222"/>
      <c r="E26" s="71">
        <v>20</v>
      </c>
      <c r="F26" s="6">
        <v>91.23</v>
      </c>
      <c r="G26" s="8">
        <f t="shared" si="0"/>
        <v>1824.6000000000001</v>
      </c>
      <c r="H26" s="71"/>
      <c r="I26" s="6"/>
      <c r="J26" s="8">
        <f t="shared" si="1"/>
        <v>0</v>
      </c>
      <c r="K26" s="8">
        <f t="shared" si="2"/>
        <v>1824.6000000000001</v>
      </c>
      <c r="L26" s="74"/>
      <c r="M26" s="74">
        <f t="shared" si="4"/>
        <v>29793.010700000064</v>
      </c>
      <c r="N26" s="223"/>
      <c r="O26" s="75">
        <v>51702</v>
      </c>
    </row>
    <row r="27" spans="1:15">
      <c r="A27" s="50">
        <v>24</v>
      </c>
      <c r="B27" s="233">
        <v>46015</v>
      </c>
      <c r="C27" s="222"/>
      <c r="D27" s="222"/>
      <c r="E27" s="71"/>
      <c r="F27" s="6"/>
      <c r="G27" s="8">
        <f t="shared" si="0"/>
        <v>0</v>
      </c>
      <c r="H27" s="71">
        <v>5</v>
      </c>
      <c r="I27" s="6">
        <v>103.16</v>
      </c>
      <c r="J27" s="8">
        <f t="shared" si="1"/>
        <v>515.79999999999995</v>
      </c>
      <c r="K27" s="8">
        <f t="shared" si="2"/>
        <v>515.79999999999995</v>
      </c>
      <c r="L27" s="74"/>
      <c r="M27" s="74">
        <f t="shared" si="4"/>
        <v>30308.810700000064</v>
      </c>
      <c r="N27" s="223"/>
      <c r="O27" s="75"/>
    </row>
    <row r="28" spans="1:15">
      <c r="A28" s="235">
        <v>25</v>
      </c>
      <c r="B28" s="233">
        <v>46016</v>
      </c>
      <c r="C28" s="222"/>
      <c r="D28" s="222"/>
      <c r="E28" s="71"/>
      <c r="F28" s="6"/>
      <c r="G28" s="8">
        <f t="shared" si="0"/>
        <v>0</v>
      </c>
      <c r="H28" s="71"/>
      <c r="I28" s="6"/>
      <c r="J28" s="8">
        <f t="shared" si="1"/>
        <v>0</v>
      </c>
      <c r="K28" s="8">
        <f t="shared" si="2"/>
        <v>0</v>
      </c>
      <c r="L28" s="74"/>
      <c r="M28" s="74">
        <f>M27+K28-L28</f>
        <v>30308.810700000064</v>
      </c>
      <c r="N28" s="223"/>
      <c r="O28" s="75"/>
    </row>
    <row r="29" spans="1:15">
      <c r="A29" s="235">
        <v>26</v>
      </c>
      <c r="B29" s="233">
        <v>46017</v>
      </c>
      <c r="C29" s="222"/>
      <c r="D29" s="222"/>
      <c r="E29" s="71"/>
      <c r="F29" s="6"/>
      <c r="G29" s="8">
        <f t="shared" si="0"/>
        <v>0</v>
      </c>
      <c r="H29" s="71"/>
      <c r="I29" s="6"/>
      <c r="J29" s="8">
        <f t="shared" si="1"/>
        <v>0</v>
      </c>
      <c r="K29" s="8">
        <f t="shared" si="2"/>
        <v>0</v>
      </c>
      <c r="L29" s="74"/>
      <c r="M29" s="74">
        <f t="shared" si="4"/>
        <v>30308.810700000064</v>
      </c>
      <c r="N29" s="223"/>
      <c r="O29" s="75"/>
    </row>
    <row r="30" spans="1:15">
      <c r="A30" s="235">
        <v>27</v>
      </c>
      <c r="B30" s="233">
        <v>46018</v>
      </c>
      <c r="C30" s="222"/>
      <c r="D30" s="222"/>
      <c r="E30" s="71">
        <v>297.58999999999997</v>
      </c>
      <c r="F30" s="6">
        <v>91.23</v>
      </c>
      <c r="G30" s="8">
        <f t="shared" si="0"/>
        <v>27149.135699999999</v>
      </c>
      <c r="H30" s="71">
        <v>15.47</v>
      </c>
      <c r="I30" s="6">
        <v>103.16</v>
      </c>
      <c r="J30" s="8">
        <f t="shared" si="1"/>
        <v>1595.8851999999999</v>
      </c>
      <c r="K30" s="8">
        <f t="shared" si="2"/>
        <v>28745.0209</v>
      </c>
      <c r="L30" s="74"/>
      <c r="M30" s="74">
        <f t="shared" si="4"/>
        <v>59053.831600000063</v>
      </c>
      <c r="N30" s="223"/>
      <c r="O30" s="75"/>
    </row>
    <row r="31" spans="1:15">
      <c r="A31" s="235">
        <v>28</v>
      </c>
      <c r="B31" s="233">
        <v>46019</v>
      </c>
      <c r="C31" s="222"/>
      <c r="D31" s="222"/>
      <c r="E31" s="71">
        <v>24.86</v>
      </c>
      <c r="F31" s="6">
        <v>91.23</v>
      </c>
      <c r="G31" s="8">
        <f t="shared" si="0"/>
        <v>2267.9778000000001</v>
      </c>
      <c r="H31" s="71"/>
      <c r="I31" s="6"/>
      <c r="J31" s="8">
        <f t="shared" si="1"/>
        <v>0</v>
      </c>
      <c r="K31" s="8">
        <f t="shared" si="2"/>
        <v>2267.9778000000001</v>
      </c>
      <c r="L31" s="74"/>
      <c r="M31" s="74">
        <f t="shared" si="4"/>
        <v>61321.809400000064</v>
      </c>
      <c r="N31" s="223"/>
      <c r="O31" s="75"/>
    </row>
    <row r="32" spans="1:15">
      <c r="A32" s="236">
        <v>29</v>
      </c>
      <c r="B32" s="233">
        <v>46020</v>
      </c>
      <c r="C32" s="222"/>
      <c r="D32" s="222"/>
      <c r="E32" s="71"/>
      <c r="F32" s="6"/>
      <c r="G32" s="8">
        <f t="shared" si="0"/>
        <v>0</v>
      </c>
      <c r="H32" s="71">
        <v>2.97</v>
      </c>
      <c r="I32" s="6">
        <v>103.16</v>
      </c>
      <c r="J32" s="8">
        <f t="shared" si="1"/>
        <v>306.3852</v>
      </c>
      <c r="K32" s="8">
        <f t="shared" si="2"/>
        <v>306.3852</v>
      </c>
      <c r="L32" s="74"/>
      <c r="M32" s="74">
        <f t="shared" si="4"/>
        <v>61628.194600000061</v>
      </c>
      <c r="N32" s="223"/>
      <c r="O32" s="75"/>
    </row>
    <row r="33" spans="1:15">
      <c r="A33" s="236">
        <v>30</v>
      </c>
      <c r="B33" s="233">
        <v>46021</v>
      </c>
      <c r="C33" s="222"/>
      <c r="D33" s="222"/>
      <c r="E33" s="71">
        <v>50</v>
      </c>
      <c r="F33" s="6">
        <v>91.23</v>
      </c>
      <c r="G33" s="8">
        <f t="shared" si="0"/>
        <v>4561.5</v>
      </c>
      <c r="H33" s="71"/>
      <c r="I33" s="6"/>
      <c r="J33" s="8">
        <f t="shared" si="1"/>
        <v>0</v>
      </c>
      <c r="K33" s="8">
        <f t="shared" si="2"/>
        <v>4561.5</v>
      </c>
      <c r="L33" s="74"/>
      <c r="M33" s="74">
        <f t="shared" si="4"/>
        <v>66189.694600000061</v>
      </c>
      <c r="N33" s="223"/>
      <c r="O33" s="75"/>
    </row>
    <row r="34" spans="1:15">
      <c r="A34" s="236">
        <v>31</v>
      </c>
      <c r="B34" s="233">
        <v>46022</v>
      </c>
      <c r="C34" s="222"/>
      <c r="D34" s="222"/>
      <c r="E34" s="71">
        <v>154.6</v>
      </c>
      <c r="F34" s="6">
        <v>91.23</v>
      </c>
      <c r="G34" s="8">
        <f t="shared" si="0"/>
        <v>14104.157999999999</v>
      </c>
      <c r="H34" s="71">
        <v>11.809999999999999</v>
      </c>
      <c r="I34" s="6">
        <v>103.16</v>
      </c>
      <c r="J34" s="8">
        <f t="shared" si="1"/>
        <v>1218.3195999999998</v>
      </c>
      <c r="K34" s="8">
        <f t="shared" si="2"/>
        <v>15322.477599999998</v>
      </c>
      <c r="L34" s="74"/>
      <c r="M34" s="74">
        <f t="shared" si="4"/>
        <v>81512.172200000059</v>
      </c>
      <c r="N34" s="223"/>
      <c r="O34" s="75"/>
    </row>
    <row r="35" spans="1:15">
      <c r="A35" s="168"/>
      <c r="B35" s="168"/>
      <c r="C35" s="168"/>
      <c r="D35" s="168"/>
      <c r="E35" s="169">
        <f>SUM(E4:E34)</f>
        <v>1901.3199999999997</v>
      </c>
      <c r="F35" s="169"/>
      <c r="G35" s="169">
        <f>SUM(G4:G34)</f>
        <v>173457.42359999998</v>
      </c>
      <c r="H35" s="169">
        <f>SUM(H4:H34)</f>
        <v>96.77000000000001</v>
      </c>
      <c r="I35" s="169"/>
      <c r="J35" s="169">
        <f>SUM(J4:J34)</f>
        <v>9982.7932000000001</v>
      </c>
      <c r="K35" s="169">
        <f>SUM(K4:K34)</f>
        <v>183440.21679999999</v>
      </c>
      <c r="L35" s="169">
        <f>SUM(L4:L34)</f>
        <v>173004</v>
      </c>
      <c r="M35" s="169"/>
      <c r="N35" s="1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</sheetData>
  <mergeCells count="1">
    <mergeCell ref="A1:N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P46"/>
  <sheetViews>
    <sheetView workbookViewId="0">
      <selection activeCell="M43" sqref="M43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</cols>
  <sheetData>
    <row r="1" spans="1:16" ht="15.75">
      <c r="A1" s="470" t="s">
        <v>89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5"/>
    </row>
    <row r="2" spans="1:16" ht="30">
      <c r="A2" s="70" t="s">
        <v>122</v>
      </c>
      <c r="B2" s="89" t="s">
        <v>123</v>
      </c>
      <c r="C2" s="89" t="s">
        <v>124</v>
      </c>
      <c r="D2" s="89" t="s">
        <v>139</v>
      </c>
      <c r="E2" s="89" t="s">
        <v>126</v>
      </c>
      <c r="F2" s="89" t="s">
        <v>127</v>
      </c>
      <c r="G2" s="96" t="s">
        <v>128</v>
      </c>
      <c r="H2" s="89" t="s">
        <v>129</v>
      </c>
      <c r="I2" s="89" t="s">
        <v>127</v>
      </c>
      <c r="J2" s="96" t="s">
        <v>128</v>
      </c>
      <c r="K2" s="70" t="s">
        <v>130</v>
      </c>
      <c r="L2" s="97" t="s">
        <v>131</v>
      </c>
      <c r="M2" s="91" t="s">
        <v>138</v>
      </c>
      <c r="N2" s="89" t="s">
        <v>133</v>
      </c>
      <c r="O2" s="5"/>
    </row>
    <row r="3" spans="1:16">
      <c r="A3" s="494" t="s">
        <v>134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6"/>
      <c r="M3" s="497">
        <v>28738.362300000001</v>
      </c>
      <c r="N3" s="498"/>
      <c r="O3" s="5"/>
    </row>
    <row r="4" spans="1:16">
      <c r="A4" s="208">
        <v>1</v>
      </c>
      <c r="B4" s="233"/>
      <c r="C4" s="6"/>
      <c r="D4" s="6"/>
      <c r="E4" s="71">
        <v>0</v>
      </c>
      <c r="F4" s="6">
        <v>0</v>
      </c>
      <c r="G4" s="72">
        <f>E4*F4</f>
        <v>0</v>
      </c>
      <c r="H4" s="71">
        <v>0</v>
      </c>
      <c r="I4" s="6">
        <v>0</v>
      </c>
      <c r="J4" s="72">
        <f>H4*I4</f>
        <v>0</v>
      </c>
      <c r="K4" s="72">
        <f>G4+J4</f>
        <v>0</v>
      </c>
      <c r="L4" s="170">
        <v>0</v>
      </c>
      <c r="M4" s="156">
        <f>M3+K4-L4</f>
        <v>28738.362300000001</v>
      </c>
      <c r="N4" s="50"/>
      <c r="O4" s="5">
        <v>908.20409999999981</v>
      </c>
    </row>
    <row r="5" spans="1:16">
      <c r="A5" s="50">
        <v>2</v>
      </c>
      <c r="B5" s="233"/>
      <c r="C5" s="6"/>
      <c r="D5" s="6"/>
      <c r="E5" s="71">
        <v>0</v>
      </c>
      <c r="F5" s="6">
        <v>0</v>
      </c>
      <c r="G5" s="72">
        <f t="shared" ref="G5:G42" si="0">E5*F5</f>
        <v>0</v>
      </c>
      <c r="H5" s="71">
        <v>0</v>
      </c>
      <c r="I5" s="6">
        <v>0</v>
      </c>
      <c r="J5" s="72">
        <f t="shared" ref="J5:J42" si="1">H5*I5</f>
        <v>0</v>
      </c>
      <c r="K5" s="72">
        <f t="shared" ref="K5:K42" si="2">G5+J5</f>
        <v>0</v>
      </c>
      <c r="L5" s="170">
        <v>0</v>
      </c>
      <c r="M5" s="156">
        <f t="shared" ref="M5:M43" si="3">M4+K5-L5</f>
        <v>28738.362300000001</v>
      </c>
      <c r="N5" s="50"/>
      <c r="O5" s="5"/>
    </row>
    <row r="6" spans="1:16">
      <c r="A6" s="50">
        <v>3</v>
      </c>
      <c r="B6" s="233"/>
      <c r="C6" s="6"/>
      <c r="D6" s="6"/>
      <c r="E6" s="71">
        <v>0</v>
      </c>
      <c r="F6" s="6">
        <v>0</v>
      </c>
      <c r="G6" s="72">
        <f t="shared" si="0"/>
        <v>0</v>
      </c>
      <c r="H6" s="71">
        <v>0</v>
      </c>
      <c r="I6" s="6">
        <v>0</v>
      </c>
      <c r="J6" s="72">
        <f t="shared" si="1"/>
        <v>0</v>
      </c>
      <c r="K6" s="72">
        <f t="shared" si="2"/>
        <v>0</v>
      </c>
      <c r="L6" s="170">
        <v>0</v>
      </c>
      <c r="M6" s="156">
        <f t="shared" si="3"/>
        <v>28738.362300000001</v>
      </c>
      <c r="N6" s="50"/>
      <c r="O6" s="5"/>
    </row>
    <row r="7" spans="1:16">
      <c r="A7" s="50">
        <v>4</v>
      </c>
      <c r="B7" s="233"/>
      <c r="C7" s="6"/>
      <c r="D7" s="6"/>
      <c r="E7" s="71">
        <v>0</v>
      </c>
      <c r="F7" s="6">
        <v>0</v>
      </c>
      <c r="G7" s="72">
        <f t="shared" si="0"/>
        <v>0</v>
      </c>
      <c r="H7" s="71">
        <v>0</v>
      </c>
      <c r="I7" s="6">
        <v>0</v>
      </c>
      <c r="J7" s="72">
        <f t="shared" si="1"/>
        <v>0</v>
      </c>
      <c r="K7" s="72">
        <f t="shared" si="2"/>
        <v>0</v>
      </c>
      <c r="L7" s="170">
        <v>0</v>
      </c>
      <c r="M7" s="156">
        <f t="shared" si="3"/>
        <v>28738.362300000001</v>
      </c>
      <c r="N7" s="50"/>
      <c r="O7" s="5"/>
    </row>
    <row r="8" spans="1:16">
      <c r="A8" s="50">
        <v>5</v>
      </c>
      <c r="B8" s="233"/>
      <c r="C8" s="6"/>
      <c r="D8" s="6"/>
      <c r="E8" s="71">
        <v>0</v>
      </c>
      <c r="F8" s="6">
        <v>0</v>
      </c>
      <c r="G8" s="72">
        <f t="shared" si="0"/>
        <v>0</v>
      </c>
      <c r="H8" s="71">
        <v>0</v>
      </c>
      <c r="I8" s="6">
        <v>0</v>
      </c>
      <c r="J8" s="72">
        <f t="shared" si="1"/>
        <v>0</v>
      </c>
      <c r="K8" s="72">
        <f t="shared" si="2"/>
        <v>0</v>
      </c>
      <c r="L8" s="170">
        <v>0</v>
      </c>
      <c r="M8" s="156">
        <f t="shared" si="3"/>
        <v>28738.362300000001</v>
      </c>
      <c r="N8" s="50"/>
      <c r="O8" s="5"/>
    </row>
    <row r="9" spans="1:16">
      <c r="A9" s="50">
        <v>6</v>
      </c>
      <c r="B9" s="233"/>
      <c r="C9" s="6"/>
      <c r="D9" s="6"/>
      <c r="E9" s="71">
        <v>0</v>
      </c>
      <c r="F9" s="6">
        <v>0</v>
      </c>
      <c r="G9" s="72">
        <f t="shared" si="0"/>
        <v>0</v>
      </c>
      <c r="H9" s="71">
        <v>0</v>
      </c>
      <c r="I9" s="6">
        <v>0</v>
      </c>
      <c r="J9" s="72">
        <f t="shared" si="1"/>
        <v>0</v>
      </c>
      <c r="K9" s="72">
        <f t="shared" si="2"/>
        <v>0</v>
      </c>
      <c r="L9" s="170">
        <v>0</v>
      </c>
      <c r="M9" s="156">
        <f t="shared" si="3"/>
        <v>28738.362300000001</v>
      </c>
      <c r="N9" s="50"/>
      <c r="O9" s="5"/>
    </row>
    <row r="10" spans="1:16">
      <c r="A10" s="50">
        <v>7</v>
      </c>
      <c r="B10" s="233"/>
      <c r="C10" s="6"/>
      <c r="D10" s="6"/>
      <c r="E10" s="71">
        <v>0</v>
      </c>
      <c r="F10" s="6">
        <v>0</v>
      </c>
      <c r="G10" s="72">
        <f t="shared" si="0"/>
        <v>0</v>
      </c>
      <c r="H10" s="71">
        <v>0</v>
      </c>
      <c r="I10" s="6">
        <v>0</v>
      </c>
      <c r="J10" s="72">
        <f t="shared" si="1"/>
        <v>0</v>
      </c>
      <c r="K10" s="72">
        <f t="shared" si="2"/>
        <v>0</v>
      </c>
      <c r="L10" s="170">
        <v>0</v>
      </c>
      <c r="M10" s="156">
        <f t="shared" si="3"/>
        <v>28738.362300000001</v>
      </c>
      <c r="N10" s="50"/>
      <c r="O10" s="5"/>
    </row>
    <row r="11" spans="1:16">
      <c r="A11" s="50">
        <v>8</v>
      </c>
      <c r="B11" s="233" t="s">
        <v>174</v>
      </c>
      <c r="C11" s="6"/>
      <c r="D11" s="6"/>
      <c r="E11" s="71">
        <v>0</v>
      </c>
      <c r="F11" s="6">
        <v>0</v>
      </c>
      <c r="G11" s="72">
        <f t="shared" si="0"/>
        <v>0</v>
      </c>
      <c r="H11" s="71">
        <v>0</v>
      </c>
      <c r="I11" s="6">
        <v>0</v>
      </c>
      <c r="J11" s="72">
        <f t="shared" si="1"/>
        <v>0</v>
      </c>
      <c r="K11" s="72">
        <f t="shared" si="2"/>
        <v>0</v>
      </c>
      <c r="L11" s="170">
        <v>19979</v>
      </c>
      <c r="M11" s="156">
        <f t="shared" si="3"/>
        <v>8759.3623000000007</v>
      </c>
      <c r="N11" s="50"/>
      <c r="O11" s="5"/>
      <c r="P11" s="74">
        <f>P10+N11-O11</f>
        <v>0</v>
      </c>
    </row>
    <row r="12" spans="1:16">
      <c r="A12" s="50">
        <v>9</v>
      </c>
      <c r="B12" s="233"/>
      <c r="C12" s="6"/>
      <c r="D12" s="6"/>
      <c r="E12" s="71">
        <v>0</v>
      </c>
      <c r="F12" s="6">
        <v>0</v>
      </c>
      <c r="G12" s="72">
        <f t="shared" si="0"/>
        <v>0</v>
      </c>
      <c r="H12" s="71">
        <v>0</v>
      </c>
      <c r="I12" s="6">
        <v>0</v>
      </c>
      <c r="J12" s="72">
        <f t="shared" si="1"/>
        <v>0</v>
      </c>
      <c r="K12" s="72">
        <f t="shared" si="2"/>
        <v>0</v>
      </c>
      <c r="L12" s="170">
        <v>0</v>
      </c>
      <c r="M12" s="156">
        <f t="shared" si="3"/>
        <v>8759.3623000000007</v>
      </c>
      <c r="N12" s="50"/>
      <c r="O12" s="5"/>
    </row>
    <row r="13" spans="1:16">
      <c r="A13" s="50">
        <v>10</v>
      </c>
      <c r="B13" s="233"/>
      <c r="C13" s="6"/>
      <c r="D13" s="6"/>
      <c r="E13" s="71">
        <v>0</v>
      </c>
      <c r="F13" s="6">
        <v>0</v>
      </c>
      <c r="G13" s="72">
        <f t="shared" si="0"/>
        <v>0</v>
      </c>
      <c r="H13" s="71">
        <v>0</v>
      </c>
      <c r="I13" s="6">
        <v>0</v>
      </c>
      <c r="J13" s="72">
        <f t="shared" si="1"/>
        <v>0</v>
      </c>
      <c r="K13" s="72">
        <f t="shared" si="2"/>
        <v>0</v>
      </c>
      <c r="L13" s="170">
        <v>0</v>
      </c>
      <c r="M13" s="156">
        <f t="shared" si="3"/>
        <v>8759.3623000000007</v>
      </c>
      <c r="N13" s="50"/>
      <c r="O13" s="5"/>
    </row>
    <row r="14" spans="1:16">
      <c r="A14" s="50">
        <v>11</v>
      </c>
      <c r="B14" s="233"/>
      <c r="C14" s="6"/>
      <c r="D14" s="6"/>
      <c r="E14" s="71">
        <v>0</v>
      </c>
      <c r="F14" s="6">
        <v>0</v>
      </c>
      <c r="G14" s="72">
        <f t="shared" si="0"/>
        <v>0</v>
      </c>
      <c r="H14" s="71">
        <v>0</v>
      </c>
      <c r="I14" s="6">
        <v>0</v>
      </c>
      <c r="J14" s="72">
        <f t="shared" si="1"/>
        <v>0</v>
      </c>
      <c r="K14" s="72">
        <f t="shared" si="2"/>
        <v>0</v>
      </c>
      <c r="L14" s="170">
        <v>0</v>
      </c>
      <c r="M14" s="156">
        <f t="shared" si="3"/>
        <v>8759.3623000000007</v>
      </c>
      <c r="N14" s="50"/>
      <c r="O14" s="5"/>
    </row>
    <row r="15" spans="1:16">
      <c r="A15" s="50">
        <v>12</v>
      </c>
      <c r="B15" s="233"/>
      <c r="C15" s="6"/>
      <c r="D15" s="6"/>
      <c r="E15" s="71">
        <v>0</v>
      </c>
      <c r="F15" s="6">
        <v>0</v>
      </c>
      <c r="G15" s="72">
        <f t="shared" si="0"/>
        <v>0</v>
      </c>
      <c r="H15" s="71">
        <v>0</v>
      </c>
      <c r="I15" s="6">
        <v>0</v>
      </c>
      <c r="J15" s="72">
        <f t="shared" si="1"/>
        <v>0</v>
      </c>
      <c r="K15" s="72">
        <f t="shared" si="2"/>
        <v>0</v>
      </c>
      <c r="L15" s="170">
        <v>0</v>
      </c>
      <c r="M15" s="156">
        <f t="shared" si="3"/>
        <v>8759.3623000000007</v>
      </c>
      <c r="N15" s="50"/>
      <c r="O15" s="5"/>
    </row>
    <row r="16" spans="1:16">
      <c r="A16" s="50">
        <v>13</v>
      </c>
      <c r="B16" s="233"/>
      <c r="C16" s="6"/>
      <c r="D16" s="6"/>
      <c r="E16" s="71">
        <v>0</v>
      </c>
      <c r="F16" s="6">
        <v>0</v>
      </c>
      <c r="G16" s="72">
        <f t="shared" si="0"/>
        <v>0</v>
      </c>
      <c r="H16" s="71">
        <v>0</v>
      </c>
      <c r="I16" s="6">
        <v>0</v>
      </c>
      <c r="J16" s="72">
        <f t="shared" si="1"/>
        <v>0</v>
      </c>
      <c r="K16" s="72">
        <f t="shared" si="2"/>
        <v>0</v>
      </c>
      <c r="L16" s="170">
        <v>0</v>
      </c>
      <c r="M16" s="156">
        <f t="shared" si="3"/>
        <v>8759.3623000000007</v>
      </c>
      <c r="N16" s="50"/>
      <c r="O16" s="5"/>
    </row>
    <row r="17" spans="1:15">
      <c r="A17" s="50">
        <v>14</v>
      </c>
      <c r="B17" s="233" t="s">
        <v>174</v>
      </c>
      <c r="C17" s="6"/>
      <c r="D17" s="6"/>
      <c r="E17" s="71">
        <v>24.98</v>
      </c>
      <c r="F17" s="6">
        <v>91.23</v>
      </c>
      <c r="G17" s="72">
        <f t="shared" si="0"/>
        <v>2278.9254000000001</v>
      </c>
      <c r="H17" s="71">
        <v>0</v>
      </c>
      <c r="I17" s="6">
        <v>0</v>
      </c>
      <c r="J17" s="72">
        <f t="shared" si="1"/>
        <v>0</v>
      </c>
      <c r="K17" s="72">
        <f t="shared" si="2"/>
        <v>2278.9254000000001</v>
      </c>
      <c r="L17" s="170">
        <v>0</v>
      </c>
      <c r="M17" s="156">
        <f t="shared" si="3"/>
        <v>11038.287700000001</v>
      </c>
      <c r="N17" s="50"/>
      <c r="O17" s="5"/>
    </row>
    <row r="18" spans="1:15">
      <c r="A18" s="50">
        <v>15</v>
      </c>
      <c r="B18" s="233"/>
      <c r="C18" s="6"/>
      <c r="D18" s="6"/>
      <c r="E18" s="71">
        <v>0</v>
      </c>
      <c r="F18" s="6">
        <v>0</v>
      </c>
      <c r="G18" s="72">
        <f t="shared" si="0"/>
        <v>0</v>
      </c>
      <c r="H18" s="71">
        <v>0</v>
      </c>
      <c r="I18" s="6">
        <v>0</v>
      </c>
      <c r="J18" s="72">
        <f t="shared" si="1"/>
        <v>0</v>
      </c>
      <c r="K18" s="72">
        <f t="shared" si="2"/>
        <v>0</v>
      </c>
      <c r="L18" s="170">
        <v>0</v>
      </c>
      <c r="M18" s="156">
        <f>M17+K18-L18</f>
        <v>11038.287700000001</v>
      </c>
      <c r="N18" s="50"/>
      <c r="O18" s="5"/>
    </row>
    <row r="19" spans="1:15">
      <c r="A19" s="50">
        <v>16</v>
      </c>
      <c r="B19" s="233" t="s">
        <v>178</v>
      </c>
      <c r="C19" s="6"/>
      <c r="D19" s="6"/>
      <c r="E19" s="71">
        <v>42.57</v>
      </c>
      <c r="F19" s="6">
        <v>95.7</v>
      </c>
      <c r="G19" s="72">
        <f t="shared" si="0"/>
        <v>4073.9490000000001</v>
      </c>
      <c r="H19" s="71">
        <v>0</v>
      </c>
      <c r="I19" s="6">
        <v>0</v>
      </c>
      <c r="J19" s="72">
        <f t="shared" si="1"/>
        <v>0</v>
      </c>
      <c r="K19" s="72">
        <f t="shared" si="2"/>
        <v>4073.9490000000001</v>
      </c>
      <c r="L19" s="170">
        <v>4073.95</v>
      </c>
      <c r="M19" s="156">
        <f t="shared" si="3"/>
        <v>11038.286700000001</v>
      </c>
      <c r="N19" s="50"/>
      <c r="O19" s="5"/>
    </row>
    <row r="20" spans="1:15">
      <c r="A20" s="50">
        <v>17</v>
      </c>
      <c r="B20" s="233" t="s">
        <v>178</v>
      </c>
      <c r="C20" s="6"/>
      <c r="D20" s="6"/>
      <c r="E20" s="71">
        <v>30.26</v>
      </c>
      <c r="F20" s="6">
        <v>95.7</v>
      </c>
      <c r="G20" s="72">
        <f>E20*F20</f>
        <v>2895.8820000000001</v>
      </c>
      <c r="H20" s="71">
        <v>0</v>
      </c>
      <c r="I20" s="6">
        <v>0</v>
      </c>
      <c r="J20" s="72">
        <f t="shared" si="1"/>
        <v>0</v>
      </c>
      <c r="K20" s="72">
        <f t="shared" si="2"/>
        <v>2895.8820000000001</v>
      </c>
      <c r="L20" s="170">
        <v>2895.88</v>
      </c>
      <c r="M20" s="156">
        <f t="shared" si="3"/>
        <v>11038.288700000001</v>
      </c>
      <c r="N20" s="50"/>
      <c r="O20" s="5"/>
    </row>
    <row r="21" spans="1:15">
      <c r="A21" s="50">
        <v>18</v>
      </c>
      <c r="B21" s="233" t="s">
        <v>107</v>
      </c>
      <c r="C21" s="6"/>
      <c r="D21" s="6"/>
      <c r="E21" s="71">
        <v>0</v>
      </c>
      <c r="F21" s="6">
        <v>0</v>
      </c>
      <c r="G21" s="72">
        <f t="shared" si="0"/>
        <v>0</v>
      </c>
      <c r="H21" s="71">
        <v>0</v>
      </c>
      <c r="I21" s="6">
        <v>0</v>
      </c>
      <c r="J21" s="72">
        <f t="shared" si="1"/>
        <v>0</v>
      </c>
      <c r="K21" s="72">
        <f t="shared" si="2"/>
        <v>0</v>
      </c>
      <c r="L21" s="170">
        <v>11016</v>
      </c>
      <c r="M21" s="156">
        <f t="shared" si="3"/>
        <v>22.288700000000972</v>
      </c>
      <c r="N21" s="50"/>
      <c r="O21" s="5"/>
    </row>
    <row r="22" spans="1:15">
      <c r="A22" s="50">
        <v>19</v>
      </c>
      <c r="B22" s="233" t="s">
        <v>121</v>
      </c>
      <c r="C22" s="6"/>
      <c r="D22" s="6"/>
      <c r="E22" s="71">
        <v>40</v>
      </c>
      <c r="F22" s="6">
        <v>91.23</v>
      </c>
      <c r="G22" s="72">
        <f t="shared" si="0"/>
        <v>3649.2000000000003</v>
      </c>
      <c r="H22" s="71">
        <v>0</v>
      </c>
      <c r="I22" s="6">
        <v>0</v>
      </c>
      <c r="J22" s="72">
        <f t="shared" si="1"/>
        <v>0</v>
      </c>
      <c r="K22" s="72">
        <f t="shared" si="2"/>
        <v>3649.2000000000003</v>
      </c>
      <c r="L22" s="170">
        <v>0</v>
      </c>
      <c r="M22" s="156">
        <f t="shared" si="3"/>
        <v>3671.4887000000012</v>
      </c>
      <c r="N22" s="50"/>
      <c r="O22" s="5"/>
    </row>
    <row r="23" spans="1:15">
      <c r="A23" s="50">
        <v>20</v>
      </c>
      <c r="B23" s="233"/>
      <c r="C23" s="6"/>
      <c r="D23" s="6"/>
      <c r="E23" s="71">
        <v>0</v>
      </c>
      <c r="F23" s="6">
        <v>0</v>
      </c>
      <c r="G23" s="72">
        <f t="shared" si="0"/>
        <v>0</v>
      </c>
      <c r="H23" s="71">
        <v>0</v>
      </c>
      <c r="I23" s="6">
        <v>0</v>
      </c>
      <c r="J23" s="72">
        <f t="shared" si="1"/>
        <v>0</v>
      </c>
      <c r="K23" s="72">
        <f t="shared" si="2"/>
        <v>0</v>
      </c>
      <c r="L23" s="170">
        <v>0</v>
      </c>
      <c r="M23" s="156">
        <f t="shared" si="3"/>
        <v>3671.4887000000012</v>
      </c>
      <c r="N23" s="50"/>
      <c r="O23" s="5"/>
    </row>
    <row r="24" spans="1:15">
      <c r="A24" s="50">
        <v>21</v>
      </c>
      <c r="B24" s="233"/>
      <c r="C24" s="6"/>
      <c r="D24" s="6"/>
      <c r="E24" s="71">
        <v>0</v>
      </c>
      <c r="F24" s="6">
        <v>0</v>
      </c>
      <c r="G24" s="72">
        <f t="shared" si="0"/>
        <v>0</v>
      </c>
      <c r="H24" s="71">
        <v>0</v>
      </c>
      <c r="I24" s="6">
        <v>0</v>
      </c>
      <c r="J24" s="72">
        <f t="shared" si="1"/>
        <v>0</v>
      </c>
      <c r="K24" s="72">
        <f t="shared" si="2"/>
        <v>0</v>
      </c>
      <c r="L24" s="170">
        <v>0</v>
      </c>
      <c r="M24" s="156">
        <f t="shared" si="3"/>
        <v>3671.4887000000012</v>
      </c>
      <c r="N24" s="50"/>
      <c r="O24" s="5"/>
    </row>
    <row r="25" spans="1:15">
      <c r="A25" s="50">
        <v>22</v>
      </c>
      <c r="B25" s="233"/>
      <c r="C25" s="6"/>
      <c r="D25" s="6"/>
      <c r="E25" s="71">
        <v>0</v>
      </c>
      <c r="F25" s="6">
        <v>0</v>
      </c>
      <c r="G25" s="72">
        <f t="shared" si="0"/>
        <v>0</v>
      </c>
      <c r="H25" s="71">
        <v>0</v>
      </c>
      <c r="I25" s="6">
        <v>0</v>
      </c>
      <c r="J25" s="72">
        <f t="shared" si="1"/>
        <v>0</v>
      </c>
      <c r="K25" s="72">
        <f t="shared" si="2"/>
        <v>0</v>
      </c>
      <c r="L25" s="170">
        <v>0</v>
      </c>
      <c r="M25" s="156">
        <f t="shared" si="3"/>
        <v>3671.4887000000012</v>
      </c>
      <c r="N25" s="50"/>
      <c r="O25" s="5"/>
    </row>
    <row r="26" spans="1:15">
      <c r="A26" s="50">
        <v>23</v>
      </c>
      <c r="B26" s="233"/>
      <c r="C26" s="6"/>
      <c r="D26" s="6"/>
      <c r="E26" s="71">
        <v>0</v>
      </c>
      <c r="F26" s="6">
        <v>0</v>
      </c>
      <c r="G26" s="72">
        <f t="shared" si="0"/>
        <v>0</v>
      </c>
      <c r="H26" s="71">
        <v>0</v>
      </c>
      <c r="I26" s="6">
        <v>0</v>
      </c>
      <c r="J26" s="72">
        <f t="shared" si="1"/>
        <v>0</v>
      </c>
      <c r="K26" s="72">
        <f t="shared" si="2"/>
        <v>0</v>
      </c>
      <c r="L26" s="170">
        <v>0</v>
      </c>
      <c r="M26" s="156">
        <f t="shared" si="3"/>
        <v>3671.4887000000012</v>
      </c>
      <c r="N26" s="50"/>
      <c r="O26" s="5"/>
    </row>
    <row r="27" spans="1:15">
      <c r="A27" s="50">
        <v>24</v>
      </c>
      <c r="B27" s="233"/>
      <c r="C27" s="6"/>
      <c r="D27" s="6"/>
      <c r="E27" s="71">
        <v>0</v>
      </c>
      <c r="F27" s="6">
        <v>0</v>
      </c>
      <c r="G27" s="72">
        <f t="shared" si="0"/>
        <v>0</v>
      </c>
      <c r="H27" s="71">
        <v>0</v>
      </c>
      <c r="I27" s="6">
        <v>0</v>
      </c>
      <c r="J27" s="72">
        <f t="shared" si="1"/>
        <v>0</v>
      </c>
      <c r="K27" s="72">
        <f t="shared" si="2"/>
        <v>0</v>
      </c>
      <c r="L27" s="170">
        <v>0</v>
      </c>
      <c r="M27" s="156">
        <f t="shared" si="3"/>
        <v>3671.4887000000012</v>
      </c>
      <c r="N27" s="6"/>
      <c r="O27" s="5"/>
    </row>
    <row r="28" spans="1:15">
      <c r="A28" s="235">
        <v>25</v>
      </c>
      <c r="B28" s="233"/>
      <c r="C28" s="6"/>
      <c r="D28" s="6"/>
      <c r="E28" s="71">
        <v>0</v>
      </c>
      <c r="F28" s="6">
        <v>0</v>
      </c>
      <c r="G28" s="72">
        <f t="shared" si="0"/>
        <v>0</v>
      </c>
      <c r="H28" s="71">
        <v>0</v>
      </c>
      <c r="I28" s="6">
        <v>0</v>
      </c>
      <c r="J28" s="72">
        <f t="shared" si="1"/>
        <v>0</v>
      </c>
      <c r="K28" s="72">
        <f t="shared" si="2"/>
        <v>0</v>
      </c>
      <c r="L28" s="170">
        <v>0</v>
      </c>
      <c r="M28" s="156">
        <f t="shared" si="3"/>
        <v>3671.4887000000012</v>
      </c>
      <c r="N28" s="6"/>
      <c r="O28" s="5"/>
    </row>
    <row r="29" spans="1:15">
      <c r="A29" s="235">
        <v>26</v>
      </c>
      <c r="B29" s="233"/>
      <c r="C29" s="6"/>
      <c r="D29" s="6"/>
      <c r="E29" s="71">
        <v>0</v>
      </c>
      <c r="F29" s="6">
        <v>0</v>
      </c>
      <c r="G29" s="72">
        <f t="shared" si="0"/>
        <v>0</v>
      </c>
      <c r="H29" s="71">
        <v>0</v>
      </c>
      <c r="I29" s="6">
        <v>0</v>
      </c>
      <c r="J29" s="72">
        <f t="shared" si="1"/>
        <v>0</v>
      </c>
      <c r="K29" s="72">
        <f t="shared" si="2"/>
        <v>0</v>
      </c>
      <c r="L29" s="170">
        <v>0</v>
      </c>
      <c r="M29" s="156">
        <f t="shared" si="3"/>
        <v>3671.4887000000012</v>
      </c>
      <c r="N29" s="6"/>
      <c r="O29" s="5"/>
    </row>
    <row r="30" spans="1:15">
      <c r="A30" s="235">
        <v>27</v>
      </c>
      <c r="B30" s="233"/>
      <c r="C30" s="6"/>
      <c r="D30" s="6"/>
      <c r="E30" s="71">
        <v>0</v>
      </c>
      <c r="F30" s="6">
        <v>0</v>
      </c>
      <c r="G30" s="72">
        <f t="shared" si="0"/>
        <v>0</v>
      </c>
      <c r="H30" s="71">
        <v>0</v>
      </c>
      <c r="I30" s="6">
        <v>0</v>
      </c>
      <c r="J30" s="72">
        <f t="shared" si="1"/>
        <v>0</v>
      </c>
      <c r="K30" s="72">
        <f t="shared" si="2"/>
        <v>0</v>
      </c>
      <c r="L30" s="170">
        <v>0</v>
      </c>
      <c r="M30" s="156">
        <f t="shared" si="3"/>
        <v>3671.4887000000012</v>
      </c>
      <c r="N30" s="6"/>
      <c r="O30" s="5"/>
    </row>
    <row r="31" spans="1:15">
      <c r="A31" s="235">
        <v>28</v>
      </c>
      <c r="B31" s="233"/>
      <c r="C31" s="6"/>
      <c r="D31" s="6"/>
      <c r="E31" s="71">
        <v>0</v>
      </c>
      <c r="F31" s="6">
        <v>0</v>
      </c>
      <c r="G31" s="72">
        <f t="shared" si="0"/>
        <v>0</v>
      </c>
      <c r="H31" s="71">
        <v>0</v>
      </c>
      <c r="I31" s="6">
        <v>0</v>
      </c>
      <c r="J31" s="72">
        <f t="shared" si="1"/>
        <v>0</v>
      </c>
      <c r="K31" s="72">
        <f t="shared" si="2"/>
        <v>0</v>
      </c>
      <c r="L31" s="170">
        <v>0</v>
      </c>
      <c r="M31" s="156">
        <f t="shared" si="3"/>
        <v>3671.4887000000012</v>
      </c>
      <c r="N31" s="6"/>
      <c r="O31" s="5"/>
    </row>
    <row r="32" spans="1:15">
      <c r="A32" s="236">
        <v>29</v>
      </c>
      <c r="B32" s="233"/>
      <c r="C32" s="6"/>
      <c r="D32" s="6"/>
      <c r="E32" s="71">
        <v>0</v>
      </c>
      <c r="F32" s="6">
        <v>0</v>
      </c>
      <c r="G32" s="72">
        <f t="shared" si="0"/>
        <v>0</v>
      </c>
      <c r="H32" s="71">
        <v>0</v>
      </c>
      <c r="I32" s="6">
        <v>0</v>
      </c>
      <c r="J32" s="72">
        <f t="shared" si="1"/>
        <v>0</v>
      </c>
      <c r="K32" s="72">
        <f t="shared" si="2"/>
        <v>0</v>
      </c>
      <c r="L32" s="170">
        <v>0</v>
      </c>
      <c r="M32" s="156">
        <f t="shared" si="3"/>
        <v>3671.4887000000012</v>
      </c>
      <c r="N32" s="6"/>
      <c r="O32" s="5"/>
    </row>
    <row r="33" spans="1:15">
      <c r="A33" s="236">
        <v>30</v>
      </c>
      <c r="B33" s="233"/>
      <c r="C33" s="6"/>
      <c r="D33" s="6"/>
      <c r="E33" s="71">
        <v>0</v>
      </c>
      <c r="F33" s="6">
        <v>0</v>
      </c>
      <c r="G33" s="72">
        <f t="shared" si="0"/>
        <v>0</v>
      </c>
      <c r="H33" s="71">
        <v>0</v>
      </c>
      <c r="I33" s="6">
        <v>0</v>
      </c>
      <c r="J33" s="72">
        <f t="shared" si="1"/>
        <v>0</v>
      </c>
      <c r="K33" s="72">
        <f t="shared" si="2"/>
        <v>0</v>
      </c>
      <c r="L33" s="170">
        <v>0</v>
      </c>
      <c r="M33" s="156">
        <f t="shared" si="3"/>
        <v>3671.4887000000012</v>
      </c>
      <c r="N33" s="6"/>
      <c r="O33" s="5"/>
    </row>
    <row r="34" spans="1:15">
      <c r="A34" s="236">
        <v>31</v>
      </c>
      <c r="B34" s="233"/>
      <c r="C34" s="6"/>
      <c r="D34" s="6"/>
      <c r="E34" s="71">
        <v>0</v>
      </c>
      <c r="F34" s="6">
        <v>0</v>
      </c>
      <c r="G34" s="72">
        <f t="shared" si="0"/>
        <v>0</v>
      </c>
      <c r="H34" s="71">
        <v>0</v>
      </c>
      <c r="I34" s="6">
        <v>0</v>
      </c>
      <c r="J34" s="72">
        <f t="shared" si="1"/>
        <v>0</v>
      </c>
      <c r="K34" s="72">
        <f t="shared" si="2"/>
        <v>0</v>
      </c>
      <c r="L34" s="170">
        <v>0</v>
      </c>
      <c r="M34" s="156">
        <f t="shared" si="3"/>
        <v>3671.4887000000012</v>
      </c>
      <c r="N34" s="6"/>
      <c r="O34" s="5"/>
    </row>
    <row r="35" spans="1:15">
      <c r="A35" s="6">
        <v>34</v>
      </c>
      <c r="B35" s="84"/>
      <c r="C35" s="6"/>
      <c r="D35" s="6"/>
      <c r="E35" s="71">
        <v>0</v>
      </c>
      <c r="F35" s="6">
        <v>0</v>
      </c>
      <c r="G35" s="72">
        <f t="shared" si="0"/>
        <v>0</v>
      </c>
      <c r="H35" s="71">
        <v>0</v>
      </c>
      <c r="I35" s="6">
        <v>0</v>
      </c>
      <c r="J35" s="72">
        <f t="shared" si="1"/>
        <v>0</v>
      </c>
      <c r="K35" s="72">
        <f t="shared" si="2"/>
        <v>0</v>
      </c>
      <c r="L35" s="170">
        <v>0</v>
      </c>
      <c r="M35" s="156">
        <f t="shared" si="3"/>
        <v>3671.4887000000012</v>
      </c>
      <c r="N35" s="6"/>
      <c r="O35" s="5"/>
    </row>
    <row r="36" spans="1:15">
      <c r="A36" s="6">
        <v>35</v>
      </c>
      <c r="B36" s="84"/>
      <c r="C36" s="6"/>
      <c r="D36" s="6"/>
      <c r="E36" s="71">
        <v>0</v>
      </c>
      <c r="F36" s="6">
        <v>0</v>
      </c>
      <c r="G36" s="72">
        <f t="shared" si="0"/>
        <v>0</v>
      </c>
      <c r="H36" s="71">
        <v>0</v>
      </c>
      <c r="I36" s="6">
        <v>0</v>
      </c>
      <c r="J36" s="72">
        <f t="shared" si="1"/>
        <v>0</v>
      </c>
      <c r="K36" s="72">
        <f t="shared" si="2"/>
        <v>0</v>
      </c>
      <c r="L36" s="170">
        <v>0</v>
      </c>
      <c r="M36" s="156">
        <f t="shared" si="3"/>
        <v>3671.4887000000012</v>
      </c>
      <c r="N36" s="6"/>
      <c r="O36" s="5"/>
    </row>
    <row r="37" spans="1:15">
      <c r="A37" s="6">
        <v>36</v>
      </c>
      <c r="B37" s="84"/>
      <c r="C37" s="6"/>
      <c r="D37" s="6"/>
      <c r="E37" s="71">
        <v>0</v>
      </c>
      <c r="F37" s="6">
        <v>0</v>
      </c>
      <c r="G37" s="72">
        <f t="shared" si="0"/>
        <v>0</v>
      </c>
      <c r="H37" s="71">
        <v>0</v>
      </c>
      <c r="I37" s="6">
        <v>0</v>
      </c>
      <c r="J37" s="72">
        <f t="shared" si="1"/>
        <v>0</v>
      </c>
      <c r="K37" s="72">
        <f t="shared" si="2"/>
        <v>0</v>
      </c>
      <c r="L37" s="170">
        <v>0</v>
      </c>
      <c r="M37" s="156">
        <f t="shared" si="3"/>
        <v>3671.4887000000012</v>
      </c>
      <c r="N37" s="6"/>
      <c r="O37" s="5"/>
    </row>
    <row r="38" spans="1:15">
      <c r="A38" s="6">
        <v>37</v>
      </c>
      <c r="B38" s="84"/>
      <c r="C38" s="6"/>
      <c r="D38" s="6"/>
      <c r="E38" s="71">
        <v>0</v>
      </c>
      <c r="F38" s="6">
        <v>0</v>
      </c>
      <c r="G38" s="72">
        <f t="shared" si="0"/>
        <v>0</v>
      </c>
      <c r="H38" s="71">
        <v>0</v>
      </c>
      <c r="I38" s="6">
        <v>0</v>
      </c>
      <c r="J38" s="72">
        <f t="shared" si="1"/>
        <v>0</v>
      </c>
      <c r="K38" s="72">
        <f t="shared" si="2"/>
        <v>0</v>
      </c>
      <c r="L38" s="170">
        <v>0</v>
      </c>
      <c r="M38" s="156">
        <f t="shared" si="3"/>
        <v>3671.4887000000012</v>
      </c>
      <c r="N38" s="6"/>
      <c r="O38" s="5"/>
    </row>
    <row r="39" spans="1:15">
      <c r="A39" s="6">
        <v>38</v>
      </c>
      <c r="B39" s="84"/>
      <c r="C39" s="6"/>
      <c r="D39" s="6"/>
      <c r="E39" s="71">
        <v>0</v>
      </c>
      <c r="F39" s="6">
        <v>0</v>
      </c>
      <c r="G39" s="72">
        <f t="shared" si="0"/>
        <v>0</v>
      </c>
      <c r="H39" s="71">
        <v>0</v>
      </c>
      <c r="I39" s="6">
        <v>0</v>
      </c>
      <c r="J39" s="72">
        <f t="shared" si="1"/>
        <v>0</v>
      </c>
      <c r="K39" s="72">
        <f t="shared" si="2"/>
        <v>0</v>
      </c>
      <c r="L39" s="170">
        <v>0</v>
      </c>
      <c r="M39" s="156">
        <f t="shared" si="3"/>
        <v>3671.4887000000012</v>
      </c>
      <c r="N39" s="6"/>
      <c r="O39" s="5"/>
    </row>
    <row r="40" spans="1:15">
      <c r="A40" s="178">
        <v>39</v>
      </c>
      <c r="B40" s="179"/>
      <c r="C40" s="178"/>
      <c r="D40" s="6"/>
      <c r="E40" s="71">
        <v>0</v>
      </c>
      <c r="F40" s="6">
        <v>0</v>
      </c>
      <c r="G40" s="72">
        <f t="shared" si="0"/>
        <v>0</v>
      </c>
      <c r="H40" s="71">
        <v>0</v>
      </c>
      <c r="I40" s="6">
        <v>0</v>
      </c>
      <c r="J40" s="72">
        <f t="shared" si="1"/>
        <v>0</v>
      </c>
      <c r="K40" s="72">
        <f t="shared" si="2"/>
        <v>0</v>
      </c>
      <c r="L40" s="170">
        <v>0</v>
      </c>
      <c r="M40" s="156">
        <f t="shared" si="3"/>
        <v>3671.4887000000012</v>
      </c>
      <c r="N40" s="178"/>
      <c r="O40" s="5"/>
    </row>
    <row r="41" spans="1:15">
      <c r="A41" s="6">
        <v>40</v>
      </c>
      <c r="B41" s="6"/>
      <c r="C41" s="6"/>
      <c r="D41" s="6"/>
      <c r="E41" s="71">
        <v>0</v>
      </c>
      <c r="F41" s="6">
        <v>0</v>
      </c>
      <c r="G41" s="72">
        <f t="shared" si="0"/>
        <v>0</v>
      </c>
      <c r="H41" s="71">
        <v>0</v>
      </c>
      <c r="I41" s="6">
        <v>0</v>
      </c>
      <c r="J41" s="72">
        <f t="shared" si="1"/>
        <v>0</v>
      </c>
      <c r="K41" s="72">
        <f t="shared" si="2"/>
        <v>0</v>
      </c>
      <c r="L41" s="170">
        <v>0</v>
      </c>
      <c r="M41" s="156">
        <f t="shared" si="3"/>
        <v>3671.4887000000012</v>
      </c>
      <c r="N41" s="6"/>
      <c r="O41" s="5"/>
    </row>
    <row r="42" spans="1:15">
      <c r="A42" s="178">
        <v>41</v>
      </c>
      <c r="B42" s="178"/>
      <c r="C42" s="178"/>
      <c r="D42" s="6"/>
      <c r="E42" s="71">
        <v>0</v>
      </c>
      <c r="F42" s="6">
        <v>0</v>
      </c>
      <c r="G42" s="72">
        <f t="shared" si="0"/>
        <v>0</v>
      </c>
      <c r="H42" s="71">
        <v>0</v>
      </c>
      <c r="I42" s="6">
        <v>0</v>
      </c>
      <c r="J42" s="72">
        <f t="shared" si="1"/>
        <v>0</v>
      </c>
      <c r="K42" s="72">
        <f t="shared" si="2"/>
        <v>0</v>
      </c>
      <c r="L42" s="170">
        <v>0</v>
      </c>
      <c r="M42" s="156">
        <f t="shared" si="3"/>
        <v>3671.4887000000012</v>
      </c>
      <c r="N42" s="178"/>
      <c r="O42" s="5"/>
    </row>
    <row r="43" spans="1:15">
      <c r="A43" s="178">
        <v>42</v>
      </c>
      <c r="B43" s="178"/>
      <c r="C43" s="178"/>
      <c r="D43" s="6"/>
      <c r="E43" s="71">
        <v>0</v>
      </c>
      <c r="F43" s="6">
        <v>0</v>
      </c>
      <c r="G43" s="72">
        <f t="shared" ref="G43" si="4">E43*F43</f>
        <v>0</v>
      </c>
      <c r="H43" s="71">
        <v>0</v>
      </c>
      <c r="I43" s="6">
        <v>0</v>
      </c>
      <c r="J43" s="72">
        <f t="shared" ref="J43" si="5">H43*I43</f>
        <v>0</v>
      </c>
      <c r="K43" s="72">
        <f t="shared" ref="K43" si="6">G43+J43</f>
        <v>0</v>
      </c>
      <c r="L43" s="170">
        <v>0</v>
      </c>
      <c r="M43" s="156">
        <f t="shared" si="3"/>
        <v>3671.4887000000012</v>
      </c>
      <c r="N43" s="178"/>
      <c r="O43" s="5"/>
    </row>
    <row r="44" spans="1:15">
      <c r="A44" s="68"/>
      <c r="B44" s="68"/>
      <c r="C44" s="68"/>
      <c r="D44" s="68"/>
      <c r="E44" s="69">
        <f>SUM(E4:E43)</f>
        <v>137.81</v>
      </c>
      <c r="F44" s="69"/>
      <c r="G44" s="69">
        <f>SUM(G4:G43)</f>
        <v>12897.956400000001</v>
      </c>
      <c r="H44" s="69">
        <f>SUM(H4:H43)</f>
        <v>0</v>
      </c>
      <c r="I44" s="69"/>
      <c r="J44" s="69">
        <f>SUM(J4:J43)</f>
        <v>0</v>
      </c>
      <c r="K44" s="69">
        <f>SUM(K4:K43)</f>
        <v>12897.956400000001</v>
      </c>
      <c r="L44" s="69">
        <f>SUM(L4:L43)</f>
        <v>37964.83</v>
      </c>
      <c r="M44" s="69"/>
      <c r="N44" s="69"/>
      <c r="O44" s="65"/>
    </row>
    <row r="45" spans="1:15">
      <c r="A45" s="5"/>
      <c r="B45" s="5"/>
      <c r="C45" s="5"/>
      <c r="D45" s="5"/>
      <c r="E45" s="5"/>
      <c r="F45" s="5"/>
      <c r="G45" s="108"/>
      <c r="H45" s="5"/>
      <c r="I45" s="5"/>
      <c r="J45" s="108"/>
      <c r="K45" s="5"/>
      <c r="L45" s="108"/>
      <c r="M45" s="108"/>
      <c r="N45" s="5"/>
      <c r="O45" s="5"/>
    </row>
    <row r="46" spans="1:15">
      <c r="A46" s="5"/>
      <c r="B46" s="5"/>
      <c r="C46" s="5"/>
      <c r="D46" s="5"/>
      <c r="E46" s="5"/>
      <c r="F46" s="5"/>
      <c r="G46" s="108"/>
      <c r="H46" s="5"/>
      <c r="I46" s="5"/>
      <c r="J46" s="108"/>
      <c r="K46" s="5"/>
      <c r="L46" s="108"/>
      <c r="M46" s="108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0EFF-7FC6-455A-AFB9-5E2CE46C92B6}">
  <sheetPr>
    <tabColor rgb="FF92D050"/>
  </sheetPr>
  <dimension ref="A1:V49"/>
  <sheetViews>
    <sheetView topLeftCell="A9" workbookViewId="0">
      <selection activeCell="S29" sqref="S29"/>
    </sheetView>
  </sheetViews>
  <sheetFormatPr defaultRowHeight="15"/>
  <cols>
    <col min="2" max="2" width="10.85546875" bestFit="1" customWidth="1"/>
    <col min="4" max="4" width="16.140625" customWidth="1"/>
    <col min="7" max="7" width="11.85546875" bestFit="1" customWidth="1"/>
    <col min="11" max="12" width="16" customWidth="1"/>
    <col min="13" max="13" width="14.42578125" bestFit="1" customWidth="1"/>
    <col min="14" max="14" width="14.7109375" bestFit="1" customWidth="1"/>
  </cols>
  <sheetData>
    <row r="1" spans="1:15" ht="15.75">
      <c r="A1" s="470" t="s">
        <v>91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5"/>
    </row>
    <row r="2" spans="1:15" ht="30">
      <c r="A2" s="70" t="s">
        <v>122</v>
      </c>
      <c r="B2" s="89" t="s">
        <v>123</v>
      </c>
      <c r="C2" s="89" t="s">
        <v>124</v>
      </c>
      <c r="D2" s="89" t="s">
        <v>139</v>
      </c>
      <c r="E2" s="89" t="s">
        <v>126</v>
      </c>
      <c r="F2" s="89" t="s">
        <v>127</v>
      </c>
      <c r="G2" s="96" t="s">
        <v>128</v>
      </c>
      <c r="H2" s="89" t="s">
        <v>129</v>
      </c>
      <c r="I2" s="89" t="s">
        <v>127</v>
      </c>
      <c r="J2" s="96" t="s">
        <v>128</v>
      </c>
      <c r="K2" s="70" t="s">
        <v>130</v>
      </c>
      <c r="L2" s="97" t="s">
        <v>131</v>
      </c>
      <c r="M2" s="91" t="s">
        <v>138</v>
      </c>
      <c r="N2" s="89" t="s">
        <v>133</v>
      </c>
      <c r="O2" s="5"/>
    </row>
    <row r="3" spans="1:15">
      <c r="A3" s="494" t="s">
        <v>134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6"/>
      <c r="M3" s="497">
        <v>8551.5867999999937</v>
      </c>
      <c r="N3" s="498"/>
      <c r="O3" s="5"/>
    </row>
    <row r="4" spans="1:15">
      <c r="A4" s="208">
        <v>1</v>
      </c>
      <c r="B4" s="233"/>
      <c r="C4" s="6"/>
      <c r="D4" s="6"/>
      <c r="E4" s="71"/>
      <c r="F4" s="6"/>
      <c r="G4" s="72">
        <f>E4*F4</f>
        <v>0</v>
      </c>
      <c r="H4" s="71"/>
      <c r="I4" s="6"/>
      <c r="J4" s="72"/>
      <c r="K4" s="72"/>
      <c r="L4" s="319">
        <v>0</v>
      </c>
      <c r="M4" s="156">
        <f>M3+K4-L4</f>
        <v>8551.5867999999937</v>
      </c>
      <c r="N4" s="50" t="s">
        <v>166</v>
      </c>
      <c r="O4" s="5"/>
    </row>
    <row r="5" spans="1:15">
      <c r="A5" s="50">
        <v>2</v>
      </c>
      <c r="B5" s="233"/>
      <c r="C5" s="6"/>
      <c r="D5" s="6"/>
      <c r="E5" s="71"/>
      <c r="F5" s="6"/>
      <c r="G5" s="72">
        <f>E5*F5</f>
        <v>0</v>
      </c>
      <c r="H5" s="71"/>
      <c r="I5" s="6"/>
      <c r="J5" s="72"/>
      <c r="K5" s="72"/>
      <c r="L5" s="319">
        <v>0</v>
      </c>
      <c r="M5" s="156">
        <f t="shared" ref="M5:M46" si="0">M4+K5-L5</f>
        <v>8551.5867999999937</v>
      </c>
      <c r="N5" s="50" t="s">
        <v>166</v>
      </c>
      <c r="O5" s="5"/>
    </row>
    <row r="6" spans="1:15">
      <c r="A6" s="50">
        <v>3</v>
      </c>
      <c r="B6" s="233"/>
      <c r="C6" s="6"/>
      <c r="D6" s="6"/>
      <c r="E6" s="71"/>
      <c r="F6" s="6"/>
      <c r="G6" s="72">
        <f t="shared" ref="G6:G44" si="1">E6*F6</f>
        <v>0</v>
      </c>
      <c r="H6" s="71"/>
      <c r="I6" s="6"/>
      <c r="J6" s="72"/>
      <c r="K6" s="72"/>
      <c r="L6" s="319">
        <v>0</v>
      </c>
      <c r="M6" s="156">
        <f t="shared" si="0"/>
        <v>8551.5867999999937</v>
      </c>
      <c r="N6" s="50" t="s">
        <v>166</v>
      </c>
      <c r="O6" s="5"/>
    </row>
    <row r="7" spans="1:15">
      <c r="A7" s="208">
        <v>4</v>
      </c>
      <c r="B7" s="233"/>
      <c r="C7" s="6"/>
      <c r="D7" s="6"/>
      <c r="E7" s="71"/>
      <c r="F7" s="6"/>
      <c r="G7" s="72">
        <f t="shared" si="1"/>
        <v>0</v>
      </c>
      <c r="H7" s="71"/>
      <c r="I7" s="6"/>
      <c r="J7" s="72"/>
      <c r="K7" s="72"/>
      <c r="L7" s="319">
        <v>0</v>
      </c>
      <c r="M7" s="156">
        <f t="shared" si="0"/>
        <v>8551.5867999999937</v>
      </c>
      <c r="N7" s="50" t="s">
        <v>166</v>
      </c>
      <c r="O7" s="5"/>
    </row>
    <row r="8" spans="1:15">
      <c r="A8" s="50">
        <v>5</v>
      </c>
      <c r="B8" s="233"/>
      <c r="C8" s="6"/>
      <c r="D8" s="6"/>
      <c r="E8" s="71"/>
      <c r="F8" s="6"/>
      <c r="G8" s="72">
        <f t="shared" si="1"/>
        <v>0</v>
      </c>
      <c r="H8" s="71"/>
      <c r="I8" s="6"/>
      <c r="J8" s="72"/>
      <c r="K8" s="72"/>
      <c r="L8" s="319">
        <v>0</v>
      </c>
      <c r="M8" s="156">
        <f t="shared" si="0"/>
        <v>8551.5867999999937</v>
      </c>
      <c r="N8" s="50" t="s">
        <v>166</v>
      </c>
      <c r="O8" s="5"/>
    </row>
    <row r="9" spans="1:15">
      <c r="A9" s="50">
        <v>6</v>
      </c>
      <c r="B9" s="233"/>
      <c r="C9" s="6"/>
      <c r="D9" s="6"/>
      <c r="E9" s="71"/>
      <c r="F9" s="6"/>
      <c r="G9" s="72">
        <f t="shared" si="1"/>
        <v>0</v>
      </c>
      <c r="H9" s="71"/>
      <c r="I9" s="6"/>
      <c r="J9" s="72"/>
      <c r="K9" s="72"/>
      <c r="L9" s="319">
        <v>0</v>
      </c>
      <c r="M9" s="156">
        <f t="shared" si="0"/>
        <v>8551.5867999999937</v>
      </c>
      <c r="N9" s="50" t="s">
        <v>166</v>
      </c>
      <c r="O9" s="5"/>
    </row>
    <row r="10" spans="1:15">
      <c r="A10" s="208">
        <v>7</v>
      </c>
      <c r="B10" s="233"/>
      <c r="C10" s="6"/>
      <c r="D10" s="6"/>
      <c r="E10" s="71"/>
      <c r="F10" s="6"/>
      <c r="G10" s="72">
        <f t="shared" si="1"/>
        <v>0</v>
      </c>
      <c r="H10" s="71"/>
      <c r="I10" s="6"/>
      <c r="J10" s="72"/>
      <c r="K10" s="72"/>
      <c r="L10" s="319">
        <v>0</v>
      </c>
      <c r="M10" s="156">
        <f t="shared" si="0"/>
        <v>8551.5867999999937</v>
      </c>
      <c r="N10" s="50" t="s">
        <v>166</v>
      </c>
      <c r="O10" s="5"/>
    </row>
    <row r="11" spans="1:15">
      <c r="A11" s="50">
        <v>8</v>
      </c>
      <c r="B11" s="233"/>
      <c r="C11" s="6"/>
      <c r="D11" s="6"/>
      <c r="E11" s="343"/>
      <c r="F11" s="343"/>
      <c r="G11" s="72">
        <f t="shared" si="1"/>
        <v>0</v>
      </c>
      <c r="H11" s="71"/>
      <c r="I11" s="6"/>
      <c r="J11" s="72"/>
      <c r="K11" s="72"/>
      <c r="L11" s="319">
        <v>0</v>
      </c>
      <c r="M11" s="156">
        <f t="shared" si="0"/>
        <v>8551.5867999999937</v>
      </c>
      <c r="N11" s="50" t="s">
        <v>166</v>
      </c>
      <c r="O11" s="5"/>
    </row>
    <row r="12" spans="1:15">
      <c r="A12" s="50">
        <v>9</v>
      </c>
      <c r="B12" s="233"/>
      <c r="C12" s="6"/>
      <c r="D12" s="6"/>
      <c r="E12" s="343"/>
      <c r="F12" s="343"/>
      <c r="G12" s="72">
        <f t="shared" si="1"/>
        <v>0</v>
      </c>
      <c r="H12" s="71"/>
      <c r="I12" s="6"/>
      <c r="J12" s="72"/>
      <c r="K12" s="72"/>
      <c r="L12" s="319">
        <v>0</v>
      </c>
      <c r="M12" s="156">
        <f t="shared" si="0"/>
        <v>8551.5867999999937</v>
      </c>
      <c r="N12" s="50" t="s">
        <v>166</v>
      </c>
      <c r="O12" s="5"/>
    </row>
    <row r="13" spans="1:15">
      <c r="A13" s="208">
        <v>10</v>
      </c>
      <c r="B13" s="233"/>
      <c r="C13" s="6"/>
      <c r="D13" s="6"/>
      <c r="E13" s="71"/>
      <c r="F13" s="343"/>
      <c r="G13" s="72">
        <f t="shared" si="1"/>
        <v>0</v>
      </c>
      <c r="H13" s="71"/>
      <c r="I13" s="6"/>
      <c r="J13" s="72"/>
      <c r="K13" s="72"/>
      <c r="L13" s="319">
        <v>0</v>
      </c>
      <c r="M13" s="156">
        <f t="shared" si="0"/>
        <v>8551.5867999999937</v>
      </c>
      <c r="N13" s="50" t="s">
        <v>166</v>
      </c>
      <c r="O13" s="5"/>
    </row>
    <row r="14" spans="1:15">
      <c r="A14" s="50">
        <v>11</v>
      </c>
      <c r="B14" s="233"/>
      <c r="C14" s="6"/>
      <c r="D14" s="6"/>
      <c r="E14" s="71"/>
      <c r="F14" s="343"/>
      <c r="G14" s="72">
        <f t="shared" si="1"/>
        <v>0</v>
      </c>
      <c r="H14" s="71"/>
      <c r="I14" s="6"/>
      <c r="J14" s="72"/>
      <c r="K14" s="72"/>
      <c r="L14" s="319">
        <v>0</v>
      </c>
      <c r="M14" s="156">
        <f t="shared" si="0"/>
        <v>8551.5867999999937</v>
      </c>
      <c r="N14" s="50" t="s">
        <v>166</v>
      </c>
      <c r="O14" s="5"/>
    </row>
    <row r="15" spans="1:15">
      <c r="A15" s="50">
        <v>12</v>
      </c>
      <c r="B15" s="233"/>
      <c r="C15" s="6"/>
      <c r="D15" s="6"/>
      <c r="E15" s="71"/>
      <c r="F15" s="6"/>
      <c r="G15" s="72">
        <f t="shared" si="1"/>
        <v>0</v>
      </c>
      <c r="H15" s="71"/>
      <c r="I15" s="6"/>
      <c r="J15" s="72">
        <f>H15*I15</f>
        <v>0</v>
      </c>
      <c r="K15" s="72">
        <f>G15+J15</f>
        <v>0</v>
      </c>
      <c r="L15" s="319">
        <v>0</v>
      </c>
      <c r="M15" s="156">
        <f t="shared" si="0"/>
        <v>8551.5867999999937</v>
      </c>
      <c r="N15" s="50" t="s">
        <v>166</v>
      </c>
      <c r="O15" s="5"/>
    </row>
    <row r="16" spans="1:15">
      <c r="A16" s="208">
        <v>13</v>
      </c>
      <c r="B16" s="233"/>
      <c r="C16" s="6"/>
      <c r="D16" s="6"/>
      <c r="E16" s="71"/>
      <c r="F16" s="6"/>
      <c r="G16" s="72">
        <f t="shared" si="1"/>
        <v>0</v>
      </c>
      <c r="H16" s="71"/>
      <c r="I16" s="6"/>
      <c r="J16" s="72"/>
      <c r="K16" s="72"/>
      <c r="L16" s="319">
        <v>0</v>
      </c>
      <c r="M16" s="156">
        <f t="shared" si="0"/>
        <v>8551.5867999999937</v>
      </c>
      <c r="N16" s="50" t="s">
        <v>166</v>
      </c>
      <c r="O16" s="5"/>
    </row>
    <row r="17" spans="1:22">
      <c r="A17" s="50">
        <v>14</v>
      </c>
      <c r="B17" s="233"/>
      <c r="C17" s="6"/>
      <c r="D17" s="6"/>
      <c r="E17" s="71"/>
      <c r="F17" s="6"/>
      <c r="G17" s="72">
        <f t="shared" si="1"/>
        <v>0</v>
      </c>
      <c r="H17" s="71"/>
      <c r="I17" s="6"/>
      <c r="J17" s="72"/>
      <c r="K17" s="72"/>
      <c r="L17" s="319">
        <v>0</v>
      </c>
      <c r="M17" s="156">
        <f t="shared" si="0"/>
        <v>8551.5867999999937</v>
      </c>
      <c r="N17" s="50" t="s">
        <v>166</v>
      </c>
      <c r="O17" s="5"/>
    </row>
    <row r="18" spans="1:22">
      <c r="A18" s="50">
        <v>15</v>
      </c>
      <c r="B18" s="233" t="s">
        <v>107</v>
      </c>
      <c r="C18" s="6"/>
      <c r="D18" s="6"/>
      <c r="E18" s="71"/>
      <c r="F18" s="6"/>
      <c r="G18" s="72">
        <f t="shared" si="1"/>
        <v>0</v>
      </c>
      <c r="H18" s="71"/>
      <c r="I18" s="6"/>
      <c r="J18" s="72"/>
      <c r="K18" s="72"/>
      <c r="L18" s="319">
        <v>0</v>
      </c>
      <c r="M18" s="156">
        <f t="shared" si="0"/>
        <v>8551.5867999999937</v>
      </c>
      <c r="N18" s="50" t="s">
        <v>166</v>
      </c>
      <c r="O18" s="5"/>
    </row>
    <row r="19" spans="1:22">
      <c r="A19" s="208">
        <v>16</v>
      </c>
      <c r="B19" s="233"/>
      <c r="C19" s="6"/>
      <c r="D19" s="6"/>
      <c r="E19" s="71"/>
      <c r="F19" s="6"/>
      <c r="G19" s="72">
        <f t="shared" si="1"/>
        <v>0</v>
      </c>
      <c r="H19" s="71">
        <v>0</v>
      </c>
      <c r="I19" s="6"/>
      <c r="J19" s="72"/>
      <c r="K19" s="72"/>
      <c r="L19" s="319">
        <v>8500</v>
      </c>
      <c r="M19" s="156">
        <f t="shared" si="0"/>
        <v>51.586799999993673</v>
      </c>
      <c r="N19" s="50" t="s">
        <v>166</v>
      </c>
      <c r="O19" s="5"/>
    </row>
    <row r="20" spans="1:22">
      <c r="A20" s="50">
        <v>17</v>
      </c>
      <c r="B20" s="233"/>
      <c r="C20" s="6"/>
      <c r="D20" s="6"/>
      <c r="E20" s="71"/>
      <c r="F20" s="6"/>
      <c r="G20" s="72">
        <f t="shared" si="1"/>
        <v>0</v>
      </c>
      <c r="H20" s="71">
        <v>0</v>
      </c>
      <c r="I20" s="6"/>
      <c r="J20" s="72"/>
      <c r="K20" s="72"/>
      <c r="L20" s="319">
        <v>0</v>
      </c>
      <c r="M20" s="156">
        <f t="shared" si="0"/>
        <v>51.586799999993673</v>
      </c>
      <c r="N20" s="50" t="s">
        <v>166</v>
      </c>
      <c r="O20" s="5"/>
    </row>
    <row r="21" spans="1:22">
      <c r="A21" s="50">
        <v>18</v>
      </c>
      <c r="B21" s="233"/>
      <c r="C21" s="6"/>
      <c r="D21" s="6"/>
      <c r="E21" s="71"/>
      <c r="F21" s="6"/>
      <c r="G21" s="72">
        <f t="shared" si="1"/>
        <v>0</v>
      </c>
      <c r="H21" s="71">
        <v>0</v>
      </c>
      <c r="I21" s="6"/>
      <c r="J21" s="72"/>
      <c r="K21" s="72"/>
      <c r="L21" s="319">
        <v>51.59</v>
      </c>
      <c r="M21" s="156">
        <f t="shared" si="0"/>
        <v>-3.2000000063305833E-3</v>
      </c>
      <c r="N21" s="50" t="s">
        <v>166</v>
      </c>
      <c r="O21" s="5"/>
      <c r="Q21">
        <f>76.54*91.45</f>
        <v>6999.5830000000005</v>
      </c>
      <c r="T21">
        <f>25*600</f>
        <v>15000</v>
      </c>
      <c r="U21">
        <f>T21*2</f>
        <v>30000</v>
      </c>
      <c r="V21">
        <f>250*600</f>
        <v>150000</v>
      </c>
    </row>
    <row r="22" spans="1:22">
      <c r="A22" s="208">
        <v>19</v>
      </c>
      <c r="B22" s="233"/>
      <c r="C22" s="6"/>
      <c r="D22" s="6"/>
      <c r="E22" s="71"/>
      <c r="F22" s="6"/>
      <c r="G22" s="72">
        <f t="shared" si="1"/>
        <v>0</v>
      </c>
      <c r="H22" s="71">
        <v>0</v>
      </c>
      <c r="I22" s="6"/>
      <c r="J22" s="72"/>
      <c r="K22" s="72"/>
      <c r="L22" s="319">
        <v>0</v>
      </c>
      <c r="M22" s="156">
        <f t="shared" si="0"/>
        <v>-3.2000000063305833E-3</v>
      </c>
      <c r="N22" s="50" t="s">
        <v>166</v>
      </c>
      <c r="O22" s="5"/>
      <c r="T22">
        <f>25*480</f>
        <v>12000</v>
      </c>
      <c r="U22">
        <f>T22*2</f>
        <v>24000</v>
      </c>
      <c r="V22">
        <f>250*480</f>
        <v>120000</v>
      </c>
    </row>
    <row r="23" spans="1:22">
      <c r="A23" s="50">
        <v>20</v>
      </c>
      <c r="B23" s="233"/>
      <c r="C23" s="6"/>
      <c r="D23" s="6"/>
      <c r="E23" s="71"/>
      <c r="F23" s="6"/>
      <c r="G23" s="72">
        <f t="shared" si="1"/>
        <v>0</v>
      </c>
      <c r="H23" s="71">
        <v>0</v>
      </c>
      <c r="I23" s="6"/>
      <c r="J23" s="72"/>
      <c r="K23" s="72"/>
      <c r="L23" s="319">
        <v>0</v>
      </c>
      <c r="M23" s="156">
        <f t="shared" si="0"/>
        <v>-3.2000000063305833E-3</v>
      </c>
      <c r="N23" s="50" t="s">
        <v>166</v>
      </c>
      <c r="O23" s="5"/>
    </row>
    <row r="24" spans="1:22">
      <c r="A24" s="50">
        <v>21</v>
      </c>
      <c r="B24" s="233"/>
      <c r="C24" s="6"/>
      <c r="D24" s="6"/>
      <c r="E24" s="71"/>
      <c r="F24" s="6"/>
      <c r="G24" s="72">
        <f t="shared" si="1"/>
        <v>0</v>
      </c>
      <c r="H24" s="71">
        <v>0</v>
      </c>
      <c r="I24" s="6"/>
      <c r="J24" s="72"/>
      <c r="K24" s="72"/>
      <c r="L24" s="319">
        <v>0</v>
      </c>
      <c r="M24" s="156">
        <f t="shared" si="0"/>
        <v>-3.2000000063305833E-3</v>
      </c>
      <c r="N24" s="50" t="s">
        <v>166</v>
      </c>
      <c r="O24" s="5"/>
    </row>
    <row r="25" spans="1:22">
      <c r="A25" s="208">
        <v>22</v>
      </c>
      <c r="B25" s="233"/>
      <c r="C25" s="6"/>
      <c r="D25" s="6"/>
      <c r="E25" s="71"/>
      <c r="F25" s="6"/>
      <c r="G25" s="72">
        <f t="shared" si="1"/>
        <v>0</v>
      </c>
      <c r="H25" s="71">
        <v>0</v>
      </c>
      <c r="I25" s="6"/>
      <c r="J25" s="72"/>
      <c r="K25" s="72"/>
      <c r="L25" s="319">
        <v>0</v>
      </c>
      <c r="M25" s="156">
        <f t="shared" si="0"/>
        <v>-3.2000000063305833E-3</v>
      </c>
      <c r="N25" s="50" t="s">
        <v>166</v>
      </c>
      <c r="O25" s="5"/>
    </row>
    <row r="26" spans="1:22">
      <c r="A26" s="50">
        <v>23</v>
      </c>
      <c r="B26" s="233"/>
      <c r="C26" s="6"/>
      <c r="D26" s="6"/>
      <c r="E26" s="71"/>
      <c r="F26" s="6"/>
      <c r="G26" s="72">
        <f t="shared" si="1"/>
        <v>0</v>
      </c>
      <c r="H26" s="71">
        <v>0</v>
      </c>
      <c r="I26" s="6"/>
      <c r="J26" s="72"/>
      <c r="K26" s="72"/>
      <c r="L26" s="319">
        <v>0</v>
      </c>
      <c r="M26" s="156">
        <f t="shared" si="0"/>
        <v>-3.2000000063305833E-3</v>
      </c>
      <c r="N26" s="50" t="s">
        <v>166</v>
      </c>
      <c r="O26" s="5">
        <v>14616</v>
      </c>
    </row>
    <row r="27" spans="1:22">
      <c r="A27" s="50">
        <v>24</v>
      </c>
      <c r="B27" s="233"/>
      <c r="C27" s="6"/>
      <c r="D27" s="6"/>
      <c r="E27" s="71"/>
      <c r="F27" s="6"/>
      <c r="G27" s="72">
        <f t="shared" si="1"/>
        <v>0</v>
      </c>
      <c r="H27" s="71">
        <v>0</v>
      </c>
      <c r="I27" s="6"/>
      <c r="J27" s="72"/>
      <c r="K27" s="72"/>
      <c r="L27" s="319">
        <v>0</v>
      </c>
      <c r="M27" s="156">
        <f t="shared" si="0"/>
        <v>-3.2000000063305833E-3</v>
      </c>
      <c r="N27" s="50" t="s">
        <v>166</v>
      </c>
      <c r="O27" s="5"/>
    </row>
    <row r="28" spans="1:22">
      <c r="A28" s="208">
        <v>25</v>
      </c>
      <c r="B28" s="233"/>
      <c r="C28" s="6"/>
      <c r="D28" s="6"/>
      <c r="E28" s="71"/>
      <c r="F28" s="6"/>
      <c r="G28" s="72">
        <f t="shared" si="1"/>
        <v>0</v>
      </c>
      <c r="H28" s="71">
        <v>0</v>
      </c>
      <c r="I28" s="6"/>
      <c r="J28" s="72"/>
      <c r="K28" s="72"/>
      <c r="L28" s="319">
        <v>0</v>
      </c>
      <c r="M28" s="156">
        <f t="shared" si="0"/>
        <v>-3.2000000063305833E-3</v>
      </c>
      <c r="N28" s="50" t="s">
        <v>166</v>
      </c>
      <c r="O28" s="5"/>
    </row>
    <row r="29" spans="1:22">
      <c r="A29" s="50">
        <v>26</v>
      </c>
      <c r="B29" s="233"/>
      <c r="C29" s="6"/>
      <c r="D29" s="6"/>
      <c r="E29" s="71"/>
      <c r="F29" s="6"/>
      <c r="G29" s="72">
        <f t="shared" si="1"/>
        <v>0</v>
      </c>
      <c r="H29" s="71">
        <v>0</v>
      </c>
      <c r="I29" s="6"/>
      <c r="J29" s="72"/>
      <c r="K29" s="72"/>
      <c r="L29" s="319">
        <v>0</v>
      </c>
      <c r="M29" s="156">
        <f t="shared" si="0"/>
        <v>-3.2000000063305833E-3</v>
      </c>
      <c r="N29" s="50" t="s">
        <v>166</v>
      </c>
      <c r="O29" s="5"/>
    </row>
    <row r="30" spans="1:22">
      <c r="A30" s="50">
        <v>27</v>
      </c>
      <c r="B30" s="233"/>
      <c r="C30" s="6"/>
      <c r="D30" s="6"/>
      <c r="E30" s="71"/>
      <c r="F30" s="6"/>
      <c r="G30" s="72">
        <f t="shared" si="1"/>
        <v>0</v>
      </c>
      <c r="H30" s="71">
        <v>0</v>
      </c>
      <c r="I30" s="6"/>
      <c r="J30" s="72"/>
      <c r="K30" s="72"/>
      <c r="L30" s="319">
        <v>0</v>
      </c>
      <c r="M30" s="156">
        <f t="shared" si="0"/>
        <v>-3.2000000063305833E-3</v>
      </c>
      <c r="N30" s="50" t="s">
        <v>166</v>
      </c>
      <c r="O30" s="5"/>
    </row>
    <row r="31" spans="1:22">
      <c r="A31" s="208">
        <v>28</v>
      </c>
      <c r="B31" s="233"/>
      <c r="C31" s="6"/>
      <c r="D31" s="6"/>
      <c r="E31" s="71"/>
      <c r="F31" s="6"/>
      <c r="G31" s="72">
        <f t="shared" si="1"/>
        <v>0</v>
      </c>
      <c r="H31" s="71">
        <v>0</v>
      </c>
      <c r="I31" s="6"/>
      <c r="J31" s="72"/>
      <c r="K31" s="72"/>
      <c r="L31" s="319">
        <v>0</v>
      </c>
      <c r="M31" s="156">
        <f t="shared" si="0"/>
        <v>-3.2000000063305833E-3</v>
      </c>
      <c r="N31" s="50" t="s">
        <v>166</v>
      </c>
      <c r="O31" s="5"/>
    </row>
    <row r="32" spans="1:22">
      <c r="A32" s="50">
        <v>29</v>
      </c>
      <c r="B32" s="233"/>
      <c r="C32" s="6"/>
      <c r="D32" s="6"/>
      <c r="E32" s="71"/>
      <c r="F32" s="6"/>
      <c r="G32" s="72">
        <f t="shared" si="1"/>
        <v>0</v>
      </c>
      <c r="H32" s="71">
        <v>0</v>
      </c>
      <c r="I32" s="6"/>
      <c r="J32" s="72"/>
      <c r="K32" s="72"/>
      <c r="L32" s="319">
        <v>0</v>
      </c>
      <c r="M32" s="156">
        <f t="shared" si="0"/>
        <v>-3.2000000063305833E-3</v>
      </c>
      <c r="N32" s="50" t="s">
        <v>166</v>
      </c>
      <c r="O32" s="5"/>
    </row>
    <row r="33" spans="1:15">
      <c r="A33" s="50">
        <v>30</v>
      </c>
      <c r="B33" s="233"/>
      <c r="C33" s="6"/>
      <c r="D33" s="6"/>
      <c r="E33" s="71"/>
      <c r="F33" s="6"/>
      <c r="G33" s="72">
        <f t="shared" si="1"/>
        <v>0</v>
      </c>
      <c r="H33" s="71">
        <v>0</v>
      </c>
      <c r="I33" s="6"/>
      <c r="J33" s="72"/>
      <c r="K33" s="72"/>
      <c r="L33" s="319">
        <v>0</v>
      </c>
      <c r="M33" s="156">
        <f t="shared" si="0"/>
        <v>-3.2000000063305833E-3</v>
      </c>
      <c r="N33" s="50" t="s">
        <v>166</v>
      </c>
      <c r="O33" s="5"/>
    </row>
    <row r="34" spans="1:15">
      <c r="A34" s="208">
        <v>31</v>
      </c>
      <c r="B34" s="233"/>
      <c r="C34" s="6"/>
      <c r="D34" s="6"/>
      <c r="E34" s="71"/>
      <c r="F34" s="6"/>
      <c r="G34" s="72">
        <f t="shared" si="1"/>
        <v>0</v>
      </c>
      <c r="H34" s="71">
        <v>0</v>
      </c>
      <c r="I34" s="6"/>
      <c r="J34" s="72"/>
      <c r="K34" s="72"/>
      <c r="L34" s="319">
        <v>0</v>
      </c>
      <c r="M34" s="156">
        <f t="shared" si="0"/>
        <v>-3.2000000063305833E-3</v>
      </c>
      <c r="N34" s="50" t="s">
        <v>166</v>
      </c>
      <c r="O34" s="5"/>
    </row>
    <row r="35" spans="1:15">
      <c r="A35" s="50">
        <v>32</v>
      </c>
      <c r="B35" s="233"/>
      <c r="C35" s="6"/>
      <c r="D35" s="6"/>
      <c r="E35" s="71"/>
      <c r="F35" s="6"/>
      <c r="G35" s="72">
        <f t="shared" si="1"/>
        <v>0</v>
      </c>
      <c r="H35" s="71">
        <v>0</v>
      </c>
      <c r="I35" s="6"/>
      <c r="J35" s="72"/>
      <c r="K35" s="72"/>
      <c r="L35" s="319">
        <v>0</v>
      </c>
      <c r="M35" s="156">
        <f t="shared" si="0"/>
        <v>-3.2000000063305833E-3</v>
      </c>
      <c r="N35" s="50" t="s">
        <v>166</v>
      </c>
      <c r="O35" s="5"/>
    </row>
    <row r="36" spans="1:15">
      <c r="A36" s="50">
        <v>33</v>
      </c>
      <c r="B36" s="233"/>
      <c r="C36" s="6"/>
      <c r="D36" s="6"/>
      <c r="E36" s="71"/>
      <c r="F36" s="6"/>
      <c r="G36" s="72">
        <f t="shared" si="1"/>
        <v>0</v>
      </c>
      <c r="H36" s="71">
        <v>0</v>
      </c>
      <c r="I36" s="6"/>
      <c r="J36" s="72"/>
      <c r="K36" s="72"/>
      <c r="L36" s="319">
        <v>0</v>
      </c>
      <c r="M36" s="156">
        <f t="shared" si="0"/>
        <v>-3.2000000063305833E-3</v>
      </c>
      <c r="N36" s="50" t="s">
        <v>166</v>
      </c>
      <c r="O36" s="5"/>
    </row>
    <row r="37" spans="1:15">
      <c r="A37" s="208">
        <v>34</v>
      </c>
      <c r="B37" s="233"/>
      <c r="C37" s="6"/>
      <c r="D37" s="6"/>
      <c r="E37" s="71"/>
      <c r="F37" s="6"/>
      <c r="G37" s="72">
        <f t="shared" si="1"/>
        <v>0</v>
      </c>
      <c r="H37" s="71">
        <v>0</v>
      </c>
      <c r="I37" s="6"/>
      <c r="J37" s="72"/>
      <c r="K37" s="72"/>
      <c r="L37" s="319">
        <v>0</v>
      </c>
      <c r="M37" s="156">
        <f t="shared" si="0"/>
        <v>-3.2000000063305833E-3</v>
      </c>
      <c r="N37" s="50" t="s">
        <v>166</v>
      </c>
      <c r="O37" s="5"/>
    </row>
    <row r="38" spans="1:15">
      <c r="A38" s="50">
        <v>35</v>
      </c>
      <c r="B38" s="233"/>
      <c r="C38" s="6"/>
      <c r="D38" s="6"/>
      <c r="E38" s="71"/>
      <c r="F38" s="6"/>
      <c r="G38" s="72">
        <f t="shared" si="1"/>
        <v>0</v>
      </c>
      <c r="H38" s="71">
        <v>0</v>
      </c>
      <c r="I38" s="6"/>
      <c r="J38" s="72"/>
      <c r="K38" s="72"/>
      <c r="L38" s="319">
        <v>0</v>
      </c>
      <c r="M38" s="156">
        <f t="shared" si="0"/>
        <v>-3.2000000063305833E-3</v>
      </c>
      <c r="N38" s="6"/>
      <c r="O38" s="5"/>
    </row>
    <row r="39" spans="1:15">
      <c r="A39" s="50">
        <v>36</v>
      </c>
      <c r="B39" s="233"/>
      <c r="C39" s="6"/>
      <c r="D39" s="6"/>
      <c r="E39" s="71"/>
      <c r="F39" s="6"/>
      <c r="G39" s="72">
        <f t="shared" si="1"/>
        <v>0</v>
      </c>
      <c r="H39" s="71">
        <v>0</v>
      </c>
      <c r="I39" s="6"/>
      <c r="J39" s="72"/>
      <c r="K39" s="72"/>
      <c r="L39" s="319">
        <v>0</v>
      </c>
      <c r="M39" s="156">
        <f t="shared" si="0"/>
        <v>-3.2000000063305833E-3</v>
      </c>
      <c r="N39" s="6"/>
      <c r="O39" s="5"/>
    </row>
    <row r="40" spans="1:15">
      <c r="A40" s="208">
        <v>37</v>
      </c>
      <c r="B40" s="233"/>
      <c r="C40" s="6"/>
      <c r="D40" s="6"/>
      <c r="E40" s="71"/>
      <c r="F40" s="6"/>
      <c r="G40" s="72">
        <f t="shared" si="1"/>
        <v>0</v>
      </c>
      <c r="H40" s="71">
        <v>0</v>
      </c>
      <c r="I40" s="6"/>
      <c r="J40" s="72"/>
      <c r="K40" s="72"/>
      <c r="L40" s="319">
        <v>0</v>
      </c>
      <c r="M40" s="156">
        <f t="shared" si="0"/>
        <v>-3.2000000063305833E-3</v>
      </c>
      <c r="N40" s="6"/>
      <c r="O40" s="5"/>
    </row>
    <row r="41" spans="1:15">
      <c r="A41" s="50">
        <v>38</v>
      </c>
      <c r="B41" s="233"/>
      <c r="C41" s="6"/>
      <c r="D41" s="6"/>
      <c r="E41" s="71"/>
      <c r="F41" s="6"/>
      <c r="G41" s="72">
        <f t="shared" si="1"/>
        <v>0</v>
      </c>
      <c r="H41" s="71">
        <v>0</v>
      </c>
      <c r="I41" s="6"/>
      <c r="J41" s="72"/>
      <c r="K41" s="72"/>
      <c r="L41" s="319">
        <v>0</v>
      </c>
      <c r="M41" s="156">
        <f t="shared" si="0"/>
        <v>-3.2000000063305833E-3</v>
      </c>
      <c r="N41" s="6"/>
      <c r="O41" s="5"/>
    </row>
    <row r="42" spans="1:15">
      <c r="A42" s="50">
        <v>39</v>
      </c>
      <c r="B42" s="233"/>
      <c r="C42" s="6"/>
      <c r="D42" s="6"/>
      <c r="E42" s="71"/>
      <c r="F42" s="6"/>
      <c r="G42" s="72">
        <f t="shared" si="1"/>
        <v>0</v>
      </c>
      <c r="H42" s="71">
        <v>0</v>
      </c>
      <c r="I42" s="6"/>
      <c r="J42" s="72"/>
      <c r="K42" s="72"/>
      <c r="L42" s="319">
        <v>0</v>
      </c>
      <c r="M42" s="156">
        <f t="shared" si="0"/>
        <v>-3.2000000063305833E-3</v>
      </c>
      <c r="N42" s="6"/>
      <c r="O42" s="5"/>
    </row>
    <row r="43" spans="1:15">
      <c r="A43" s="208">
        <v>40</v>
      </c>
      <c r="B43" s="179"/>
      <c r="C43" s="178"/>
      <c r="D43" s="6"/>
      <c r="E43" s="71"/>
      <c r="F43" s="6"/>
      <c r="G43" s="72">
        <f t="shared" si="1"/>
        <v>0</v>
      </c>
      <c r="H43" s="71">
        <v>0</v>
      </c>
      <c r="I43" s="6"/>
      <c r="J43" s="72"/>
      <c r="K43" s="72"/>
      <c r="L43" s="319">
        <v>0</v>
      </c>
      <c r="M43" s="156">
        <f t="shared" si="0"/>
        <v>-3.2000000063305833E-3</v>
      </c>
      <c r="N43" s="178"/>
      <c r="O43" s="5"/>
    </row>
    <row r="44" spans="1:15">
      <c r="A44" s="50">
        <v>41</v>
      </c>
      <c r="B44" s="6"/>
      <c r="C44" s="6"/>
      <c r="D44" s="6"/>
      <c r="E44" s="71">
        <v>0</v>
      </c>
      <c r="F44" s="6">
        <v>0</v>
      </c>
      <c r="G44" s="72">
        <f t="shared" si="1"/>
        <v>0</v>
      </c>
      <c r="H44" s="71">
        <v>0</v>
      </c>
      <c r="I44" s="6"/>
      <c r="J44" s="72"/>
      <c r="K44" s="72"/>
      <c r="L44" s="319">
        <v>0</v>
      </c>
      <c r="M44" s="156">
        <f t="shared" si="0"/>
        <v>-3.2000000063305833E-3</v>
      </c>
      <c r="N44" s="6"/>
      <c r="O44" s="5"/>
    </row>
    <row r="45" spans="1:15">
      <c r="A45" s="50">
        <v>42</v>
      </c>
      <c r="B45" s="178"/>
      <c r="C45" s="178"/>
      <c r="D45" s="6"/>
      <c r="E45" s="71">
        <v>0</v>
      </c>
      <c r="F45" s="6">
        <v>0</v>
      </c>
      <c r="G45" s="72">
        <f t="shared" ref="G45:G46" si="2">E45*F45</f>
        <v>0</v>
      </c>
      <c r="H45" s="71"/>
      <c r="I45" s="6"/>
      <c r="J45" s="72"/>
      <c r="K45" s="180"/>
      <c r="L45" s="170">
        <f t="shared" ref="L45:L46" si="3">+K45</f>
        <v>0</v>
      </c>
      <c r="M45" s="156">
        <f t="shared" si="0"/>
        <v>-3.2000000063305833E-3</v>
      </c>
      <c r="N45" s="178"/>
      <c r="O45" s="5"/>
    </row>
    <row r="46" spans="1:15">
      <c r="A46" s="50"/>
      <c r="B46" s="178"/>
      <c r="C46" s="178"/>
      <c r="D46" s="6"/>
      <c r="E46" s="71">
        <v>0</v>
      </c>
      <c r="F46" s="6">
        <v>0</v>
      </c>
      <c r="G46" s="72">
        <f t="shared" si="2"/>
        <v>0</v>
      </c>
      <c r="H46" s="71"/>
      <c r="I46" s="6"/>
      <c r="J46" s="72"/>
      <c r="K46" s="180"/>
      <c r="L46" s="181">
        <f t="shared" si="3"/>
        <v>0</v>
      </c>
      <c r="M46" s="156">
        <f t="shared" si="0"/>
        <v>-3.2000000063305833E-3</v>
      </c>
      <c r="N46" s="178"/>
      <c r="O46" s="5"/>
    </row>
    <row r="47" spans="1:15">
      <c r="A47" s="68"/>
      <c r="B47" s="68"/>
      <c r="C47" s="68"/>
      <c r="D47" s="68"/>
      <c r="E47" s="69">
        <f>SUM(E4:E46)</f>
        <v>0</v>
      </c>
      <c r="F47" s="69"/>
      <c r="G47" s="69">
        <f>SUM(G4:G46)</f>
        <v>0</v>
      </c>
      <c r="H47" s="69">
        <f>SUM(H4:H46)</f>
        <v>0</v>
      </c>
      <c r="I47" s="69"/>
      <c r="J47" s="69">
        <f>SUM(J4:J46)</f>
        <v>0</v>
      </c>
      <c r="K47" s="69">
        <f>SUM(K4:K46)</f>
        <v>0</v>
      </c>
      <c r="L47" s="69">
        <f>SUM(L4:L46)</f>
        <v>8551.59</v>
      </c>
      <c r="M47" s="69"/>
      <c r="N47" s="69"/>
      <c r="O47" s="65"/>
    </row>
    <row r="48" spans="1:15">
      <c r="A48" s="5"/>
      <c r="B48" s="5"/>
      <c r="C48" s="5"/>
      <c r="D48" s="5"/>
      <c r="E48" s="5"/>
      <c r="F48" s="5"/>
      <c r="G48" s="108"/>
      <c r="H48" s="5"/>
      <c r="I48" s="5"/>
      <c r="J48" s="108"/>
      <c r="K48" s="5"/>
      <c r="L48" s="108"/>
      <c r="M48" s="108"/>
      <c r="N48" s="5"/>
      <c r="O48" s="5"/>
    </row>
    <row r="49" spans="1:15">
      <c r="A49" s="5"/>
      <c r="B49" s="5"/>
      <c r="C49" s="5"/>
      <c r="D49" s="5"/>
      <c r="E49" s="5"/>
      <c r="F49" s="5"/>
      <c r="G49" s="108"/>
      <c r="H49" s="5"/>
      <c r="I49" s="5"/>
      <c r="J49" s="108"/>
      <c r="K49" s="5"/>
      <c r="L49" s="108"/>
      <c r="M49" s="108"/>
      <c r="N49" s="5"/>
      <c r="O49" s="5"/>
    </row>
  </sheetData>
  <mergeCells count="3">
    <mergeCell ref="A1:N1"/>
    <mergeCell ref="A3:L3"/>
    <mergeCell ref="M3:N3"/>
  </mergeCell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058-2F8F-4405-8583-71BCC6F7E6DD}">
  <sheetPr>
    <tabColor theme="9" tint="0.39997558519241921"/>
  </sheetPr>
  <dimension ref="A1:O50"/>
  <sheetViews>
    <sheetView topLeftCell="A21" workbookViewId="0">
      <selection activeCell="N4" sqref="N4:N39"/>
    </sheetView>
  </sheetViews>
  <sheetFormatPr defaultRowHeight="15"/>
  <cols>
    <col min="2" max="2" width="10.85546875" bestFit="1" customWidth="1"/>
    <col min="7" max="7" width="11.85546875" bestFit="1" customWidth="1"/>
    <col min="11" max="11" width="13.5703125" bestFit="1" customWidth="1"/>
    <col min="12" max="12" width="12.42578125" bestFit="1" customWidth="1"/>
    <col min="13" max="13" width="11.5703125" bestFit="1" customWidth="1"/>
  </cols>
  <sheetData>
    <row r="1" spans="1:15" ht="15.75">
      <c r="A1" s="470" t="s">
        <v>93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5"/>
    </row>
    <row r="2" spans="1:15" ht="45">
      <c r="A2" s="70" t="s">
        <v>122</v>
      </c>
      <c r="B2" s="89" t="s">
        <v>123</v>
      </c>
      <c r="C2" s="89" t="s">
        <v>124</v>
      </c>
      <c r="D2" s="89" t="s">
        <v>139</v>
      </c>
      <c r="E2" s="89" t="s">
        <v>126</v>
      </c>
      <c r="F2" s="89" t="s">
        <v>127</v>
      </c>
      <c r="G2" s="96" t="s">
        <v>128</v>
      </c>
      <c r="H2" s="89" t="s">
        <v>129</v>
      </c>
      <c r="I2" s="89" t="s">
        <v>127</v>
      </c>
      <c r="J2" s="96" t="s">
        <v>128</v>
      </c>
      <c r="K2" s="70" t="s">
        <v>130</v>
      </c>
      <c r="L2" s="97" t="s">
        <v>131</v>
      </c>
      <c r="M2" s="91" t="s">
        <v>138</v>
      </c>
      <c r="N2" s="89" t="s">
        <v>133</v>
      </c>
      <c r="O2" s="5"/>
    </row>
    <row r="3" spans="1:15">
      <c r="A3" s="494" t="s">
        <v>134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6"/>
      <c r="M3" s="497">
        <v>75469.959399999992</v>
      </c>
      <c r="N3" s="498"/>
      <c r="O3" s="5"/>
    </row>
    <row r="4" spans="1:15">
      <c r="A4" s="208">
        <v>1</v>
      </c>
      <c r="B4" s="233"/>
      <c r="C4" s="6"/>
      <c r="D4" s="6"/>
      <c r="E4" s="71"/>
      <c r="F4" s="6"/>
      <c r="G4" s="72">
        <f>E4*F4</f>
        <v>0</v>
      </c>
      <c r="H4" s="71"/>
      <c r="I4" s="6"/>
      <c r="J4" s="72">
        <f>H4*I4</f>
        <v>0</v>
      </c>
      <c r="K4" s="72">
        <f>G4+J4</f>
        <v>0</v>
      </c>
      <c r="L4" s="319">
        <v>0</v>
      </c>
      <c r="M4" s="156">
        <f>M3+K4-L4</f>
        <v>75469.959399999992</v>
      </c>
      <c r="N4" s="50"/>
      <c r="O4" s="5"/>
    </row>
    <row r="5" spans="1:15">
      <c r="A5" s="50">
        <v>2</v>
      </c>
      <c r="B5" s="233" t="s">
        <v>168</v>
      </c>
      <c r="C5" s="6"/>
      <c r="D5" s="6"/>
      <c r="E5" s="71">
        <v>50.55</v>
      </c>
      <c r="F5" s="6">
        <v>91.42</v>
      </c>
      <c r="G5" s="72">
        <f t="shared" ref="G5:G22" si="0">E5*F5</f>
        <v>4621.2809999999999</v>
      </c>
      <c r="H5" s="71">
        <v>5</v>
      </c>
      <c r="I5" s="6">
        <v>110.61</v>
      </c>
      <c r="J5" s="72">
        <f t="shared" ref="J5:J22" si="1">H5*I5</f>
        <v>553.04999999999995</v>
      </c>
      <c r="K5" s="72">
        <f t="shared" ref="K5:K47" si="2">G5+J5</f>
        <v>5174.3310000000001</v>
      </c>
      <c r="L5" s="319">
        <v>0</v>
      </c>
      <c r="M5" s="156">
        <f t="shared" ref="M5:M47" si="3">M4+K5-L5</f>
        <v>80644.290399999998</v>
      </c>
      <c r="N5" s="50"/>
      <c r="O5" s="5"/>
    </row>
    <row r="6" spans="1:15">
      <c r="A6" s="50">
        <v>3</v>
      </c>
      <c r="B6" s="233" t="s">
        <v>169</v>
      </c>
      <c r="C6" s="6"/>
      <c r="D6" s="6"/>
      <c r="E6" s="71"/>
      <c r="F6" s="6"/>
      <c r="G6" s="72">
        <f t="shared" si="0"/>
        <v>0</v>
      </c>
      <c r="H6" s="71">
        <v>5</v>
      </c>
      <c r="I6" s="6">
        <v>103.35</v>
      </c>
      <c r="J6" s="72">
        <f t="shared" si="1"/>
        <v>516.75</v>
      </c>
      <c r="K6" s="72">
        <f t="shared" si="2"/>
        <v>516.75</v>
      </c>
      <c r="L6" s="319">
        <v>0</v>
      </c>
      <c r="M6" s="156">
        <f t="shared" si="3"/>
        <v>81161.040399999998</v>
      </c>
      <c r="N6" s="50"/>
      <c r="O6" s="5"/>
    </row>
    <row r="7" spans="1:15">
      <c r="A7" s="208">
        <v>4</v>
      </c>
      <c r="B7" s="233" t="s">
        <v>170</v>
      </c>
      <c r="C7" s="6"/>
      <c r="D7" s="6"/>
      <c r="E7" s="71">
        <v>260</v>
      </c>
      <c r="F7" s="6">
        <v>91.42</v>
      </c>
      <c r="G7" s="72">
        <f t="shared" si="0"/>
        <v>23769.200000000001</v>
      </c>
      <c r="H7" s="71">
        <v>0</v>
      </c>
      <c r="I7" s="6">
        <v>103.35</v>
      </c>
      <c r="J7" s="72">
        <f t="shared" si="1"/>
        <v>0</v>
      </c>
      <c r="K7" s="72">
        <f t="shared" si="2"/>
        <v>23769.200000000001</v>
      </c>
      <c r="L7" s="319"/>
      <c r="M7" s="156">
        <f t="shared" si="3"/>
        <v>104930.2404</v>
      </c>
      <c r="N7" s="50"/>
      <c r="O7" s="5"/>
    </row>
    <row r="8" spans="1:15">
      <c r="A8" s="50">
        <v>5</v>
      </c>
      <c r="B8" s="233" t="s">
        <v>171</v>
      </c>
      <c r="C8" s="6"/>
      <c r="D8" s="6"/>
      <c r="E8" s="71">
        <v>97.44</v>
      </c>
      <c r="F8" s="6">
        <v>91.42</v>
      </c>
      <c r="G8" s="72">
        <f t="shared" si="0"/>
        <v>8907.9647999999997</v>
      </c>
      <c r="H8" s="71"/>
      <c r="I8" s="6"/>
      <c r="J8" s="72">
        <f t="shared" si="1"/>
        <v>0</v>
      </c>
      <c r="K8" s="72">
        <f t="shared" si="2"/>
        <v>8907.9647999999997</v>
      </c>
      <c r="L8" s="319"/>
      <c r="M8" s="156">
        <f t="shared" si="3"/>
        <v>113838.2052</v>
      </c>
      <c r="N8" s="50"/>
      <c r="O8" s="5"/>
    </row>
    <row r="9" spans="1:15">
      <c r="A9" s="50">
        <v>6</v>
      </c>
      <c r="B9" s="233" t="s">
        <v>172</v>
      </c>
      <c r="C9" s="6"/>
      <c r="D9" s="6"/>
      <c r="E9" s="71">
        <v>20</v>
      </c>
      <c r="F9" s="6">
        <v>91.42</v>
      </c>
      <c r="G9" s="72">
        <f t="shared" si="0"/>
        <v>1828.4</v>
      </c>
      <c r="H9" s="71">
        <v>5</v>
      </c>
      <c r="I9" s="6">
        <v>103.35</v>
      </c>
      <c r="J9" s="72">
        <f t="shared" si="1"/>
        <v>516.75</v>
      </c>
      <c r="K9" s="72">
        <f t="shared" si="2"/>
        <v>2345.15</v>
      </c>
      <c r="L9" s="319"/>
      <c r="M9" s="156">
        <f t="shared" si="3"/>
        <v>116183.35519999999</v>
      </c>
      <c r="N9" s="50"/>
      <c r="O9" s="5"/>
    </row>
    <row r="10" spans="1:15">
      <c r="A10" s="208"/>
      <c r="B10" s="233" t="s">
        <v>172</v>
      </c>
      <c r="C10" s="6"/>
      <c r="D10" s="6"/>
      <c r="E10" s="71"/>
      <c r="F10" s="6"/>
      <c r="G10" s="72"/>
      <c r="H10" s="71">
        <v>5</v>
      </c>
      <c r="I10" s="6">
        <v>110.61</v>
      </c>
      <c r="J10" s="72">
        <f t="shared" si="1"/>
        <v>553.04999999999995</v>
      </c>
      <c r="K10" s="72">
        <f t="shared" si="2"/>
        <v>553.04999999999995</v>
      </c>
      <c r="L10" s="319"/>
      <c r="M10" s="156">
        <f t="shared" si="3"/>
        <v>116736.40519999999</v>
      </c>
      <c r="N10" s="50"/>
      <c r="O10" s="5"/>
    </row>
    <row r="11" spans="1:15">
      <c r="A11" s="208">
        <v>7</v>
      </c>
      <c r="B11" s="233" t="s">
        <v>173</v>
      </c>
      <c r="C11" s="6"/>
      <c r="D11" s="6"/>
      <c r="E11" s="71">
        <v>120</v>
      </c>
      <c r="F11" s="6">
        <v>91.42</v>
      </c>
      <c r="G11" s="72">
        <f t="shared" si="0"/>
        <v>10970.4</v>
      </c>
      <c r="H11" s="71"/>
      <c r="I11" s="6"/>
      <c r="J11" s="72">
        <f t="shared" si="1"/>
        <v>0</v>
      </c>
      <c r="K11" s="72">
        <f t="shared" si="2"/>
        <v>10970.4</v>
      </c>
      <c r="L11" s="319"/>
      <c r="M11" s="156">
        <f t="shared" si="3"/>
        <v>127706.80519999999</v>
      </c>
      <c r="N11" s="50"/>
      <c r="O11" s="5"/>
    </row>
    <row r="12" spans="1:15">
      <c r="A12" s="50">
        <v>8</v>
      </c>
      <c r="B12" s="233" t="s">
        <v>174</v>
      </c>
      <c r="C12" s="6"/>
      <c r="D12" s="6"/>
      <c r="E12" s="71"/>
      <c r="F12" s="6"/>
      <c r="G12" s="72">
        <f t="shared" si="0"/>
        <v>0</v>
      </c>
      <c r="H12" s="71">
        <v>5</v>
      </c>
      <c r="I12" s="6">
        <v>103.35</v>
      </c>
      <c r="J12" s="72">
        <f t="shared" si="1"/>
        <v>516.75</v>
      </c>
      <c r="K12" s="72">
        <f t="shared" si="2"/>
        <v>516.75</v>
      </c>
      <c r="L12" s="319"/>
      <c r="M12" s="156">
        <f t="shared" si="3"/>
        <v>128223.55519999999</v>
      </c>
      <c r="N12" s="50"/>
      <c r="O12" s="5"/>
    </row>
    <row r="13" spans="1:15">
      <c r="A13" s="50">
        <v>9</v>
      </c>
      <c r="B13" s="233" t="s">
        <v>175</v>
      </c>
      <c r="C13" s="6"/>
      <c r="D13" s="6"/>
      <c r="E13" s="71">
        <v>20</v>
      </c>
      <c r="F13" s="6">
        <v>91.42</v>
      </c>
      <c r="G13" s="72">
        <f t="shared" si="0"/>
        <v>1828.4</v>
      </c>
      <c r="H13" s="71"/>
      <c r="I13" s="6"/>
      <c r="J13" s="72">
        <f t="shared" si="1"/>
        <v>0</v>
      </c>
      <c r="K13" s="72">
        <f t="shared" si="2"/>
        <v>1828.4</v>
      </c>
      <c r="L13" s="319"/>
      <c r="M13" s="156">
        <f t="shared" si="3"/>
        <v>130051.95519999998</v>
      </c>
      <c r="N13" s="50"/>
      <c r="O13" s="5"/>
    </row>
    <row r="14" spans="1:15">
      <c r="A14" s="208">
        <v>10</v>
      </c>
      <c r="B14" s="233" t="s">
        <v>176</v>
      </c>
      <c r="C14" s="6"/>
      <c r="D14" s="6"/>
      <c r="E14" s="71">
        <v>48.32</v>
      </c>
      <c r="F14" s="6">
        <v>91.42</v>
      </c>
      <c r="G14" s="72">
        <f t="shared" si="0"/>
        <v>4417.4143999999997</v>
      </c>
      <c r="H14" s="71">
        <v>10</v>
      </c>
      <c r="I14" s="6">
        <v>103.35</v>
      </c>
      <c r="J14" s="72">
        <f t="shared" si="1"/>
        <v>1033.5</v>
      </c>
      <c r="K14" s="72">
        <f t="shared" si="2"/>
        <v>5450.9143999999997</v>
      </c>
      <c r="L14" s="319"/>
      <c r="M14" s="156">
        <f t="shared" si="3"/>
        <v>135502.86959999998</v>
      </c>
      <c r="N14" s="50"/>
      <c r="O14" s="5"/>
    </row>
    <row r="15" spans="1:15">
      <c r="A15" s="50">
        <v>11</v>
      </c>
      <c r="B15" s="233" t="s">
        <v>177</v>
      </c>
      <c r="C15" s="6"/>
      <c r="D15" s="6"/>
      <c r="E15" s="427">
        <v>147.05000000000001</v>
      </c>
      <c r="F15" s="6">
        <v>91.42</v>
      </c>
      <c r="G15" s="72">
        <f t="shared" si="0"/>
        <v>13443.311000000002</v>
      </c>
      <c r="H15" s="71"/>
      <c r="I15" s="343"/>
      <c r="J15" s="72">
        <f t="shared" si="1"/>
        <v>0</v>
      </c>
      <c r="K15" s="72">
        <f t="shared" si="2"/>
        <v>13443.311000000002</v>
      </c>
      <c r="L15" s="319"/>
      <c r="M15" s="156">
        <f t="shared" si="3"/>
        <v>148946.18059999996</v>
      </c>
      <c r="N15" s="50"/>
      <c r="O15" s="5"/>
    </row>
    <row r="16" spans="1:15">
      <c r="A16" s="50">
        <v>12</v>
      </c>
      <c r="B16" s="233" t="s">
        <v>120</v>
      </c>
      <c r="C16" s="6"/>
      <c r="D16" s="6"/>
      <c r="E16" s="427">
        <v>40</v>
      </c>
      <c r="F16" s="6">
        <v>91.42</v>
      </c>
      <c r="G16" s="72">
        <f t="shared" si="0"/>
        <v>3656.8</v>
      </c>
      <c r="H16" s="71"/>
      <c r="I16" s="343"/>
      <c r="J16" s="72">
        <f t="shared" si="1"/>
        <v>0</v>
      </c>
      <c r="K16" s="72">
        <f t="shared" si="2"/>
        <v>3656.8</v>
      </c>
      <c r="L16" s="319"/>
      <c r="M16" s="156">
        <f t="shared" si="3"/>
        <v>152602.98059999995</v>
      </c>
      <c r="N16" s="50"/>
      <c r="O16" s="5"/>
    </row>
    <row r="17" spans="1:15">
      <c r="A17" s="208">
        <v>13</v>
      </c>
      <c r="B17" s="233" t="s">
        <v>110</v>
      </c>
      <c r="C17" s="6"/>
      <c r="D17" s="6"/>
      <c r="E17" s="427">
        <v>105.45</v>
      </c>
      <c r="F17" s="6">
        <v>91.42</v>
      </c>
      <c r="G17" s="72">
        <f t="shared" si="0"/>
        <v>9640.2389999999996</v>
      </c>
      <c r="H17" s="71">
        <v>5</v>
      </c>
      <c r="I17" s="6">
        <v>103.35</v>
      </c>
      <c r="J17" s="72">
        <f t="shared" si="1"/>
        <v>516.75</v>
      </c>
      <c r="K17" s="72">
        <f t="shared" si="2"/>
        <v>10156.989</v>
      </c>
      <c r="L17" s="319">
        <v>0</v>
      </c>
      <c r="M17" s="156">
        <f t="shared" si="3"/>
        <v>162759.96959999995</v>
      </c>
      <c r="N17" s="50"/>
      <c r="O17" s="5"/>
    </row>
    <row r="18" spans="1:15">
      <c r="A18" s="50">
        <v>14</v>
      </c>
      <c r="B18" s="233" t="s">
        <v>107</v>
      </c>
      <c r="C18" s="6"/>
      <c r="D18" s="6"/>
      <c r="E18" s="343"/>
      <c r="F18" s="6">
        <v>91.42</v>
      </c>
      <c r="G18" s="72">
        <f t="shared" si="0"/>
        <v>0</v>
      </c>
      <c r="H18" s="71">
        <v>5</v>
      </c>
      <c r="I18" s="6">
        <v>103.35</v>
      </c>
      <c r="J18" s="72">
        <f t="shared" si="1"/>
        <v>516.75</v>
      </c>
      <c r="K18" s="72">
        <f t="shared" si="2"/>
        <v>516.75</v>
      </c>
      <c r="L18" s="319">
        <v>160000</v>
      </c>
      <c r="M18" s="156">
        <f t="shared" si="3"/>
        <v>3276.7195999999531</v>
      </c>
      <c r="N18" s="50"/>
      <c r="O18" s="5"/>
    </row>
    <row r="19" spans="1:15">
      <c r="A19" s="50">
        <v>15</v>
      </c>
      <c r="B19" s="233" t="s">
        <v>111</v>
      </c>
      <c r="C19" s="6"/>
      <c r="D19" s="6"/>
      <c r="E19" s="71">
        <v>30</v>
      </c>
      <c r="F19" s="6">
        <v>91.42</v>
      </c>
      <c r="G19" s="72">
        <f t="shared" si="0"/>
        <v>2742.6</v>
      </c>
      <c r="H19" s="71">
        <v>4.3600000000000003</v>
      </c>
      <c r="I19" s="6">
        <v>103.35</v>
      </c>
      <c r="J19" s="72">
        <f t="shared" si="1"/>
        <v>450.60599999999999</v>
      </c>
      <c r="K19" s="72">
        <f t="shared" si="2"/>
        <v>3193.2060000000001</v>
      </c>
      <c r="L19" s="319">
        <v>0</v>
      </c>
      <c r="M19" s="156">
        <f t="shared" si="3"/>
        <v>6469.9255999999532</v>
      </c>
      <c r="N19" s="50"/>
      <c r="O19" s="5"/>
    </row>
    <row r="20" spans="1:15">
      <c r="A20" s="208">
        <v>16</v>
      </c>
      <c r="B20" s="233" t="s">
        <v>179</v>
      </c>
      <c r="C20" s="6"/>
      <c r="D20" s="6"/>
      <c r="E20" s="71">
        <v>35</v>
      </c>
      <c r="F20" s="6">
        <v>91.42</v>
      </c>
      <c r="G20" s="72">
        <f t="shared" si="0"/>
        <v>3199.7000000000003</v>
      </c>
      <c r="H20" s="71"/>
      <c r="I20" s="6"/>
      <c r="J20" s="72">
        <f t="shared" si="1"/>
        <v>0</v>
      </c>
      <c r="K20" s="72">
        <f t="shared" si="2"/>
        <v>3199.7000000000003</v>
      </c>
      <c r="L20" s="319">
        <v>0</v>
      </c>
      <c r="M20" s="156">
        <f t="shared" si="3"/>
        <v>9669.6255999999539</v>
      </c>
      <c r="N20" s="50"/>
      <c r="O20" s="5"/>
    </row>
    <row r="21" spans="1:15">
      <c r="A21" s="50">
        <v>17</v>
      </c>
      <c r="B21" s="233" t="s">
        <v>180</v>
      </c>
      <c r="C21" s="6"/>
      <c r="D21" s="6"/>
      <c r="E21" s="71">
        <v>37.630000000000003</v>
      </c>
      <c r="F21" s="6">
        <v>91.42</v>
      </c>
      <c r="G21" s="72">
        <f t="shared" si="0"/>
        <v>3440.1346000000003</v>
      </c>
      <c r="H21" s="71">
        <v>5</v>
      </c>
      <c r="I21" s="6">
        <v>103.35</v>
      </c>
      <c r="J21" s="72">
        <f t="shared" si="1"/>
        <v>516.75</v>
      </c>
      <c r="K21" s="72">
        <f t="shared" si="2"/>
        <v>3956.8846000000003</v>
      </c>
      <c r="L21" s="319">
        <v>0</v>
      </c>
      <c r="M21" s="156">
        <f t="shared" si="3"/>
        <v>13626.510199999953</v>
      </c>
      <c r="N21" s="50"/>
      <c r="O21" s="5"/>
    </row>
    <row r="22" spans="1:15">
      <c r="A22" s="50">
        <v>18</v>
      </c>
      <c r="B22" s="233" t="s">
        <v>181</v>
      </c>
      <c r="C22" s="6"/>
      <c r="D22" s="6"/>
      <c r="E22" s="71">
        <v>38.5</v>
      </c>
      <c r="F22" s="6">
        <v>91.42</v>
      </c>
      <c r="G22" s="72">
        <f t="shared" si="0"/>
        <v>3519.67</v>
      </c>
      <c r="H22" s="71"/>
      <c r="I22" s="6"/>
      <c r="J22" s="72">
        <f t="shared" si="1"/>
        <v>0</v>
      </c>
      <c r="K22" s="72">
        <f t="shared" si="2"/>
        <v>3519.67</v>
      </c>
      <c r="L22" s="319">
        <v>0</v>
      </c>
      <c r="M22" s="156">
        <f t="shared" si="3"/>
        <v>17146.180199999952</v>
      </c>
      <c r="N22" s="50"/>
      <c r="O22" s="5"/>
    </row>
    <row r="23" spans="1:15">
      <c r="A23" s="208">
        <v>19</v>
      </c>
      <c r="B23" s="233" t="s">
        <v>198</v>
      </c>
      <c r="C23" s="6"/>
      <c r="D23" s="6"/>
      <c r="E23" s="71">
        <v>49.77</v>
      </c>
      <c r="F23" s="6">
        <v>91.42</v>
      </c>
      <c r="G23" s="72">
        <f t="shared" ref="G23:G47" si="4">E23*F23</f>
        <v>4549.9734000000008</v>
      </c>
      <c r="H23" s="71"/>
      <c r="I23" s="6"/>
      <c r="J23" s="72">
        <f t="shared" ref="J23:J47" si="5">H23*I23</f>
        <v>0</v>
      </c>
      <c r="K23" s="72">
        <f t="shared" si="2"/>
        <v>4549.9734000000008</v>
      </c>
      <c r="L23" s="319">
        <v>0</v>
      </c>
      <c r="M23" s="156">
        <f t="shared" si="3"/>
        <v>21696.153599999954</v>
      </c>
      <c r="N23" s="50"/>
      <c r="O23" s="5"/>
    </row>
    <row r="24" spans="1:15">
      <c r="A24" s="50">
        <v>20</v>
      </c>
      <c r="B24" s="233" t="s">
        <v>199</v>
      </c>
      <c r="C24" s="6"/>
      <c r="D24" s="6"/>
      <c r="E24" s="71">
        <v>170.48</v>
      </c>
      <c r="F24" s="6">
        <v>91.42</v>
      </c>
      <c r="G24" s="72">
        <f t="shared" si="4"/>
        <v>15585.2816</v>
      </c>
      <c r="H24" s="71"/>
      <c r="I24" s="6"/>
      <c r="J24" s="72">
        <f t="shared" si="5"/>
        <v>0</v>
      </c>
      <c r="K24" s="72">
        <f t="shared" si="2"/>
        <v>15585.2816</v>
      </c>
      <c r="L24" s="319">
        <v>0</v>
      </c>
      <c r="M24" s="156">
        <f t="shared" si="3"/>
        <v>37281.435199999956</v>
      </c>
      <c r="N24" s="50"/>
      <c r="O24" s="5"/>
    </row>
    <row r="25" spans="1:15">
      <c r="A25" s="50">
        <v>21</v>
      </c>
      <c r="B25" s="233" t="s">
        <v>200</v>
      </c>
      <c r="C25" s="6"/>
      <c r="D25" s="6"/>
      <c r="E25" s="71">
        <v>239.32</v>
      </c>
      <c r="F25" s="6">
        <v>91.42</v>
      </c>
      <c r="G25" s="72">
        <f t="shared" si="4"/>
        <v>21878.634399999999</v>
      </c>
      <c r="H25" s="71">
        <v>5</v>
      </c>
      <c r="I25" s="6">
        <v>103.35</v>
      </c>
      <c r="J25" s="72">
        <f t="shared" si="5"/>
        <v>516.75</v>
      </c>
      <c r="K25" s="72">
        <f t="shared" si="2"/>
        <v>22395.384399999999</v>
      </c>
      <c r="L25" s="319">
        <v>0</v>
      </c>
      <c r="M25" s="156">
        <f t="shared" si="3"/>
        <v>59676.819599999959</v>
      </c>
      <c r="N25" s="50"/>
      <c r="O25" s="5"/>
    </row>
    <row r="26" spans="1:15">
      <c r="A26" s="208">
        <v>22</v>
      </c>
      <c r="B26" s="233" t="s">
        <v>201</v>
      </c>
      <c r="C26" s="6"/>
      <c r="D26" s="6"/>
      <c r="E26" s="71">
        <v>100</v>
      </c>
      <c r="F26" s="6">
        <v>91.42</v>
      </c>
      <c r="G26" s="72">
        <f t="shared" si="4"/>
        <v>9142</v>
      </c>
      <c r="H26" s="71"/>
      <c r="I26" s="6"/>
      <c r="J26" s="72">
        <f t="shared" si="5"/>
        <v>0</v>
      </c>
      <c r="K26" s="72">
        <f t="shared" si="2"/>
        <v>9142</v>
      </c>
      <c r="L26" s="319">
        <v>0</v>
      </c>
      <c r="M26" s="156">
        <f t="shared" si="3"/>
        <v>68818.819599999959</v>
      </c>
      <c r="N26" s="50"/>
      <c r="O26" s="5"/>
    </row>
    <row r="27" spans="1:15">
      <c r="A27" s="50">
        <v>23</v>
      </c>
      <c r="B27" s="233" t="s">
        <v>202</v>
      </c>
      <c r="C27" s="6"/>
      <c r="D27" s="6"/>
      <c r="E27" s="71">
        <v>88.31</v>
      </c>
      <c r="F27" s="6">
        <v>91.42</v>
      </c>
      <c r="G27" s="72">
        <f t="shared" si="4"/>
        <v>8073.3002000000006</v>
      </c>
      <c r="H27" s="71">
        <v>5</v>
      </c>
      <c r="I27" s="6">
        <v>103.35</v>
      </c>
      <c r="J27" s="72">
        <f t="shared" si="5"/>
        <v>516.75</v>
      </c>
      <c r="K27" s="72">
        <f t="shared" si="2"/>
        <v>8590.0502000000015</v>
      </c>
      <c r="L27" s="319">
        <v>0</v>
      </c>
      <c r="M27" s="156">
        <f t="shared" si="3"/>
        <v>77408.869799999957</v>
      </c>
      <c r="N27" s="50"/>
      <c r="O27" s="5"/>
    </row>
    <row r="28" spans="1:15">
      <c r="A28" s="50">
        <v>24</v>
      </c>
      <c r="B28" s="233" t="s">
        <v>203</v>
      </c>
      <c r="C28" s="6"/>
      <c r="D28" s="6"/>
      <c r="E28" s="71"/>
      <c r="F28" s="6">
        <v>91.42</v>
      </c>
      <c r="G28" s="72">
        <f t="shared" si="4"/>
        <v>0</v>
      </c>
      <c r="H28" s="71"/>
      <c r="I28" s="6"/>
      <c r="J28" s="72">
        <f t="shared" si="5"/>
        <v>0</v>
      </c>
      <c r="K28" s="72">
        <f t="shared" si="2"/>
        <v>0</v>
      </c>
      <c r="L28" s="319">
        <v>0</v>
      </c>
      <c r="M28" s="156">
        <f t="shared" si="3"/>
        <v>77408.869799999957</v>
      </c>
      <c r="N28" s="50"/>
      <c r="O28" s="5"/>
    </row>
    <row r="29" spans="1:15">
      <c r="A29" s="208">
        <v>25</v>
      </c>
      <c r="B29" s="233" t="s">
        <v>204</v>
      </c>
      <c r="C29" s="6"/>
      <c r="D29" s="6"/>
      <c r="E29" s="71">
        <v>20</v>
      </c>
      <c r="F29" s="6">
        <v>91.42</v>
      </c>
      <c r="G29" s="72">
        <f t="shared" si="4"/>
        <v>1828.4</v>
      </c>
      <c r="H29" s="71"/>
      <c r="I29" s="6"/>
      <c r="J29" s="72">
        <f t="shared" si="5"/>
        <v>0</v>
      </c>
      <c r="K29" s="72">
        <f t="shared" si="2"/>
        <v>1828.4</v>
      </c>
      <c r="L29" s="319">
        <v>0</v>
      </c>
      <c r="M29" s="156">
        <f t="shared" si="3"/>
        <v>79237.269799999951</v>
      </c>
      <c r="N29" s="50"/>
      <c r="O29" s="5"/>
    </row>
    <row r="30" spans="1:15">
      <c r="A30" s="50">
        <v>26</v>
      </c>
      <c r="B30" s="233" t="s">
        <v>205</v>
      </c>
      <c r="C30" s="6"/>
      <c r="D30" s="6"/>
      <c r="E30" s="71">
        <v>30</v>
      </c>
      <c r="F30" s="6">
        <v>91.42</v>
      </c>
      <c r="G30" s="72">
        <f t="shared" si="4"/>
        <v>2742.6</v>
      </c>
      <c r="H30" s="71"/>
      <c r="I30" s="6"/>
      <c r="J30" s="72">
        <f t="shared" si="5"/>
        <v>0</v>
      </c>
      <c r="K30" s="72">
        <f t="shared" si="2"/>
        <v>2742.6</v>
      </c>
      <c r="L30" s="319">
        <v>0</v>
      </c>
      <c r="M30" s="156">
        <f t="shared" si="3"/>
        <v>81979.869799999957</v>
      </c>
      <c r="N30" s="50"/>
      <c r="O30" s="5"/>
    </row>
    <row r="31" spans="1:15">
      <c r="A31" s="50">
        <v>27</v>
      </c>
      <c r="B31" s="233" t="s">
        <v>206</v>
      </c>
      <c r="C31" s="6"/>
      <c r="D31" s="6"/>
      <c r="E31" s="71">
        <v>183</v>
      </c>
      <c r="F31" s="6">
        <v>91.42</v>
      </c>
      <c r="G31" s="72">
        <f t="shared" si="4"/>
        <v>16729.86</v>
      </c>
      <c r="H31" s="71">
        <v>10</v>
      </c>
      <c r="I31" s="6">
        <v>103.35</v>
      </c>
      <c r="J31" s="72">
        <f t="shared" si="5"/>
        <v>1033.5</v>
      </c>
      <c r="K31" s="72">
        <f t="shared" si="2"/>
        <v>17763.36</v>
      </c>
      <c r="L31" s="319">
        <v>0</v>
      </c>
      <c r="M31" s="156">
        <f t="shared" si="3"/>
        <v>99743.229799999957</v>
      </c>
      <c r="N31" s="50"/>
      <c r="O31" s="5"/>
    </row>
    <row r="32" spans="1:15">
      <c r="A32" s="208">
        <v>28</v>
      </c>
      <c r="B32" s="233" t="s">
        <v>207</v>
      </c>
      <c r="C32" s="6"/>
      <c r="D32" s="6"/>
      <c r="E32" s="71">
        <v>73.39</v>
      </c>
      <c r="F32" s="6">
        <v>91.42</v>
      </c>
      <c r="G32" s="72">
        <f t="shared" si="4"/>
        <v>6709.3137999999999</v>
      </c>
      <c r="H32" s="71"/>
      <c r="I32" s="6"/>
      <c r="J32" s="72">
        <f t="shared" si="5"/>
        <v>0</v>
      </c>
      <c r="K32" s="72">
        <f t="shared" si="2"/>
        <v>6709.3137999999999</v>
      </c>
      <c r="L32" s="319">
        <v>0</v>
      </c>
      <c r="M32" s="156">
        <f t="shared" si="3"/>
        <v>106452.54359999996</v>
      </c>
      <c r="N32" s="50"/>
      <c r="O32" s="5"/>
    </row>
    <row r="33" spans="1:15">
      <c r="A33" s="50">
        <v>29</v>
      </c>
      <c r="B33" s="233"/>
      <c r="C33" s="6"/>
      <c r="D33" s="6"/>
      <c r="E33" s="71"/>
      <c r="F33" s="6"/>
      <c r="G33" s="72">
        <f t="shared" si="4"/>
        <v>0</v>
      </c>
      <c r="H33" s="71"/>
      <c r="I33" s="6"/>
      <c r="J33" s="72">
        <f t="shared" si="5"/>
        <v>0</v>
      </c>
      <c r="K33" s="72">
        <f t="shared" si="2"/>
        <v>0</v>
      </c>
      <c r="L33" s="319">
        <v>0</v>
      </c>
      <c r="M33" s="156">
        <f t="shared" si="3"/>
        <v>106452.54359999996</v>
      </c>
      <c r="N33" s="50"/>
      <c r="O33" s="5"/>
    </row>
    <row r="34" spans="1:15">
      <c r="A34" s="50">
        <v>30</v>
      </c>
      <c r="B34" s="233"/>
      <c r="C34" s="6"/>
      <c r="D34" s="6"/>
      <c r="E34" s="71"/>
      <c r="F34" s="6"/>
      <c r="G34" s="72">
        <f t="shared" si="4"/>
        <v>0</v>
      </c>
      <c r="H34" s="71"/>
      <c r="I34" s="6"/>
      <c r="J34" s="72">
        <f t="shared" si="5"/>
        <v>0</v>
      </c>
      <c r="K34" s="72">
        <f t="shared" si="2"/>
        <v>0</v>
      </c>
      <c r="L34" s="319">
        <v>0</v>
      </c>
      <c r="M34" s="156">
        <f t="shared" si="3"/>
        <v>106452.54359999996</v>
      </c>
      <c r="N34" s="50"/>
      <c r="O34" s="5"/>
    </row>
    <row r="35" spans="1:15">
      <c r="A35" s="208">
        <v>31</v>
      </c>
      <c r="B35" s="233"/>
      <c r="C35" s="6"/>
      <c r="D35" s="6"/>
      <c r="E35" s="71"/>
      <c r="F35" s="6"/>
      <c r="G35" s="72">
        <f t="shared" si="4"/>
        <v>0</v>
      </c>
      <c r="H35" s="71"/>
      <c r="I35" s="6"/>
      <c r="J35" s="72">
        <f t="shared" si="5"/>
        <v>0</v>
      </c>
      <c r="K35" s="72">
        <f t="shared" si="2"/>
        <v>0</v>
      </c>
      <c r="L35" s="319">
        <v>0</v>
      </c>
      <c r="M35" s="156">
        <f t="shared" si="3"/>
        <v>106452.54359999996</v>
      </c>
      <c r="N35" s="50"/>
      <c r="O35" s="5"/>
    </row>
    <row r="36" spans="1:15">
      <c r="A36" s="50">
        <v>32</v>
      </c>
      <c r="B36" s="233"/>
      <c r="C36" s="6"/>
      <c r="D36" s="6"/>
      <c r="E36" s="71"/>
      <c r="F36" s="6"/>
      <c r="G36" s="72">
        <f t="shared" si="4"/>
        <v>0</v>
      </c>
      <c r="H36" s="71"/>
      <c r="I36" s="6"/>
      <c r="J36" s="72">
        <f t="shared" si="5"/>
        <v>0</v>
      </c>
      <c r="K36" s="72">
        <f t="shared" si="2"/>
        <v>0</v>
      </c>
      <c r="L36" s="319">
        <v>0</v>
      </c>
      <c r="M36" s="156">
        <f t="shared" si="3"/>
        <v>106452.54359999996</v>
      </c>
      <c r="N36" s="50"/>
      <c r="O36" s="5"/>
    </row>
    <row r="37" spans="1:15">
      <c r="A37" s="50">
        <v>33</v>
      </c>
      <c r="B37" s="233"/>
      <c r="C37" s="6"/>
      <c r="D37" s="6"/>
      <c r="E37" s="71"/>
      <c r="F37" s="6"/>
      <c r="G37" s="72">
        <f t="shared" si="4"/>
        <v>0</v>
      </c>
      <c r="H37" s="71"/>
      <c r="I37" s="6"/>
      <c r="J37" s="72">
        <f t="shared" si="5"/>
        <v>0</v>
      </c>
      <c r="K37" s="72">
        <f t="shared" si="2"/>
        <v>0</v>
      </c>
      <c r="L37" s="319">
        <v>0</v>
      </c>
      <c r="M37" s="156">
        <f t="shared" si="3"/>
        <v>106452.54359999996</v>
      </c>
      <c r="N37" s="50"/>
      <c r="O37" s="5"/>
    </row>
    <row r="38" spans="1:15">
      <c r="A38" s="208">
        <v>34</v>
      </c>
      <c r="B38" s="233"/>
      <c r="C38" s="6"/>
      <c r="D38" s="6"/>
      <c r="E38" s="71"/>
      <c r="F38" s="6"/>
      <c r="G38" s="72">
        <f t="shared" si="4"/>
        <v>0</v>
      </c>
      <c r="H38" s="71"/>
      <c r="I38" s="6"/>
      <c r="J38" s="72">
        <f t="shared" si="5"/>
        <v>0</v>
      </c>
      <c r="K38" s="72">
        <f t="shared" si="2"/>
        <v>0</v>
      </c>
      <c r="L38" s="319">
        <v>0</v>
      </c>
      <c r="M38" s="156">
        <f t="shared" si="3"/>
        <v>106452.54359999996</v>
      </c>
      <c r="N38" s="50"/>
      <c r="O38" s="5"/>
    </row>
    <row r="39" spans="1:15">
      <c r="A39" s="50">
        <v>35</v>
      </c>
      <c r="B39" s="233"/>
      <c r="C39" s="6"/>
      <c r="D39" s="6"/>
      <c r="E39" s="71"/>
      <c r="F39" s="6"/>
      <c r="G39" s="72">
        <f t="shared" si="4"/>
        <v>0</v>
      </c>
      <c r="H39" s="71"/>
      <c r="I39" s="6"/>
      <c r="J39" s="72">
        <f t="shared" si="5"/>
        <v>0</v>
      </c>
      <c r="K39" s="72">
        <f t="shared" si="2"/>
        <v>0</v>
      </c>
      <c r="L39" s="319">
        <v>0</v>
      </c>
      <c r="M39" s="156">
        <f t="shared" si="3"/>
        <v>106452.54359999996</v>
      </c>
      <c r="N39" s="6"/>
      <c r="O39" s="5"/>
    </row>
    <row r="40" spans="1:15">
      <c r="A40" s="50">
        <v>36</v>
      </c>
      <c r="B40" s="233"/>
      <c r="C40" s="6"/>
      <c r="D40" s="6"/>
      <c r="E40" s="71"/>
      <c r="F40" s="6"/>
      <c r="G40" s="72">
        <f t="shared" si="4"/>
        <v>0</v>
      </c>
      <c r="H40" s="71"/>
      <c r="I40" s="6"/>
      <c r="J40" s="72">
        <f t="shared" si="5"/>
        <v>0</v>
      </c>
      <c r="K40" s="72">
        <f t="shared" si="2"/>
        <v>0</v>
      </c>
      <c r="L40" s="319">
        <v>0</v>
      </c>
      <c r="M40" s="156">
        <f t="shared" si="3"/>
        <v>106452.54359999996</v>
      </c>
      <c r="N40" s="6"/>
      <c r="O40" s="5"/>
    </row>
    <row r="41" spans="1:15">
      <c r="A41" s="208">
        <v>37</v>
      </c>
      <c r="B41" s="233"/>
      <c r="C41" s="6"/>
      <c r="D41" s="6"/>
      <c r="E41" s="71"/>
      <c r="F41" s="6"/>
      <c r="G41" s="72">
        <f t="shared" si="4"/>
        <v>0</v>
      </c>
      <c r="H41" s="71"/>
      <c r="I41" s="6"/>
      <c r="J41" s="72">
        <f t="shared" si="5"/>
        <v>0</v>
      </c>
      <c r="K41" s="72">
        <f t="shared" si="2"/>
        <v>0</v>
      </c>
      <c r="L41" s="319">
        <v>0</v>
      </c>
      <c r="M41" s="156">
        <f t="shared" si="3"/>
        <v>106452.54359999996</v>
      </c>
      <c r="N41" s="6"/>
      <c r="O41" s="5"/>
    </row>
    <row r="42" spans="1:15">
      <c r="A42" s="50">
        <v>38</v>
      </c>
      <c r="B42" s="233"/>
      <c r="C42" s="6"/>
      <c r="D42" s="6"/>
      <c r="E42" s="71"/>
      <c r="F42" s="6"/>
      <c r="G42" s="72">
        <f t="shared" si="4"/>
        <v>0</v>
      </c>
      <c r="H42" s="71"/>
      <c r="I42" s="6"/>
      <c r="J42" s="72">
        <f t="shared" si="5"/>
        <v>0</v>
      </c>
      <c r="K42" s="72">
        <f t="shared" si="2"/>
        <v>0</v>
      </c>
      <c r="L42" s="319">
        <v>0</v>
      </c>
      <c r="M42" s="156">
        <f t="shared" si="3"/>
        <v>106452.54359999996</v>
      </c>
      <c r="N42" s="6"/>
      <c r="O42" s="5"/>
    </row>
    <row r="43" spans="1:15">
      <c r="A43" s="50">
        <v>39</v>
      </c>
      <c r="B43" s="233"/>
      <c r="C43" s="6"/>
      <c r="D43" s="6"/>
      <c r="E43" s="71"/>
      <c r="F43" s="6"/>
      <c r="G43" s="72">
        <f t="shared" si="4"/>
        <v>0</v>
      </c>
      <c r="H43" s="71"/>
      <c r="I43" s="6"/>
      <c r="J43" s="72">
        <f t="shared" si="5"/>
        <v>0</v>
      </c>
      <c r="K43" s="72">
        <f t="shared" si="2"/>
        <v>0</v>
      </c>
      <c r="L43" s="319">
        <v>0</v>
      </c>
      <c r="M43" s="156">
        <f t="shared" si="3"/>
        <v>106452.54359999996</v>
      </c>
      <c r="N43" s="6"/>
      <c r="O43" s="5"/>
    </row>
    <row r="44" spans="1:15">
      <c r="A44" s="208">
        <v>40</v>
      </c>
      <c r="B44" s="179"/>
      <c r="C44" s="178"/>
      <c r="D44" s="6"/>
      <c r="E44" s="71"/>
      <c r="F44" s="6"/>
      <c r="G44" s="72">
        <f t="shared" si="4"/>
        <v>0</v>
      </c>
      <c r="H44" s="71"/>
      <c r="I44" s="6"/>
      <c r="J44" s="72">
        <f t="shared" si="5"/>
        <v>0</v>
      </c>
      <c r="K44" s="72">
        <f t="shared" si="2"/>
        <v>0</v>
      </c>
      <c r="L44" s="319">
        <v>0</v>
      </c>
      <c r="M44" s="156">
        <f t="shared" si="3"/>
        <v>106452.54359999996</v>
      </c>
      <c r="N44" s="178"/>
      <c r="O44" s="5"/>
    </row>
    <row r="45" spans="1:15">
      <c r="A45" s="50">
        <v>41</v>
      </c>
      <c r="B45" s="6"/>
      <c r="C45" s="6"/>
      <c r="D45" s="6"/>
      <c r="E45" s="71"/>
      <c r="F45" s="6"/>
      <c r="G45" s="72">
        <f t="shared" si="4"/>
        <v>0</v>
      </c>
      <c r="H45" s="71"/>
      <c r="I45" s="6"/>
      <c r="J45" s="72">
        <f t="shared" si="5"/>
        <v>0</v>
      </c>
      <c r="K45" s="72">
        <f t="shared" si="2"/>
        <v>0</v>
      </c>
      <c r="L45" s="319">
        <v>0</v>
      </c>
      <c r="M45" s="156">
        <f t="shared" si="3"/>
        <v>106452.54359999996</v>
      </c>
      <c r="N45" s="6"/>
      <c r="O45" s="5"/>
    </row>
    <row r="46" spans="1:15">
      <c r="A46" s="50">
        <v>42</v>
      </c>
      <c r="B46" s="178"/>
      <c r="C46" s="178"/>
      <c r="D46" s="6"/>
      <c r="E46" s="71"/>
      <c r="F46" s="6"/>
      <c r="G46" s="72">
        <f t="shared" si="4"/>
        <v>0</v>
      </c>
      <c r="H46" s="71"/>
      <c r="I46" s="6"/>
      <c r="J46" s="72">
        <f t="shared" si="5"/>
        <v>0</v>
      </c>
      <c r="K46" s="180">
        <f t="shared" si="2"/>
        <v>0</v>
      </c>
      <c r="L46" s="170">
        <f t="shared" ref="L46:L47" si="6">+K46</f>
        <v>0</v>
      </c>
      <c r="M46" s="156">
        <f t="shared" si="3"/>
        <v>106452.54359999996</v>
      </c>
      <c r="N46" s="178"/>
      <c r="O46" s="5"/>
    </row>
    <row r="47" spans="1:15">
      <c r="A47" s="50"/>
      <c r="B47" s="178"/>
      <c r="C47" s="178"/>
      <c r="D47" s="6"/>
      <c r="E47" s="71"/>
      <c r="F47" s="6"/>
      <c r="G47" s="72">
        <f t="shared" si="4"/>
        <v>0</v>
      </c>
      <c r="H47" s="71"/>
      <c r="I47" s="6"/>
      <c r="J47" s="72">
        <f t="shared" si="5"/>
        <v>0</v>
      </c>
      <c r="K47" s="180">
        <f t="shared" si="2"/>
        <v>0</v>
      </c>
      <c r="L47" s="181">
        <f t="shared" si="6"/>
        <v>0</v>
      </c>
      <c r="M47" s="156">
        <f t="shared" si="3"/>
        <v>106452.54359999996</v>
      </c>
      <c r="N47" s="178"/>
      <c r="O47" s="5"/>
    </row>
    <row r="48" spans="1:15">
      <c r="A48" s="68"/>
      <c r="B48" s="68"/>
      <c r="C48" s="68"/>
      <c r="D48" s="68"/>
      <c r="E48" s="69">
        <f>SUM(E4:E47)</f>
        <v>2004.21</v>
      </c>
      <c r="F48" s="69"/>
      <c r="G48" s="69">
        <f>SUM(G4:G47)</f>
        <v>183224.87820000004</v>
      </c>
      <c r="H48" s="69">
        <f>SUM(H4:H47)</f>
        <v>74.36</v>
      </c>
      <c r="I48" s="69"/>
      <c r="J48" s="69">
        <f>SUM(J4:J47)</f>
        <v>7757.7060000000001</v>
      </c>
      <c r="K48" s="69">
        <f>SUM(K4:K47)</f>
        <v>190982.58420000004</v>
      </c>
      <c r="L48" s="69">
        <f>SUM(L4:L47)</f>
        <v>160000</v>
      </c>
      <c r="M48" s="69"/>
      <c r="N48" s="69"/>
      <c r="O48" s="65"/>
    </row>
    <row r="49" spans="1:15">
      <c r="A49" s="5"/>
      <c r="B49" s="5"/>
      <c r="C49" s="5"/>
      <c r="D49" s="5"/>
      <c r="E49" s="5"/>
      <c r="F49" s="5"/>
      <c r="G49" s="108"/>
      <c r="H49" s="5"/>
      <c r="I49" s="5"/>
      <c r="J49" s="108"/>
      <c r="K49" s="5"/>
      <c r="L49" s="108"/>
      <c r="M49" s="108"/>
      <c r="N49" s="5"/>
      <c r="O49" s="5"/>
    </row>
    <row r="50" spans="1:15">
      <c r="A50" s="5"/>
      <c r="B50" s="5"/>
      <c r="C50" s="5"/>
      <c r="D50" s="5"/>
      <c r="E50" s="5"/>
      <c r="F50" s="5"/>
      <c r="G50" s="108"/>
      <c r="H50" s="5"/>
      <c r="I50" s="5"/>
      <c r="J50" s="108"/>
      <c r="K50" s="5"/>
      <c r="L50" s="108"/>
      <c r="M50" s="108"/>
      <c r="N50" s="5"/>
      <c r="O50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workbookViewId="0">
      <selection activeCell="M17" sqref="M17"/>
    </sheetView>
  </sheetViews>
  <sheetFormatPr defaultRowHeight="15"/>
  <cols>
    <col min="1" max="1" width="6.140625" customWidth="1"/>
    <col min="2" max="2" width="11.140625" bestFit="1" customWidth="1"/>
    <col min="6" max="6" width="9.42578125" bestFit="1" customWidth="1"/>
    <col min="7" max="7" width="11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470" t="s">
        <v>95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5"/>
    </row>
    <row r="2" spans="1:15" ht="45">
      <c r="A2" s="70" t="s">
        <v>122</v>
      </c>
      <c r="B2" s="89" t="s">
        <v>123</v>
      </c>
      <c r="C2" s="89" t="s">
        <v>124</v>
      </c>
      <c r="D2" s="89" t="s">
        <v>139</v>
      </c>
      <c r="E2" s="89" t="s">
        <v>126</v>
      </c>
      <c r="F2" s="89" t="s">
        <v>127</v>
      </c>
      <c r="G2" s="96" t="s">
        <v>128</v>
      </c>
      <c r="H2" s="89" t="s">
        <v>129</v>
      </c>
      <c r="I2" s="89" t="s">
        <v>127</v>
      </c>
      <c r="J2" s="96" t="s">
        <v>128</v>
      </c>
      <c r="K2" s="70" t="s">
        <v>130</v>
      </c>
      <c r="L2" s="97" t="s">
        <v>131</v>
      </c>
      <c r="M2" s="91" t="s">
        <v>138</v>
      </c>
      <c r="N2" s="89" t="s">
        <v>133</v>
      </c>
      <c r="O2" s="5"/>
    </row>
    <row r="3" spans="1:15">
      <c r="A3" s="494" t="s">
        <v>134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6"/>
      <c r="M3" s="497">
        <v>28304.009000000013</v>
      </c>
      <c r="N3" s="498"/>
      <c r="O3" s="5"/>
    </row>
    <row r="4" spans="1:15">
      <c r="A4" s="208">
        <v>1</v>
      </c>
      <c r="B4" s="420" t="s">
        <v>167</v>
      </c>
      <c r="C4" s="6"/>
      <c r="D4" s="6"/>
      <c r="E4" s="71"/>
      <c r="F4" s="6"/>
      <c r="G4" s="72">
        <v>0</v>
      </c>
      <c r="H4" s="71">
        <v>6</v>
      </c>
      <c r="I4" s="6">
        <v>103.26</v>
      </c>
      <c r="J4" s="72">
        <f>H4*I4</f>
        <v>619.56000000000006</v>
      </c>
      <c r="K4" s="72">
        <f>G4+J4</f>
        <v>619.56000000000006</v>
      </c>
      <c r="L4" s="170">
        <v>0</v>
      </c>
      <c r="M4" s="322">
        <f>M3+K4-L4</f>
        <v>28923.569000000014</v>
      </c>
      <c r="N4" s="50" t="s">
        <v>166</v>
      </c>
      <c r="O4" s="5"/>
    </row>
    <row r="5" spans="1:15">
      <c r="A5" s="50">
        <v>2</v>
      </c>
      <c r="B5" s="420" t="s">
        <v>169</v>
      </c>
      <c r="C5" s="6"/>
      <c r="D5" s="6"/>
      <c r="E5" s="343"/>
      <c r="F5" s="401"/>
      <c r="G5" s="72">
        <f>E5*F5</f>
        <v>0</v>
      </c>
      <c r="H5" s="71">
        <v>5</v>
      </c>
      <c r="I5" s="6">
        <v>103.26</v>
      </c>
      <c r="J5" s="72">
        <f t="shared" ref="J5:J41" si="0">H5*I5</f>
        <v>516.30000000000007</v>
      </c>
      <c r="K5" s="72">
        <f t="shared" ref="K5:K41" si="1">G5+J5</f>
        <v>516.30000000000007</v>
      </c>
      <c r="L5" s="170">
        <v>0</v>
      </c>
      <c r="M5" s="322">
        <f t="shared" ref="M5:M14" si="2">M4+K5-L5</f>
        <v>29439.869000000013</v>
      </c>
      <c r="N5" s="50" t="s">
        <v>166</v>
      </c>
      <c r="O5" s="5"/>
    </row>
    <row r="6" spans="1:15">
      <c r="A6" s="50">
        <v>3</v>
      </c>
      <c r="B6" s="420" t="s">
        <v>172</v>
      </c>
      <c r="C6" s="6"/>
      <c r="D6" s="6"/>
      <c r="E6" s="343"/>
      <c r="F6" s="401"/>
      <c r="G6" s="72">
        <f>E6*F6</f>
        <v>0</v>
      </c>
      <c r="H6" s="71">
        <v>10</v>
      </c>
      <c r="I6" s="6">
        <v>103.26</v>
      </c>
      <c r="J6" s="72">
        <f t="shared" si="0"/>
        <v>1032.6000000000001</v>
      </c>
      <c r="K6" s="72">
        <f t="shared" si="1"/>
        <v>1032.6000000000001</v>
      </c>
      <c r="L6" s="170">
        <v>0</v>
      </c>
      <c r="M6" s="322">
        <f t="shared" si="2"/>
        <v>30472.469000000012</v>
      </c>
      <c r="N6" s="50" t="s">
        <v>166</v>
      </c>
      <c r="O6" s="5"/>
    </row>
    <row r="7" spans="1:15">
      <c r="A7" s="50">
        <v>4</v>
      </c>
      <c r="B7" s="420" t="s">
        <v>175</v>
      </c>
      <c r="C7" s="178"/>
      <c r="D7" s="178"/>
      <c r="E7" s="71"/>
      <c r="F7" s="402"/>
      <c r="G7" s="72">
        <f t="shared" ref="G7:G17" si="3">E7*F7</f>
        <v>0</v>
      </c>
      <c r="H7" s="71">
        <v>5</v>
      </c>
      <c r="I7" s="6">
        <v>103.26</v>
      </c>
      <c r="J7" s="72">
        <f t="shared" si="0"/>
        <v>516.30000000000007</v>
      </c>
      <c r="K7" s="72">
        <f t="shared" si="1"/>
        <v>516.30000000000007</v>
      </c>
      <c r="L7" s="170">
        <v>0</v>
      </c>
      <c r="M7" s="322">
        <f t="shared" si="2"/>
        <v>30988.769000000011</v>
      </c>
      <c r="N7" s="50" t="s">
        <v>166</v>
      </c>
      <c r="O7" s="5"/>
    </row>
    <row r="8" spans="1:15">
      <c r="A8" s="235">
        <v>5</v>
      </c>
      <c r="B8" s="420" t="s">
        <v>176</v>
      </c>
      <c r="C8" s="6"/>
      <c r="D8" s="6"/>
      <c r="E8" s="385"/>
      <c r="F8" s="402"/>
      <c r="G8" s="72">
        <f t="shared" si="3"/>
        <v>0</v>
      </c>
      <c r="H8" s="71">
        <v>5</v>
      </c>
      <c r="I8" s="6">
        <v>103.26</v>
      </c>
      <c r="J8" s="72">
        <f t="shared" si="0"/>
        <v>516.30000000000007</v>
      </c>
      <c r="K8" s="72">
        <f t="shared" si="1"/>
        <v>516.30000000000007</v>
      </c>
      <c r="L8" s="170">
        <v>0</v>
      </c>
      <c r="M8" s="322">
        <f t="shared" si="2"/>
        <v>31505.06900000001</v>
      </c>
      <c r="N8" s="50" t="s">
        <v>166</v>
      </c>
      <c r="O8" s="5"/>
    </row>
    <row r="9" spans="1:15">
      <c r="A9" s="235">
        <v>6</v>
      </c>
      <c r="B9" s="420" t="s">
        <v>110</v>
      </c>
      <c r="C9" s="6"/>
      <c r="D9" s="6"/>
      <c r="E9" s="385"/>
      <c r="F9" s="401"/>
      <c r="G9" s="72">
        <f t="shared" si="3"/>
        <v>0</v>
      </c>
      <c r="H9" s="71">
        <v>5</v>
      </c>
      <c r="I9" s="6">
        <v>103.26</v>
      </c>
      <c r="J9" s="72">
        <f t="shared" si="0"/>
        <v>516.30000000000007</v>
      </c>
      <c r="K9" s="72">
        <f t="shared" si="1"/>
        <v>516.30000000000007</v>
      </c>
      <c r="L9" s="170">
        <v>0</v>
      </c>
      <c r="M9" s="322">
        <f>M8+K9-L9</f>
        <v>32021.36900000001</v>
      </c>
      <c r="N9" s="50" t="s">
        <v>166</v>
      </c>
      <c r="O9" s="5"/>
    </row>
    <row r="10" spans="1:15">
      <c r="A10" s="235">
        <v>7</v>
      </c>
      <c r="B10" s="420" t="s">
        <v>107</v>
      </c>
      <c r="C10" s="6"/>
      <c r="D10" s="6"/>
      <c r="E10" s="385"/>
      <c r="F10" s="401"/>
      <c r="G10" s="72">
        <f t="shared" si="3"/>
        <v>0</v>
      </c>
      <c r="H10" s="71">
        <v>5</v>
      </c>
      <c r="I10" s="6">
        <v>103.26</v>
      </c>
      <c r="J10" s="72">
        <f t="shared" si="0"/>
        <v>516.30000000000007</v>
      </c>
      <c r="K10" s="72">
        <f t="shared" si="1"/>
        <v>516.30000000000007</v>
      </c>
      <c r="L10" s="170">
        <v>32000</v>
      </c>
      <c r="M10" s="322">
        <f t="shared" si="2"/>
        <v>537.66900000000896</v>
      </c>
      <c r="N10" s="50" t="s">
        <v>166</v>
      </c>
      <c r="O10" s="5"/>
    </row>
    <row r="11" spans="1:15">
      <c r="A11" s="235">
        <v>8</v>
      </c>
      <c r="B11" s="420" t="s">
        <v>180</v>
      </c>
      <c r="C11" s="6"/>
      <c r="D11" s="6"/>
      <c r="E11" s="385"/>
      <c r="F11" s="401"/>
      <c r="G11" s="72">
        <f t="shared" si="3"/>
        <v>0</v>
      </c>
      <c r="H11" s="71">
        <v>2.54</v>
      </c>
      <c r="I11" s="6">
        <v>103.26</v>
      </c>
      <c r="J11" s="72">
        <f t="shared" si="0"/>
        <v>262.28040000000004</v>
      </c>
      <c r="K11" s="72">
        <f>G11+J11</f>
        <v>262.28040000000004</v>
      </c>
      <c r="L11" s="170">
        <v>0</v>
      </c>
      <c r="M11" s="322">
        <f t="shared" si="2"/>
        <v>799.94940000000906</v>
      </c>
      <c r="N11" s="50" t="s">
        <v>166</v>
      </c>
      <c r="O11" s="5"/>
    </row>
    <row r="12" spans="1:15">
      <c r="A12" s="235">
        <v>9</v>
      </c>
      <c r="B12" s="420" t="s">
        <v>181</v>
      </c>
      <c r="C12" s="6"/>
      <c r="D12" s="6"/>
      <c r="E12" s="385"/>
      <c r="F12" s="401"/>
      <c r="G12" s="72">
        <f t="shared" si="3"/>
        <v>0</v>
      </c>
      <c r="H12" s="71">
        <v>5</v>
      </c>
      <c r="I12" s="6">
        <v>103.26</v>
      </c>
      <c r="J12" s="72">
        <f t="shared" si="0"/>
        <v>516.30000000000007</v>
      </c>
      <c r="K12" s="72">
        <f>G12+J12</f>
        <v>516.30000000000007</v>
      </c>
      <c r="L12" s="170">
        <v>0</v>
      </c>
      <c r="M12" s="322">
        <f t="shared" si="2"/>
        <v>1316.2494000000092</v>
      </c>
      <c r="N12" s="50" t="s">
        <v>166</v>
      </c>
      <c r="O12" s="5"/>
    </row>
    <row r="13" spans="1:15">
      <c r="A13" s="235">
        <v>10</v>
      </c>
      <c r="B13" s="420" t="s">
        <v>182</v>
      </c>
      <c r="C13" s="6"/>
      <c r="D13" s="6"/>
      <c r="E13" s="385"/>
      <c r="F13" s="401"/>
      <c r="G13" s="72">
        <f t="shared" si="3"/>
        <v>0</v>
      </c>
      <c r="H13" s="71">
        <v>5</v>
      </c>
      <c r="I13" s="6">
        <v>103.26</v>
      </c>
      <c r="J13" s="72">
        <f t="shared" si="0"/>
        <v>516.30000000000007</v>
      </c>
      <c r="K13" s="72">
        <f>G13+J13</f>
        <v>516.30000000000007</v>
      </c>
      <c r="L13" s="170">
        <v>0</v>
      </c>
      <c r="M13" s="322">
        <f t="shared" si="2"/>
        <v>1832.5494000000094</v>
      </c>
      <c r="N13" s="50" t="s">
        <v>166</v>
      </c>
      <c r="O13" s="5"/>
    </row>
    <row r="14" spans="1:15">
      <c r="A14" s="235">
        <v>11</v>
      </c>
      <c r="B14" s="420" t="s">
        <v>208</v>
      </c>
      <c r="C14" s="6"/>
      <c r="D14" s="6"/>
      <c r="E14" s="385"/>
      <c r="F14" s="402"/>
      <c r="G14" s="72">
        <f t="shared" si="3"/>
        <v>0</v>
      </c>
      <c r="H14" s="71">
        <v>5</v>
      </c>
      <c r="I14" s="6">
        <v>103.26</v>
      </c>
      <c r="J14" s="72">
        <f t="shared" si="0"/>
        <v>516.30000000000007</v>
      </c>
      <c r="K14" s="72">
        <f t="shared" si="1"/>
        <v>516.30000000000007</v>
      </c>
      <c r="L14" s="170">
        <v>0</v>
      </c>
      <c r="M14" s="322">
        <f t="shared" si="2"/>
        <v>2348.8494000000096</v>
      </c>
      <c r="N14" s="50" t="s">
        <v>166</v>
      </c>
      <c r="O14" s="5"/>
    </row>
    <row r="15" spans="1:15">
      <c r="A15" s="235">
        <v>12</v>
      </c>
      <c r="B15" s="420" t="s">
        <v>187</v>
      </c>
      <c r="C15" s="6"/>
      <c r="D15" s="6"/>
      <c r="E15" s="385"/>
      <c r="F15" s="402"/>
      <c r="G15" s="72">
        <f t="shared" si="3"/>
        <v>0</v>
      </c>
      <c r="H15" s="71">
        <v>6</v>
      </c>
      <c r="I15" s="6">
        <v>103.26</v>
      </c>
      <c r="J15" s="72">
        <f t="shared" si="0"/>
        <v>619.56000000000006</v>
      </c>
      <c r="K15" s="72">
        <f t="shared" si="1"/>
        <v>619.56000000000006</v>
      </c>
      <c r="L15" s="170">
        <v>0</v>
      </c>
      <c r="M15" s="323">
        <f t="shared" ref="M15:M42" si="4">M14+K15-L15</f>
        <v>2968.4094000000096</v>
      </c>
      <c r="N15" s="50" t="s">
        <v>166</v>
      </c>
      <c r="O15" s="5"/>
    </row>
    <row r="16" spans="1:15">
      <c r="A16" s="235">
        <v>13</v>
      </c>
      <c r="B16" s="420" t="s">
        <v>116</v>
      </c>
      <c r="C16" s="6"/>
      <c r="D16" s="6"/>
      <c r="E16" s="385"/>
      <c r="F16" s="6"/>
      <c r="G16" s="72">
        <f t="shared" si="3"/>
        <v>0</v>
      </c>
      <c r="H16" s="71">
        <v>3</v>
      </c>
      <c r="I16" s="6">
        <v>103.26</v>
      </c>
      <c r="J16" s="72">
        <f t="shared" si="0"/>
        <v>309.78000000000003</v>
      </c>
      <c r="K16" s="72">
        <f t="shared" si="1"/>
        <v>309.78000000000003</v>
      </c>
      <c r="L16" s="170">
        <v>0</v>
      </c>
      <c r="M16" s="323">
        <f t="shared" si="4"/>
        <v>3278.1894000000098</v>
      </c>
      <c r="N16" s="50" t="s">
        <v>166</v>
      </c>
      <c r="O16" s="5"/>
    </row>
    <row r="17" spans="1:15">
      <c r="A17" s="235">
        <v>14</v>
      </c>
      <c r="B17" s="420" t="s">
        <v>116</v>
      </c>
      <c r="C17" s="6"/>
      <c r="D17" s="6"/>
      <c r="E17" s="385">
        <v>20</v>
      </c>
      <c r="F17" s="6">
        <v>91.33</v>
      </c>
      <c r="G17" s="72">
        <f t="shared" si="3"/>
        <v>1826.6</v>
      </c>
      <c r="H17" s="71"/>
      <c r="I17" s="6"/>
      <c r="J17" s="72">
        <f t="shared" si="0"/>
        <v>0</v>
      </c>
      <c r="K17" s="72">
        <f t="shared" si="1"/>
        <v>1826.6</v>
      </c>
      <c r="L17" s="170">
        <v>0</v>
      </c>
      <c r="M17" s="323">
        <f>M16+K17-L17</f>
        <v>5104.7894000000097</v>
      </c>
      <c r="N17" s="50" t="s">
        <v>166</v>
      </c>
      <c r="O17" s="5"/>
    </row>
    <row r="18" spans="1:15">
      <c r="A18" s="235">
        <v>15</v>
      </c>
      <c r="B18" s="384"/>
      <c r="C18" s="6"/>
      <c r="D18" s="6"/>
      <c r="E18" s="385"/>
      <c r="F18" s="6"/>
      <c r="G18" s="72">
        <v>0</v>
      </c>
      <c r="H18" s="71"/>
      <c r="I18" s="6"/>
      <c r="J18" s="72">
        <f t="shared" si="0"/>
        <v>0</v>
      </c>
      <c r="K18" s="72">
        <f t="shared" si="1"/>
        <v>0</v>
      </c>
      <c r="L18" s="170">
        <v>0</v>
      </c>
      <c r="M18" s="323">
        <f t="shared" si="4"/>
        <v>5104.7894000000097</v>
      </c>
      <c r="N18" s="50" t="s">
        <v>166</v>
      </c>
      <c r="O18" s="5"/>
    </row>
    <row r="19" spans="1:15">
      <c r="A19" s="235">
        <v>16</v>
      </c>
      <c r="B19" s="384"/>
      <c r="C19" s="6"/>
      <c r="D19" s="6"/>
      <c r="E19" s="385"/>
      <c r="F19" s="6"/>
      <c r="G19" s="72">
        <v>0</v>
      </c>
      <c r="H19" s="71"/>
      <c r="I19" s="6"/>
      <c r="J19" s="72">
        <f t="shared" si="0"/>
        <v>0</v>
      </c>
      <c r="K19" s="72">
        <f t="shared" si="1"/>
        <v>0</v>
      </c>
      <c r="L19" s="170">
        <v>0</v>
      </c>
      <c r="M19" s="323">
        <f t="shared" si="4"/>
        <v>5104.7894000000097</v>
      </c>
      <c r="N19" s="50" t="s">
        <v>166</v>
      </c>
      <c r="O19" s="5"/>
    </row>
    <row r="20" spans="1:15">
      <c r="A20" s="235">
        <v>17</v>
      </c>
      <c r="B20" s="384"/>
      <c r="C20" s="6"/>
      <c r="D20" s="6"/>
      <c r="E20" s="385"/>
      <c r="F20" s="6"/>
      <c r="G20" s="72">
        <v>0</v>
      </c>
      <c r="H20" s="71"/>
      <c r="I20" s="6"/>
      <c r="J20" s="72">
        <f t="shared" si="0"/>
        <v>0</v>
      </c>
      <c r="K20" s="72">
        <f t="shared" si="1"/>
        <v>0</v>
      </c>
      <c r="L20" s="170">
        <v>0</v>
      </c>
      <c r="M20" s="323">
        <f t="shared" si="4"/>
        <v>5104.7894000000097</v>
      </c>
      <c r="N20" s="50" t="s">
        <v>166</v>
      </c>
      <c r="O20" s="5"/>
    </row>
    <row r="21" spans="1:15">
      <c r="A21" s="235">
        <v>18</v>
      </c>
      <c r="B21" s="384"/>
      <c r="C21" s="6"/>
      <c r="D21" s="6"/>
      <c r="E21" s="385"/>
      <c r="F21" s="6"/>
      <c r="G21" s="72">
        <v>0</v>
      </c>
      <c r="H21" s="71"/>
      <c r="I21" s="6"/>
      <c r="J21" s="72">
        <f t="shared" si="0"/>
        <v>0</v>
      </c>
      <c r="K21" s="72">
        <f t="shared" si="1"/>
        <v>0</v>
      </c>
      <c r="L21" s="170">
        <v>0</v>
      </c>
      <c r="M21" s="323">
        <f t="shared" si="4"/>
        <v>5104.7894000000097</v>
      </c>
      <c r="N21" s="50" t="s">
        <v>166</v>
      </c>
      <c r="O21" s="5"/>
    </row>
    <row r="22" spans="1:15">
      <c r="A22" s="235">
        <v>19</v>
      </c>
      <c r="B22" s="384"/>
      <c r="C22" s="6"/>
      <c r="D22" s="6"/>
      <c r="E22" s="385"/>
      <c r="F22" s="6"/>
      <c r="G22" s="72">
        <v>0</v>
      </c>
      <c r="H22" s="71"/>
      <c r="I22" s="6"/>
      <c r="J22" s="72">
        <f t="shared" si="0"/>
        <v>0</v>
      </c>
      <c r="K22" s="72">
        <f t="shared" si="1"/>
        <v>0</v>
      </c>
      <c r="L22" s="170">
        <v>0</v>
      </c>
      <c r="M22" s="323">
        <f t="shared" si="4"/>
        <v>5104.7894000000097</v>
      </c>
      <c r="N22" s="50" t="s">
        <v>166</v>
      </c>
      <c r="O22" s="5"/>
    </row>
    <row r="23" spans="1:15">
      <c r="A23" s="235">
        <v>20</v>
      </c>
      <c r="B23" s="384"/>
      <c r="C23" s="6"/>
      <c r="D23" s="6"/>
      <c r="E23" s="385"/>
      <c r="F23" s="6"/>
      <c r="G23" s="72">
        <v>0</v>
      </c>
      <c r="H23" s="71"/>
      <c r="I23" s="6"/>
      <c r="J23" s="72">
        <f t="shared" si="0"/>
        <v>0</v>
      </c>
      <c r="K23" s="72">
        <f t="shared" si="1"/>
        <v>0</v>
      </c>
      <c r="L23" s="170">
        <v>0</v>
      </c>
      <c r="M23" s="323">
        <f t="shared" si="4"/>
        <v>5104.7894000000097</v>
      </c>
      <c r="N23" s="50"/>
      <c r="O23" s="5"/>
    </row>
    <row r="24" spans="1:15">
      <c r="A24" s="235">
        <v>21</v>
      </c>
      <c r="B24" s="384"/>
      <c r="C24" s="6"/>
      <c r="D24" s="6"/>
      <c r="E24" s="385"/>
      <c r="F24" s="6"/>
      <c r="G24" s="72">
        <v>0</v>
      </c>
      <c r="H24" s="71"/>
      <c r="I24" s="6"/>
      <c r="J24" s="72">
        <f t="shared" si="0"/>
        <v>0</v>
      </c>
      <c r="K24" s="72">
        <f t="shared" si="1"/>
        <v>0</v>
      </c>
      <c r="L24" s="170">
        <v>0</v>
      </c>
      <c r="M24" s="323">
        <f t="shared" si="4"/>
        <v>5104.7894000000097</v>
      </c>
      <c r="N24" s="50"/>
      <c r="O24" s="5"/>
    </row>
    <row r="25" spans="1:15">
      <c r="A25" s="50">
        <v>22</v>
      </c>
      <c r="B25" s="233"/>
      <c r="C25" s="386"/>
      <c r="D25" s="386"/>
      <c r="E25" s="71"/>
      <c r="F25" s="6"/>
      <c r="G25" s="72">
        <v>0</v>
      </c>
      <c r="H25" s="71"/>
      <c r="I25" s="6"/>
      <c r="J25" s="72">
        <f t="shared" si="0"/>
        <v>0</v>
      </c>
      <c r="K25" s="72">
        <f t="shared" si="1"/>
        <v>0</v>
      </c>
      <c r="L25" s="170">
        <v>0</v>
      </c>
      <c r="M25" s="276">
        <f t="shared" si="4"/>
        <v>5104.7894000000097</v>
      </c>
      <c r="N25" s="50"/>
      <c r="O25" s="5"/>
    </row>
    <row r="26" spans="1:15">
      <c r="A26" s="50">
        <v>23</v>
      </c>
      <c r="B26" s="233"/>
      <c r="C26" s="6"/>
      <c r="D26" s="6"/>
      <c r="E26" s="71"/>
      <c r="F26" s="6"/>
      <c r="G26" s="72">
        <v>0</v>
      </c>
      <c r="H26" s="71"/>
      <c r="I26" s="6"/>
      <c r="J26" s="72">
        <f t="shared" si="0"/>
        <v>0</v>
      </c>
      <c r="K26" s="72">
        <f t="shared" si="1"/>
        <v>0</v>
      </c>
      <c r="L26" s="170">
        <v>0</v>
      </c>
      <c r="M26" s="276">
        <f t="shared" si="4"/>
        <v>5104.7894000000097</v>
      </c>
      <c r="N26" s="6"/>
      <c r="O26" s="5"/>
    </row>
    <row r="27" spans="1:15">
      <c r="A27" s="50">
        <v>24</v>
      </c>
      <c r="B27" s="233"/>
      <c r="C27" s="6"/>
      <c r="D27" s="6"/>
      <c r="E27" s="71"/>
      <c r="F27" s="6"/>
      <c r="G27" s="72">
        <v>0</v>
      </c>
      <c r="H27" s="71"/>
      <c r="I27" s="6"/>
      <c r="J27" s="72">
        <f t="shared" si="0"/>
        <v>0</v>
      </c>
      <c r="K27" s="72">
        <f t="shared" si="1"/>
        <v>0</v>
      </c>
      <c r="L27" s="170">
        <v>0</v>
      </c>
      <c r="M27" s="276">
        <f t="shared" si="4"/>
        <v>5104.7894000000097</v>
      </c>
      <c r="N27" s="6"/>
      <c r="O27" s="5"/>
    </row>
    <row r="28" spans="1:15">
      <c r="A28" s="235">
        <v>25</v>
      </c>
      <c r="B28" s="233"/>
      <c r="C28" s="6"/>
      <c r="D28" s="6"/>
      <c r="E28" s="71"/>
      <c r="F28" s="6"/>
      <c r="G28" s="72">
        <v>0</v>
      </c>
      <c r="H28" s="71"/>
      <c r="I28" s="6"/>
      <c r="J28" s="72">
        <f t="shared" si="0"/>
        <v>0</v>
      </c>
      <c r="K28" s="72">
        <f t="shared" si="1"/>
        <v>0</v>
      </c>
      <c r="L28" s="170">
        <v>0</v>
      </c>
      <c r="M28" s="276">
        <f t="shared" si="4"/>
        <v>5104.7894000000097</v>
      </c>
      <c r="N28" s="6"/>
      <c r="O28" s="5"/>
    </row>
    <row r="29" spans="1:15">
      <c r="A29" s="235">
        <v>26</v>
      </c>
      <c r="B29" s="233"/>
      <c r="C29" s="6"/>
      <c r="D29" s="6"/>
      <c r="E29" s="71"/>
      <c r="F29" s="6"/>
      <c r="G29" s="72">
        <v>0</v>
      </c>
      <c r="H29" s="71"/>
      <c r="I29" s="6"/>
      <c r="J29" s="72">
        <f t="shared" si="0"/>
        <v>0</v>
      </c>
      <c r="K29" s="72">
        <f t="shared" si="1"/>
        <v>0</v>
      </c>
      <c r="L29" s="170">
        <v>0</v>
      </c>
      <c r="M29" s="276">
        <f t="shared" si="4"/>
        <v>5104.7894000000097</v>
      </c>
      <c r="N29" s="6"/>
      <c r="O29" s="5"/>
    </row>
    <row r="30" spans="1:15">
      <c r="A30" s="235">
        <v>27</v>
      </c>
      <c r="B30" s="233"/>
      <c r="C30" s="6"/>
      <c r="D30" s="6"/>
      <c r="E30" s="71"/>
      <c r="F30" s="6"/>
      <c r="G30" s="72">
        <v>0</v>
      </c>
      <c r="H30" s="71"/>
      <c r="I30" s="6"/>
      <c r="J30" s="72">
        <f t="shared" si="0"/>
        <v>0</v>
      </c>
      <c r="K30" s="72">
        <f t="shared" si="1"/>
        <v>0</v>
      </c>
      <c r="L30" s="170">
        <v>0</v>
      </c>
      <c r="M30" s="276">
        <f t="shared" si="4"/>
        <v>5104.7894000000097</v>
      </c>
      <c r="N30" s="6"/>
      <c r="O30" s="5"/>
    </row>
    <row r="31" spans="1:15">
      <c r="A31" s="235">
        <v>28</v>
      </c>
      <c r="B31" s="233"/>
      <c r="C31" s="6"/>
      <c r="D31" s="6"/>
      <c r="E31" s="71"/>
      <c r="F31" s="6"/>
      <c r="G31" s="72">
        <v>0</v>
      </c>
      <c r="H31" s="71"/>
      <c r="I31" s="6"/>
      <c r="J31" s="72">
        <f t="shared" si="0"/>
        <v>0</v>
      </c>
      <c r="K31" s="72">
        <f t="shared" si="1"/>
        <v>0</v>
      </c>
      <c r="L31" s="170">
        <v>0</v>
      </c>
      <c r="M31" s="276">
        <f t="shared" si="4"/>
        <v>5104.7894000000097</v>
      </c>
      <c r="N31" s="6"/>
      <c r="O31" s="5"/>
    </row>
    <row r="32" spans="1:15">
      <c r="A32" s="236">
        <v>29</v>
      </c>
      <c r="B32" s="233"/>
      <c r="C32" s="6"/>
      <c r="D32" s="6"/>
      <c r="E32" s="71"/>
      <c r="F32" s="6"/>
      <c r="G32" s="72">
        <v>0</v>
      </c>
      <c r="H32" s="71"/>
      <c r="I32" s="6"/>
      <c r="J32" s="72">
        <f t="shared" si="0"/>
        <v>0</v>
      </c>
      <c r="K32" s="72">
        <f t="shared" si="1"/>
        <v>0</v>
      </c>
      <c r="L32" s="170">
        <v>0</v>
      </c>
      <c r="M32" s="276">
        <f t="shared" si="4"/>
        <v>5104.7894000000097</v>
      </c>
      <c r="N32" s="6"/>
      <c r="O32" s="5"/>
    </row>
    <row r="33" spans="1:15">
      <c r="A33" s="236">
        <v>30</v>
      </c>
      <c r="B33" s="233"/>
      <c r="C33" s="6"/>
      <c r="D33" s="6"/>
      <c r="E33" s="71"/>
      <c r="F33" s="6"/>
      <c r="G33" s="72">
        <v>0</v>
      </c>
      <c r="H33" s="71"/>
      <c r="I33" s="6"/>
      <c r="J33" s="72">
        <f t="shared" si="0"/>
        <v>0</v>
      </c>
      <c r="K33" s="72">
        <f t="shared" si="1"/>
        <v>0</v>
      </c>
      <c r="L33" s="170">
        <v>0</v>
      </c>
      <c r="M33" s="276">
        <f t="shared" si="4"/>
        <v>5104.7894000000097</v>
      </c>
      <c r="N33" s="6"/>
      <c r="O33" s="5"/>
    </row>
    <row r="34" spans="1:15">
      <c r="A34" s="236">
        <v>31</v>
      </c>
      <c r="B34" s="233"/>
      <c r="C34" s="6"/>
      <c r="D34" s="6"/>
      <c r="E34" s="71"/>
      <c r="F34" s="6"/>
      <c r="G34" s="72">
        <v>0</v>
      </c>
      <c r="H34" s="71"/>
      <c r="I34" s="6"/>
      <c r="J34" s="72">
        <f t="shared" si="0"/>
        <v>0</v>
      </c>
      <c r="K34" s="72">
        <f t="shared" si="1"/>
        <v>0</v>
      </c>
      <c r="L34" s="170">
        <v>0</v>
      </c>
      <c r="M34" s="276">
        <f t="shared" si="4"/>
        <v>5104.7894000000097</v>
      </c>
      <c r="N34" s="6"/>
      <c r="O34" s="5"/>
    </row>
    <row r="35" spans="1:15">
      <c r="A35" s="6">
        <v>35</v>
      </c>
      <c r="B35" s="84"/>
      <c r="C35" s="6"/>
      <c r="D35" s="6"/>
      <c r="E35" s="71"/>
      <c r="F35" s="6"/>
      <c r="G35" s="72">
        <v>0</v>
      </c>
      <c r="H35" s="71"/>
      <c r="I35" s="6"/>
      <c r="J35" s="72">
        <f t="shared" si="0"/>
        <v>0</v>
      </c>
      <c r="K35" s="72">
        <f t="shared" si="1"/>
        <v>0</v>
      </c>
      <c r="L35" s="170">
        <v>0</v>
      </c>
      <c r="M35" s="276">
        <f t="shared" si="4"/>
        <v>5104.7894000000097</v>
      </c>
      <c r="N35" s="6"/>
      <c r="O35" s="5"/>
    </row>
    <row r="36" spans="1:15">
      <c r="A36" s="6">
        <v>36</v>
      </c>
      <c r="B36" s="84"/>
      <c r="C36" s="6"/>
      <c r="D36" s="6"/>
      <c r="E36" s="71"/>
      <c r="F36" s="6"/>
      <c r="G36" s="72">
        <v>0</v>
      </c>
      <c r="H36" s="71"/>
      <c r="I36" s="6"/>
      <c r="J36" s="72">
        <f t="shared" si="0"/>
        <v>0</v>
      </c>
      <c r="K36" s="72">
        <f t="shared" si="1"/>
        <v>0</v>
      </c>
      <c r="L36" s="170">
        <v>0</v>
      </c>
      <c r="M36" s="276">
        <f t="shared" si="4"/>
        <v>5104.7894000000097</v>
      </c>
      <c r="N36" s="6"/>
      <c r="O36" s="5"/>
    </row>
    <row r="37" spans="1:15">
      <c r="A37" s="6">
        <v>37</v>
      </c>
      <c r="B37" s="84"/>
      <c r="C37" s="6"/>
      <c r="D37" s="6"/>
      <c r="E37" s="71"/>
      <c r="F37" s="6"/>
      <c r="G37" s="72">
        <v>0</v>
      </c>
      <c r="H37" s="71"/>
      <c r="I37" s="6"/>
      <c r="J37" s="72">
        <f t="shared" si="0"/>
        <v>0</v>
      </c>
      <c r="K37" s="72">
        <f t="shared" si="1"/>
        <v>0</v>
      </c>
      <c r="L37" s="170">
        <v>0</v>
      </c>
      <c r="M37" s="276">
        <f t="shared" si="4"/>
        <v>5104.7894000000097</v>
      </c>
      <c r="N37" s="6"/>
      <c r="O37" s="5"/>
    </row>
    <row r="38" spans="1:15">
      <c r="A38" s="6">
        <v>38</v>
      </c>
      <c r="B38" s="84"/>
      <c r="C38" s="6"/>
      <c r="D38" s="6"/>
      <c r="E38" s="71"/>
      <c r="F38" s="6"/>
      <c r="G38" s="72">
        <v>0</v>
      </c>
      <c r="H38" s="71"/>
      <c r="I38" s="6"/>
      <c r="J38" s="72">
        <f t="shared" si="0"/>
        <v>0</v>
      </c>
      <c r="K38" s="72">
        <f t="shared" si="1"/>
        <v>0</v>
      </c>
      <c r="L38" s="170">
        <v>0</v>
      </c>
      <c r="M38" s="276">
        <f t="shared" si="4"/>
        <v>5104.7894000000097</v>
      </c>
      <c r="N38" s="6"/>
      <c r="O38" s="5"/>
    </row>
    <row r="39" spans="1:15">
      <c r="A39" s="178">
        <v>39</v>
      </c>
      <c r="B39" s="179"/>
      <c r="C39" s="178"/>
      <c r="D39" s="6"/>
      <c r="E39" s="71"/>
      <c r="F39" s="6"/>
      <c r="G39" s="72">
        <v>0</v>
      </c>
      <c r="H39" s="71"/>
      <c r="I39" s="6"/>
      <c r="J39" s="72">
        <f t="shared" si="0"/>
        <v>0</v>
      </c>
      <c r="K39" s="72">
        <f t="shared" si="1"/>
        <v>0</v>
      </c>
      <c r="L39" s="170">
        <v>0</v>
      </c>
      <c r="M39" s="276">
        <f t="shared" si="4"/>
        <v>5104.7894000000097</v>
      </c>
      <c r="N39" s="178"/>
      <c r="O39" s="5"/>
    </row>
    <row r="40" spans="1:15">
      <c r="A40" s="6">
        <v>40</v>
      </c>
      <c r="B40" s="6"/>
      <c r="C40" s="6"/>
      <c r="D40" s="6"/>
      <c r="E40" s="71"/>
      <c r="F40" s="6"/>
      <c r="G40" s="72">
        <v>0</v>
      </c>
      <c r="H40" s="71"/>
      <c r="I40" s="6"/>
      <c r="J40" s="72">
        <f t="shared" si="0"/>
        <v>0</v>
      </c>
      <c r="K40" s="72">
        <f t="shared" si="1"/>
        <v>0</v>
      </c>
      <c r="L40" s="170">
        <v>0</v>
      </c>
      <c r="M40" s="276">
        <f t="shared" si="4"/>
        <v>5104.7894000000097</v>
      </c>
      <c r="N40" s="6"/>
      <c r="O40" s="5"/>
    </row>
    <row r="41" spans="1:15">
      <c r="A41" s="178">
        <v>41</v>
      </c>
      <c r="B41" s="178"/>
      <c r="C41" s="178"/>
      <c r="D41" s="6"/>
      <c r="E41" s="71"/>
      <c r="F41" s="6"/>
      <c r="G41" s="72">
        <v>0</v>
      </c>
      <c r="H41" s="71"/>
      <c r="I41" s="6"/>
      <c r="J41" s="72">
        <f t="shared" si="0"/>
        <v>0</v>
      </c>
      <c r="K41" s="72">
        <f t="shared" si="1"/>
        <v>0</v>
      </c>
      <c r="L41" s="170">
        <v>0</v>
      </c>
      <c r="M41" s="276">
        <f t="shared" si="4"/>
        <v>5104.7894000000097</v>
      </c>
      <c r="N41" s="178"/>
      <c r="O41" s="5"/>
    </row>
    <row r="42" spans="1:15">
      <c r="A42" s="178">
        <v>42</v>
      </c>
      <c r="B42" s="178"/>
      <c r="C42" s="178"/>
      <c r="D42" s="6"/>
      <c r="E42" s="71"/>
      <c r="F42" s="6"/>
      <c r="G42" s="72">
        <f t="shared" ref="G42" si="5">E42*F42</f>
        <v>0</v>
      </c>
      <c r="H42" s="71"/>
      <c r="I42" s="6"/>
      <c r="J42" s="72">
        <f t="shared" ref="J42" si="6">H42*I42</f>
        <v>0</v>
      </c>
      <c r="K42" s="180">
        <f t="shared" ref="K42" si="7">G42+J42</f>
        <v>0</v>
      </c>
      <c r="L42" s="181">
        <f t="shared" ref="L42" si="8">+K42</f>
        <v>0</v>
      </c>
      <c r="M42" s="276">
        <f t="shared" si="4"/>
        <v>5104.7894000000097</v>
      </c>
      <c r="N42" s="178"/>
      <c r="O42" s="5"/>
    </row>
    <row r="43" spans="1:15">
      <c r="A43" s="68"/>
      <c r="B43" s="68"/>
      <c r="C43" s="68"/>
      <c r="D43" s="68"/>
      <c r="E43" s="69">
        <f>SUM(E4:E42)</f>
        <v>20</v>
      </c>
      <c r="F43" s="69"/>
      <c r="G43" s="69">
        <f>SUM(G4:G42)</f>
        <v>1826.6</v>
      </c>
      <c r="H43" s="69">
        <f>SUM(H4:H42)</f>
        <v>67.539999999999992</v>
      </c>
      <c r="I43" s="69"/>
      <c r="J43" s="69">
        <f>SUM(J4:J42)</f>
        <v>6974.1804000000011</v>
      </c>
      <c r="K43" s="69">
        <f>SUM(K4:K42)</f>
        <v>8800.7804000000015</v>
      </c>
      <c r="L43" s="69">
        <f>SUM(L4:L42)</f>
        <v>32000</v>
      </c>
      <c r="M43" s="69"/>
      <c r="N43" s="69"/>
      <c r="O43" s="65"/>
    </row>
    <row r="44" spans="1:15">
      <c r="A44" s="5"/>
      <c r="B44" s="5"/>
      <c r="C44" s="5"/>
      <c r="D44" s="5"/>
      <c r="E44" s="5"/>
      <c r="F44" s="5"/>
      <c r="G44" s="108"/>
      <c r="H44" s="5"/>
      <c r="I44" s="5"/>
      <c r="J44" s="108"/>
      <c r="K44" s="5"/>
      <c r="L44" s="108"/>
      <c r="M44" s="108"/>
      <c r="N44" s="5"/>
      <c r="O44" s="5"/>
    </row>
    <row r="45" spans="1:15">
      <c r="A45" s="5"/>
      <c r="B45" s="5"/>
      <c r="C45" s="5"/>
      <c r="D45" s="5"/>
      <c r="E45" s="5"/>
      <c r="F45" s="5"/>
      <c r="G45" s="108"/>
      <c r="H45" s="5"/>
      <c r="I45" s="5"/>
      <c r="J45" s="108"/>
      <c r="K45" s="5"/>
      <c r="L45" s="108"/>
      <c r="M45" s="108"/>
      <c r="N45" s="5"/>
      <c r="O45" s="5"/>
    </row>
    <row r="46" spans="1:15">
      <c r="L46">
        <v>41648.541499999999</v>
      </c>
    </row>
    <row r="47" spans="1:15">
      <c r="L47" s="183">
        <f>L43+L46</f>
        <v>73648.541499999992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topLeftCell="A27" workbookViewId="0">
      <selection activeCell="M34" sqref="M34"/>
    </sheetView>
  </sheetViews>
  <sheetFormatPr defaultRowHeight="15"/>
  <cols>
    <col min="2" max="2" width="10.5703125" bestFit="1" customWidth="1"/>
    <col min="7" max="7" width="11.85546875" bestFit="1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470" t="s">
        <v>97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</row>
    <row r="2" spans="1:18" ht="45">
      <c r="A2" s="70" t="s">
        <v>122</v>
      </c>
      <c r="B2" s="89" t="s">
        <v>123</v>
      </c>
      <c r="C2" s="89" t="s">
        <v>124</v>
      </c>
      <c r="D2" s="89" t="s">
        <v>139</v>
      </c>
      <c r="E2" s="89" t="s">
        <v>126</v>
      </c>
      <c r="F2" s="89" t="s">
        <v>127</v>
      </c>
      <c r="G2" s="96" t="s">
        <v>128</v>
      </c>
      <c r="H2" s="89" t="s">
        <v>129</v>
      </c>
      <c r="I2" s="89" t="s">
        <v>127</v>
      </c>
      <c r="J2" s="96" t="s">
        <v>128</v>
      </c>
      <c r="K2" s="70" t="s">
        <v>130</v>
      </c>
      <c r="L2" s="97" t="s">
        <v>131</v>
      </c>
      <c r="M2" s="91" t="s">
        <v>138</v>
      </c>
      <c r="N2" s="89" t="s">
        <v>133</v>
      </c>
    </row>
    <row r="3" spans="1:18">
      <c r="A3" s="494" t="s">
        <v>134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6"/>
      <c r="M3" s="497">
        <v>47651.889860000018</v>
      </c>
      <c r="N3" s="498"/>
    </row>
    <row r="4" spans="1:18">
      <c r="A4" s="208">
        <v>1</v>
      </c>
      <c r="B4" s="233">
        <v>45992</v>
      </c>
      <c r="C4" s="6"/>
      <c r="D4" s="6"/>
      <c r="E4" s="71"/>
      <c r="F4" s="343"/>
      <c r="G4" s="72">
        <f>E4*F4</f>
        <v>0</v>
      </c>
      <c r="H4" s="71"/>
      <c r="I4" s="6"/>
      <c r="J4" s="72">
        <f>H4*I4</f>
        <v>0</v>
      </c>
      <c r="K4" s="72">
        <f>G4+J4</f>
        <v>0</v>
      </c>
      <c r="L4" s="170">
        <v>0</v>
      </c>
      <c r="M4" s="156">
        <f>M3+K4-L4</f>
        <v>47651.889860000018</v>
      </c>
      <c r="N4" s="50" t="s">
        <v>166</v>
      </c>
    </row>
    <row r="5" spans="1:18">
      <c r="A5" s="50">
        <v>2</v>
      </c>
      <c r="B5" s="233">
        <v>45993</v>
      </c>
      <c r="C5" s="6"/>
      <c r="D5" s="6"/>
      <c r="E5" s="71">
        <v>27.29</v>
      </c>
      <c r="F5" s="343">
        <v>91.62</v>
      </c>
      <c r="G5" s="72">
        <f t="shared" ref="G5:G41" si="0">E5*F5</f>
        <v>2500.3098</v>
      </c>
      <c r="H5" s="71">
        <v>10.78</v>
      </c>
      <c r="I5" s="6">
        <v>110.89</v>
      </c>
      <c r="J5" s="72">
        <f t="shared" ref="J5:J41" si="1">H5*I5</f>
        <v>1195.3942</v>
      </c>
      <c r="K5" s="72">
        <f t="shared" ref="K5:K41" si="2">G5+J5</f>
        <v>3695.7039999999997</v>
      </c>
      <c r="L5" s="170">
        <v>0</v>
      </c>
      <c r="M5" s="156">
        <f t="shared" ref="M5:M33" si="3">M4+K5-L5</f>
        <v>51347.593860000015</v>
      </c>
      <c r="N5" s="50" t="s">
        <v>166</v>
      </c>
    </row>
    <row r="6" spans="1:18">
      <c r="A6" s="50">
        <v>3</v>
      </c>
      <c r="B6" s="233">
        <v>45994</v>
      </c>
      <c r="C6" s="6"/>
      <c r="D6" s="6"/>
      <c r="E6" s="71"/>
      <c r="F6" s="343"/>
      <c r="G6" s="72">
        <f t="shared" si="0"/>
        <v>0</v>
      </c>
      <c r="H6" s="71"/>
      <c r="I6" s="6"/>
      <c r="J6" s="72">
        <f t="shared" si="1"/>
        <v>0</v>
      </c>
      <c r="K6" s="72">
        <f t="shared" si="2"/>
        <v>0</v>
      </c>
      <c r="L6" s="170">
        <v>0</v>
      </c>
      <c r="M6" s="156">
        <f t="shared" si="3"/>
        <v>51347.593860000015</v>
      </c>
      <c r="N6" s="50" t="s">
        <v>166</v>
      </c>
    </row>
    <row r="7" spans="1:18">
      <c r="A7" s="50">
        <v>4</v>
      </c>
      <c r="B7" s="233">
        <v>45995</v>
      </c>
      <c r="C7" s="6"/>
      <c r="D7" s="6"/>
      <c r="E7" s="71">
        <v>21.83</v>
      </c>
      <c r="F7" s="343">
        <v>91.62</v>
      </c>
      <c r="G7" s="72">
        <f t="shared" si="0"/>
        <v>2000.0645999999999</v>
      </c>
      <c r="H7" s="71"/>
      <c r="I7" s="6"/>
      <c r="J7" s="72">
        <f t="shared" si="1"/>
        <v>0</v>
      </c>
      <c r="K7" s="72">
        <f t="shared" si="2"/>
        <v>2000.0645999999999</v>
      </c>
      <c r="L7" s="170">
        <v>0</v>
      </c>
      <c r="M7" s="156">
        <f>M6+K7-L7</f>
        <v>53347.658460000013</v>
      </c>
      <c r="N7" s="50" t="s">
        <v>166</v>
      </c>
    </row>
    <row r="8" spans="1:18">
      <c r="A8" s="50">
        <v>5</v>
      </c>
      <c r="B8" s="233">
        <v>45996</v>
      </c>
      <c r="C8" s="6"/>
      <c r="D8" s="6"/>
      <c r="E8" s="71"/>
      <c r="F8" s="343"/>
      <c r="G8" s="72">
        <f t="shared" si="0"/>
        <v>0</v>
      </c>
      <c r="H8" s="71"/>
      <c r="I8" s="6"/>
      <c r="J8" s="72">
        <f t="shared" si="1"/>
        <v>0</v>
      </c>
      <c r="K8" s="72">
        <f t="shared" si="2"/>
        <v>0</v>
      </c>
      <c r="L8" s="170">
        <v>0</v>
      </c>
      <c r="M8" s="156">
        <f t="shared" si="3"/>
        <v>53347.658460000013</v>
      </c>
      <c r="N8" s="50" t="s">
        <v>166</v>
      </c>
    </row>
    <row r="9" spans="1:18">
      <c r="A9" s="50">
        <v>6</v>
      </c>
      <c r="B9" s="233">
        <v>45997</v>
      </c>
      <c r="C9" s="6"/>
      <c r="D9" s="6"/>
      <c r="E9" s="71">
        <v>27.11</v>
      </c>
      <c r="F9" s="343">
        <v>91.62</v>
      </c>
      <c r="G9" s="72">
        <f t="shared" si="0"/>
        <v>2483.8182000000002</v>
      </c>
      <c r="H9" s="71">
        <v>35</v>
      </c>
      <c r="I9" s="6">
        <v>103.57</v>
      </c>
      <c r="J9" s="72">
        <f t="shared" si="1"/>
        <v>3624.95</v>
      </c>
      <c r="K9" s="72">
        <f t="shared" si="2"/>
        <v>6108.7682000000004</v>
      </c>
      <c r="L9" s="170">
        <v>0</v>
      </c>
      <c r="M9" s="156">
        <f t="shared" si="3"/>
        <v>59456.426660000012</v>
      </c>
      <c r="N9" s="50" t="s">
        <v>166</v>
      </c>
    </row>
    <row r="10" spans="1:18">
      <c r="A10" s="50">
        <v>7</v>
      </c>
      <c r="B10" s="233">
        <v>45998</v>
      </c>
      <c r="C10" s="6"/>
      <c r="D10" s="6"/>
      <c r="E10" s="71"/>
      <c r="F10" s="343"/>
      <c r="G10" s="72">
        <f t="shared" si="0"/>
        <v>0</v>
      </c>
      <c r="H10" s="71"/>
      <c r="I10" s="6"/>
      <c r="J10" s="72">
        <f t="shared" si="1"/>
        <v>0</v>
      </c>
      <c r="K10" s="72">
        <f t="shared" si="2"/>
        <v>0</v>
      </c>
      <c r="L10" s="170">
        <v>0</v>
      </c>
      <c r="M10" s="156">
        <f t="shared" si="3"/>
        <v>59456.426660000012</v>
      </c>
      <c r="N10" s="50" t="s">
        <v>166</v>
      </c>
    </row>
    <row r="11" spans="1:18">
      <c r="A11" s="50">
        <v>8</v>
      </c>
      <c r="B11" s="233">
        <v>45999</v>
      </c>
      <c r="C11" s="6"/>
      <c r="D11" s="6"/>
      <c r="E11" s="71"/>
      <c r="F11" s="343"/>
      <c r="G11" s="72">
        <f t="shared" si="0"/>
        <v>0</v>
      </c>
      <c r="H11" s="71"/>
      <c r="I11" s="6"/>
      <c r="J11" s="72">
        <f t="shared" si="1"/>
        <v>0</v>
      </c>
      <c r="K11" s="72">
        <f t="shared" si="2"/>
        <v>0</v>
      </c>
      <c r="L11" s="170">
        <v>0</v>
      </c>
      <c r="M11" s="156">
        <f t="shared" si="3"/>
        <v>59456.426660000012</v>
      </c>
      <c r="N11" s="50" t="s">
        <v>166</v>
      </c>
    </row>
    <row r="12" spans="1:18">
      <c r="A12" s="50">
        <v>9</v>
      </c>
      <c r="B12" s="233">
        <v>46000</v>
      </c>
      <c r="C12" s="6"/>
      <c r="D12" s="6"/>
      <c r="E12" s="71">
        <v>27.28</v>
      </c>
      <c r="F12" s="343">
        <v>91.62</v>
      </c>
      <c r="G12" s="72">
        <f t="shared" si="0"/>
        <v>2499.3936000000003</v>
      </c>
      <c r="H12" s="71"/>
      <c r="I12" s="6"/>
      <c r="J12" s="72">
        <f t="shared" si="1"/>
        <v>0</v>
      </c>
      <c r="K12" s="72">
        <f t="shared" si="2"/>
        <v>2499.3936000000003</v>
      </c>
      <c r="L12" s="170">
        <v>0</v>
      </c>
      <c r="M12" s="156">
        <f t="shared" si="3"/>
        <v>61955.820260000015</v>
      </c>
      <c r="N12" s="50" t="s">
        <v>166</v>
      </c>
      <c r="R12" s="253"/>
    </row>
    <row r="13" spans="1:18">
      <c r="A13" s="50">
        <v>10</v>
      </c>
      <c r="B13" s="233">
        <v>46001</v>
      </c>
      <c r="C13" s="6"/>
      <c r="D13" s="6"/>
      <c r="E13" s="71">
        <v>27.29</v>
      </c>
      <c r="F13" s="343">
        <v>91.62</v>
      </c>
      <c r="G13" s="72">
        <f t="shared" si="0"/>
        <v>2500.3098</v>
      </c>
      <c r="H13" s="71"/>
      <c r="I13" s="6"/>
      <c r="J13" s="72">
        <f t="shared" si="1"/>
        <v>0</v>
      </c>
      <c r="K13" s="72">
        <f t="shared" si="2"/>
        <v>2500.3098</v>
      </c>
      <c r="L13" s="170">
        <v>0</v>
      </c>
      <c r="M13" s="156">
        <f t="shared" si="3"/>
        <v>64456.130060000018</v>
      </c>
      <c r="N13" s="50" t="s">
        <v>166</v>
      </c>
    </row>
    <row r="14" spans="1:18">
      <c r="A14" s="50">
        <v>11</v>
      </c>
      <c r="B14" s="233">
        <v>46002</v>
      </c>
      <c r="C14" s="6"/>
      <c r="D14" s="6"/>
      <c r="E14" s="71"/>
      <c r="F14" s="343"/>
      <c r="G14" s="72">
        <f t="shared" si="0"/>
        <v>0</v>
      </c>
      <c r="H14" s="71">
        <v>4.82</v>
      </c>
      <c r="I14" s="6">
        <v>103.57</v>
      </c>
      <c r="J14" s="72">
        <f t="shared" si="1"/>
        <v>499.20740000000001</v>
      </c>
      <c r="K14" s="72">
        <f t="shared" si="2"/>
        <v>499.20740000000001</v>
      </c>
      <c r="L14" s="170">
        <v>0</v>
      </c>
      <c r="M14" s="156">
        <f t="shared" si="3"/>
        <v>64955.337460000017</v>
      </c>
      <c r="N14" s="50" t="s">
        <v>166</v>
      </c>
    </row>
    <row r="15" spans="1:18">
      <c r="A15" s="50">
        <v>12</v>
      </c>
      <c r="B15" s="233">
        <v>46003</v>
      </c>
      <c r="C15" s="6"/>
      <c r="D15" s="6"/>
      <c r="E15" s="71"/>
      <c r="F15" s="343"/>
      <c r="G15" s="72">
        <f t="shared" si="0"/>
        <v>0</v>
      </c>
      <c r="H15" s="71">
        <v>3.93</v>
      </c>
      <c r="I15" s="6">
        <v>103.57</v>
      </c>
      <c r="J15" s="72">
        <f t="shared" si="1"/>
        <v>407.0301</v>
      </c>
      <c r="K15" s="72">
        <f t="shared" si="2"/>
        <v>407.0301</v>
      </c>
      <c r="L15" s="170">
        <v>0</v>
      </c>
      <c r="M15" s="156">
        <f t="shared" si="3"/>
        <v>65362.367560000021</v>
      </c>
      <c r="N15" s="50" t="s">
        <v>166</v>
      </c>
    </row>
    <row r="16" spans="1:18">
      <c r="A16" s="50">
        <v>13</v>
      </c>
      <c r="B16" s="233">
        <v>46004</v>
      </c>
      <c r="C16" s="6"/>
      <c r="D16" s="6"/>
      <c r="E16" s="71"/>
      <c r="F16" s="343"/>
      <c r="G16" s="72">
        <f t="shared" si="0"/>
        <v>0</v>
      </c>
      <c r="H16" s="71"/>
      <c r="I16" s="6"/>
      <c r="J16" s="72">
        <f t="shared" si="1"/>
        <v>0</v>
      </c>
      <c r="K16" s="72">
        <f t="shared" si="2"/>
        <v>0</v>
      </c>
      <c r="L16" s="170">
        <v>0</v>
      </c>
      <c r="M16" s="156">
        <f t="shared" si="3"/>
        <v>65362.367560000021</v>
      </c>
      <c r="N16" s="50" t="s">
        <v>166</v>
      </c>
    </row>
    <row r="17" spans="1:14">
      <c r="A17" s="50">
        <v>14</v>
      </c>
      <c r="B17" s="233">
        <v>46005</v>
      </c>
      <c r="C17" s="6"/>
      <c r="D17" s="6"/>
      <c r="E17" s="71"/>
      <c r="F17" s="343"/>
      <c r="G17" s="72">
        <f t="shared" si="0"/>
        <v>0</v>
      </c>
      <c r="H17" s="71">
        <v>6.76</v>
      </c>
      <c r="I17" s="6">
        <v>103.57</v>
      </c>
      <c r="J17" s="72">
        <f t="shared" si="1"/>
        <v>700.13319999999999</v>
      </c>
      <c r="K17" s="72">
        <f t="shared" si="2"/>
        <v>700.13319999999999</v>
      </c>
      <c r="L17" s="170">
        <v>0</v>
      </c>
      <c r="M17" s="156">
        <f t="shared" si="3"/>
        <v>66062.500760000024</v>
      </c>
      <c r="N17" s="50" t="s">
        <v>166</v>
      </c>
    </row>
    <row r="18" spans="1:14">
      <c r="A18" s="50">
        <v>15</v>
      </c>
      <c r="B18" s="233">
        <v>46006</v>
      </c>
      <c r="C18" s="6"/>
      <c r="D18" s="6"/>
      <c r="E18" s="71">
        <v>27.29</v>
      </c>
      <c r="F18" s="343">
        <v>91.62</v>
      </c>
      <c r="G18" s="72">
        <f t="shared" si="0"/>
        <v>2500.3098</v>
      </c>
      <c r="H18" s="71">
        <v>9.66</v>
      </c>
      <c r="I18" s="6">
        <v>103.57</v>
      </c>
      <c r="J18" s="72">
        <f t="shared" si="1"/>
        <v>1000.4861999999999</v>
      </c>
      <c r="K18" s="72">
        <f t="shared" si="2"/>
        <v>3500.7959999999998</v>
      </c>
      <c r="L18" s="170">
        <v>66000</v>
      </c>
      <c r="M18" s="156">
        <f t="shared" si="3"/>
        <v>3563.2967600000266</v>
      </c>
      <c r="N18" s="50" t="s">
        <v>166</v>
      </c>
    </row>
    <row r="19" spans="1:14">
      <c r="A19" s="50">
        <v>16</v>
      </c>
      <c r="B19" s="233">
        <v>46007</v>
      </c>
      <c r="C19" s="6"/>
      <c r="D19" s="6"/>
      <c r="E19" s="71">
        <v>37.67</v>
      </c>
      <c r="F19" s="343">
        <v>91.62</v>
      </c>
      <c r="G19" s="72">
        <f t="shared" si="0"/>
        <v>3451.3254000000002</v>
      </c>
      <c r="H19" s="343">
        <v>11.59</v>
      </c>
      <c r="I19" s="6">
        <v>103.57</v>
      </c>
      <c r="J19" s="72">
        <f t="shared" si="1"/>
        <v>1200.3762999999999</v>
      </c>
      <c r="K19" s="72">
        <f t="shared" si="2"/>
        <v>4651.7016999999996</v>
      </c>
      <c r="L19" s="170">
        <v>0</v>
      </c>
      <c r="M19" s="156">
        <f t="shared" si="3"/>
        <v>8214.9984600000262</v>
      </c>
      <c r="N19" s="50" t="s">
        <v>166</v>
      </c>
    </row>
    <row r="20" spans="1:14">
      <c r="A20" s="50">
        <v>17</v>
      </c>
      <c r="B20" s="233">
        <v>46008</v>
      </c>
      <c r="C20" s="6"/>
      <c r="D20" s="6"/>
      <c r="E20" s="71"/>
      <c r="F20" s="343"/>
      <c r="G20" s="72">
        <f t="shared" si="0"/>
        <v>0</v>
      </c>
      <c r="H20" s="71"/>
      <c r="I20" s="6"/>
      <c r="J20" s="72">
        <f t="shared" si="1"/>
        <v>0</v>
      </c>
      <c r="K20" s="72">
        <f t="shared" si="2"/>
        <v>0</v>
      </c>
      <c r="L20" s="170">
        <v>0</v>
      </c>
      <c r="M20" s="156">
        <f t="shared" si="3"/>
        <v>8214.9984600000262</v>
      </c>
      <c r="N20" s="50" t="s">
        <v>166</v>
      </c>
    </row>
    <row r="21" spans="1:14">
      <c r="A21" s="50">
        <v>18</v>
      </c>
      <c r="B21" s="233">
        <v>46009</v>
      </c>
      <c r="C21" s="6"/>
      <c r="D21" s="6"/>
      <c r="E21" s="71"/>
      <c r="F21" s="343"/>
      <c r="G21" s="72">
        <f t="shared" si="0"/>
        <v>0</v>
      </c>
      <c r="H21" s="71"/>
      <c r="I21" s="6"/>
      <c r="J21" s="72">
        <f t="shared" si="1"/>
        <v>0</v>
      </c>
      <c r="K21" s="72">
        <f t="shared" si="2"/>
        <v>0</v>
      </c>
      <c r="L21" s="170">
        <v>0</v>
      </c>
      <c r="M21" s="156">
        <f t="shared" si="3"/>
        <v>8214.9984600000262</v>
      </c>
      <c r="N21" s="50" t="s">
        <v>166</v>
      </c>
    </row>
    <row r="22" spans="1:14">
      <c r="A22" s="50">
        <v>19</v>
      </c>
      <c r="B22" s="233">
        <v>46010</v>
      </c>
      <c r="C22" s="6"/>
      <c r="D22" s="6"/>
      <c r="E22" s="71"/>
      <c r="F22" s="343"/>
      <c r="G22" s="72">
        <f t="shared" si="0"/>
        <v>0</v>
      </c>
      <c r="H22" s="71"/>
      <c r="I22" s="6"/>
      <c r="J22" s="72">
        <f t="shared" si="1"/>
        <v>0</v>
      </c>
      <c r="K22" s="72">
        <f t="shared" si="2"/>
        <v>0</v>
      </c>
      <c r="L22" s="170">
        <v>0</v>
      </c>
      <c r="M22" s="156">
        <f t="shared" si="3"/>
        <v>8214.9984600000262</v>
      </c>
      <c r="N22" s="50" t="s">
        <v>166</v>
      </c>
    </row>
    <row r="23" spans="1:14">
      <c r="A23" s="50">
        <v>20</v>
      </c>
      <c r="B23" s="233">
        <v>46011</v>
      </c>
      <c r="C23" s="6"/>
      <c r="D23" s="6"/>
      <c r="E23" s="71"/>
      <c r="F23" s="343"/>
      <c r="G23" s="72">
        <f t="shared" si="0"/>
        <v>0</v>
      </c>
      <c r="H23" s="71"/>
      <c r="I23" s="6"/>
      <c r="J23" s="72">
        <f t="shared" si="1"/>
        <v>0</v>
      </c>
      <c r="K23" s="72">
        <f t="shared" si="2"/>
        <v>0</v>
      </c>
      <c r="L23" s="170">
        <v>0</v>
      </c>
      <c r="M23" s="156">
        <f t="shared" si="3"/>
        <v>8214.9984600000262</v>
      </c>
      <c r="N23" s="50"/>
    </row>
    <row r="24" spans="1:14">
      <c r="A24" s="50">
        <v>21</v>
      </c>
      <c r="B24" s="233">
        <v>46012</v>
      </c>
      <c r="C24" s="6"/>
      <c r="D24" s="6"/>
      <c r="E24" s="71"/>
      <c r="F24" s="343"/>
      <c r="G24" s="72">
        <f t="shared" si="0"/>
        <v>0</v>
      </c>
      <c r="H24" s="71"/>
      <c r="I24" s="6"/>
      <c r="J24" s="72">
        <f t="shared" si="1"/>
        <v>0</v>
      </c>
      <c r="K24" s="72">
        <f t="shared" si="2"/>
        <v>0</v>
      </c>
      <c r="L24" s="170">
        <v>0</v>
      </c>
      <c r="M24" s="156">
        <f>M23+K24-L24</f>
        <v>8214.9984600000262</v>
      </c>
      <c r="N24" s="50"/>
    </row>
    <row r="25" spans="1:14">
      <c r="A25" s="50">
        <v>22</v>
      </c>
      <c r="B25" s="233">
        <v>46013</v>
      </c>
      <c r="C25" s="6"/>
      <c r="D25" s="6"/>
      <c r="E25" s="71">
        <v>34.72</v>
      </c>
      <c r="F25" s="343">
        <v>91.62</v>
      </c>
      <c r="G25" s="72">
        <f t="shared" si="0"/>
        <v>3181.0464000000002</v>
      </c>
      <c r="H25" s="71"/>
      <c r="I25" s="6"/>
      <c r="J25" s="72">
        <f t="shared" si="1"/>
        <v>0</v>
      </c>
      <c r="K25" s="72">
        <f t="shared" si="2"/>
        <v>3181.0464000000002</v>
      </c>
      <c r="L25" s="170">
        <v>0</v>
      </c>
      <c r="M25" s="156">
        <f t="shared" si="3"/>
        <v>11396.044860000027</v>
      </c>
      <c r="N25" s="50"/>
    </row>
    <row r="26" spans="1:14">
      <c r="A26" s="50">
        <v>23</v>
      </c>
      <c r="B26" s="233">
        <v>46014</v>
      </c>
      <c r="C26" s="6"/>
      <c r="D26" s="6"/>
      <c r="E26" s="71"/>
      <c r="F26" s="343"/>
      <c r="G26" s="72">
        <f t="shared" si="0"/>
        <v>0</v>
      </c>
      <c r="H26" s="71">
        <v>5</v>
      </c>
      <c r="I26" s="6">
        <v>103.57</v>
      </c>
      <c r="J26" s="72">
        <f t="shared" si="1"/>
        <v>517.84999999999991</v>
      </c>
      <c r="K26" s="72">
        <f t="shared" si="2"/>
        <v>517.84999999999991</v>
      </c>
      <c r="L26" s="170">
        <v>0</v>
      </c>
      <c r="M26" s="156">
        <f t="shared" si="3"/>
        <v>11913.894860000028</v>
      </c>
      <c r="N26" s="6"/>
    </row>
    <row r="27" spans="1:14">
      <c r="A27" s="50">
        <v>24</v>
      </c>
      <c r="B27" s="233">
        <v>46015</v>
      </c>
      <c r="C27" s="6"/>
      <c r="D27" s="6"/>
      <c r="E27" s="71"/>
      <c r="F27" s="343"/>
      <c r="G27" s="72">
        <f t="shared" si="0"/>
        <v>0</v>
      </c>
      <c r="H27" s="71"/>
      <c r="I27" s="6"/>
      <c r="J27" s="72">
        <f t="shared" si="1"/>
        <v>0</v>
      </c>
      <c r="K27" s="72">
        <f t="shared" si="2"/>
        <v>0</v>
      </c>
      <c r="L27" s="170">
        <v>0</v>
      </c>
      <c r="M27" s="156">
        <f t="shared" si="3"/>
        <v>11913.894860000028</v>
      </c>
      <c r="N27" s="6"/>
    </row>
    <row r="28" spans="1:14">
      <c r="A28" s="235">
        <v>25</v>
      </c>
      <c r="B28" s="233">
        <v>46016</v>
      </c>
      <c r="C28" s="6"/>
      <c r="D28" s="6"/>
      <c r="E28" s="71">
        <v>32.74</v>
      </c>
      <c r="F28" s="343">
        <v>91.62</v>
      </c>
      <c r="G28" s="72">
        <f t="shared" si="0"/>
        <v>2999.6388000000002</v>
      </c>
      <c r="H28" s="71"/>
      <c r="I28" s="6"/>
      <c r="J28" s="72">
        <f t="shared" si="1"/>
        <v>0</v>
      </c>
      <c r="K28" s="72">
        <f t="shared" si="2"/>
        <v>2999.6388000000002</v>
      </c>
      <c r="L28" s="170">
        <v>0</v>
      </c>
      <c r="M28" s="156">
        <f t="shared" si="3"/>
        <v>14913.533660000028</v>
      </c>
      <c r="N28" s="6"/>
    </row>
    <row r="29" spans="1:14">
      <c r="A29" s="235">
        <v>26</v>
      </c>
      <c r="B29" s="233">
        <v>46017</v>
      </c>
      <c r="C29" s="6"/>
      <c r="D29" s="6"/>
      <c r="E29" s="71"/>
      <c r="F29" s="343"/>
      <c r="G29" s="72">
        <f t="shared" si="0"/>
        <v>0</v>
      </c>
      <c r="H29" s="71"/>
      <c r="I29" s="6"/>
      <c r="J29" s="72">
        <f t="shared" si="1"/>
        <v>0</v>
      </c>
      <c r="K29" s="72">
        <f t="shared" si="2"/>
        <v>0</v>
      </c>
      <c r="L29" s="170">
        <v>0</v>
      </c>
      <c r="M29" s="156">
        <f t="shared" si="3"/>
        <v>14913.533660000028</v>
      </c>
      <c r="N29" s="6"/>
    </row>
    <row r="30" spans="1:14">
      <c r="A30" s="235">
        <v>27</v>
      </c>
      <c r="B30" s="233">
        <v>46018</v>
      </c>
      <c r="C30" s="6"/>
      <c r="D30" s="6"/>
      <c r="E30" s="71">
        <v>100.36</v>
      </c>
      <c r="F30" s="343">
        <v>91.62</v>
      </c>
      <c r="G30" s="72">
        <f t="shared" si="0"/>
        <v>9194.9832000000006</v>
      </c>
      <c r="H30" s="71">
        <v>11.25</v>
      </c>
      <c r="I30" s="6">
        <v>103.57</v>
      </c>
      <c r="J30" s="72">
        <f t="shared" si="1"/>
        <v>1165.1624999999999</v>
      </c>
      <c r="K30" s="72">
        <f t="shared" si="2"/>
        <v>10360.145700000001</v>
      </c>
      <c r="L30" s="170">
        <v>0</v>
      </c>
      <c r="M30" s="156">
        <f t="shared" si="3"/>
        <v>25273.679360000031</v>
      </c>
      <c r="N30" s="6"/>
    </row>
    <row r="31" spans="1:14">
      <c r="A31" s="235">
        <v>28</v>
      </c>
      <c r="B31" s="233">
        <v>46019</v>
      </c>
      <c r="C31" s="6"/>
      <c r="D31" s="6"/>
      <c r="E31" s="71"/>
      <c r="F31" s="343"/>
      <c r="G31" s="72">
        <f t="shared" si="0"/>
        <v>0</v>
      </c>
      <c r="H31" s="71">
        <v>6.21</v>
      </c>
      <c r="I31" s="6">
        <v>103.57</v>
      </c>
      <c r="J31" s="72">
        <f t="shared" si="1"/>
        <v>643.16969999999992</v>
      </c>
      <c r="K31" s="72">
        <f t="shared" si="2"/>
        <v>643.16969999999992</v>
      </c>
      <c r="L31" s="170">
        <v>0</v>
      </c>
      <c r="M31" s="156">
        <f t="shared" si="3"/>
        <v>25916.84906000003</v>
      </c>
      <c r="N31" s="6"/>
    </row>
    <row r="32" spans="1:14">
      <c r="A32" s="236">
        <v>29</v>
      </c>
      <c r="B32" s="233">
        <v>46020</v>
      </c>
      <c r="C32" s="6"/>
      <c r="D32" s="6"/>
      <c r="E32" s="71">
        <v>65.489999999999995</v>
      </c>
      <c r="F32" s="343">
        <v>91.62</v>
      </c>
      <c r="G32" s="72">
        <f t="shared" si="0"/>
        <v>6000.1938</v>
      </c>
      <c r="H32" s="71"/>
      <c r="I32" s="6"/>
      <c r="J32" s="72">
        <f t="shared" si="1"/>
        <v>0</v>
      </c>
      <c r="K32" s="72">
        <f t="shared" si="2"/>
        <v>6000.1938</v>
      </c>
      <c r="L32" s="170">
        <v>0</v>
      </c>
      <c r="M32" s="156">
        <f t="shared" si="3"/>
        <v>31917.04286000003</v>
      </c>
      <c r="N32" s="6"/>
    </row>
    <row r="33" spans="1:17">
      <c r="A33" s="236">
        <v>30</v>
      </c>
      <c r="B33" s="233">
        <v>46021</v>
      </c>
      <c r="C33" s="6"/>
      <c r="D33" s="6"/>
      <c r="E33" s="71"/>
      <c r="F33" s="343"/>
      <c r="G33" s="72">
        <f t="shared" si="0"/>
        <v>0</v>
      </c>
      <c r="H33" s="71"/>
      <c r="I33" s="6"/>
      <c r="J33" s="72">
        <f t="shared" si="1"/>
        <v>0</v>
      </c>
      <c r="K33" s="72">
        <f t="shared" si="2"/>
        <v>0</v>
      </c>
      <c r="L33" s="170">
        <v>0</v>
      </c>
      <c r="M33" s="156">
        <f t="shared" si="3"/>
        <v>31917.04286000003</v>
      </c>
      <c r="N33" s="6"/>
    </row>
    <row r="34" spans="1:17">
      <c r="A34" s="236">
        <v>31</v>
      </c>
      <c r="B34" s="233">
        <v>46022</v>
      </c>
      <c r="C34" s="6"/>
      <c r="D34" s="6"/>
      <c r="E34" s="71">
        <v>0</v>
      </c>
      <c r="F34" s="343">
        <v>0</v>
      </c>
      <c r="G34" s="72">
        <f t="shared" si="0"/>
        <v>0</v>
      </c>
      <c r="H34" s="71">
        <v>4.83</v>
      </c>
      <c r="I34" s="6">
        <v>103.57</v>
      </c>
      <c r="J34" s="72">
        <f t="shared" si="1"/>
        <v>500.24309999999997</v>
      </c>
      <c r="K34" s="72">
        <f t="shared" si="2"/>
        <v>500.24309999999997</v>
      </c>
      <c r="L34" s="170">
        <v>0</v>
      </c>
      <c r="M34" s="156">
        <f t="shared" ref="M34:M39" si="4">M33+K34-L34</f>
        <v>32417.28596000003</v>
      </c>
      <c r="N34" s="6"/>
    </row>
    <row r="35" spans="1:17">
      <c r="A35" s="6">
        <v>35</v>
      </c>
      <c r="B35" s="84"/>
      <c r="C35" s="6"/>
      <c r="D35" s="6"/>
      <c r="E35" s="71">
        <v>0</v>
      </c>
      <c r="F35" s="343">
        <v>0</v>
      </c>
      <c r="G35" s="72">
        <f t="shared" si="0"/>
        <v>0</v>
      </c>
      <c r="H35" s="71"/>
      <c r="I35" s="6"/>
      <c r="J35" s="72">
        <f t="shared" si="1"/>
        <v>0</v>
      </c>
      <c r="K35" s="72">
        <f t="shared" si="2"/>
        <v>0</v>
      </c>
      <c r="L35" s="170">
        <v>0</v>
      </c>
      <c r="M35" s="156">
        <f t="shared" si="4"/>
        <v>32417.28596000003</v>
      </c>
      <c r="N35" s="6"/>
    </row>
    <row r="36" spans="1:17">
      <c r="A36" s="6">
        <v>36</v>
      </c>
      <c r="B36" s="84"/>
      <c r="C36" s="6"/>
      <c r="D36" s="6"/>
      <c r="E36" s="71">
        <v>0</v>
      </c>
      <c r="F36" s="343">
        <v>0</v>
      </c>
      <c r="G36" s="72">
        <f t="shared" si="0"/>
        <v>0</v>
      </c>
      <c r="H36" s="71">
        <v>0</v>
      </c>
      <c r="I36" s="6">
        <v>0</v>
      </c>
      <c r="J36" s="72">
        <f t="shared" si="1"/>
        <v>0</v>
      </c>
      <c r="K36" s="72">
        <f t="shared" si="2"/>
        <v>0</v>
      </c>
      <c r="L36" s="170">
        <v>0</v>
      </c>
      <c r="M36" s="156">
        <f t="shared" si="4"/>
        <v>32417.28596000003</v>
      </c>
      <c r="N36" s="6"/>
    </row>
    <row r="37" spans="1:17">
      <c r="A37" s="6">
        <v>37</v>
      </c>
      <c r="B37" s="84"/>
      <c r="C37" s="6"/>
      <c r="D37" s="6"/>
      <c r="E37" s="71">
        <v>0</v>
      </c>
      <c r="F37" s="343">
        <v>0</v>
      </c>
      <c r="G37" s="72">
        <f t="shared" si="0"/>
        <v>0</v>
      </c>
      <c r="H37" s="71">
        <v>0</v>
      </c>
      <c r="I37" s="6">
        <v>0</v>
      </c>
      <c r="J37" s="72">
        <f t="shared" si="1"/>
        <v>0</v>
      </c>
      <c r="K37" s="72">
        <f t="shared" si="2"/>
        <v>0</v>
      </c>
      <c r="L37" s="170">
        <v>0</v>
      </c>
      <c r="M37" s="156">
        <f t="shared" si="4"/>
        <v>32417.28596000003</v>
      </c>
      <c r="N37" s="6"/>
    </row>
    <row r="38" spans="1:17">
      <c r="A38" s="6">
        <v>38</v>
      </c>
      <c r="B38" s="84"/>
      <c r="C38" s="6"/>
      <c r="D38" s="6"/>
      <c r="E38" s="71">
        <v>0</v>
      </c>
      <c r="F38" s="343">
        <v>0</v>
      </c>
      <c r="G38" s="72">
        <f t="shared" si="0"/>
        <v>0</v>
      </c>
      <c r="H38" s="71">
        <v>0</v>
      </c>
      <c r="I38" s="6">
        <v>0</v>
      </c>
      <c r="J38" s="72">
        <f t="shared" si="1"/>
        <v>0</v>
      </c>
      <c r="K38" s="72">
        <f t="shared" si="2"/>
        <v>0</v>
      </c>
      <c r="L38" s="170">
        <v>0</v>
      </c>
      <c r="M38" s="156">
        <f t="shared" si="4"/>
        <v>32417.28596000003</v>
      </c>
      <c r="N38" s="6"/>
    </row>
    <row r="39" spans="1:17">
      <c r="A39" s="178">
        <v>39</v>
      </c>
      <c r="B39" s="179"/>
      <c r="C39" s="178"/>
      <c r="D39" s="6"/>
      <c r="E39" s="71">
        <v>0</v>
      </c>
      <c r="F39" s="343">
        <v>0</v>
      </c>
      <c r="G39" s="72">
        <f t="shared" si="0"/>
        <v>0</v>
      </c>
      <c r="H39" s="71">
        <v>0</v>
      </c>
      <c r="I39" s="6">
        <v>0</v>
      </c>
      <c r="J39" s="72">
        <f t="shared" si="1"/>
        <v>0</v>
      </c>
      <c r="K39" s="72">
        <f t="shared" si="2"/>
        <v>0</v>
      </c>
      <c r="L39" s="170">
        <v>0</v>
      </c>
      <c r="M39" s="156">
        <f t="shared" si="4"/>
        <v>32417.28596000003</v>
      </c>
      <c r="N39" s="178"/>
    </row>
    <row r="40" spans="1:17">
      <c r="A40" s="6">
        <v>40</v>
      </c>
      <c r="B40" s="6"/>
      <c r="C40" s="6"/>
      <c r="D40" s="6"/>
      <c r="E40" s="71">
        <v>0</v>
      </c>
      <c r="F40" s="343">
        <v>0</v>
      </c>
      <c r="G40" s="72">
        <f t="shared" si="0"/>
        <v>0</v>
      </c>
      <c r="H40" s="71">
        <v>0</v>
      </c>
      <c r="I40" s="6">
        <v>0</v>
      </c>
      <c r="J40" s="72">
        <f t="shared" si="1"/>
        <v>0</v>
      </c>
      <c r="K40" s="72">
        <f t="shared" si="2"/>
        <v>0</v>
      </c>
      <c r="L40" s="170">
        <v>0</v>
      </c>
      <c r="M40" s="156">
        <v>0</v>
      </c>
      <c r="N40" s="6"/>
    </row>
    <row r="41" spans="1:17">
      <c r="A41" s="178">
        <v>41</v>
      </c>
      <c r="B41" s="178"/>
      <c r="C41" s="178"/>
      <c r="D41" s="6"/>
      <c r="E41" s="71">
        <v>0</v>
      </c>
      <c r="F41" s="343">
        <v>0</v>
      </c>
      <c r="G41" s="72">
        <f t="shared" si="0"/>
        <v>0</v>
      </c>
      <c r="H41" s="71">
        <v>0</v>
      </c>
      <c r="I41" s="6">
        <v>0</v>
      </c>
      <c r="J41" s="72">
        <f t="shared" si="1"/>
        <v>0</v>
      </c>
      <c r="K41" s="72">
        <f t="shared" si="2"/>
        <v>0</v>
      </c>
      <c r="L41" s="170">
        <v>0</v>
      </c>
      <c r="M41" s="182">
        <v>0</v>
      </c>
      <c r="N41" s="178"/>
    </row>
    <row r="42" spans="1:17">
      <c r="A42" s="178">
        <v>42</v>
      </c>
      <c r="B42" s="178"/>
      <c r="C42" s="178"/>
      <c r="D42" s="6"/>
      <c r="E42" s="71">
        <v>0</v>
      </c>
      <c r="F42" s="6">
        <v>0</v>
      </c>
      <c r="G42" s="72">
        <f t="shared" ref="G42" si="5">E42*F42</f>
        <v>0</v>
      </c>
      <c r="H42" s="71">
        <v>0</v>
      </c>
      <c r="I42" s="6">
        <v>0</v>
      </c>
      <c r="J42" s="72">
        <f t="shared" ref="J42" si="6">H42*I42</f>
        <v>0</v>
      </c>
      <c r="K42" s="180">
        <f t="shared" ref="K42" si="7">G42+J42</f>
        <v>0</v>
      </c>
      <c r="L42" s="181">
        <f t="shared" ref="L42" si="8">+K42</f>
        <v>0</v>
      </c>
      <c r="M42" s="182">
        <v>0</v>
      </c>
      <c r="N42" s="178"/>
    </row>
    <row r="43" spans="1:17">
      <c r="A43" s="68"/>
      <c r="B43" s="68"/>
      <c r="C43" s="68"/>
      <c r="D43" s="68"/>
      <c r="E43" s="69">
        <f>SUM(E4:E42)</f>
        <v>429.07</v>
      </c>
      <c r="F43" s="69"/>
      <c r="G43" s="69">
        <f>SUM(G4:G42)</f>
        <v>39311.393400000001</v>
      </c>
      <c r="H43" s="69">
        <f>SUM(H4:H42)</f>
        <v>109.83</v>
      </c>
      <c r="I43" s="69"/>
      <c r="J43" s="69">
        <f>SUM(J4:J42)</f>
        <v>11454.002700000001</v>
      </c>
      <c r="K43" s="69">
        <f>SUM(K4:K42)</f>
        <v>50765.396099999998</v>
      </c>
      <c r="L43" s="69">
        <f>SUM(L4:L42)</f>
        <v>66000</v>
      </c>
      <c r="M43" s="69"/>
      <c r="N43" s="69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Z44"/>
  <sheetViews>
    <sheetView workbookViewId="0">
      <pane ySplit="2" topLeftCell="A20" activePane="bottomLeft" state="frozen"/>
      <selection pane="bottomLeft" activeCell="L34" sqref="L34"/>
    </sheetView>
  </sheetViews>
  <sheetFormatPr defaultRowHeight="15"/>
  <cols>
    <col min="1" max="1" width="5.140625" bestFit="1" customWidth="1"/>
    <col min="2" max="2" width="10.1406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461" t="s">
        <v>99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8"/>
    </row>
    <row r="2" spans="1:15" ht="16.5" customHeight="1">
      <c r="A2" s="104" t="s">
        <v>122</v>
      </c>
      <c r="B2" s="105" t="s">
        <v>123</v>
      </c>
      <c r="C2" s="105" t="s">
        <v>124</v>
      </c>
      <c r="D2" s="105" t="s">
        <v>139</v>
      </c>
      <c r="E2" s="105" t="s">
        <v>126</v>
      </c>
      <c r="F2" s="105" t="s">
        <v>127</v>
      </c>
      <c r="G2" s="105" t="s">
        <v>128</v>
      </c>
      <c r="H2" s="105" t="s">
        <v>129</v>
      </c>
      <c r="I2" s="105" t="s">
        <v>127</v>
      </c>
      <c r="J2" s="145" t="s">
        <v>128</v>
      </c>
      <c r="K2" s="106" t="s">
        <v>130</v>
      </c>
      <c r="L2" s="146" t="s">
        <v>131</v>
      </c>
      <c r="M2" s="150" t="s">
        <v>138</v>
      </c>
      <c r="N2" s="107" t="s">
        <v>133</v>
      </c>
      <c r="O2" s="65"/>
    </row>
    <row r="3" spans="1:15" ht="16.5" customHeight="1">
      <c r="A3" s="462" t="s">
        <v>134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155">
        <v>0</v>
      </c>
      <c r="N3" s="164"/>
      <c r="O3" s="65"/>
    </row>
    <row r="4" spans="1:15">
      <c r="A4" s="208">
        <v>1</v>
      </c>
      <c r="B4" s="233">
        <v>45992</v>
      </c>
      <c r="C4" s="73"/>
      <c r="D4" s="167"/>
      <c r="E4" s="71">
        <v>0</v>
      </c>
      <c r="F4" s="71">
        <v>0</v>
      </c>
      <c r="G4" s="8">
        <f>E4*F4</f>
        <v>0</v>
      </c>
      <c r="H4" s="71">
        <v>0</v>
      </c>
      <c r="I4" s="72">
        <v>0</v>
      </c>
      <c r="J4" s="8">
        <f>H4*I4</f>
        <v>0</v>
      </c>
      <c r="K4" s="8">
        <f>G4+J4</f>
        <v>0</v>
      </c>
      <c r="L4" s="74">
        <f>+K4</f>
        <v>0</v>
      </c>
      <c r="M4" s="74">
        <v>0</v>
      </c>
      <c r="N4" s="8"/>
    </row>
    <row r="5" spans="1:15">
      <c r="A5" s="50">
        <v>2</v>
      </c>
      <c r="B5" s="233">
        <v>45993</v>
      </c>
      <c r="C5" s="73"/>
      <c r="D5" s="167"/>
      <c r="E5" s="71">
        <v>0</v>
      </c>
      <c r="F5" s="71">
        <v>0</v>
      </c>
      <c r="G5" s="8">
        <f t="shared" ref="G5:G34" si="0">E5*F5</f>
        <v>0</v>
      </c>
      <c r="H5" s="71">
        <v>0</v>
      </c>
      <c r="I5" s="72">
        <v>0</v>
      </c>
      <c r="J5" s="8">
        <f t="shared" ref="J5:J8" si="1">H5*I5</f>
        <v>0</v>
      </c>
      <c r="K5" s="8">
        <f t="shared" ref="K5:K33" si="2">G5+J5</f>
        <v>0</v>
      </c>
      <c r="L5" s="74">
        <f t="shared" ref="L5:L33" si="3">+K5</f>
        <v>0</v>
      </c>
      <c r="M5" s="74">
        <v>0</v>
      </c>
      <c r="N5" s="8"/>
    </row>
    <row r="6" spans="1:15">
      <c r="A6" s="50">
        <v>3</v>
      </c>
      <c r="B6" s="233">
        <v>45994</v>
      </c>
      <c r="C6" s="73"/>
      <c r="D6" s="167"/>
      <c r="E6" s="71">
        <v>0</v>
      </c>
      <c r="F6" s="71">
        <v>0</v>
      </c>
      <c r="G6" s="8">
        <f t="shared" si="0"/>
        <v>0</v>
      </c>
      <c r="H6" s="71">
        <v>0</v>
      </c>
      <c r="I6" s="72">
        <v>0</v>
      </c>
      <c r="J6" s="8">
        <f t="shared" si="1"/>
        <v>0</v>
      </c>
      <c r="K6" s="8">
        <f t="shared" si="2"/>
        <v>0</v>
      </c>
      <c r="L6" s="74">
        <f t="shared" si="3"/>
        <v>0</v>
      </c>
      <c r="M6" s="74">
        <v>0</v>
      </c>
      <c r="N6" s="8"/>
    </row>
    <row r="7" spans="1:15">
      <c r="A7" s="50">
        <v>4</v>
      </c>
      <c r="B7" s="233">
        <v>45995</v>
      </c>
      <c r="C7" s="73"/>
      <c r="D7" s="167"/>
      <c r="E7" s="71">
        <v>0</v>
      </c>
      <c r="F7" s="71">
        <v>0</v>
      </c>
      <c r="G7" s="8">
        <f t="shared" si="0"/>
        <v>0</v>
      </c>
      <c r="H7" s="71">
        <v>0</v>
      </c>
      <c r="I7" s="72">
        <v>0</v>
      </c>
      <c r="J7" s="8">
        <f t="shared" ref="J7" si="4">H7*I7</f>
        <v>0</v>
      </c>
      <c r="K7" s="8">
        <f t="shared" si="2"/>
        <v>0</v>
      </c>
      <c r="L7" s="74">
        <f t="shared" si="3"/>
        <v>0</v>
      </c>
      <c r="M7" s="74">
        <v>0</v>
      </c>
      <c r="N7" s="8"/>
    </row>
    <row r="8" spans="1:15">
      <c r="A8" s="50">
        <v>5</v>
      </c>
      <c r="B8" s="233">
        <v>45996</v>
      </c>
      <c r="C8" s="73"/>
      <c r="D8" s="167"/>
      <c r="E8" s="71">
        <v>0</v>
      </c>
      <c r="F8" s="71">
        <v>0</v>
      </c>
      <c r="G8" s="8">
        <f t="shared" si="0"/>
        <v>0</v>
      </c>
      <c r="H8" s="71">
        <v>0</v>
      </c>
      <c r="I8" s="72">
        <v>0</v>
      </c>
      <c r="J8" s="8">
        <f t="shared" si="1"/>
        <v>0</v>
      </c>
      <c r="K8" s="8">
        <f t="shared" si="2"/>
        <v>0</v>
      </c>
      <c r="L8" s="74">
        <f t="shared" si="3"/>
        <v>0</v>
      </c>
      <c r="M8" s="74">
        <v>0</v>
      </c>
      <c r="N8" s="8"/>
      <c r="O8" s="75"/>
    </row>
    <row r="9" spans="1:15">
      <c r="A9" s="50">
        <v>6</v>
      </c>
      <c r="B9" s="233">
        <v>45997</v>
      </c>
      <c r="C9" s="73"/>
      <c r="D9" s="167"/>
      <c r="E9" s="71">
        <v>0</v>
      </c>
      <c r="F9" s="71">
        <v>0</v>
      </c>
      <c r="G9" s="8">
        <f t="shared" si="0"/>
        <v>0</v>
      </c>
      <c r="H9" s="71">
        <v>0</v>
      </c>
      <c r="I9" s="72">
        <v>0</v>
      </c>
      <c r="J9" s="8">
        <f t="shared" ref="J9:J34" si="5">H9*I9</f>
        <v>0</v>
      </c>
      <c r="K9" s="8">
        <f t="shared" si="2"/>
        <v>0</v>
      </c>
      <c r="L9" s="74">
        <f t="shared" si="3"/>
        <v>0</v>
      </c>
      <c r="M9" s="74">
        <v>0</v>
      </c>
      <c r="N9" s="8"/>
      <c r="O9" s="75"/>
    </row>
    <row r="10" spans="1:15">
      <c r="A10" s="50">
        <v>7</v>
      </c>
      <c r="B10" s="233">
        <v>45998</v>
      </c>
      <c r="C10" s="73"/>
      <c r="D10" s="167"/>
      <c r="E10" s="71">
        <v>0</v>
      </c>
      <c r="F10" s="71">
        <v>0</v>
      </c>
      <c r="G10" s="8">
        <f t="shared" si="0"/>
        <v>0</v>
      </c>
      <c r="H10" s="71">
        <v>0</v>
      </c>
      <c r="I10" s="72">
        <v>0</v>
      </c>
      <c r="J10" s="8">
        <f t="shared" si="5"/>
        <v>0</v>
      </c>
      <c r="K10" s="8">
        <f t="shared" si="2"/>
        <v>0</v>
      </c>
      <c r="L10" s="74">
        <f t="shared" si="3"/>
        <v>0</v>
      </c>
      <c r="M10" s="74">
        <v>0</v>
      </c>
      <c r="N10" s="8"/>
      <c r="O10" s="75"/>
    </row>
    <row r="11" spans="1:15">
      <c r="A11" s="50">
        <v>8</v>
      </c>
      <c r="B11" s="233">
        <v>45999</v>
      </c>
      <c r="C11" s="73"/>
      <c r="D11" s="167"/>
      <c r="E11" s="71">
        <v>0</v>
      </c>
      <c r="F11" s="71">
        <v>0</v>
      </c>
      <c r="G11" s="8">
        <f t="shared" si="0"/>
        <v>0</v>
      </c>
      <c r="H11" s="71">
        <v>0</v>
      </c>
      <c r="I11" s="72">
        <v>0</v>
      </c>
      <c r="J11" s="8">
        <f t="shared" si="5"/>
        <v>0</v>
      </c>
      <c r="K11" s="8">
        <f t="shared" si="2"/>
        <v>0</v>
      </c>
      <c r="L11" s="74">
        <f t="shared" si="3"/>
        <v>0</v>
      </c>
      <c r="M11" s="74">
        <v>0</v>
      </c>
      <c r="N11" s="8"/>
      <c r="O11" s="75"/>
    </row>
    <row r="12" spans="1:15">
      <c r="A12" s="50">
        <v>9</v>
      </c>
      <c r="B12" s="233">
        <v>46000</v>
      </c>
      <c r="C12" s="73"/>
      <c r="D12" s="167"/>
      <c r="E12" s="71">
        <v>0</v>
      </c>
      <c r="F12" s="71">
        <v>0</v>
      </c>
      <c r="G12" s="8">
        <f t="shared" si="0"/>
        <v>0</v>
      </c>
      <c r="H12" s="71">
        <v>0</v>
      </c>
      <c r="I12" s="72">
        <v>0</v>
      </c>
      <c r="J12" s="8">
        <f t="shared" si="5"/>
        <v>0</v>
      </c>
      <c r="K12" s="8">
        <f t="shared" si="2"/>
        <v>0</v>
      </c>
      <c r="L12" s="74">
        <f t="shared" si="3"/>
        <v>0</v>
      </c>
      <c r="M12" s="74">
        <v>0</v>
      </c>
      <c r="N12" s="8"/>
      <c r="O12" s="75"/>
    </row>
    <row r="13" spans="1:15">
      <c r="A13" s="50">
        <v>10</v>
      </c>
      <c r="B13" s="233">
        <v>46001</v>
      </c>
      <c r="C13" s="73"/>
      <c r="D13" s="167"/>
      <c r="E13" s="71">
        <v>0</v>
      </c>
      <c r="F13" s="71">
        <v>0</v>
      </c>
      <c r="G13" s="8">
        <f t="shared" si="0"/>
        <v>0</v>
      </c>
      <c r="H13" s="71">
        <v>0</v>
      </c>
      <c r="I13" s="72">
        <v>0</v>
      </c>
      <c r="J13" s="8">
        <f t="shared" si="5"/>
        <v>0</v>
      </c>
      <c r="K13" s="8">
        <f t="shared" si="2"/>
        <v>0</v>
      </c>
      <c r="L13" s="74">
        <f t="shared" si="3"/>
        <v>0</v>
      </c>
      <c r="M13" s="74">
        <v>0</v>
      </c>
      <c r="N13" s="8"/>
      <c r="O13" s="75"/>
    </row>
    <row r="14" spans="1:15">
      <c r="A14" s="50">
        <v>11</v>
      </c>
      <c r="B14" s="233">
        <v>46002</v>
      </c>
      <c r="C14" s="73"/>
      <c r="D14" s="167"/>
      <c r="E14" s="71">
        <v>0</v>
      </c>
      <c r="F14" s="71">
        <v>0</v>
      </c>
      <c r="G14" s="8">
        <f t="shared" si="0"/>
        <v>0</v>
      </c>
      <c r="H14" s="71">
        <v>0</v>
      </c>
      <c r="I14" s="72">
        <v>0</v>
      </c>
      <c r="J14" s="8">
        <f t="shared" si="5"/>
        <v>0</v>
      </c>
      <c r="K14" s="8">
        <f t="shared" si="2"/>
        <v>0</v>
      </c>
      <c r="L14" s="74">
        <f t="shared" si="3"/>
        <v>0</v>
      </c>
      <c r="M14" s="74">
        <v>0</v>
      </c>
      <c r="N14" s="8"/>
      <c r="O14" s="75"/>
    </row>
    <row r="15" spans="1:15">
      <c r="A15" s="50">
        <v>12</v>
      </c>
      <c r="B15" s="233">
        <v>46003</v>
      </c>
      <c r="C15" s="73"/>
      <c r="D15" s="167"/>
      <c r="E15" s="71">
        <v>0</v>
      </c>
      <c r="F15" s="71">
        <v>0</v>
      </c>
      <c r="G15" s="8">
        <f t="shared" si="0"/>
        <v>0</v>
      </c>
      <c r="H15" s="71">
        <v>0</v>
      </c>
      <c r="I15" s="72">
        <v>0</v>
      </c>
      <c r="J15" s="8">
        <f t="shared" si="5"/>
        <v>0</v>
      </c>
      <c r="K15" s="8">
        <f t="shared" si="2"/>
        <v>0</v>
      </c>
      <c r="L15" s="74">
        <f t="shared" si="3"/>
        <v>0</v>
      </c>
      <c r="M15" s="74">
        <v>0</v>
      </c>
      <c r="N15" s="8"/>
      <c r="O15" s="75"/>
    </row>
    <row r="16" spans="1:15">
      <c r="A16" s="50">
        <v>13</v>
      </c>
      <c r="B16" s="233">
        <v>46004</v>
      </c>
      <c r="C16" s="73"/>
      <c r="D16" s="167"/>
      <c r="E16" s="71">
        <v>0</v>
      </c>
      <c r="F16" s="71">
        <v>0</v>
      </c>
      <c r="G16" s="8">
        <f t="shared" si="0"/>
        <v>0</v>
      </c>
      <c r="H16" s="71">
        <v>0</v>
      </c>
      <c r="I16" s="72">
        <v>0</v>
      </c>
      <c r="J16" s="8">
        <f t="shared" si="5"/>
        <v>0</v>
      </c>
      <c r="K16" s="8">
        <f t="shared" si="2"/>
        <v>0</v>
      </c>
      <c r="L16" s="74">
        <f t="shared" si="3"/>
        <v>0</v>
      </c>
      <c r="M16" s="74">
        <v>0</v>
      </c>
      <c r="N16" s="8"/>
      <c r="O16" s="75"/>
    </row>
    <row r="17" spans="1:26">
      <c r="A17" s="50">
        <v>14</v>
      </c>
      <c r="B17" s="233">
        <v>46005</v>
      </c>
      <c r="C17" s="73"/>
      <c r="D17" s="167"/>
      <c r="E17" s="71">
        <v>0</v>
      </c>
      <c r="F17" s="71">
        <v>0</v>
      </c>
      <c r="G17" s="8">
        <f t="shared" si="0"/>
        <v>0</v>
      </c>
      <c r="H17" s="71">
        <v>0</v>
      </c>
      <c r="I17" s="72">
        <v>0</v>
      </c>
      <c r="J17" s="8">
        <f t="shared" si="5"/>
        <v>0</v>
      </c>
      <c r="K17" s="8">
        <f t="shared" si="2"/>
        <v>0</v>
      </c>
      <c r="L17" s="74">
        <f t="shared" si="3"/>
        <v>0</v>
      </c>
      <c r="M17" s="74">
        <v>0</v>
      </c>
      <c r="N17" s="8"/>
      <c r="O17" s="75"/>
    </row>
    <row r="18" spans="1:26">
      <c r="A18" s="50">
        <v>15</v>
      </c>
      <c r="B18" s="233">
        <v>46006</v>
      </c>
      <c r="C18" s="73"/>
      <c r="D18" s="167"/>
      <c r="E18" s="71">
        <v>0</v>
      </c>
      <c r="F18" s="71">
        <v>0</v>
      </c>
      <c r="G18" s="8">
        <f t="shared" si="0"/>
        <v>0</v>
      </c>
      <c r="H18" s="71">
        <v>0</v>
      </c>
      <c r="I18" s="72">
        <v>0</v>
      </c>
      <c r="J18" s="8">
        <f t="shared" si="5"/>
        <v>0</v>
      </c>
      <c r="K18" s="8">
        <f t="shared" si="2"/>
        <v>0</v>
      </c>
      <c r="L18" s="74">
        <f t="shared" si="3"/>
        <v>0</v>
      </c>
      <c r="M18" s="74">
        <v>0</v>
      </c>
      <c r="N18" s="8"/>
      <c r="O18" s="75"/>
    </row>
    <row r="19" spans="1:26">
      <c r="A19" s="50">
        <v>16</v>
      </c>
      <c r="B19" s="233">
        <v>46007</v>
      </c>
      <c r="C19" s="73"/>
      <c r="D19" s="167"/>
      <c r="E19" s="71">
        <v>0</v>
      </c>
      <c r="F19" s="71">
        <v>0</v>
      </c>
      <c r="G19" s="8">
        <f t="shared" si="0"/>
        <v>0</v>
      </c>
      <c r="H19" s="71">
        <v>8.92</v>
      </c>
      <c r="I19" s="72">
        <v>102.46</v>
      </c>
      <c r="J19" s="8">
        <f t="shared" si="5"/>
        <v>913.94319999999993</v>
      </c>
      <c r="K19" s="8">
        <f t="shared" si="2"/>
        <v>913.94319999999993</v>
      </c>
      <c r="L19" s="74">
        <f>+K19</f>
        <v>913.94319999999993</v>
      </c>
      <c r="M19" s="74">
        <v>0</v>
      </c>
      <c r="N19" s="8"/>
      <c r="O19" s="75"/>
    </row>
    <row r="20" spans="1:26">
      <c r="A20" s="50">
        <v>17</v>
      </c>
      <c r="B20" s="233">
        <v>46008</v>
      </c>
      <c r="C20" s="73"/>
      <c r="D20" s="167"/>
      <c r="E20" s="71">
        <v>0</v>
      </c>
      <c r="F20" s="71">
        <v>0</v>
      </c>
      <c r="G20" s="8">
        <f t="shared" si="0"/>
        <v>0</v>
      </c>
      <c r="H20" s="71">
        <v>0</v>
      </c>
      <c r="I20" s="72">
        <v>0</v>
      </c>
      <c r="J20" s="8">
        <f t="shared" si="5"/>
        <v>0</v>
      </c>
      <c r="K20" s="8">
        <f t="shared" si="2"/>
        <v>0</v>
      </c>
      <c r="L20" s="74">
        <f t="shared" si="3"/>
        <v>0</v>
      </c>
      <c r="M20" s="74">
        <v>0</v>
      </c>
      <c r="N20" s="8"/>
      <c r="O20" s="75"/>
    </row>
    <row r="21" spans="1:26">
      <c r="A21" s="50">
        <v>18</v>
      </c>
      <c r="B21" s="233">
        <v>46009</v>
      </c>
      <c r="C21" s="73"/>
      <c r="D21" s="167"/>
      <c r="E21" s="71">
        <v>0</v>
      </c>
      <c r="F21" s="71">
        <v>0</v>
      </c>
      <c r="G21" s="8">
        <f t="shared" si="0"/>
        <v>0</v>
      </c>
      <c r="H21" s="71">
        <v>0</v>
      </c>
      <c r="I21" s="72">
        <v>0</v>
      </c>
      <c r="J21" s="8">
        <f t="shared" si="5"/>
        <v>0</v>
      </c>
      <c r="K21" s="8">
        <f t="shared" si="2"/>
        <v>0</v>
      </c>
      <c r="L21" s="74">
        <f t="shared" si="3"/>
        <v>0</v>
      </c>
      <c r="M21" s="74">
        <v>0</v>
      </c>
      <c r="N21" s="8"/>
      <c r="O21" s="75"/>
      <c r="Q21">
        <v>18</v>
      </c>
      <c r="R21">
        <v>335.74</v>
      </c>
      <c r="S21">
        <v>97.43</v>
      </c>
      <c r="T21">
        <f>R21*S21</f>
        <v>32711.148200000003</v>
      </c>
      <c r="V21">
        <v>5.56</v>
      </c>
      <c r="W21">
        <v>109.61</v>
      </c>
      <c r="X21">
        <f>V21*W21</f>
        <v>609.4316</v>
      </c>
      <c r="Y21">
        <f>T21+X21</f>
        <v>33320.579800000007</v>
      </c>
      <c r="Z21" t="s">
        <v>209</v>
      </c>
    </row>
    <row r="22" spans="1:26">
      <c r="A22" s="50">
        <v>19</v>
      </c>
      <c r="B22" s="233">
        <v>46010</v>
      </c>
      <c r="C22" s="73"/>
      <c r="D22" s="167"/>
      <c r="E22" s="71">
        <v>0</v>
      </c>
      <c r="F22" s="71">
        <v>0</v>
      </c>
      <c r="G22" s="8">
        <f t="shared" si="0"/>
        <v>0</v>
      </c>
      <c r="H22" s="71">
        <v>0</v>
      </c>
      <c r="I22" s="72">
        <v>0</v>
      </c>
      <c r="J22" s="8">
        <f t="shared" si="5"/>
        <v>0</v>
      </c>
      <c r="K22" s="8">
        <f t="shared" si="2"/>
        <v>0</v>
      </c>
      <c r="L22" s="74">
        <f t="shared" si="3"/>
        <v>0</v>
      </c>
      <c r="M22" s="74">
        <v>0</v>
      </c>
      <c r="N22" s="8"/>
      <c r="O22" s="75"/>
      <c r="Q22">
        <v>19</v>
      </c>
      <c r="R22">
        <v>0</v>
      </c>
      <c r="T22">
        <f>R22*S22</f>
        <v>0</v>
      </c>
      <c r="V22">
        <v>0</v>
      </c>
      <c r="X22">
        <f t="shared" ref="X22:X25" si="6">V22*W22</f>
        <v>0</v>
      </c>
      <c r="Y22">
        <f t="shared" ref="Y22:Y24" si="7">T22+X22</f>
        <v>0</v>
      </c>
      <c r="Z22" t="s">
        <v>209</v>
      </c>
    </row>
    <row r="23" spans="1:26">
      <c r="A23" s="50">
        <v>20</v>
      </c>
      <c r="B23" s="233">
        <v>46011</v>
      </c>
      <c r="C23" s="73"/>
      <c r="D23" s="167"/>
      <c r="E23" s="71">
        <v>0</v>
      </c>
      <c r="F23" s="71">
        <v>0</v>
      </c>
      <c r="G23" s="8">
        <f t="shared" si="0"/>
        <v>0</v>
      </c>
      <c r="H23" s="71">
        <v>0</v>
      </c>
      <c r="I23" s="72">
        <v>0</v>
      </c>
      <c r="J23" s="8">
        <f t="shared" si="5"/>
        <v>0</v>
      </c>
      <c r="K23" s="8">
        <f t="shared" si="2"/>
        <v>0</v>
      </c>
      <c r="L23" s="74">
        <f t="shared" si="3"/>
        <v>0</v>
      </c>
      <c r="M23" s="74">
        <v>0</v>
      </c>
      <c r="N23" s="8"/>
      <c r="O23" s="75"/>
      <c r="Q23">
        <v>20</v>
      </c>
      <c r="R23">
        <v>61.58</v>
      </c>
      <c r="S23">
        <v>97.43</v>
      </c>
      <c r="T23">
        <f t="shared" ref="T23:T25" si="8">R23*S23</f>
        <v>5999.7394000000004</v>
      </c>
      <c r="X23">
        <f t="shared" si="6"/>
        <v>0</v>
      </c>
      <c r="Y23">
        <f t="shared" si="7"/>
        <v>5999.7394000000004</v>
      </c>
      <c r="Z23" t="s">
        <v>209</v>
      </c>
    </row>
    <row r="24" spans="1:26">
      <c r="A24" s="50">
        <v>21</v>
      </c>
      <c r="B24" s="233">
        <v>46012</v>
      </c>
      <c r="C24" s="73"/>
      <c r="D24" s="167"/>
      <c r="E24" s="71">
        <v>0</v>
      </c>
      <c r="F24" s="71">
        <v>0</v>
      </c>
      <c r="G24" s="8">
        <f t="shared" si="0"/>
        <v>0</v>
      </c>
      <c r="H24" s="71">
        <v>0</v>
      </c>
      <c r="I24" s="72">
        <v>0</v>
      </c>
      <c r="J24" s="8">
        <f t="shared" si="5"/>
        <v>0</v>
      </c>
      <c r="K24" s="8">
        <f t="shared" si="2"/>
        <v>0</v>
      </c>
      <c r="L24" s="74">
        <f t="shared" si="3"/>
        <v>0</v>
      </c>
      <c r="M24" s="74">
        <v>0</v>
      </c>
      <c r="N24" s="8"/>
      <c r="O24" s="75"/>
      <c r="Q24">
        <v>23</v>
      </c>
      <c r="R24">
        <v>200</v>
      </c>
      <c r="S24">
        <v>97.76</v>
      </c>
      <c r="T24">
        <f t="shared" si="8"/>
        <v>19552</v>
      </c>
      <c r="X24">
        <f t="shared" si="6"/>
        <v>0</v>
      </c>
      <c r="Y24">
        <f t="shared" si="7"/>
        <v>19552</v>
      </c>
      <c r="Z24" t="s">
        <v>210</v>
      </c>
    </row>
    <row r="25" spans="1:26">
      <c r="A25" s="50">
        <v>22</v>
      </c>
      <c r="B25" s="233">
        <v>46013</v>
      </c>
      <c r="C25" s="73"/>
      <c r="D25" s="167"/>
      <c r="E25" s="71">
        <v>0</v>
      </c>
      <c r="F25" s="71">
        <v>0</v>
      </c>
      <c r="G25" s="8">
        <f t="shared" si="0"/>
        <v>0</v>
      </c>
      <c r="H25" s="71">
        <v>0</v>
      </c>
      <c r="I25" s="72">
        <v>0</v>
      </c>
      <c r="J25" s="8">
        <f t="shared" si="5"/>
        <v>0</v>
      </c>
      <c r="K25" s="8">
        <f t="shared" si="2"/>
        <v>0</v>
      </c>
      <c r="L25" s="74">
        <f t="shared" si="3"/>
        <v>0</v>
      </c>
      <c r="M25" s="74">
        <v>0</v>
      </c>
      <c r="N25" s="8"/>
      <c r="O25" s="75"/>
      <c r="Q25">
        <v>24</v>
      </c>
      <c r="R25">
        <v>98.62</v>
      </c>
      <c r="S25">
        <v>97.43</v>
      </c>
      <c r="T25">
        <f t="shared" si="8"/>
        <v>9608.5466000000015</v>
      </c>
      <c r="V25">
        <v>5.83</v>
      </c>
      <c r="W25">
        <v>109.61</v>
      </c>
      <c r="X25">
        <f t="shared" si="6"/>
        <v>639.02629999999999</v>
      </c>
      <c r="Y25">
        <f>T25+X25</f>
        <v>10247.572900000001</v>
      </c>
    </row>
    <row r="26" spans="1:26">
      <c r="A26" s="50">
        <v>23</v>
      </c>
      <c r="B26" s="233">
        <v>46014</v>
      </c>
      <c r="C26" s="73"/>
      <c r="D26" s="167"/>
      <c r="E26" s="71">
        <v>0</v>
      </c>
      <c r="F26" s="71">
        <v>0</v>
      </c>
      <c r="G26" s="8">
        <f t="shared" si="0"/>
        <v>0</v>
      </c>
      <c r="H26" s="71">
        <v>0</v>
      </c>
      <c r="I26" s="72">
        <v>0</v>
      </c>
      <c r="J26" s="8">
        <f t="shared" si="5"/>
        <v>0</v>
      </c>
      <c r="K26" s="8">
        <f t="shared" si="2"/>
        <v>0</v>
      </c>
      <c r="L26" s="74">
        <f t="shared" si="3"/>
        <v>0</v>
      </c>
      <c r="M26" s="74">
        <v>0</v>
      </c>
      <c r="N26" s="8"/>
      <c r="O26" s="75"/>
    </row>
    <row r="27" spans="1:26">
      <c r="A27" s="50">
        <v>24</v>
      </c>
      <c r="B27" s="233">
        <v>46015</v>
      </c>
      <c r="C27" s="73"/>
      <c r="D27" s="167"/>
      <c r="E27" s="71">
        <v>0</v>
      </c>
      <c r="F27" s="71">
        <v>0</v>
      </c>
      <c r="G27" s="8">
        <f t="shared" si="0"/>
        <v>0</v>
      </c>
      <c r="H27" s="71">
        <v>0</v>
      </c>
      <c r="I27" s="72">
        <v>0</v>
      </c>
      <c r="J27" s="8">
        <f t="shared" si="5"/>
        <v>0</v>
      </c>
      <c r="K27" s="8">
        <f t="shared" si="2"/>
        <v>0</v>
      </c>
      <c r="L27" s="74">
        <f t="shared" si="3"/>
        <v>0</v>
      </c>
      <c r="M27" s="74">
        <v>0</v>
      </c>
      <c r="N27" s="8"/>
      <c r="O27" s="75"/>
    </row>
    <row r="28" spans="1:26">
      <c r="A28" s="235">
        <v>25</v>
      </c>
      <c r="B28" s="233">
        <v>46016</v>
      </c>
      <c r="C28" s="73"/>
      <c r="D28" s="167"/>
      <c r="E28" s="71">
        <v>0</v>
      </c>
      <c r="F28" s="71">
        <v>0</v>
      </c>
      <c r="G28" s="8">
        <f t="shared" si="0"/>
        <v>0</v>
      </c>
      <c r="H28" s="71">
        <v>0</v>
      </c>
      <c r="I28" s="72">
        <v>0</v>
      </c>
      <c r="J28" s="8">
        <f t="shared" si="5"/>
        <v>0</v>
      </c>
      <c r="K28" s="8">
        <f t="shared" si="2"/>
        <v>0</v>
      </c>
      <c r="L28" s="74">
        <f t="shared" si="3"/>
        <v>0</v>
      </c>
      <c r="M28" s="74">
        <v>0</v>
      </c>
      <c r="N28" s="8"/>
      <c r="O28" s="75"/>
    </row>
    <row r="29" spans="1:26">
      <c r="A29" s="235">
        <v>26</v>
      </c>
      <c r="B29" s="233">
        <v>46017</v>
      </c>
      <c r="C29" s="73"/>
      <c r="D29" s="167"/>
      <c r="E29" s="71">
        <v>0</v>
      </c>
      <c r="F29" s="71">
        <v>0</v>
      </c>
      <c r="G29" s="8">
        <f t="shared" si="0"/>
        <v>0</v>
      </c>
      <c r="H29" s="71">
        <v>0</v>
      </c>
      <c r="I29" s="72">
        <v>0</v>
      </c>
      <c r="J29" s="8">
        <f t="shared" si="5"/>
        <v>0</v>
      </c>
      <c r="K29" s="8">
        <f t="shared" si="2"/>
        <v>0</v>
      </c>
      <c r="L29" s="74">
        <f t="shared" si="3"/>
        <v>0</v>
      </c>
      <c r="M29" s="74">
        <v>0</v>
      </c>
      <c r="N29" s="8"/>
      <c r="O29" s="75"/>
    </row>
    <row r="30" spans="1:26">
      <c r="A30" s="235">
        <v>27</v>
      </c>
      <c r="B30" s="233">
        <v>46018</v>
      </c>
      <c r="C30" s="73"/>
      <c r="D30" s="167"/>
      <c r="E30" s="71">
        <v>0</v>
      </c>
      <c r="F30" s="71">
        <v>0</v>
      </c>
      <c r="G30" s="8">
        <f t="shared" si="0"/>
        <v>0</v>
      </c>
      <c r="H30" s="71">
        <v>0</v>
      </c>
      <c r="I30" s="72">
        <v>0</v>
      </c>
      <c r="J30" s="8">
        <f t="shared" si="5"/>
        <v>0</v>
      </c>
      <c r="K30" s="8">
        <f t="shared" si="2"/>
        <v>0</v>
      </c>
      <c r="L30" s="74">
        <f t="shared" si="3"/>
        <v>0</v>
      </c>
      <c r="M30" s="74">
        <v>0</v>
      </c>
      <c r="N30" s="8"/>
      <c r="O30" s="75"/>
    </row>
    <row r="31" spans="1:26">
      <c r="A31" s="235">
        <v>28</v>
      </c>
      <c r="B31" s="233">
        <v>46019</v>
      </c>
      <c r="C31" s="73"/>
      <c r="D31" s="167"/>
      <c r="E31" s="71">
        <v>0</v>
      </c>
      <c r="F31" s="71">
        <v>0</v>
      </c>
      <c r="G31" s="8">
        <f t="shared" si="0"/>
        <v>0</v>
      </c>
      <c r="H31" s="71">
        <v>0</v>
      </c>
      <c r="I31" s="72">
        <v>0</v>
      </c>
      <c r="J31" s="8">
        <f t="shared" si="5"/>
        <v>0</v>
      </c>
      <c r="K31" s="8">
        <f t="shared" si="2"/>
        <v>0</v>
      </c>
      <c r="L31" s="74">
        <f t="shared" si="3"/>
        <v>0</v>
      </c>
      <c r="M31" s="74">
        <v>0</v>
      </c>
      <c r="N31" s="8"/>
      <c r="O31" s="75"/>
    </row>
    <row r="32" spans="1:26">
      <c r="A32" s="236">
        <v>29</v>
      </c>
      <c r="B32" s="233">
        <v>46020</v>
      </c>
      <c r="C32" s="73"/>
      <c r="D32" s="167"/>
      <c r="E32" s="71">
        <v>33.119999999999997</v>
      </c>
      <c r="F32" s="71">
        <v>90.57</v>
      </c>
      <c r="G32" s="8">
        <f t="shared" si="0"/>
        <v>2999.6783999999993</v>
      </c>
      <c r="H32" s="71">
        <v>8.7799999999999994</v>
      </c>
      <c r="I32" s="72">
        <v>102.46</v>
      </c>
      <c r="J32" s="8">
        <f t="shared" si="5"/>
        <v>899.59879999999987</v>
      </c>
      <c r="K32" s="8">
        <f t="shared" si="2"/>
        <v>3899.2771999999991</v>
      </c>
      <c r="L32" s="74">
        <f t="shared" si="3"/>
        <v>3899.2771999999991</v>
      </c>
      <c r="M32" s="74">
        <v>0</v>
      </c>
      <c r="N32" s="8"/>
      <c r="O32" s="75"/>
    </row>
    <row r="33" spans="1:15">
      <c r="A33" s="236">
        <v>30</v>
      </c>
      <c r="B33" s="233">
        <v>46021</v>
      </c>
      <c r="C33" s="73"/>
      <c r="D33" s="167"/>
      <c r="E33" s="71">
        <v>0</v>
      </c>
      <c r="F33" s="71">
        <v>0</v>
      </c>
      <c r="G33" s="8">
        <f t="shared" si="0"/>
        <v>0</v>
      </c>
      <c r="H33" s="71">
        <v>0</v>
      </c>
      <c r="I33" s="72">
        <v>0</v>
      </c>
      <c r="J33" s="8">
        <f t="shared" si="5"/>
        <v>0</v>
      </c>
      <c r="K33" s="8">
        <f t="shared" si="2"/>
        <v>0</v>
      </c>
      <c r="L33" s="74">
        <f t="shared" si="3"/>
        <v>0</v>
      </c>
      <c r="M33" s="74">
        <v>0</v>
      </c>
      <c r="N33" s="8"/>
      <c r="O33" s="75"/>
    </row>
    <row r="34" spans="1:15">
      <c r="A34" s="236">
        <v>31</v>
      </c>
      <c r="B34" s="233">
        <v>46022</v>
      </c>
      <c r="C34" s="73"/>
      <c r="D34" s="167"/>
      <c r="E34" s="71">
        <v>33.119999999999997</v>
      </c>
      <c r="F34" s="71">
        <v>90.57</v>
      </c>
      <c r="G34" s="8">
        <f t="shared" si="0"/>
        <v>2999.6783999999993</v>
      </c>
      <c r="H34" s="71">
        <v>0</v>
      </c>
      <c r="I34" s="72">
        <v>0</v>
      </c>
      <c r="J34" s="8">
        <f t="shared" si="5"/>
        <v>0</v>
      </c>
      <c r="K34" s="8">
        <f t="shared" ref="K34" si="9">G34+J34</f>
        <v>2999.6783999999993</v>
      </c>
      <c r="L34" s="74">
        <f t="shared" ref="L34" si="10">+K34</f>
        <v>2999.6783999999993</v>
      </c>
      <c r="M34" s="74">
        <v>0</v>
      </c>
      <c r="N34" s="8"/>
      <c r="O34" s="75"/>
    </row>
    <row r="35" spans="1:15">
      <c r="A35" s="68"/>
      <c r="B35" s="68"/>
      <c r="C35" s="68"/>
      <c r="D35" s="68"/>
      <c r="E35" s="69">
        <f>SUM(E4:E34)</f>
        <v>66.239999999999995</v>
      </c>
      <c r="F35" s="69"/>
      <c r="G35" s="69">
        <f>SUM(G4:G34)</f>
        <v>5999.3567999999987</v>
      </c>
      <c r="H35" s="69">
        <f>SUM(H4:H34)</f>
        <v>17.7</v>
      </c>
      <c r="I35" s="69"/>
      <c r="J35" s="69">
        <f>SUM(J4:J34)</f>
        <v>1813.5419999999999</v>
      </c>
      <c r="K35" s="69">
        <f>SUM(K4:K34)</f>
        <v>7812.898799999999</v>
      </c>
      <c r="L35" s="69">
        <f>SUM(L4:L34)</f>
        <v>7812.898799999999</v>
      </c>
      <c r="M35" s="69"/>
      <c r="N35" s="69"/>
      <c r="O35" s="65"/>
    </row>
    <row r="36" spans="1:15">
      <c r="A36" s="78"/>
      <c r="B36" s="79"/>
      <c r="C36" s="78"/>
      <c r="D36" s="78"/>
      <c r="E36" s="80"/>
      <c r="F36" s="80"/>
      <c r="G36" s="80"/>
      <c r="H36" s="80"/>
      <c r="I36" s="80"/>
      <c r="J36" s="81"/>
      <c r="K36" s="81"/>
      <c r="L36" s="81"/>
      <c r="M36" s="81"/>
      <c r="N36" s="80"/>
      <c r="O36" s="75"/>
    </row>
    <row r="37" spans="1:15">
      <c r="O37" s="75"/>
    </row>
    <row r="38" spans="1:15">
      <c r="O38" s="75"/>
    </row>
    <row r="39" spans="1:15">
      <c r="O39" s="75"/>
    </row>
    <row r="40" spans="1:15">
      <c r="O40" s="75"/>
    </row>
    <row r="41" spans="1:15">
      <c r="O41" s="75"/>
    </row>
    <row r="42" spans="1:15">
      <c r="A42" s="75"/>
      <c r="B42" s="65"/>
      <c r="C42" s="75"/>
      <c r="D42" s="75"/>
      <c r="E42" s="75"/>
      <c r="F42" s="75"/>
      <c r="G42" s="82"/>
      <c r="H42" s="75"/>
      <c r="I42" s="75"/>
      <c r="J42" s="65"/>
      <c r="K42" s="65"/>
      <c r="L42" s="65"/>
      <c r="M42" s="65"/>
      <c r="N42" s="75"/>
      <c r="O42" s="80"/>
    </row>
    <row r="43" spans="1:15">
      <c r="A43" s="75"/>
      <c r="B43" s="472"/>
      <c r="C43" s="472"/>
      <c r="D43" s="472"/>
      <c r="E43" s="472"/>
      <c r="F43" s="75"/>
      <c r="G43" s="75"/>
      <c r="H43" s="75"/>
      <c r="I43" s="472"/>
      <c r="J43" s="472"/>
      <c r="K43" s="472"/>
      <c r="L43" s="472"/>
      <c r="M43" s="472"/>
      <c r="N43" s="472"/>
      <c r="O43" s="80"/>
    </row>
    <row r="44" spans="1:15">
      <c r="A44" s="75"/>
      <c r="B44" s="65"/>
      <c r="C44" s="75"/>
      <c r="D44" s="75"/>
      <c r="E44" s="75"/>
      <c r="F44" s="75"/>
      <c r="G44" s="75"/>
      <c r="H44" s="75"/>
      <c r="I44" s="75"/>
      <c r="J44" s="65"/>
      <c r="K44" s="65"/>
      <c r="L44" s="65"/>
      <c r="M44" s="65"/>
      <c r="N44" s="75"/>
      <c r="O44" s="80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90"/>
  <sheetViews>
    <sheetView workbookViewId="0">
      <pane ySplit="4" topLeftCell="A78" activePane="bottomLeft" state="frozen"/>
      <selection pane="bottomLeft" activeCell="M87" sqref="M87"/>
    </sheetView>
  </sheetViews>
  <sheetFormatPr defaultRowHeight="15"/>
  <cols>
    <col min="2" max="2" width="19.140625" customWidth="1"/>
    <col min="3" max="3" width="63.5703125" bestFit="1" customWidth="1"/>
    <col min="4" max="4" width="15.5703125" customWidth="1"/>
    <col min="5" max="5" width="12.28515625" style="195" customWidth="1"/>
    <col min="6" max="6" width="12.85546875" style="195" customWidth="1"/>
    <col min="7" max="7" width="12.5703125" style="195" bestFit="1" customWidth="1"/>
    <col min="8" max="8" width="12.5703125" style="195" customWidth="1"/>
    <col min="9" max="10" width="9.140625" style="195"/>
    <col min="11" max="11" width="18.7109375" style="195" customWidth="1"/>
    <col min="12" max="12" width="24.140625" style="195" customWidth="1"/>
    <col min="13" max="13" width="16.5703125" style="195" customWidth="1"/>
    <col min="14" max="14" width="19.85546875" style="195" customWidth="1"/>
    <col min="15" max="15" width="13.42578125" style="195" customWidth="1"/>
    <col min="16" max="21" width="9.140625" style="195"/>
  </cols>
  <sheetData>
    <row r="1" spans="1:15" ht="15.75">
      <c r="A1" s="261" t="s">
        <v>211</v>
      </c>
      <c r="B1" s="261"/>
      <c r="C1" s="261"/>
      <c r="D1" s="26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</row>
    <row r="2" spans="1:15" ht="26.25" customHeight="1">
      <c r="A2" s="70" t="s">
        <v>122</v>
      </c>
      <c r="B2" s="89" t="s">
        <v>123</v>
      </c>
      <c r="C2" s="89" t="s">
        <v>212</v>
      </c>
      <c r="D2" s="89" t="s">
        <v>213</v>
      </c>
      <c r="E2" s="302" t="s">
        <v>126</v>
      </c>
      <c r="F2" s="302" t="s">
        <v>127</v>
      </c>
      <c r="G2" s="303" t="s">
        <v>128</v>
      </c>
      <c r="H2" s="302" t="s">
        <v>129</v>
      </c>
      <c r="I2" s="302" t="s">
        <v>127</v>
      </c>
      <c r="J2" s="303" t="s">
        <v>128</v>
      </c>
      <c r="K2" s="304" t="s">
        <v>130</v>
      </c>
      <c r="L2" s="305" t="s">
        <v>214</v>
      </c>
      <c r="M2" s="306" t="s">
        <v>138</v>
      </c>
      <c r="N2" s="302" t="s">
        <v>133</v>
      </c>
      <c r="O2" s="302" t="s">
        <v>215</v>
      </c>
    </row>
    <row r="3" spans="1:15" ht="15.75">
      <c r="A3" s="262" t="s">
        <v>134</v>
      </c>
      <c r="B3" s="262"/>
      <c r="C3" s="262"/>
      <c r="D3" s="262"/>
      <c r="E3" s="307"/>
      <c r="F3" s="307"/>
      <c r="G3" s="307"/>
      <c r="H3" s="307"/>
      <c r="I3" s="307"/>
      <c r="J3" s="307"/>
      <c r="K3" s="332">
        <v>55715.95</v>
      </c>
      <c r="L3" s="332"/>
      <c r="M3" s="332"/>
      <c r="N3" s="308"/>
      <c r="O3" s="309"/>
    </row>
    <row r="4" spans="1:15">
      <c r="A4" s="328">
        <v>1</v>
      </c>
      <c r="B4" s="368" t="s">
        <v>167</v>
      </c>
      <c r="C4" s="110" t="s">
        <v>216</v>
      </c>
      <c r="D4" s="110" t="s">
        <v>217</v>
      </c>
      <c r="E4" s="310">
        <v>49.28</v>
      </c>
      <c r="F4" s="310">
        <v>95.7</v>
      </c>
      <c r="G4" s="310">
        <f>E4*F4</f>
        <v>4716.0960000000005</v>
      </c>
      <c r="H4" s="110"/>
      <c r="I4" s="110"/>
      <c r="J4" s="310">
        <f>H4*I4</f>
        <v>0</v>
      </c>
      <c r="K4" s="310">
        <f t="shared" ref="K4:K9" si="0">G4+J4</f>
        <v>4716.0960000000005</v>
      </c>
      <c r="L4" s="311"/>
      <c r="M4" s="327">
        <f>K3+L4-K4</f>
        <v>50999.853999999999</v>
      </c>
      <c r="N4" s="327"/>
      <c r="O4" s="311"/>
    </row>
    <row r="5" spans="1:15">
      <c r="A5" s="103">
        <v>2</v>
      </c>
      <c r="B5" s="368" t="s">
        <v>167</v>
      </c>
      <c r="C5" s="110" t="s">
        <v>218</v>
      </c>
      <c r="D5" s="110" t="s">
        <v>219</v>
      </c>
      <c r="E5" s="110">
        <v>45</v>
      </c>
      <c r="F5" s="110">
        <v>91.77</v>
      </c>
      <c r="G5" s="310">
        <f t="shared" ref="G5:G63" si="1">E5*F5</f>
        <v>4129.6499999999996</v>
      </c>
      <c r="H5" s="110"/>
      <c r="I5" s="110"/>
      <c r="J5" s="310">
        <f t="shared" ref="J5:J67" si="2">H5*I5</f>
        <v>0</v>
      </c>
      <c r="K5" s="310">
        <f t="shared" si="0"/>
        <v>4129.6499999999996</v>
      </c>
      <c r="L5" s="311"/>
      <c r="M5" s="313">
        <f>M4+L5-K5</f>
        <v>46870.203999999998</v>
      </c>
      <c r="N5" s="313"/>
      <c r="O5" s="310"/>
    </row>
    <row r="6" spans="1:15">
      <c r="A6" s="103">
        <v>3</v>
      </c>
      <c r="B6" s="368" t="s">
        <v>167</v>
      </c>
      <c r="C6" s="175" t="s">
        <v>220</v>
      </c>
      <c r="D6" s="110" t="s">
        <v>221</v>
      </c>
      <c r="E6" s="194">
        <v>0</v>
      </c>
      <c r="F6" s="194">
        <v>0</v>
      </c>
      <c r="G6" s="310">
        <f t="shared" si="1"/>
        <v>0</v>
      </c>
      <c r="H6" s="110">
        <v>3.91</v>
      </c>
      <c r="I6" s="110">
        <v>107.46</v>
      </c>
      <c r="J6" s="310">
        <f t="shared" si="2"/>
        <v>420.16859999999997</v>
      </c>
      <c r="K6" s="310">
        <f t="shared" si="0"/>
        <v>420.16859999999997</v>
      </c>
      <c r="L6" s="311"/>
      <c r="M6" s="313">
        <f t="shared" ref="M6:M68" si="3">M5+L6-K6</f>
        <v>46450.035400000001</v>
      </c>
      <c r="N6" s="313"/>
      <c r="O6" s="310"/>
    </row>
    <row r="7" spans="1:15">
      <c r="A7" s="328">
        <v>4</v>
      </c>
      <c r="B7" s="368" t="s">
        <v>167</v>
      </c>
      <c r="C7" s="17" t="s">
        <v>222</v>
      </c>
      <c r="D7" s="110" t="s">
        <v>223</v>
      </c>
      <c r="E7" s="194">
        <v>0</v>
      </c>
      <c r="F7" s="194">
        <v>0</v>
      </c>
      <c r="G7" s="310">
        <f t="shared" si="1"/>
        <v>0</v>
      </c>
      <c r="H7" s="310">
        <v>5.0199999999999996</v>
      </c>
      <c r="I7" s="110">
        <v>109.63</v>
      </c>
      <c r="J7" s="310">
        <f t="shared" si="2"/>
        <v>550.34259999999995</v>
      </c>
      <c r="K7" s="310">
        <f>H7+J7</f>
        <v>555.36259999999993</v>
      </c>
      <c r="L7" s="311"/>
      <c r="M7" s="313">
        <f t="shared" si="3"/>
        <v>45894.6728</v>
      </c>
      <c r="N7" s="313"/>
      <c r="O7" s="310"/>
    </row>
    <row r="8" spans="1:15">
      <c r="A8" s="103">
        <v>5</v>
      </c>
      <c r="B8" s="368" t="s">
        <v>167</v>
      </c>
      <c r="C8" s="175" t="s">
        <v>224</v>
      </c>
      <c r="D8" s="110" t="s">
        <v>225</v>
      </c>
      <c r="E8" s="194">
        <v>0</v>
      </c>
      <c r="F8" s="194">
        <v>0</v>
      </c>
      <c r="G8" s="310">
        <f t="shared" si="1"/>
        <v>0</v>
      </c>
      <c r="H8" s="310">
        <v>50</v>
      </c>
      <c r="I8" s="110">
        <v>108.23</v>
      </c>
      <c r="J8" s="310">
        <f t="shared" si="2"/>
        <v>5411.5</v>
      </c>
      <c r="K8" s="310">
        <f>H8+J8</f>
        <v>5461.5</v>
      </c>
      <c r="L8" s="311"/>
      <c r="M8" s="313">
        <f t="shared" si="3"/>
        <v>40433.1728</v>
      </c>
      <c r="N8" s="313"/>
      <c r="O8" s="310"/>
    </row>
    <row r="9" spans="1:15">
      <c r="A9" s="103">
        <v>6</v>
      </c>
      <c r="B9" s="368" t="s">
        <v>168</v>
      </c>
      <c r="C9" s="175" t="s">
        <v>226</v>
      </c>
      <c r="D9" s="110" t="s">
        <v>219</v>
      </c>
      <c r="E9" s="310">
        <v>41.01</v>
      </c>
      <c r="F9" s="310">
        <v>93.33</v>
      </c>
      <c r="G9" s="310">
        <f t="shared" si="1"/>
        <v>3827.4632999999999</v>
      </c>
      <c r="H9" s="110"/>
      <c r="I9" s="110"/>
      <c r="J9" s="310">
        <f t="shared" si="2"/>
        <v>0</v>
      </c>
      <c r="K9" s="310">
        <f t="shared" si="0"/>
        <v>3827.4632999999999</v>
      </c>
      <c r="L9" s="311"/>
      <c r="M9" s="313">
        <f>M8+L9-K9</f>
        <v>36605.709499999997</v>
      </c>
      <c r="N9" s="313"/>
      <c r="O9" s="310"/>
    </row>
    <row r="10" spans="1:15">
      <c r="A10" s="328">
        <v>7</v>
      </c>
      <c r="B10" s="368" t="s">
        <v>169</v>
      </c>
      <c r="C10" s="175" t="s">
        <v>227</v>
      </c>
      <c r="D10" s="175" t="s">
        <v>228</v>
      </c>
      <c r="E10" s="310">
        <v>0</v>
      </c>
      <c r="F10" s="310">
        <v>0</v>
      </c>
      <c r="G10" s="310">
        <f t="shared" si="1"/>
        <v>0</v>
      </c>
      <c r="H10" s="110">
        <v>31.02</v>
      </c>
      <c r="I10" s="110">
        <v>104.03</v>
      </c>
      <c r="J10" s="310">
        <f t="shared" si="2"/>
        <v>3227.0106000000001</v>
      </c>
      <c r="K10" s="310">
        <f t="shared" ref="K10:K73" si="4">G10+J10</f>
        <v>3227.0106000000001</v>
      </c>
      <c r="L10" s="311"/>
      <c r="M10" s="313">
        <f t="shared" si="3"/>
        <v>33378.698899999996</v>
      </c>
      <c r="N10" s="339"/>
      <c r="O10" s="312"/>
    </row>
    <row r="11" spans="1:15">
      <c r="A11" s="103">
        <v>8</v>
      </c>
      <c r="B11" s="368" t="s">
        <v>169</v>
      </c>
      <c r="C11" s="175" t="s">
        <v>220</v>
      </c>
      <c r="D11" s="110" t="s">
        <v>229</v>
      </c>
      <c r="E11" s="110">
        <v>36.57</v>
      </c>
      <c r="F11" s="110">
        <v>95.7</v>
      </c>
      <c r="G11" s="310">
        <f t="shared" si="1"/>
        <v>3499.7490000000003</v>
      </c>
      <c r="H11" s="110">
        <v>0</v>
      </c>
      <c r="I11" s="110">
        <v>0</v>
      </c>
      <c r="J11" s="310">
        <f t="shared" si="2"/>
        <v>0</v>
      </c>
      <c r="K11" s="310">
        <f t="shared" si="4"/>
        <v>3499.7490000000003</v>
      </c>
      <c r="L11" s="311"/>
      <c r="M11" s="313">
        <f t="shared" si="3"/>
        <v>29878.949899999996</v>
      </c>
      <c r="N11" s="339"/>
      <c r="O11" s="312"/>
    </row>
    <row r="12" spans="1:15">
      <c r="A12" s="103">
        <v>9</v>
      </c>
      <c r="B12" s="368" t="s">
        <v>169</v>
      </c>
      <c r="C12" s="392" t="s">
        <v>230</v>
      </c>
      <c r="D12" s="110" t="s">
        <v>219</v>
      </c>
      <c r="E12" s="110">
        <v>44.73</v>
      </c>
      <c r="F12" s="110">
        <v>90.75</v>
      </c>
      <c r="G12" s="310">
        <f t="shared" si="1"/>
        <v>4059.2474999999995</v>
      </c>
      <c r="H12" s="110">
        <v>0</v>
      </c>
      <c r="I12" s="110">
        <v>0</v>
      </c>
      <c r="J12" s="310">
        <f t="shared" si="2"/>
        <v>0</v>
      </c>
      <c r="K12" s="310">
        <f t="shared" si="4"/>
        <v>4059.2474999999995</v>
      </c>
      <c r="L12" s="311"/>
      <c r="M12" s="313">
        <f t="shared" si="3"/>
        <v>25819.702399999995</v>
      </c>
      <c r="N12" s="339"/>
      <c r="O12" s="312"/>
    </row>
    <row r="13" spans="1:15">
      <c r="A13" s="328">
        <v>10</v>
      </c>
      <c r="B13" s="368" t="s">
        <v>169</v>
      </c>
      <c r="C13" s="175" t="s">
        <v>227</v>
      </c>
      <c r="D13" s="175" t="s">
        <v>228</v>
      </c>
      <c r="E13" s="110">
        <v>59.99</v>
      </c>
      <c r="F13" s="110">
        <v>92.19</v>
      </c>
      <c r="G13" s="310">
        <f>E13*F13</f>
        <v>5530.4781000000003</v>
      </c>
      <c r="H13" s="110">
        <v>0</v>
      </c>
      <c r="I13" s="110">
        <v>0</v>
      </c>
      <c r="J13" s="311">
        <f t="shared" si="2"/>
        <v>0</v>
      </c>
      <c r="K13" s="310">
        <f t="shared" si="4"/>
        <v>5530.4781000000003</v>
      </c>
      <c r="L13" s="311"/>
      <c r="M13" s="313">
        <f t="shared" si="3"/>
        <v>20289.224299999994</v>
      </c>
      <c r="N13" s="313"/>
      <c r="O13" s="310"/>
    </row>
    <row r="14" spans="1:15">
      <c r="A14" s="103">
        <v>11</v>
      </c>
      <c r="B14" s="368" t="s">
        <v>170</v>
      </c>
      <c r="C14" s="175" t="s">
        <v>231</v>
      </c>
      <c r="D14" s="110" t="s">
        <v>232</v>
      </c>
      <c r="E14" s="310">
        <v>54.22</v>
      </c>
      <c r="F14" s="310">
        <v>92.22</v>
      </c>
      <c r="G14" s="310">
        <f t="shared" si="1"/>
        <v>5000.1683999999996</v>
      </c>
      <c r="H14" s="110">
        <v>0</v>
      </c>
      <c r="I14" s="110">
        <v>0</v>
      </c>
      <c r="J14" s="311">
        <f t="shared" si="2"/>
        <v>0</v>
      </c>
      <c r="K14" s="310">
        <f t="shared" si="4"/>
        <v>5000.1683999999996</v>
      </c>
      <c r="L14" s="311"/>
      <c r="M14" s="313">
        <f t="shared" si="3"/>
        <v>15289.055899999996</v>
      </c>
      <c r="N14" s="313"/>
      <c r="O14" s="310"/>
    </row>
    <row r="15" spans="1:15">
      <c r="A15" s="103">
        <v>12</v>
      </c>
      <c r="B15" s="368" t="s">
        <v>170</v>
      </c>
      <c r="C15" s="110" t="s">
        <v>233</v>
      </c>
      <c r="D15" s="110" t="s">
        <v>221</v>
      </c>
      <c r="E15" s="310">
        <v>10.45</v>
      </c>
      <c r="F15" s="310">
        <v>95.7</v>
      </c>
      <c r="G15" s="310">
        <f t="shared" si="1"/>
        <v>1000.0649999999999</v>
      </c>
      <c r="H15" s="110">
        <v>0</v>
      </c>
      <c r="I15" s="110">
        <v>0</v>
      </c>
      <c r="J15" s="311">
        <f t="shared" si="2"/>
        <v>0</v>
      </c>
      <c r="K15" s="310">
        <f t="shared" si="4"/>
        <v>1000.0649999999999</v>
      </c>
      <c r="L15" s="311"/>
      <c r="M15" s="313">
        <f t="shared" si="3"/>
        <v>14288.990899999995</v>
      </c>
      <c r="N15" s="313"/>
      <c r="O15" s="310"/>
    </row>
    <row r="16" spans="1:15">
      <c r="A16" s="328">
        <v>13</v>
      </c>
      <c r="B16" s="368" t="s">
        <v>170</v>
      </c>
      <c r="C16" s="110" t="s">
        <v>234</v>
      </c>
      <c r="D16" s="110" t="s">
        <v>235</v>
      </c>
      <c r="E16" s="310">
        <v>0</v>
      </c>
      <c r="F16" s="310">
        <v>0</v>
      </c>
      <c r="G16" s="310">
        <f t="shared" si="1"/>
        <v>0</v>
      </c>
      <c r="H16" s="110">
        <v>6</v>
      </c>
      <c r="I16" s="110">
        <v>103.18</v>
      </c>
      <c r="J16" s="310">
        <f t="shared" si="2"/>
        <v>619.08000000000004</v>
      </c>
      <c r="K16" s="310">
        <f t="shared" si="4"/>
        <v>619.08000000000004</v>
      </c>
      <c r="L16" s="311"/>
      <c r="M16" s="313">
        <f t="shared" si="3"/>
        <v>13669.910899999995</v>
      </c>
      <c r="N16" s="313"/>
      <c r="O16" s="310"/>
    </row>
    <row r="17" spans="1:15">
      <c r="A17" s="103">
        <v>14</v>
      </c>
      <c r="B17" s="368" t="s">
        <v>171</v>
      </c>
      <c r="C17" s="175" t="s">
        <v>227</v>
      </c>
      <c r="D17" s="175" t="s">
        <v>228</v>
      </c>
      <c r="E17" s="310">
        <v>80</v>
      </c>
      <c r="F17" s="310">
        <v>92.19</v>
      </c>
      <c r="G17" s="310">
        <f t="shared" si="1"/>
        <v>7375.2</v>
      </c>
      <c r="H17" s="110">
        <v>10</v>
      </c>
      <c r="I17" s="110">
        <v>104.03</v>
      </c>
      <c r="J17" s="310">
        <f t="shared" si="2"/>
        <v>1040.3</v>
      </c>
      <c r="K17" s="310">
        <f t="shared" si="4"/>
        <v>8415.5</v>
      </c>
      <c r="L17" s="311"/>
      <c r="M17" s="313">
        <f t="shared" si="3"/>
        <v>5254.4108999999953</v>
      </c>
      <c r="N17" s="313"/>
      <c r="O17" s="310"/>
    </row>
    <row r="18" spans="1:15">
      <c r="A18" s="103">
        <v>15</v>
      </c>
      <c r="B18" s="368" t="s">
        <v>171</v>
      </c>
      <c r="C18" s="17" t="s">
        <v>234</v>
      </c>
      <c r="D18" s="175" t="s">
        <v>235</v>
      </c>
      <c r="E18" s="310">
        <v>21.92</v>
      </c>
      <c r="F18" s="310">
        <v>91.26</v>
      </c>
      <c r="G18" s="310">
        <f t="shared" si="1"/>
        <v>2000.4192000000003</v>
      </c>
      <c r="H18" s="110">
        <v>19.38</v>
      </c>
      <c r="I18" s="110">
        <v>103.18</v>
      </c>
      <c r="J18" s="310">
        <f t="shared" si="2"/>
        <v>1999.6284000000001</v>
      </c>
      <c r="K18" s="310">
        <f t="shared" si="4"/>
        <v>4000.0476000000003</v>
      </c>
      <c r="L18" s="311"/>
      <c r="M18" s="313">
        <f t="shared" si="3"/>
        <v>1254.363299999995</v>
      </c>
      <c r="N18" s="313"/>
      <c r="O18" s="310"/>
    </row>
    <row r="19" spans="1:15">
      <c r="A19" s="328">
        <v>16</v>
      </c>
      <c r="B19" s="368" t="s">
        <v>172</v>
      </c>
      <c r="C19" s="175" t="s">
        <v>233</v>
      </c>
      <c r="D19" s="175" t="s">
        <v>229</v>
      </c>
      <c r="E19" s="310">
        <v>7.84</v>
      </c>
      <c r="F19" s="310">
        <v>95.7</v>
      </c>
      <c r="G19" s="310">
        <f t="shared" si="1"/>
        <v>750.28800000000001</v>
      </c>
      <c r="H19" s="110">
        <v>0</v>
      </c>
      <c r="I19" s="110">
        <v>0</v>
      </c>
      <c r="J19" s="310">
        <f t="shared" si="2"/>
        <v>0</v>
      </c>
      <c r="K19" s="310">
        <f t="shared" si="4"/>
        <v>750.28800000000001</v>
      </c>
      <c r="L19" s="311"/>
      <c r="M19" s="313">
        <f t="shared" si="3"/>
        <v>504.07529999999497</v>
      </c>
      <c r="N19" s="339"/>
      <c r="O19" s="312"/>
    </row>
    <row r="20" spans="1:15">
      <c r="A20" s="103">
        <v>17</v>
      </c>
      <c r="B20" s="368" t="s">
        <v>172</v>
      </c>
      <c r="C20" s="392" t="s">
        <v>227</v>
      </c>
      <c r="D20" s="110" t="s">
        <v>228</v>
      </c>
      <c r="E20" s="310">
        <v>40</v>
      </c>
      <c r="F20" s="310">
        <v>92.19</v>
      </c>
      <c r="G20" s="310">
        <f t="shared" si="1"/>
        <v>3687.6</v>
      </c>
      <c r="H20" s="110">
        <v>0</v>
      </c>
      <c r="I20" s="110">
        <v>0</v>
      </c>
      <c r="J20" s="310">
        <f t="shared" si="2"/>
        <v>0</v>
      </c>
      <c r="K20" s="310">
        <f t="shared" si="4"/>
        <v>3687.6</v>
      </c>
      <c r="L20" s="311"/>
      <c r="M20" s="313">
        <f t="shared" si="3"/>
        <v>-3183.5247000000049</v>
      </c>
      <c r="N20" s="313"/>
      <c r="O20" s="310"/>
    </row>
    <row r="21" spans="1:15">
      <c r="A21" s="103">
        <v>18</v>
      </c>
      <c r="B21" s="368" t="s">
        <v>172</v>
      </c>
      <c r="C21" s="175" t="s">
        <v>233</v>
      </c>
      <c r="D21" s="110" t="s">
        <v>221</v>
      </c>
      <c r="E21" s="310">
        <v>0</v>
      </c>
      <c r="F21" s="310">
        <v>0</v>
      </c>
      <c r="G21" s="310">
        <f t="shared" si="1"/>
        <v>0</v>
      </c>
      <c r="H21" s="110">
        <v>4.6500000000000004</v>
      </c>
      <c r="I21" s="110">
        <v>107.46</v>
      </c>
      <c r="J21" s="310">
        <f t="shared" si="2"/>
        <v>499.68900000000002</v>
      </c>
      <c r="K21" s="310">
        <f t="shared" si="4"/>
        <v>499.68900000000002</v>
      </c>
      <c r="L21" s="311"/>
      <c r="M21" s="313">
        <f t="shared" si="3"/>
        <v>-3683.2137000000048</v>
      </c>
      <c r="N21" s="313"/>
      <c r="O21" s="310"/>
    </row>
    <row r="22" spans="1:15">
      <c r="A22" s="328">
        <v>19</v>
      </c>
      <c r="B22" s="368" t="s">
        <v>172</v>
      </c>
      <c r="C22" s="175" t="s">
        <v>236</v>
      </c>
      <c r="D22" s="110" t="s">
        <v>237</v>
      </c>
      <c r="E22" s="310">
        <v>1639.52</v>
      </c>
      <c r="F22" s="310">
        <v>92.14</v>
      </c>
      <c r="G22" s="310">
        <f t="shared" si="1"/>
        <v>151065.37280000001</v>
      </c>
      <c r="H22" s="110">
        <v>0</v>
      </c>
      <c r="I22" s="110">
        <v>0</v>
      </c>
      <c r="J22" s="310">
        <f t="shared" si="2"/>
        <v>0</v>
      </c>
      <c r="K22" s="310">
        <f t="shared" si="4"/>
        <v>151065.37280000001</v>
      </c>
      <c r="L22" s="311"/>
      <c r="M22" s="313">
        <f t="shared" si="3"/>
        <v>-154748.5865</v>
      </c>
      <c r="N22" s="339"/>
      <c r="O22" s="312"/>
    </row>
    <row r="23" spans="1:15">
      <c r="A23" s="103">
        <v>20</v>
      </c>
      <c r="B23" s="368" t="s">
        <v>172</v>
      </c>
      <c r="C23" s="175" t="s">
        <v>227</v>
      </c>
      <c r="D23" s="110" t="s">
        <v>237</v>
      </c>
      <c r="E23" s="310">
        <v>1388.5</v>
      </c>
      <c r="F23" s="310">
        <v>92.19</v>
      </c>
      <c r="G23" s="310">
        <f t="shared" si="1"/>
        <v>128005.815</v>
      </c>
      <c r="H23" s="110">
        <v>0</v>
      </c>
      <c r="I23" s="110">
        <v>0</v>
      </c>
      <c r="J23" s="310">
        <f t="shared" si="2"/>
        <v>0</v>
      </c>
      <c r="K23" s="310">
        <f t="shared" si="4"/>
        <v>128005.815</v>
      </c>
      <c r="L23" s="311">
        <v>300000</v>
      </c>
      <c r="M23" s="313">
        <f t="shared" si="3"/>
        <v>17245.598499999993</v>
      </c>
      <c r="N23" s="313"/>
      <c r="O23" s="310"/>
    </row>
    <row r="24" spans="1:15">
      <c r="A24" s="103">
        <v>21</v>
      </c>
      <c r="B24" s="425" t="s">
        <v>173</v>
      </c>
      <c r="C24" s="175" t="s">
        <v>238</v>
      </c>
      <c r="D24" s="110" t="s">
        <v>219</v>
      </c>
      <c r="E24" s="310">
        <v>25</v>
      </c>
      <c r="F24" s="310">
        <v>91.77</v>
      </c>
      <c r="G24" s="310">
        <f t="shared" si="1"/>
        <v>2294.25</v>
      </c>
      <c r="H24" s="110"/>
      <c r="I24" s="110"/>
      <c r="J24" s="310">
        <f t="shared" si="2"/>
        <v>0</v>
      </c>
      <c r="K24" s="310">
        <f t="shared" si="4"/>
        <v>2294.25</v>
      </c>
      <c r="L24" s="311">
        <v>30936</v>
      </c>
      <c r="M24" s="313">
        <f>M23+L24-K24</f>
        <v>45887.348499999993</v>
      </c>
      <c r="N24" s="339"/>
      <c r="O24" s="312"/>
    </row>
    <row r="25" spans="1:15">
      <c r="A25" s="328">
        <v>22</v>
      </c>
      <c r="B25" s="368" t="s">
        <v>174</v>
      </c>
      <c r="C25" s="110" t="s">
        <v>239</v>
      </c>
      <c r="D25" s="110" t="s">
        <v>225</v>
      </c>
      <c r="E25" s="310">
        <v>0</v>
      </c>
      <c r="F25" s="310">
        <v>0</v>
      </c>
      <c r="G25" s="310">
        <f t="shared" si="1"/>
        <v>0</v>
      </c>
      <c r="H25" s="110">
        <v>46</v>
      </c>
      <c r="I25" s="110">
        <v>108.23</v>
      </c>
      <c r="J25" s="310">
        <f t="shared" si="2"/>
        <v>4978.58</v>
      </c>
      <c r="K25" s="310">
        <f t="shared" si="4"/>
        <v>4978.58</v>
      </c>
      <c r="L25" s="311"/>
      <c r="M25" s="313">
        <f t="shared" si="3"/>
        <v>40908.768499999991</v>
      </c>
      <c r="N25" s="339"/>
      <c r="O25" s="312"/>
    </row>
    <row r="26" spans="1:15">
      <c r="A26" s="103">
        <v>23</v>
      </c>
      <c r="B26" s="368" t="s">
        <v>174</v>
      </c>
      <c r="C26" s="110" t="s">
        <v>240</v>
      </c>
      <c r="D26" s="110" t="s">
        <v>241</v>
      </c>
      <c r="E26" s="310">
        <v>39.229999999999997</v>
      </c>
      <c r="F26" s="310">
        <v>96.83</v>
      </c>
      <c r="G26" s="310">
        <f t="shared" si="1"/>
        <v>3798.6408999999994</v>
      </c>
      <c r="H26" s="110">
        <v>0</v>
      </c>
      <c r="I26" s="110">
        <v>0</v>
      </c>
      <c r="J26" s="310">
        <f t="shared" si="2"/>
        <v>0</v>
      </c>
      <c r="K26" s="310">
        <f t="shared" si="4"/>
        <v>3798.6408999999994</v>
      </c>
      <c r="L26" s="311"/>
      <c r="M26" s="329">
        <f t="shared" si="3"/>
        <v>37110.127599999993</v>
      </c>
      <c r="N26" s="310"/>
      <c r="O26" s="310"/>
    </row>
    <row r="27" spans="1:15">
      <c r="A27" s="103">
        <v>24</v>
      </c>
      <c r="B27" s="368" t="s">
        <v>174</v>
      </c>
      <c r="C27" s="110" t="s">
        <v>238</v>
      </c>
      <c r="D27" s="110" t="s">
        <v>219</v>
      </c>
      <c r="E27" s="310">
        <v>40</v>
      </c>
      <c r="F27" s="310">
        <v>91.77</v>
      </c>
      <c r="G27" s="310">
        <f t="shared" si="1"/>
        <v>3670.7999999999997</v>
      </c>
      <c r="H27" s="110">
        <v>0</v>
      </c>
      <c r="I27" s="110">
        <v>0</v>
      </c>
      <c r="J27" s="310">
        <f t="shared" si="2"/>
        <v>0</v>
      </c>
      <c r="K27" s="310">
        <f t="shared" si="4"/>
        <v>3670.7999999999997</v>
      </c>
      <c r="L27" s="311"/>
      <c r="M27" s="313">
        <f t="shared" si="3"/>
        <v>33439.32759999999</v>
      </c>
      <c r="N27" s="310"/>
      <c r="O27" s="310"/>
    </row>
    <row r="28" spans="1:15">
      <c r="A28" s="328">
        <v>25</v>
      </c>
      <c r="B28" s="368" t="s">
        <v>174</v>
      </c>
      <c r="C28" s="110" t="s">
        <v>242</v>
      </c>
      <c r="D28" s="110" t="s">
        <v>237</v>
      </c>
      <c r="E28" s="310">
        <v>20</v>
      </c>
      <c r="F28" s="310">
        <v>90.95</v>
      </c>
      <c r="G28" s="310">
        <f t="shared" si="1"/>
        <v>1819</v>
      </c>
      <c r="H28" s="110">
        <v>0</v>
      </c>
      <c r="I28" s="110">
        <v>0</v>
      </c>
      <c r="J28" s="310">
        <f t="shared" si="2"/>
        <v>0</v>
      </c>
      <c r="K28" s="310">
        <f t="shared" si="4"/>
        <v>1819</v>
      </c>
      <c r="L28" s="311"/>
      <c r="M28" s="313">
        <f t="shared" si="3"/>
        <v>31620.32759999999</v>
      </c>
      <c r="N28" s="310"/>
      <c r="O28" s="310"/>
    </row>
    <row r="29" spans="1:15">
      <c r="A29" s="103">
        <v>26</v>
      </c>
      <c r="B29" s="368" t="s">
        <v>174</v>
      </c>
      <c r="C29" s="110" t="s">
        <v>227</v>
      </c>
      <c r="D29" s="110" t="s">
        <v>228</v>
      </c>
      <c r="E29" s="110">
        <v>100</v>
      </c>
      <c r="F29" s="110">
        <v>92.19</v>
      </c>
      <c r="G29" s="310">
        <f t="shared" si="1"/>
        <v>9219</v>
      </c>
      <c r="H29" s="110">
        <v>0</v>
      </c>
      <c r="I29" s="110">
        <v>0</v>
      </c>
      <c r="J29" s="310">
        <f t="shared" si="2"/>
        <v>0</v>
      </c>
      <c r="K29" s="310">
        <f t="shared" si="4"/>
        <v>9219</v>
      </c>
      <c r="L29" s="311"/>
      <c r="M29" s="313">
        <f t="shared" si="3"/>
        <v>22401.32759999999</v>
      </c>
      <c r="N29" s="310"/>
      <c r="O29" s="310"/>
    </row>
    <row r="30" spans="1:15" ht="14.25" customHeight="1">
      <c r="A30" s="103">
        <v>27</v>
      </c>
      <c r="B30" s="368" t="s">
        <v>176</v>
      </c>
      <c r="C30" s="175" t="s">
        <v>243</v>
      </c>
      <c r="D30" s="110" t="s">
        <v>221</v>
      </c>
      <c r="E30" s="310"/>
      <c r="F30" s="310"/>
      <c r="G30" s="310">
        <f t="shared" si="1"/>
        <v>0</v>
      </c>
      <c r="H30" s="110">
        <v>4.08</v>
      </c>
      <c r="I30" s="110">
        <v>107.46</v>
      </c>
      <c r="J30" s="310">
        <f t="shared" si="2"/>
        <v>438.43680000000001</v>
      </c>
      <c r="K30" s="310">
        <f t="shared" si="4"/>
        <v>438.43680000000001</v>
      </c>
      <c r="L30" s="311"/>
      <c r="M30" s="313">
        <f t="shared" si="3"/>
        <v>21962.89079999999</v>
      </c>
      <c r="N30" s="310"/>
      <c r="O30" s="310"/>
    </row>
    <row r="31" spans="1:15">
      <c r="A31" s="328">
        <v>28</v>
      </c>
      <c r="B31" s="368" t="s">
        <v>176</v>
      </c>
      <c r="C31" s="110" t="s">
        <v>238</v>
      </c>
      <c r="D31" s="110" t="s">
        <v>219</v>
      </c>
      <c r="E31" s="110">
        <v>30</v>
      </c>
      <c r="F31" s="110">
        <v>91.77</v>
      </c>
      <c r="G31" s="310">
        <f t="shared" si="1"/>
        <v>2753.1</v>
      </c>
      <c r="H31" s="110"/>
      <c r="I31" s="110"/>
      <c r="J31" s="310">
        <f t="shared" si="2"/>
        <v>0</v>
      </c>
      <c r="K31" s="310">
        <f t="shared" si="4"/>
        <v>2753.1</v>
      </c>
      <c r="L31" s="311"/>
      <c r="M31" s="313">
        <f t="shared" si="3"/>
        <v>19209.790799999992</v>
      </c>
      <c r="N31" s="310"/>
      <c r="O31" s="310"/>
    </row>
    <row r="32" spans="1:15">
      <c r="A32" s="103">
        <v>29</v>
      </c>
      <c r="B32" s="368" t="s">
        <v>176</v>
      </c>
      <c r="C32" s="110" t="s">
        <v>244</v>
      </c>
      <c r="D32" s="110" t="s">
        <v>223</v>
      </c>
      <c r="E32" s="110">
        <v>39</v>
      </c>
      <c r="F32" s="110">
        <v>96.74</v>
      </c>
      <c r="G32" s="310">
        <f t="shared" si="1"/>
        <v>3772.8599999999997</v>
      </c>
      <c r="H32" s="110"/>
      <c r="I32" s="110"/>
      <c r="J32" s="310">
        <f t="shared" si="2"/>
        <v>0</v>
      </c>
      <c r="K32" s="310">
        <f t="shared" si="4"/>
        <v>3772.8599999999997</v>
      </c>
      <c r="L32" s="311"/>
      <c r="M32" s="313">
        <f t="shared" si="3"/>
        <v>15436.930799999991</v>
      </c>
      <c r="N32" s="310"/>
      <c r="O32" s="310"/>
    </row>
    <row r="33" spans="1:15">
      <c r="A33" s="103">
        <v>30</v>
      </c>
      <c r="B33" s="368" t="s">
        <v>176</v>
      </c>
      <c r="C33" s="110" t="s">
        <v>245</v>
      </c>
      <c r="D33" s="110" t="s">
        <v>228</v>
      </c>
      <c r="E33" s="110">
        <v>40</v>
      </c>
      <c r="F33" s="110">
        <v>92.22</v>
      </c>
      <c r="G33" s="310">
        <f t="shared" si="1"/>
        <v>3688.8</v>
      </c>
      <c r="H33" s="110"/>
      <c r="I33" s="110"/>
      <c r="J33" s="310">
        <f t="shared" si="2"/>
        <v>0</v>
      </c>
      <c r="K33" s="310">
        <f t="shared" si="4"/>
        <v>3688.8</v>
      </c>
      <c r="L33" s="311"/>
      <c r="M33" s="313">
        <f t="shared" si="3"/>
        <v>11748.130799999992</v>
      </c>
      <c r="N33" s="314"/>
      <c r="O33" s="314"/>
    </row>
    <row r="34" spans="1:15">
      <c r="A34" s="328">
        <v>31</v>
      </c>
      <c r="B34" s="368" t="s">
        <v>176</v>
      </c>
      <c r="C34" s="175" t="s">
        <v>244</v>
      </c>
      <c r="D34" s="175" t="s">
        <v>223</v>
      </c>
      <c r="E34" s="310"/>
      <c r="F34" s="310"/>
      <c r="G34" s="310">
        <f t="shared" si="1"/>
        <v>0</v>
      </c>
      <c r="H34" s="110">
        <v>5</v>
      </c>
      <c r="I34" s="110">
        <v>108.86</v>
      </c>
      <c r="J34" s="310">
        <f t="shared" si="2"/>
        <v>544.29999999999995</v>
      </c>
      <c r="K34" s="310">
        <f t="shared" si="4"/>
        <v>544.29999999999995</v>
      </c>
      <c r="L34" s="311"/>
      <c r="M34" s="313">
        <f t="shared" si="3"/>
        <v>11203.830799999992</v>
      </c>
      <c r="N34" s="312"/>
      <c r="O34" s="312"/>
    </row>
    <row r="35" spans="1:15">
      <c r="A35" s="103">
        <v>32</v>
      </c>
      <c r="B35" s="368" t="s">
        <v>177</v>
      </c>
      <c r="C35" s="110" t="s">
        <v>231</v>
      </c>
      <c r="D35" s="110" t="s">
        <v>232</v>
      </c>
      <c r="E35" s="310">
        <v>51.51</v>
      </c>
      <c r="F35" s="310">
        <v>92.22</v>
      </c>
      <c r="G35" s="310">
        <f t="shared" si="1"/>
        <v>4750.2521999999999</v>
      </c>
      <c r="H35" s="110"/>
      <c r="I35" s="110"/>
      <c r="J35" s="310">
        <f t="shared" si="2"/>
        <v>0</v>
      </c>
      <c r="K35" s="310">
        <f t="shared" si="4"/>
        <v>4750.2521999999999</v>
      </c>
      <c r="L35" s="311"/>
      <c r="M35" s="313">
        <f t="shared" si="3"/>
        <v>6453.5785999999925</v>
      </c>
      <c r="N35" s="312"/>
      <c r="O35" s="312"/>
    </row>
    <row r="36" spans="1:15">
      <c r="A36" s="103">
        <v>33</v>
      </c>
      <c r="B36" s="368" t="s">
        <v>177</v>
      </c>
      <c r="C36" s="110" t="s">
        <v>246</v>
      </c>
      <c r="D36" s="110" t="s">
        <v>228</v>
      </c>
      <c r="E36" s="110">
        <v>70</v>
      </c>
      <c r="F36" s="110">
        <v>92.18</v>
      </c>
      <c r="G36" s="310">
        <f t="shared" si="1"/>
        <v>6452.6</v>
      </c>
      <c r="H36" s="110"/>
      <c r="I36" s="110"/>
      <c r="J36" s="310">
        <f t="shared" si="2"/>
        <v>0</v>
      </c>
      <c r="K36" s="310">
        <f t="shared" si="4"/>
        <v>6452.6</v>
      </c>
      <c r="L36" s="311"/>
      <c r="M36" s="313">
        <f t="shared" si="3"/>
        <v>0.97859999999218417</v>
      </c>
      <c r="N36" s="312"/>
      <c r="O36" s="312"/>
    </row>
    <row r="37" spans="1:15">
      <c r="A37" s="328">
        <v>34</v>
      </c>
      <c r="B37" s="368" t="s">
        <v>120</v>
      </c>
      <c r="C37" s="175" t="s">
        <v>239</v>
      </c>
      <c r="D37" s="110" t="s">
        <v>225</v>
      </c>
      <c r="E37" s="110">
        <v>5185.66</v>
      </c>
      <c r="F37" s="110">
        <v>96.42</v>
      </c>
      <c r="G37" s="310">
        <f t="shared" si="1"/>
        <v>500001.33720000001</v>
      </c>
      <c r="H37" s="110"/>
      <c r="I37" s="110"/>
      <c r="J37" s="310">
        <f t="shared" si="2"/>
        <v>0</v>
      </c>
      <c r="K37" s="310">
        <f t="shared" si="4"/>
        <v>500001.33720000001</v>
      </c>
      <c r="L37" s="311">
        <v>2000000</v>
      </c>
      <c r="M37" s="313">
        <f t="shared" si="3"/>
        <v>1499999.6414000001</v>
      </c>
      <c r="N37" s="312"/>
      <c r="O37" s="312"/>
    </row>
    <row r="38" spans="1:15">
      <c r="A38" s="103">
        <v>35</v>
      </c>
      <c r="B38" s="368" t="s">
        <v>120</v>
      </c>
      <c r="C38" s="175" t="s">
        <v>247</v>
      </c>
      <c r="D38" s="110" t="s">
        <v>235</v>
      </c>
      <c r="E38" s="110">
        <v>5475.25</v>
      </c>
      <c r="F38" s="110">
        <v>91.32</v>
      </c>
      <c r="G38" s="310">
        <f t="shared" si="1"/>
        <v>499999.82999999996</v>
      </c>
      <c r="H38" s="110"/>
      <c r="I38" s="110"/>
      <c r="J38" s="310">
        <f t="shared" si="2"/>
        <v>0</v>
      </c>
      <c r="K38" s="310">
        <f t="shared" si="4"/>
        <v>499999.82999999996</v>
      </c>
      <c r="L38" s="311"/>
      <c r="M38" s="313">
        <f t="shared" si="3"/>
        <v>999999.81140000012</v>
      </c>
      <c r="N38" s="312"/>
      <c r="O38" s="312"/>
    </row>
    <row r="39" spans="1:15">
      <c r="A39" s="103">
        <v>36</v>
      </c>
      <c r="B39" s="368" t="s">
        <v>120</v>
      </c>
      <c r="C39" s="110" t="s">
        <v>248</v>
      </c>
      <c r="D39" s="110" t="s">
        <v>249</v>
      </c>
      <c r="E39" s="110">
        <v>550.17999999999995</v>
      </c>
      <c r="F39" s="110">
        <v>90.88</v>
      </c>
      <c r="G39" s="310">
        <f t="shared" si="1"/>
        <v>50000.35839999999</v>
      </c>
      <c r="H39" s="110"/>
      <c r="I39" s="110"/>
      <c r="J39" s="310">
        <f t="shared" si="2"/>
        <v>0</v>
      </c>
      <c r="K39" s="310">
        <f t="shared" si="4"/>
        <v>50000.35839999999</v>
      </c>
      <c r="L39" s="311"/>
      <c r="M39" s="313">
        <f t="shared" si="3"/>
        <v>949999.4530000001</v>
      </c>
      <c r="N39" s="312"/>
      <c r="O39" s="312"/>
    </row>
    <row r="40" spans="1:15">
      <c r="A40" s="328">
        <v>37</v>
      </c>
      <c r="B40" s="368" t="s">
        <v>120</v>
      </c>
      <c r="C40" s="110" t="s">
        <v>250</v>
      </c>
      <c r="D40" s="110" t="s">
        <v>237</v>
      </c>
      <c r="E40" s="110">
        <v>3263.36</v>
      </c>
      <c r="F40" s="110">
        <v>91.93</v>
      </c>
      <c r="G40" s="310">
        <f t="shared" si="1"/>
        <v>300000.68480000005</v>
      </c>
      <c r="H40" s="110"/>
      <c r="I40" s="110"/>
      <c r="J40" s="310">
        <f t="shared" si="2"/>
        <v>0</v>
      </c>
      <c r="K40" s="310">
        <f t="shared" si="4"/>
        <v>300000.68480000005</v>
      </c>
      <c r="L40" s="311"/>
      <c r="M40" s="313">
        <f t="shared" si="3"/>
        <v>649998.76820000005</v>
      </c>
      <c r="N40" s="312"/>
      <c r="O40" s="312"/>
    </row>
    <row r="41" spans="1:15">
      <c r="A41" s="379">
        <v>38</v>
      </c>
      <c r="B41" s="368" t="s">
        <v>120</v>
      </c>
      <c r="C41" s="110" t="s">
        <v>227</v>
      </c>
      <c r="D41" s="110" t="s">
        <v>237</v>
      </c>
      <c r="E41" s="110">
        <v>1319.06</v>
      </c>
      <c r="F41" s="110">
        <v>92.19</v>
      </c>
      <c r="G41" s="310">
        <f t="shared" si="1"/>
        <v>121604.14139999999</v>
      </c>
      <c r="H41" s="110"/>
      <c r="I41" s="110"/>
      <c r="J41" s="310">
        <f t="shared" si="2"/>
        <v>0</v>
      </c>
      <c r="K41" s="310">
        <f t="shared" si="4"/>
        <v>121604.14139999999</v>
      </c>
      <c r="L41" s="311"/>
      <c r="M41" s="313">
        <f t="shared" si="3"/>
        <v>528394.62680000009</v>
      </c>
      <c r="N41" s="310"/>
      <c r="O41" s="310"/>
    </row>
    <row r="42" spans="1:15">
      <c r="A42" s="17">
        <v>39</v>
      </c>
      <c r="B42" s="368" t="s">
        <v>120</v>
      </c>
      <c r="C42" s="110" t="s">
        <v>236</v>
      </c>
      <c r="D42" s="110" t="s">
        <v>237</v>
      </c>
      <c r="E42" s="310">
        <v>2312.7800000000002</v>
      </c>
      <c r="F42" s="310">
        <v>92.14</v>
      </c>
      <c r="G42" s="310">
        <f t="shared" si="1"/>
        <v>213099.54920000001</v>
      </c>
      <c r="H42" s="110"/>
      <c r="I42" s="110"/>
      <c r="J42" s="310">
        <f t="shared" si="2"/>
        <v>0</v>
      </c>
      <c r="K42" s="310">
        <f t="shared" si="4"/>
        <v>213099.54920000001</v>
      </c>
      <c r="L42" s="311"/>
      <c r="M42" s="313">
        <f t="shared" si="3"/>
        <v>315295.07760000008</v>
      </c>
      <c r="N42" s="310"/>
      <c r="O42" s="310"/>
    </row>
    <row r="43" spans="1:15">
      <c r="A43" s="378">
        <v>40</v>
      </c>
      <c r="B43" s="368" t="s">
        <v>110</v>
      </c>
      <c r="C43" s="110" t="s">
        <v>251</v>
      </c>
      <c r="D43" s="110" t="s">
        <v>237</v>
      </c>
      <c r="E43" s="310">
        <v>1548.26</v>
      </c>
      <c r="F43" s="310">
        <v>91.49</v>
      </c>
      <c r="G43" s="310">
        <f t="shared" si="1"/>
        <v>141650.30739999999</v>
      </c>
      <c r="H43" s="110"/>
      <c r="I43" s="110"/>
      <c r="J43" s="310">
        <f>H43*I43</f>
        <v>0</v>
      </c>
      <c r="K43" s="310">
        <f t="shared" si="4"/>
        <v>141650.30739999999</v>
      </c>
      <c r="L43" s="311"/>
      <c r="M43" s="313">
        <f t="shared" si="3"/>
        <v>173644.77020000009</v>
      </c>
      <c r="N43" s="310"/>
      <c r="O43" s="310"/>
    </row>
    <row r="44" spans="1:15">
      <c r="A44" s="378"/>
      <c r="B44" s="368" t="s">
        <v>110</v>
      </c>
      <c r="C44" s="110" t="s">
        <v>246</v>
      </c>
      <c r="D44" s="110" t="s">
        <v>228</v>
      </c>
      <c r="E44" s="310">
        <v>65</v>
      </c>
      <c r="F44" s="310">
        <v>92.18</v>
      </c>
      <c r="G44" s="310">
        <f t="shared" si="1"/>
        <v>5991.7000000000007</v>
      </c>
      <c r="H44" s="110"/>
      <c r="I44" s="110"/>
      <c r="J44" s="310"/>
      <c r="K44" s="310">
        <f t="shared" si="4"/>
        <v>5991.7000000000007</v>
      </c>
      <c r="L44" s="311"/>
      <c r="M44" s="313">
        <f t="shared" si="3"/>
        <v>167653.07020000007</v>
      </c>
      <c r="N44" s="310"/>
      <c r="O44" s="310"/>
    </row>
    <row r="45" spans="1:15">
      <c r="A45" s="378"/>
      <c r="B45" s="368" t="s">
        <v>110</v>
      </c>
      <c r="C45" s="110" t="s">
        <v>252</v>
      </c>
      <c r="D45" s="110" t="s">
        <v>253</v>
      </c>
      <c r="E45" s="310">
        <v>42.57</v>
      </c>
      <c r="F45" s="310">
        <v>95.7</v>
      </c>
      <c r="G45" s="310">
        <f t="shared" si="1"/>
        <v>4073.9490000000001</v>
      </c>
      <c r="H45" s="110"/>
      <c r="I45" s="110"/>
      <c r="J45" s="310"/>
      <c r="K45" s="310">
        <f t="shared" si="4"/>
        <v>4073.9490000000001</v>
      </c>
      <c r="L45" s="311"/>
      <c r="M45" s="313">
        <f t="shared" si="3"/>
        <v>163579.12120000008</v>
      </c>
      <c r="N45" s="310"/>
      <c r="O45" s="310"/>
    </row>
    <row r="46" spans="1:15">
      <c r="A46" s="378"/>
      <c r="B46" s="368" t="s">
        <v>110</v>
      </c>
      <c r="C46" s="110" t="s">
        <v>246</v>
      </c>
      <c r="D46" s="110" t="s">
        <v>228</v>
      </c>
      <c r="E46" s="310">
        <v>40</v>
      </c>
      <c r="F46" s="310">
        <v>92.18</v>
      </c>
      <c r="G46" s="310">
        <f t="shared" si="1"/>
        <v>3687.2000000000003</v>
      </c>
      <c r="H46" s="110"/>
      <c r="I46" s="110"/>
      <c r="J46" s="310"/>
      <c r="K46" s="310">
        <f t="shared" si="4"/>
        <v>3687.2000000000003</v>
      </c>
      <c r="L46" s="311"/>
      <c r="M46" s="313">
        <f t="shared" si="3"/>
        <v>159891.92120000007</v>
      </c>
      <c r="N46" s="310"/>
      <c r="O46" s="310"/>
    </row>
    <row r="47" spans="1:15">
      <c r="A47" s="378"/>
      <c r="B47" s="368" t="s">
        <v>178</v>
      </c>
      <c r="C47" s="110" t="s">
        <v>254</v>
      </c>
      <c r="D47" s="110" t="s">
        <v>253</v>
      </c>
      <c r="E47" s="310">
        <v>30.26</v>
      </c>
      <c r="F47" s="310">
        <v>95.83</v>
      </c>
      <c r="G47" s="310">
        <f t="shared" si="1"/>
        <v>2899.8158000000003</v>
      </c>
      <c r="H47" s="110"/>
      <c r="I47" s="110"/>
      <c r="J47" s="310"/>
      <c r="K47" s="310">
        <f t="shared" si="4"/>
        <v>2899.8158000000003</v>
      </c>
      <c r="L47" s="311"/>
      <c r="M47" s="313">
        <f t="shared" si="3"/>
        <v>156992.10540000006</v>
      </c>
      <c r="N47" s="310"/>
      <c r="O47" s="310"/>
    </row>
    <row r="48" spans="1:15">
      <c r="A48" s="378"/>
      <c r="B48" s="368" t="s">
        <v>178</v>
      </c>
      <c r="C48" s="110" t="s">
        <v>255</v>
      </c>
      <c r="D48" s="110" t="s">
        <v>241</v>
      </c>
      <c r="E48" s="310">
        <v>36.03</v>
      </c>
      <c r="F48" s="310">
        <v>95.76</v>
      </c>
      <c r="G48" s="310">
        <f t="shared" si="1"/>
        <v>3450.2328000000002</v>
      </c>
      <c r="H48" s="110"/>
      <c r="I48" s="110"/>
      <c r="J48" s="310"/>
      <c r="K48" s="310">
        <f t="shared" si="4"/>
        <v>3450.2328000000002</v>
      </c>
      <c r="L48" s="311"/>
      <c r="M48" s="313">
        <f t="shared" si="3"/>
        <v>153541.87260000006</v>
      </c>
      <c r="N48" s="310"/>
      <c r="O48" s="310"/>
    </row>
    <row r="49" spans="1:15">
      <c r="A49" s="17">
        <v>41</v>
      </c>
      <c r="B49" s="368" t="s">
        <v>107</v>
      </c>
      <c r="C49" s="110" t="s">
        <v>256</v>
      </c>
      <c r="D49" s="110" t="s">
        <v>237</v>
      </c>
      <c r="E49" s="110">
        <v>1750.16</v>
      </c>
      <c r="F49" s="110">
        <v>91.42</v>
      </c>
      <c r="G49" s="310">
        <f t="shared" si="1"/>
        <v>159999.62720000002</v>
      </c>
      <c r="H49" s="110"/>
      <c r="I49" s="110"/>
      <c r="J49" s="310">
        <f t="shared" si="2"/>
        <v>0</v>
      </c>
      <c r="K49" s="310">
        <f t="shared" si="4"/>
        <v>159999.62720000002</v>
      </c>
      <c r="L49" s="311">
        <v>1700000</v>
      </c>
      <c r="M49" s="313">
        <f t="shared" si="3"/>
        <v>1693542.2454000001</v>
      </c>
      <c r="N49" s="310"/>
      <c r="O49" s="310"/>
    </row>
    <row r="50" spans="1:15">
      <c r="A50" s="17">
        <v>42</v>
      </c>
      <c r="B50" s="368" t="s">
        <v>107</v>
      </c>
      <c r="C50" s="110" t="s">
        <v>250</v>
      </c>
      <c r="D50" s="110" t="s">
        <v>237</v>
      </c>
      <c r="E50" s="110">
        <v>3408.19</v>
      </c>
      <c r="F50" s="110">
        <v>91.93</v>
      </c>
      <c r="G50" s="310">
        <f t="shared" si="1"/>
        <v>313314.90670000005</v>
      </c>
      <c r="H50" s="110"/>
      <c r="I50" s="110"/>
      <c r="J50" s="310">
        <f t="shared" si="2"/>
        <v>0</v>
      </c>
      <c r="K50" s="310">
        <f t="shared" si="4"/>
        <v>313314.90670000005</v>
      </c>
      <c r="L50" s="311"/>
      <c r="M50" s="313">
        <f t="shared" si="3"/>
        <v>1380227.3387000002</v>
      </c>
      <c r="N50" s="310"/>
      <c r="O50" s="310"/>
    </row>
    <row r="51" spans="1:15">
      <c r="A51" s="378">
        <v>43</v>
      </c>
      <c r="B51" s="368" t="s">
        <v>107</v>
      </c>
      <c r="C51" s="110" t="s">
        <v>227</v>
      </c>
      <c r="D51" s="110" t="s">
        <v>237</v>
      </c>
      <c r="E51" s="110">
        <v>639.49</v>
      </c>
      <c r="F51" s="110">
        <v>92.19</v>
      </c>
      <c r="G51" s="310">
        <f>E51*F51</f>
        <v>58954.583099999996</v>
      </c>
      <c r="H51" s="110"/>
      <c r="I51" s="110"/>
      <c r="J51" s="310">
        <f t="shared" si="2"/>
        <v>0</v>
      </c>
      <c r="K51" s="310">
        <f t="shared" si="4"/>
        <v>58954.583099999996</v>
      </c>
      <c r="L51" s="311"/>
      <c r="M51" s="313">
        <f t="shared" si="3"/>
        <v>1321272.7556000003</v>
      </c>
      <c r="N51" s="310"/>
      <c r="O51" s="310"/>
    </row>
    <row r="52" spans="1:15">
      <c r="A52" s="17">
        <v>44</v>
      </c>
      <c r="B52" s="368" t="s">
        <v>107</v>
      </c>
      <c r="C52" s="110" t="s">
        <v>236</v>
      </c>
      <c r="D52" s="110" t="s">
        <v>237</v>
      </c>
      <c r="E52" s="110">
        <v>439.49</v>
      </c>
      <c r="F52" s="110">
        <v>92.14</v>
      </c>
      <c r="G52" s="310">
        <f>E52*F52</f>
        <v>40494.6086</v>
      </c>
      <c r="H52" s="110"/>
      <c r="I52" s="110"/>
      <c r="J52" s="310">
        <f t="shared" si="2"/>
        <v>0</v>
      </c>
      <c r="K52" s="310">
        <f t="shared" si="4"/>
        <v>40494.6086</v>
      </c>
      <c r="L52" s="311"/>
      <c r="M52" s="313">
        <f t="shared" si="3"/>
        <v>1280778.1470000003</v>
      </c>
      <c r="N52" s="339"/>
      <c r="O52" s="312"/>
    </row>
    <row r="53" spans="1:15">
      <c r="A53" s="17">
        <v>45</v>
      </c>
      <c r="B53" s="368" t="s">
        <v>107</v>
      </c>
      <c r="C53" s="175" t="s">
        <v>224</v>
      </c>
      <c r="D53" s="110" t="s">
        <v>225</v>
      </c>
      <c r="E53" s="110">
        <v>3132.14</v>
      </c>
      <c r="F53" s="110">
        <v>96.42</v>
      </c>
      <c r="G53" s="310">
        <f>E53*F53</f>
        <v>302000.9388</v>
      </c>
      <c r="H53" s="110">
        <v>46.2</v>
      </c>
      <c r="I53" s="110">
        <v>108.23</v>
      </c>
      <c r="J53" s="310">
        <f t="shared" si="2"/>
        <v>5000.2260000000006</v>
      </c>
      <c r="K53" s="310">
        <f t="shared" si="4"/>
        <v>307001.16480000003</v>
      </c>
      <c r="L53" s="311"/>
      <c r="M53" s="313">
        <f t="shared" si="3"/>
        <v>973776.98220000032</v>
      </c>
      <c r="N53" s="339"/>
      <c r="O53" s="312"/>
    </row>
    <row r="54" spans="1:15">
      <c r="A54" s="378">
        <v>46</v>
      </c>
      <c r="B54" s="368" t="s">
        <v>107</v>
      </c>
      <c r="C54" s="175" t="s">
        <v>257</v>
      </c>
      <c r="D54" s="110" t="s">
        <v>258</v>
      </c>
      <c r="E54" s="110">
        <v>5068.17</v>
      </c>
      <c r="F54" s="110">
        <v>91.14</v>
      </c>
      <c r="G54" s="310">
        <f t="shared" si="1"/>
        <v>461913.01380000002</v>
      </c>
      <c r="H54" s="110"/>
      <c r="I54" s="110"/>
      <c r="J54" s="310">
        <f t="shared" si="2"/>
        <v>0</v>
      </c>
      <c r="K54" s="310">
        <f t="shared" si="4"/>
        <v>461913.01380000002</v>
      </c>
      <c r="L54" s="311"/>
      <c r="M54" s="313">
        <f t="shared" si="3"/>
        <v>511863.9684000003</v>
      </c>
      <c r="N54" s="339"/>
      <c r="O54" s="312"/>
    </row>
    <row r="55" spans="1:15">
      <c r="A55" s="17">
        <v>48</v>
      </c>
      <c r="B55" s="368" t="s">
        <v>107</v>
      </c>
      <c r="C55" s="175" t="s">
        <v>247</v>
      </c>
      <c r="D55" s="110" t="s">
        <v>235</v>
      </c>
      <c r="E55" s="310">
        <v>1171.0999999999999</v>
      </c>
      <c r="F55" s="310">
        <v>91.32</v>
      </c>
      <c r="G55" s="310">
        <f t="shared" si="1"/>
        <v>106944.85199999998</v>
      </c>
      <c r="H55" s="110"/>
      <c r="I55" s="110"/>
      <c r="J55" s="310">
        <f t="shared" si="2"/>
        <v>0</v>
      </c>
      <c r="K55" s="310">
        <f t="shared" si="4"/>
        <v>106944.85199999998</v>
      </c>
      <c r="L55" s="311"/>
      <c r="M55" s="313">
        <f t="shared" si="3"/>
        <v>404919.11640000029</v>
      </c>
      <c r="N55" s="313"/>
      <c r="O55" s="310"/>
    </row>
    <row r="56" spans="1:15">
      <c r="A56" s="380">
        <v>49</v>
      </c>
      <c r="B56" s="368" t="s">
        <v>111</v>
      </c>
      <c r="C56" s="110" t="s">
        <v>238</v>
      </c>
      <c r="D56" s="175" t="s">
        <v>259</v>
      </c>
      <c r="E56" s="110">
        <v>20.83</v>
      </c>
      <c r="F56" s="110">
        <v>91.77</v>
      </c>
      <c r="G56" s="310">
        <f t="shared" si="1"/>
        <v>1911.5690999999997</v>
      </c>
      <c r="H56" s="110"/>
      <c r="I56" s="110"/>
      <c r="J56" s="310">
        <f t="shared" si="2"/>
        <v>0</v>
      </c>
      <c r="K56" s="310">
        <f t="shared" si="4"/>
        <v>1911.5690999999997</v>
      </c>
      <c r="L56" s="311"/>
      <c r="M56" s="313">
        <f t="shared" si="3"/>
        <v>403007.54730000027</v>
      </c>
      <c r="N56" s="310"/>
      <c r="O56" s="310"/>
    </row>
    <row r="57" spans="1:15">
      <c r="A57" s="103">
        <v>50</v>
      </c>
      <c r="B57" s="368" t="s">
        <v>111</v>
      </c>
      <c r="C57" s="330" t="s">
        <v>260</v>
      </c>
      <c r="D57" s="366" t="s">
        <v>223</v>
      </c>
      <c r="E57" s="330">
        <v>48.03</v>
      </c>
      <c r="F57" s="330">
        <v>97.12</v>
      </c>
      <c r="G57" s="314">
        <f t="shared" si="1"/>
        <v>4664.6736000000001</v>
      </c>
      <c r="H57" s="330"/>
      <c r="I57" s="330"/>
      <c r="J57" s="314">
        <f t="shared" si="2"/>
        <v>0</v>
      </c>
      <c r="K57" s="314">
        <f t="shared" si="4"/>
        <v>4664.6736000000001</v>
      </c>
      <c r="L57" s="393"/>
      <c r="M57" s="313">
        <f t="shared" si="3"/>
        <v>398342.87370000029</v>
      </c>
      <c r="N57" s="310"/>
      <c r="O57" s="310"/>
    </row>
    <row r="58" spans="1:15">
      <c r="A58" s="103">
        <v>51</v>
      </c>
      <c r="B58" s="368" t="s">
        <v>111</v>
      </c>
      <c r="C58" s="175" t="s">
        <v>233</v>
      </c>
      <c r="D58" s="394" t="s">
        <v>221</v>
      </c>
      <c r="E58" s="351"/>
      <c r="F58" s="314"/>
      <c r="G58" s="334">
        <f t="shared" si="1"/>
        <v>0</v>
      </c>
      <c r="H58" s="330">
        <v>4.05</v>
      </c>
      <c r="I58" s="330">
        <v>107.46</v>
      </c>
      <c r="J58" s="314">
        <f t="shared" si="2"/>
        <v>435.21299999999997</v>
      </c>
      <c r="K58" s="314">
        <f t="shared" si="4"/>
        <v>435.21299999999997</v>
      </c>
      <c r="L58" s="311"/>
      <c r="M58" s="313">
        <f t="shared" si="3"/>
        <v>397907.6607000003</v>
      </c>
      <c r="N58" s="310"/>
      <c r="O58" s="310"/>
    </row>
    <row r="59" spans="1:15">
      <c r="A59" s="328">
        <v>52</v>
      </c>
      <c r="B59" s="368" t="s">
        <v>111</v>
      </c>
      <c r="C59" s="175" t="s">
        <v>251</v>
      </c>
      <c r="D59" s="340" t="s">
        <v>237</v>
      </c>
      <c r="E59" s="313">
        <v>153.72</v>
      </c>
      <c r="F59" s="310">
        <v>91.49</v>
      </c>
      <c r="G59" s="331">
        <f t="shared" si="1"/>
        <v>14063.842799999999</v>
      </c>
      <c r="H59" s="110"/>
      <c r="I59" s="110"/>
      <c r="J59" s="310">
        <f t="shared" si="2"/>
        <v>0</v>
      </c>
      <c r="K59" s="310">
        <f t="shared" si="4"/>
        <v>14063.842799999999</v>
      </c>
      <c r="L59" s="311"/>
      <c r="M59" s="313">
        <f t="shared" si="3"/>
        <v>383843.81790000031</v>
      </c>
      <c r="N59" s="312"/>
      <c r="O59" s="312"/>
    </row>
    <row r="60" spans="1:15">
      <c r="A60" s="103">
        <v>53</v>
      </c>
      <c r="B60" s="368" t="s">
        <v>179</v>
      </c>
      <c r="C60" s="175" t="s">
        <v>227</v>
      </c>
      <c r="D60" s="340" t="s">
        <v>228</v>
      </c>
      <c r="E60" s="313">
        <v>40.64</v>
      </c>
      <c r="F60" s="310">
        <v>92.19</v>
      </c>
      <c r="G60" s="331">
        <f t="shared" si="1"/>
        <v>3746.6016</v>
      </c>
      <c r="H60" s="110">
        <v>10</v>
      </c>
      <c r="I60" s="110">
        <v>104.03</v>
      </c>
      <c r="J60" s="310">
        <f t="shared" si="2"/>
        <v>1040.3</v>
      </c>
      <c r="K60" s="310">
        <f t="shared" si="4"/>
        <v>4786.9016000000001</v>
      </c>
      <c r="L60" s="311"/>
      <c r="M60" s="313">
        <f t="shared" si="3"/>
        <v>379056.91630000033</v>
      </c>
      <c r="N60" s="310"/>
      <c r="O60" s="310"/>
    </row>
    <row r="61" spans="1:15">
      <c r="A61" s="103">
        <v>54</v>
      </c>
      <c r="B61" s="368" t="s">
        <v>179</v>
      </c>
      <c r="C61" s="342" t="s">
        <v>261</v>
      </c>
      <c r="D61" s="340" t="s">
        <v>228</v>
      </c>
      <c r="E61" s="313">
        <v>75</v>
      </c>
      <c r="F61" s="310">
        <v>92.22</v>
      </c>
      <c r="G61" s="331">
        <f t="shared" si="1"/>
        <v>6916.5</v>
      </c>
      <c r="H61" s="110"/>
      <c r="I61" s="110"/>
      <c r="J61" s="310">
        <f t="shared" si="2"/>
        <v>0</v>
      </c>
      <c r="K61" s="310">
        <f t="shared" si="4"/>
        <v>6916.5</v>
      </c>
      <c r="L61" s="311"/>
      <c r="M61" s="313">
        <f t="shared" si="3"/>
        <v>372140.41630000033</v>
      </c>
      <c r="N61" s="312"/>
      <c r="O61" s="312"/>
    </row>
    <row r="62" spans="1:15">
      <c r="A62" s="328">
        <v>55</v>
      </c>
      <c r="B62" s="368" t="s">
        <v>179</v>
      </c>
      <c r="C62" s="175" t="s">
        <v>262</v>
      </c>
      <c r="D62" s="110" t="s">
        <v>219</v>
      </c>
      <c r="E62" s="313">
        <v>34</v>
      </c>
      <c r="F62" s="310">
        <v>92.19</v>
      </c>
      <c r="G62" s="331">
        <f t="shared" si="1"/>
        <v>3134.46</v>
      </c>
      <c r="H62" s="110"/>
      <c r="I62" s="110"/>
      <c r="J62" s="310">
        <f t="shared" si="2"/>
        <v>0</v>
      </c>
      <c r="K62" s="310">
        <f t="shared" si="4"/>
        <v>3134.46</v>
      </c>
      <c r="L62" s="311"/>
      <c r="M62" s="313">
        <f t="shared" si="3"/>
        <v>369005.95630000031</v>
      </c>
      <c r="N62" s="310"/>
      <c r="O62" s="310"/>
    </row>
    <row r="63" spans="1:15">
      <c r="A63" s="103">
        <v>56</v>
      </c>
      <c r="B63" s="368" t="s">
        <v>179</v>
      </c>
      <c r="C63" s="175" t="s">
        <v>233</v>
      </c>
      <c r="D63" s="110" t="s">
        <v>229</v>
      </c>
      <c r="E63" s="313">
        <v>37.619999999999997</v>
      </c>
      <c r="F63" s="310">
        <v>95.7</v>
      </c>
      <c r="G63" s="331">
        <f t="shared" si="1"/>
        <v>3600.2339999999999</v>
      </c>
      <c r="H63" s="110"/>
      <c r="I63" s="110"/>
      <c r="J63" s="310">
        <f t="shared" si="2"/>
        <v>0</v>
      </c>
      <c r="K63" s="310">
        <f t="shared" si="4"/>
        <v>3600.2339999999999</v>
      </c>
      <c r="L63" s="311"/>
      <c r="M63" s="313">
        <f t="shared" si="3"/>
        <v>365405.72230000031</v>
      </c>
      <c r="N63" s="310"/>
      <c r="O63" s="310"/>
    </row>
    <row r="64" spans="1:15">
      <c r="A64" s="103">
        <v>57</v>
      </c>
      <c r="B64" s="368" t="s">
        <v>180</v>
      </c>
      <c r="C64" s="175" t="s">
        <v>263</v>
      </c>
      <c r="D64" s="175" t="s">
        <v>223</v>
      </c>
      <c r="E64" s="313">
        <v>38</v>
      </c>
      <c r="F64" s="310">
        <v>86.75</v>
      </c>
      <c r="G64" s="331">
        <f t="shared" ref="G64:G79" si="5">E64*F64</f>
        <v>3296.5</v>
      </c>
      <c r="H64" s="110"/>
      <c r="I64" s="110"/>
      <c r="J64" s="310">
        <f t="shared" si="2"/>
        <v>0</v>
      </c>
      <c r="K64" s="310">
        <f t="shared" si="4"/>
        <v>3296.5</v>
      </c>
      <c r="L64" s="311"/>
      <c r="M64" s="313">
        <f t="shared" si="3"/>
        <v>362109.22230000031</v>
      </c>
      <c r="N64" s="310"/>
      <c r="O64" s="310"/>
    </row>
    <row r="65" spans="1:15">
      <c r="A65" s="328">
        <v>58</v>
      </c>
      <c r="B65" s="368" t="s">
        <v>181</v>
      </c>
      <c r="C65" s="341" t="s">
        <v>264</v>
      </c>
      <c r="D65" s="175" t="s">
        <v>223</v>
      </c>
      <c r="E65" s="310"/>
      <c r="F65" s="310"/>
      <c r="G65" s="331">
        <f t="shared" si="5"/>
        <v>0</v>
      </c>
      <c r="H65" s="110">
        <v>5</v>
      </c>
      <c r="I65" s="110">
        <v>108.86</v>
      </c>
      <c r="J65" s="310">
        <f t="shared" si="2"/>
        <v>544.29999999999995</v>
      </c>
      <c r="K65" s="310">
        <f t="shared" si="4"/>
        <v>544.29999999999995</v>
      </c>
      <c r="L65" s="311"/>
      <c r="M65" s="313">
        <f t="shared" si="3"/>
        <v>361564.92230000033</v>
      </c>
      <c r="N65" s="310"/>
      <c r="O65" s="310"/>
    </row>
    <row r="66" spans="1:15">
      <c r="A66" s="103">
        <v>59</v>
      </c>
      <c r="B66" s="368" t="s">
        <v>181</v>
      </c>
      <c r="C66" s="110" t="s">
        <v>265</v>
      </c>
      <c r="D66" s="341" t="s">
        <v>219</v>
      </c>
      <c r="E66" s="312">
        <v>40.159999999999997</v>
      </c>
      <c r="F66" s="312">
        <v>92.14</v>
      </c>
      <c r="G66" s="352">
        <f t="shared" si="5"/>
        <v>3700.3423999999995</v>
      </c>
      <c r="H66" s="335"/>
      <c r="I66" s="335"/>
      <c r="J66" s="312">
        <f t="shared" si="2"/>
        <v>0</v>
      </c>
      <c r="K66" s="310">
        <f t="shared" si="4"/>
        <v>3700.3423999999995</v>
      </c>
      <c r="L66" s="353"/>
      <c r="M66" s="313">
        <f t="shared" si="3"/>
        <v>357864.5799000003</v>
      </c>
      <c r="N66" s="194"/>
      <c r="O66" s="194"/>
    </row>
    <row r="67" spans="1:15">
      <c r="A67" s="103">
        <v>60</v>
      </c>
      <c r="B67" s="368" t="s">
        <v>181</v>
      </c>
      <c r="C67" s="110" t="s">
        <v>231</v>
      </c>
      <c r="D67" s="175" t="s">
        <v>232</v>
      </c>
      <c r="E67" s="110">
        <v>45</v>
      </c>
      <c r="F67" s="110">
        <v>92.22</v>
      </c>
      <c r="G67" s="310">
        <f t="shared" si="5"/>
        <v>4149.8999999999996</v>
      </c>
      <c r="H67" s="110">
        <v>0</v>
      </c>
      <c r="I67" s="110">
        <v>104.03</v>
      </c>
      <c r="J67" s="310">
        <f t="shared" si="2"/>
        <v>0</v>
      </c>
      <c r="K67" s="310">
        <f t="shared" si="4"/>
        <v>4149.8999999999996</v>
      </c>
      <c r="L67" s="311"/>
      <c r="M67" s="313">
        <f t="shared" si="3"/>
        <v>353714.67990000028</v>
      </c>
      <c r="N67" s="357"/>
      <c r="O67" s="194"/>
    </row>
    <row r="68" spans="1:15">
      <c r="A68" s="328">
        <v>61</v>
      </c>
      <c r="B68" s="368" t="s">
        <v>181</v>
      </c>
      <c r="C68" s="335" t="s">
        <v>227</v>
      </c>
      <c r="D68" s="340" t="s">
        <v>228</v>
      </c>
      <c r="E68" s="110">
        <v>90</v>
      </c>
      <c r="F68" s="110">
        <v>92.19</v>
      </c>
      <c r="G68" s="310">
        <f t="shared" si="5"/>
        <v>8297.1</v>
      </c>
      <c r="H68" s="110">
        <v>10</v>
      </c>
      <c r="I68" s="110">
        <v>104.03</v>
      </c>
      <c r="J68" s="310">
        <f t="shared" ref="J68:J82" si="6">H68*I68</f>
        <v>1040.3</v>
      </c>
      <c r="K68" s="310">
        <f t="shared" si="4"/>
        <v>9337.4</v>
      </c>
      <c r="L68" s="311"/>
      <c r="M68" s="313">
        <f t="shared" si="3"/>
        <v>344377.27990000026</v>
      </c>
      <c r="N68" s="357"/>
      <c r="O68" s="194"/>
    </row>
    <row r="69" spans="1:15">
      <c r="A69" s="103">
        <v>62</v>
      </c>
      <c r="B69" s="368" t="s">
        <v>182</v>
      </c>
      <c r="C69" s="110" t="s">
        <v>266</v>
      </c>
      <c r="D69" s="434" t="s">
        <v>223</v>
      </c>
      <c r="E69" s="110">
        <v>42.03</v>
      </c>
      <c r="F69" s="110">
        <v>86.75</v>
      </c>
      <c r="G69" s="310">
        <f t="shared" si="5"/>
        <v>3646.1025</v>
      </c>
      <c r="H69" s="310"/>
      <c r="I69" s="310"/>
      <c r="J69" s="310">
        <f t="shared" si="6"/>
        <v>0</v>
      </c>
      <c r="K69" s="310">
        <f t="shared" si="4"/>
        <v>3646.1025</v>
      </c>
      <c r="L69" s="311"/>
      <c r="M69" s="313">
        <f t="shared" ref="M69:M73" si="7">M68+L69-K69</f>
        <v>340731.17740000028</v>
      </c>
      <c r="N69" s="357"/>
      <c r="O69" s="194"/>
    </row>
    <row r="70" spans="1:15">
      <c r="A70" s="103">
        <v>63</v>
      </c>
      <c r="B70" s="368" t="s">
        <v>182</v>
      </c>
      <c r="C70" s="110" t="s">
        <v>265</v>
      </c>
      <c r="D70" s="434" t="s">
        <v>219</v>
      </c>
      <c r="E70" s="110">
        <v>21.71</v>
      </c>
      <c r="F70" s="110">
        <v>92.14</v>
      </c>
      <c r="G70" s="310">
        <f t="shared" si="5"/>
        <v>2000.3594000000001</v>
      </c>
      <c r="H70" s="310"/>
      <c r="I70" s="310"/>
      <c r="J70" s="310">
        <f t="shared" si="6"/>
        <v>0</v>
      </c>
      <c r="K70" s="310">
        <f t="shared" si="4"/>
        <v>2000.3594000000001</v>
      </c>
      <c r="L70" s="311"/>
      <c r="M70" s="313">
        <f t="shared" si="7"/>
        <v>338730.81800000026</v>
      </c>
      <c r="N70" s="358"/>
      <c r="O70" s="315"/>
    </row>
    <row r="71" spans="1:15">
      <c r="A71" s="328">
        <v>64</v>
      </c>
      <c r="B71" s="368" t="s">
        <v>183</v>
      </c>
      <c r="C71" s="110" t="s">
        <v>267</v>
      </c>
      <c r="D71" s="394" t="s">
        <v>217</v>
      </c>
      <c r="E71" s="314">
        <v>47.02</v>
      </c>
      <c r="F71" s="314">
        <v>95.7</v>
      </c>
      <c r="G71" s="314">
        <f t="shared" si="5"/>
        <v>4499.8140000000003</v>
      </c>
      <c r="H71" s="314"/>
      <c r="I71" s="314"/>
      <c r="J71" s="314">
        <f t="shared" si="6"/>
        <v>0</v>
      </c>
      <c r="K71" s="310">
        <f t="shared" si="4"/>
        <v>4499.8140000000003</v>
      </c>
      <c r="L71" s="333"/>
      <c r="M71" s="313">
        <f t="shared" si="7"/>
        <v>334231.00400000025</v>
      </c>
      <c r="N71" s="194"/>
      <c r="O71" s="194"/>
    </row>
    <row r="72" spans="1:15">
      <c r="A72" s="103">
        <v>65</v>
      </c>
      <c r="B72" s="368" t="s">
        <v>184</v>
      </c>
      <c r="C72" s="330" t="s">
        <v>233</v>
      </c>
      <c r="D72" s="175" t="s">
        <v>268</v>
      </c>
      <c r="E72" s="310">
        <v>39.82</v>
      </c>
      <c r="F72" s="310">
        <v>95.7</v>
      </c>
      <c r="G72" s="310">
        <f t="shared" si="5"/>
        <v>3810.7740000000003</v>
      </c>
      <c r="H72" s="351"/>
      <c r="I72" s="351"/>
      <c r="J72" s="310">
        <f t="shared" si="6"/>
        <v>0</v>
      </c>
      <c r="K72" s="310">
        <f t="shared" si="4"/>
        <v>3810.7740000000003</v>
      </c>
      <c r="L72" s="311"/>
      <c r="M72" s="313">
        <f t="shared" si="7"/>
        <v>330420.23000000027</v>
      </c>
      <c r="N72" s="194"/>
      <c r="O72" s="194"/>
    </row>
    <row r="73" spans="1:15">
      <c r="A73" s="103">
        <v>66</v>
      </c>
      <c r="B73" s="368" t="s">
        <v>185</v>
      </c>
      <c r="C73" s="110" t="s">
        <v>227</v>
      </c>
      <c r="D73" s="175" t="s">
        <v>228</v>
      </c>
      <c r="E73" s="310">
        <v>90</v>
      </c>
      <c r="F73" s="310">
        <v>92.19</v>
      </c>
      <c r="G73" s="310">
        <f t="shared" si="5"/>
        <v>8297.1</v>
      </c>
      <c r="H73" s="310">
        <v>5</v>
      </c>
      <c r="I73" s="310">
        <v>104.03</v>
      </c>
      <c r="J73" s="310">
        <f t="shared" si="6"/>
        <v>520.15</v>
      </c>
      <c r="K73" s="310">
        <f t="shared" si="4"/>
        <v>8817.25</v>
      </c>
      <c r="L73" s="311"/>
      <c r="M73" s="313">
        <f t="shared" si="7"/>
        <v>321602.98000000027</v>
      </c>
      <c r="N73" s="194"/>
      <c r="O73" s="194"/>
    </row>
    <row r="74" spans="1:15">
      <c r="A74" s="328">
        <v>67</v>
      </c>
      <c r="B74" s="368" t="s">
        <v>185</v>
      </c>
      <c r="C74" s="175" t="s">
        <v>238</v>
      </c>
      <c r="D74" s="175" t="s">
        <v>219</v>
      </c>
      <c r="E74" s="310">
        <v>35</v>
      </c>
      <c r="F74" s="310">
        <v>91.77</v>
      </c>
      <c r="G74" s="310">
        <f t="shared" si="5"/>
        <v>3211.95</v>
      </c>
      <c r="H74" s="310"/>
      <c r="I74" s="310"/>
      <c r="J74" s="310">
        <f t="shared" si="6"/>
        <v>0</v>
      </c>
      <c r="K74" s="310">
        <f t="shared" ref="K74:K86" si="8">G74+J74</f>
        <v>3211.95</v>
      </c>
      <c r="L74" s="311"/>
      <c r="M74" s="313">
        <f t="shared" ref="M74:M90" si="9">M73+L74-K74</f>
        <v>318391.03000000026</v>
      </c>
      <c r="N74" s="315"/>
      <c r="O74" s="315"/>
    </row>
    <row r="75" spans="1:15">
      <c r="A75" s="103">
        <v>68</v>
      </c>
      <c r="B75" s="368" t="s">
        <v>185</v>
      </c>
      <c r="C75" s="110" t="s">
        <v>266</v>
      </c>
      <c r="D75" s="175" t="s">
        <v>223</v>
      </c>
      <c r="E75" s="310">
        <v>44.83</v>
      </c>
      <c r="F75" s="310">
        <v>86.75</v>
      </c>
      <c r="G75" s="310">
        <f t="shared" si="5"/>
        <v>3889.0025000000001</v>
      </c>
      <c r="H75" s="310"/>
      <c r="I75" s="310"/>
      <c r="J75" s="310">
        <f t="shared" si="6"/>
        <v>0</v>
      </c>
      <c r="K75" s="310">
        <f t="shared" si="8"/>
        <v>3889.0025000000001</v>
      </c>
      <c r="L75" s="311"/>
      <c r="M75" s="313">
        <f t="shared" si="9"/>
        <v>314502.02750000026</v>
      </c>
      <c r="N75" s="194"/>
      <c r="O75" s="194"/>
    </row>
    <row r="76" spans="1:15">
      <c r="A76" s="103">
        <v>69</v>
      </c>
      <c r="B76" s="368" t="s">
        <v>121</v>
      </c>
      <c r="C76" s="330" t="s">
        <v>233</v>
      </c>
      <c r="D76" s="175" t="s">
        <v>221</v>
      </c>
      <c r="E76" s="310"/>
      <c r="F76" s="310"/>
      <c r="G76" s="310">
        <f t="shared" si="5"/>
        <v>0</v>
      </c>
      <c r="H76" s="310">
        <v>4.0199999999999996</v>
      </c>
      <c r="I76" s="310">
        <v>107.46</v>
      </c>
      <c r="J76" s="310">
        <f t="shared" si="6"/>
        <v>431.98919999999993</v>
      </c>
      <c r="K76" s="310">
        <f t="shared" si="8"/>
        <v>431.98919999999993</v>
      </c>
      <c r="L76" s="311"/>
      <c r="M76" s="313">
        <f t="shared" si="9"/>
        <v>314070.03830000025</v>
      </c>
      <c r="N76" s="315"/>
      <c r="O76" s="315"/>
    </row>
    <row r="77" spans="1:15">
      <c r="A77" s="328">
        <v>70</v>
      </c>
      <c r="B77" s="368" t="s">
        <v>121</v>
      </c>
      <c r="C77" s="175" t="s">
        <v>240</v>
      </c>
      <c r="D77" s="351" t="s">
        <v>241</v>
      </c>
      <c r="E77" s="310">
        <v>40.68</v>
      </c>
      <c r="F77" s="310">
        <v>96.83</v>
      </c>
      <c r="G77" s="310">
        <f t="shared" si="5"/>
        <v>3939.0443999999998</v>
      </c>
      <c r="H77" s="351"/>
      <c r="I77" s="351"/>
      <c r="J77" s="310">
        <f t="shared" si="6"/>
        <v>0</v>
      </c>
      <c r="K77" s="310">
        <f t="shared" si="8"/>
        <v>3939.0443999999998</v>
      </c>
      <c r="L77" s="311"/>
      <c r="M77" s="313">
        <f t="shared" si="9"/>
        <v>310130.99390000023</v>
      </c>
      <c r="N77" s="315"/>
      <c r="O77" s="315"/>
    </row>
    <row r="78" spans="1:15">
      <c r="A78" s="103">
        <v>71</v>
      </c>
      <c r="B78" s="368" t="s">
        <v>121</v>
      </c>
      <c r="C78" s="175" t="s">
        <v>238</v>
      </c>
      <c r="D78" s="175" t="s">
        <v>219</v>
      </c>
      <c r="E78" s="310">
        <v>42</v>
      </c>
      <c r="F78" s="310">
        <v>91.77</v>
      </c>
      <c r="G78" s="310">
        <f t="shared" si="5"/>
        <v>3854.3399999999997</v>
      </c>
      <c r="H78" s="310"/>
      <c r="I78" s="310"/>
      <c r="J78" s="310">
        <f t="shared" si="6"/>
        <v>0</v>
      </c>
      <c r="K78" s="310">
        <f t="shared" si="8"/>
        <v>3854.3399999999997</v>
      </c>
      <c r="L78" s="311"/>
      <c r="M78" s="313">
        <f t="shared" si="9"/>
        <v>306276.65390000021</v>
      </c>
      <c r="N78" s="194"/>
      <c r="O78" s="194"/>
    </row>
    <row r="79" spans="1:15">
      <c r="A79" s="103">
        <v>72</v>
      </c>
      <c r="B79" s="368" t="s">
        <v>186</v>
      </c>
      <c r="C79" s="175" t="s">
        <v>231</v>
      </c>
      <c r="D79" s="175" t="s">
        <v>232</v>
      </c>
      <c r="E79" s="310">
        <v>45.55</v>
      </c>
      <c r="F79" s="310">
        <v>92.22</v>
      </c>
      <c r="G79" s="310">
        <f t="shared" si="5"/>
        <v>4200.6210000000001</v>
      </c>
      <c r="H79" s="310"/>
      <c r="I79" s="310"/>
      <c r="J79" s="310">
        <f t="shared" si="6"/>
        <v>0</v>
      </c>
      <c r="K79" s="310">
        <f t="shared" si="8"/>
        <v>4200.6210000000001</v>
      </c>
      <c r="L79" s="311"/>
      <c r="M79" s="313">
        <f t="shared" si="9"/>
        <v>302076.03290000022</v>
      </c>
      <c r="N79" s="315"/>
      <c r="O79" s="315"/>
    </row>
    <row r="80" spans="1:15">
      <c r="A80" s="328">
        <v>73</v>
      </c>
      <c r="B80" s="368" t="s">
        <v>186</v>
      </c>
      <c r="C80" s="175" t="s">
        <v>233</v>
      </c>
      <c r="D80" s="175" t="s">
        <v>221</v>
      </c>
      <c r="E80" s="310"/>
      <c r="F80" s="310"/>
      <c r="G80" s="310">
        <f t="shared" ref="G80:G83" si="10">E80*F80</f>
        <v>0</v>
      </c>
      <c r="H80" s="310">
        <v>35.01</v>
      </c>
      <c r="I80" s="310">
        <v>95.7</v>
      </c>
      <c r="J80" s="310">
        <f t="shared" si="6"/>
        <v>3350.4569999999999</v>
      </c>
      <c r="K80" s="310">
        <f t="shared" si="8"/>
        <v>3350.4569999999999</v>
      </c>
      <c r="L80" s="311"/>
      <c r="M80" s="313">
        <f t="shared" si="9"/>
        <v>298725.57590000023</v>
      </c>
      <c r="N80" s="194"/>
      <c r="O80" s="194"/>
    </row>
    <row r="81" spans="1:15">
      <c r="A81" s="103">
        <v>74</v>
      </c>
      <c r="B81" s="368" t="s">
        <v>114</v>
      </c>
      <c r="C81" s="175" t="s">
        <v>227</v>
      </c>
      <c r="D81" s="175" t="s">
        <v>228</v>
      </c>
      <c r="E81" s="310">
        <v>89.02</v>
      </c>
      <c r="F81" s="310">
        <v>92.19</v>
      </c>
      <c r="G81" s="310">
        <f t="shared" si="10"/>
        <v>8206.7537999999986</v>
      </c>
      <c r="H81" s="310">
        <v>5</v>
      </c>
      <c r="I81" s="310">
        <v>104.03</v>
      </c>
      <c r="J81" s="310">
        <f t="shared" si="6"/>
        <v>520.15</v>
      </c>
      <c r="K81" s="310">
        <f t="shared" si="8"/>
        <v>8726.9037999999982</v>
      </c>
      <c r="L81" s="310"/>
      <c r="M81" s="313">
        <f t="shared" si="9"/>
        <v>289998.67210000026</v>
      </c>
      <c r="N81" s="194"/>
      <c r="O81" s="194"/>
    </row>
    <row r="82" spans="1:15">
      <c r="A82" s="103">
        <v>75</v>
      </c>
      <c r="B82" s="368" t="s">
        <v>114</v>
      </c>
      <c r="C82" s="175" t="s">
        <v>236</v>
      </c>
      <c r="D82" s="175" t="s">
        <v>237</v>
      </c>
      <c r="E82" s="310">
        <v>2239.21</v>
      </c>
      <c r="F82" s="310">
        <v>92.14</v>
      </c>
      <c r="G82" s="310">
        <f t="shared" si="10"/>
        <v>206320.8094</v>
      </c>
      <c r="H82" s="310"/>
      <c r="I82" s="310"/>
      <c r="J82" s="310">
        <f t="shared" si="6"/>
        <v>0</v>
      </c>
      <c r="K82" s="310">
        <f t="shared" si="8"/>
        <v>206320.8094</v>
      </c>
      <c r="L82" s="310"/>
      <c r="M82" s="313">
        <f t="shared" si="9"/>
        <v>83677.86270000026</v>
      </c>
      <c r="N82" s="194"/>
      <c r="O82" s="194"/>
    </row>
    <row r="83" spans="1:15">
      <c r="A83" s="328">
        <v>76</v>
      </c>
      <c r="B83" s="368" t="s">
        <v>187</v>
      </c>
      <c r="C83" s="175"/>
      <c r="D83" s="175"/>
      <c r="E83" s="310"/>
      <c r="F83" s="310"/>
      <c r="G83" s="310">
        <f t="shared" si="10"/>
        <v>0</v>
      </c>
      <c r="H83" s="310"/>
      <c r="I83" s="310"/>
      <c r="J83" s="310">
        <f t="shared" ref="J83:J90" si="11">H83*I83</f>
        <v>0</v>
      </c>
      <c r="K83" s="310">
        <f t="shared" si="8"/>
        <v>0</v>
      </c>
      <c r="L83" s="310"/>
      <c r="M83" s="313">
        <f t="shared" si="9"/>
        <v>83677.86270000026</v>
      </c>
      <c r="N83" s="194"/>
      <c r="O83" s="194"/>
    </row>
    <row r="84" spans="1:15">
      <c r="A84" s="103">
        <v>77</v>
      </c>
      <c r="B84" s="368" t="s">
        <v>188</v>
      </c>
      <c r="C84" s="175" t="s">
        <v>243</v>
      </c>
      <c r="D84" s="175" t="s">
        <v>221</v>
      </c>
      <c r="E84" s="310"/>
      <c r="F84" s="310"/>
      <c r="G84" s="310">
        <f t="shared" ref="G84:G90" si="12">E84*F84</f>
        <v>0</v>
      </c>
      <c r="H84" s="310">
        <v>4.0599999999999996</v>
      </c>
      <c r="I84" s="310">
        <v>107.46</v>
      </c>
      <c r="J84" s="310">
        <f t="shared" si="11"/>
        <v>436.28759999999994</v>
      </c>
      <c r="K84" s="310">
        <f t="shared" si="8"/>
        <v>436.28759999999994</v>
      </c>
      <c r="L84" s="310"/>
      <c r="M84" s="313">
        <f t="shared" si="9"/>
        <v>83241.575100000264</v>
      </c>
      <c r="N84" s="194"/>
      <c r="O84" s="194"/>
    </row>
    <row r="85" spans="1:15">
      <c r="A85" s="103">
        <v>78</v>
      </c>
      <c r="B85" s="368" t="s">
        <v>188</v>
      </c>
      <c r="C85" s="351" t="s">
        <v>238</v>
      </c>
      <c r="D85" s="175" t="s">
        <v>219</v>
      </c>
      <c r="E85" s="310">
        <v>30</v>
      </c>
      <c r="F85" s="310">
        <v>91.77</v>
      </c>
      <c r="G85" s="310">
        <f t="shared" si="12"/>
        <v>2753.1</v>
      </c>
      <c r="H85" s="310"/>
      <c r="I85" s="310"/>
      <c r="J85" s="310">
        <f t="shared" si="11"/>
        <v>0</v>
      </c>
      <c r="K85" s="310">
        <f t="shared" si="8"/>
        <v>2753.1</v>
      </c>
      <c r="L85" s="310"/>
      <c r="M85" s="313">
        <f t="shared" si="9"/>
        <v>80488.475100000258</v>
      </c>
      <c r="N85" s="194"/>
      <c r="O85" s="194"/>
    </row>
    <row r="86" spans="1:15">
      <c r="A86" s="328">
        <v>79</v>
      </c>
      <c r="B86" s="237"/>
      <c r="C86" s="175"/>
      <c r="D86" s="175"/>
      <c r="E86" s="310"/>
      <c r="F86" s="310"/>
      <c r="G86" s="310">
        <f t="shared" si="12"/>
        <v>0</v>
      </c>
      <c r="H86" s="310"/>
      <c r="I86" s="310"/>
      <c r="J86" s="310">
        <f t="shared" si="11"/>
        <v>0</v>
      </c>
      <c r="K86" s="310">
        <f t="shared" si="8"/>
        <v>0</v>
      </c>
      <c r="L86" s="310"/>
      <c r="M86" s="313">
        <f t="shared" si="9"/>
        <v>80488.475100000258</v>
      </c>
      <c r="N86" s="194"/>
      <c r="O86" s="194"/>
    </row>
    <row r="87" spans="1:15">
      <c r="A87" s="103">
        <v>80</v>
      </c>
      <c r="B87" s="237"/>
      <c r="C87" s="110"/>
      <c r="D87" s="175"/>
      <c r="E87" s="310"/>
      <c r="F87" s="310"/>
      <c r="G87" s="310">
        <f t="shared" si="12"/>
        <v>0</v>
      </c>
      <c r="H87" s="310"/>
      <c r="I87" s="310"/>
      <c r="J87" s="310">
        <f t="shared" si="11"/>
        <v>0</v>
      </c>
      <c r="K87" s="310"/>
      <c r="L87" s="310"/>
      <c r="M87" s="313">
        <f t="shared" si="9"/>
        <v>80488.475100000258</v>
      </c>
      <c r="N87" s="315"/>
      <c r="O87" s="315"/>
    </row>
    <row r="88" spans="1:15">
      <c r="A88" s="103">
        <v>81</v>
      </c>
      <c r="B88" s="237"/>
      <c r="C88" s="245"/>
      <c r="D88" s="110"/>
      <c r="E88" s="310"/>
      <c r="F88" s="310"/>
      <c r="G88" s="310">
        <f t="shared" si="12"/>
        <v>0</v>
      </c>
      <c r="H88" s="310"/>
      <c r="I88" s="310"/>
      <c r="J88" s="310">
        <f t="shared" si="11"/>
        <v>0</v>
      </c>
      <c r="K88" s="310"/>
      <c r="L88" s="310"/>
      <c r="M88" s="313">
        <f t="shared" si="9"/>
        <v>80488.475100000258</v>
      </c>
      <c r="N88" s="194"/>
      <c r="O88" s="194"/>
    </row>
    <row r="89" spans="1:15">
      <c r="A89" s="328">
        <v>82</v>
      </c>
      <c r="B89" s="237"/>
      <c r="C89" s="17"/>
      <c r="D89" s="245"/>
      <c r="E89" s="310"/>
      <c r="F89" s="310"/>
      <c r="G89" s="310">
        <f t="shared" si="12"/>
        <v>0</v>
      </c>
      <c r="H89" s="310"/>
      <c r="I89" s="310"/>
      <c r="J89" s="310">
        <f t="shared" si="11"/>
        <v>0</v>
      </c>
      <c r="K89" s="310"/>
      <c r="L89" s="310"/>
      <c r="M89" s="313">
        <f t="shared" si="9"/>
        <v>80488.475100000258</v>
      </c>
      <c r="N89" s="194"/>
      <c r="O89" s="194"/>
    </row>
    <row r="90" spans="1:15">
      <c r="A90" s="103">
        <v>83</v>
      </c>
      <c r="B90" s="17"/>
      <c r="D90" s="17"/>
      <c r="E90" s="310">
        <v>0</v>
      </c>
      <c r="F90" s="310"/>
      <c r="G90" s="310">
        <f t="shared" si="12"/>
        <v>0</v>
      </c>
      <c r="H90" s="310"/>
      <c r="I90" s="310"/>
      <c r="J90" s="310">
        <f t="shared" si="11"/>
        <v>0</v>
      </c>
      <c r="K90" s="310"/>
      <c r="L90" s="310"/>
      <c r="M90" s="313">
        <f t="shared" si="9"/>
        <v>80488.475100000258</v>
      </c>
      <c r="N90" s="194"/>
      <c r="O90" s="194"/>
    </row>
  </sheetData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28"/>
  <sheetViews>
    <sheetView topLeftCell="A16" workbookViewId="0">
      <selection activeCell="A26" sqref="A26:I28"/>
    </sheetView>
  </sheetViews>
  <sheetFormatPr defaultRowHeight="15"/>
  <cols>
    <col min="2" max="2" width="11.5703125" customWidth="1"/>
    <col min="3" max="3" width="36.5703125" bestFit="1" customWidth="1"/>
    <col min="4" max="4" width="40.85546875" bestFit="1" customWidth="1"/>
    <col min="5" max="5" width="15.7109375" customWidth="1"/>
    <col min="7" max="7" width="22.42578125" customWidth="1"/>
    <col min="8" max="8" width="22.140625" customWidth="1"/>
    <col min="9" max="9" width="17.7109375" bestFit="1" customWidth="1"/>
    <col min="10" max="10" width="10.42578125" bestFit="1" customWidth="1"/>
    <col min="11" max="11" width="15.42578125" customWidth="1"/>
    <col min="12" max="12" width="17.7109375" customWidth="1"/>
    <col min="13" max="13" width="12.7109375" customWidth="1"/>
    <col min="14" max="14" width="15.140625" customWidth="1"/>
    <col min="15" max="15" width="20.5703125" customWidth="1"/>
  </cols>
  <sheetData>
    <row r="1" spans="1:15" ht="15.75">
      <c r="A1" s="470" t="s">
        <v>269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</row>
    <row r="2" spans="1:15">
      <c r="A2" s="70" t="s">
        <v>122</v>
      </c>
      <c r="B2" s="89" t="s">
        <v>123</v>
      </c>
      <c r="C2" s="89" t="s">
        <v>212</v>
      </c>
      <c r="D2" s="89" t="s">
        <v>213</v>
      </c>
      <c r="E2" s="89" t="s">
        <v>126</v>
      </c>
      <c r="F2" s="89" t="s">
        <v>127</v>
      </c>
      <c r="G2" s="96" t="s">
        <v>128</v>
      </c>
      <c r="H2" s="89" t="s">
        <v>129</v>
      </c>
      <c r="I2" s="89" t="s">
        <v>127</v>
      </c>
      <c r="J2" s="96" t="s">
        <v>128</v>
      </c>
      <c r="K2" s="70" t="s">
        <v>130</v>
      </c>
      <c r="L2" s="97" t="s">
        <v>214</v>
      </c>
      <c r="M2" s="91" t="s">
        <v>138</v>
      </c>
      <c r="N2" s="89" t="s">
        <v>133</v>
      </c>
      <c r="O2" s="89" t="s">
        <v>215</v>
      </c>
    </row>
    <row r="3" spans="1:15">
      <c r="A3" s="466" t="s">
        <v>134</v>
      </c>
      <c r="B3" s="466"/>
      <c r="C3" s="466"/>
      <c r="D3" s="466"/>
      <c r="E3" s="466"/>
      <c r="F3" s="466"/>
      <c r="G3" s="466"/>
      <c r="H3" s="466"/>
      <c r="I3" s="466"/>
      <c r="J3" s="466"/>
      <c r="K3" s="22">
        <v>939685.75</v>
      </c>
      <c r="L3" s="176"/>
      <c r="M3" s="238">
        <f>+K3</f>
        <v>939685.75</v>
      </c>
      <c r="N3" s="100"/>
      <c r="O3" s="100"/>
    </row>
    <row r="4" spans="1:15">
      <c r="A4" s="379">
        <v>1</v>
      </c>
      <c r="B4" s="204" t="s">
        <v>270</v>
      </c>
      <c r="C4" s="17" t="s">
        <v>271</v>
      </c>
      <c r="D4" s="395" t="s">
        <v>272</v>
      </c>
      <c r="E4" s="204">
        <v>9406.35</v>
      </c>
      <c r="F4" s="204">
        <v>95.68</v>
      </c>
      <c r="G4" s="204">
        <v>900000</v>
      </c>
      <c r="H4" s="204"/>
      <c r="I4" s="204"/>
      <c r="J4" s="204"/>
      <c r="K4" s="42">
        <f>G4+J4</f>
        <v>900000</v>
      </c>
      <c r="L4" s="51"/>
      <c r="M4" s="421">
        <f>SUM(M3+L4-K4)</f>
        <v>39685.75</v>
      </c>
      <c r="N4" s="100"/>
      <c r="O4" s="100"/>
    </row>
    <row r="5" spans="1:15">
      <c r="A5" s="103">
        <v>2</v>
      </c>
      <c r="B5" s="204" t="s">
        <v>270</v>
      </c>
      <c r="C5" s="17" t="s">
        <v>273</v>
      </c>
      <c r="D5" s="395" t="s">
        <v>274</v>
      </c>
      <c r="E5" s="42">
        <v>120</v>
      </c>
      <c r="F5" s="42">
        <v>92.02</v>
      </c>
      <c r="G5" s="42">
        <v>11042.4</v>
      </c>
      <c r="H5" s="42"/>
      <c r="I5" s="42"/>
      <c r="J5" s="42"/>
      <c r="K5" s="42">
        <f>G5+J5</f>
        <v>11042.4</v>
      </c>
      <c r="L5" s="51"/>
      <c r="M5" s="421">
        <f>SUM(M4+L5-K5)</f>
        <v>28643.35</v>
      </c>
      <c r="N5" s="17"/>
      <c r="O5" s="17"/>
    </row>
    <row r="6" spans="1:15">
      <c r="A6" s="103">
        <v>3</v>
      </c>
      <c r="B6" s="204" t="s">
        <v>275</v>
      </c>
      <c r="C6" s="17" t="s">
        <v>276</v>
      </c>
      <c r="D6" s="395" t="s">
        <v>274</v>
      </c>
      <c r="E6" s="42">
        <v>190</v>
      </c>
      <c r="F6" s="42">
        <v>92.17</v>
      </c>
      <c r="G6" s="42">
        <v>17512.3</v>
      </c>
      <c r="H6" s="42">
        <v>20.010000000000002</v>
      </c>
      <c r="I6" s="42">
        <v>104.02</v>
      </c>
      <c r="J6" s="42">
        <v>2081.6</v>
      </c>
      <c r="K6" s="42">
        <f>G6+J6</f>
        <v>19593.899999999998</v>
      </c>
      <c r="L6" s="51"/>
      <c r="M6" s="421">
        <f t="shared" ref="M6:M28" si="0">SUM(M5+L6-K6)</f>
        <v>9049.4500000000007</v>
      </c>
      <c r="N6" s="17"/>
      <c r="O6" s="17"/>
    </row>
    <row r="7" spans="1:15">
      <c r="A7" s="379">
        <v>4</v>
      </c>
      <c r="B7" s="204" t="s">
        <v>277</v>
      </c>
      <c r="C7" s="17" t="s">
        <v>276</v>
      </c>
      <c r="D7" s="395" t="s">
        <v>274</v>
      </c>
      <c r="E7" s="42">
        <v>85</v>
      </c>
      <c r="F7" s="42">
        <v>92.17</v>
      </c>
      <c r="G7" s="336">
        <v>7834.45</v>
      </c>
      <c r="H7" s="42"/>
      <c r="I7" s="42"/>
      <c r="J7" s="42"/>
      <c r="K7" s="42">
        <f t="shared" ref="K7:K8" si="1">G7+J7</f>
        <v>7834.45</v>
      </c>
      <c r="L7" s="336">
        <v>133800</v>
      </c>
      <c r="M7" s="421">
        <f t="shared" si="0"/>
        <v>135015</v>
      </c>
      <c r="N7" s="17"/>
      <c r="O7" s="17"/>
    </row>
    <row r="8" spans="1:15">
      <c r="A8" s="103">
        <v>5</v>
      </c>
      <c r="B8" s="204" t="s">
        <v>278</v>
      </c>
      <c r="C8" s="17" t="s">
        <v>276</v>
      </c>
      <c r="D8" s="395" t="s">
        <v>274</v>
      </c>
      <c r="E8" s="42">
        <v>325</v>
      </c>
      <c r="F8" s="42">
        <v>92.17</v>
      </c>
      <c r="G8" s="336">
        <v>29955.25</v>
      </c>
      <c r="H8" s="42"/>
      <c r="I8" s="42"/>
      <c r="J8" s="42"/>
      <c r="K8" s="42">
        <f t="shared" si="1"/>
        <v>29955.25</v>
      </c>
      <c r="L8" s="336"/>
      <c r="M8" s="421">
        <f t="shared" si="0"/>
        <v>105059.75</v>
      </c>
      <c r="N8" s="17"/>
      <c r="O8" s="17"/>
    </row>
    <row r="9" spans="1:15">
      <c r="A9" s="103">
        <v>6</v>
      </c>
      <c r="B9" s="204" t="s">
        <v>279</v>
      </c>
      <c r="C9" s="17" t="s">
        <v>280</v>
      </c>
      <c r="D9" s="395" t="s">
        <v>281</v>
      </c>
      <c r="E9" s="42">
        <v>328.48</v>
      </c>
      <c r="F9" s="42">
        <v>91.33</v>
      </c>
      <c r="G9" s="42">
        <v>30000</v>
      </c>
      <c r="H9" s="42"/>
      <c r="I9" s="42"/>
      <c r="J9" s="42"/>
      <c r="K9" s="42">
        <f t="shared" ref="K7:K28" si="2">G9+J9</f>
        <v>30000</v>
      </c>
      <c r="L9" s="336"/>
      <c r="M9" s="421">
        <f t="shared" si="0"/>
        <v>75059.75</v>
      </c>
      <c r="N9" s="17"/>
      <c r="O9" s="17"/>
    </row>
    <row r="10" spans="1:15">
      <c r="A10" s="379">
        <v>7</v>
      </c>
      <c r="B10" s="204" t="s">
        <v>282</v>
      </c>
      <c r="C10" s="17" t="s">
        <v>283</v>
      </c>
      <c r="D10" s="395" t="s">
        <v>274</v>
      </c>
      <c r="E10" s="42">
        <v>70</v>
      </c>
      <c r="F10" s="42">
        <v>91.51</v>
      </c>
      <c r="G10" s="42">
        <v>6405.7</v>
      </c>
      <c r="H10" s="42"/>
      <c r="I10" s="42"/>
      <c r="J10" s="42"/>
      <c r="K10" s="42">
        <f t="shared" si="2"/>
        <v>6405.7</v>
      </c>
      <c r="L10" s="336"/>
      <c r="M10" s="421">
        <f t="shared" si="0"/>
        <v>68654.05</v>
      </c>
      <c r="N10" s="17"/>
      <c r="O10" s="17"/>
    </row>
    <row r="11" spans="1:15">
      <c r="A11" s="103">
        <v>8</v>
      </c>
      <c r="B11" s="204" t="s">
        <v>176</v>
      </c>
      <c r="C11" s="388" t="s">
        <v>283</v>
      </c>
      <c r="D11" s="395" t="s">
        <v>274</v>
      </c>
      <c r="E11" s="42">
        <v>0</v>
      </c>
      <c r="F11" s="42">
        <v>0</v>
      </c>
      <c r="G11" s="42">
        <v>0</v>
      </c>
      <c r="H11" s="42">
        <v>15</v>
      </c>
      <c r="I11" s="42">
        <v>103.44</v>
      </c>
      <c r="J11" s="42">
        <v>1551.6</v>
      </c>
      <c r="K11" s="42">
        <f t="shared" si="2"/>
        <v>1551.6</v>
      </c>
      <c r="L11" s="17"/>
      <c r="M11" s="421">
        <f t="shared" si="0"/>
        <v>67102.45</v>
      </c>
      <c r="N11" s="17"/>
      <c r="O11" s="17"/>
    </row>
    <row r="12" spans="1:15">
      <c r="A12" s="103">
        <v>9</v>
      </c>
      <c r="B12" s="204" t="s">
        <v>177</v>
      </c>
      <c r="C12" s="17" t="s">
        <v>283</v>
      </c>
      <c r="D12" s="395" t="s">
        <v>274</v>
      </c>
      <c r="E12" s="42">
        <v>437.11</v>
      </c>
      <c r="F12" s="42">
        <v>91.51</v>
      </c>
      <c r="G12" s="42">
        <v>40000</v>
      </c>
      <c r="H12" s="42"/>
      <c r="I12" s="42"/>
      <c r="J12" s="42"/>
      <c r="K12" s="42">
        <f t="shared" si="2"/>
        <v>40000</v>
      </c>
      <c r="L12" s="51">
        <v>400000</v>
      </c>
      <c r="M12" s="421">
        <f t="shared" si="0"/>
        <v>427102.45</v>
      </c>
      <c r="N12" s="17"/>
      <c r="O12" s="17"/>
    </row>
    <row r="13" spans="1:15">
      <c r="A13" s="379">
        <v>10</v>
      </c>
      <c r="B13" s="204" t="s">
        <v>177</v>
      </c>
      <c r="C13" s="388" t="s">
        <v>284</v>
      </c>
      <c r="D13" s="395" t="s">
        <v>274</v>
      </c>
      <c r="E13" s="42">
        <v>36.6</v>
      </c>
      <c r="F13" s="42">
        <v>95.64</v>
      </c>
      <c r="G13" s="42">
        <v>3500</v>
      </c>
      <c r="H13" s="42"/>
      <c r="I13" s="42"/>
      <c r="J13" s="42"/>
      <c r="K13" s="42">
        <f t="shared" si="2"/>
        <v>3500</v>
      </c>
      <c r="L13" s="51">
        <v>1000000</v>
      </c>
      <c r="M13" s="421">
        <f t="shared" si="0"/>
        <v>1423602.45</v>
      </c>
      <c r="N13" s="17"/>
      <c r="O13" s="17"/>
    </row>
    <row r="14" spans="1:15">
      <c r="A14" s="103">
        <v>11</v>
      </c>
      <c r="B14" s="204" t="s">
        <v>120</v>
      </c>
      <c r="C14" s="388" t="s">
        <v>285</v>
      </c>
      <c r="D14" s="395" t="s">
        <v>286</v>
      </c>
      <c r="E14" s="42">
        <v>4212.71</v>
      </c>
      <c r="F14" s="42">
        <v>91.39</v>
      </c>
      <c r="G14" s="42">
        <v>385000</v>
      </c>
      <c r="H14" s="42"/>
      <c r="I14" s="42"/>
      <c r="J14" s="42"/>
      <c r="K14" s="42">
        <f t="shared" si="2"/>
        <v>385000</v>
      </c>
      <c r="L14" s="51"/>
      <c r="M14" s="421">
        <f t="shared" si="0"/>
        <v>1038602.45</v>
      </c>
      <c r="N14" s="17"/>
      <c r="O14" s="17"/>
    </row>
    <row r="15" spans="1:15">
      <c r="A15" s="103">
        <v>12</v>
      </c>
      <c r="B15" s="204" t="s">
        <v>110</v>
      </c>
      <c r="C15" s="388" t="s">
        <v>287</v>
      </c>
      <c r="D15" s="395" t="s">
        <v>274</v>
      </c>
      <c r="E15" s="42">
        <v>7651.98</v>
      </c>
      <c r="F15" s="42">
        <v>91.48</v>
      </c>
      <c r="G15" s="42">
        <v>700000</v>
      </c>
      <c r="H15" s="42">
        <v>2901.06</v>
      </c>
      <c r="I15" s="42">
        <v>103.41</v>
      </c>
      <c r="J15" s="42">
        <v>300000</v>
      </c>
      <c r="K15" s="42">
        <f t="shared" si="2"/>
        <v>1000000</v>
      </c>
      <c r="L15" s="51"/>
      <c r="M15" s="421">
        <f t="shared" si="0"/>
        <v>38602.449999999953</v>
      </c>
      <c r="N15" s="100"/>
      <c r="O15" s="100"/>
    </row>
    <row r="16" spans="1:15">
      <c r="A16" s="379">
        <v>13</v>
      </c>
      <c r="B16" s="204" t="s">
        <v>107</v>
      </c>
      <c r="C16" s="17" t="s">
        <v>280</v>
      </c>
      <c r="D16" s="395" t="s">
        <v>286</v>
      </c>
      <c r="E16" s="336">
        <v>2249.13</v>
      </c>
      <c r="F16" s="336">
        <v>91.33</v>
      </c>
      <c r="G16" s="42">
        <v>205413</v>
      </c>
      <c r="H16" s="42"/>
      <c r="I16" s="42"/>
      <c r="J16" s="42"/>
      <c r="K16" s="42">
        <f t="shared" si="2"/>
        <v>205413</v>
      </c>
      <c r="L16" s="51">
        <v>8300000</v>
      </c>
      <c r="M16" s="421">
        <f t="shared" si="0"/>
        <v>8133189.4500000002</v>
      </c>
      <c r="N16" s="100"/>
      <c r="O16" s="100"/>
    </row>
    <row r="17" spans="1:15">
      <c r="A17" s="17">
        <v>14</v>
      </c>
      <c r="B17" s="204" t="s">
        <v>107</v>
      </c>
      <c r="C17" t="s">
        <v>271</v>
      </c>
      <c r="D17" s="422" t="s">
        <v>288</v>
      </c>
      <c r="E17" s="337">
        <v>81033.67</v>
      </c>
      <c r="F17" s="337">
        <v>95.68</v>
      </c>
      <c r="G17" s="189">
        <v>7753305</v>
      </c>
      <c r="H17" s="423"/>
      <c r="I17" s="423"/>
      <c r="J17" s="423"/>
      <c r="K17" s="189">
        <f t="shared" si="2"/>
        <v>7753305</v>
      </c>
      <c r="L17" s="424"/>
      <c r="M17" s="238">
        <f t="shared" si="0"/>
        <v>379884.45000000019</v>
      </c>
      <c r="N17" s="355"/>
      <c r="O17" s="100"/>
    </row>
    <row r="18" spans="1:15">
      <c r="A18" s="17">
        <v>15</v>
      </c>
      <c r="B18" s="204" t="s">
        <v>111</v>
      </c>
      <c r="C18" s="388" t="s">
        <v>287</v>
      </c>
      <c r="D18" s="395" t="s">
        <v>274</v>
      </c>
      <c r="E18" s="224">
        <v>415.8</v>
      </c>
      <c r="F18" s="224">
        <v>91.48</v>
      </c>
      <c r="G18" s="42">
        <v>38037</v>
      </c>
      <c r="H18" s="224"/>
      <c r="I18" s="224"/>
      <c r="J18" s="224"/>
      <c r="K18" s="189">
        <f t="shared" si="2"/>
        <v>38037</v>
      </c>
      <c r="L18" s="354"/>
      <c r="M18" s="238">
        <f t="shared" si="0"/>
        <v>341847.45000000019</v>
      </c>
      <c r="N18" s="355"/>
      <c r="O18" s="100"/>
    </row>
    <row r="19" spans="1:15">
      <c r="A19" s="100">
        <v>16</v>
      </c>
      <c r="B19" s="204" t="s">
        <v>111</v>
      </c>
      <c r="C19" s="388" t="s">
        <v>276</v>
      </c>
      <c r="D19" s="395" t="s">
        <v>274</v>
      </c>
      <c r="E19" s="42">
        <v>85</v>
      </c>
      <c r="F19" s="42">
        <v>92.17</v>
      </c>
      <c r="G19" s="224">
        <v>7834.45</v>
      </c>
      <c r="H19" s="42">
        <v>20</v>
      </c>
      <c r="I19" s="42">
        <v>104.02</v>
      </c>
      <c r="J19" s="42">
        <v>2080.4</v>
      </c>
      <c r="K19" s="189">
        <f t="shared" si="2"/>
        <v>9914.85</v>
      </c>
      <c r="L19" s="51"/>
      <c r="M19" s="238">
        <f t="shared" si="0"/>
        <v>331932.60000000021</v>
      </c>
      <c r="N19" s="17"/>
      <c r="O19" s="17"/>
    </row>
    <row r="20" spans="1:15">
      <c r="A20" s="17">
        <v>17</v>
      </c>
      <c r="B20" s="248" t="s">
        <v>179</v>
      </c>
      <c r="C20" s="387" t="s">
        <v>273</v>
      </c>
      <c r="D20" s="395" t="s">
        <v>274</v>
      </c>
      <c r="E20" s="336">
        <v>47</v>
      </c>
      <c r="F20" s="336">
        <v>92.02</v>
      </c>
      <c r="G20" s="42">
        <v>4324.9399999999996</v>
      </c>
      <c r="H20" s="42"/>
      <c r="I20" s="42"/>
      <c r="J20" s="42"/>
      <c r="K20" s="189">
        <f t="shared" si="2"/>
        <v>4324.9399999999996</v>
      </c>
      <c r="L20" s="51"/>
      <c r="M20" s="238">
        <f t="shared" si="0"/>
        <v>327607.66000000021</v>
      </c>
      <c r="N20" s="17"/>
      <c r="O20" s="17"/>
    </row>
    <row r="21" spans="1:15">
      <c r="A21" s="17">
        <v>18</v>
      </c>
      <c r="B21" s="248" t="s">
        <v>180</v>
      </c>
      <c r="C21" s="389" t="s">
        <v>273</v>
      </c>
      <c r="D21" s="395" t="s">
        <v>274</v>
      </c>
      <c r="E21" s="337">
        <v>170</v>
      </c>
      <c r="F21" s="336">
        <v>92.02</v>
      </c>
      <c r="G21" s="42">
        <v>15643.4</v>
      </c>
      <c r="H21" s="42"/>
      <c r="I21" s="42"/>
      <c r="J21" s="42"/>
      <c r="K21" s="189">
        <f t="shared" si="2"/>
        <v>15643.4</v>
      </c>
      <c r="L21" s="51"/>
      <c r="M21" s="238">
        <f t="shared" si="0"/>
        <v>311964.26000000018</v>
      </c>
      <c r="N21" s="17"/>
      <c r="O21" s="17"/>
    </row>
    <row r="22" spans="1:15">
      <c r="A22" s="100">
        <v>19</v>
      </c>
      <c r="B22" s="248" t="s">
        <v>181</v>
      </c>
      <c r="C22" s="388" t="s">
        <v>289</v>
      </c>
      <c r="D22" s="395" t="s">
        <v>274</v>
      </c>
      <c r="E22" s="42">
        <v>400</v>
      </c>
      <c r="F22" s="42">
        <v>97.76</v>
      </c>
      <c r="G22" s="42">
        <v>39104</v>
      </c>
      <c r="H22" s="42"/>
      <c r="I22" s="42"/>
      <c r="J22" s="42"/>
      <c r="K22" s="189">
        <f t="shared" si="2"/>
        <v>39104</v>
      </c>
      <c r="L22" s="51"/>
      <c r="M22" s="238">
        <f t="shared" si="0"/>
        <v>272860.26000000018</v>
      </c>
      <c r="N22" s="17"/>
      <c r="O22" s="17"/>
    </row>
    <row r="23" spans="1:15">
      <c r="A23" s="100">
        <v>20</v>
      </c>
      <c r="B23" s="355" t="s">
        <v>182</v>
      </c>
      <c r="C23" s="100" t="s">
        <v>276</v>
      </c>
      <c r="D23" s="446" t="s">
        <v>274</v>
      </c>
      <c r="E23" s="100">
        <v>160</v>
      </c>
      <c r="F23" s="100">
        <v>92.17</v>
      </c>
      <c r="G23" s="100">
        <v>14747.02</v>
      </c>
      <c r="H23" s="100"/>
      <c r="I23" s="100"/>
      <c r="J23" s="100"/>
      <c r="K23" s="423">
        <f t="shared" si="2"/>
        <v>14747.02</v>
      </c>
      <c r="L23" s="379"/>
      <c r="M23" s="238">
        <f t="shared" si="0"/>
        <v>258113.24000000019</v>
      </c>
      <c r="N23" s="355"/>
      <c r="O23" s="100"/>
    </row>
    <row r="24" spans="1:15">
      <c r="A24" s="100">
        <v>21</v>
      </c>
      <c r="B24" s="100" t="s">
        <v>185</v>
      </c>
      <c r="C24" s="389" t="s">
        <v>273</v>
      </c>
      <c r="D24" s="446" t="s">
        <v>274</v>
      </c>
      <c r="E24" s="100">
        <v>100</v>
      </c>
      <c r="F24" s="100">
        <v>92.02</v>
      </c>
      <c r="G24" s="100">
        <v>9202</v>
      </c>
      <c r="H24" s="100"/>
      <c r="I24" s="100"/>
      <c r="J24" s="100"/>
      <c r="K24" s="224">
        <f t="shared" si="2"/>
        <v>9202</v>
      </c>
      <c r="L24" s="100"/>
      <c r="M24" s="238">
        <f t="shared" si="0"/>
        <v>248911.24000000019</v>
      </c>
      <c r="N24" s="100"/>
      <c r="O24" s="100"/>
    </row>
    <row r="25" spans="1:15">
      <c r="A25" s="100">
        <v>22</v>
      </c>
      <c r="B25" s="100" t="s">
        <v>186</v>
      </c>
      <c r="C25" s="100" t="s">
        <v>290</v>
      </c>
      <c r="D25" s="446" t="s">
        <v>274</v>
      </c>
      <c r="E25" s="100">
        <v>109.26</v>
      </c>
      <c r="F25" s="100">
        <v>95.64</v>
      </c>
      <c r="G25" s="100">
        <v>10450</v>
      </c>
      <c r="H25" s="100"/>
      <c r="I25" s="100"/>
      <c r="J25" s="100"/>
      <c r="K25" s="224">
        <f t="shared" si="2"/>
        <v>10450</v>
      </c>
      <c r="L25" s="100"/>
      <c r="M25" s="238">
        <f t="shared" si="0"/>
        <v>238461.24000000019</v>
      </c>
      <c r="N25" s="100"/>
      <c r="O25" s="100"/>
    </row>
    <row r="26" spans="1:15">
      <c r="A26" s="17">
        <v>23</v>
      </c>
      <c r="B26" s="17" t="s">
        <v>116</v>
      </c>
      <c r="C26" s="17" t="s">
        <v>291</v>
      </c>
      <c r="D26" s="395" t="s">
        <v>274</v>
      </c>
      <c r="E26" s="17">
        <v>39.01</v>
      </c>
      <c r="F26" s="17">
        <v>90.99</v>
      </c>
      <c r="G26" s="17">
        <v>3549.51</v>
      </c>
      <c r="H26" s="17"/>
      <c r="I26" s="451"/>
      <c r="J26" s="248"/>
      <c r="K26" s="42">
        <f t="shared" si="2"/>
        <v>3549.51</v>
      </c>
      <c r="L26" s="17"/>
      <c r="M26" s="452">
        <f t="shared" si="0"/>
        <v>234911.73000000019</v>
      </c>
      <c r="N26" s="17"/>
      <c r="O26" s="17"/>
    </row>
    <row r="27" spans="1:15">
      <c r="A27" s="17">
        <v>24</v>
      </c>
      <c r="B27" s="17" t="s">
        <v>189</v>
      </c>
      <c r="C27" s="336" t="s">
        <v>289</v>
      </c>
      <c r="D27" s="395" t="s">
        <v>274</v>
      </c>
      <c r="E27" s="336">
        <v>200</v>
      </c>
      <c r="F27" s="336">
        <v>97.76</v>
      </c>
      <c r="G27" s="336">
        <v>19552</v>
      </c>
      <c r="H27" s="17"/>
      <c r="I27" s="17"/>
      <c r="J27" s="248"/>
      <c r="K27" s="42">
        <f t="shared" si="2"/>
        <v>19552</v>
      </c>
      <c r="L27" s="17"/>
      <c r="M27" s="452">
        <f t="shared" si="0"/>
        <v>215359.73000000019</v>
      </c>
      <c r="N27" s="17"/>
      <c r="O27" s="17"/>
    </row>
    <row r="28" spans="1:15">
      <c r="A28" s="17">
        <v>25</v>
      </c>
      <c r="B28" s="17" t="s">
        <v>189</v>
      </c>
      <c r="C28" s="336" t="s">
        <v>273</v>
      </c>
      <c r="D28" s="395" t="s">
        <v>274</v>
      </c>
      <c r="E28" s="336">
        <v>200</v>
      </c>
      <c r="F28" s="336">
        <v>92.02</v>
      </c>
      <c r="G28" s="336">
        <v>18404</v>
      </c>
      <c r="H28" s="17"/>
      <c r="I28" s="17"/>
      <c r="J28" s="248"/>
      <c r="K28" s="42">
        <f t="shared" si="2"/>
        <v>18404</v>
      </c>
      <c r="L28" s="17"/>
      <c r="M28" s="452">
        <f t="shared" si="0"/>
        <v>196955.73000000019</v>
      </c>
      <c r="N28" s="17"/>
      <c r="O28" s="17"/>
    </row>
  </sheetData>
  <mergeCells count="2">
    <mergeCell ref="A1:O1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2026-10-07T04:54:14Z</dcterms:modified>
  <cp:category/>
  <cp:contentStatus/>
</cp:coreProperties>
</file>