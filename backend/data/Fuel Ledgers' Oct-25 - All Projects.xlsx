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860" documentId="8_{21E78461-8472-4FC4-9B9A-C4551723630E}" xr6:coauthVersionLast="47" xr6:coauthVersionMax="47" xr10:uidLastSave="{C7BD2F67-4BA8-4CBD-BD81-88B668701BD8}"/>
  <bookViews>
    <workbookView xWindow="-60" yWindow="-60" windowWidth="15480" windowHeight="11640" firstSheet="40" activeTab="40" xr2:uid="{00000000-000D-0000-FFFF-FFFF00000000}"/>
  </bookViews>
  <sheets>
    <sheet name="Oct-25 " sheetId="56" r:id="rId1"/>
    <sheet name="Sheet2" sheetId="67" r:id="rId2"/>
    <sheet name="Khammam-1" sheetId="50" r:id="rId3"/>
    <sheet name="Khammam-2" sheetId="47" r:id="rId4"/>
    <sheet name="Jedcherla -1" sheetId="18" r:id="rId5"/>
    <sheet name="Jedcharla-2" sheetId="54" r:id="rId6"/>
    <sheet name="Devarakhadra" sheetId="59" r:id="rId7"/>
    <sheet name="Devarakhadra-2" sheetId="64" r:id="rId8"/>
    <sheet name="Devarakhadra-3" sheetId="70" r:id="rId9"/>
    <sheet name="Dindi" sheetId="58" r:id="rId10"/>
    <sheet name="Amalapuram" sheetId="65" r:id="rId11"/>
    <sheet name="Madana palli" sheetId="71" r:id="rId12"/>
    <sheet name="Kadur" sheetId="7" r:id="rId13"/>
    <sheet name="Hosadurga" sheetId="1" r:id="rId14"/>
    <sheet name="Hosadurga -2" sheetId="52" r:id="rId15"/>
    <sheet name="YG Gudda " sheetId="2" r:id="rId16"/>
    <sheet name="YG Gudda-2" sheetId="62" r:id="rId17"/>
    <sheet name="Hiriyur(VJNL)" sheetId="3" r:id="rId18"/>
    <sheet name="Chellakere (KUWSDB)" sheetId="20" r:id="rId19"/>
    <sheet name="Chellakere -2" sheetId="68" r:id="rId20"/>
    <sheet name="Malebenur(KUWSDB)" sheetId="16" r:id="rId21"/>
    <sheet name="Molakamuru" sheetId="63" r:id="rId22"/>
    <sheet name="Haveri" sheetId="15" r:id="rId23"/>
    <sheet name="Guttal" sheetId="36" r:id="rId24"/>
    <sheet name="Rattihali" sheetId="37" r:id="rId25"/>
    <sheet name="Gajendragada" sheetId="12" r:id="rId26"/>
    <sheet name=" Talikote" sheetId="26" r:id="rId27"/>
    <sheet name="Chadchan" sheetId="9" r:id="rId28"/>
    <sheet name="Sindagi" sheetId="33" r:id="rId29"/>
    <sheet name="Alemela" sheetId="35" r:id="rId30"/>
    <sheet name="Nalatwad" sheetId="51" r:id="rId31"/>
    <sheet name="Muddebihal" sheetId="34" r:id="rId32"/>
    <sheet name="Muddebhihal-2" sheetId="69" r:id="rId33"/>
    <sheet name="Khanapur" sheetId="24" r:id="rId34"/>
    <sheet name="Munavali-2" sheetId="61" r:id="rId35"/>
    <sheet name="Ugar,Khagwad,Kudichi" sheetId="11" r:id="rId36"/>
    <sheet name="Borgaon" sheetId="10" r:id="rId37"/>
    <sheet name="Kabbur" sheetId="40" r:id="rId38"/>
    <sheet name="kumta" sheetId="25" r:id="rId39"/>
    <sheet name="Jalgaon" sheetId="22" r:id="rId40"/>
    <sheet name="MKBD" sheetId="14" r:id="rId41"/>
    <sheet name="Gokak Dharwad PKG 3" sheetId="41" r:id="rId42"/>
    <sheet name="Ankalgi" sheetId="60" r:id="rId43"/>
    <sheet name=" Shankeshwar" sheetId="57" r:id="rId44"/>
    <sheet name="Srirangapatna" sheetId="19" r:id="rId45"/>
    <sheet name="BPCL March 25" sheetId="44" r:id="rId46"/>
    <sheet name=" HPCL March 2025" sheetId="45" r:id="rId47"/>
  </sheets>
  <definedNames>
    <definedName name="_xlnm.Print_Area" localSheetId="13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8" l="1"/>
  <c r="G17" i="35"/>
  <c r="K17" i="35"/>
  <c r="K18" i="45"/>
  <c r="M15" i="45"/>
  <c r="M16" i="45"/>
  <c r="M17" i="45"/>
  <c r="M18" i="45"/>
  <c r="M19" i="45"/>
  <c r="M20" i="45"/>
  <c r="M21" i="45"/>
  <c r="J12" i="45"/>
  <c r="J13" i="45"/>
  <c r="J14" i="45"/>
  <c r="J15" i="45"/>
  <c r="J17" i="45"/>
  <c r="J18" i="45"/>
  <c r="G18" i="45"/>
  <c r="G17" i="45"/>
  <c r="K60" i="44"/>
  <c r="K57" i="44"/>
  <c r="K58" i="44"/>
  <c r="J59" i="44"/>
  <c r="J32" i="7"/>
  <c r="J33" i="7"/>
  <c r="J34" i="7"/>
  <c r="L36" i="15"/>
  <c r="K36" i="15"/>
  <c r="J36" i="15"/>
  <c r="H36" i="15"/>
  <c r="G36" i="15"/>
  <c r="E36" i="15"/>
  <c r="M35" i="15"/>
  <c r="E35" i="60"/>
  <c r="H48" i="22"/>
  <c r="K33" i="10"/>
  <c r="K34" i="10"/>
  <c r="G33" i="10"/>
  <c r="G34" i="10"/>
  <c r="G35" i="10"/>
  <c r="G36" i="10"/>
  <c r="L35" i="63"/>
  <c r="M34" i="36"/>
  <c r="M33" i="36"/>
  <c r="J35" i="15"/>
  <c r="M34" i="15"/>
  <c r="K34" i="15"/>
  <c r="K35" i="15"/>
  <c r="G34" i="15"/>
  <c r="G35" i="15"/>
  <c r="K55" i="44"/>
  <c r="K56" i="44"/>
  <c r="K54" i="44"/>
  <c r="M33" i="20"/>
  <c r="J27" i="40"/>
  <c r="J28" i="40"/>
  <c r="J29" i="40"/>
  <c r="J30" i="40"/>
  <c r="J31" i="40"/>
  <c r="J32" i="40"/>
  <c r="J33" i="40"/>
  <c r="M47" i="18"/>
  <c r="G15" i="45"/>
  <c r="G14" i="45"/>
  <c r="G13" i="45"/>
  <c r="K41" i="44"/>
  <c r="K42" i="44"/>
  <c r="K43" i="44"/>
  <c r="K44" i="44"/>
  <c r="K45" i="44"/>
  <c r="K46" i="44"/>
  <c r="K47" i="44"/>
  <c r="K48" i="44"/>
  <c r="K49" i="44"/>
  <c r="K50" i="44"/>
  <c r="K51" i="44"/>
  <c r="G16" i="35"/>
  <c r="M28" i="20"/>
  <c r="M29" i="20"/>
  <c r="H43" i="35"/>
  <c r="G14" i="35"/>
  <c r="G15" i="35"/>
  <c r="K10" i="56"/>
  <c r="I10" i="56"/>
  <c r="H9" i="56"/>
  <c r="H35" i="71"/>
  <c r="F10" i="56" s="1"/>
  <c r="E35" i="71"/>
  <c r="D10" i="56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G5" i="71"/>
  <c r="K5" i="71" s="1"/>
  <c r="L5" i="71" s="1"/>
  <c r="J4" i="71"/>
  <c r="J35" i="71" s="1"/>
  <c r="G10" i="56" s="1"/>
  <c r="G4" i="71"/>
  <c r="Y24" i="19"/>
  <c r="Y22" i="19"/>
  <c r="Y23" i="19"/>
  <c r="Y21" i="19"/>
  <c r="Y25" i="19"/>
  <c r="X22" i="19"/>
  <c r="X23" i="19"/>
  <c r="X24" i="19"/>
  <c r="X25" i="19"/>
  <c r="T23" i="19"/>
  <c r="T24" i="19"/>
  <c r="T25" i="19"/>
  <c r="J30" i="22"/>
  <c r="K30" i="22"/>
  <c r="G30" i="22"/>
  <c r="J20" i="22"/>
  <c r="G26" i="58"/>
  <c r="U22" i="34"/>
  <c r="U21" i="34"/>
  <c r="V22" i="34"/>
  <c r="V21" i="34"/>
  <c r="T22" i="34"/>
  <c r="T21" i="34"/>
  <c r="K38" i="44"/>
  <c r="K39" i="44"/>
  <c r="K40" i="44"/>
  <c r="J40" i="56"/>
  <c r="I40" i="56"/>
  <c r="L37" i="65"/>
  <c r="J11" i="56"/>
  <c r="K9" i="56"/>
  <c r="J9" i="56"/>
  <c r="I9" i="56"/>
  <c r="G9" i="56"/>
  <c r="F9" i="56"/>
  <c r="E9" i="56"/>
  <c r="D9" i="56"/>
  <c r="G17" i="70"/>
  <c r="L35" i="70"/>
  <c r="H35" i="70"/>
  <c r="E35" i="70"/>
  <c r="J34" i="70"/>
  <c r="G34" i="70"/>
  <c r="K34" i="70" s="1"/>
  <c r="J33" i="70"/>
  <c r="G33" i="70"/>
  <c r="K33" i="70" s="1"/>
  <c r="J32" i="70"/>
  <c r="G32" i="70"/>
  <c r="K32" i="70" s="1"/>
  <c r="J31" i="70"/>
  <c r="G31" i="70"/>
  <c r="K31" i="70" s="1"/>
  <c r="J30" i="70"/>
  <c r="G30" i="70"/>
  <c r="K30" i="70" s="1"/>
  <c r="J29" i="70"/>
  <c r="G29" i="70"/>
  <c r="K29" i="70" s="1"/>
  <c r="J28" i="70"/>
  <c r="G28" i="70"/>
  <c r="K28" i="70" s="1"/>
  <c r="J27" i="70"/>
  <c r="G27" i="70"/>
  <c r="K27" i="70" s="1"/>
  <c r="J26" i="70"/>
  <c r="G26" i="70"/>
  <c r="K26" i="70" s="1"/>
  <c r="J25" i="70"/>
  <c r="G25" i="70"/>
  <c r="K25" i="70" s="1"/>
  <c r="J24" i="70"/>
  <c r="G24" i="70"/>
  <c r="K24" i="70" s="1"/>
  <c r="J23" i="70"/>
  <c r="G23" i="70"/>
  <c r="K23" i="70" s="1"/>
  <c r="J22" i="70"/>
  <c r="G22" i="70"/>
  <c r="K22" i="70" s="1"/>
  <c r="J21" i="70"/>
  <c r="G21" i="70"/>
  <c r="K21" i="70" s="1"/>
  <c r="J20" i="70"/>
  <c r="G20" i="70"/>
  <c r="K20" i="70" s="1"/>
  <c r="J19" i="70"/>
  <c r="G19" i="70"/>
  <c r="K19" i="70" s="1"/>
  <c r="J18" i="70"/>
  <c r="G18" i="70"/>
  <c r="K18" i="70" s="1"/>
  <c r="J17" i="70"/>
  <c r="K17" i="70"/>
  <c r="J16" i="70"/>
  <c r="G16" i="70"/>
  <c r="K16" i="70" s="1"/>
  <c r="J15" i="70"/>
  <c r="G15" i="70"/>
  <c r="K15" i="70" s="1"/>
  <c r="J14" i="70"/>
  <c r="G14" i="70"/>
  <c r="K14" i="70" s="1"/>
  <c r="J13" i="70"/>
  <c r="G13" i="70"/>
  <c r="K13" i="70" s="1"/>
  <c r="J12" i="70"/>
  <c r="G12" i="70"/>
  <c r="K12" i="70" s="1"/>
  <c r="J11" i="70"/>
  <c r="G11" i="70"/>
  <c r="K11" i="70" s="1"/>
  <c r="J10" i="70"/>
  <c r="G10" i="70"/>
  <c r="K10" i="70" s="1"/>
  <c r="J9" i="70"/>
  <c r="G9" i="70"/>
  <c r="K9" i="70" s="1"/>
  <c r="J8" i="70"/>
  <c r="G8" i="70"/>
  <c r="K8" i="70" s="1"/>
  <c r="J7" i="70"/>
  <c r="G7" i="70"/>
  <c r="K7" i="70" s="1"/>
  <c r="J6" i="70"/>
  <c r="G6" i="70"/>
  <c r="K6" i="70" s="1"/>
  <c r="J5" i="70"/>
  <c r="G5" i="70"/>
  <c r="K5" i="70" s="1"/>
  <c r="J4" i="70"/>
  <c r="J35" i="70" s="1"/>
  <c r="G4" i="70"/>
  <c r="H46" i="26"/>
  <c r="T22" i="19"/>
  <c r="X21" i="19"/>
  <c r="T21" i="19"/>
  <c r="E22" i="59"/>
  <c r="G20" i="10"/>
  <c r="G21" i="10"/>
  <c r="S17" i="16"/>
  <c r="K33" i="44"/>
  <c r="K34" i="44"/>
  <c r="K35" i="44"/>
  <c r="K36" i="44"/>
  <c r="K37" i="44"/>
  <c r="K32" i="44"/>
  <c r="E19" i="26"/>
  <c r="G19" i="2"/>
  <c r="G13" i="35"/>
  <c r="K4" i="45"/>
  <c r="K28" i="44"/>
  <c r="K29" i="44"/>
  <c r="K30" i="44"/>
  <c r="K31" i="44"/>
  <c r="K27" i="44"/>
  <c r="K26" i="44"/>
  <c r="E15" i="69"/>
  <c r="E14" i="69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19" i="69"/>
  <c r="J19" i="69"/>
  <c r="G20" i="69"/>
  <c r="J20" i="69"/>
  <c r="G21" i="69"/>
  <c r="J21" i="69"/>
  <c r="H47" i="69"/>
  <c r="F40" i="56" s="1"/>
  <c r="J46" i="69"/>
  <c r="G46" i="69"/>
  <c r="K46" i="69" s="1"/>
  <c r="L46" i="69" s="1"/>
  <c r="J45" i="69"/>
  <c r="G45" i="69"/>
  <c r="K45" i="69" s="1"/>
  <c r="L45" i="69" s="1"/>
  <c r="L47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0" i="69"/>
  <c r="G40" i="69"/>
  <c r="K40" i="69" s="1"/>
  <c r="J39" i="69"/>
  <c r="G39" i="69"/>
  <c r="K39" i="69" s="1"/>
  <c r="J38" i="69"/>
  <c r="G38" i="69"/>
  <c r="K38" i="69" s="1"/>
  <c r="J37" i="69"/>
  <c r="G37" i="69"/>
  <c r="K37" i="69" s="1"/>
  <c r="J36" i="69"/>
  <c r="G36" i="69"/>
  <c r="K36" i="69" s="1"/>
  <c r="J35" i="69"/>
  <c r="G35" i="69"/>
  <c r="K35" i="69" s="1"/>
  <c r="J34" i="69"/>
  <c r="G34" i="69"/>
  <c r="K34" i="69" s="1"/>
  <c r="J33" i="69"/>
  <c r="G33" i="69"/>
  <c r="K33" i="69" s="1"/>
  <c r="J32" i="69"/>
  <c r="G32" i="69"/>
  <c r="K32" i="69" s="1"/>
  <c r="J31" i="69"/>
  <c r="G31" i="69"/>
  <c r="K31" i="69" s="1"/>
  <c r="J30" i="69"/>
  <c r="G30" i="69"/>
  <c r="K30" i="69" s="1"/>
  <c r="J29" i="69"/>
  <c r="G29" i="69"/>
  <c r="K29" i="69" s="1"/>
  <c r="J28" i="69"/>
  <c r="G28" i="69"/>
  <c r="K28" i="69" s="1"/>
  <c r="J27" i="69"/>
  <c r="G27" i="69"/>
  <c r="K27" i="69" s="1"/>
  <c r="J26" i="69"/>
  <c r="G26" i="69"/>
  <c r="K26" i="69" s="1"/>
  <c r="J25" i="69"/>
  <c r="G25" i="69"/>
  <c r="K25" i="69" s="1"/>
  <c r="J24" i="69"/>
  <c r="G24" i="69"/>
  <c r="K24" i="69" s="1"/>
  <c r="J23" i="69"/>
  <c r="G23" i="69"/>
  <c r="K23" i="69" s="1"/>
  <c r="J22" i="69"/>
  <c r="G22" i="69"/>
  <c r="K22" i="69" s="1"/>
  <c r="Q21" i="69"/>
  <c r="K21" i="69"/>
  <c r="K20" i="69"/>
  <c r="K19" i="69"/>
  <c r="K18" i="69"/>
  <c r="K17" i="69"/>
  <c r="K16" i="69"/>
  <c r="K15" i="69"/>
  <c r="K14" i="69"/>
  <c r="K13" i="69"/>
  <c r="K12" i="69"/>
  <c r="K10" i="69"/>
  <c r="K9" i="69"/>
  <c r="K8" i="69"/>
  <c r="K7" i="69"/>
  <c r="K6" i="69"/>
  <c r="K5" i="69"/>
  <c r="J4" i="69"/>
  <c r="J47" i="69" s="1"/>
  <c r="G40" i="56" s="1"/>
  <c r="G4" i="69"/>
  <c r="G12" i="35"/>
  <c r="K12" i="35"/>
  <c r="K11" i="35"/>
  <c r="J19" i="57"/>
  <c r="H35" i="68"/>
  <c r="E35" i="68"/>
  <c r="J33" i="68"/>
  <c r="G33" i="68"/>
  <c r="K33" i="68" s="1"/>
  <c r="L33" i="68" s="1"/>
  <c r="J32" i="68"/>
  <c r="G32" i="68"/>
  <c r="K32" i="68" s="1"/>
  <c r="L32" i="68" s="1"/>
  <c r="J31" i="68"/>
  <c r="G31" i="68"/>
  <c r="K31" i="68" s="1"/>
  <c r="L31" i="68" s="1"/>
  <c r="J30" i="68"/>
  <c r="G30" i="68"/>
  <c r="K30" i="68" s="1"/>
  <c r="L30" i="68" s="1"/>
  <c r="J29" i="68"/>
  <c r="G29" i="68"/>
  <c r="K29" i="68" s="1"/>
  <c r="L29" i="68" s="1"/>
  <c r="J28" i="68"/>
  <c r="G28" i="68"/>
  <c r="K28" i="68" s="1"/>
  <c r="L28" i="68" s="1"/>
  <c r="J27" i="68"/>
  <c r="G27" i="68"/>
  <c r="K27" i="68" s="1"/>
  <c r="L27" i="68" s="1"/>
  <c r="J26" i="68"/>
  <c r="G26" i="68"/>
  <c r="K26" i="68" s="1"/>
  <c r="L26" i="68" s="1"/>
  <c r="J25" i="68"/>
  <c r="G25" i="68"/>
  <c r="K25" i="68" s="1"/>
  <c r="L25" i="68" s="1"/>
  <c r="J24" i="68"/>
  <c r="G24" i="68"/>
  <c r="K24" i="68" s="1"/>
  <c r="L24" i="68" s="1"/>
  <c r="J23" i="68"/>
  <c r="G23" i="68"/>
  <c r="K23" i="68" s="1"/>
  <c r="L23" i="68" s="1"/>
  <c r="J22" i="68"/>
  <c r="G22" i="68"/>
  <c r="K22" i="68" s="1"/>
  <c r="L22" i="68" s="1"/>
  <c r="J21" i="68"/>
  <c r="G21" i="68"/>
  <c r="K21" i="68" s="1"/>
  <c r="L21" i="68" s="1"/>
  <c r="J20" i="68"/>
  <c r="G20" i="68"/>
  <c r="K20" i="68" s="1"/>
  <c r="L20" i="68" s="1"/>
  <c r="J19" i="68"/>
  <c r="G19" i="68"/>
  <c r="K19" i="68" s="1"/>
  <c r="L19" i="68" s="1"/>
  <c r="J18" i="68"/>
  <c r="G18" i="68"/>
  <c r="K18" i="68" s="1"/>
  <c r="J17" i="68"/>
  <c r="G17" i="68"/>
  <c r="K17" i="68" s="1"/>
  <c r="J16" i="68"/>
  <c r="G16" i="68"/>
  <c r="K16" i="68" s="1"/>
  <c r="L16" i="68" s="1"/>
  <c r="J15" i="68"/>
  <c r="G15" i="68"/>
  <c r="K15" i="68" s="1"/>
  <c r="L15" i="68" s="1"/>
  <c r="J14" i="68"/>
  <c r="G14" i="68"/>
  <c r="K14" i="68" s="1"/>
  <c r="J35" i="68"/>
  <c r="M3" i="68"/>
  <c r="G20" i="22"/>
  <c r="K20" i="22" s="1"/>
  <c r="L17" i="16"/>
  <c r="M17" i="37"/>
  <c r="K24" i="44"/>
  <c r="K25" i="44"/>
  <c r="K22" i="44"/>
  <c r="K23" i="44"/>
  <c r="K21" i="44"/>
  <c r="K19" i="44"/>
  <c r="K20" i="44"/>
  <c r="K18" i="44"/>
  <c r="L16" i="65"/>
  <c r="J14" i="65"/>
  <c r="J15" i="65"/>
  <c r="J16" i="65"/>
  <c r="J17" i="65"/>
  <c r="K17" i="65"/>
  <c r="G11" i="35"/>
  <c r="G15" i="54"/>
  <c r="J15" i="54"/>
  <c r="K15" i="54"/>
  <c r="G10" i="35"/>
  <c r="E11" i="34"/>
  <c r="E15" i="26"/>
  <c r="L14" i="16"/>
  <c r="M15" i="3"/>
  <c r="K16" i="44"/>
  <c r="K17" i="44"/>
  <c r="G13" i="22"/>
  <c r="K13" i="22" s="1"/>
  <c r="G7" i="35"/>
  <c r="G8" i="35"/>
  <c r="G9" i="35"/>
  <c r="K12" i="44"/>
  <c r="K13" i="44"/>
  <c r="K14" i="44"/>
  <c r="G10" i="54"/>
  <c r="J10" i="40"/>
  <c r="I21" i="56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9" i="65"/>
  <c r="R13" i="25"/>
  <c r="R11" i="25"/>
  <c r="J8" i="25"/>
  <c r="L7" i="36"/>
  <c r="G6" i="35"/>
  <c r="G5" i="35"/>
  <c r="J7" i="3"/>
  <c r="G7" i="3"/>
  <c r="K7" i="3" s="1"/>
  <c r="G5" i="22"/>
  <c r="J5" i="22"/>
  <c r="K5" i="22"/>
  <c r="G6" i="22"/>
  <c r="J6" i="22"/>
  <c r="K6" i="22"/>
  <c r="G7" i="22"/>
  <c r="J7" i="22"/>
  <c r="K7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M3" i="2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G33" i="36"/>
  <c r="J33" i="36"/>
  <c r="K33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M3" i="16"/>
  <c r="L12" i="20"/>
  <c r="L13" i="20"/>
  <c r="L15" i="20"/>
  <c r="G5" i="20"/>
  <c r="J5" i="20"/>
  <c r="K5" i="20"/>
  <c r="G6" i="20"/>
  <c r="J6" i="20"/>
  <c r="K6" i="20"/>
  <c r="G7" i="20"/>
  <c r="J7" i="20"/>
  <c r="K7" i="20"/>
  <c r="G8" i="20"/>
  <c r="J8" i="20"/>
  <c r="K8" i="20"/>
  <c r="G9" i="20"/>
  <c r="J9" i="20"/>
  <c r="K9" i="20"/>
  <c r="G10" i="20"/>
  <c r="J10" i="20"/>
  <c r="K10" i="20"/>
  <c r="G11" i="20"/>
  <c r="J11" i="20"/>
  <c r="K11" i="20"/>
  <c r="G12" i="20"/>
  <c r="J12" i="20"/>
  <c r="K12" i="20"/>
  <c r="G13" i="20"/>
  <c r="J13" i="20"/>
  <c r="K13" i="20"/>
  <c r="G14" i="20"/>
  <c r="J14" i="20"/>
  <c r="K14" i="20"/>
  <c r="G15" i="20"/>
  <c r="J15" i="20"/>
  <c r="K15" i="20"/>
  <c r="G16" i="20"/>
  <c r="J16" i="20"/>
  <c r="K16" i="20"/>
  <c r="G17" i="20"/>
  <c r="J17" i="20"/>
  <c r="K17" i="20"/>
  <c r="G18" i="20"/>
  <c r="J18" i="20"/>
  <c r="K18" i="20"/>
  <c r="G19" i="20"/>
  <c r="J19" i="20"/>
  <c r="K19" i="20"/>
  <c r="G20" i="20"/>
  <c r="J20" i="20"/>
  <c r="K20" i="20"/>
  <c r="G21" i="20"/>
  <c r="J21" i="20"/>
  <c r="K21" i="20"/>
  <c r="G22" i="20"/>
  <c r="J22" i="20"/>
  <c r="K22" i="20"/>
  <c r="G23" i="20"/>
  <c r="J23" i="20"/>
  <c r="K23" i="20"/>
  <c r="G24" i="20"/>
  <c r="J24" i="20"/>
  <c r="K24" i="20"/>
  <c r="G25" i="20"/>
  <c r="J25" i="20"/>
  <c r="K25" i="20"/>
  <c r="G26" i="20"/>
  <c r="J26" i="20"/>
  <c r="K26" i="20"/>
  <c r="G27" i="20"/>
  <c r="J27" i="20"/>
  <c r="K27" i="20"/>
  <c r="G28" i="20"/>
  <c r="J28" i="20"/>
  <c r="K28" i="20"/>
  <c r="G29" i="20"/>
  <c r="J29" i="20"/>
  <c r="K29" i="20"/>
  <c r="G30" i="20"/>
  <c r="J30" i="20"/>
  <c r="K30" i="20"/>
  <c r="M30" i="20" s="1"/>
  <c r="M31" i="20" s="1"/>
  <c r="M32" i="20" s="1"/>
  <c r="G31" i="20"/>
  <c r="J31" i="20"/>
  <c r="K31" i="20"/>
  <c r="G32" i="20"/>
  <c r="J32" i="20"/>
  <c r="K32" i="20"/>
  <c r="G33" i="20"/>
  <c r="J33" i="20"/>
  <c r="K33" i="20"/>
  <c r="G4" i="20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M4" i="24"/>
  <c r="G5" i="24"/>
  <c r="J5" i="24"/>
  <c r="K5" i="24"/>
  <c r="G6" i="24"/>
  <c r="J6" i="24"/>
  <c r="K6" i="24"/>
  <c r="G7" i="24"/>
  <c r="J7" i="24"/>
  <c r="K7" i="24"/>
  <c r="G8" i="24"/>
  <c r="J8" i="24"/>
  <c r="K8" i="24"/>
  <c r="G9" i="24"/>
  <c r="J9" i="24"/>
  <c r="K9" i="24"/>
  <c r="G10" i="24"/>
  <c r="J10" i="24"/>
  <c r="K10" i="24"/>
  <c r="G11" i="24"/>
  <c r="J11" i="24"/>
  <c r="K11" i="24"/>
  <c r="G12" i="24"/>
  <c r="J12" i="24"/>
  <c r="K12" i="24"/>
  <c r="G13" i="24"/>
  <c r="J13" i="24"/>
  <c r="K13" i="24"/>
  <c r="G14" i="24"/>
  <c r="J14" i="24"/>
  <c r="K14" i="24"/>
  <c r="L14" i="24"/>
  <c r="G15" i="24"/>
  <c r="J15" i="24"/>
  <c r="K15" i="24"/>
  <c r="L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L19" i="24"/>
  <c r="G20" i="24"/>
  <c r="J20" i="24"/>
  <c r="K20" i="24"/>
  <c r="L20" i="24"/>
  <c r="G21" i="24"/>
  <c r="J21" i="24"/>
  <c r="K21" i="24"/>
  <c r="G22" i="24"/>
  <c r="J22" i="24"/>
  <c r="K22" i="24"/>
  <c r="L22" i="24"/>
  <c r="G23" i="24"/>
  <c r="J23" i="24"/>
  <c r="K23" i="24"/>
  <c r="L23" i="24"/>
  <c r="G24" i="24"/>
  <c r="J24" i="24"/>
  <c r="K24" i="24"/>
  <c r="G25" i="24"/>
  <c r="J25" i="24"/>
  <c r="K25" i="24"/>
  <c r="L25" i="24"/>
  <c r="G26" i="24"/>
  <c r="J26" i="24"/>
  <c r="K26" i="24"/>
  <c r="G27" i="24"/>
  <c r="J27" i="24"/>
  <c r="K27" i="24"/>
  <c r="G28" i="24"/>
  <c r="J28" i="24"/>
  <c r="K28" i="24"/>
  <c r="G29" i="24"/>
  <c r="J29" i="24"/>
  <c r="K29" i="24"/>
  <c r="L29" i="24"/>
  <c r="G30" i="24"/>
  <c r="J30" i="24"/>
  <c r="K30" i="24"/>
  <c r="L30" i="24"/>
  <c r="G31" i="24"/>
  <c r="J31" i="24"/>
  <c r="K31" i="24"/>
  <c r="G32" i="24"/>
  <c r="J32" i="24"/>
  <c r="K32" i="24"/>
  <c r="L32" i="24"/>
  <c r="G33" i="24"/>
  <c r="J33" i="24"/>
  <c r="K33" i="24"/>
  <c r="L35" i="24"/>
  <c r="J21" i="56" s="1"/>
  <c r="G5" i="61"/>
  <c r="J5" i="61"/>
  <c r="K5" i="61"/>
  <c r="G6" i="61"/>
  <c r="J6" i="61"/>
  <c r="K6" i="61"/>
  <c r="G7" i="61"/>
  <c r="J7" i="61"/>
  <c r="K7" i="61"/>
  <c r="G8" i="61"/>
  <c r="J8" i="61"/>
  <c r="K8" i="61"/>
  <c r="G9" i="61"/>
  <c r="J9" i="61"/>
  <c r="K9" i="61"/>
  <c r="G10" i="61"/>
  <c r="J10" i="61"/>
  <c r="K10" i="61"/>
  <c r="G11" i="61"/>
  <c r="J11" i="61"/>
  <c r="K11" i="61"/>
  <c r="G12" i="61"/>
  <c r="J12" i="61"/>
  <c r="K12" i="61"/>
  <c r="G13" i="61"/>
  <c r="J13" i="61"/>
  <c r="K13" i="61"/>
  <c r="G14" i="61"/>
  <c r="J14" i="61"/>
  <c r="K14" i="61"/>
  <c r="G15" i="61"/>
  <c r="J15" i="61"/>
  <c r="K15" i="61"/>
  <c r="G16" i="61"/>
  <c r="J16" i="61"/>
  <c r="K16" i="61"/>
  <c r="G17" i="61"/>
  <c r="J17" i="61"/>
  <c r="K17" i="61"/>
  <c r="G18" i="61"/>
  <c r="J18" i="61"/>
  <c r="K18" i="61"/>
  <c r="G19" i="61"/>
  <c r="J19" i="61"/>
  <c r="K19" i="61"/>
  <c r="G20" i="61"/>
  <c r="J20" i="61"/>
  <c r="K20" i="61"/>
  <c r="G21" i="61"/>
  <c r="J21" i="61"/>
  <c r="K21" i="61"/>
  <c r="G22" i="61"/>
  <c r="J22" i="61"/>
  <c r="K22" i="61"/>
  <c r="G23" i="61"/>
  <c r="J23" i="61"/>
  <c r="K23" i="61"/>
  <c r="G24" i="61"/>
  <c r="J24" i="61"/>
  <c r="K24" i="61"/>
  <c r="G25" i="61"/>
  <c r="J25" i="61"/>
  <c r="K25" i="61"/>
  <c r="G26" i="61"/>
  <c r="J26" i="61"/>
  <c r="K26" i="61"/>
  <c r="G27" i="61"/>
  <c r="J27" i="61"/>
  <c r="K27" i="61"/>
  <c r="G28" i="61"/>
  <c r="J28" i="61"/>
  <c r="K28" i="61"/>
  <c r="G29" i="61"/>
  <c r="J29" i="61"/>
  <c r="K29" i="61"/>
  <c r="G30" i="61"/>
  <c r="J30" i="61"/>
  <c r="K30" i="61"/>
  <c r="G31" i="61"/>
  <c r="J31" i="61"/>
  <c r="K31" i="61"/>
  <c r="G32" i="61"/>
  <c r="J32" i="61"/>
  <c r="K32" i="61"/>
  <c r="G33" i="61"/>
  <c r="J33" i="61"/>
  <c r="K33" i="61"/>
  <c r="G34" i="61"/>
  <c r="J34" i="61"/>
  <c r="K34" i="61"/>
  <c r="G35" i="61"/>
  <c r="J35" i="61"/>
  <c r="K35" i="61"/>
  <c r="G36" i="61"/>
  <c r="J36" i="61"/>
  <c r="K36" i="61"/>
  <c r="G15" i="57"/>
  <c r="J15" i="57"/>
  <c r="G16" i="57"/>
  <c r="J16" i="57"/>
  <c r="G17" i="57"/>
  <c r="J17" i="57"/>
  <c r="G18" i="57"/>
  <c r="J18" i="57"/>
  <c r="G19" i="57"/>
  <c r="G20" i="57"/>
  <c r="J20" i="57"/>
  <c r="G21" i="57"/>
  <c r="J21" i="57"/>
  <c r="G5" i="60"/>
  <c r="J5" i="60"/>
  <c r="K5" i="60"/>
  <c r="G6" i="60"/>
  <c r="J6" i="60"/>
  <c r="K6" i="60"/>
  <c r="G7" i="60"/>
  <c r="J7" i="60"/>
  <c r="K7" i="60"/>
  <c r="G8" i="60"/>
  <c r="J8" i="60"/>
  <c r="K8" i="60"/>
  <c r="G9" i="60"/>
  <c r="J9" i="60"/>
  <c r="K9" i="60"/>
  <c r="G10" i="60"/>
  <c r="J10" i="60"/>
  <c r="K10" i="60"/>
  <c r="G11" i="60"/>
  <c r="J11" i="60"/>
  <c r="K11" i="60"/>
  <c r="G12" i="60"/>
  <c r="J12" i="60"/>
  <c r="K12" i="60"/>
  <c r="G13" i="60"/>
  <c r="J13" i="60"/>
  <c r="K13" i="60"/>
  <c r="G14" i="60"/>
  <c r="J14" i="60"/>
  <c r="K14" i="60"/>
  <c r="G15" i="60"/>
  <c r="J15" i="60"/>
  <c r="K15" i="60"/>
  <c r="G16" i="60"/>
  <c r="J16" i="60"/>
  <c r="K16" i="60"/>
  <c r="G17" i="60"/>
  <c r="J17" i="60"/>
  <c r="K17" i="60"/>
  <c r="G18" i="60"/>
  <c r="J18" i="60"/>
  <c r="K18" i="60"/>
  <c r="G19" i="60"/>
  <c r="J19" i="60"/>
  <c r="K19" i="60"/>
  <c r="G20" i="60"/>
  <c r="J20" i="60"/>
  <c r="K20" i="60"/>
  <c r="G21" i="60"/>
  <c r="J21" i="60"/>
  <c r="K21" i="60"/>
  <c r="G22" i="60"/>
  <c r="J22" i="60"/>
  <c r="K22" i="60"/>
  <c r="G23" i="60"/>
  <c r="J23" i="60"/>
  <c r="K23" i="60"/>
  <c r="G24" i="60"/>
  <c r="J24" i="60"/>
  <c r="K24" i="60"/>
  <c r="G25" i="60"/>
  <c r="J25" i="60"/>
  <c r="K25" i="60"/>
  <c r="G26" i="60"/>
  <c r="J26" i="60"/>
  <c r="K26" i="60"/>
  <c r="G27" i="60"/>
  <c r="J27" i="60"/>
  <c r="K27" i="60"/>
  <c r="G28" i="60"/>
  <c r="J28" i="60"/>
  <c r="K28" i="60"/>
  <c r="G29" i="60"/>
  <c r="J29" i="60"/>
  <c r="K29" i="60"/>
  <c r="G30" i="60"/>
  <c r="J30" i="60"/>
  <c r="K30" i="60"/>
  <c r="G31" i="60"/>
  <c r="J31" i="60"/>
  <c r="K31" i="60"/>
  <c r="G32" i="60"/>
  <c r="J32" i="60"/>
  <c r="K32" i="60"/>
  <c r="G33" i="60"/>
  <c r="J33" i="60"/>
  <c r="K33" i="60"/>
  <c r="G34" i="60"/>
  <c r="J34" i="60"/>
  <c r="K34" i="60"/>
  <c r="G5" i="41"/>
  <c r="J5" i="41"/>
  <c r="K5" i="41"/>
  <c r="G6" i="41"/>
  <c r="J6" i="41"/>
  <c r="K6" i="41"/>
  <c r="G7" i="41"/>
  <c r="J7" i="41"/>
  <c r="K7" i="41"/>
  <c r="G8" i="41"/>
  <c r="J8" i="41"/>
  <c r="K8" i="41"/>
  <c r="G9" i="41"/>
  <c r="J9" i="41"/>
  <c r="K9" i="41"/>
  <c r="G10" i="41"/>
  <c r="J10" i="41"/>
  <c r="K10" i="41"/>
  <c r="G11" i="41"/>
  <c r="J11" i="41"/>
  <c r="K11" i="41"/>
  <c r="G12" i="41"/>
  <c r="J12" i="41"/>
  <c r="K12" i="41"/>
  <c r="G13" i="41"/>
  <c r="J13" i="41"/>
  <c r="K13" i="41"/>
  <c r="G14" i="41"/>
  <c r="J14" i="41"/>
  <c r="K14" i="41"/>
  <c r="G15" i="41"/>
  <c r="J15" i="41"/>
  <c r="K15" i="41"/>
  <c r="G16" i="41"/>
  <c r="J16" i="41"/>
  <c r="K16" i="41"/>
  <c r="G17" i="41"/>
  <c r="J17" i="41"/>
  <c r="K17" i="41"/>
  <c r="G18" i="41"/>
  <c r="J18" i="41"/>
  <c r="K18" i="41"/>
  <c r="G19" i="41"/>
  <c r="J19" i="41"/>
  <c r="K19" i="41"/>
  <c r="G20" i="41"/>
  <c r="J20" i="41"/>
  <c r="K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38" i="41"/>
  <c r="J38" i="41"/>
  <c r="K38" i="41"/>
  <c r="G39" i="41"/>
  <c r="J39" i="41"/>
  <c r="K39" i="41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J13" i="35"/>
  <c r="K13" i="35" s="1"/>
  <c r="J14" i="35"/>
  <c r="K14" i="35"/>
  <c r="J15" i="35"/>
  <c r="K15" i="35"/>
  <c r="J16" i="35"/>
  <c r="K16" i="35"/>
  <c r="J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J29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G5" i="34"/>
  <c r="G4" i="34"/>
  <c r="J5" i="34"/>
  <c r="K5" i="34"/>
  <c r="G6" i="34"/>
  <c r="J6" i="34"/>
  <c r="K6" i="34"/>
  <c r="G7" i="34"/>
  <c r="J7" i="34"/>
  <c r="K7" i="34"/>
  <c r="G8" i="34"/>
  <c r="J8" i="34"/>
  <c r="K8" i="34"/>
  <c r="G9" i="34"/>
  <c r="J9" i="34"/>
  <c r="K9" i="34"/>
  <c r="G10" i="34"/>
  <c r="J10" i="34"/>
  <c r="K10" i="34"/>
  <c r="G11" i="34"/>
  <c r="J11" i="34"/>
  <c r="K11" i="34"/>
  <c r="G12" i="34"/>
  <c r="J12" i="34"/>
  <c r="K12" i="34"/>
  <c r="G13" i="34"/>
  <c r="J13" i="34"/>
  <c r="K13" i="34"/>
  <c r="G14" i="34"/>
  <c r="J14" i="34"/>
  <c r="K14" i="34"/>
  <c r="G15" i="34"/>
  <c r="J15" i="34"/>
  <c r="K15" i="34"/>
  <c r="G16" i="34"/>
  <c r="J16" i="34"/>
  <c r="K16" i="34"/>
  <c r="G17" i="34"/>
  <c r="J17" i="34"/>
  <c r="K17" i="34"/>
  <c r="G18" i="34"/>
  <c r="J18" i="34"/>
  <c r="K18" i="34"/>
  <c r="G19" i="34"/>
  <c r="J19" i="34"/>
  <c r="K19" i="34"/>
  <c r="G20" i="34"/>
  <c r="J20" i="34"/>
  <c r="K20" i="34"/>
  <c r="G21" i="34"/>
  <c r="J21" i="34"/>
  <c r="K21" i="34"/>
  <c r="G22" i="34"/>
  <c r="J22" i="34"/>
  <c r="K22" i="34"/>
  <c r="G23" i="34"/>
  <c r="J23" i="34"/>
  <c r="K23" i="34"/>
  <c r="G24" i="34"/>
  <c r="J24" i="34"/>
  <c r="K24" i="34"/>
  <c r="G25" i="34"/>
  <c r="J25" i="34"/>
  <c r="K25" i="34"/>
  <c r="G26" i="34"/>
  <c r="J26" i="34"/>
  <c r="K26" i="34"/>
  <c r="G27" i="34"/>
  <c r="J27" i="34"/>
  <c r="K27" i="34"/>
  <c r="G28" i="34"/>
  <c r="J28" i="34"/>
  <c r="K28" i="34"/>
  <c r="G29" i="34"/>
  <c r="J29" i="34"/>
  <c r="K29" i="34"/>
  <c r="G30" i="34"/>
  <c r="J30" i="34"/>
  <c r="K30" i="34"/>
  <c r="G31" i="34"/>
  <c r="J31" i="34"/>
  <c r="K31" i="34"/>
  <c r="G32" i="34"/>
  <c r="J32" i="34"/>
  <c r="K32" i="34"/>
  <c r="G33" i="34"/>
  <c r="J33" i="34"/>
  <c r="K33" i="34"/>
  <c r="G34" i="34"/>
  <c r="J34" i="34"/>
  <c r="K34" i="34"/>
  <c r="G35" i="34"/>
  <c r="J35" i="34"/>
  <c r="K35" i="34"/>
  <c r="G36" i="34"/>
  <c r="J36" i="34"/>
  <c r="K36" i="34"/>
  <c r="G37" i="34"/>
  <c r="J37" i="34"/>
  <c r="K37" i="34"/>
  <c r="G38" i="34"/>
  <c r="J38" i="34"/>
  <c r="K38" i="34"/>
  <c r="G39" i="34"/>
  <c r="J39" i="34"/>
  <c r="K39" i="34"/>
  <c r="G40" i="34"/>
  <c r="J40" i="34"/>
  <c r="K40" i="34"/>
  <c r="G41" i="34"/>
  <c r="J41" i="34"/>
  <c r="K41" i="34"/>
  <c r="G42" i="34"/>
  <c r="J42" i="34"/>
  <c r="K42" i="34"/>
  <c r="G43" i="34"/>
  <c r="J43" i="34"/>
  <c r="K43" i="34"/>
  <c r="G44" i="34"/>
  <c r="J44" i="34"/>
  <c r="K44" i="34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34" i="9"/>
  <c r="J34" i="9"/>
  <c r="K34" i="9"/>
  <c r="M4" i="26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K17" i="26" s="1"/>
  <c r="J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J20" i="10"/>
  <c r="K20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J33" i="10"/>
  <c r="G59" i="44"/>
  <c r="K59" i="44" s="1"/>
  <c r="J32" i="65"/>
  <c r="J33" i="65"/>
  <c r="J34" i="65"/>
  <c r="J35" i="65"/>
  <c r="G34" i="65"/>
  <c r="K34" i="65" s="1"/>
  <c r="E38" i="24"/>
  <c r="P32" i="16"/>
  <c r="J16" i="40"/>
  <c r="J17" i="40"/>
  <c r="J18" i="40"/>
  <c r="J19" i="40"/>
  <c r="J20" i="40"/>
  <c r="J21" i="40"/>
  <c r="J22" i="40"/>
  <c r="J23" i="40"/>
  <c r="J24" i="40"/>
  <c r="J25" i="40"/>
  <c r="J26" i="40"/>
  <c r="J43" i="44"/>
  <c r="J40" i="44"/>
  <c r="G40" i="44"/>
  <c r="G38" i="44"/>
  <c r="J36" i="44"/>
  <c r="J37" i="44"/>
  <c r="J38" i="44"/>
  <c r="G37" i="44"/>
  <c r="G35" i="44"/>
  <c r="G36" i="44"/>
  <c r="J35" i="44"/>
  <c r="J13" i="40"/>
  <c r="J14" i="40"/>
  <c r="J15" i="40"/>
  <c r="G8" i="45"/>
  <c r="K8" i="45"/>
  <c r="K6" i="45"/>
  <c r="J9" i="45"/>
  <c r="K9" i="45" s="1"/>
  <c r="J10" i="45"/>
  <c r="K10" i="45" s="1"/>
  <c r="J11" i="45"/>
  <c r="J5" i="45"/>
  <c r="K5" i="45" s="1"/>
  <c r="J12" i="40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J5" i="57"/>
  <c r="K5" i="57"/>
  <c r="J6" i="57"/>
  <c r="J7" i="57"/>
  <c r="J8" i="57"/>
  <c r="J9" i="57"/>
  <c r="K9" i="57"/>
  <c r="J10" i="57"/>
  <c r="J11" i="57"/>
  <c r="J12" i="57"/>
  <c r="K12" i="57"/>
  <c r="J13" i="57"/>
  <c r="K13" i="57"/>
  <c r="J14" i="57"/>
  <c r="K15" i="57"/>
  <c r="K16" i="57"/>
  <c r="K17" i="57"/>
  <c r="K18" i="57"/>
  <c r="K19" i="57"/>
  <c r="K20" i="57"/>
  <c r="K21" i="57"/>
  <c r="J22" i="57"/>
  <c r="K22" i="57"/>
  <c r="J23" i="57"/>
  <c r="K23" i="57"/>
  <c r="J24" i="57"/>
  <c r="K24" i="57"/>
  <c r="J25" i="57"/>
  <c r="K25" i="57"/>
  <c r="J26" i="57"/>
  <c r="K26" i="57"/>
  <c r="J27" i="57"/>
  <c r="J28" i="57"/>
  <c r="J29" i="57"/>
  <c r="K29" i="57"/>
  <c r="J30" i="57"/>
  <c r="K30" i="57"/>
  <c r="J31" i="57"/>
  <c r="K31" i="57"/>
  <c r="J32" i="57"/>
  <c r="K32" i="57"/>
  <c r="J33" i="57"/>
  <c r="K33" i="57"/>
  <c r="J34" i="57"/>
  <c r="G8" i="14"/>
  <c r="J8" i="14"/>
  <c r="K8" i="14"/>
  <c r="G35" i="14"/>
  <c r="J35" i="14"/>
  <c r="K35" i="14"/>
  <c r="G47" i="22"/>
  <c r="J47" i="22"/>
  <c r="K47" i="22"/>
  <c r="L34" i="25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 s="1"/>
  <c r="G5" i="10"/>
  <c r="J5" i="10"/>
  <c r="K5" i="10"/>
  <c r="J34" i="10"/>
  <c r="E37" i="10"/>
  <c r="H37" i="10"/>
  <c r="L37" i="1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34" i="11"/>
  <c r="J34" i="11"/>
  <c r="K34" i="11"/>
  <c r="L5" i="20"/>
  <c r="L6" i="20"/>
  <c r="L7" i="20"/>
  <c r="L8" i="20"/>
  <c r="L9" i="20"/>
  <c r="L10" i="20"/>
  <c r="L11" i="20"/>
  <c r="L16" i="20"/>
  <c r="L19" i="20"/>
  <c r="L21" i="20"/>
  <c r="L22" i="20"/>
  <c r="L23" i="20"/>
  <c r="L24" i="20"/>
  <c r="L25" i="20"/>
  <c r="L27" i="20"/>
  <c r="L28" i="20"/>
  <c r="L29" i="20"/>
  <c r="L31" i="20"/>
  <c r="L32" i="20"/>
  <c r="G5" i="63"/>
  <c r="J5" i="63"/>
  <c r="G6" i="63"/>
  <c r="J6" i="63"/>
  <c r="G7" i="63"/>
  <c r="J7" i="63"/>
  <c r="G8" i="63"/>
  <c r="J8" i="63"/>
  <c r="G9" i="63"/>
  <c r="J9" i="63"/>
  <c r="G10" i="63"/>
  <c r="J10" i="63"/>
  <c r="G11" i="63"/>
  <c r="J11" i="63"/>
  <c r="G12" i="63"/>
  <c r="J12" i="63"/>
  <c r="G13" i="63"/>
  <c r="J13" i="63"/>
  <c r="G14" i="63"/>
  <c r="J14" i="63"/>
  <c r="G15" i="63"/>
  <c r="J15" i="63"/>
  <c r="G16" i="63"/>
  <c r="J16" i="63"/>
  <c r="G17" i="63"/>
  <c r="J17" i="63"/>
  <c r="G18" i="63"/>
  <c r="J18" i="63"/>
  <c r="G19" i="63"/>
  <c r="J19" i="63"/>
  <c r="G20" i="63"/>
  <c r="J20" i="63"/>
  <c r="G21" i="63"/>
  <c r="J21" i="63"/>
  <c r="G22" i="63"/>
  <c r="J22" i="63"/>
  <c r="G23" i="63"/>
  <c r="J23" i="63"/>
  <c r="G24" i="63"/>
  <c r="J24" i="63"/>
  <c r="G25" i="63"/>
  <c r="J25" i="63"/>
  <c r="G26" i="63"/>
  <c r="J26" i="63"/>
  <c r="G27" i="63"/>
  <c r="J27" i="63"/>
  <c r="G28" i="63"/>
  <c r="J28" i="63"/>
  <c r="G29" i="63"/>
  <c r="J29" i="63"/>
  <c r="G30" i="63"/>
  <c r="J30" i="63"/>
  <c r="G31" i="63"/>
  <c r="J31" i="63"/>
  <c r="G32" i="63"/>
  <c r="J32" i="63"/>
  <c r="G33" i="63"/>
  <c r="J33" i="63"/>
  <c r="G5" i="3"/>
  <c r="J5" i="3"/>
  <c r="K5" i="3"/>
  <c r="G6" i="3"/>
  <c r="J6" i="3"/>
  <c r="K6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5" i="16"/>
  <c r="J35" i="16"/>
  <c r="K35" i="16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M32" i="52" s="1"/>
  <c r="M33" i="52" s="1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5" i="62"/>
  <c r="J5" i="62"/>
  <c r="K5" i="62"/>
  <c r="G6" i="62"/>
  <c r="J6" i="62"/>
  <c r="K6" i="62"/>
  <c r="G7" i="62"/>
  <c r="J7" i="62"/>
  <c r="K7" i="62"/>
  <c r="G8" i="62"/>
  <c r="J8" i="62"/>
  <c r="K8" i="62"/>
  <c r="G9" i="62"/>
  <c r="J9" i="62"/>
  <c r="K9" i="62"/>
  <c r="G10" i="62"/>
  <c r="J10" i="62"/>
  <c r="K10" i="62"/>
  <c r="G11" i="62"/>
  <c r="J11" i="62"/>
  <c r="K11" i="62"/>
  <c r="G12" i="62"/>
  <c r="J12" i="62"/>
  <c r="K12" i="62"/>
  <c r="G13" i="62"/>
  <c r="J13" i="62"/>
  <c r="K13" i="62"/>
  <c r="G14" i="62"/>
  <c r="J14" i="62"/>
  <c r="K14" i="62"/>
  <c r="G15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29" i="62"/>
  <c r="J29" i="62"/>
  <c r="K29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4" i="62"/>
  <c r="J34" i="62"/>
  <c r="K34" i="62"/>
  <c r="G35" i="62"/>
  <c r="J35" i="62"/>
  <c r="K35" i="62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G5" i="65"/>
  <c r="J5" i="65"/>
  <c r="K5" i="65"/>
  <c r="G6" i="65"/>
  <c r="J6" i="65"/>
  <c r="K6" i="65"/>
  <c r="G7" i="65"/>
  <c r="J7" i="65"/>
  <c r="K7" i="65"/>
  <c r="G8" i="65"/>
  <c r="J8" i="65"/>
  <c r="K8" i="65"/>
  <c r="J9" i="65"/>
  <c r="K9" i="65"/>
  <c r="G10" i="65"/>
  <c r="J10" i="65"/>
  <c r="K10" i="65"/>
  <c r="G11" i="65"/>
  <c r="J11" i="65"/>
  <c r="K11" i="65"/>
  <c r="G12" i="65"/>
  <c r="J12" i="65"/>
  <c r="K12" i="65"/>
  <c r="G13" i="65"/>
  <c r="J13" i="65"/>
  <c r="K13" i="65"/>
  <c r="G14" i="65"/>
  <c r="K14" i="65"/>
  <c r="G15" i="65"/>
  <c r="K15" i="65"/>
  <c r="G16" i="65"/>
  <c r="K16" i="65"/>
  <c r="G18" i="65"/>
  <c r="J18" i="65"/>
  <c r="K18" i="65"/>
  <c r="G19" i="65"/>
  <c r="J19" i="65"/>
  <c r="K19" i="65"/>
  <c r="G20" i="65"/>
  <c r="J20" i="65"/>
  <c r="K20" i="65"/>
  <c r="G21" i="65"/>
  <c r="J21" i="65"/>
  <c r="K21" i="65"/>
  <c r="G22" i="65"/>
  <c r="J22" i="65"/>
  <c r="K22" i="65"/>
  <c r="G23" i="65"/>
  <c r="J23" i="65"/>
  <c r="K23" i="65"/>
  <c r="G24" i="65"/>
  <c r="J24" i="65"/>
  <c r="K24" i="65"/>
  <c r="G25" i="65"/>
  <c r="J25" i="65"/>
  <c r="K25" i="65"/>
  <c r="G26" i="65"/>
  <c r="J26" i="65"/>
  <c r="K26" i="65"/>
  <c r="G27" i="65"/>
  <c r="J27" i="65"/>
  <c r="K27" i="65"/>
  <c r="G28" i="65"/>
  <c r="J28" i="65"/>
  <c r="K28" i="65"/>
  <c r="G29" i="65"/>
  <c r="J29" i="65"/>
  <c r="K29" i="65"/>
  <c r="G30" i="65"/>
  <c r="J30" i="65"/>
  <c r="K30" i="65"/>
  <c r="G31" i="65"/>
  <c r="J31" i="65"/>
  <c r="K31" i="65"/>
  <c r="G32" i="65"/>
  <c r="K32" i="65" s="1"/>
  <c r="G33" i="65"/>
  <c r="K33" i="65" s="1"/>
  <c r="G35" i="65"/>
  <c r="K35" i="65" s="1"/>
  <c r="G36" i="65"/>
  <c r="J36" i="65"/>
  <c r="K36" i="65"/>
  <c r="G11" i="64"/>
  <c r="J11" i="64"/>
  <c r="K11" i="64"/>
  <c r="G12" i="64"/>
  <c r="J12" i="64"/>
  <c r="K12" i="64"/>
  <c r="G13" i="64"/>
  <c r="J13" i="64"/>
  <c r="K13" i="64"/>
  <c r="G14" i="64"/>
  <c r="J14" i="64"/>
  <c r="K14" i="64"/>
  <c r="G15" i="64"/>
  <c r="J15" i="64"/>
  <c r="K15" i="64"/>
  <c r="G16" i="64"/>
  <c r="J16" i="64"/>
  <c r="K16" i="64"/>
  <c r="G17" i="64"/>
  <c r="J17" i="64"/>
  <c r="K17" i="64"/>
  <c r="G18" i="64"/>
  <c r="J18" i="64"/>
  <c r="K18" i="64"/>
  <c r="G19" i="64"/>
  <c r="J19" i="64"/>
  <c r="K19" i="64"/>
  <c r="G20" i="64"/>
  <c r="J20" i="64"/>
  <c r="K20" i="64"/>
  <c r="G21" i="64"/>
  <c r="J21" i="64"/>
  <c r="K21" i="64"/>
  <c r="G22" i="64"/>
  <c r="J22" i="64"/>
  <c r="K22" i="64"/>
  <c r="G23" i="64"/>
  <c r="J23" i="64"/>
  <c r="K23" i="64"/>
  <c r="G24" i="64"/>
  <c r="J24" i="64"/>
  <c r="K24" i="64"/>
  <c r="G25" i="64"/>
  <c r="J25" i="64"/>
  <c r="K25" i="64"/>
  <c r="G26" i="64"/>
  <c r="J26" i="64"/>
  <c r="K26" i="64"/>
  <c r="G27" i="64"/>
  <c r="J27" i="64"/>
  <c r="K27" i="64"/>
  <c r="G28" i="64"/>
  <c r="J28" i="64"/>
  <c r="K28" i="64"/>
  <c r="G29" i="64"/>
  <c r="J29" i="64"/>
  <c r="K29" i="64"/>
  <c r="G30" i="64"/>
  <c r="J30" i="64"/>
  <c r="K30" i="64"/>
  <c r="G31" i="64"/>
  <c r="J31" i="64"/>
  <c r="K31" i="64"/>
  <c r="G32" i="64"/>
  <c r="J32" i="64"/>
  <c r="K32" i="64"/>
  <c r="G33" i="64"/>
  <c r="J33" i="64"/>
  <c r="K33" i="64"/>
  <c r="G34" i="64"/>
  <c r="J34" i="64"/>
  <c r="K34" i="64"/>
  <c r="G10" i="64"/>
  <c r="J10" i="64"/>
  <c r="K10" i="64"/>
  <c r="G5" i="59"/>
  <c r="J5" i="59"/>
  <c r="K5" i="59"/>
  <c r="G6" i="59"/>
  <c r="J6" i="59"/>
  <c r="K6" i="59"/>
  <c r="G7" i="59"/>
  <c r="J7" i="59"/>
  <c r="K7" i="59"/>
  <c r="G8" i="59"/>
  <c r="J8" i="59"/>
  <c r="K8" i="59"/>
  <c r="G9" i="59"/>
  <c r="J9" i="59"/>
  <c r="K9" i="59"/>
  <c r="G10" i="59"/>
  <c r="J10" i="59"/>
  <c r="K10" i="59"/>
  <c r="G11" i="59"/>
  <c r="J11" i="59"/>
  <c r="K11" i="59"/>
  <c r="G12" i="59"/>
  <c r="J12" i="59"/>
  <c r="K12" i="59"/>
  <c r="G13" i="59"/>
  <c r="J13" i="59"/>
  <c r="K13" i="59"/>
  <c r="G14" i="59"/>
  <c r="J14" i="59"/>
  <c r="K14" i="59"/>
  <c r="G15" i="59"/>
  <c r="J15" i="59"/>
  <c r="K15" i="59"/>
  <c r="G16" i="59"/>
  <c r="J16" i="59"/>
  <c r="K16" i="59"/>
  <c r="G17" i="59"/>
  <c r="J17" i="59"/>
  <c r="K17" i="59"/>
  <c r="G18" i="59"/>
  <c r="J18" i="59"/>
  <c r="K18" i="59"/>
  <c r="G19" i="59"/>
  <c r="J19" i="59"/>
  <c r="K19" i="59"/>
  <c r="G20" i="59"/>
  <c r="J20" i="59"/>
  <c r="K20" i="59"/>
  <c r="G21" i="59"/>
  <c r="J21" i="59"/>
  <c r="K21" i="59"/>
  <c r="G22" i="59"/>
  <c r="J22" i="59"/>
  <c r="K22" i="59"/>
  <c r="G23" i="59"/>
  <c r="J23" i="59"/>
  <c r="K23" i="59"/>
  <c r="G24" i="59"/>
  <c r="J24" i="59"/>
  <c r="K24" i="59"/>
  <c r="G25" i="59"/>
  <c r="J25" i="59"/>
  <c r="K25" i="59"/>
  <c r="G26" i="59"/>
  <c r="J26" i="59"/>
  <c r="K26" i="59"/>
  <c r="G27" i="59"/>
  <c r="J27" i="59"/>
  <c r="K27" i="59"/>
  <c r="G28" i="59"/>
  <c r="J28" i="59"/>
  <c r="K28" i="59"/>
  <c r="G29" i="59"/>
  <c r="J29" i="59"/>
  <c r="K29" i="59"/>
  <c r="G30" i="59"/>
  <c r="J30" i="59"/>
  <c r="K30" i="59"/>
  <c r="G31" i="59"/>
  <c r="J31" i="59"/>
  <c r="K31" i="59"/>
  <c r="G32" i="59"/>
  <c r="J32" i="59"/>
  <c r="K32" i="59"/>
  <c r="G33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G9" i="58"/>
  <c r="J9" i="58"/>
  <c r="K9" i="58"/>
  <c r="L9" i="58"/>
  <c r="G10" i="58"/>
  <c r="J10" i="58"/>
  <c r="K10" i="58"/>
  <c r="L10" i="58"/>
  <c r="G11" i="58"/>
  <c r="J11" i="58"/>
  <c r="K11" i="58"/>
  <c r="L11" i="58"/>
  <c r="G12" i="58"/>
  <c r="J12" i="58"/>
  <c r="K12" i="58"/>
  <c r="L12" i="58"/>
  <c r="G13" i="58"/>
  <c r="J13" i="58"/>
  <c r="K13" i="58"/>
  <c r="L13" i="58"/>
  <c r="G14" i="58"/>
  <c r="J14" i="58"/>
  <c r="K14" i="58"/>
  <c r="L14" i="58"/>
  <c r="G15" i="58"/>
  <c r="J15" i="58"/>
  <c r="K15" i="58"/>
  <c r="L15" i="58"/>
  <c r="G16" i="58"/>
  <c r="J16" i="58"/>
  <c r="K16" i="58"/>
  <c r="L16" i="58"/>
  <c r="G17" i="58"/>
  <c r="J17" i="58"/>
  <c r="K17" i="58"/>
  <c r="L17" i="58"/>
  <c r="G18" i="58"/>
  <c r="J18" i="58"/>
  <c r="K18" i="58"/>
  <c r="L18" i="58"/>
  <c r="G19" i="58"/>
  <c r="J19" i="58"/>
  <c r="K19" i="58"/>
  <c r="L19" i="58"/>
  <c r="G20" i="58"/>
  <c r="J20" i="58"/>
  <c r="K20" i="58"/>
  <c r="L20" i="58"/>
  <c r="G21" i="58"/>
  <c r="J21" i="58"/>
  <c r="K21" i="58"/>
  <c r="L21" i="58"/>
  <c r="G22" i="58"/>
  <c r="J22" i="58"/>
  <c r="K22" i="58"/>
  <c r="L22" i="58"/>
  <c r="G23" i="58"/>
  <c r="J23" i="58"/>
  <c r="K23" i="58"/>
  <c r="L23" i="58"/>
  <c r="G24" i="58"/>
  <c r="J24" i="58"/>
  <c r="K24" i="58"/>
  <c r="L24" i="58"/>
  <c r="G25" i="58"/>
  <c r="J25" i="58"/>
  <c r="K25" i="58"/>
  <c r="L25" i="58"/>
  <c r="J26" i="58"/>
  <c r="K26" i="58"/>
  <c r="L26" i="58"/>
  <c r="G27" i="58"/>
  <c r="J27" i="58"/>
  <c r="K27" i="58"/>
  <c r="L27" i="58"/>
  <c r="G28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2" i="18"/>
  <c r="J12" i="18"/>
  <c r="K12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J5" i="50"/>
  <c r="K5" i="50"/>
  <c r="G6" i="50"/>
  <c r="J6" i="50"/>
  <c r="K6" i="50"/>
  <c r="G7" i="50"/>
  <c r="J7" i="50"/>
  <c r="K7" i="50"/>
  <c r="G8" i="50"/>
  <c r="J8" i="50"/>
  <c r="K8" i="50"/>
  <c r="G9" i="50"/>
  <c r="J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4" i="50"/>
  <c r="J14" i="50"/>
  <c r="K14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G30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36" i="50"/>
  <c r="J36" i="50"/>
  <c r="K36" i="50"/>
  <c r="G37" i="50"/>
  <c r="J37" i="50"/>
  <c r="K37" i="50"/>
  <c r="E48" i="22"/>
  <c r="H35" i="59"/>
  <c r="I11" i="56"/>
  <c r="I8" i="56"/>
  <c r="G8" i="56"/>
  <c r="H37" i="65"/>
  <c r="F11" i="56" s="1"/>
  <c r="E37" i="65"/>
  <c r="D11" i="56" s="1"/>
  <c r="J4" i="65"/>
  <c r="J37" i="65" s="1"/>
  <c r="G11" i="56" s="1"/>
  <c r="G4" i="65"/>
  <c r="G5" i="64"/>
  <c r="J5" i="64"/>
  <c r="K5" i="64"/>
  <c r="G6" i="64"/>
  <c r="J6" i="64"/>
  <c r="K6" i="64"/>
  <c r="G7" i="64"/>
  <c r="J7" i="64"/>
  <c r="K7" i="64"/>
  <c r="G8" i="64"/>
  <c r="J8" i="64"/>
  <c r="K8" i="64"/>
  <c r="G9" i="64"/>
  <c r="J9" i="64"/>
  <c r="K9" i="64"/>
  <c r="L35" i="64"/>
  <c r="J8" i="56" s="1"/>
  <c r="H35" i="64"/>
  <c r="F8" i="56" s="1"/>
  <c r="E35" i="64"/>
  <c r="D8" i="56" s="1"/>
  <c r="J4" i="64"/>
  <c r="J35" i="64" s="1"/>
  <c r="G4" i="64"/>
  <c r="I20" i="56"/>
  <c r="H36" i="63"/>
  <c r="F20" i="56" s="1"/>
  <c r="E36" i="63"/>
  <c r="D20" i="56" s="1"/>
  <c r="K33" i="63"/>
  <c r="L33" i="63" s="1"/>
  <c r="K32" i="63"/>
  <c r="L32" i="63" s="1"/>
  <c r="K31" i="63"/>
  <c r="L31" i="63" s="1"/>
  <c r="K30" i="63"/>
  <c r="L30" i="63" s="1"/>
  <c r="K29" i="63"/>
  <c r="L29" i="63" s="1"/>
  <c r="K27" i="63"/>
  <c r="L27" i="63" s="1"/>
  <c r="K26" i="63"/>
  <c r="L26" i="63" s="1"/>
  <c r="K25" i="63"/>
  <c r="L25" i="63" s="1"/>
  <c r="K24" i="63"/>
  <c r="L24" i="63" s="1"/>
  <c r="K23" i="63"/>
  <c r="L23" i="63" s="1"/>
  <c r="K22" i="63"/>
  <c r="L22" i="63" s="1"/>
  <c r="K21" i="63"/>
  <c r="L21" i="63" s="1"/>
  <c r="K20" i="63"/>
  <c r="L20" i="63" s="1"/>
  <c r="K19" i="63"/>
  <c r="L19" i="63" s="1"/>
  <c r="K18" i="63"/>
  <c r="L18" i="63" s="1"/>
  <c r="K17" i="63"/>
  <c r="L17" i="63" s="1"/>
  <c r="K16" i="63"/>
  <c r="L16" i="63" s="1"/>
  <c r="K15" i="63"/>
  <c r="L15" i="63" s="1"/>
  <c r="K14" i="63"/>
  <c r="L14" i="63" s="1"/>
  <c r="K13" i="63"/>
  <c r="L13" i="63" s="1"/>
  <c r="K12" i="63"/>
  <c r="L12" i="63" s="1"/>
  <c r="K11" i="63"/>
  <c r="L11" i="63" s="1"/>
  <c r="K10" i="63"/>
  <c r="L10" i="63" s="1"/>
  <c r="K9" i="63"/>
  <c r="L9" i="63" s="1"/>
  <c r="K8" i="63"/>
  <c r="L8" i="63" s="1"/>
  <c r="K7" i="63"/>
  <c r="L7" i="63" s="1"/>
  <c r="K6" i="63"/>
  <c r="L6" i="63" s="1"/>
  <c r="K5" i="63"/>
  <c r="L5" i="63" s="1"/>
  <c r="J4" i="63"/>
  <c r="J36" i="63" s="1"/>
  <c r="G20" i="56" s="1"/>
  <c r="G4" i="63"/>
  <c r="M3" i="63"/>
  <c r="G5" i="44"/>
  <c r="G6" i="44"/>
  <c r="G7" i="44"/>
  <c r="G8" i="44"/>
  <c r="G9" i="44"/>
  <c r="G10" i="44"/>
  <c r="G11" i="44"/>
  <c r="G12" i="44"/>
  <c r="G13" i="44"/>
  <c r="G14" i="44"/>
  <c r="G15" i="44"/>
  <c r="K15" i="44" s="1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9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K52" i="44" s="1"/>
  <c r="G53" i="44"/>
  <c r="K53" i="44" s="1"/>
  <c r="G54" i="44"/>
  <c r="G55" i="44"/>
  <c r="G56" i="44"/>
  <c r="G57" i="44"/>
  <c r="G58" i="44"/>
  <c r="I24" i="56"/>
  <c r="L36" i="62"/>
  <c r="J13" i="56" s="1"/>
  <c r="H36" i="62"/>
  <c r="F13" i="56" s="1"/>
  <c r="E36" i="62"/>
  <c r="D13" i="56" s="1"/>
  <c r="J4" i="62"/>
  <c r="J36" i="62" s="1"/>
  <c r="G13" i="56" s="1"/>
  <c r="G4" i="62"/>
  <c r="M3" i="62"/>
  <c r="I13" i="56" s="1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G5" i="57"/>
  <c r="L5" i="57"/>
  <c r="G6" i="57"/>
  <c r="K6" i="57" s="1"/>
  <c r="L6" i="57"/>
  <c r="G7" i="57"/>
  <c r="K7" i="57" s="1"/>
  <c r="L7" i="57"/>
  <c r="G8" i="57"/>
  <c r="K8" i="57" s="1"/>
  <c r="L8" i="57"/>
  <c r="G9" i="57"/>
  <c r="L9" i="57"/>
  <c r="G10" i="57"/>
  <c r="K10" i="57" s="1"/>
  <c r="L10" i="57"/>
  <c r="G11" i="57"/>
  <c r="K11" i="57" s="1"/>
  <c r="L11" i="57"/>
  <c r="G12" i="57"/>
  <c r="L12" i="57"/>
  <c r="G13" i="57"/>
  <c r="L13" i="57"/>
  <c r="G14" i="57"/>
  <c r="K14" i="57" s="1"/>
  <c r="L14" i="57"/>
  <c r="L15" i="57"/>
  <c r="L16" i="57"/>
  <c r="L17" i="57"/>
  <c r="L18" i="57"/>
  <c r="L19" i="57"/>
  <c r="L20" i="57"/>
  <c r="L21" i="57"/>
  <c r="G22" i="57"/>
  <c r="L22" i="57"/>
  <c r="G23" i="57"/>
  <c r="L23" i="57"/>
  <c r="G24" i="57"/>
  <c r="L24" i="57"/>
  <c r="G25" i="57"/>
  <c r="L25" i="57"/>
  <c r="G26" i="57"/>
  <c r="L26" i="57"/>
  <c r="G27" i="57"/>
  <c r="K27" i="57" s="1"/>
  <c r="L27" i="57"/>
  <c r="G28" i="57"/>
  <c r="K28" i="57" s="1"/>
  <c r="L28" i="57"/>
  <c r="G29" i="57"/>
  <c r="L29" i="57"/>
  <c r="G30" i="57"/>
  <c r="L30" i="57"/>
  <c r="G31" i="57"/>
  <c r="L31" i="57"/>
  <c r="G32" i="57"/>
  <c r="L32" i="57"/>
  <c r="G34" i="36"/>
  <c r="J34" i="36"/>
  <c r="K34" i="36"/>
  <c r="G34" i="37"/>
  <c r="J34" i="37"/>
  <c r="K34" i="37"/>
  <c r="L34" i="37"/>
  <c r="G6" i="14"/>
  <c r="J6" i="14"/>
  <c r="K6" i="14"/>
  <c r="G7" i="14"/>
  <c r="J7" i="14"/>
  <c r="K7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G5" i="54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6" i="54"/>
  <c r="J16" i="54"/>
  <c r="K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K22" i="54" s="1"/>
  <c r="J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H35" i="37"/>
  <c r="E43" i="35"/>
  <c r="E35" i="11"/>
  <c r="Q34" i="54"/>
  <c r="H40" i="41"/>
  <c r="J34" i="44"/>
  <c r="I34" i="56"/>
  <c r="I22" i="56"/>
  <c r="H37" i="61"/>
  <c r="F22" i="56" s="1"/>
  <c r="E37" i="61"/>
  <c r="D22" i="56" s="1"/>
  <c r="L37" i="61"/>
  <c r="J22" i="56" s="1"/>
  <c r="J4" i="61"/>
  <c r="J37" i="61" s="1"/>
  <c r="G22" i="56" s="1"/>
  <c r="G4" i="61"/>
  <c r="H35" i="12"/>
  <c r="E35" i="37"/>
  <c r="J42" i="44"/>
  <c r="Q21" i="34"/>
  <c r="E47" i="34"/>
  <c r="G5" i="1"/>
  <c r="G6" i="1"/>
  <c r="G7" i="1"/>
  <c r="I41" i="56"/>
  <c r="I38" i="56"/>
  <c r="H35" i="60"/>
  <c r="F34" i="56" s="1"/>
  <c r="D34" i="56"/>
  <c r="J4" i="60"/>
  <c r="J35" i="60" s="1"/>
  <c r="G34" i="56" s="1"/>
  <c r="G4" i="60"/>
  <c r="I4" i="56"/>
  <c r="I31" i="56"/>
  <c r="I5" i="56"/>
  <c r="I29" i="56"/>
  <c r="I39" i="56"/>
  <c r="I36" i="56"/>
  <c r="G4" i="52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J4" i="47"/>
  <c r="L33" i="57"/>
  <c r="J5" i="14"/>
  <c r="K5" i="14"/>
  <c r="H36" i="2"/>
  <c r="P11" i="33"/>
  <c r="I7" i="56"/>
  <c r="F7" i="56"/>
  <c r="E35" i="59"/>
  <c r="D7" i="56" s="1"/>
  <c r="J4" i="59"/>
  <c r="J35" i="59" s="1"/>
  <c r="G7" i="56" s="1"/>
  <c r="G4" i="59"/>
  <c r="L40" i="41"/>
  <c r="I42" i="56"/>
  <c r="I37" i="56"/>
  <c r="I33" i="56"/>
  <c r="I32" i="56"/>
  <c r="I28" i="56"/>
  <c r="I27" i="56"/>
  <c r="I23" i="56"/>
  <c r="I18" i="56"/>
  <c r="I17" i="56"/>
  <c r="I16" i="56"/>
  <c r="I15" i="56"/>
  <c r="I14" i="56"/>
  <c r="G35" i="18"/>
  <c r="M3" i="45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9" i="44"/>
  <c r="J41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57" i="44"/>
  <c r="J58" i="44"/>
  <c r="J60" i="44"/>
  <c r="J61" i="44"/>
  <c r="J62" i="44"/>
  <c r="J63" i="44"/>
  <c r="G4" i="9"/>
  <c r="G4" i="1"/>
  <c r="K34" i="19"/>
  <c r="L34" i="19"/>
  <c r="G33" i="57"/>
  <c r="G34" i="57"/>
  <c r="K34" i="57" s="1"/>
  <c r="L34" i="57" s="1"/>
  <c r="G4" i="41"/>
  <c r="Q13" i="37"/>
  <c r="G4" i="37"/>
  <c r="J34" i="15"/>
  <c r="G5" i="14"/>
  <c r="M3" i="3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J21" i="7"/>
  <c r="J22" i="7"/>
  <c r="G33" i="7"/>
  <c r="J5" i="1"/>
  <c r="K5" i="1"/>
  <c r="J6" i="1"/>
  <c r="K6" i="1"/>
  <c r="J7" i="1"/>
  <c r="K7" i="1"/>
  <c r="J35" i="18"/>
  <c r="K35" i="18"/>
  <c r="G4" i="50"/>
  <c r="J4" i="50"/>
  <c r="K4" i="50"/>
  <c r="H35" i="9"/>
  <c r="G34" i="58"/>
  <c r="J34" i="58"/>
  <c r="K34" i="58"/>
  <c r="L34" i="58"/>
  <c r="J4" i="58"/>
  <c r="G4" i="58"/>
  <c r="H35" i="58"/>
  <c r="F6" i="56" s="1"/>
  <c r="E35" i="58"/>
  <c r="D6" i="56" s="1"/>
  <c r="J35" i="58"/>
  <c r="G6" i="56" s="1"/>
  <c r="H35" i="36"/>
  <c r="E35" i="36"/>
  <c r="D30" i="56"/>
  <c r="H35" i="19"/>
  <c r="E35" i="19"/>
  <c r="H43" i="51"/>
  <c r="E43" i="51"/>
  <c r="F43" i="56"/>
  <c r="D43" i="56"/>
  <c r="F42" i="56"/>
  <c r="D42" i="56"/>
  <c r="D41" i="56"/>
  <c r="D39" i="56"/>
  <c r="E44" i="33"/>
  <c r="D38" i="56" s="1"/>
  <c r="F37" i="56"/>
  <c r="E35" i="9"/>
  <c r="D37" i="56" s="1"/>
  <c r="F36" i="56"/>
  <c r="E46" i="26"/>
  <c r="D36" i="56" s="1"/>
  <c r="H35" i="57"/>
  <c r="F35" i="56" s="1"/>
  <c r="E35" i="57"/>
  <c r="D35" i="56" s="1"/>
  <c r="J4" i="57"/>
  <c r="J35" i="57" s="1"/>
  <c r="G35" i="56" s="1"/>
  <c r="G4" i="57"/>
  <c r="J33" i="56"/>
  <c r="F33" i="56"/>
  <c r="E40" i="41"/>
  <c r="D33" i="56" s="1"/>
  <c r="E35" i="12"/>
  <c r="L35" i="12"/>
  <c r="J32" i="56"/>
  <c r="F32" i="56"/>
  <c r="D32" i="56"/>
  <c r="F27" i="56"/>
  <c r="D27" i="56"/>
  <c r="E35" i="20"/>
  <c r="D19" i="56" s="1"/>
  <c r="I12" i="56"/>
  <c r="H47" i="34"/>
  <c r="F39" i="56" s="1"/>
  <c r="D31" i="56"/>
  <c r="D29" i="56"/>
  <c r="E36" i="14"/>
  <c r="D28" i="56" s="1"/>
  <c r="E35" i="25"/>
  <c r="D26" i="56" s="1"/>
  <c r="E35" i="40"/>
  <c r="D25" i="56" s="1"/>
  <c r="D24" i="56"/>
  <c r="J23" i="56"/>
  <c r="D23" i="56"/>
  <c r="E35" i="24"/>
  <c r="D21" i="56" s="1"/>
  <c r="E35" i="3"/>
  <c r="D18" i="56" s="1"/>
  <c r="E35" i="7"/>
  <c r="D17" i="56" s="1"/>
  <c r="E36" i="16"/>
  <c r="D16" i="56" s="1"/>
  <c r="L36" i="16"/>
  <c r="E35" i="52"/>
  <c r="D15" i="56" s="1"/>
  <c r="E35" i="1"/>
  <c r="D14" i="56" s="1"/>
  <c r="E36" i="2"/>
  <c r="D12" i="56" s="1"/>
  <c r="E35" i="54"/>
  <c r="D5" i="56" s="1"/>
  <c r="L35" i="9"/>
  <c r="J37" i="56" s="1"/>
  <c r="F31" i="56"/>
  <c r="F30" i="56"/>
  <c r="L35" i="11"/>
  <c r="J24" i="56" s="1"/>
  <c r="H35" i="11"/>
  <c r="F24" i="56" s="1"/>
  <c r="F23" i="56"/>
  <c r="G35" i="3"/>
  <c r="E18" i="56" s="1"/>
  <c r="H35" i="3"/>
  <c r="F18" i="56" s="1"/>
  <c r="L35" i="3"/>
  <c r="J18" i="56" s="1"/>
  <c r="H35" i="7"/>
  <c r="F17" i="56" s="1"/>
  <c r="L36" i="2"/>
  <c r="J12" i="56" s="1"/>
  <c r="H36" i="18"/>
  <c r="F4" i="56" s="1"/>
  <c r="E36" i="18"/>
  <c r="D4" i="56" s="1"/>
  <c r="I3" i="56"/>
  <c r="I2" i="56"/>
  <c r="L38" i="50"/>
  <c r="J2" i="56" s="1"/>
  <c r="H38" i="50"/>
  <c r="F2" i="56" s="1"/>
  <c r="E38" i="50"/>
  <c r="D2" i="56" s="1"/>
  <c r="F41" i="56"/>
  <c r="J29" i="56"/>
  <c r="F29" i="56"/>
  <c r="L36" i="14"/>
  <c r="J28" i="56" s="1"/>
  <c r="H36" i="14"/>
  <c r="F28" i="56" s="1"/>
  <c r="H35" i="25"/>
  <c r="F26" i="56" s="1"/>
  <c r="J35" i="40"/>
  <c r="G25" i="56" s="1"/>
  <c r="H35" i="40"/>
  <c r="F25" i="56" s="1"/>
  <c r="H35" i="24"/>
  <c r="F21" i="56" s="1"/>
  <c r="H35" i="20"/>
  <c r="F19" i="56" s="1"/>
  <c r="K37" i="16"/>
  <c r="L35" i="52"/>
  <c r="J15" i="56" s="1"/>
  <c r="H35" i="52"/>
  <c r="F15" i="56" s="1"/>
  <c r="H35" i="1"/>
  <c r="F14" i="56" s="1"/>
  <c r="G35" i="1"/>
  <c r="E14" i="56" s="1"/>
  <c r="L35" i="1"/>
  <c r="J14" i="56" s="1"/>
  <c r="F12" i="56"/>
  <c r="E38" i="47"/>
  <c r="D3" i="56" s="1"/>
  <c r="L38" i="47"/>
  <c r="J3" i="56" s="1"/>
  <c r="H38" i="47"/>
  <c r="F3" i="56" s="1"/>
  <c r="L35" i="54"/>
  <c r="J5" i="56" s="1"/>
  <c r="H35" i="54"/>
  <c r="J4" i="54"/>
  <c r="J35" i="54" s="1"/>
  <c r="G4" i="54"/>
  <c r="M3" i="54"/>
  <c r="G4" i="15"/>
  <c r="E29" i="56" s="1"/>
  <c r="J4" i="44"/>
  <c r="G4" i="44"/>
  <c r="J64" i="44"/>
  <c r="J65" i="44"/>
  <c r="J66" i="44"/>
  <c r="J67" i="44"/>
  <c r="J68" i="44"/>
  <c r="J69" i="44"/>
  <c r="J70" i="44"/>
  <c r="J71" i="44"/>
  <c r="J72" i="44"/>
  <c r="J73" i="44"/>
  <c r="J74" i="44"/>
  <c r="J75" i="44"/>
  <c r="J76" i="44"/>
  <c r="J77" i="44"/>
  <c r="J78" i="44"/>
  <c r="J79" i="44"/>
  <c r="G80" i="44"/>
  <c r="J80" i="44"/>
  <c r="G81" i="44"/>
  <c r="J81" i="44"/>
  <c r="G82" i="44"/>
  <c r="J82" i="44"/>
  <c r="G83" i="44"/>
  <c r="J83" i="44"/>
  <c r="G84" i="44"/>
  <c r="J84" i="44"/>
  <c r="G85" i="44"/>
  <c r="J85" i="44"/>
  <c r="G86" i="44"/>
  <c r="J86" i="44"/>
  <c r="G4" i="51"/>
  <c r="G4" i="22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L45" i="26"/>
  <c r="G34" i="7"/>
  <c r="K34" i="7"/>
  <c r="G4" i="47"/>
  <c r="M3" i="50"/>
  <c r="L35" i="36"/>
  <c r="J30" i="56" s="1"/>
  <c r="X16" i="1"/>
  <c r="V21" i="16"/>
  <c r="V20" i="16"/>
  <c r="G4" i="40"/>
  <c r="J4" i="25"/>
  <c r="G4" i="25"/>
  <c r="J4" i="24"/>
  <c r="J35" i="24" s="1"/>
  <c r="G21" i="56" s="1"/>
  <c r="G4" i="12"/>
  <c r="G35" i="12" s="1"/>
  <c r="E32" i="56" s="1"/>
  <c r="H36" i="16"/>
  <c r="F16" i="56" s="1"/>
  <c r="L36" i="18"/>
  <c r="J4" i="56" s="1"/>
  <c r="M3" i="40"/>
  <c r="I38" i="37"/>
  <c r="J4" i="37"/>
  <c r="I38" i="36"/>
  <c r="J4" i="36"/>
  <c r="J35" i="36" s="1"/>
  <c r="G4" i="36"/>
  <c r="G35" i="36" s="1"/>
  <c r="E30" i="56" s="1"/>
  <c r="M3" i="36"/>
  <c r="J42" i="35"/>
  <c r="G42" i="35"/>
  <c r="K42" i="35" s="1"/>
  <c r="L42" i="35" s="1"/>
  <c r="J4" i="35"/>
  <c r="J46" i="34"/>
  <c r="G46" i="34"/>
  <c r="K46" i="34" s="1"/>
  <c r="L46" i="34" s="1"/>
  <c r="J45" i="34"/>
  <c r="G45" i="34"/>
  <c r="K45" i="34" s="1"/>
  <c r="L45" i="34" s="1"/>
  <c r="J4" i="34"/>
  <c r="H44" i="33"/>
  <c r="F38" i="56" s="1"/>
  <c r="J4" i="33"/>
  <c r="J44" i="33" s="1"/>
  <c r="G38" i="56" s="1"/>
  <c r="G4" i="33"/>
  <c r="J4" i="10"/>
  <c r="J37" i="10" s="1"/>
  <c r="M3" i="9"/>
  <c r="J4" i="22"/>
  <c r="J48" i="22" s="1"/>
  <c r="G27" i="56" s="1"/>
  <c r="L35" i="7"/>
  <c r="J17" i="56" s="1"/>
  <c r="M3" i="1"/>
  <c r="J4" i="18"/>
  <c r="I39" i="15"/>
  <c r="J4" i="26"/>
  <c r="G4" i="26"/>
  <c r="J4" i="9"/>
  <c r="J4" i="15"/>
  <c r="M3" i="20"/>
  <c r="M3" i="25"/>
  <c r="G4" i="7"/>
  <c r="M3" i="2"/>
  <c r="G4" i="24"/>
  <c r="J4" i="20"/>
  <c r="G4" i="19"/>
  <c r="G35" i="19" s="1"/>
  <c r="E43" i="56" s="1"/>
  <c r="J4" i="19"/>
  <c r="K4" i="19"/>
  <c r="J4" i="16"/>
  <c r="G4" i="16"/>
  <c r="J4" i="14"/>
  <c r="G4" i="14"/>
  <c r="K4" i="14"/>
  <c r="J4" i="7"/>
  <c r="J35" i="7" s="1"/>
  <c r="G17" i="56" s="1"/>
  <c r="J4" i="12"/>
  <c r="G4" i="11"/>
  <c r="J4" i="11"/>
  <c r="J35" i="11" s="1"/>
  <c r="G24" i="56" s="1"/>
  <c r="K4" i="11"/>
  <c r="M4" i="11" s="1"/>
  <c r="M5" i="11" s="1"/>
  <c r="G4" i="10"/>
  <c r="G37" i="10" s="1"/>
  <c r="J4" i="3"/>
  <c r="J35" i="3" s="1"/>
  <c r="G18" i="56" s="1"/>
  <c r="H18" i="56" s="1"/>
  <c r="K18" i="56" s="1"/>
  <c r="G4" i="3"/>
  <c r="J4" i="2"/>
  <c r="J36" i="2" s="1"/>
  <c r="G12" i="56" s="1"/>
  <c r="G4" i="2"/>
  <c r="G36" i="2" s="1"/>
  <c r="E12" i="56" s="1"/>
  <c r="H12" i="56" s="1"/>
  <c r="J4" i="1"/>
  <c r="J35" i="1" s="1"/>
  <c r="G14" i="56" s="1"/>
  <c r="K4" i="1"/>
  <c r="K35" i="1" s="1"/>
  <c r="G35" i="71" l="1"/>
  <c r="E10" i="56" s="1"/>
  <c r="H10" i="56" s="1"/>
  <c r="K4" i="71"/>
  <c r="K37" i="65"/>
  <c r="G35" i="70"/>
  <c r="K4" i="70"/>
  <c r="M4" i="45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K4" i="69"/>
  <c r="E47" i="69"/>
  <c r="D40" i="56" s="1"/>
  <c r="G35" i="68"/>
  <c r="K4" i="44"/>
  <c r="M4" i="44" s="1"/>
  <c r="K11" i="44"/>
  <c r="K10" i="44"/>
  <c r="K9" i="44"/>
  <c r="K8" i="44"/>
  <c r="K7" i="44"/>
  <c r="K6" i="44"/>
  <c r="K5" i="44"/>
  <c r="K35" i="24"/>
  <c r="K28" i="63"/>
  <c r="L28" i="63" s="1"/>
  <c r="M5" i="24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6" i="11"/>
  <c r="G37" i="65"/>
  <c r="E11" i="56" s="1"/>
  <c r="H11" i="56" s="1"/>
  <c r="K11" i="56" s="1"/>
  <c r="K4" i="65"/>
  <c r="G35" i="64"/>
  <c r="E8" i="56" s="1"/>
  <c r="H8" i="56" s="1"/>
  <c r="K8" i="56" s="1"/>
  <c r="K4" i="64"/>
  <c r="M4" i="64" s="1"/>
  <c r="J36" i="16"/>
  <c r="G16" i="56" s="1"/>
  <c r="L46" i="26"/>
  <c r="G36" i="63"/>
  <c r="E20" i="56" s="1"/>
  <c r="H20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6" i="62"/>
  <c r="E13" i="56" s="1"/>
  <c r="H13" i="56" s="1"/>
  <c r="K13" i="56" s="1"/>
  <c r="K4" i="62"/>
  <c r="I44" i="56"/>
  <c r="G37" i="61"/>
  <c r="E22" i="56" s="1"/>
  <c r="H22" i="56" s="1"/>
  <c r="K22" i="56" s="1"/>
  <c r="K4" i="61"/>
  <c r="G35" i="60"/>
  <c r="E34" i="56" s="1"/>
  <c r="H34" i="56" s="1"/>
  <c r="K4" i="60"/>
  <c r="J43" i="51"/>
  <c r="G42" i="56" s="1"/>
  <c r="G47" i="34"/>
  <c r="E39" i="56" s="1"/>
  <c r="J16" i="56"/>
  <c r="G35" i="59"/>
  <c r="E7" i="56" s="1"/>
  <c r="H7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K4" i="12"/>
  <c r="K35" i="12" s="1"/>
  <c r="J35" i="12"/>
  <c r="G32" i="56" s="1"/>
  <c r="H32" i="56"/>
  <c r="K32" i="56" s="1"/>
  <c r="H14" i="56"/>
  <c r="K14" i="56" s="1"/>
  <c r="J47" i="34"/>
  <c r="G39" i="56" s="1"/>
  <c r="H39" i="56" s="1"/>
  <c r="G44" i="33"/>
  <c r="E38" i="56" s="1"/>
  <c r="H38" i="56" s="1"/>
  <c r="J35" i="9"/>
  <c r="G37" i="56" s="1"/>
  <c r="J46" i="26"/>
  <c r="G36" i="56" s="1"/>
  <c r="G48" i="22"/>
  <c r="E27" i="56" s="1"/>
  <c r="H27" i="56" s="1"/>
  <c r="K4" i="40"/>
  <c r="L4" i="40" s="1"/>
  <c r="G35" i="40"/>
  <c r="E25" i="56" s="1"/>
  <c r="H25" i="56" s="1"/>
  <c r="L35" i="40"/>
  <c r="J25" i="56" s="1"/>
  <c r="K35" i="40"/>
  <c r="J35" i="52"/>
  <c r="G15" i="56" s="1"/>
  <c r="K35" i="52"/>
  <c r="H15" i="56" s="1"/>
  <c r="K15" i="56" s="1"/>
  <c r="G35" i="52"/>
  <c r="K12" i="56"/>
  <c r="J40" i="41"/>
  <c r="G33" i="56" s="1"/>
  <c r="G29" i="56"/>
  <c r="H29" i="56" s="1"/>
  <c r="G35" i="11"/>
  <c r="E24" i="56" s="1"/>
  <c r="G43" i="35"/>
  <c r="E41" i="56" s="1"/>
  <c r="G43" i="51"/>
  <c r="E42" i="56" s="1"/>
  <c r="H42" i="56" s="1"/>
  <c r="J36" i="56"/>
  <c r="G46" i="26"/>
  <c r="E36" i="56" s="1"/>
  <c r="E4" i="56"/>
  <c r="J35" i="19"/>
  <c r="G43" i="56" s="1"/>
  <c r="H43" i="56" s="1"/>
  <c r="H36" i="56"/>
  <c r="J43" i="35"/>
  <c r="G41" i="56" s="1"/>
  <c r="H41" i="56" s="1"/>
  <c r="G35" i="9"/>
  <c r="E37" i="56" s="1"/>
  <c r="G40" i="41"/>
  <c r="E33" i="56" s="1"/>
  <c r="H33" i="56" s="1"/>
  <c r="K29" i="56"/>
  <c r="G35" i="58"/>
  <c r="E6" i="56" s="1"/>
  <c r="H6" i="56" s="1"/>
  <c r="K4" i="58"/>
  <c r="G35" i="57"/>
  <c r="E35" i="56" s="1"/>
  <c r="H35" i="56" s="1"/>
  <c r="K4" i="57"/>
  <c r="L4" i="57" s="1"/>
  <c r="L35" i="57" s="1"/>
  <c r="J35" i="56" s="1"/>
  <c r="H24" i="56"/>
  <c r="K24" i="56" s="1"/>
  <c r="G35" i="7"/>
  <c r="E17" i="56" s="1"/>
  <c r="J38" i="47"/>
  <c r="G3" i="56" s="1"/>
  <c r="G23" i="56"/>
  <c r="J35" i="37"/>
  <c r="G31" i="56" s="1"/>
  <c r="J36" i="14"/>
  <c r="G28" i="56" s="1"/>
  <c r="G36" i="14"/>
  <c r="E28" i="56" s="1"/>
  <c r="H28" i="56" s="1"/>
  <c r="K28" i="56" s="1"/>
  <c r="J35" i="20"/>
  <c r="G19" i="56" s="1"/>
  <c r="F44" i="56"/>
  <c r="G38" i="47"/>
  <c r="E3" i="56" s="1"/>
  <c r="K35" i="19"/>
  <c r="G35" i="20"/>
  <c r="E19" i="56" s="1"/>
  <c r="H19" i="56" s="1"/>
  <c r="J36" i="18"/>
  <c r="G4" i="56" s="1"/>
  <c r="J38" i="50"/>
  <c r="G2" i="56" s="1"/>
  <c r="G38" i="50"/>
  <c r="E2" i="56" s="1"/>
  <c r="H2" i="56" s="1"/>
  <c r="G30" i="56"/>
  <c r="G35" i="25"/>
  <c r="E26" i="56" s="1"/>
  <c r="J35" i="25"/>
  <c r="G26" i="56" s="1"/>
  <c r="H26" i="56" s="1"/>
  <c r="K35" i="11"/>
  <c r="E23" i="56"/>
  <c r="G35" i="54"/>
  <c r="E5" i="56" s="1"/>
  <c r="G35" i="24"/>
  <c r="E21" i="56" s="1"/>
  <c r="H21" i="56" s="1"/>
  <c r="G35" i="37"/>
  <c r="E31" i="56" s="1"/>
  <c r="H31" i="56" s="1"/>
  <c r="K4" i="54"/>
  <c r="K4" i="41"/>
  <c r="K36" i="14"/>
  <c r="K4" i="22"/>
  <c r="M4" i="22" s="1"/>
  <c r="M5" i="22" s="1"/>
  <c r="M6" i="22" s="1"/>
  <c r="K4" i="51"/>
  <c r="K4" i="24"/>
  <c r="K38" i="50"/>
  <c r="K4" i="47"/>
  <c r="K38" i="47" s="1"/>
  <c r="M4" i="47"/>
  <c r="O4" i="47" s="1"/>
  <c r="G36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4" i="12"/>
  <c r="K4" i="18"/>
  <c r="K36" i="18" s="1"/>
  <c r="M4" i="18"/>
  <c r="K4" i="37"/>
  <c r="K4" i="36"/>
  <c r="K35" i="36" s="1"/>
  <c r="K4" i="35"/>
  <c r="M4" i="35" s="1"/>
  <c r="M5" i="35" s="1"/>
  <c r="M6" i="35" s="1"/>
  <c r="M7" i="35" s="1"/>
  <c r="M8" i="35" s="1"/>
  <c r="K4" i="34"/>
  <c r="M4" i="34" s="1"/>
  <c r="K4" i="33"/>
  <c r="L4" i="19"/>
  <c r="L35" i="19" s="1"/>
  <c r="J43" i="56" s="1"/>
  <c r="M5" i="18"/>
  <c r="M6" i="18" s="1"/>
  <c r="M7" i="18" s="1"/>
  <c r="M8" i="18" s="1"/>
  <c r="K4" i="7"/>
  <c r="K35" i="7" s="1"/>
  <c r="M4" i="14"/>
  <c r="M5" i="14" s="1"/>
  <c r="M6" i="14" s="1"/>
  <c r="M7" i="14" s="1"/>
  <c r="M8" i="14" s="1"/>
  <c r="M9" i="14" s="1"/>
  <c r="M10" i="14" s="1"/>
  <c r="K4" i="16"/>
  <c r="K4" i="9"/>
  <c r="K4" i="10"/>
  <c r="K37" i="10" s="1"/>
  <c r="K4" i="2"/>
  <c r="K36" i="2" s="1"/>
  <c r="K4" i="26"/>
  <c r="M11" i="14"/>
  <c r="M12" i="14" s="1"/>
  <c r="M13" i="14" s="1"/>
  <c r="M14" i="14" s="1"/>
  <c r="M15" i="14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0"/>
  <c r="K35" i="20" s="1"/>
  <c r="K4" i="25"/>
  <c r="K4" i="15"/>
  <c r="K4" i="3"/>
  <c r="H3" i="56" l="1"/>
  <c r="K3" i="56" s="1"/>
  <c r="H5" i="56"/>
  <c r="K5" i="56" s="1"/>
  <c r="H4" i="56"/>
  <c r="K35" i="71"/>
  <c r="L4" i="71"/>
  <c r="L35" i="71" s="1"/>
  <c r="J10" i="56" s="1"/>
  <c r="K35" i="70"/>
  <c r="M4" i="70"/>
  <c r="M5" i="70" s="1"/>
  <c r="M6" i="70" s="1"/>
  <c r="M7" i="70" s="1"/>
  <c r="M8" i="70" s="1"/>
  <c r="M9" i="70" s="1"/>
  <c r="M10" i="70" s="1"/>
  <c r="M11" i="70" s="1"/>
  <c r="M12" i="70" s="1"/>
  <c r="M13" i="70" s="1"/>
  <c r="M14" i="70" s="1"/>
  <c r="M15" i="70" s="1"/>
  <c r="M16" i="70" s="1"/>
  <c r="M17" i="70" s="1"/>
  <c r="M18" i="70" s="1"/>
  <c r="M19" i="70" s="1"/>
  <c r="M20" i="70" s="1"/>
  <c r="M21" i="70" s="1"/>
  <c r="M22" i="70" s="1"/>
  <c r="M23" i="70" s="1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K11" i="69"/>
  <c r="G47" i="69"/>
  <c r="E40" i="56" s="1"/>
  <c r="K47" i="69"/>
  <c r="H40" i="56" s="1"/>
  <c r="M4" i="69"/>
  <c r="M5" i="69" s="1"/>
  <c r="M6" i="69" s="1"/>
  <c r="M7" i="69" s="1"/>
  <c r="M8" i="69" s="1"/>
  <c r="M9" i="69" s="1"/>
  <c r="M10" i="69" s="1"/>
  <c r="M11" i="69" s="1"/>
  <c r="M12" i="69" s="1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K40" i="56" s="1"/>
  <c r="K35" i="68"/>
  <c r="L35" i="68"/>
  <c r="M4" i="68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5" i="44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5" i="25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H37" i="56"/>
  <c r="K37" i="56" s="1"/>
  <c r="C53" i="56" a="1"/>
  <c r="C53" i="56" s="1"/>
  <c r="M9" i="35"/>
  <c r="M10" i="35" s="1"/>
  <c r="M11" i="35" s="1"/>
  <c r="M12" i="35" s="1"/>
  <c r="M13" i="35" s="1"/>
  <c r="M14" i="35" s="1"/>
  <c r="M15" i="35" s="1"/>
  <c r="M16" i="35" s="1"/>
  <c r="M17" i="35" s="1"/>
  <c r="H17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M18" i="65" s="1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5" i="65" s="1"/>
  <c r="M36" i="65" s="1"/>
  <c r="K35" i="64"/>
  <c r="M5" i="64"/>
  <c r="M6" i="64" s="1"/>
  <c r="M7" i="64" s="1"/>
  <c r="M8" i="64" s="1"/>
  <c r="E16" i="56"/>
  <c r="H16" i="56" s="1"/>
  <c r="K16" i="56" s="1"/>
  <c r="K36" i="63"/>
  <c r="L4" i="63"/>
  <c r="L36" i="63" s="1"/>
  <c r="J20" i="56" s="1"/>
  <c r="K20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L43" i="51"/>
  <c r="J42" i="56" s="1"/>
  <c r="K42" i="56" s="1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K43" i="51"/>
  <c r="K36" i="56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3" i="56"/>
  <c r="K35" i="60"/>
  <c r="K46" i="26"/>
  <c r="M4" i="10"/>
  <c r="M5" i="10" s="1"/>
  <c r="M6" i="10" s="1"/>
  <c r="K44" i="33"/>
  <c r="K35" i="9"/>
  <c r="M4" i="9"/>
  <c r="K35" i="56"/>
  <c r="M16" i="14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Q35" i="14" s="1"/>
  <c r="K47" i="34"/>
  <c r="E15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5" i="56"/>
  <c r="H23" i="56"/>
  <c r="K23" i="56" s="1"/>
  <c r="M4" i="41"/>
  <c r="M5" i="41" s="1"/>
  <c r="M6" i="41" s="1"/>
  <c r="M7" i="41" s="1"/>
  <c r="M8" i="41" s="1"/>
  <c r="M9" i="41" s="1"/>
  <c r="M10" i="41" s="1"/>
  <c r="K40" i="41"/>
  <c r="M4" i="16"/>
  <c r="K36" i="16"/>
  <c r="K43" i="56"/>
  <c r="K35" i="58"/>
  <c r="L4" i="58"/>
  <c r="L35" i="58" s="1"/>
  <c r="J6" i="56" s="1"/>
  <c r="H30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48" i="22"/>
  <c r="K30" i="56"/>
  <c r="K4" i="56"/>
  <c r="K2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K35" i="54"/>
  <c r="M4" i="54"/>
  <c r="M5" i="54" s="1"/>
  <c r="M6" i="54" s="1"/>
  <c r="M7" i="5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35" i="24"/>
  <c r="K21" i="56" s="1"/>
  <c r="M4" i="50"/>
  <c r="L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K43" i="35"/>
  <c r="L43" i="35"/>
  <c r="J41" i="56" s="1"/>
  <c r="K41" i="56" s="1"/>
  <c r="M9" i="18"/>
  <c r="M10" i="18" s="1"/>
  <c r="M11" i="18" s="1"/>
  <c r="M12" i="18" s="1"/>
  <c r="M13" i="18" s="1"/>
  <c r="M14" i="18" s="1"/>
  <c r="M15" i="18" s="1"/>
  <c r="M16" i="18" s="1"/>
  <c r="M17" i="18" s="1"/>
  <c r="M18" i="18" s="1"/>
  <c r="M19" i="18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L35" i="20" s="1"/>
  <c r="J19" i="56" s="1"/>
  <c r="K19" i="56" s="1"/>
  <c r="M26" i="36" l="1"/>
  <c r="M27" i="36" s="1"/>
  <c r="M28" i="36" s="1"/>
  <c r="M29" i="36" s="1"/>
  <c r="M30" i="36" s="1"/>
  <c r="M31" i="36" s="1"/>
  <c r="M32" i="36" s="1"/>
  <c r="M11" i="41"/>
  <c r="M12" i="41" s="1"/>
  <c r="M13" i="41" s="1"/>
  <c r="M14" i="41" s="1"/>
  <c r="M15" i="41" s="1"/>
  <c r="M16" i="41" s="1"/>
  <c r="M17" i="41" s="1"/>
  <c r="M18" i="41" s="1"/>
  <c r="M19" i="41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9" i="64"/>
  <c r="M10" i="64" s="1"/>
  <c r="M11" i="64" s="1"/>
  <c r="M12" i="64" s="1"/>
  <c r="M13" i="64" s="1"/>
  <c r="M14" i="64" s="1"/>
  <c r="M15" i="64" s="1"/>
  <c r="M16" i="64" s="1"/>
  <c r="M17" i="64" s="1"/>
  <c r="M18" i="64" s="1"/>
  <c r="M19" i="64" s="1"/>
  <c r="M20" i="64" s="1"/>
  <c r="M21" i="64" s="1"/>
  <c r="M22" i="64" s="1"/>
  <c r="M23" i="64" s="1"/>
  <c r="M24" i="64" s="1"/>
  <c r="M25" i="64" s="1"/>
  <c r="M26" i="64" s="1"/>
  <c r="M27" i="64" s="1"/>
  <c r="M28" i="64" s="1"/>
  <c r="M29" i="64" s="1"/>
  <c r="M30" i="64" s="1"/>
  <c r="M31" i="64" s="1"/>
  <c r="M32" i="64" s="1"/>
  <c r="M33" i="64" s="1"/>
  <c r="M34" i="64" s="1"/>
  <c r="L35" i="25"/>
  <c r="J26" i="56" s="1"/>
  <c r="K26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7" i="56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M34" i="44"/>
  <c r="L35" i="37"/>
  <c r="J31" i="56" s="1"/>
  <c r="K31" i="56" s="1"/>
  <c r="B50" i="56" s="1" a="1"/>
  <c r="B50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33" i="37" s="1"/>
  <c r="M34" i="37" s="1"/>
  <c r="M20" i="4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9" i="41"/>
  <c r="L35" i="60"/>
  <c r="J34" i="56" s="1"/>
  <c r="K34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8" i="54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7" i="22"/>
  <c r="M8" i="22" s="1"/>
  <c r="M9" i="22" s="1"/>
  <c r="M10" i="22" s="1"/>
  <c r="L35" i="59"/>
  <c r="J7" i="56" s="1"/>
  <c r="K7" i="56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38" i="56" s="1"/>
  <c r="K38" i="56" s="1"/>
  <c r="M4" i="33"/>
  <c r="M30" i="18"/>
  <c r="M31" i="18" s="1"/>
  <c r="M32" i="18" s="1"/>
  <c r="M33" i="18" s="1"/>
  <c r="M34" i="18" s="1"/>
  <c r="L47" i="34"/>
  <c r="J39" i="56" s="1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6" i="56"/>
  <c r="L48" i="22"/>
  <c r="J27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34" i="51"/>
  <c r="M35" i="51" s="1"/>
  <c r="M36" i="51" s="1"/>
  <c r="M37" i="51" s="1"/>
  <c r="M38" i="51" s="1"/>
  <c r="M39" i="51" s="1"/>
  <c r="L47" i="35"/>
  <c r="M16" i="15"/>
  <c r="M17" i="15" s="1"/>
  <c r="M18" i="15" s="1"/>
  <c r="M19" i="15" s="1"/>
  <c r="M20" i="15" s="1"/>
  <c r="M21" i="15" s="1"/>
  <c r="M22" i="15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4" i="20"/>
  <c r="M35" i="18" l="1"/>
  <c r="P34" i="18"/>
  <c r="M11" i="22"/>
  <c r="M12" i="22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35" i="44"/>
  <c r="M36" i="44" s="1"/>
  <c r="M37" i="44" s="1"/>
  <c r="M38" i="44" s="1"/>
  <c r="M39" i="44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K39" i="56"/>
  <c r="J44" i="56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/>
  <c r="K27" i="56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D44" i="56"/>
  <c r="E44" i="56"/>
  <c r="H44" i="56"/>
  <c r="G44" i="56"/>
  <c r="M13" i="22" l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33" i="50"/>
  <c r="M34" i="50" s="1"/>
  <c r="M35" i="50" s="1"/>
  <c r="P32" i="50"/>
  <c r="M40" i="44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K44" i="56"/>
  <c r="M44" i="56" s="1"/>
  <c r="M18" i="35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59" i="44" l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tc={D214B4C4-9A8F-4846-A5D3-C476C5039F35}</author>
  </authors>
  <commentList>
    <comment ref="L22" authorId="0" shapeId="0" xr:uid="{D214B4C4-9A8F-4846-A5D3-C476C5039F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Amount paid  Sri ramanjayaneya  F/S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C55" authorId="0" shapeId="0" xr:uid="{DD5441B2-60D2-4BC8-86BE-9424949A113B}">
      <text>
        <r>
          <rPr>
            <sz val="11"/>
            <color theme="1"/>
            <rFont val="Calibri"/>
            <family val="2"/>
            <scheme val="minor"/>
          </rPr>
          <t>MIS:
Haveri Site 
`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tc={EE479B02-3031-4199-9A33-98C26BECC6C4}</author>
  </authors>
  <commentList>
    <comment ref="L7" authorId="0" shapeId="0" xr:uid="{EE479B02-3031-4199-9A33-98C26BECC6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<sst xmlns="http://schemas.openxmlformats.org/spreadsheetml/2006/main" count="1416" uniqueCount="270">
  <si>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</si>
  <si>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</si>
  <si>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</si>
  <si>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</si>
  <si>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</si>
  <si>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</si>
  <si>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</si>
  <si>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</si>
  <si>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</si>
  <si>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</si>
  <si>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</si>
  <si>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</si>
  <si>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</si>
  <si>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</si>
  <si>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</si>
  <si>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Jadcherla-1</t>
  </si>
  <si>
    <t>Sai Baba Fuel Station</t>
  </si>
  <si>
    <t>Jadcherla-2</t>
  </si>
  <si>
    <t xml:space="preserve">ADHOC FILLING STATION STATION </t>
  </si>
  <si>
    <t>Dindi</t>
  </si>
  <si>
    <t>Akarapu Balakistamma Fillling</t>
  </si>
  <si>
    <t>Devarkhadra-1</t>
  </si>
  <si>
    <t>Kurumurthy Swami  F/S</t>
  </si>
  <si>
    <t>Devarkhadra-2</t>
  </si>
  <si>
    <t>M/S. Sri Rama Filling Station</t>
  </si>
  <si>
    <t>Devarkhadra-3</t>
  </si>
  <si>
    <t>JSASFuel Genie India Pvt.Ltd</t>
  </si>
  <si>
    <t>MAdanapalli</t>
  </si>
  <si>
    <t>Sri Mallikarjuna Traders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</si>
  <si>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</si>
  <si>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</si>
  <si>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</si>
  <si>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</si>
  <si>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</si>
  <si>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</si>
  <si>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</si>
  <si>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</si>
  <si>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</si>
  <si>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</si>
  <si>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</si>
  <si>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</si>
  <si>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</si>
  <si>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</si>
  <si>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</si>
  <si>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</si>
  <si>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</si>
  <si>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</si>
  <si>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Molakalmuru</t>
  </si>
  <si>
    <t>Sri Lakshmi Venkateshwara Filling Station</t>
  </si>
  <si>
    <t>Khanapur(PKG-3)</t>
  </si>
  <si>
    <t>V.V.Varde</t>
  </si>
  <si>
    <t>Munavalli(PKG-3)-2</t>
  </si>
  <si>
    <t xml:space="preserve">Shri Daneshwari 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</si>
  <si>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</si>
  <si>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</si>
  <si>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</si>
  <si>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</si>
  <si>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</si>
  <si>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</si>
  <si>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</si>
  <si>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</si>
  <si>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</si>
  <si>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</si>
  <si>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</si>
  <si>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</si>
  <si>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</si>
  <si>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</si>
  <si>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</si>
  <si>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</si>
  <si>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</si>
  <si>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Shree Siri Gowari petroliam</t>
  </si>
  <si>
    <t>Gajendragada</t>
  </si>
  <si>
    <t>Vanasri Petrol Pump</t>
  </si>
  <si>
    <t xml:space="preserve"> Gokak(PKG-3)</t>
  </si>
  <si>
    <t>AJ Petrolinks</t>
  </si>
  <si>
    <t>Ankaligi</t>
  </si>
  <si>
    <t>Shiv 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</si>
  <si>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</si>
  <si>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</si>
  <si>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</si>
  <si>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</si>
  <si>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</si>
  <si>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</si>
  <si>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</si>
  <si>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</si>
  <si>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</si>
  <si>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</si>
  <si>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</si>
  <si>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</si>
  <si>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</si>
  <si>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</si>
  <si>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</si>
  <si>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</si>
  <si>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</si>
  <si>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Sri Chakra Fuel Station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</si>
  <si>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</si>
  <si>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</si>
  <si>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</si>
  <si>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</si>
  <si>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</si>
  <si>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</si>
  <si>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</si>
  <si>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</si>
  <si>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</si>
  <si>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</si>
  <si>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</si>
  <si>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</si>
  <si>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</si>
  <si>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</si>
  <si>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As on date</t>
  </si>
  <si>
    <t>As on Date</t>
  </si>
  <si>
    <t>Ind no/Bill No</t>
  </si>
  <si>
    <t xml:space="preserve"> Fuel bills </t>
  </si>
  <si>
    <t>Sri rama F/S</t>
  </si>
  <si>
    <t>/</t>
  </si>
  <si>
    <t> </t>
  </si>
  <si>
    <t>Bhaskara Agencies Morampudi</t>
  </si>
  <si>
    <t>Rajahmundry</t>
  </si>
  <si>
    <t>Padma Filling Station</t>
  </si>
  <si>
    <t>Sri Venkata Ganesh Enterprises-Venkatapuram</t>
  </si>
  <si>
    <t>Eluru</t>
  </si>
  <si>
    <t>Sri Venkateswara Enterprises Bharat Petroleum</t>
  </si>
  <si>
    <t>Yanam</t>
  </si>
  <si>
    <t>Sri Lakshmi Filling Station-Nadipalli</t>
  </si>
  <si>
    <t>Chinthalapudi</t>
  </si>
  <si>
    <t>Padma Highway Filling Station</t>
  </si>
  <si>
    <t>Buchibabu Filling Center Bharat Petroleum</t>
  </si>
  <si>
    <t>Ethakota</t>
  </si>
  <si>
    <t>GR Filling Station Bharath Petrolium</t>
  </si>
  <si>
    <t>Tanuku</t>
  </si>
  <si>
    <t>BHARAT FILLING STATION</t>
  </si>
  <si>
    <t>Nuziveedu</t>
  </si>
  <si>
    <t>Pulla Fuels Bharat Petrolium</t>
  </si>
  <si>
    <t>Pulla(Bhimadolu)</t>
  </si>
  <si>
    <t>R Ammiraju&amp;Brothers Bharat Petrolium</t>
  </si>
  <si>
    <t>Nidadavolu</t>
  </si>
  <si>
    <t>Sri Venkata Sitarama Filling Station</t>
  </si>
  <si>
    <t>Bhimavaram</t>
  </si>
  <si>
    <t xml:space="preserve"> </t>
  </si>
  <si>
    <t>IOCL</t>
  </si>
  <si>
    <t>HPCL</t>
  </si>
  <si>
    <t>Bill No</t>
  </si>
  <si>
    <t>Credit start</t>
  </si>
  <si>
    <t>Shivaganga Service Station (BPCL)</t>
  </si>
  <si>
    <t>Sree Veerabhadreshwara Service Station</t>
  </si>
  <si>
    <t>Molakamuru</t>
  </si>
  <si>
    <t>.</t>
  </si>
  <si>
    <t>BPCL OTP</t>
  </si>
  <si>
    <t xml:space="preserve">  Shree Siri Gowari petroliam</t>
  </si>
  <si>
    <t>raja bhakshi</t>
  </si>
  <si>
    <t>Talikote</t>
  </si>
  <si>
    <t>1.10.2025</t>
  </si>
  <si>
    <t>IOCL Card</t>
  </si>
  <si>
    <t>2.10.2025</t>
  </si>
  <si>
    <t>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</si>
  <si>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</si>
  <si>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</si>
  <si>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</si>
  <si>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</si>
  <si>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</si>
  <si>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</si>
  <si>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</si>
  <si>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</si>
  <si>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</si>
  <si>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</si>
  <si>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15.10.2025</t>
  </si>
  <si>
    <t>16.10.2025</t>
  </si>
  <si>
    <t>17.10.2025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</si>
  <si>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</si>
  <si>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</si>
  <si>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</si>
  <si>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</si>
  <si>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</si>
  <si>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</si>
  <si>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</si>
  <si>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</si>
  <si>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</si>
  <si>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</si>
  <si>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03.10.2025</t>
  </si>
  <si>
    <t>01.10.2025</t>
  </si>
  <si>
    <t>14.10.2025</t>
  </si>
  <si>
    <t>18.10.2025</t>
  </si>
  <si>
    <t>19.10.2025</t>
  </si>
  <si>
    <t>Date of payment</t>
  </si>
  <si>
    <t>BPCL</t>
  </si>
  <si>
    <t>d</t>
  </si>
  <si>
    <t>02.11.2025</t>
  </si>
  <si>
    <t>Shiva ganga</t>
  </si>
  <si>
    <t xml:space="preserve"> S R PATIL</t>
  </si>
  <si>
    <t>Anupama F/S</t>
  </si>
  <si>
    <t>iocl</t>
  </si>
  <si>
    <t>hpcl</t>
  </si>
  <si>
    <t>BPCL Card Ledger</t>
  </si>
  <si>
    <t>Petrol Bunk Name</t>
  </si>
  <si>
    <t>Card No</t>
  </si>
  <si>
    <t>Recharge Amount</t>
  </si>
  <si>
    <t>Redeem</t>
  </si>
  <si>
    <t xml:space="preserve">KESHAV PETROFIL BHARAT </t>
  </si>
  <si>
    <t>FC3450698859</t>
  </si>
  <si>
    <t>SREE VEERABHADRESHWARA SER</t>
  </si>
  <si>
    <t>FC8000207650</t>
  </si>
  <si>
    <t xml:space="preserve">SANDHYA FUEL STATION BHARAT  </t>
  </si>
  <si>
    <t>FC8000207658</t>
  </si>
  <si>
    <t>JUBILEE HILLS FILL. STN</t>
  </si>
  <si>
    <t>FC3450563999</t>
  </si>
  <si>
    <t>SHIVAGANGA SERVICE STATION</t>
  </si>
  <si>
    <t>SAI BABA FILLING STATION</t>
  </si>
  <si>
    <t>FC3450563998</t>
  </si>
  <si>
    <t>AKARAPU BALAKISTAMMA</t>
  </si>
  <si>
    <t>FC3450676134</t>
  </si>
  <si>
    <t xml:space="preserve">BP-RANGAREDDY GUDA </t>
  </si>
  <si>
    <t>W SRINIVAS RAO &amp; SONS</t>
  </si>
  <si>
    <t>FC3450698864</t>
  </si>
  <si>
    <t>SHRI BRAHMANATH PETROLEUM</t>
  </si>
  <si>
    <t>SREE VEERABHADRESHWARA SER.</t>
  </si>
  <si>
    <t>LAKSHMI NARASIMHA FILLING</t>
  </si>
  <si>
    <t>V.V.VARDE BHARAT PETROLEUM DEALERS</t>
  </si>
  <si>
    <t>FC8000207649</t>
  </si>
  <si>
    <t xml:space="preserve">R.T.PATIL PETROLEUM </t>
  </si>
  <si>
    <t>FC8000207648</t>
  </si>
  <si>
    <t xml:space="preserve">SANDEEP ROAD CARRIERS (HYD) </t>
  </si>
  <si>
    <t xml:space="preserve">SRI RAJARAJESWARI PETROLEUMS </t>
  </si>
  <si>
    <t>SREE VEERABHADRESHWARA SER.STA</t>
  </si>
  <si>
    <t xml:space="preserve">W SRINIVAS RAO &amp; SONS BHARAT </t>
  </si>
  <si>
    <t xml:space="preserve">VIJAYA BHARAT FUEL &amp; SERVICES BHARAT </t>
  </si>
  <si>
    <t>FC3450698865</t>
  </si>
  <si>
    <t xml:space="preserve">SRI VENKATESWARA ENTERPRISES </t>
  </si>
  <si>
    <t>FC8000207659</t>
  </si>
  <si>
    <t xml:space="preserve">W SRINIVAS RAO &amp; SONS  </t>
  </si>
  <si>
    <t xml:space="preserve">SAI BABA FILLING STATION </t>
  </si>
  <si>
    <t xml:space="preserve">KESAR FUELS BHARAT </t>
  </si>
  <si>
    <t>DANESWARI PETROLEUM</t>
  </si>
  <si>
    <t>SANDHYA FUEL STATION</t>
  </si>
  <si>
    <t>VIJAYA BHARAT FUEL &amp; SERVICES</t>
  </si>
  <si>
    <t xml:space="preserve">SANDHYA FUEL STATION </t>
  </si>
  <si>
    <t xml:space="preserve"> FC3450563999</t>
  </si>
  <si>
    <t xml:space="preserve">KESHAV PETROFIL </t>
  </si>
  <si>
    <t xml:space="preserve">BUCHIBABU FILLING </t>
  </si>
  <si>
    <t xml:space="preserve"> FC8000207659</t>
  </si>
  <si>
    <t>G.R. FILLING STATION</t>
  </si>
  <si>
    <t>21.10.2025</t>
  </si>
  <si>
    <t xml:space="preserve">G.R. FILLING STATION  </t>
  </si>
  <si>
    <t xml:space="preserve">BP-AMEERPET  </t>
  </si>
  <si>
    <t>NUZVID</t>
  </si>
  <si>
    <t xml:space="preserve">AKARAPU BALAKISTAMMA FILLLING  </t>
  </si>
  <si>
    <t xml:space="preserve">PULLA FUELS BHARAT PETROLEUM </t>
  </si>
  <si>
    <t>R.AMMIRAJU &amp; BROTHERS BHARAT PETROLEUM DEALERS</t>
  </si>
  <si>
    <t>SANDHYA FUEL STATION BHARAT PETROLEUM DEALERS</t>
  </si>
  <si>
    <t xml:space="preserve">JAYABHERI FILL. STN. </t>
  </si>
  <si>
    <t xml:space="preserve">W SRINIVAS RAO &amp; SONS </t>
  </si>
  <si>
    <t xml:space="preserve">VIJAYA BHARAT FUEL &amp; SERVICES B </t>
  </si>
  <si>
    <t>RAJ SERVICE STATION</t>
  </si>
  <si>
    <t xml:space="preserve">MAGAVI CITY FUELS </t>
  </si>
  <si>
    <t xml:space="preserve">SRI VENKATA SITARAMA </t>
  </si>
  <si>
    <t>SHIVAGANGA SERVICE STATION </t>
  </si>
  <si>
    <t xml:space="preserve">SRI VENKATA SITARAMA FILLING </t>
  </si>
  <si>
    <t>SRILAXMI FILLING STATION</t>
  </si>
  <si>
    <t>HPCL Card Ledger</t>
  </si>
  <si>
    <t>8200079004507062</t>
  </si>
  <si>
    <t>AJ PETROLINKS</t>
  </si>
  <si>
    <t>8200079004507153</t>
  </si>
  <si>
    <t>PANKAJA HP FUEL CENTRE</t>
  </si>
  <si>
    <t>SEI LAKSHMI RANGANATHA SALES</t>
  </si>
  <si>
    <t>8200079004507088</t>
  </si>
  <si>
    <t>DIVYA LAXMI GANAPATHI</t>
  </si>
  <si>
    <t>8200079000522050</t>
  </si>
  <si>
    <t xml:space="preserve">DIVYA LAXMI GANAPATHI </t>
  </si>
  <si>
    <t>MOSCO</t>
  </si>
  <si>
    <t>MSHSD CHITTEM JAGANNATH PETROLEUMS</t>
  </si>
  <si>
    <t>SVBS FILLING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</si>
</sst>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_ 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26243B"/>
      <name val="Calibri"/>
    </font>
    <font>
      <sz val="11"/>
      <name val="Calibri"/>
      <family val="2"/>
    </font>
    <font>
      <sz val="11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468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4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164" fontId="9" fillId="4" borderId="8" xfId="1" applyFont="1" applyFill="1" applyBorder="1" applyAlignment="1">
      <alignment horizontal="center" vertical="center"/>
    </xf>
    <xf numFmtId="164" fontId="9" fillId="4" borderId="9" xfId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4" xfId="0" applyFont="1" applyBorder="1"/>
    <xf numFmtId="0" fontId="0" fillId="0" borderId="15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2" xfId="0" applyBorder="1"/>
    <xf numFmtId="0" fontId="13" fillId="3" borderId="1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9" fillId="4" borderId="20" xfId="1" applyFont="1" applyFill="1" applyBorder="1" applyAlignment="1">
      <alignment horizontal="center" vertical="center"/>
    </xf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21" xfId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4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4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9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horizontal="center"/>
    </xf>
    <xf numFmtId="2" fontId="3" fillId="0" borderId="14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4" xfId="0" applyNumberFormat="1" applyFont="1" applyFill="1" applyBorder="1" applyAlignment="1">
      <alignment horizontal="center" vertical="center"/>
    </xf>
    <xf numFmtId="164" fontId="4" fillId="4" borderId="14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5" fillId="0" borderId="15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/>
    <xf numFmtId="2" fontId="3" fillId="0" borderId="15" xfId="0" applyNumberFormat="1" applyFont="1" applyBorder="1" applyAlignment="1">
      <alignment horizontal="right"/>
    </xf>
    <xf numFmtId="43" fontId="5" fillId="2" borderId="15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5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3" xfId="0" applyFont="1" applyBorder="1"/>
    <xf numFmtId="2" fontId="4" fillId="0" borderId="0" xfId="0" applyNumberFormat="1" applyFont="1"/>
    <xf numFmtId="2" fontId="9" fillId="4" borderId="8" xfId="0" applyNumberFormat="1" applyFont="1" applyFill="1" applyBorder="1" applyAlignment="1">
      <alignment horizontal="center" vertical="center"/>
    </xf>
    <xf numFmtId="2" fontId="0" fillId="0" borderId="14" xfId="0" applyNumberFormat="1" applyBorder="1"/>
    <xf numFmtId="0" fontId="10" fillId="0" borderId="15" xfId="0" applyFont="1" applyBorder="1" applyAlignment="1">
      <alignment horizontal="center" vertical="center"/>
    </xf>
    <xf numFmtId="2" fontId="9" fillId="4" borderId="29" xfId="0" applyNumberFormat="1" applyFont="1" applyFill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164" fontId="3" fillId="0" borderId="15" xfId="1" applyFont="1" applyBorder="1" applyAlignment="1">
      <alignment vertical="center"/>
    </xf>
    <xf numFmtId="164" fontId="3" fillId="0" borderId="13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3" borderId="5" xfId="0" applyFont="1" applyFill="1" applyBorder="1" applyAlignment="1">
      <alignment horizontal="right" vertical="center" wrapText="1"/>
    </xf>
    <xf numFmtId="164" fontId="9" fillId="4" borderId="5" xfId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horizontal="center"/>
    </xf>
    <xf numFmtId="164" fontId="10" fillId="0" borderId="12" xfId="1" applyFont="1" applyBorder="1" applyAlignment="1">
      <alignment horizontal="center" vertical="center"/>
    </xf>
    <xf numFmtId="164" fontId="10" fillId="0" borderId="13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2" xfId="0" applyNumberFormat="1" applyFont="1" applyBorder="1" applyAlignment="1">
      <alignment horizontal="center"/>
    </xf>
    <xf numFmtId="164" fontId="9" fillId="0" borderId="15" xfId="1" applyFont="1" applyBorder="1" applyAlignment="1">
      <alignment horizontal="center" vertical="center"/>
    </xf>
    <xf numFmtId="0" fontId="10" fillId="0" borderId="15" xfId="0" applyFont="1" applyBorder="1"/>
    <xf numFmtId="164" fontId="10" fillId="0" borderId="15" xfId="0" applyNumberFormat="1" applyFont="1" applyBorder="1"/>
    <xf numFmtId="2" fontId="9" fillId="4" borderId="14" xfId="0" applyNumberFormat="1" applyFont="1" applyFill="1" applyBorder="1" applyAlignment="1">
      <alignment horizontal="center" vertical="center"/>
    </xf>
    <xf numFmtId="164" fontId="9" fillId="4" borderId="14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2" fillId="0" borderId="19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4" xfId="1" applyNumberFormat="1" applyFont="1" applyBorder="1" applyAlignment="1">
      <alignment vertical="center"/>
    </xf>
    <xf numFmtId="164" fontId="3" fillId="0" borderId="14" xfId="1" applyFont="1" applyBorder="1" applyAlignment="1">
      <alignment vertical="center"/>
    </xf>
    <xf numFmtId="2" fontId="0" fillId="0" borderId="15" xfId="0" applyNumberFormat="1" applyBorder="1"/>
    <xf numFmtId="2" fontId="13" fillId="3" borderId="15" xfId="0" applyNumberFormat="1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/>
    </xf>
    <xf numFmtId="0" fontId="13" fillId="2" borderId="15" xfId="0" applyFont="1" applyFill="1" applyBorder="1" applyAlignment="1">
      <alignment horizontal="center" vertical="center" wrapText="1"/>
    </xf>
    <xf numFmtId="164" fontId="9" fillId="0" borderId="15" xfId="1" applyFont="1" applyBorder="1" applyAlignment="1">
      <alignment vertical="center"/>
    </xf>
    <xf numFmtId="164" fontId="0" fillId="0" borderId="15" xfId="0" applyNumberFormat="1" applyBorder="1"/>
    <xf numFmtId="164" fontId="10" fillId="0" borderId="14" xfId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65" fontId="3" fillId="0" borderId="30" xfId="0" applyNumberFormat="1" applyFont="1" applyBorder="1" applyAlignment="1">
      <alignment horizontal="center"/>
    </xf>
    <xf numFmtId="0" fontId="0" fillId="0" borderId="24" xfId="0" applyBorder="1"/>
    <xf numFmtId="0" fontId="3" fillId="0" borderId="1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5" fontId="18" fillId="2" borderId="5" xfId="0" applyNumberFormat="1" applyFont="1" applyFill="1" applyBorder="1"/>
    <xf numFmtId="2" fontId="18" fillId="0" borderId="15" xfId="0" applyNumberFormat="1" applyFont="1" applyBorder="1"/>
    <xf numFmtId="0" fontId="5" fillId="0" borderId="15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5" xfId="0" applyFont="1" applyBorder="1"/>
    <xf numFmtId="0" fontId="21" fillId="0" borderId="0" xfId="0" applyFont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2" xfId="1" applyFont="1" applyBorder="1" applyAlignment="1">
      <alignment vertical="center"/>
    </xf>
    <xf numFmtId="0" fontId="0" fillId="0" borderId="13" xfId="0" applyBorder="1"/>
    <xf numFmtId="164" fontId="10" fillId="0" borderId="10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21" xfId="1" applyFont="1" applyBorder="1" applyAlignment="1">
      <alignment horizontal="center" vertical="center"/>
    </xf>
    <xf numFmtId="164" fontId="10" fillId="0" borderId="27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4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4" fontId="5" fillId="0" borderId="5" xfId="0" applyNumberFormat="1" applyFont="1" applyBorder="1"/>
    <xf numFmtId="1" fontId="0" fillId="0" borderId="5" xfId="0" quotePrefix="1" applyNumberForma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9" fontId="0" fillId="0" borderId="13" xfId="0" applyNumberFormat="1" applyBorder="1"/>
    <xf numFmtId="0" fontId="24" fillId="0" borderId="13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17" fillId="0" borderId="23" xfId="0" applyNumberFormat="1" applyFont="1" applyBorder="1" applyAlignment="1">
      <alignment vertical="center"/>
    </xf>
    <xf numFmtId="164" fontId="19" fillId="0" borderId="35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6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164" fontId="24" fillId="0" borderId="5" xfId="1" applyFont="1" applyBorder="1" applyAlignment="1">
      <alignment vertical="center"/>
    </xf>
    <xf numFmtId="0" fontId="27" fillId="8" borderId="31" xfId="0" applyFont="1" applyFill="1" applyBorder="1"/>
    <xf numFmtId="0" fontId="27" fillId="8" borderId="32" xfId="0" applyFont="1" applyFill="1" applyBorder="1"/>
    <xf numFmtId="2" fontId="27" fillId="8" borderId="32" xfId="0" applyNumberFormat="1" applyFont="1" applyFill="1" applyBorder="1"/>
    <xf numFmtId="2" fontId="27" fillId="8" borderId="33" xfId="0" applyNumberFormat="1" applyFont="1" applyFill="1" applyBorder="1"/>
    <xf numFmtId="0" fontId="28" fillId="0" borderId="0" xfId="0" applyFont="1"/>
    <xf numFmtId="0" fontId="28" fillId="0" borderId="5" xfId="0" applyFont="1" applyBorder="1" applyAlignment="1">
      <alignment horizontal="center"/>
    </xf>
    <xf numFmtId="0" fontId="28" fillId="0" borderId="5" xfId="0" applyFont="1" applyBorder="1"/>
    <xf numFmtId="1" fontId="28" fillId="2" borderId="5" xfId="0" applyNumberFormat="1" applyFont="1" applyFill="1" applyBorder="1"/>
    <xf numFmtId="0" fontId="28" fillId="0" borderId="5" xfId="0" applyFont="1" applyBorder="1" applyAlignment="1">
      <alignment wrapText="1"/>
    </xf>
    <xf numFmtId="2" fontId="28" fillId="0" borderId="5" xfId="0" applyNumberFormat="1" applyFont="1" applyBorder="1"/>
    <xf numFmtId="1" fontId="28" fillId="2" borderId="3" xfId="1" applyNumberFormat="1" applyFont="1" applyFill="1" applyBorder="1" applyAlignment="1">
      <alignment vertical="center"/>
    </xf>
    <xf numFmtId="1" fontId="28" fillId="9" borderId="5" xfId="0" applyNumberFormat="1" applyFont="1" applyFill="1" applyBorder="1"/>
    <xf numFmtId="2" fontId="28" fillId="0" borderId="0" xfId="0" applyNumberFormat="1" applyFont="1"/>
    <xf numFmtId="1" fontId="28" fillId="0" borderId="0" xfId="0" applyNumberFormat="1" applyFont="1"/>
    <xf numFmtId="164" fontId="30" fillId="0" borderId="5" xfId="4" applyNumberFormat="1" applyBorder="1" applyAlignment="1">
      <alignment horizontal="center" vertical="center"/>
    </xf>
    <xf numFmtId="164" fontId="3" fillId="0" borderId="12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3" fillId="6" borderId="15" xfId="0" applyFont="1" applyFill="1" applyBorder="1" applyAlignment="1">
      <alignment horizontal="right"/>
    </xf>
    <xf numFmtId="2" fontId="22" fillId="6" borderId="24" xfId="0" applyNumberFormat="1" applyFont="1" applyFill="1" applyBorder="1" applyAlignment="1">
      <alignment horizontal="right"/>
    </xf>
    <xf numFmtId="2" fontId="22" fillId="6" borderId="13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2" fontId="4" fillId="2" borderId="13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4" xfId="0" applyNumberFormat="1" applyFont="1" applyFill="1" applyBorder="1" applyAlignment="1">
      <alignment horizontal="center" vertical="center"/>
    </xf>
    <xf numFmtId="164" fontId="31" fillId="0" borderId="5" xfId="1" applyFont="1" applyBorder="1" applyAlignment="1"/>
    <xf numFmtId="0" fontId="26" fillId="0" borderId="5" xfId="0" applyFont="1" applyBorder="1"/>
    <xf numFmtId="1" fontId="28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3" xfId="0" applyNumberFormat="1" applyBorder="1"/>
    <xf numFmtId="43" fontId="32" fillId="0" borderId="0" xfId="0" applyNumberFormat="1" applyFont="1"/>
    <xf numFmtId="2" fontId="13" fillId="3" borderId="19" xfId="0" applyNumberFormat="1" applyFont="1" applyFill="1" applyBorder="1" applyAlignment="1">
      <alignment horizontal="center" vertical="center"/>
    </xf>
    <xf numFmtId="2" fontId="0" fillId="0" borderId="13" xfId="0" applyNumberFormat="1" applyBorder="1"/>
    <xf numFmtId="2" fontId="0" fillId="2" borderId="13" xfId="0" applyNumberFormat="1" applyFill="1" applyBorder="1" applyAlignment="1">
      <alignment horizontal="right"/>
    </xf>
    <xf numFmtId="0" fontId="0" fillId="2" borderId="12" xfId="0" applyFill="1" applyBorder="1"/>
    <xf numFmtId="2" fontId="0" fillId="0" borderId="36" xfId="0" applyNumberFormat="1" applyBorder="1" applyAlignment="1">
      <alignment horizontal="right"/>
    </xf>
    <xf numFmtId="0" fontId="18" fillId="0" borderId="14" xfId="0" applyFont="1" applyBorder="1"/>
    <xf numFmtId="2" fontId="0" fillId="0" borderId="12" xfId="0" applyNumberFormat="1" applyBorder="1" applyAlignment="1">
      <alignment horizontal="right"/>
    </xf>
    <xf numFmtId="2" fontId="22" fillId="6" borderId="28" xfId="0" applyNumberFormat="1" applyFont="1" applyFill="1" applyBorder="1" applyAlignment="1">
      <alignment horizontal="right"/>
    </xf>
    <xf numFmtId="2" fontId="0" fillId="2" borderId="14" xfId="0" applyNumberFormat="1" applyFill="1" applyBorder="1" applyAlignment="1">
      <alignment horizontal="right"/>
    </xf>
    <xf numFmtId="2" fontId="0" fillId="0" borderId="30" xfId="0" applyNumberFormat="1" applyBorder="1" applyAlignment="1">
      <alignment horizontal="right"/>
    </xf>
    <xf numFmtId="0" fontId="18" fillId="0" borderId="15" xfId="0" applyFont="1" applyBorder="1"/>
    <xf numFmtId="0" fontId="33" fillId="0" borderId="5" xfId="0" applyFont="1" applyBorder="1"/>
    <xf numFmtId="0" fontId="33" fillId="0" borderId="14" xfId="0" applyFont="1" applyBorder="1"/>
    <xf numFmtId="0" fontId="3" fillId="2" borderId="34" xfId="0" applyFont="1" applyFill="1" applyBorder="1"/>
    <xf numFmtId="1" fontId="34" fillId="10" borderId="37" xfId="0" applyNumberFormat="1" applyFont="1" applyFill="1" applyBorder="1" applyAlignment="1">
      <alignment horizontal="right" vertical="center"/>
    </xf>
    <xf numFmtId="2" fontId="0" fillId="0" borderId="27" xfId="0" applyNumberFormat="1" applyBorder="1" applyAlignment="1">
      <alignment horizontal="right"/>
    </xf>
    <xf numFmtId="0" fontId="18" fillId="0" borderId="13" xfId="0" applyFont="1" applyBorder="1"/>
    <xf numFmtId="0" fontId="18" fillId="2" borderId="15" xfId="0" applyFont="1" applyFill="1" applyBorder="1"/>
    <xf numFmtId="0" fontId="18" fillId="2" borderId="14" xfId="0" applyFont="1" applyFill="1" applyBorder="1"/>
    <xf numFmtId="166" fontId="31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center" vertical="center"/>
    </xf>
    <xf numFmtId="0" fontId="27" fillId="8" borderId="5" xfId="0" applyFont="1" applyFill="1" applyBorder="1"/>
    <xf numFmtId="2" fontId="27" fillId="8" borderId="5" xfId="0" applyNumberFormat="1" applyFont="1" applyFill="1" applyBorder="1"/>
    <xf numFmtId="0" fontId="28" fillId="11" borderId="5" xfId="0" applyFont="1" applyFill="1" applyBorder="1"/>
    <xf numFmtId="164" fontId="31" fillId="0" borderId="5" xfId="1" applyFont="1" applyBorder="1" applyAlignment="1">
      <alignment vertical="center"/>
    </xf>
    <xf numFmtId="165" fontId="3" fillId="0" borderId="38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0" fillId="0" borderId="5" xfId="0" applyBorder="1" applyAlignment="1">
      <alignment horizontal="left"/>
    </xf>
    <xf numFmtId="166" fontId="31" fillId="0" borderId="5" xfId="0" applyNumberFormat="1" applyFont="1" applyBorder="1" applyAlignment="1">
      <alignment horizontal="left" vertical="center"/>
    </xf>
    <xf numFmtId="0" fontId="18" fillId="0" borderId="0" xfId="0" applyFont="1"/>
    <xf numFmtId="15" fontId="18" fillId="2" borderId="15" xfId="0" applyNumberFormat="1" applyFont="1" applyFill="1" applyBorder="1"/>
    <xf numFmtId="2" fontId="0" fillId="0" borderId="26" xfId="0" applyNumberFormat="1" applyBorder="1" applyAlignment="1">
      <alignment horizontal="right"/>
    </xf>
    <xf numFmtId="2" fontId="0" fillId="2" borderId="15" xfId="0" applyNumberFormat="1" applyFill="1" applyBorder="1" applyAlignment="1">
      <alignment horizontal="right"/>
    </xf>
    <xf numFmtId="0" fontId="0" fillId="0" borderId="5" xfId="0" quotePrefix="1" applyBorder="1"/>
    <xf numFmtId="0" fontId="0" fillId="0" borderId="15" xfId="0" applyBorder="1" applyAlignment="1">
      <alignment horizontal="center"/>
    </xf>
    <xf numFmtId="2" fontId="18" fillId="0" borderId="5" xfId="0" applyNumberFormat="1" applyFont="1" applyBorder="1"/>
    <xf numFmtId="0" fontId="0" fillId="0" borderId="27" xfId="0" applyBorder="1"/>
    <xf numFmtId="0" fontId="0" fillId="0" borderId="15" xfId="0" quotePrefix="1" applyBorder="1"/>
    <xf numFmtId="0" fontId="32" fillId="0" borderId="0" xfId="0" applyFont="1"/>
    <xf numFmtId="0" fontId="0" fillId="0" borderId="13" xfId="0" applyBorder="1" applyAlignment="1">
      <alignment horizontal="right"/>
    </xf>
    <xf numFmtId="0" fontId="0" fillId="0" borderId="27" xfId="0" applyBorder="1" applyAlignment="1">
      <alignment horizontal="right"/>
    </xf>
    <xf numFmtId="1" fontId="0" fillId="0" borderId="0" xfId="0" applyNumberFormat="1"/>
    <xf numFmtId="166" fontId="35" fillId="0" borderId="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36" fillId="0" borderId="2" xfId="0" applyFont="1" applyBorder="1"/>
    <xf numFmtId="2" fontId="0" fillId="0" borderId="5" xfId="0" applyNumberFormat="1" applyBorder="1" applyAlignment="1">
      <alignment horizontal="center" vertical="center"/>
    </xf>
    <xf numFmtId="166" fontId="26" fillId="0" borderId="5" xfId="0" applyNumberFormat="1" applyFont="1" applyBorder="1" applyAlignment="1">
      <alignment horizontal="center" indent="1"/>
    </xf>
    <xf numFmtId="0" fontId="0" fillId="11" borderId="5" xfId="0" applyFill="1" applyBorder="1" applyAlignment="1">
      <alignment horizontal="center" vertical="center"/>
    </xf>
    <xf numFmtId="0" fontId="31" fillId="0" borderId="5" xfId="0" applyFont="1" applyBorder="1"/>
    <xf numFmtId="0" fontId="0" fillId="0" borderId="2" xfId="0" applyBorder="1" applyAlignment="1">
      <alignment horizontal="center" vertical="center"/>
    </xf>
    <xf numFmtId="166" fontId="36" fillId="0" borderId="2" xfId="0" applyNumberFormat="1" applyFont="1" applyBorder="1" applyAlignment="1">
      <alignment horizontal="center"/>
    </xf>
    <xf numFmtId="0" fontId="18" fillId="0" borderId="36" xfId="0" applyFont="1" applyBorder="1"/>
    <xf numFmtId="0" fontId="26" fillId="0" borderId="2" xfId="0" applyFont="1" applyBorder="1" applyAlignment="1">
      <alignment horizontal="center" vertical="center"/>
    </xf>
    <xf numFmtId="166" fontId="26" fillId="0" borderId="5" xfId="0" applyNumberFormat="1" applyFont="1" applyBorder="1"/>
    <xf numFmtId="166" fontId="26" fillId="0" borderId="2" xfId="0" applyNumberFormat="1" applyFont="1" applyBorder="1" applyAlignment="1">
      <alignment horizontal="center"/>
    </xf>
    <xf numFmtId="0" fontId="6" fillId="0" borderId="14" xfId="0" applyFont="1" applyBorder="1" applyAlignment="1">
      <alignment vertical="top"/>
    </xf>
    <xf numFmtId="15" fontId="18" fillId="2" borderId="12" xfId="0" applyNumberFormat="1" applyFont="1" applyFill="1" applyBorder="1"/>
    <xf numFmtId="15" fontId="18" fillId="2" borderId="26" xfId="0" applyNumberFormat="1" applyFont="1" applyFill="1" applyBorder="1"/>
    <xf numFmtId="164" fontId="3" fillId="0" borderId="12" xfId="0" applyNumberFormat="1" applyFont="1" applyBorder="1" applyAlignment="1">
      <alignment vertical="center"/>
    </xf>
    <xf numFmtId="166" fontId="3" fillId="0" borderId="15" xfId="0" applyNumberFormat="1" applyFont="1" applyBorder="1"/>
    <xf numFmtId="166" fontId="3" fillId="0" borderId="14" xfId="0" applyNumberFormat="1" applyFont="1" applyBorder="1"/>
    <xf numFmtId="166" fontId="3" fillId="0" borderId="15" xfId="0" applyNumberFormat="1" applyFont="1" applyBorder="1" applyAlignment="1">
      <alignment horizontal="center"/>
    </xf>
    <xf numFmtId="164" fontId="3" fillId="0" borderId="15" xfId="1" applyFont="1" applyBorder="1" applyAlignment="1">
      <alignment horizontal="center" vertical="top"/>
    </xf>
    <xf numFmtId="169" fontId="3" fillId="0" borderId="5" xfId="0" applyNumberFormat="1" applyFont="1" applyBorder="1" applyAlignment="1">
      <alignment vertical="center"/>
    </xf>
    <xf numFmtId="169" fontId="3" fillId="11" borderId="5" xfId="0" applyNumberFormat="1" applyFont="1" applyFill="1" applyBorder="1" applyAlignment="1">
      <alignment vertical="center"/>
    </xf>
    <xf numFmtId="171" fontId="31" fillId="0" borderId="5" xfId="0" applyNumberFormat="1" applyFont="1" applyBorder="1" applyAlignment="1">
      <alignment horizontal="right" vertical="center"/>
    </xf>
    <xf numFmtId="171" fontId="0" fillId="0" borderId="5" xfId="0" applyNumberFormat="1" applyBorder="1" applyAlignment="1">
      <alignment horizontal="right"/>
    </xf>
    <xf numFmtId="0" fontId="0" fillId="2" borderId="5" xfId="0" applyFill="1" applyBorder="1"/>
    <xf numFmtId="0" fontId="0" fillId="0" borderId="26" xfId="0" applyBorder="1"/>
    <xf numFmtId="2" fontId="0" fillId="2" borderId="27" xfId="0" applyNumberFormat="1" applyFill="1" applyBorder="1" applyAlignment="1">
      <alignment horizontal="right"/>
    </xf>
    <xf numFmtId="0" fontId="0" fillId="2" borderId="30" xfId="0" applyFill="1" applyBorder="1"/>
    <xf numFmtId="164" fontId="10" fillId="11" borderId="5" xfId="1" applyFont="1" applyFill="1" applyBorder="1" applyAlignment="1">
      <alignment horizontal="center" vertical="center"/>
    </xf>
    <xf numFmtId="0" fontId="17" fillId="0" borderId="0" xfId="0" applyFont="1"/>
    <xf numFmtId="165" fontId="3" fillId="11" borderId="5" xfId="0" applyNumberFormat="1" applyFont="1" applyFill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2" fontId="3" fillId="0" borderId="14" xfId="1" applyNumberFormat="1" applyFont="1" applyBorder="1" applyAlignment="1">
      <alignment horizontal="center" vertical="center"/>
    </xf>
    <xf numFmtId="0" fontId="12" fillId="0" borderId="5" xfId="0" applyFont="1" applyBorder="1"/>
    <xf numFmtId="0" fontId="33" fillId="0" borderId="5" xfId="0" applyFont="1" applyBorder="1" applyAlignment="1">
      <alignment horizontal="right"/>
    </xf>
    <xf numFmtId="0" fontId="33" fillId="0" borderId="1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165" fontId="3" fillId="0" borderId="5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164" fontId="3" fillId="0" borderId="1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/>
    </xf>
    <xf numFmtId="0" fontId="29" fillId="9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5" borderId="11" xfId="0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43" fontId="4" fillId="2" borderId="13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FBF7FABB-9BA5-4D93-8CF6-F4A6D6C03149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2" dT="2025-10-21T04:30:30.37" personId="{FBF7FABB-9BA5-4D93-8CF6-F4A6D6C03149}" id="{D214B4C4-9A8F-4846-A5D3-C476C5039F35}">
    <text xml:space="preserve">Amount paid  Sri ramanjayaneya  F/S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7" dT="2025-10-17T04:43:34.92" personId="{FBF7FABB-9BA5-4D93-8CF6-F4A6D6C03149}" id="{EE479B02-3031-4199-9A33-98C26BECC6C4}">
    <text>Redeem cash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M53"/>
  <sheetViews>
    <sheetView workbookViewId="0">
      <selection activeCell="A12" sqref="A12:XFD12"/>
    </sheetView>
  </sheetViews>
  <sheetFormatPr defaultColWidth="8.28515625" defaultRowHeight="15.75"/>
  <cols>
    <col min="1" max="1" width="8.28515625" style="295"/>
    <col min="2" max="2" width="25" style="295" customWidth="1"/>
    <col min="3" max="3" width="34.5703125" style="295" bestFit="1" customWidth="1"/>
    <col min="4" max="4" width="14.85546875" style="295" customWidth="1"/>
    <col min="5" max="5" width="15.42578125" style="295" customWidth="1"/>
    <col min="6" max="6" width="14.5703125" style="295" customWidth="1"/>
    <col min="7" max="7" width="16.5703125" style="295" customWidth="1"/>
    <col min="8" max="8" width="23.5703125" style="295" customWidth="1"/>
    <col min="9" max="9" width="17.42578125" style="295" customWidth="1"/>
    <col min="10" max="10" width="16.7109375" style="295" customWidth="1"/>
    <col min="11" max="11" width="20.42578125" style="295" customWidth="1"/>
    <col min="12" max="12" width="22.7109375" style="295" customWidth="1"/>
    <col min="13" max="16384" width="8.28515625" style="295"/>
  </cols>
  <sheetData>
    <row r="1" spans="1:11">
      <c r="A1" s="291" t="s">
        <v>0</v>
      </c>
      <c r="B1" s="292" t="s">
        <v>1</v>
      </c>
      <c r="C1" s="292" t="s">
        <v>2</v>
      </c>
      <c r="D1" s="293" t="s">
        <v>3</v>
      </c>
      <c r="E1" s="293" t="s">
        <v>4</v>
      </c>
      <c r="F1" s="293" t="s">
        <v>5</v>
      </c>
      <c r="G1" s="293" t="s">
        <v>6</v>
      </c>
      <c r="H1" s="293" t="s">
        <v>7</v>
      </c>
      <c r="I1" s="293" t="s">
        <v>8</v>
      </c>
      <c r="J1" s="293" t="s">
        <v>9</v>
      </c>
      <c r="K1" s="294" t="s">
        <v>10</v>
      </c>
    </row>
    <row r="2" spans="1:11">
      <c r="A2" s="296">
        <v>1</v>
      </c>
      <c r="B2" s="297" t="s">
        <v>11</v>
      </c>
      <c r="C2" s="297" t="s">
        <v>12</v>
      </c>
      <c r="D2" s="298">
        <f>+'Khammam-1'!E38</f>
        <v>56900</v>
      </c>
      <c r="E2" s="298">
        <f>+'Khammam-1'!G38</f>
        <v>5444192</v>
      </c>
      <c r="F2" s="298">
        <f>+'Khammam-1'!H38</f>
        <v>235</v>
      </c>
      <c r="G2" s="298">
        <f>+'Khammam-1'!J38</f>
        <v>25253.1</v>
      </c>
      <c r="H2" s="298">
        <f>E2+G2</f>
        <v>5469445.0999999996</v>
      </c>
      <c r="I2" s="298">
        <f>+'Khammam-1'!K3</f>
        <v>11177696.641299997</v>
      </c>
      <c r="J2" s="298">
        <f>+'Khammam-1'!L38</f>
        <v>7500000</v>
      </c>
      <c r="K2" s="298">
        <f>H2+I2-J2</f>
        <v>9147141.7412999962</v>
      </c>
    </row>
    <row r="3" spans="1:11">
      <c r="A3" s="296">
        <v>2</v>
      </c>
      <c r="B3" s="297" t="s">
        <v>13</v>
      </c>
      <c r="C3" s="297" t="s">
        <v>14</v>
      </c>
      <c r="D3" s="298">
        <f>+'Khammam-2'!E38</f>
        <v>111000</v>
      </c>
      <c r="E3" s="298">
        <f>+'Khammam-2'!G38</f>
        <v>10622700</v>
      </c>
      <c r="F3" s="298">
        <f>+'Khammam-2'!H38</f>
        <v>900</v>
      </c>
      <c r="G3" s="298">
        <f>+'Khammam-2'!J38</f>
        <v>96732.000000000015</v>
      </c>
      <c r="H3" s="298">
        <f>E3+G3</f>
        <v>10719432</v>
      </c>
      <c r="I3" s="298">
        <f>+'Khammam-2'!K3</f>
        <v>13443330.826000001</v>
      </c>
      <c r="J3" s="298">
        <f>+'Khammam-2'!L38</f>
        <v>0</v>
      </c>
      <c r="K3" s="298">
        <f>H3+I3-J3</f>
        <v>24162762.826000001</v>
      </c>
    </row>
    <row r="4" spans="1:11">
      <c r="A4" s="296">
        <v>3</v>
      </c>
      <c r="B4" s="297" t="s">
        <v>15</v>
      </c>
      <c r="C4" s="297" t="s">
        <v>16</v>
      </c>
      <c r="D4" s="298">
        <f>+'Jedcherla -1'!E36</f>
        <v>12153.6</v>
      </c>
      <c r="E4" s="298">
        <f>+'Jedcherla -1'!G36</f>
        <v>1171850.112</v>
      </c>
      <c r="F4" s="298">
        <f>+'Jedcherla -1'!H36</f>
        <v>693.13</v>
      </c>
      <c r="G4" s="298">
        <f>+'Jedcherla -1'!J36</f>
        <v>75018.459900000002</v>
      </c>
      <c r="H4" s="298">
        <f>E4+G4</f>
        <v>1246868.5718999999</v>
      </c>
      <c r="I4" s="298">
        <f>+'Jedcherla -1'!M3</f>
        <v>2639914.5609999998</v>
      </c>
      <c r="J4" s="298">
        <f>+'Jedcherla -1'!L36</f>
        <v>2175000</v>
      </c>
      <c r="K4" s="298">
        <f>H4+I4-J4</f>
        <v>1711783.1328999996</v>
      </c>
    </row>
    <row r="5" spans="1:11">
      <c r="A5" s="296">
        <v>4</v>
      </c>
      <c r="B5" s="297" t="s">
        <v>17</v>
      </c>
      <c r="C5" s="297" t="s">
        <v>18</v>
      </c>
      <c r="D5" s="298">
        <f>+'Jedcharla-2'!E35</f>
        <v>51700</v>
      </c>
      <c r="E5" s="298">
        <f>+'Jedcharla-2'!G35</f>
        <v>4985431</v>
      </c>
      <c r="F5" s="298">
        <v>0</v>
      </c>
      <c r="G5" s="298">
        <v>0</v>
      </c>
      <c r="H5" s="298">
        <f>E5+G5</f>
        <v>4985431</v>
      </c>
      <c r="I5" s="298">
        <f>+'Jedcharla-2'!K3</f>
        <v>238933.00000000023</v>
      </c>
      <c r="J5" s="298">
        <f>+'Jedcharla-2'!L35</f>
        <v>2900000</v>
      </c>
      <c r="K5" s="298">
        <f>H5+I5-J5</f>
        <v>2324364</v>
      </c>
    </row>
    <row r="6" spans="1:11">
      <c r="A6" s="296">
        <v>5</v>
      </c>
      <c r="B6" s="297" t="s">
        <v>19</v>
      </c>
      <c r="C6" s="297" t="s">
        <v>20</v>
      </c>
      <c r="D6" s="298">
        <f>+Dindi!E35</f>
        <v>85.88</v>
      </c>
      <c r="E6" s="298">
        <f>+Dindi!G35</f>
        <v>8315.7603999999992</v>
      </c>
      <c r="F6" s="298">
        <f>+Dindi!H35</f>
        <v>0</v>
      </c>
      <c r="G6" s="298">
        <f>+Dindi!J35</f>
        <v>0</v>
      </c>
      <c r="H6" s="298">
        <f>E6+G6</f>
        <v>8315.7603999999992</v>
      </c>
      <c r="I6" s="298"/>
      <c r="J6" s="298">
        <f>+Dindi!L35</f>
        <v>8315.7603999999992</v>
      </c>
      <c r="K6" s="298">
        <f t="shared" ref="K6:K43" si="0">H6+I6-J6</f>
        <v>0</v>
      </c>
    </row>
    <row r="7" spans="1:11">
      <c r="A7" s="296">
        <v>6</v>
      </c>
      <c r="B7" s="297" t="s">
        <v>21</v>
      </c>
      <c r="C7" s="297" t="s">
        <v>22</v>
      </c>
      <c r="D7" s="298">
        <f>+Devarakhadra!E35</f>
        <v>7811.71</v>
      </c>
      <c r="E7" s="298">
        <f>+Devarakhadra!G35</f>
        <v>758517.04100000008</v>
      </c>
      <c r="F7" s="298">
        <f>+Devarakhadra!H35</f>
        <v>129</v>
      </c>
      <c r="G7" s="298">
        <f>+Devarakhadra!J35</f>
        <v>14039.069999999996</v>
      </c>
      <c r="H7" s="298">
        <f>E7+G7</f>
        <v>772556.11100000003</v>
      </c>
      <c r="I7" s="298">
        <f>+Devarakhadra!M3</f>
        <v>121213.36599999985</v>
      </c>
      <c r="J7" s="298">
        <f>+Devarakhadra!L35</f>
        <v>700000</v>
      </c>
      <c r="K7" s="298">
        <f t="shared" si="0"/>
        <v>193769.47699999984</v>
      </c>
    </row>
    <row r="8" spans="1:11">
      <c r="A8" s="296">
        <v>7</v>
      </c>
      <c r="B8" s="297" t="s">
        <v>23</v>
      </c>
      <c r="C8" s="297" t="s">
        <v>24</v>
      </c>
      <c r="D8" s="298">
        <f>+'Devarakhadra-2'!E35</f>
        <v>0</v>
      </c>
      <c r="E8" s="298">
        <f>+'Devarakhadra-2'!G35</f>
        <v>0</v>
      </c>
      <c r="F8" s="298">
        <f>+'Devarakhadra-2'!H35</f>
        <v>0</v>
      </c>
      <c r="G8" s="298">
        <f>+'Devarakhadra-2'!I35</f>
        <v>0</v>
      </c>
      <c r="H8" s="298">
        <f>E8+G8</f>
        <v>0</v>
      </c>
      <c r="I8" s="298">
        <f>+'Devarakhadra-2'!M3</f>
        <v>132273.53599999999</v>
      </c>
      <c r="J8" s="298">
        <f>+'Devarakhadra-2'!L35</f>
        <v>132200</v>
      </c>
      <c r="K8" s="298">
        <f t="shared" si="0"/>
        <v>73.535999999992782</v>
      </c>
    </row>
    <row r="9" spans="1:11">
      <c r="A9" s="296">
        <v>8</v>
      </c>
      <c r="B9" s="297" t="s">
        <v>25</v>
      </c>
      <c r="C9" s="297" t="s">
        <v>26</v>
      </c>
      <c r="D9" s="298">
        <f>+'Devarakhadra-3'!E35</f>
        <v>1743.87</v>
      </c>
      <c r="E9" s="298">
        <f>+'Devarakhadra-3'!G35</f>
        <v>167115.06209999998</v>
      </c>
      <c r="F9" s="298">
        <f>+'Devarakhadra-3'!H35</f>
        <v>0</v>
      </c>
      <c r="G9" s="298">
        <f>+'Devarakhadra-3'!I35</f>
        <v>0</v>
      </c>
      <c r="H9" s="298">
        <f>E9+G9</f>
        <v>167115.06209999998</v>
      </c>
      <c r="I9" s="298">
        <f>+'Devarakhadra-3'!M3</f>
        <v>0</v>
      </c>
      <c r="J9" s="298">
        <f>+'Devarakhadra-3'!L35</f>
        <v>0</v>
      </c>
      <c r="K9" s="298">
        <f>+'Devarakhadra-3'!M34</f>
        <v>167115.06209999998</v>
      </c>
    </row>
    <row r="10" spans="1:11">
      <c r="A10" s="296">
        <v>9</v>
      </c>
      <c r="B10" s="297" t="s">
        <v>27</v>
      </c>
      <c r="C10" s="297" t="s">
        <v>28</v>
      </c>
      <c r="D10" s="298">
        <f>+'Madana palli'!E35</f>
        <v>1126.73</v>
      </c>
      <c r="E10" s="298">
        <f>+'Madana palli'!G35</f>
        <v>109975.3039</v>
      </c>
      <c r="F10" s="298">
        <f>+'Madana palli'!H35</f>
        <v>15.93</v>
      </c>
      <c r="G10" s="298">
        <f>+'Madana palli'!J35</f>
        <v>1748.1756999999998</v>
      </c>
      <c r="H10" s="298">
        <f>E10+G10</f>
        <v>111723.47959999999</v>
      </c>
      <c r="I10" s="298">
        <f>+'Madana palli'!M3</f>
        <v>0</v>
      </c>
      <c r="J10" s="298">
        <f>+'Madana palli'!L35</f>
        <v>111723.47960000001</v>
      </c>
      <c r="K10" s="298">
        <f>+'Devarakhadra-3'!M35</f>
        <v>0</v>
      </c>
    </row>
    <row r="11" spans="1:11">
      <c r="A11" s="296">
        <v>10</v>
      </c>
      <c r="B11" s="297" t="s">
        <v>29</v>
      </c>
      <c r="C11" s="297" t="s">
        <v>30</v>
      </c>
      <c r="D11" s="298">
        <f>+Amalapuram!E37</f>
        <v>340.68</v>
      </c>
      <c r="E11" s="298">
        <f>+Amalapuram!G37</f>
        <v>32321.640300000003</v>
      </c>
      <c r="F11" s="298">
        <f>+Amalapuram!H37</f>
        <v>175</v>
      </c>
      <c r="G11" s="298">
        <f>+Amalapuram!J37</f>
        <v>19169.45</v>
      </c>
      <c r="H11" s="298">
        <f>E11+G11</f>
        <v>51491.090300000003</v>
      </c>
      <c r="I11" s="298">
        <f>+Amalapuram!M3</f>
        <v>0</v>
      </c>
      <c r="J11" s="298">
        <f>+Amalapuram!L37</f>
        <v>51491.094800000006</v>
      </c>
      <c r="K11" s="298">
        <f t="shared" si="0"/>
        <v>-4.5000000027357601E-3</v>
      </c>
    </row>
    <row r="12" spans="1:11">
      <c r="A12" s="296">
        <v>11</v>
      </c>
      <c r="B12" s="297" t="s">
        <v>31</v>
      </c>
      <c r="C12" s="297" t="s">
        <v>32</v>
      </c>
      <c r="D12" s="298">
        <f>+'YG Gudda '!E36</f>
        <v>1000</v>
      </c>
      <c r="E12" s="298">
        <f>+'YG Gudda '!G36</f>
        <v>91300</v>
      </c>
      <c r="F12" s="298">
        <f>+'YG Gudda '!H36</f>
        <v>210</v>
      </c>
      <c r="G12" s="298">
        <f>+'YG Gudda '!J36</f>
        <v>21680.399999999998</v>
      </c>
      <c r="H12" s="298">
        <f t="shared" ref="H12:H13" si="1">E12+G12</f>
        <v>112980.4</v>
      </c>
      <c r="I12" s="298">
        <f>'YG Gudda '!K3</f>
        <v>109814.66451380023</v>
      </c>
      <c r="J12" s="298">
        <f>+'YG Gudda '!L36</f>
        <v>120000</v>
      </c>
      <c r="K12" s="298">
        <f t="shared" si="0"/>
        <v>102795.06451380023</v>
      </c>
    </row>
    <row r="13" spans="1:11">
      <c r="A13" s="296">
        <v>12</v>
      </c>
      <c r="B13" s="297" t="s">
        <v>33</v>
      </c>
      <c r="C13" s="297" t="s">
        <v>34</v>
      </c>
      <c r="D13" s="298">
        <f>+'YG Gudda-2'!E36</f>
        <v>8100</v>
      </c>
      <c r="E13" s="298">
        <f>+'YG Gudda-2'!G36</f>
        <v>739773</v>
      </c>
      <c r="F13" s="298">
        <f>+'YG Gudda-2'!H36</f>
        <v>280</v>
      </c>
      <c r="G13" s="298">
        <f>+'YG Gudda-2'!J36</f>
        <v>28915.599999999999</v>
      </c>
      <c r="H13" s="298">
        <f t="shared" si="1"/>
        <v>768688.6</v>
      </c>
      <c r="I13" s="298">
        <f>+'YG Gudda-2'!M3</f>
        <v>306111</v>
      </c>
      <c r="J13" s="298">
        <f>+'YG Gudda-2'!L36</f>
        <v>750000</v>
      </c>
      <c r="K13" s="298">
        <f t="shared" si="0"/>
        <v>324799.60000000009</v>
      </c>
    </row>
    <row r="14" spans="1:11">
      <c r="A14" s="296">
        <v>13</v>
      </c>
      <c r="B14" s="297" t="s">
        <v>35</v>
      </c>
      <c r="C14" s="297" t="s">
        <v>36</v>
      </c>
      <c r="D14" s="298">
        <f>+Hosadurga!E35</f>
        <v>0</v>
      </c>
      <c r="E14" s="298">
        <f>+Hosadurga!G35</f>
        <v>0</v>
      </c>
      <c r="F14" s="298">
        <f>+Hosadurga!H35</f>
        <v>0</v>
      </c>
      <c r="G14" s="298">
        <f>+Hosadurga!J35</f>
        <v>0</v>
      </c>
      <c r="H14" s="298">
        <f t="shared" ref="H5:H43" si="2">E14+G14</f>
        <v>0</v>
      </c>
      <c r="I14" s="298">
        <f>+Hosadurga!K3</f>
        <v>2258.5999999999767</v>
      </c>
      <c r="J14" s="298">
        <f>+Hosadurga!L35</f>
        <v>0</v>
      </c>
      <c r="K14" s="298">
        <f t="shared" si="0"/>
        <v>2258.5999999999767</v>
      </c>
    </row>
    <row r="15" spans="1:11">
      <c r="A15" s="296">
        <v>14</v>
      </c>
      <c r="B15" s="297" t="s">
        <v>37</v>
      </c>
      <c r="C15" s="297" t="s">
        <v>38</v>
      </c>
      <c r="D15" s="298">
        <f>+'Hosadurga -2'!E35</f>
        <v>7100</v>
      </c>
      <c r="E15" s="298">
        <f>+'Hosadurga -2'!G35</f>
        <v>649792</v>
      </c>
      <c r="F15" s="298">
        <f>+'Hosadurga -2'!H35</f>
        <v>310</v>
      </c>
      <c r="G15" s="298">
        <f>+'Hosadurga -2'!J35</f>
        <v>32137.700000000004</v>
      </c>
      <c r="H15" s="298">
        <f>+'Hosadurga -2'!K35</f>
        <v>681929.70000000007</v>
      </c>
      <c r="I15" s="298">
        <f>+'Hosadurga -2'!K3</f>
        <v>277709.08689999999</v>
      </c>
      <c r="J15" s="298">
        <f>+'Hosadurga -2'!L35</f>
        <v>500000</v>
      </c>
      <c r="K15" s="298">
        <f>H15+I15-J15</f>
        <v>459638.78690000006</v>
      </c>
    </row>
    <row r="16" spans="1:11">
      <c r="A16" s="296">
        <v>15</v>
      </c>
      <c r="B16" s="299" t="s">
        <v>39</v>
      </c>
      <c r="C16" s="299" t="s">
        <v>40</v>
      </c>
      <c r="D16" s="298">
        <f>+'Malebenur(KUWSDB)'!E36</f>
        <v>3928.62</v>
      </c>
      <c r="E16" s="298">
        <f>+'Malebenur(KUWSDB)'!G36</f>
        <v>362013.41580000002</v>
      </c>
      <c r="F16" s="298">
        <f>+'Malebenur(KUWSDB)'!H36</f>
        <v>164.86</v>
      </c>
      <c r="G16" s="298">
        <f>+'Malebenur(KUWSDB)'!J36</f>
        <v>17140.494200000001</v>
      </c>
      <c r="H16" s="298">
        <f>E16+G16</f>
        <v>379153.91000000003</v>
      </c>
      <c r="I16" s="298">
        <f>+'Malebenur(KUWSDB)'!K3</f>
        <v>2634.8283999999694</v>
      </c>
      <c r="J16" s="298">
        <f>+'Malebenur(KUWSDB)'!L36</f>
        <v>342853.3334</v>
      </c>
      <c r="K16" s="298">
        <f>H16+I16-J16</f>
        <v>38935.405000000028</v>
      </c>
    </row>
    <row r="17" spans="1:11">
      <c r="A17" s="296">
        <v>16</v>
      </c>
      <c r="B17" s="297" t="s">
        <v>41</v>
      </c>
      <c r="C17" s="297" t="s">
        <v>42</v>
      </c>
      <c r="D17" s="298">
        <f>+Kadur!E35</f>
        <v>1500</v>
      </c>
      <c r="E17" s="298">
        <f>+Kadur!G35</f>
        <v>138225</v>
      </c>
      <c r="F17" s="298">
        <f>+Kadur!H35</f>
        <v>140</v>
      </c>
      <c r="G17" s="298">
        <f>+Kadur!J35</f>
        <v>14597.8</v>
      </c>
      <c r="H17" s="298">
        <f t="shared" si="2"/>
        <v>152822.79999999999</v>
      </c>
      <c r="I17" s="298">
        <f>+Kadur!K3</f>
        <v>11508.83099999976</v>
      </c>
      <c r="J17" s="298">
        <f>+Kadur!L35</f>
        <v>0</v>
      </c>
      <c r="K17" s="298">
        <f t="shared" si="0"/>
        <v>164331.63099999976</v>
      </c>
    </row>
    <row r="18" spans="1:11">
      <c r="A18" s="296">
        <v>17</v>
      </c>
      <c r="B18" s="297" t="s">
        <v>43</v>
      </c>
      <c r="C18" s="297" t="s">
        <v>44</v>
      </c>
      <c r="D18" s="298">
        <f>+'Hiriyur(VJNL)'!E35</f>
        <v>6800</v>
      </c>
      <c r="E18" s="298">
        <f>+'Hiriyur(VJNL)'!G35</f>
        <v>627164</v>
      </c>
      <c r="F18" s="298">
        <f>+'Hiriyur(VJNL)'!H35</f>
        <v>280</v>
      </c>
      <c r="G18" s="298">
        <f>+'Hiriyur(VJNL)'!J35</f>
        <v>29142.399999999998</v>
      </c>
      <c r="H18" s="298">
        <f t="shared" si="2"/>
        <v>656306.4</v>
      </c>
      <c r="I18" s="298">
        <f>+'Hiriyur(VJNL)'!K3</f>
        <v>74841.399999999965</v>
      </c>
      <c r="J18" s="298">
        <f>+'Hiriyur(VJNL)'!L35</f>
        <v>409797</v>
      </c>
      <c r="K18" s="298">
        <f t="shared" si="0"/>
        <v>321350.80000000005</v>
      </c>
    </row>
    <row r="19" spans="1:11">
      <c r="A19" s="296">
        <v>18</v>
      </c>
      <c r="B19" s="297" t="s">
        <v>45</v>
      </c>
      <c r="C19" s="297" t="s">
        <v>46</v>
      </c>
      <c r="D19" s="298">
        <f>+'Chellakere (KUWSDB)'!E35</f>
        <v>3055</v>
      </c>
      <c r="E19" s="298">
        <f>+'Chellakere (KUWSDB)'!G35</f>
        <v>281665.34999999998</v>
      </c>
      <c r="F19" s="298">
        <f>+'Chellakere (KUWSDB)'!H35</f>
        <v>145</v>
      </c>
      <c r="G19" s="298">
        <f>+'Chellakere (KUWSDB)'!J35</f>
        <v>15084.35</v>
      </c>
      <c r="H19" s="298">
        <f t="shared" si="2"/>
        <v>296749.69999999995</v>
      </c>
      <c r="I19" s="298">
        <v>0</v>
      </c>
      <c r="J19" s="298">
        <f>+'Chellakere (KUWSDB)'!L35</f>
        <v>296749.75</v>
      </c>
      <c r="K19" s="298">
        <f t="shared" si="0"/>
        <v>-5.0000000046566129E-2</v>
      </c>
    </row>
    <row r="20" spans="1:11">
      <c r="A20" s="296">
        <v>19</v>
      </c>
      <c r="B20" s="297" t="s">
        <v>47</v>
      </c>
      <c r="C20" s="344" t="s">
        <v>48</v>
      </c>
      <c r="D20" s="298">
        <f>+Molakamuru!E36</f>
        <v>1199.9960000000001</v>
      </c>
      <c r="E20" s="298">
        <f>+Molakamuru!G36</f>
        <v>110652.63132000001</v>
      </c>
      <c r="F20" s="298">
        <f>+Molakamuru!H36</f>
        <v>45</v>
      </c>
      <c r="G20" s="298">
        <f>+Molakamuru!J36</f>
        <v>4682.3999999999996</v>
      </c>
      <c r="H20" s="298">
        <f t="shared" si="2"/>
        <v>115335.03132000001</v>
      </c>
      <c r="I20" s="298">
        <f>+Molakamuru!K3</f>
        <v>0</v>
      </c>
      <c r="J20" s="298">
        <f>+Molakamuru!L36</f>
        <v>115335.03132000001</v>
      </c>
      <c r="K20" s="298">
        <f t="shared" si="0"/>
        <v>0</v>
      </c>
    </row>
    <row r="21" spans="1:11">
      <c r="A21" s="296">
        <v>20</v>
      </c>
      <c r="B21" s="297" t="s">
        <v>49</v>
      </c>
      <c r="C21" s="297" t="s">
        <v>50</v>
      </c>
      <c r="D21" s="298">
        <f>+Khanapur!E35</f>
        <v>1063.75</v>
      </c>
      <c r="E21" s="298">
        <f>+Khanapur!G35</f>
        <v>96666</v>
      </c>
      <c r="F21" s="298">
        <f>+Khanapur!H35</f>
        <v>81</v>
      </c>
      <c r="G21" s="298">
        <f>+Khanapur!J35</f>
        <v>8324.3700000000026</v>
      </c>
      <c r="H21" s="298">
        <f t="shared" si="2"/>
        <v>104990.37</v>
      </c>
      <c r="I21" s="298">
        <f>+Khanapur!M3</f>
        <v>10170.750000000002</v>
      </c>
      <c r="J21" s="298">
        <f>+Khanapur!L35</f>
        <v>65000</v>
      </c>
      <c r="K21" s="298">
        <f t="shared" si="0"/>
        <v>50161.119999999995</v>
      </c>
    </row>
    <row r="22" spans="1:11">
      <c r="A22" s="296">
        <v>21</v>
      </c>
      <c r="B22" s="297" t="s">
        <v>51</v>
      </c>
      <c r="C22" s="297" t="s">
        <v>52</v>
      </c>
      <c r="D22" s="298">
        <f>+'Munavali-2'!E37</f>
        <v>9723.2700000000023</v>
      </c>
      <c r="E22" s="298">
        <f>+'Munavali-2'!G37</f>
        <v>887929.01639999985</v>
      </c>
      <c r="F22" s="298">
        <f>+'Munavali-2'!H37</f>
        <v>159</v>
      </c>
      <c r="G22" s="298">
        <f>+'Munavali-2'!J37</f>
        <v>16415.16</v>
      </c>
      <c r="H22" s="298">
        <f t="shared" si="2"/>
        <v>904344.17639999988</v>
      </c>
      <c r="I22" s="298">
        <f>+'Munavali-2'!M3</f>
        <v>204851.02779999998</v>
      </c>
      <c r="J22" s="298">
        <f>+'Munavali-2'!L37</f>
        <v>450000</v>
      </c>
      <c r="K22" s="298">
        <f t="shared" si="0"/>
        <v>659195.2041999998</v>
      </c>
    </row>
    <row r="23" spans="1:11">
      <c r="A23" s="296">
        <v>22</v>
      </c>
      <c r="B23" s="297" t="s">
        <v>53</v>
      </c>
      <c r="C23" s="297" t="s">
        <v>54</v>
      </c>
      <c r="D23" s="298">
        <f>+Borgaon!E37</f>
        <v>1049.33</v>
      </c>
      <c r="E23" s="298">
        <f>+Borgaon!G37</f>
        <v>96297.0141</v>
      </c>
      <c r="F23" s="298">
        <f>+Borgaon!H37</f>
        <v>61</v>
      </c>
      <c r="G23" s="298">
        <f>+Borgaon!J37</f>
        <v>6364.079999999999</v>
      </c>
      <c r="H23" s="298">
        <f t="shared" si="2"/>
        <v>102661.0941</v>
      </c>
      <c r="I23" s="298">
        <f>+Borgaon!K3</f>
        <v>41597.607399999972</v>
      </c>
      <c r="J23" s="298">
        <f>+Borgaon!L37</f>
        <v>82597</v>
      </c>
      <c r="K23" s="298">
        <f>H23+I23-J23</f>
        <v>61661.701499999966</v>
      </c>
    </row>
    <row r="24" spans="1:11">
      <c r="A24" s="296">
        <v>23</v>
      </c>
      <c r="B24" s="297" t="s">
        <v>55</v>
      </c>
      <c r="C24" s="297" t="s">
        <v>56</v>
      </c>
      <c r="D24" s="298">
        <f>+'Ugar,Khagwad,Kudichi'!E35</f>
        <v>2204.2399999999998</v>
      </c>
      <c r="E24" s="298">
        <f>+'Ugar,Khagwad,Kudichi'!G35</f>
        <v>202635.78320000001</v>
      </c>
      <c r="F24" s="298">
        <f>+'Ugar,Khagwad,Kudichi'!H35</f>
        <v>301</v>
      </c>
      <c r="G24" s="298">
        <f>+'Ugar,Khagwad,Kudichi'!J35</f>
        <v>32501.739999999998</v>
      </c>
      <c r="H24" s="298">
        <f t="shared" si="2"/>
        <v>235137.5232</v>
      </c>
      <c r="I24" s="298">
        <f>+'Ugar,Khagwad,Kudichi'!M3</f>
        <v>230919.2364000002</v>
      </c>
      <c r="J24" s="298">
        <f>+'Ugar,Khagwad,Kudichi'!L35</f>
        <v>231041</v>
      </c>
      <c r="K24" s="298">
        <f>H24+I24-J24</f>
        <v>235015.75960000022</v>
      </c>
    </row>
    <row r="25" spans="1:11">
      <c r="A25" s="296">
        <v>24</v>
      </c>
      <c r="B25" s="297" t="s">
        <v>57</v>
      </c>
      <c r="C25" s="297" t="s">
        <v>58</v>
      </c>
      <c r="D25" s="298">
        <f>+Kabbur!E35</f>
        <v>550.65</v>
      </c>
      <c r="E25" s="298">
        <f>+Kabbur!G35</f>
        <v>50434.033500000005</v>
      </c>
      <c r="F25" s="298">
        <f>+Kabbur!H35</f>
        <v>41.33</v>
      </c>
      <c r="G25" s="298">
        <f>+Kabbur!J35</f>
        <v>4278.8949000000002</v>
      </c>
      <c r="H25" s="298">
        <f t="shared" si="2"/>
        <v>54712.928400000004</v>
      </c>
      <c r="I25" s="298">
        <v>0</v>
      </c>
      <c r="J25" s="298">
        <f>+Kabbur!L35</f>
        <v>54712.928400000004</v>
      </c>
      <c r="K25" s="298">
        <f t="shared" si="0"/>
        <v>0</v>
      </c>
    </row>
    <row r="26" spans="1:11">
      <c r="A26" s="296">
        <v>25</v>
      </c>
      <c r="B26" s="297" t="s">
        <v>59</v>
      </c>
      <c r="C26" s="297" t="s">
        <v>60</v>
      </c>
      <c r="D26" s="298">
        <f>+kumta!E35</f>
        <v>1364.5</v>
      </c>
      <c r="E26" s="298">
        <f>+kumta!G35</f>
        <v>125424.84</v>
      </c>
      <c r="F26" s="298">
        <f>+kumta!H35</f>
        <v>49.680000000000007</v>
      </c>
      <c r="G26" s="298">
        <f>+kumta!J35</f>
        <v>5162.9345999999996</v>
      </c>
      <c r="H26" s="298">
        <f t="shared" si="2"/>
        <v>130587.77459999999</v>
      </c>
      <c r="I26" s="298">
        <v>0</v>
      </c>
      <c r="J26" s="298">
        <f>+kumta!L35</f>
        <v>130587.7746</v>
      </c>
      <c r="K26" s="298">
        <f t="shared" si="0"/>
        <v>0</v>
      </c>
    </row>
    <row r="27" spans="1:11">
      <c r="A27" s="296">
        <v>26</v>
      </c>
      <c r="B27" s="297" t="s">
        <v>61</v>
      </c>
      <c r="C27" s="297" t="s">
        <v>62</v>
      </c>
      <c r="D27" s="298">
        <f>+Jalgaon!E48</f>
        <v>9772.69</v>
      </c>
      <c r="E27" s="298">
        <f>+Jalgaon!G48</f>
        <v>896212.9155</v>
      </c>
      <c r="F27" s="298">
        <f>+Jalgaon!H48</f>
        <v>97</v>
      </c>
      <c r="G27" s="298">
        <f>+Jalgaon!J48</f>
        <v>10203.43</v>
      </c>
      <c r="H27" s="298">
        <f t="shared" si="2"/>
        <v>906416.34550000005</v>
      </c>
      <c r="I27" s="298">
        <f>+Jalgaon!K3</f>
        <v>509588.32409999997</v>
      </c>
      <c r="J27" s="298">
        <f>+Jalgaon!L48</f>
        <v>710403.36</v>
      </c>
      <c r="K27" s="298">
        <f t="shared" si="0"/>
        <v>705601.30960000015</v>
      </c>
    </row>
    <row r="28" spans="1:11">
      <c r="A28" s="296">
        <v>27</v>
      </c>
      <c r="B28" s="297" t="s">
        <v>63</v>
      </c>
      <c r="C28" s="297" t="s">
        <v>64</v>
      </c>
      <c r="D28" s="298">
        <f>+MKBD!E36</f>
        <v>1800</v>
      </c>
      <c r="E28" s="298">
        <f>+MKBD!G36</f>
        <v>164052</v>
      </c>
      <c r="F28" s="298">
        <f>+MKBD!H36</f>
        <v>40</v>
      </c>
      <c r="G28" s="298">
        <f>+MKBD!J36</f>
        <v>4184</v>
      </c>
      <c r="H28" s="298">
        <f t="shared" si="2"/>
        <v>168236</v>
      </c>
      <c r="I28" s="298">
        <f>+MKBD!K3</f>
        <v>108480.64999999991</v>
      </c>
      <c r="J28" s="298">
        <f>+MKBD!L36</f>
        <v>0</v>
      </c>
      <c r="K28" s="298">
        <f t="shared" si="0"/>
        <v>276716.64999999991</v>
      </c>
    </row>
    <row r="29" spans="1:11">
      <c r="A29" s="296">
        <v>28</v>
      </c>
      <c r="B29" s="297" t="s">
        <v>65</v>
      </c>
      <c r="C29" s="297" t="s">
        <v>66</v>
      </c>
      <c r="D29" s="298">
        <f>+Haveri!E36</f>
        <v>4650</v>
      </c>
      <c r="E29" s="298">
        <f>+Haveri!G36</f>
        <v>425345.25760000001</v>
      </c>
      <c r="F29" s="298">
        <f>+Haveri!H36</f>
        <v>115.97999999999999</v>
      </c>
      <c r="G29" s="298">
        <f>+Haveri!J36</f>
        <v>11992.332</v>
      </c>
      <c r="H29" s="298">
        <f>E29+G29</f>
        <v>437337.58960000001</v>
      </c>
      <c r="I29" s="298">
        <f>+Haveri!M3</f>
        <v>100388.60509999996</v>
      </c>
      <c r="J29" s="298">
        <f>+Haveri!L36</f>
        <v>410000</v>
      </c>
      <c r="K29" s="298">
        <f t="shared" si="0"/>
        <v>127726.19469999999</v>
      </c>
    </row>
    <row r="30" spans="1:11">
      <c r="A30" s="296">
        <v>29</v>
      </c>
      <c r="B30" s="297" t="s">
        <v>67</v>
      </c>
      <c r="C30" s="297" t="s">
        <v>68</v>
      </c>
      <c r="D30" s="298">
        <f>+Guttal!E35</f>
        <v>1039.6099999999999</v>
      </c>
      <c r="E30" s="298">
        <f>+Guttal!G35</f>
        <v>95436.197999999989</v>
      </c>
      <c r="F30" s="298">
        <f>+Guttal!H35</f>
        <v>83</v>
      </c>
      <c r="G30" s="298">
        <f>+Guttal!J35</f>
        <v>8613.739999999998</v>
      </c>
      <c r="H30" s="298">
        <f t="shared" si="2"/>
        <v>104049.93799999999</v>
      </c>
      <c r="I30" s="298">
        <v>0</v>
      </c>
      <c r="J30" s="298">
        <f>+Guttal!L35</f>
        <v>67093.873999999996</v>
      </c>
      <c r="K30" s="298">
        <f t="shared" si="0"/>
        <v>36956.063999999998</v>
      </c>
    </row>
    <row r="31" spans="1:11">
      <c r="A31" s="296">
        <v>30</v>
      </c>
      <c r="B31" s="297" t="s">
        <v>69</v>
      </c>
      <c r="C31" s="297" t="s">
        <v>70</v>
      </c>
      <c r="D31" s="298">
        <f>+Rattihali!E35</f>
        <v>1736.13</v>
      </c>
      <c r="E31" s="298">
        <f>+Rattihali!G35</f>
        <v>159793.40520000001</v>
      </c>
      <c r="F31" s="298">
        <f>+Rattihali!H35</f>
        <v>63.75</v>
      </c>
      <c r="G31" s="298">
        <f>+Rattihali!J35</f>
        <v>6631.2749999999996</v>
      </c>
      <c r="H31" s="298">
        <f t="shared" si="2"/>
        <v>166424.6802</v>
      </c>
      <c r="I31" s="298">
        <f>+Rattihali!M3</f>
        <v>173876.23400000003</v>
      </c>
      <c r="J31" s="298">
        <f>+Rattihali!L35</f>
        <v>150000</v>
      </c>
      <c r="K31" s="298">
        <f t="shared" si="0"/>
        <v>190300.9142</v>
      </c>
    </row>
    <row r="32" spans="1:11">
      <c r="A32" s="296">
        <v>31</v>
      </c>
      <c r="B32" s="297" t="s">
        <v>71</v>
      </c>
      <c r="C32" s="297" t="s">
        <v>72</v>
      </c>
      <c r="D32" s="298">
        <f>+Gajendragada!E35</f>
        <v>675</v>
      </c>
      <c r="E32" s="298">
        <f>+Gajendragada!G35</f>
        <v>61985.25</v>
      </c>
      <c r="F32" s="298">
        <f>+Gajendragada!H35</f>
        <v>25</v>
      </c>
      <c r="G32" s="298">
        <f>+Gajendragada!J35</f>
        <v>2595</v>
      </c>
      <c r="H32" s="298">
        <f t="shared" si="2"/>
        <v>64580.25</v>
      </c>
      <c r="I32" s="298">
        <f>+Gajendragada!K3</f>
        <v>133672.01150000002</v>
      </c>
      <c r="J32" s="298">
        <f>+Gajendragada!L35</f>
        <v>100000</v>
      </c>
      <c r="K32" s="298">
        <f t="shared" si="0"/>
        <v>98252.261500000022</v>
      </c>
    </row>
    <row r="33" spans="1:13">
      <c r="A33" s="296">
        <v>32</v>
      </c>
      <c r="B33" s="300" t="s">
        <v>73</v>
      </c>
      <c r="C33" s="300" t="s">
        <v>74</v>
      </c>
      <c r="D33" s="298">
        <f>+'Gokak Dharwad PKG 3'!E40</f>
        <v>13672.48</v>
      </c>
      <c r="E33" s="298">
        <f>+'Gokak Dharwad PKG 3'!G40</f>
        <v>1250758.4704000005</v>
      </c>
      <c r="F33" s="298">
        <f>+'Gokak Dharwad PKG 3'!H40</f>
        <v>280.66999999999996</v>
      </c>
      <c r="G33" s="298">
        <f>+'Gokak Dharwad PKG 3'!J40</f>
        <v>29062.884699999999</v>
      </c>
      <c r="H33" s="298">
        <f t="shared" si="2"/>
        <v>1279821.3551000005</v>
      </c>
      <c r="I33" s="301">
        <f>+'Gokak Dharwad PKG 3'!K3</f>
        <v>1036892.0919000006</v>
      </c>
      <c r="J33" s="298">
        <f>+'Gokak Dharwad PKG 3'!L40</f>
        <v>1000000</v>
      </c>
      <c r="K33" s="298">
        <f t="shared" si="0"/>
        <v>1316713.4470000011</v>
      </c>
      <c r="M33" s="304"/>
    </row>
    <row r="34" spans="1:13">
      <c r="A34" s="296">
        <v>33</v>
      </c>
      <c r="B34" s="300" t="s">
        <v>75</v>
      </c>
      <c r="C34" s="300" t="s">
        <v>76</v>
      </c>
      <c r="D34" s="298">
        <f>+Ankalgi!E35</f>
        <v>2105.29</v>
      </c>
      <c r="E34" s="298">
        <f>+Ankalgi!G35</f>
        <v>192234.02989999999</v>
      </c>
      <c r="F34" s="298">
        <f>+Ankalgi!H35</f>
        <v>128</v>
      </c>
      <c r="G34" s="298">
        <f>+Ankalgi!J35</f>
        <v>13213.44</v>
      </c>
      <c r="H34" s="298">
        <f t="shared" si="2"/>
        <v>205447.4699</v>
      </c>
      <c r="I34" s="327">
        <f>+Ankalgi!M3</f>
        <v>105996.1017</v>
      </c>
      <c r="J34" s="298">
        <f>+Ankalgi!L35</f>
        <v>270000</v>
      </c>
      <c r="K34" s="298">
        <f t="shared" si="0"/>
        <v>41443.571600000025</v>
      </c>
    </row>
    <row r="35" spans="1:13">
      <c r="A35" s="296">
        <v>34</v>
      </c>
      <c r="B35" s="300" t="s">
        <v>77</v>
      </c>
      <c r="C35" s="300" t="s">
        <v>78</v>
      </c>
      <c r="D35" s="298">
        <f>+' Shankeshwar'!E35</f>
        <v>485.68</v>
      </c>
      <c r="E35" s="298">
        <f>+' Shankeshwar'!G35</f>
        <v>44342.584000000003</v>
      </c>
      <c r="F35" s="298">
        <f>+' Shankeshwar'!H35</f>
        <v>51.01</v>
      </c>
      <c r="G35" s="298">
        <f>+' Shankeshwar'!J35</f>
        <v>4644.8999999999996</v>
      </c>
      <c r="H35" s="298">
        <f t="shared" si="2"/>
        <v>48987.484000000004</v>
      </c>
      <c r="I35" s="298"/>
      <c r="J35" s="298">
        <f>+' Shankeshwar'!L35</f>
        <v>48987.483999999997</v>
      </c>
      <c r="K35" s="298">
        <f t="shared" si="0"/>
        <v>0</v>
      </c>
    </row>
    <row r="36" spans="1:13">
      <c r="A36" s="296">
        <v>35</v>
      </c>
      <c r="B36" s="300" t="s">
        <v>79</v>
      </c>
      <c r="C36" s="300" t="s">
        <v>80</v>
      </c>
      <c r="D36" s="298">
        <f>+' Talikote'!E46</f>
        <v>1173.55</v>
      </c>
      <c r="E36" s="298">
        <f>+' Talikote'!G46</f>
        <v>107372.11800000002</v>
      </c>
      <c r="F36" s="298">
        <f>+' Talikote'!H46</f>
        <v>127.00999999999999</v>
      </c>
      <c r="G36" s="298">
        <f>+' Talikote'!J46</f>
        <v>13137.914400000001</v>
      </c>
      <c r="H36" s="298">
        <f t="shared" si="2"/>
        <v>120510.03240000003</v>
      </c>
      <c r="I36" s="298">
        <f>+' Talikote'!N3</f>
        <v>20613.942399999993</v>
      </c>
      <c r="J36" s="298">
        <f>+' Talikote'!L46</f>
        <v>97999.71</v>
      </c>
      <c r="K36" s="298">
        <f t="shared" si="0"/>
        <v>43124.264800000019</v>
      </c>
    </row>
    <row r="37" spans="1:13">
      <c r="A37" s="296">
        <v>36</v>
      </c>
      <c r="B37" s="300" t="s">
        <v>81</v>
      </c>
      <c r="C37" s="300" t="s">
        <v>82</v>
      </c>
      <c r="D37" s="298">
        <f>+Chadchan!E35</f>
        <v>1424.68</v>
      </c>
      <c r="E37" s="298">
        <f>+Chadchan!G35</f>
        <v>129973.5564</v>
      </c>
      <c r="F37" s="298">
        <f>+Chadchan!H35</f>
        <v>102.18</v>
      </c>
      <c r="G37" s="298">
        <f>+Chadchan!J35</f>
        <v>10540.888800000001</v>
      </c>
      <c r="H37" s="298">
        <f t="shared" si="2"/>
        <v>140514.44520000002</v>
      </c>
      <c r="I37" s="298">
        <f>+Chadchan!K3</f>
        <v>92882.428200000038</v>
      </c>
      <c r="J37" s="298">
        <f>+Chadchan!L35</f>
        <v>90000</v>
      </c>
      <c r="K37" s="298">
        <f t="shared" si="0"/>
        <v>143396.87340000004</v>
      </c>
    </row>
    <row r="38" spans="1:13">
      <c r="A38" s="296">
        <v>37</v>
      </c>
      <c r="B38" s="300" t="s">
        <v>83</v>
      </c>
      <c r="C38" s="300" t="s">
        <v>84</v>
      </c>
      <c r="D38" s="298">
        <f>+Sindagi!E44</f>
        <v>0</v>
      </c>
      <c r="E38" s="298">
        <f>+Sindagi!G44</f>
        <v>0</v>
      </c>
      <c r="F38" s="298">
        <f>+Sindagi!H44</f>
        <v>0</v>
      </c>
      <c r="G38" s="298">
        <f>+Sindagi!J44</f>
        <v>0</v>
      </c>
      <c r="H38" s="298">
        <f t="shared" si="2"/>
        <v>0</v>
      </c>
      <c r="I38" s="298">
        <f>+Sindagi!M3</f>
        <v>0</v>
      </c>
      <c r="J38" s="298">
        <f>+Sindagi!L44</f>
        <v>0</v>
      </c>
      <c r="K38" s="298">
        <f t="shared" si="0"/>
        <v>0</v>
      </c>
    </row>
    <row r="39" spans="1:13">
      <c r="A39" s="296">
        <v>38</v>
      </c>
      <c r="B39" s="300" t="s">
        <v>85</v>
      </c>
      <c r="C39" s="300" t="s">
        <v>86</v>
      </c>
      <c r="D39" s="298">
        <f>+Muddebihal!E47</f>
        <v>652.34</v>
      </c>
      <c r="E39" s="298">
        <f>+Muddebihal!G47</f>
        <v>59656.492999999995</v>
      </c>
      <c r="F39" s="298">
        <f>+Muddebihal!H47</f>
        <v>14.84</v>
      </c>
      <c r="G39" s="298">
        <f>+Muddebihal!J47</f>
        <v>1534.3076000000001</v>
      </c>
      <c r="H39" s="298">
        <f t="shared" si="2"/>
        <v>61190.800599999995</v>
      </c>
      <c r="I39" s="298">
        <f>+Muddebihal!M3</f>
        <v>30403.0242</v>
      </c>
      <c r="J39" s="298">
        <f>+Muddebihal!L47</f>
        <v>88000</v>
      </c>
      <c r="K39" s="298">
        <f t="shared" si="0"/>
        <v>3593.8248000000021</v>
      </c>
    </row>
    <row r="40" spans="1:13">
      <c r="A40" s="296">
        <v>39</v>
      </c>
      <c r="B40" s="300" t="s">
        <v>87</v>
      </c>
      <c r="C40" s="300" t="s">
        <v>88</v>
      </c>
      <c r="D40" s="298">
        <f>+'Muddebhihal-2'!E47</f>
        <v>481</v>
      </c>
      <c r="E40" s="298">
        <f>+'Muddebhihal-2'!G47</f>
        <v>43973.020000000004</v>
      </c>
      <c r="F40" s="298">
        <f>+'Muddebhihal-2'!H47</f>
        <v>25</v>
      </c>
      <c r="G40" s="298">
        <f>+'Muddebhihal-2'!J47</f>
        <v>2583.75</v>
      </c>
      <c r="H40" s="298">
        <f>+'Muddebhihal-2'!K47</f>
        <v>46556.770000000004</v>
      </c>
      <c r="I40" s="298">
        <f>+'Muddebhihal-2'!M3</f>
        <v>0</v>
      </c>
      <c r="J40" s="298">
        <f>+'Muddebhihal-2'!L47</f>
        <v>0</v>
      </c>
      <c r="K40" s="298">
        <f>+'Muddebhihal-2'!M46</f>
        <v>46556.770000000004</v>
      </c>
    </row>
    <row r="41" spans="1:13">
      <c r="A41" s="296">
        <v>40</v>
      </c>
      <c r="B41" s="300" t="s">
        <v>89</v>
      </c>
      <c r="C41" s="300" t="s">
        <v>90</v>
      </c>
      <c r="D41" s="298">
        <f>+Alemela!E43</f>
        <v>1044.6600000000001</v>
      </c>
      <c r="E41" s="298">
        <f>+Alemela!G43</f>
        <v>95408.797799999986</v>
      </c>
      <c r="F41" s="298">
        <f>+Alemela!H43</f>
        <v>82.87</v>
      </c>
      <c r="G41" s="298">
        <f>+Alemela!J43</f>
        <v>8557.1562000000013</v>
      </c>
      <c r="H41" s="298">
        <f t="shared" si="2"/>
        <v>103965.95399999998</v>
      </c>
      <c r="I41" s="298">
        <f>+Alemela!M3</f>
        <v>4396.8206999999966</v>
      </c>
      <c r="J41" s="298">
        <f>+Alemela!L43</f>
        <v>52000</v>
      </c>
      <c r="K41" s="298">
        <f t="shared" si="0"/>
        <v>56362.77469999998</v>
      </c>
    </row>
    <row r="42" spans="1:13">
      <c r="A42" s="296">
        <v>41</v>
      </c>
      <c r="B42" s="300" t="s">
        <v>91</v>
      </c>
      <c r="C42" s="300" t="s">
        <v>92</v>
      </c>
      <c r="D42" s="298">
        <f>+Nalatwad!E43</f>
        <v>541.55000000000007</v>
      </c>
      <c r="E42" s="298">
        <f>+Nalatwad!G43</f>
        <v>49616.811000000009</v>
      </c>
      <c r="F42" s="298">
        <f>+Nalatwad!H43</f>
        <v>42.17</v>
      </c>
      <c r="G42" s="298">
        <f>+Nalatwad!J43</f>
        <v>4364.9529000000002</v>
      </c>
      <c r="H42" s="298">
        <f>E42+G42</f>
        <v>53981.763900000005</v>
      </c>
      <c r="I42" s="298">
        <f>+Nalatwad!M3</f>
        <v>19544.637400000021</v>
      </c>
      <c r="J42" s="298">
        <f>+Nalatwad!L43</f>
        <v>50000</v>
      </c>
      <c r="K42" s="298">
        <f>H42+I42-J42</f>
        <v>23526.401300000027</v>
      </c>
    </row>
    <row r="43" spans="1:13">
      <c r="A43" s="296">
        <v>42</v>
      </c>
      <c r="B43" s="300" t="s">
        <v>93</v>
      </c>
      <c r="C43" s="300" t="s">
        <v>94</v>
      </c>
      <c r="D43" s="298">
        <f>+Srirangapatna!E35</f>
        <v>110.41</v>
      </c>
      <c r="E43" s="298">
        <f>+Srirangapatna!G35</f>
        <v>9999.8336999999992</v>
      </c>
      <c r="F43" s="298">
        <f>+Srirangapatna!H35</f>
        <v>67.94</v>
      </c>
      <c r="G43" s="298">
        <f>+Srirangapatna!J35</f>
        <v>6961.1323999999986</v>
      </c>
      <c r="H43" s="298">
        <f t="shared" si="2"/>
        <v>16960.966099999998</v>
      </c>
      <c r="I43" s="298">
        <v>0</v>
      </c>
      <c r="J43" s="298">
        <f>+Srirangapatna!L35</f>
        <v>16960.966099999998</v>
      </c>
      <c r="K43" s="298">
        <f t="shared" si="0"/>
        <v>0</v>
      </c>
    </row>
    <row r="44" spans="1:13">
      <c r="A44" s="428" t="s">
        <v>95</v>
      </c>
      <c r="B44" s="428"/>
      <c r="C44" s="428"/>
      <c r="D44" s="302">
        <f t="shared" ref="D44:J44" si="3">SUM(D2:D43)</f>
        <v>332866.89599999995</v>
      </c>
      <c r="E44" s="302">
        <f t="shared" si="3"/>
        <v>31546550.744520005</v>
      </c>
      <c r="F44" s="302">
        <f t="shared" si="3"/>
        <v>5762.35</v>
      </c>
      <c r="G44" s="302">
        <f t="shared" si="3"/>
        <v>607209.68329999992</v>
      </c>
      <c r="H44" s="302">
        <f t="shared" si="3"/>
        <v>32153760.427820005</v>
      </c>
      <c r="I44" s="302">
        <f t="shared" si="3"/>
        <v>31362513.833913803</v>
      </c>
      <c r="J44" s="302">
        <f t="shared" si="3"/>
        <v>20278849.54662</v>
      </c>
      <c r="K44" s="302">
        <f>H44+I44-J44</f>
        <v>43237424.715113804</v>
      </c>
      <c r="L44" s="295">
        <v>43108772</v>
      </c>
      <c r="M44" s="304">
        <f>L44-K44</f>
        <v>-128652.71511380374</v>
      </c>
    </row>
    <row r="45" spans="1:13">
      <c r="K45" s="303"/>
    </row>
    <row r="46" spans="1:13">
      <c r="K46" s="345"/>
    </row>
    <row r="47" spans="1:13">
      <c r="K47" s="303"/>
    </row>
    <row r="48" spans="1:13">
      <c r="K48" s="303"/>
    </row>
    <row r="49" spans="1:11">
      <c r="A49" s="353" t="s">
        <v>0</v>
      </c>
      <c r="B49" s="353" t="s">
        <v>1</v>
      </c>
      <c r="C49" s="353" t="s">
        <v>2</v>
      </c>
      <c r="D49" s="354" t="s">
        <v>3</v>
      </c>
      <c r="E49" s="354" t="s">
        <v>4</v>
      </c>
      <c r="F49" s="354" t="s">
        <v>5</v>
      </c>
      <c r="G49" s="354" t="s">
        <v>6</v>
      </c>
      <c r="H49" s="354" t="s">
        <v>7</v>
      </c>
      <c r="I49" s="354" t="s">
        <v>8</v>
      </c>
      <c r="J49" s="354" t="s">
        <v>9</v>
      </c>
      <c r="K49" s="354" t="s">
        <v>10</v>
      </c>
    </row>
    <row r="50" spans="1:11">
      <c r="A50" s="355">
        <v>30</v>
      </c>
      <c r="B50" s="355" t="str" cm="1">
        <f t="array" ref="B50:K50">VLOOKUP(A50,A1:K43,{2,3,4,5,6,7,8,9,10,11},FALSE)</f>
        <v>Rattihali</v>
      </c>
      <c r="C50" s="355" t="str">
        <v xml:space="preserve"> Shree Siri Gowari petroliam</v>
      </c>
      <c r="D50" s="355">
        <v>1736.13</v>
      </c>
      <c r="E50" s="355">
        <v>159793.40520000001</v>
      </c>
      <c r="F50" s="355">
        <v>63.75</v>
      </c>
      <c r="G50" s="355">
        <v>6631.2749999999996</v>
      </c>
      <c r="H50" s="355">
        <v>166424.6802</v>
      </c>
      <c r="I50" s="355">
        <v>173876.23400000003</v>
      </c>
      <c r="J50" s="355">
        <v>150000</v>
      </c>
      <c r="K50" s="355">
        <v>190300.9142</v>
      </c>
    </row>
    <row r="52" spans="1:11">
      <c r="B52" s="353" t="s">
        <v>1</v>
      </c>
      <c r="C52" s="353" t="s">
        <v>2</v>
      </c>
      <c r="D52" s="354" t="s">
        <v>3</v>
      </c>
      <c r="E52" s="354" t="s">
        <v>4</v>
      </c>
      <c r="F52" s="354" t="s">
        <v>5</v>
      </c>
      <c r="G52" s="354" t="s">
        <v>6</v>
      </c>
      <c r="H52" s="354" t="s">
        <v>7</v>
      </c>
      <c r="I52" s="354" t="s">
        <v>8</v>
      </c>
      <c r="J52" s="354" t="s">
        <v>9</v>
      </c>
      <c r="K52" s="354" t="s">
        <v>10</v>
      </c>
    </row>
    <row r="53" spans="1:11">
      <c r="B53" s="295" t="s">
        <v>65</v>
      </c>
      <c r="C53" s="295" t="str" cm="1">
        <f t="array" ref="C53:K53">VLOOKUP(B53,B1:K43,{2,3,4,5,6,7,8,9,10},FALSE)</f>
        <v>Shivalingeshwar Petroleum</v>
      </c>
      <c r="D53" s="295">
        <v>4650</v>
      </c>
      <c r="E53" s="295">
        <v>425345.25760000001</v>
      </c>
      <c r="F53" s="295">
        <v>115.97999999999999</v>
      </c>
      <c r="G53" s="295">
        <v>11992.332</v>
      </c>
      <c r="H53" s="295">
        <v>437337.58960000001</v>
      </c>
      <c r="I53" s="295">
        <v>100388.60509999996</v>
      </c>
      <c r="J53" s="295">
        <v>410000</v>
      </c>
      <c r="K53" s="295">
        <v>127726.19469999999</v>
      </c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AF3A-D487-4634-8F4C-4C505D325D92}">
  <dimension ref="A1"/>
  <sheetViews>
    <sheetView workbookViewId="0">
      <selection activeCell="P17" sqref="P1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16" workbookViewId="0">
      <selection activeCell="P23" sqref="P23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29" t="s">
        <v>12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</row>
    <row r="2" spans="1:18" ht="30">
      <c r="A2" s="131" t="s">
        <v>96</v>
      </c>
      <c r="B2" s="132" t="s">
        <v>97</v>
      </c>
      <c r="C2" s="132" t="s">
        <v>98</v>
      </c>
      <c r="D2" s="132" t="s">
        <v>99</v>
      </c>
      <c r="E2" s="132" t="s">
        <v>100</v>
      </c>
      <c r="F2" s="132" t="s">
        <v>101</v>
      </c>
      <c r="G2" s="132" t="s">
        <v>102</v>
      </c>
      <c r="H2" s="132" t="s">
        <v>103</v>
      </c>
      <c r="I2" s="132" t="s">
        <v>101</v>
      </c>
      <c r="J2" s="133" t="s">
        <v>102</v>
      </c>
      <c r="K2" s="131" t="s">
        <v>104</v>
      </c>
      <c r="L2" s="134" t="s">
        <v>105</v>
      </c>
      <c r="M2" s="134" t="s">
        <v>106</v>
      </c>
      <c r="N2" s="132" t="s">
        <v>107</v>
      </c>
    </row>
    <row r="3" spans="1:18">
      <c r="A3" s="430" t="s">
        <v>108</v>
      </c>
      <c r="B3" s="430"/>
      <c r="C3" s="430"/>
      <c r="D3" s="430"/>
      <c r="E3" s="430"/>
      <c r="F3" s="430"/>
      <c r="G3" s="430"/>
      <c r="H3" s="430"/>
      <c r="I3" s="430"/>
      <c r="J3" s="430"/>
      <c r="K3">
        <v>11177696.641299997</v>
      </c>
      <c r="L3" s="244"/>
      <c r="M3" s="225">
        <f>+K3</f>
        <v>11177696.641299997</v>
      </c>
      <c r="N3" s="100"/>
      <c r="O3">
        <v>11178223.678099994</v>
      </c>
    </row>
    <row r="4" spans="1:18">
      <c r="A4" s="26">
        <v>1</v>
      </c>
      <c r="B4" s="27">
        <v>45931</v>
      </c>
      <c r="C4" s="17"/>
      <c r="D4" s="17"/>
      <c r="E4" s="17"/>
      <c r="F4" s="17"/>
      <c r="G4" s="17">
        <f>E4*F4</f>
        <v>0</v>
      </c>
      <c r="H4" s="359"/>
      <c r="I4" s="17"/>
      <c r="J4" s="17">
        <f>H4*I4</f>
        <v>0</v>
      </c>
      <c r="K4" s="17">
        <f>G4+J4</f>
        <v>0</v>
      </c>
      <c r="L4" s="17">
        <v>0</v>
      </c>
      <c r="M4" s="42">
        <f>M3+K4-L4</f>
        <v>11177696.641299997</v>
      </c>
      <c r="N4" s="17"/>
    </row>
    <row r="5" spans="1:18">
      <c r="A5" s="26">
        <v>2</v>
      </c>
      <c r="B5" s="27">
        <v>45932</v>
      </c>
      <c r="C5" s="17"/>
      <c r="D5" s="17"/>
      <c r="E5" s="359"/>
      <c r="F5" s="17"/>
      <c r="G5" s="17">
        <f t="shared" ref="G5:G37" si="0">E5*F5</f>
        <v>0</v>
      </c>
      <c r="H5" s="359"/>
      <c r="I5" s="17"/>
      <c r="J5" s="17">
        <f t="shared" ref="J5:J37" si="1">H5*I5</f>
        <v>0</v>
      </c>
      <c r="K5" s="17">
        <f t="shared" ref="K5:K37" si="2">G5+J5</f>
        <v>0</v>
      </c>
      <c r="L5" s="17"/>
      <c r="M5" s="42">
        <f>M4+K5-L5</f>
        <v>11177696.641299997</v>
      </c>
      <c r="N5" s="17"/>
    </row>
    <row r="6" spans="1:18">
      <c r="A6" s="26">
        <v>3</v>
      </c>
      <c r="B6" s="27">
        <v>45933</v>
      </c>
      <c r="C6" s="17"/>
      <c r="D6" s="17"/>
      <c r="E6" s="359"/>
      <c r="F6" s="17"/>
      <c r="G6" s="17">
        <f t="shared" si="0"/>
        <v>0</v>
      </c>
      <c r="H6" s="359"/>
      <c r="I6" s="17"/>
      <c r="J6" s="17">
        <f t="shared" si="1"/>
        <v>0</v>
      </c>
      <c r="K6" s="17">
        <f t="shared" si="2"/>
        <v>0</v>
      </c>
      <c r="L6" s="17"/>
      <c r="M6" s="42">
        <f t="shared" ref="M6:M8" si="3">M5+K6-L6</f>
        <v>11177696.641299997</v>
      </c>
      <c r="N6" s="17"/>
    </row>
    <row r="7" spans="1:18">
      <c r="A7" s="26">
        <v>4</v>
      </c>
      <c r="B7" s="27">
        <v>45934</v>
      </c>
      <c r="C7" s="17"/>
      <c r="D7" s="17"/>
      <c r="E7" s="359"/>
      <c r="F7" s="17"/>
      <c r="G7" s="17">
        <f t="shared" si="0"/>
        <v>0</v>
      </c>
      <c r="H7" s="359"/>
      <c r="I7" s="17"/>
      <c r="J7" s="17">
        <f t="shared" si="1"/>
        <v>0</v>
      </c>
      <c r="K7" s="17">
        <f t="shared" si="2"/>
        <v>0</v>
      </c>
      <c r="L7" s="17"/>
      <c r="M7" s="42">
        <f t="shared" si="3"/>
        <v>11177696.641299997</v>
      </c>
      <c r="N7" s="17"/>
    </row>
    <row r="8" spans="1:18">
      <c r="A8" s="26">
        <v>5</v>
      </c>
      <c r="B8" s="27">
        <v>45935</v>
      </c>
      <c r="C8" s="17"/>
      <c r="D8" s="17"/>
      <c r="E8" s="359"/>
      <c r="F8" s="17"/>
      <c r="G8" s="17">
        <f t="shared" si="0"/>
        <v>0</v>
      </c>
      <c r="H8" s="359"/>
      <c r="I8" s="17"/>
      <c r="J8" s="17">
        <f t="shared" si="1"/>
        <v>0</v>
      </c>
      <c r="K8" s="17">
        <f t="shared" si="2"/>
        <v>0</v>
      </c>
      <c r="L8" s="17"/>
      <c r="M8" s="42">
        <f t="shared" si="3"/>
        <v>11177696.641299997</v>
      </c>
      <c r="N8" s="17"/>
    </row>
    <row r="9" spans="1:18">
      <c r="A9" s="26">
        <v>6</v>
      </c>
      <c r="B9" s="27">
        <v>45936</v>
      </c>
      <c r="C9" s="17"/>
      <c r="D9" s="17"/>
      <c r="E9" s="360"/>
      <c r="F9" s="356"/>
      <c r="G9" s="17">
        <f t="shared" si="0"/>
        <v>0</v>
      </c>
      <c r="H9" s="359"/>
      <c r="I9" s="17"/>
      <c r="J9" s="17">
        <f t="shared" si="1"/>
        <v>0</v>
      </c>
      <c r="K9" s="17">
        <f t="shared" si="2"/>
        <v>0</v>
      </c>
      <c r="L9" s="17"/>
      <c r="M9" s="42">
        <f>M8+K9-L9</f>
        <v>11177696.641299997</v>
      </c>
      <c r="N9" s="17"/>
    </row>
    <row r="10" spans="1:18">
      <c r="A10" s="26">
        <v>7</v>
      </c>
      <c r="B10" s="27">
        <v>45937</v>
      </c>
      <c r="C10" s="17"/>
      <c r="D10" s="204">
        <v>1</v>
      </c>
      <c r="E10" s="397">
        <v>2800</v>
      </c>
      <c r="F10" s="356">
        <v>95.68</v>
      </c>
      <c r="G10" s="17">
        <f t="shared" si="0"/>
        <v>267904</v>
      </c>
      <c r="H10" s="359">
        <v>20</v>
      </c>
      <c r="I10" s="17">
        <v>107.46</v>
      </c>
      <c r="J10" s="17">
        <f t="shared" si="1"/>
        <v>2149.1999999999998</v>
      </c>
      <c r="K10" s="17">
        <f t="shared" si="2"/>
        <v>270053.2</v>
      </c>
      <c r="L10" s="17"/>
      <c r="M10" s="42">
        <f>M9+K10-L10</f>
        <v>11447749.841299996</v>
      </c>
      <c r="N10" s="17"/>
    </row>
    <row r="11" spans="1:18">
      <c r="A11" s="26">
        <v>8</v>
      </c>
      <c r="B11" s="27">
        <v>45938</v>
      </c>
      <c r="C11" s="17"/>
      <c r="D11" s="204"/>
      <c r="E11" s="398"/>
      <c r="F11" s="356"/>
      <c r="G11" s="17">
        <f t="shared" si="0"/>
        <v>0</v>
      </c>
      <c r="H11" s="359"/>
      <c r="I11" s="17"/>
      <c r="J11" s="17">
        <f t="shared" si="1"/>
        <v>0</v>
      </c>
      <c r="K11" s="17">
        <f t="shared" si="2"/>
        <v>0</v>
      </c>
      <c r="L11" s="17"/>
      <c r="M11" s="42">
        <f>M10+K11-L11</f>
        <v>11447749.841299996</v>
      </c>
      <c r="N11" s="17"/>
    </row>
    <row r="12" spans="1:18">
      <c r="A12" s="26">
        <v>9</v>
      </c>
      <c r="B12" s="27">
        <v>45939</v>
      </c>
      <c r="C12" s="17"/>
      <c r="D12" s="204">
        <v>2</v>
      </c>
      <c r="E12" s="398">
        <v>4000</v>
      </c>
      <c r="F12" s="356">
        <v>95.68</v>
      </c>
      <c r="G12" s="17">
        <f t="shared" si="0"/>
        <v>382720</v>
      </c>
      <c r="H12" s="359"/>
      <c r="I12" s="17"/>
      <c r="J12" s="17">
        <f t="shared" si="1"/>
        <v>0</v>
      </c>
      <c r="K12" s="17">
        <f t="shared" si="2"/>
        <v>382720</v>
      </c>
      <c r="L12" s="17"/>
      <c r="M12" s="42">
        <f>M11+K12-L12</f>
        <v>11830469.841299996</v>
      </c>
      <c r="N12" s="17"/>
    </row>
    <row r="13" spans="1:18">
      <c r="A13" s="26">
        <v>10</v>
      </c>
      <c r="B13" s="27">
        <v>45940</v>
      </c>
      <c r="C13" s="17"/>
      <c r="D13" s="17"/>
      <c r="E13" s="398"/>
      <c r="F13" s="356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/>
      <c r="M13" s="42">
        <f t="shared" ref="M13:M35" si="4">M12+K13-L13</f>
        <v>11830469.841299996</v>
      </c>
      <c r="N13" s="17"/>
      <c r="P13" s="22"/>
    </row>
    <row r="14" spans="1:18">
      <c r="A14" s="26">
        <v>11</v>
      </c>
      <c r="B14" s="27">
        <v>45941</v>
      </c>
      <c r="C14" s="17"/>
      <c r="D14" s="204">
        <v>3</v>
      </c>
      <c r="E14" s="398">
        <v>6500</v>
      </c>
      <c r="F14" s="356">
        <v>95.68</v>
      </c>
      <c r="G14" s="17">
        <f t="shared" si="0"/>
        <v>621920</v>
      </c>
      <c r="H14" s="17">
        <v>20</v>
      </c>
      <c r="I14" s="17">
        <v>107.46</v>
      </c>
      <c r="J14" s="17">
        <f t="shared" si="1"/>
        <v>2149.1999999999998</v>
      </c>
      <c r="K14" s="17">
        <f t="shared" si="2"/>
        <v>624069.19999999995</v>
      </c>
      <c r="L14" s="17"/>
      <c r="M14" s="42">
        <f t="shared" si="4"/>
        <v>12454539.041299995</v>
      </c>
      <c r="N14" s="17"/>
    </row>
    <row r="15" spans="1:18">
      <c r="A15" s="26">
        <v>12</v>
      </c>
      <c r="B15" s="27">
        <v>45942</v>
      </c>
      <c r="C15" s="17"/>
      <c r="D15" s="17"/>
      <c r="E15" s="398"/>
      <c r="F15" s="17"/>
      <c r="G15" s="17">
        <f t="shared" si="0"/>
        <v>0</v>
      </c>
      <c r="H15" s="17"/>
      <c r="I15" s="17"/>
      <c r="J15" s="17">
        <f t="shared" si="1"/>
        <v>0</v>
      </c>
      <c r="K15" s="17">
        <f t="shared" si="2"/>
        <v>0</v>
      </c>
      <c r="L15" s="17"/>
      <c r="M15" s="42">
        <f t="shared" si="4"/>
        <v>12454539.041299995</v>
      </c>
      <c r="N15" s="17"/>
      <c r="R15" s="22"/>
    </row>
    <row r="16" spans="1:18">
      <c r="A16" s="26">
        <v>13</v>
      </c>
      <c r="B16" s="27">
        <v>45943</v>
      </c>
      <c r="C16" s="17"/>
      <c r="D16" s="17"/>
      <c r="E16" s="398"/>
      <c r="F16" s="17"/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42">
        <f t="shared" si="4"/>
        <v>12454539.041299995</v>
      </c>
      <c r="N16" s="17"/>
    </row>
    <row r="17" spans="1:16">
      <c r="A17" s="26">
        <v>14</v>
      </c>
      <c r="B17" s="27">
        <v>45944</v>
      </c>
      <c r="C17" s="17"/>
      <c r="D17" s="17"/>
      <c r="E17" s="398"/>
      <c r="F17" s="17"/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>
        <v>5000000</v>
      </c>
      <c r="M17" s="42">
        <f t="shared" si="4"/>
        <v>7454539.041299995</v>
      </c>
      <c r="N17" s="17"/>
    </row>
    <row r="18" spans="1:16">
      <c r="A18" s="26">
        <v>15</v>
      </c>
      <c r="B18" s="27">
        <v>45945</v>
      </c>
      <c r="C18" s="17"/>
      <c r="D18" s="17"/>
      <c r="E18" s="17"/>
      <c r="F18" s="17"/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42">
        <f t="shared" si="4"/>
        <v>7454539.041299995</v>
      </c>
      <c r="N18" s="17"/>
    </row>
    <row r="19" spans="1:16">
      <c r="A19" s="26">
        <v>16</v>
      </c>
      <c r="B19" s="27">
        <v>45946</v>
      </c>
      <c r="C19" s="17"/>
      <c r="D19" s="204">
        <v>4</v>
      </c>
      <c r="E19" s="17">
        <v>4200</v>
      </c>
      <c r="F19" s="17">
        <v>95.68</v>
      </c>
      <c r="G19" s="17">
        <f t="shared" si="0"/>
        <v>401856</v>
      </c>
      <c r="H19" s="17">
        <v>20</v>
      </c>
      <c r="I19" s="17">
        <v>107.46</v>
      </c>
      <c r="J19" s="17">
        <f t="shared" si="1"/>
        <v>2149.1999999999998</v>
      </c>
      <c r="K19" s="17">
        <f t="shared" si="2"/>
        <v>404005.2</v>
      </c>
      <c r="L19" s="17"/>
      <c r="M19" s="42">
        <f t="shared" si="4"/>
        <v>7858544.2412999952</v>
      </c>
      <c r="N19" s="17"/>
    </row>
    <row r="20" spans="1:16">
      <c r="A20" s="26">
        <v>17</v>
      </c>
      <c r="B20" s="27">
        <v>45947</v>
      </c>
      <c r="C20" s="17"/>
      <c r="D20" s="204">
        <v>5</v>
      </c>
      <c r="E20" s="17">
        <v>4300</v>
      </c>
      <c r="F20" s="17">
        <v>95.68</v>
      </c>
      <c r="G20" s="17">
        <f t="shared" si="0"/>
        <v>411424.00000000006</v>
      </c>
      <c r="H20" s="17">
        <v>20</v>
      </c>
      <c r="I20" s="17">
        <v>107.46</v>
      </c>
      <c r="J20" s="17">
        <f t="shared" si="1"/>
        <v>2149.1999999999998</v>
      </c>
      <c r="K20" s="17">
        <f t="shared" si="2"/>
        <v>413573.20000000007</v>
      </c>
      <c r="L20" s="17"/>
      <c r="M20" s="42">
        <f t="shared" si="4"/>
        <v>8272117.4412999954</v>
      </c>
      <c r="N20" s="17"/>
    </row>
    <row r="21" spans="1:16">
      <c r="A21" s="26">
        <v>18</v>
      </c>
      <c r="B21" s="27">
        <v>45948</v>
      </c>
      <c r="C21" s="17"/>
      <c r="D21" s="204">
        <v>6</v>
      </c>
      <c r="E21" s="17">
        <v>5300</v>
      </c>
      <c r="F21" s="17">
        <v>95.68</v>
      </c>
      <c r="G21" s="17">
        <f t="shared" si="0"/>
        <v>507104.00000000006</v>
      </c>
      <c r="H21" s="17">
        <v>20</v>
      </c>
      <c r="I21" s="17">
        <v>107.46</v>
      </c>
      <c r="J21" s="17">
        <f t="shared" si="1"/>
        <v>2149.1999999999998</v>
      </c>
      <c r="K21" s="17">
        <f t="shared" si="2"/>
        <v>509253.20000000007</v>
      </c>
      <c r="L21" s="17"/>
      <c r="M21" s="42">
        <f t="shared" si="4"/>
        <v>8781370.6412999947</v>
      </c>
      <c r="N21" s="17"/>
    </row>
    <row r="22" spans="1:16">
      <c r="A22" s="26">
        <v>19</v>
      </c>
      <c r="B22" s="27">
        <v>45949</v>
      </c>
      <c r="C22" s="17"/>
      <c r="D22" s="204">
        <v>7</v>
      </c>
      <c r="E22" s="17">
        <v>1500</v>
      </c>
      <c r="F22" s="17">
        <v>95.68</v>
      </c>
      <c r="G22" s="17">
        <f t="shared" si="0"/>
        <v>143520</v>
      </c>
      <c r="H22" s="17"/>
      <c r="I22" s="17"/>
      <c r="J22" s="17">
        <f t="shared" si="1"/>
        <v>0</v>
      </c>
      <c r="K22" s="17">
        <f t="shared" si="2"/>
        <v>143520</v>
      </c>
      <c r="L22" s="17"/>
      <c r="M22" s="42">
        <f t="shared" si="4"/>
        <v>8924890.6412999947</v>
      </c>
      <c r="N22" s="17"/>
    </row>
    <row r="23" spans="1:16">
      <c r="A23" s="26">
        <v>20</v>
      </c>
      <c r="B23" s="27">
        <v>45950</v>
      </c>
      <c r="C23" s="17"/>
      <c r="D23" s="204"/>
      <c r="E23" s="17"/>
      <c r="F23" s="17"/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42">
        <f t="shared" si="4"/>
        <v>8924890.6412999947</v>
      </c>
      <c r="N23" s="17"/>
    </row>
    <row r="24" spans="1:16">
      <c r="A24" s="26">
        <v>21</v>
      </c>
      <c r="B24" s="27">
        <v>45951</v>
      </c>
      <c r="C24" s="17"/>
      <c r="D24" s="204">
        <v>8</v>
      </c>
      <c r="E24" s="17">
        <v>4700</v>
      </c>
      <c r="F24" s="17">
        <v>95.68</v>
      </c>
      <c r="G24" s="17">
        <f t="shared" si="0"/>
        <v>449696.00000000006</v>
      </c>
      <c r="H24" s="17">
        <v>60</v>
      </c>
      <c r="I24" s="17">
        <v>107.46</v>
      </c>
      <c r="J24" s="17">
        <f t="shared" si="1"/>
        <v>6447.5999999999995</v>
      </c>
      <c r="K24" s="17">
        <f t="shared" si="2"/>
        <v>456143.60000000003</v>
      </c>
      <c r="L24" s="17"/>
      <c r="M24" s="42">
        <f t="shared" si="4"/>
        <v>9381034.2412999943</v>
      </c>
      <c r="N24" s="17"/>
    </row>
    <row r="25" spans="1:16">
      <c r="A25" s="26">
        <v>22</v>
      </c>
      <c r="B25" s="27">
        <v>45952</v>
      </c>
      <c r="C25" s="17"/>
      <c r="D25" s="204">
        <v>9</v>
      </c>
      <c r="E25" s="17">
        <v>3000</v>
      </c>
      <c r="F25" s="17">
        <v>95.68</v>
      </c>
      <c r="G25" s="17">
        <f t="shared" si="0"/>
        <v>287040</v>
      </c>
      <c r="H25" s="17"/>
      <c r="I25" s="17"/>
      <c r="J25" s="17">
        <f t="shared" si="1"/>
        <v>0</v>
      </c>
      <c r="K25" s="17">
        <f t="shared" si="2"/>
        <v>287040</v>
      </c>
      <c r="L25" s="17">
        <v>2500000</v>
      </c>
      <c r="M25" s="42">
        <f t="shared" si="4"/>
        <v>7168074.2412999943</v>
      </c>
      <c r="N25" s="17"/>
    </row>
    <row r="26" spans="1:16">
      <c r="A26" s="26">
        <v>23</v>
      </c>
      <c r="B26" s="27">
        <v>45953</v>
      </c>
      <c r="C26" s="17"/>
      <c r="D26" s="204">
        <v>10</v>
      </c>
      <c r="E26" s="17">
        <v>1000</v>
      </c>
      <c r="F26" s="17">
        <v>95.68</v>
      </c>
      <c r="G26" s="17">
        <f t="shared" si="0"/>
        <v>95680</v>
      </c>
      <c r="H26" s="17"/>
      <c r="I26" s="17"/>
      <c r="J26" s="17">
        <f t="shared" si="1"/>
        <v>0</v>
      </c>
      <c r="K26" s="17">
        <f t="shared" si="2"/>
        <v>95680</v>
      </c>
      <c r="L26" s="17"/>
      <c r="M26" s="42">
        <f t="shared" si="4"/>
        <v>7263754.2412999943</v>
      </c>
      <c r="N26" s="17"/>
    </row>
    <row r="27" spans="1:16">
      <c r="A27" s="26">
        <v>24</v>
      </c>
      <c r="B27" s="27">
        <v>45954</v>
      </c>
      <c r="C27" s="17"/>
      <c r="D27" s="204">
        <v>11</v>
      </c>
      <c r="E27" s="17">
        <v>2700</v>
      </c>
      <c r="F27" s="17">
        <v>95.68</v>
      </c>
      <c r="G27" s="17">
        <f t="shared" si="0"/>
        <v>258336.00000000003</v>
      </c>
      <c r="H27" s="17"/>
      <c r="I27" s="17"/>
      <c r="J27" s="17">
        <f t="shared" si="1"/>
        <v>0</v>
      </c>
      <c r="K27" s="17">
        <f t="shared" si="2"/>
        <v>258336.00000000003</v>
      </c>
      <c r="L27" s="17"/>
      <c r="M27" s="42">
        <f t="shared" si="4"/>
        <v>7522090.2412999943</v>
      </c>
      <c r="N27" s="17"/>
    </row>
    <row r="28" spans="1:16">
      <c r="A28" s="26">
        <v>25</v>
      </c>
      <c r="B28" s="27">
        <v>45955</v>
      </c>
      <c r="C28" s="17"/>
      <c r="D28" s="204">
        <v>12</v>
      </c>
      <c r="E28" s="17">
        <v>2700</v>
      </c>
      <c r="F28" s="17">
        <v>95.68</v>
      </c>
      <c r="G28" s="17">
        <f t="shared" si="0"/>
        <v>258336.00000000003</v>
      </c>
      <c r="H28" s="17">
        <v>20</v>
      </c>
      <c r="I28" s="17">
        <v>107.46</v>
      </c>
      <c r="J28" s="17">
        <f t="shared" si="1"/>
        <v>2149.1999999999998</v>
      </c>
      <c r="K28" s="17">
        <f t="shared" si="2"/>
        <v>260485.20000000004</v>
      </c>
      <c r="L28" s="17"/>
      <c r="M28" s="42">
        <f t="shared" si="4"/>
        <v>7782575.4412999945</v>
      </c>
      <c r="N28" s="17"/>
    </row>
    <row r="29" spans="1:16">
      <c r="A29" s="26">
        <v>26</v>
      </c>
      <c r="B29" s="27">
        <v>45956</v>
      </c>
      <c r="C29" s="17"/>
      <c r="D29" s="204"/>
      <c r="E29" s="17"/>
      <c r="F29" s="17"/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/>
      <c r="M29" s="42">
        <f t="shared" si="4"/>
        <v>7782575.4412999945</v>
      </c>
      <c r="N29" s="17"/>
    </row>
    <row r="30" spans="1:16">
      <c r="A30" s="26">
        <v>27</v>
      </c>
      <c r="B30" s="27">
        <v>45957</v>
      </c>
      <c r="C30" s="17"/>
      <c r="D30" s="204">
        <v>13</v>
      </c>
      <c r="E30" s="17">
        <v>3700</v>
      </c>
      <c r="F30" s="17">
        <v>95.68</v>
      </c>
      <c r="G30" s="17">
        <f t="shared" si="0"/>
        <v>354016</v>
      </c>
      <c r="H30" s="17"/>
      <c r="I30" s="17"/>
      <c r="J30" s="17">
        <f t="shared" si="1"/>
        <v>0</v>
      </c>
      <c r="K30" s="17">
        <f t="shared" si="2"/>
        <v>354016</v>
      </c>
      <c r="L30" s="17"/>
      <c r="M30" s="42">
        <f t="shared" si="4"/>
        <v>8136591.4412999945</v>
      </c>
      <c r="N30" s="17"/>
      <c r="P30" s="22"/>
    </row>
    <row r="31" spans="1:16">
      <c r="A31" s="26">
        <v>28</v>
      </c>
      <c r="B31" s="27">
        <v>45958</v>
      </c>
      <c r="C31" s="17"/>
      <c r="D31" s="204">
        <v>14</v>
      </c>
      <c r="E31" s="17">
        <v>2700</v>
      </c>
      <c r="F31" s="17">
        <v>95.68</v>
      </c>
      <c r="G31" s="17">
        <f t="shared" si="0"/>
        <v>258336.00000000003</v>
      </c>
      <c r="H31" s="17">
        <v>20</v>
      </c>
      <c r="I31" s="17">
        <v>107.46</v>
      </c>
      <c r="J31" s="17">
        <f t="shared" si="1"/>
        <v>2149.1999999999998</v>
      </c>
      <c r="K31" s="17">
        <f t="shared" si="2"/>
        <v>260485.20000000004</v>
      </c>
      <c r="L31" s="17"/>
      <c r="M31" s="42">
        <f t="shared" si="4"/>
        <v>8397076.6412999947</v>
      </c>
      <c r="N31" s="17"/>
    </row>
    <row r="32" spans="1:16">
      <c r="A32" s="26">
        <v>29</v>
      </c>
      <c r="B32" s="27">
        <v>45959</v>
      </c>
      <c r="C32" s="17"/>
      <c r="D32" s="204">
        <v>15</v>
      </c>
      <c r="E32" s="17">
        <v>2800</v>
      </c>
      <c r="F32" s="17">
        <v>95.68</v>
      </c>
      <c r="G32" s="17">
        <f t="shared" si="0"/>
        <v>267904</v>
      </c>
      <c r="H32" s="17"/>
      <c r="I32" s="17"/>
      <c r="J32" s="17">
        <f t="shared" si="1"/>
        <v>0</v>
      </c>
      <c r="K32" s="17">
        <f t="shared" si="2"/>
        <v>267904</v>
      </c>
      <c r="L32" s="17"/>
      <c r="M32" s="42">
        <f t="shared" si="4"/>
        <v>8664980.6412999947</v>
      </c>
      <c r="N32" s="17"/>
      <c r="O32">
        <v>11177691.581599999</v>
      </c>
      <c r="P32" s="22">
        <f>M32-O32</f>
        <v>-2512710.9403000046</v>
      </c>
    </row>
    <row r="33" spans="1:14">
      <c r="A33" s="26">
        <v>30</v>
      </c>
      <c r="B33" s="27">
        <v>45960</v>
      </c>
      <c r="C33" s="17"/>
      <c r="D33" s="204">
        <v>16</v>
      </c>
      <c r="E33" s="17">
        <v>2300</v>
      </c>
      <c r="F33" s="17">
        <v>95.68</v>
      </c>
      <c r="G33" s="17">
        <f t="shared" si="0"/>
        <v>220064.00000000003</v>
      </c>
      <c r="H33" s="17">
        <v>35</v>
      </c>
      <c r="I33" s="17">
        <v>107.46</v>
      </c>
      <c r="J33" s="17">
        <f t="shared" si="1"/>
        <v>3761.1</v>
      </c>
      <c r="K33" s="17">
        <f t="shared" si="2"/>
        <v>223825.10000000003</v>
      </c>
      <c r="L33" s="17"/>
      <c r="M33" s="42">
        <f t="shared" si="4"/>
        <v>8888805.7412999943</v>
      </c>
      <c r="N33" s="17"/>
    </row>
    <row r="34" spans="1:14">
      <c r="A34" s="26">
        <v>31</v>
      </c>
      <c r="B34" s="27">
        <v>45961</v>
      </c>
      <c r="C34" s="17"/>
      <c r="D34" s="204">
        <v>17</v>
      </c>
      <c r="E34" s="17">
        <v>2700</v>
      </c>
      <c r="F34" s="17">
        <v>95.68</v>
      </c>
      <c r="G34" s="17">
        <f t="shared" si="0"/>
        <v>258336.00000000003</v>
      </c>
      <c r="H34" s="17"/>
      <c r="I34" s="17"/>
      <c r="J34" s="17">
        <f t="shared" si="1"/>
        <v>0</v>
      </c>
      <c r="K34" s="17">
        <f t="shared" si="2"/>
        <v>258336.00000000003</v>
      </c>
      <c r="L34" s="17"/>
      <c r="M34" s="42">
        <f t="shared" si="4"/>
        <v>9147141.7412999943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17">
        <f t="shared" si="0"/>
        <v>0</v>
      </c>
      <c r="H35" s="17"/>
      <c r="I35" s="17"/>
      <c r="J35" s="17">
        <f t="shared" si="1"/>
        <v>0</v>
      </c>
      <c r="K35" s="17">
        <f t="shared" si="2"/>
        <v>0</v>
      </c>
      <c r="L35" s="17"/>
      <c r="M35" s="42">
        <f t="shared" si="4"/>
        <v>9147141.7412999943</v>
      </c>
      <c r="N35" s="17"/>
    </row>
    <row r="36" spans="1:14">
      <c r="A36" s="26">
        <v>33</v>
      </c>
      <c r="B36" s="27"/>
      <c r="C36" s="17"/>
      <c r="D36" s="17"/>
      <c r="E36" s="17">
        <v>0</v>
      </c>
      <c r="F36" s="17"/>
      <c r="G36" s="17">
        <f t="shared" si="0"/>
        <v>0</v>
      </c>
      <c r="H36" s="17"/>
      <c r="I36" s="17"/>
      <c r="J36" s="17">
        <f t="shared" si="1"/>
        <v>0</v>
      </c>
      <c r="K36" s="17">
        <f t="shared" si="2"/>
        <v>0</v>
      </c>
      <c r="L36" s="17"/>
      <c r="M36" s="17"/>
      <c r="N36" s="17"/>
    </row>
    <row r="37" spans="1:14">
      <c r="A37" s="26">
        <v>34</v>
      </c>
      <c r="B37" s="27"/>
      <c r="C37" s="17"/>
      <c r="D37" s="17"/>
      <c r="E37" s="17">
        <v>0</v>
      </c>
      <c r="F37" s="17">
        <v>0</v>
      </c>
      <c r="G37" s="17">
        <f t="shared" si="0"/>
        <v>0</v>
      </c>
      <c r="H37" s="17">
        <v>0</v>
      </c>
      <c r="I37" s="17">
        <v>0</v>
      </c>
      <c r="J37" s="17">
        <f t="shared" si="1"/>
        <v>0</v>
      </c>
      <c r="K37" s="17">
        <f t="shared" si="2"/>
        <v>0</v>
      </c>
      <c r="L37" s="17"/>
      <c r="M37" s="17"/>
      <c r="N37" s="17"/>
    </row>
    <row r="38" spans="1:14">
      <c r="A38" s="46"/>
      <c r="B38" s="46"/>
      <c r="C38" s="46"/>
      <c r="D38" s="46"/>
      <c r="E38" s="246">
        <f>SUM(E3:E37)</f>
        <v>56900</v>
      </c>
      <c r="F38" s="246"/>
      <c r="G38" s="246">
        <f>SUM(G3:G37)</f>
        <v>5444192</v>
      </c>
      <c r="H38" s="246">
        <f>SUM(H3:H37)</f>
        <v>235</v>
      </c>
      <c r="I38" s="246"/>
      <c r="J38" s="246">
        <f>SUM(J3:J37)</f>
        <v>25253.1</v>
      </c>
      <c r="K38" s="246">
        <f>SUM(K4:K37)</f>
        <v>5469445.1000000006</v>
      </c>
      <c r="L38" s="246">
        <f>SUM(L3:L37)</f>
        <v>7500000</v>
      </c>
      <c r="M38" s="246"/>
      <c r="N38" s="246"/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42"/>
  <sheetViews>
    <sheetView workbookViewId="0">
      <selection activeCell="P28" sqref="P28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  <col min="15" max="15" width="12.5703125" bestFit="1" customWidth="1"/>
    <col min="16" max="16" width="9.85546875" bestFit="1" customWidth="1"/>
  </cols>
  <sheetData>
    <row r="1" spans="1:16" ht="15.75">
      <c r="A1" s="429" t="s">
        <v>14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</row>
    <row r="2" spans="1:16" ht="30">
      <c r="A2" s="70" t="s">
        <v>96</v>
      </c>
      <c r="B2" s="89" t="s">
        <v>97</v>
      </c>
      <c r="C2" s="89" t="s">
        <v>98</v>
      </c>
      <c r="D2" s="89" t="s">
        <v>99</v>
      </c>
      <c r="E2" s="89" t="s">
        <v>100</v>
      </c>
      <c r="F2" s="89" t="s">
        <v>101</v>
      </c>
      <c r="G2" s="89" t="s">
        <v>102</v>
      </c>
      <c r="H2" s="89" t="s">
        <v>103</v>
      </c>
      <c r="I2" s="89" t="s">
        <v>101</v>
      </c>
      <c r="J2" s="90" t="s">
        <v>102</v>
      </c>
      <c r="K2" s="131" t="s">
        <v>104</v>
      </c>
      <c r="L2" s="134" t="s">
        <v>105</v>
      </c>
      <c r="M2" s="134" t="s">
        <v>106</v>
      </c>
      <c r="N2" s="132" t="s">
        <v>107</v>
      </c>
      <c r="O2" s="370"/>
      <c r="P2" s="22"/>
    </row>
    <row r="3" spans="1:16">
      <c r="A3" s="431" t="s">
        <v>108</v>
      </c>
      <c r="B3" s="432"/>
      <c r="C3" s="432"/>
      <c r="D3" s="432"/>
      <c r="E3" s="432"/>
      <c r="F3" s="432"/>
      <c r="G3" s="432"/>
      <c r="H3" s="432"/>
      <c r="I3" s="432"/>
      <c r="J3" s="432"/>
      <c r="K3">
        <v>13443330.826000001</v>
      </c>
      <c r="L3" s="244"/>
      <c r="M3">
        <v>13443330.826000001</v>
      </c>
      <c r="N3" s="100"/>
    </row>
    <row r="4" spans="1:16">
      <c r="A4" s="26">
        <v>1</v>
      </c>
      <c r="B4" s="27">
        <v>45931</v>
      </c>
      <c r="C4" s="17"/>
      <c r="D4" s="280">
        <v>1</v>
      </c>
      <c r="E4" s="289">
        <v>5500</v>
      </c>
      <c r="F4" s="356">
        <v>95.7</v>
      </c>
      <c r="G4" s="17">
        <f>E4*F4</f>
        <v>526350</v>
      </c>
      <c r="H4" s="17">
        <v>40</v>
      </c>
      <c r="I4" s="17">
        <v>107.48</v>
      </c>
      <c r="J4" s="17">
        <f>H4*I4</f>
        <v>4299.2</v>
      </c>
      <c r="K4" s="17">
        <f>G4+J4</f>
        <v>530649.19999999995</v>
      </c>
      <c r="L4" s="17"/>
      <c r="M4" s="42">
        <f>M3+K4-L4</f>
        <v>13973980.026000001</v>
      </c>
      <c r="N4" s="17"/>
      <c r="O4" s="42">
        <f t="shared" ref="O4" si="0">O3+M4-N4</f>
        <v>13973980.026000001</v>
      </c>
    </row>
    <row r="5" spans="1:16">
      <c r="A5" s="26">
        <v>2</v>
      </c>
      <c r="B5" s="27">
        <v>45932</v>
      </c>
      <c r="C5" s="17"/>
      <c r="D5" s="280"/>
      <c r="E5" s="352"/>
      <c r="F5" s="290"/>
      <c r="G5" s="17">
        <f t="shared" ref="G5:G34" si="1">E5*F5</f>
        <v>0</v>
      </c>
      <c r="H5" s="17"/>
      <c r="I5" s="17"/>
      <c r="J5" s="17">
        <f t="shared" ref="J5:J34" si="2">H5*I5</f>
        <v>0</v>
      </c>
      <c r="K5" s="17">
        <f t="shared" ref="K5:K34" si="3">G5+J5</f>
        <v>0</v>
      </c>
      <c r="L5" s="17"/>
      <c r="M5" s="42">
        <f t="shared" ref="M5:M16" si="4">M4+K5-L5</f>
        <v>13973980.026000001</v>
      </c>
      <c r="N5" s="17"/>
    </row>
    <row r="6" spans="1:16">
      <c r="A6" s="26">
        <v>3</v>
      </c>
      <c r="B6" s="27">
        <v>45933</v>
      </c>
      <c r="C6" s="17"/>
      <c r="D6" s="280">
        <v>2</v>
      </c>
      <c r="E6" s="289">
        <v>5500</v>
      </c>
      <c r="F6" s="356">
        <v>95.7</v>
      </c>
      <c r="G6" s="17">
        <f t="shared" si="1"/>
        <v>526350</v>
      </c>
      <c r="H6" s="17">
        <v>75</v>
      </c>
      <c r="I6" s="17">
        <v>107.48</v>
      </c>
      <c r="J6" s="17">
        <f t="shared" si="2"/>
        <v>8061</v>
      </c>
      <c r="K6" s="17">
        <f t="shared" si="3"/>
        <v>534411</v>
      </c>
      <c r="L6" s="17"/>
      <c r="M6" s="42">
        <f t="shared" si="4"/>
        <v>14508391.026000001</v>
      </c>
      <c r="N6" s="17"/>
    </row>
    <row r="7" spans="1:16">
      <c r="A7" s="26">
        <v>4</v>
      </c>
      <c r="B7" s="27">
        <v>45934</v>
      </c>
      <c r="C7" s="17"/>
      <c r="D7" s="280">
        <v>3</v>
      </c>
      <c r="E7" s="289">
        <v>6600</v>
      </c>
      <c r="F7" s="356">
        <v>95.7</v>
      </c>
      <c r="G7" s="17">
        <f t="shared" si="1"/>
        <v>631620</v>
      </c>
      <c r="H7" s="17">
        <v>40</v>
      </c>
      <c r="I7" s="17">
        <v>107.48</v>
      </c>
      <c r="J7" s="17">
        <f t="shared" si="2"/>
        <v>4299.2</v>
      </c>
      <c r="K7" s="17">
        <f t="shared" si="3"/>
        <v>635919.19999999995</v>
      </c>
      <c r="L7" s="17"/>
      <c r="M7" s="42">
        <f t="shared" si="4"/>
        <v>15144310.226</v>
      </c>
      <c r="N7" s="17"/>
    </row>
    <row r="8" spans="1:16">
      <c r="A8" s="26">
        <v>5</v>
      </c>
      <c r="B8" s="27">
        <v>45935</v>
      </c>
      <c r="C8" s="17"/>
      <c r="D8" s="280">
        <v>4</v>
      </c>
      <c r="E8" s="289">
        <v>3800</v>
      </c>
      <c r="F8" s="356">
        <v>95.7</v>
      </c>
      <c r="G8" s="17">
        <f t="shared" si="1"/>
        <v>363660</v>
      </c>
      <c r="H8" s="17"/>
      <c r="I8" s="17"/>
      <c r="J8" s="17">
        <f t="shared" si="2"/>
        <v>0</v>
      </c>
      <c r="K8" s="17">
        <f t="shared" si="3"/>
        <v>363660</v>
      </c>
      <c r="L8" s="17"/>
      <c r="M8" s="42">
        <f t="shared" si="4"/>
        <v>15507970.226</v>
      </c>
      <c r="N8" s="17"/>
      <c r="O8">
        <v>12802499.148000002</v>
      </c>
    </row>
    <row r="9" spans="1:16">
      <c r="A9" s="26">
        <v>6</v>
      </c>
      <c r="B9" s="27">
        <v>45936</v>
      </c>
      <c r="C9" s="17"/>
      <c r="D9" s="280">
        <v>5</v>
      </c>
      <c r="E9" s="352">
        <v>2200</v>
      </c>
      <c r="F9" s="356">
        <v>95.7</v>
      </c>
      <c r="G9" s="17">
        <f t="shared" si="1"/>
        <v>210540</v>
      </c>
      <c r="H9" s="17"/>
      <c r="I9" s="17"/>
      <c r="J9" s="17">
        <f t="shared" si="2"/>
        <v>0</v>
      </c>
      <c r="K9" s="17">
        <f t="shared" si="3"/>
        <v>210540</v>
      </c>
      <c r="L9" s="17"/>
      <c r="M9" s="42">
        <f t="shared" si="4"/>
        <v>15718510.226</v>
      </c>
      <c r="N9" s="247"/>
    </row>
    <row r="10" spans="1:16">
      <c r="A10" s="26">
        <v>7</v>
      </c>
      <c r="B10" s="27">
        <v>45937</v>
      </c>
      <c r="C10" s="17"/>
      <c r="D10" s="280">
        <v>6</v>
      </c>
      <c r="E10" s="352">
        <v>5200</v>
      </c>
      <c r="F10" s="356">
        <v>95.7</v>
      </c>
      <c r="G10" s="17">
        <f t="shared" si="1"/>
        <v>497640</v>
      </c>
      <c r="H10" s="17">
        <v>60</v>
      </c>
      <c r="I10" s="17">
        <v>107.48</v>
      </c>
      <c r="J10" s="17">
        <f t="shared" si="2"/>
        <v>6448.8</v>
      </c>
      <c r="K10" s="17">
        <f t="shared" si="3"/>
        <v>504088.8</v>
      </c>
      <c r="L10" s="17"/>
      <c r="M10" s="42">
        <f t="shared" si="4"/>
        <v>16222599.026000001</v>
      </c>
      <c r="N10" s="17"/>
    </row>
    <row r="11" spans="1:16">
      <c r="A11" s="26">
        <v>8</v>
      </c>
      <c r="B11" s="27">
        <v>45938</v>
      </c>
      <c r="C11" s="17"/>
      <c r="D11" s="280">
        <v>7</v>
      </c>
      <c r="E11" s="289">
        <v>8500</v>
      </c>
      <c r="F11" s="356">
        <v>95.7</v>
      </c>
      <c r="G11" s="17">
        <f t="shared" si="1"/>
        <v>813450</v>
      </c>
      <c r="H11" s="17">
        <v>35</v>
      </c>
      <c r="I11" s="17">
        <v>107.48</v>
      </c>
      <c r="J11" s="17">
        <f t="shared" si="2"/>
        <v>3761.8</v>
      </c>
      <c r="K11" s="17">
        <f t="shared" si="3"/>
        <v>817211.8</v>
      </c>
      <c r="L11" s="17"/>
      <c r="M11" s="42">
        <f t="shared" si="4"/>
        <v>17039810.826000001</v>
      </c>
      <c r="N11" s="17"/>
    </row>
    <row r="12" spans="1:16">
      <c r="A12" s="26">
        <v>9</v>
      </c>
      <c r="B12" s="27">
        <v>45939</v>
      </c>
      <c r="C12" s="17"/>
      <c r="D12" s="280">
        <v>8</v>
      </c>
      <c r="E12" s="289">
        <v>5400</v>
      </c>
      <c r="F12" s="356">
        <v>95.7</v>
      </c>
      <c r="G12" s="17">
        <f t="shared" si="1"/>
        <v>516780</v>
      </c>
      <c r="H12" s="17">
        <v>60</v>
      </c>
      <c r="I12" s="17">
        <v>107.48</v>
      </c>
      <c r="J12" s="17">
        <f t="shared" si="2"/>
        <v>6448.8</v>
      </c>
      <c r="K12" s="17">
        <f t="shared" si="3"/>
        <v>523228.8</v>
      </c>
      <c r="L12" s="17"/>
      <c r="M12" s="42">
        <f t="shared" si="4"/>
        <v>17563039.626000002</v>
      </c>
      <c r="N12" s="17"/>
    </row>
    <row r="13" spans="1:16">
      <c r="A13" s="26">
        <v>10</v>
      </c>
      <c r="B13" s="27">
        <v>45940</v>
      </c>
      <c r="C13" s="17"/>
      <c r="D13" s="280">
        <v>9</v>
      </c>
      <c r="E13" s="289">
        <v>6500</v>
      </c>
      <c r="F13" s="356">
        <v>95.7</v>
      </c>
      <c r="G13" s="17">
        <f t="shared" si="1"/>
        <v>622050</v>
      </c>
      <c r="H13" s="17">
        <v>60</v>
      </c>
      <c r="I13" s="17">
        <v>107.48</v>
      </c>
      <c r="J13" s="17">
        <f t="shared" si="2"/>
        <v>6448.8</v>
      </c>
      <c r="K13" s="17">
        <f t="shared" si="3"/>
        <v>628498.80000000005</v>
      </c>
      <c r="L13" s="17"/>
      <c r="M13" s="42">
        <f t="shared" si="4"/>
        <v>18191538.426000003</v>
      </c>
      <c r="N13" s="17"/>
    </row>
    <row r="14" spans="1:16">
      <c r="A14" s="26">
        <v>11</v>
      </c>
      <c r="B14" s="27">
        <v>45941</v>
      </c>
      <c r="C14" s="17"/>
      <c r="D14" s="280">
        <v>10</v>
      </c>
      <c r="E14" s="289">
        <v>2700</v>
      </c>
      <c r="F14" s="356">
        <v>95.7</v>
      </c>
      <c r="G14" s="17">
        <f t="shared" si="1"/>
        <v>258390</v>
      </c>
      <c r="H14" s="17">
        <v>20</v>
      </c>
      <c r="I14" s="17">
        <v>107.48</v>
      </c>
      <c r="J14" s="17">
        <f t="shared" si="2"/>
        <v>2149.6</v>
      </c>
      <c r="K14" s="17">
        <f t="shared" si="3"/>
        <v>260539.6</v>
      </c>
      <c r="L14" s="17"/>
      <c r="M14" s="42">
        <f t="shared" si="4"/>
        <v>18452078.026000004</v>
      </c>
      <c r="N14" s="17"/>
      <c r="P14">
        <v>24162284</v>
      </c>
    </row>
    <row r="15" spans="1:16">
      <c r="A15" s="26">
        <v>12</v>
      </c>
      <c r="B15" s="27">
        <v>45942</v>
      </c>
      <c r="C15" s="17"/>
      <c r="D15" s="280">
        <v>11</v>
      </c>
      <c r="E15" s="289">
        <v>2700</v>
      </c>
      <c r="F15" s="356">
        <v>95.7</v>
      </c>
      <c r="G15" s="17">
        <f t="shared" si="1"/>
        <v>258390</v>
      </c>
      <c r="H15" s="17">
        <v>20</v>
      </c>
      <c r="I15" s="17">
        <v>107.48</v>
      </c>
      <c r="J15" s="17">
        <f t="shared" si="2"/>
        <v>2149.6</v>
      </c>
      <c r="K15" s="17">
        <f t="shared" si="3"/>
        <v>260539.6</v>
      </c>
      <c r="L15" s="17"/>
      <c r="M15" s="42">
        <f t="shared" si="4"/>
        <v>18712617.626000006</v>
      </c>
      <c r="N15" s="17"/>
    </row>
    <row r="16" spans="1:16">
      <c r="A16" s="26">
        <v>13</v>
      </c>
      <c r="B16" s="27">
        <v>45943</v>
      </c>
      <c r="C16" s="17"/>
      <c r="D16" s="280">
        <v>12</v>
      </c>
      <c r="E16" s="289">
        <v>4800</v>
      </c>
      <c r="F16" s="356">
        <v>95.7</v>
      </c>
      <c r="G16" s="17">
        <f t="shared" si="1"/>
        <v>459360</v>
      </c>
      <c r="H16" s="17">
        <v>40</v>
      </c>
      <c r="I16" s="17">
        <v>107.48</v>
      </c>
      <c r="J16" s="17">
        <f t="shared" si="2"/>
        <v>4299.2</v>
      </c>
      <c r="K16" s="17">
        <f t="shared" si="3"/>
        <v>463659.2</v>
      </c>
      <c r="L16" s="17"/>
      <c r="M16" s="42">
        <f t="shared" si="4"/>
        <v>19176276.826000005</v>
      </c>
      <c r="N16" s="17"/>
    </row>
    <row r="17" spans="1:16">
      <c r="A17" s="26">
        <v>14</v>
      </c>
      <c r="B17" s="27">
        <v>45944</v>
      </c>
      <c r="C17" s="17"/>
      <c r="D17" s="280">
        <v>13</v>
      </c>
      <c r="E17" s="289">
        <v>5500</v>
      </c>
      <c r="F17" s="356">
        <v>95.7</v>
      </c>
      <c r="G17" s="17">
        <f t="shared" si="1"/>
        <v>526350</v>
      </c>
      <c r="H17" s="17">
        <v>55</v>
      </c>
      <c r="I17" s="17">
        <v>107.48</v>
      </c>
      <c r="J17" s="17">
        <f t="shared" si="2"/>
        <v>5911.4000000000005</v>
      </c>
      <c r="K17" s="17">
        <f t="shared" si="3"/>
        <v>532261.4</v>
      </c>
      <c r="L17" s="17"/>
      <c r="M17" s="42">
        <f t="shared" ref="M17:M28" si="5">M16+K17-L17</f>
        <v>19708538.226000004</v>
      </c>
      <c r="N17" s="17"/>
    </row>
    <row r="18" spans="1:16">
      <c r="A18" s="26">
        <v>15</v>
      </c>
      <c r="B18" s="27">
        <v>45945</v>
      </c>
      <c r="C18" s="17"/>
      <c r="D18" s="280">
        <v>14</v>
      </c>
      <c r="E18" s="289">
        <v>5400</v>
      </c>
      <c r="F18" s="356">
        <v>95.7</v>
      </c>
      <c r="G18" s="17">
        <f t="shared" si="1"/>
        <v>516780</v>
      </c>
      <c r="H18" s="17">
        <v>60</v>
      </c>
      <c r="I18" s="17">
        <v>107.48</v>
      </c>
      <c r="J18" s="17">
        <f t="shared" si="2"/>
        <v>6448.8</v>
      </c>
      <c r="K18" s="17">
        <f t="shared" si="3"/>
        <v>523228.8</v>
      </c>
      <c r="L18" s="17"/>
      <c r="M18" s="42">
        <f t="shared" si="5"/>
        <v>20231767.026000004</v>
      </c>
      <c r="N18" s="17"/>
    </row>
    <row r="19" spans="1:16">
      <c r="A19" s="26">
        <v>16</v>
      </c>
      <c r="B19" s="27">
        <v>45946</v>
      </c>
      <c r="C19" s="17"/>
      <c r="D19" s="280">
        <v>15</v>
      </c>
      <c r="E19" s="289">
        <v>2700</v>
      </c>
      <c r="F19" s="356">
        <v>95.7</v>
      </c>
      <c r="G19" s="17">
        <f t="shared" si="1"/>
        <v>258390</v>
      </c>
      <c r="H19" s="17">
        <v>20</v>
      </c>
      <c r="I19" s="17">
        <v>107.48</v>
      </c>
      <c r="J19" s="17">
        <f t="shared" si="2"/>
        <v>2149.6</v>
      </c>
      <c r="K19" s="17">
        <f t="shared" si="3"/>
        <v>260539.6</v>
      </c>
      <c r="L19" s="17"/>
      <c r="M19" s="42">
        <f t="shared" si="5"/>
        <v>20492306.626000006</v>
      </c>
      <c r="N19" s="17"/>
    </row>
    <row r="20" spans="1:16">
      <c r="A20" s="26">
        <v>17</v>
      </c>
      <c r="B20" s="27">
        <v>45947</v>
      </c>
      <c r="C20" s="17"/>
      <c r="D20" s="280">
        <v>16</v>
      </c>
      <c r="E20" s="289">
        <v>2700</v>
      </c>
      <c r="F20" s="356">
        <v>95.7</v>
      </c>
      <c r="G20" s="17">
        <f t="shared" si="1"/>
        <v>258390</v>
      </c>
      <c r="H20" s="17">
        <v>20</v>
      </c>
      <c r="I20" s="17">
        <v>107.48</v>
      </c>
      <c r="J20" s="17">
        <f t="shared" si="2"/>
        <v>2149.6</v>
      </c>
      <c r="K20" s="17">
        <f t="shared" si="3"/>
        <v>260539.6</v>
      </c>
      <c r="L20" s="17"/>
      <c r="M20" s="42">
        <f t="shared" si="5"/>
        <v>20752846.226000007</v>
      </c>
      <c r="N20" s="17"/>
      <c r="P20" s="22"/>
    </row>
    <row r="21" spans="1:16">
      <c r="A21" s="26">
        <v>18</v>
      </c>
      <c r="B21" s="27">
        <v>45948</v>
      </c>
      <c r="C21" s="17"/>
      <c r="D21" s="280">
        <v>17</v>
      </c>
      <c r="E21" s="289">
        <v>5400</v>
      </c>
      <c r="F21" s="356">
        <v>95.7</v>
      </c>
      <c r="G21" s="17">
        <f t="shared" si="1"/>
        <v>516780</v>
      </c>
      <c r="H21" s="17">
        <v>40</v>
      </c>
      <c r="I21" s="17">
        <v>107.48</v>
      </c>
      <c r="J21" s="17">
        <f t="shared" si="2"/>
        <v>4299.2</v>
      </c>
      <c r="K21" s="17">
        <f t="shared" si="3"/>
        <v>521079.2</v>
      </c>
      <c r="L21" s="17"/>
      <c r="M21" s="42">
        <f t="shared" si="5"/>
        <v>21273925.426000006</v>
      </c>
      <c r="N21" s="17"/>
    </row>
    <row r="22" spans="1:16">
      <c r="A22" s="26">
        <v>19</v>
      </c>
      <c r="B22" s="27">
        <v>45949</v>
      </c>
      <c r="C22" s="17"/>
      <c r="D22" s="280"/>
      <c r="E22" s="289"/>
      <c r="F22" s="290"/>
      <c r="G22" s="17">
        <f t="shared" si="1"/>
        <v>0</v>
      </c>
      <c r="H22" s="17"/>
      <c r="I22" s="17"/>
      <c r="J22" s="17">
        <f t="shared" si="2"/>
        <v>0</v>
      </c>
      <c r="K22" s="17">
        <f t="shared" si="3"/>
        <v>0</v>
      </c>
      <c r="L22" s="17"/>
      <c r="M22" s="42">
        <f t="shared" si="5"/>
        <v>21273925.426000006</v>
      </c>
      <c r="N22" s="17"/>
    </row>
    <row r="23" spans="1:16">
      <c r="A23" s="26">
        <v>20</v>
      </c>
      <c r="B23" s="27">
        <v>45950</v>
      </c>
      <c r="C23" s="17"/>
      <c r="D23" s="280"/>
      <c r="E23" s="289"/>
      <c r="F23" s="290"/>
      <c r="G23" s="17">
        <f t="shared" si="1"/>
        <v>0</v>
      </c>
      <c r="H23" s="17"/>
      <c r="I23" s="17"/>
      <c r="J23" s="17">
        <f t="shared" si="2"/>
        <v>0</v>
      </c>
      <c r="K23" s="17">
        <f t="shared" si="3"/>
        <v>0</v>
      </c>
      <c r="L23" s="17"/>
      <c r="M23" s="42">
        <f t="shared" si="5"/>
        <v>21273925.426000006</v>
      </c>
      <c r="N23" s="17"/>
    </row>
    <row r="24" spans="1:16">
      <c r="A24" s="26">
        <v>21</v>
      </c>
      <c r="B24" s="27">
        <v>45951</v>
      </c>
      <c r="C24" s="17"/>
      <c r="D24" s="280">
        <v>18</v>
      </c>
      <c r="E24" s="289">
        <v>2700</v>
      </c>
      <c r="F24" s="290">
        <v>95.7</v>
      </c>
      <c r="G24" s="17">
        <f t="shared" si="1"/>
        <v>258390</v>
      </c>
      <c r="H24" s="17">
        <v>20</v>
      </c>
      <c r="I24" s="17">
        <v>107.48</v>
      </c>
      <c r="J24" s="17">
        <f t="shared" si="2"/>
        <v>2149.6</v>
      </c>
      <c r="K24" s="17">
        <f t="shared" si="3"/>
        <v>260539.6</v>
      </c>
      <c r="L24" s="17"/>
      <c r="M24" s="42">
        <f t="shared" si="5"/>
        <v>21534465.026000008</v>
      </c>
      <c r="N24" s="17"/>
    </row>
    <row r="25" spans="1:16">
      <c r="A25" s="26">
        <v>22</v>
      </c>
      <c r="B25" s="27">
        <v>45952</v>
      </c>
      <c r="C25" s="17"/>
      <c r="D25" s="280">
        <v>19</v>
      </c>
      <c r="E25" s="289">
        <v>7000</v>
      </c>
      <c r="F25" s="290">
        <v>95.7</v>
      </c>
      <c r="G25" s="17">
        <f t="shared" si="1"/>
        <v>669900</v>
      </c>
      <c r="H25" s="17">
        <v>40</v>
      </c>
      <c r="I25" s="17">
        <v>107.48</v>
      </c>
      <c r="J25" s="17">
        <f t="shared" si="2"/>
        <v>4299.2</v>
      </c>
      <c r="K25" s="17">
        <f t="shared" si="3"/>
        <v>674199.2</v>
      </c>
      <c r="L25" s="17"/>
      <c r="M25" s="42">
        <f t="shared" si="5"/>
        <v>22208664.226000007</v>
      </c>
      <c r="N25" s="17"/>
    </row>
    <row r="26" spans="1:16">
      <c r="A26" s="26">
        <v>23</v>
      </c>
      <c r="B26" s="27">
        <v>45953</v>
      </c>
      <c r="C26" s="17"/>
      <c r="D26" s="280">
        <v>20</v>
      </c>
      <c r="E26" s="289">
        <v>2700</v>
      </c>
      <c r="F26" s="290">
        <v>95.7</v>
      </c>
      <c r="G26" s="17">
        <f t="shared" si="1"/>
        <v>258390</v>
      </c>
      <c r="H26" s="17">
        <v>20</v>
      </c>
      <c r="I26" s="17">
        <v>107.48</v>
      </c>
      <c r="J26" s="17">
        <f t="shared" si="2"/>
        <v>2149.6</v>
      </c>
      <c r="K26" s="17">
        <f t="shared" si="3"/>
        <v>260539.6</v>
      </c>
      <c r="L26" s="17"/>
      <c r="M26" s="42">
        <f t="shared" si="5"/>
        <v>22469203.826000009</v>
      </c>
      <c r="N26" s="17"/>
    </row>
    <row r="27" spans="1:16">
      <c r="A27" s="26">
        <v>24</v>
      </c>
      <c r="B27" s="27">
        <v>45954</v>
      </c>
      <c r="C27" s="17"/>
      <c r="D27" s="280">
        <v>21</v>
      </c>
      <c r="E27" s="289">
        <v>2800</v>
      </c>
      <c r="F27" s="290">
        <v>95.7</v>
      </c>
      <c r="G27" s="17">
        <f t="shared" si="1"/>
        <v>267960</v>
      </c>
      <c r="H27" s="17">
        <v>40</v>
      </c>
      <c r="I27" s="17">
        <v>107.48</v>
      </c>
      <c r="J27" s="17">
        <f t="shared" si="2"/>
        <v>4299.2</v>
      </c>
      <c r="K27" s="17">
        <f t="shared" si="3"/>
        <v>272259.20000000001</v>
      </c>
      <c r="L27" s="17"/>
      <c r="M27" s="42">
        <f t="shared" si="5"/>
        <v>22741463.026000008</v>
      </c>
      <c r="N27" s="17"/>
    </row>
    <row r="28" spans="1:16">
      <c r="A28" s="26">
        <v>25</v>
      </c>
      <c r="B28" s="27">
        <v>45955</v>
      </c>
      <c r="C28" s="17"/>
      <c r="D28" s="280">
        <v>22</v>
      </c>
      <c r="E28" s="289">
        <v>2700</v>
      </c>
      <c r="F28" s="290">
        <v>95.7</v>
      </c>
      <c r="G28" s="17">
        <f t="shared" si="1"/>
        <v>258390</v>
      </c>
      <c r="H28" s="17">
        <v>40</v>
      </c>
      <c r="I28" s="17">
        <v>107.48</v>
      </c>
      <c r="J28" s="17">
        <f t="shared" si="2"/>
        <v>4299.2</v>
      </c>
      <c r="K28" s="17">
        <f t="shared" si="3"/>
        <v>262689.2</v>
      </c>
      <c r="L28" s="17"/>
      <c r="M28" s="42">
        <f t="shared" si="5"/>
        <v>23004152.226000007</v>
      </c>
      <c r="N28" s="17"/>
    </row>
    <row r="29" spans="1:16">
      <c r="A29" s="26">
        <v>26</v>
      </c>
      <c r="B29" s="27">
        <v>45956</v>
      </c>
      <c r="C29" s="17"/>
      <c r="D29" s="280">
        <v>23</v>
      </c>
      <c r="E29" s="289">
        <v>6500</v>
      </c>
      <c r="F29" s="290">
        <v>95.7</v>
      </c>
      <c r="G29" s="17">
        <f t="shared" si="1"/>
        <v>622050</v>
      </c>
      <c r="H29" s="17">
        <v>20</v>
      </c>
      <c r="I29" s="17">
        <v>107.48</v>
      </c>
      <c r="J29" s="17">
        <f t="shared" si="2"/>
        <v>2149.6</v>
      </c>
      <c r="K29" s="17">
        <f t="shared" si="3"/>
        <v>624199.6</v>
      </c>
      <c r="L29" s="17"/>
      <c r="M29" s="42">
        <f t="shared" ref="M29:M34" si="6">M28+K29-L29</f>
        <v>23628351.826000009</v>
      </c>
      <c r="N29" s="17"/>
    </row>
    <row r="30" spans="1:16">
      <c r="A30" s="26">
        <v>27</v>
      </c>
      <c r="B30" s="27">
        <v>45957</v>
      </c>
      <c r="C30" s="17"/>
      <c r="D30" s="280">
        <v>24</v>
      </c>
      <c r="E30" s="289">
        <v>2700</v>
      </c>
      <c r="F30" s="290">
        <v>95.7</v>
      </c>
      <c r="G30" s="17">
        <f t="shared" si="1"/>
        <v>258390</v>
      </c>
      <c r="H30" s="17">
        <v>40</v>
      </c>
      <c r="I30" s="17">
        <v>107.48</v>
      </c>
      <c r="J30" s="17">
        <f t="shared" si="2"/>
        <v>4299.2</v>
      </c>
      <c r="K30" s="17">
        <f t="shared" si="3"/>
        <v>262689.2</v>
      </c>
      <c r="L30" s="17"/>
      <c r="M30" s="42">
        <f t="shared" si="6"/>
        <v>23891041.026000008</v>
      </c>
      <c r="N30" s="17"/>
    </row>
    <row r="31" spans="1:16">
      <c r="A31" s="26">
        <v>28</v>
      </c>
      <c r="B31" s="27">
        <v>45958</v>
      </c>
      <c r="C31" s="17"/>
      <c r="D31" s="280">
        <v>25</v>
      </c>
      <c r="E31" s="289">
        <v>2800</v>
      </c>
      <c r="F31" s="290">
        <v>95.7</v>
      </c>
      <c r="G31" s="17">
        <f t="shared" si="1"/>
        <v>267960</v>
      </c>
      <c r="H31" s="17">
        <v>35</v>
      </c>
      <c r="I31" s="17">
        <v>107.48</v>
      </c>
      <c r="J31" s="17">
        <f t="shared" si="2"/>
        <v>3761.8</v>
      </c>
      <c r="K31" s="17">
        <f t="shared" si="3"/>
        <v>271721.8</v>
      </c>
      <c r="L31" s="17"/>
      <c r="M31" s="42">
        <f t="shared" si="6"/>
        <v>24162762.826000009</v>
      </c>
      <c r="N31" s="17"/>
    </row>
    <row r="32" spans="1:16">
      <c r="A32" s="26">
        <v>29</v>
      </c>
      <c r="B32" s="27">
        <v>45959</v>
      </c>
      <c r="C32" s="17"/>
      <c r="D32" s="280"/>
      <c r="E32" s="289"/>
      <c r="F32" s="290"/>
      <c r="G32" s="17">
        <f t="shared" si="1"/>
        <v>0</v>
      </c>
      <c r="H32" s="17"/>
      <c r="I32" s="17"/>
      <c r="J32" s="17">
        <f t="shared" si="2"/>
        <v>0</v>
      </c>
      <c r="K32" s="17">
        <f t="shared" si="3"/>
        <v>0</v>
      </c>
      <c r="L32" s="17"/>
      <c r="M32" s="42">
        <f t="shared" si="6"/>
        <v>24162762.826000009</v>
      </c>
      <c r="N32" s="17"/>
    </row>
    <row r="33" spans="1:14">
      <c r="A33" s="26">
        <v>30</v>
      </c>
      <c r="B33" s="27">
        <v>45960</v>
      </c>
      <c r="C33" s="17"/>
      <c r="D33" s="280"/>
      <c r="E33" s="289"/>
      <c r="F33" s="290"/>
      <c r="G33" s="17">
        <f t="shared" si="1"/>
        <v>0</v>
      </c>
      <c r="H33" s="17"/>
      <c r="I33" s="17"/>
      <c r="J33" s="17">
        <f t="shared" si="2"/>
        <v>0</v>
      </c>
      <c r="K33" s="17">
        <f t="shared" si="3"/>
        <v>0</v>
      </c>
      <c r="L33" s="17"/>
      <c r="M33" s="42">
        <f t="shared" si="6"/>
        <v>24162762.826000009</v>
      </c>
      <c r="N33" s="17"/>
    </row>
    <row r="34" spans="1:14">
      <c r="A34" s="26">
        <v>31</v>
      </c>
      <c r="B34" s="27">
        <v>45961</v>
      </c>
      <c r="C34" s="17"/>
      <c r="D34" s="280"/>
      <c r="E34" s="289"/>
      <c r="F34" s="290"/>
      <c r="G34" s="17">
        <f t="shared" si="1"/>
        <v>0</v>
      </c>
      <c r="H34" s="17"/>
      <c r="I34" s="17"/>
      <c r="J34" s="17">
        <f t="shared" si="2"/>
        <v>0</v>
      </c>
      <c r="K34" s="17">
        <f t="shared" si="3"/>
        <v>0</v>
      </c>
      <c r="L34" s="17"/>
      <c r="M34" s="42">
        <f t="shared" si="6"/>
        <v>24162762.826000009</v>
      </c>
      <c r="N34" s="17"/>
    </row>
    <row r="35" spans="1:14">
      <c r="A35" s="26"/>
      <c r="B35" s="27"/>
      <c r="C35" s="17"/>
      <c r="D35" s="280"/>
      <c r="E35" s="289"/>
      <c r="F35" s="290"/>
      <c r="G35" s="17"/>
      <c r="H35" s="17"/>
      <c r="I35" s="17"/>
      <c r="J35" s="17"/>
      <c r="K35" s="17"/>
      <c r="L35" s="17"/>
      <c r="M35" s="42"/>
      <c r="N35" s="17"/>
    </row>
    <row r="36" spans="1:14">
      <c r="A36" s="26"/>
      <c r="B36" s="27"/>
      <c r="C36" s="17"/>
      <c r="D36" s="280"/>
      <c r="E36" s="289"/>
      <c r="F36" s="290"/>
      <c r="G36" s="17"/>
      <c r="H36" s="17"/>
      <c r="I36" s="17"/>
      <c r="J36" s="17"/>
      <c r="K36" s="17"/>
      <c r="L36" s="17"/>
      <c r="M36" s="42"/>
      <c r="N36" s="17"/>
    </row>
    <row r="37" spans="1:14">
      <c r="A37" s="26"/>
      <c r="B37" s="27"/>
      <c r="C37" s="17"/>
      <c r="D37" s="280"/>
      <c r="E37" s="289"/>
      <c r="F37" s="290"/>
      <c r="G37" s="17"/>
      <c r="H37" s="17"/>
      <c r="I37" s="17"/>
      <c r="J37" s="17"/>
      <c r="K37" s="17"/>
      <c r="L37" s="17"/>
      <c r="M37" s="42"/>
      <c r="N37" s="17"/>
    </row>
    <row r="38" spans="1:14">
      <c r="A38" s="46"/>
      <c r="B38" s="46"/>
      <c r="C38" s="46"/>
      <c r="D38" s="46"/>
      <c r="E38" s="47">
        <f>SUM(E4:E34)</f>
        <v>111000</v>
      </c>
      <c r="F38" s="47"/>
      <c r="G38" s="47">
        <f>SUM(G4:G34)</f>
        <v>10622700</v>
      </c>
      <c r="H38" s="47">
        <f>SUM(H4:H34)</f>
        <v>900</v>
      </c>
      <c r="I38" s="47"/>
      <c r="J38" s="47">
        <f>SUM(J4:J34)</f>
        <v>96732.000000000015</v>
      </c>
      <c r="K38" s="47">
        <f>SUM(K4:K34)</f>
        <v>10719431.999999996</v>
      </c>
      <c r="L38" s="47">
        <f>SUM(L4:L34)</f>
        <v>0</v>
      </c>
      <c r="M38" s="47"/>
      <c r="N38" s="47"/>
    </row>
    <row r="42" spans="1:14">
      <c r="M42" s="22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P47"/>
  <sheetViews>
    <sheetView topLeftCell="A16" workbookViewId="0">
      <selection activeCell="Q25" sqref="Q25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2.42578125" customWidth="1"/>
  </cols>
  <sheetData>
    <row r="1" spans="1:16" ht="15.75" customHeight="1">
      <c r="A1" s="433" t="s">
        <v>16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</row>
    <row r="2" spans="1:16" ht="25.5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51" t="s">
        <v>104</v>
      </c>
      <c r="L2" s="151" t="s">
        <v>105</v>
      </c>
      <c r="M2" s="151" t="s">
        <v>109</v>
      </c>
      <c r="N2" s="113" t="s">
        <v>107</v>
      </c>
    </row>
    <row r="3" spans="1:16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138"/>
      <c r="L3" s="249"/>
      <c r="M3" s="373">
        <v>2639914.5609999998</v>
      </c>
      <c r="N3" s="250"/>
      <c r="O3">
        <v>2623243.3616999988</v>
      </c>
    </row>
    <row r="4" spans="1:16">
      <c r="A4" s="26">
        <v>1</v>
      </c>
      <c r="B4" s="27">
        <v>45931</v>
      </c>
      <c r="C4" s="114"/>
      <c r="D4" s="35"/>
      <c r="E4" s="37"/>
      <c r="F4" s="37">
        <v>0</v>
      </c>
      <c r="G4" s="37">
        <v>0</v>
      </c>
      <c r="H4" s="37">
        <v>15</v>
      </c>
      <c r="I4" s="37">
        <v>108.23</v>
      </c>
      <c r="J4" s="37">
        <f t="shared" ref="J4" si="0">H4*I4</f>
        <v>1623.45</v>
      </c>
      <c r="K4" s="37">
        <f t="shared" ref="K4" si="1">G4+J4</f>
        <v>1623.45</v>
      </c>
      <c r="L4" s="209"/>
      <c r="M4" s="37">
        <f>M3+K4-L4</f>
        <v>2641538.0109999999</v>
      </c>
      <c r="N4" s="251"/>
      <c r="P4" s="22"/>
    </row>
    <row r="5" spans="1:16">
      <c r="A5" s="26">
        <v>2</v>
      </c>
      <c r="B5" s="27">
        <v>45932</v>
      </c>
      <c r="C5" s="114"/>
      <c r="D5" s="35"/>
      <c r="E5" s="37"/>
      <c r="F5" s="37"/>
      <c r="G5" s="37">
        <f t="shared" ref="G5:G34" si="2">E5*F5</f>
        <v>0</v>
      </c>
      <c r="H5" s="37"/>
      <c r="I5" s="37"/>
      <c r="J5" s="37">
        <f t="shared" ref="J5:J34" si="3">H5*I5</f>
        <v>0</v>
      </c>
      <c r="K5" s="37">
        <f t="shared" ref="K5:K34" si="4">G5+J5</f>
        <v>0</v>
      </c>
      <c r="L5" s="209"/>
      <c r="M5" s="37">
        <f t="shared" ref="M5:M18" si="5">M4+K5-L5</f>
        <v>2641538.0109999999</v>
      </c>
      <c r="N5" s="252"/>
    </row>
    <row r="6" spans="1:16">
      <c r="A6" s="26">
        <v>3</v>
      </c>
      <c r="B6" s="27">
        <v>45933</v>
      </c>
      <c r="C6" s="114"/>
      <c r="D6" s="35"/>
      <c r="E6" s="37">
        <v>2400</v>
      </c>
      <c r="F6" s="37">
        <v>96.42</v>
      </c>
      <c r="G6" s="37">
        <f t="shared" si="2"/>
        <v>231408</v>
      </c>
      <c r="H6" s="37">
        <v>15</v>
      </c>
      <c r="I6" s="37">
        <v>108.28</v>
      </c>
      <c r="J6" s="37">
        <f t="shared" si="3"/>
        <v>1624.2</v>
      </c>
      <c r="K6" s="37">
        <f t="shared" si="4"/>
        <v>233032.2</v>
      </c>
      <c r="L6" s="209"/>
      <c r="M6" s="37">
        <f t="shared" si="5"/>
        <v>2874570.2110000001</v>
      </c>
      <c r="N6" s="253"/>
    </row>
    <row r="7" spans="1:16">
      <c r="A7" s="26">
        <v>4</v>
      </c>
      <c r="B7" s="27">
        <v>45934</v>
      </c>
      <c r="C7" s="114"/>
      <c r="D7" s="35"/>
      <c r="E7" s="37"/>
      <c r="F7" s="37"/>
      <c r="G7" s="37">
        <f t="shared" si="2"/>
        <v>0</v>
      </c>
      <c r="H7" s="37">
        <v>5</v>
      </c>
      <c r="I7" s="37">
        <v>108.28</v>
      </c>
      <c r="J7" s="37">
        <f t="shared" si="3"/>
        <v>541.4</v>
      </c>
      <c r="K7" s="37">
        <f t="shared" si="4"/>
        <v>541.4</v>
      </c>
      <c r="L7" s="209"/>
      <c r="M7" s="37">
        <f>M6+K7-L7</f>
        <v>2875111.611</v>
      </c>
      <c r="N7" s="210"/>
      <c r="P7">
        <v>5679</v>
      </c>
    </row>
    <row r="8" spans="1:16">
      <c r="A8" s="26">
        <v>5</v>
      </c>
      <c r="B8" s="27">
        <v>45935</v>
      </c>
      <c r="C8" s="34"/>
      <c r="D8" s="35"/>
      <c r="E8" s="37">
        <v>500</v>
      </c>
      <c r="F8" s="37">
        <v>96.42</v>
      </c>
      <c r="G8" s="37">
        <f t="shared" si="2"/>
        <v>48210</v>
      </c>
      <c r="H8" s="37">
        <v>5</v>
      </c>
      <c r="I8" s="37">
        <v>108.23</v>
      </c>
      <c r="J8" s="37">
        <f t="shared" si="3"/>
        <v>541.15</v>
      </c>
      <c r="K8" s="37">
        <f t="shared" si="4"/>
        <v>48751.15</v>
      </c>
      <c r="L8" s="209"/>
      <c r="M8" s="37">
        <f>M7+K8-L8</f>
        <v>2923862.7609999999</v>
      </c>
      <c r="N8" s="210"/>
    </row>
    <row r="9" spans="1:16">
      <c r="A9" s="26">
        <v>6</v>
      </c>
      <c r="B9" s="27">
        <v>45936</v>
      </c>
      <c r="C9" s="34"/>
      <c r="D9" s="35"/>
      <c r="E9" s="37">
        <v>1500</v>
      </c>
      <c r="F9" s="37">
        <v>96.42</v>
      </c>
      <c r="G9" s="37">
        <f t="shared" si="2"/>
        <v>144630</v>
      </c>
      <c r="H9" s="403">
        <v>35</v>
      </c>
      <c r="I9" s="37">
        <v>108.23</v>
      </c>
      <c r="J9" s="37">
        <f t="shared" si="3"/>
        <v>3788.05</v>
      </c>
      <c r="K9" s="37">
        <f t="shared" si="4"/>
        <v>148418.04999999999</v>
      </c>
      <c r="L9" s="209"/>
      <c r="M9" s="37">
        <f t="shared" si="5"/>
        <v>3072280.8109999998</v>
      </c>
      <c r="N9" s="210"/>
    </row>
    <row r="10" spans="1:16">
      <c r="A10" s="26">
        <v>7</v>
      </c>
      <c r="B10" s="27">
        <v>45937</v>
      </c>
      <c r="C10" s="34"/>
      <c r="D10" s="35">
        <v>34.94</v>
      </c>
      <c r="E10" s="37">
        <v>1634.94</v>
      </c>
      <c r="F10" s="37">
        <v>96.42</v>
      </c>
      <c r="G10" s="37">
        <f t="shared" si="2"/>
        <v>157640.9148</v>
      </c>
      <c r="H10" s="37">
        <v>10</v>
      </c>
      <c r="I10" s="37">
        <v>108.23</v>
      </c>
      <c r="J10" s="37">
        <f t="shared" si="3"/>
        <v>1082.3</v>
      </c>
      <c r="K10" s="37">
        <f t="shared" si="4"/>
        <v>158723.21479999999</v>
      </c>
      <c r="L10" s="209">
        <v>975000</v>
      </c>
      <c r="M10" s="37">
        <f t="shared" si="5"/>
        <v>2256004.0257999999</v>
      </c>
      <c r="N10" s="210"/>
    </row>
    <row r="11" spans="1:16">
      <c r="A11" s="26">
        <v>8</v>
      </c>
      <c r="B11" s="27">
        <v>45938</v>
      </c>
      <c r="C11" s="34"/>
      <c r="D11" s="35"/>
      <c r="E11" s="37">
        <v>2000</v>
      </c>
      <c r="F11" s="37">
        <v>96.42</v>
      </c>
      <c r="G11" s="37">
        <f t="shared" si="2"/>
        <v>192840</v>
      </c>
      <c r="H11" s="37">
        <v>55</v>
      </c>
      <c r="I11" s="37">
        <v>108.23</v>
      </c>
      <c r="J11" s="37">
        <f t="shared" si="3"/>
        <v>5952.6500000000005</v>
      </c>
      <c r="K11" s="37">
        <f t="shared" si="4"/>
        <v>198792.65</v>
      </c>
      <c r="L11" s="209"/>
      <c r="M11" s="37">
        <f t="shared" si="5"/>
        <v>2454796.6757999999</v>
      </c>
      <c r="N11" s="210"/>
    </row>
    <row r="12" spans="1:16">
      <c r="A12" s="26">
        <v>9</v>
      </c>
      <c r="B12" s="27">
        <v>45939</v>
      </c>
      <c r="C12" s="34"/>
      <c r="D12" s="35"/>
      <c r="E12" s="37">
        <v>2400</v>
      </c>
      <c r="F12" s="37">
        <v>96.42</v>
      </c>
      <c r="G12" s="37">
        <f t="shared" si="2"/>
        <v>231408</v>
      </c>
      <c r="H12" s="37">
        <v>5</v>
      </c>
      <c r="I12" s="37">
        <v>108.23</v>
      </c>
      <c r="J12" s="37">
        <f t="shared" si="3"/>
        <v>541.15</v>
      </c>
      <c r="K12" s="37">
        <f t="shared" si="4"/>
        <v>231949.15</v>
      </c>
      <c r="L12" s="209"/>
      <c r="M12" s="37">
        <f t="shared" si="5"/>
        <v>2686745.8257999998</v>
      </c>
      <c r="N12" s="210"/>
    </row>
    <row r="13" spans="1:16">
      <c r="A13" s="26">
        <v>10</v>
      </c>
      <c r="B13" s="27">
        <v>45940</v>
      </c>
      <c r="C13" s="34"/>
      <c r="D13" s="35"/>
      <c r="E13" s="37"/>
      <c r="F13" s="37"/>
      <c r="G13" s="37">
        <f t="shared" si="2"/>
        <v>0</v>
      </c>
      <c r="H13" s="37">
        <v>35</v>
      </c>
      <c r="I13" s="37">
        <v>108.23</v>
      </c>
      <c r="J13" s="37">
        <f t="shared" si="3"/>
        <v>3788.05</v>
      </c>
      <c r="K13" s="37">
        <f t="shared" si="4"/>
        <v>3788.05</v>
      </c>
      <c r="L13" s="209"/>
      <c r="M13" s="37">
        <f>M12+K13-L13</f>
        <v>2690533.8757999996</v>
      </c>
      <c r="N13" s="210"/>
    </row>
    <row r="14" spans="1:16">
      <c r="A14" s="26">
        <v>11</v>
      </c>
      <c r="B14" s="27">
        <v>45941</v>
      </c>
      <c r="C14" s="34"/>
      <c r="D14" s="35"/>
      <c r="E14" s="37">
        <v>1500</v>
      </c>
      <c r="F14" s="37">
        <v>96.42</v>
      </c>
      <c r="G14" s="37">
        <f t="shared" si="2"/>
        <v>144630</v>
      </c>
      <c r="H14" s="403">
        <v>20</v>
      </c>
      <c r="I14" s="37">
        <v>108.23</v>
      </c>
      <c r="J14" s="37">
        <f t="shared" si="3"/>
        <v>2164.6</v>
      </c>
      <c r="K14" s="37">
        <f t="shared" si="4"/>
        <v>146794.6</v>
      </c>
      <c r="L14" s="209"/>
      <c r="M14" s="37">
        <f>M13+K14-L14</f>
        <v>2837328.4757999997</v>
      </c>
      <c r="N14" s="210"/>
    </row>
    <row r="15" spans="1:16">
      <c r="A15" s="26">
        <v>12</v>
      </c>
      <c r="B15" s="27">
        <v>45942</v>
      </c>
      <c r="C15" s="34"/>
      <c r="D15" s="35"/>
      <c r="E15" s="37">
        <v>37.96</v>
      </c>
      <c r="F15" s="37">
        <v>96.42</v>
      </c>
      <c r="G15" s="37">
        <f t="shared" si="2"/>
        <v>3660.1032</v>
      </c>
      <c r="H15" s="37">
        <v>15</v>
      </c>
      <c r="I15" s="37">
        <v>108.23</v>
      </c>
      <c r="J15" s="37">
        <f t="shared" si="3"/>
        <v>1623.45</v>
      </c>
      <c r="K15" s="37">
        <f t="shared" si="4"/>
        <v>5283.5532000000003</v>
      </c>
      <c r="L15" s="209"/>
      <c r="M15" s="37">
        <f t="shared" si="5"/>
        <v>2842612.0289999996</v>
      </c>
      <c r="N15" s="210"/>
    </row>
    <row r="16" spans="1:16">
      <c r="A16" s="26">
        <v>13</v>
      </c>
      <c r="B16" s="27">
        <v>45943</v>
      </c>
      <c r="C16" s="34"/>
      <c r="D16" s="35"/>
      <c r="E16" s="37"/>
      <c r="F16" s="37"/>
      <c r="G16" s="37">
        <f t="shared" si="2"/>
        <v>0</v>
      </c>
      <c r="H16" s="37">
        <v>15</v>
      </c>
      <c r="I16" s="37">
        <v>108.23</v>
      </c>
      <c r="J16" s="37">
        <f t="shared" si="3"/>
        <v>1623.45</v>
      </c>
      <c r="K16" s="37">
        <f t="shared" si="4"/>
        <v>1623.45</v>
      </c>
      <c r="L16" s="209"/>
      <c r="M16" s="37">
        <f t="shared" si="5"/>
        <v>2844235.4789999998</v>
      </c>
      <c r="N16" s="210"/>
    </row>
    <row r="17" spans="1:14">
      <c r="A17" s="26">
        <v>14</v>
      </c>
      <c r="B17" s="27">
        <v>45944</v>
      </c>
      <c r="C17" s="34"/>
      <c r="D17" s="35"/>
      <c r="E17" s="37"/>
      <c r="F17" s="37"/>
      <c r="G17" s="37">
        <f t="shared" si="2"/>
        <v>0</v>
      </c>
      <c r="H17" s="37">
        <v>15</v>
      </c>
      <c r="I17" s="37">
        <v>108.23</v>
      </c>
      <c r="J17" s="37">
        <f t="shared" si="3"/>
        <v>1623.45</v>
      </c>
      <c r="K17" s="37">
        <f t="shared" si="4"/>
        <v>1623.45</v>
      </c>
      <c r="L17" s="209"/>
      <c r="M17" s="37">
        <f t="shared" si="5"/>
        <v>2845858.929</v>
      </c>
      <c r="N17" s="210"/>
    </row>
    <row r="18" spans="1:14">
      <c r="A18" s="26">
        <v>15</v>
      </c>
      <c r="B18" s="27">
        <v>45945</v>
      </c>
      <c r="C18" s="177"/>
      <c r="D18" s="35"/>
      <c r="E18" s="37"/>
      <c r="F18" s="37"/>
      <c r="G18" s="37">
        <f t="shared" si="2"/>
        <v>0</v>
      </c>
      <c r="H18" s="37">
        <v>20</v>
      </c>
      <c r="I18" s="37">
        <v>108.23</v>
      </c>
      <c r="J18" s="37">
        <f t="shared" si="3"/>
        <v>2164.6</v>
      </c>
      <c r="K18" s="37">
        <f t="shared" si="4"/>
        <v>2164.6</v>
      </c>
      <c r="L18" s="209">
        <v>500000</v>
      </c>
      <c r="M18" s="37">
        <f t="shared" si="5"/>
        <v>2348023.5290000001</v>
      </c>
      <c r="N18" s="254"/>
    </row>
    <row r="19" spans="1:14">
      <c r="A19" s="26">
        <v>16</v>
      </c>
      <c r="B19" s="27">
        <v>45946</v>
      </c>
      <c r="C19" s="114"/>
      <c r="D19" s="35"/>
      <c r="E19" s="37">
        <v>33.700000000000003</v>
      </c>
      <c r="F19" s="37">
        <v>96.42</v>
      </c>
      <c r="G19" s="37">
        <f t="shared" si="2"/>
        <v>3249.3540000000003</v>
      </c>
      <c r="H19" s="37">
        <v>25</v>
      </c>
      <c r="I19" s="37">
        <v>108.23</v>
      </c>
      <c r="J19" s="37">
        <f t="shared" si="3"/>
        <v>2705.75</v>
      </c>
      <c r="K19" s="37">
        <f t="shared" si="4"/>
        <v>5955.1040000000003</v>
      </c>
      <c r="L19" s="209"/>
      <c r="M19" s="37">
        <f t="shared" ref="M19:M35" si="6">M18+K19-L19</f>
        <v>2353978.6329999999</v>
      </c>
      <c r="N19" s="254"/>
    </row>
    <row r="20" spans="1:14">
      <c r="A20" s="26">
        <v>17</v>
      </c>
      <c r="B20" s="27">
        <v>45947</v>
      </c>
      <c r="C20" s="190"/>
      <c r="D20" s="35"/>
      <c r="E20" s="37">
        <v>0</v>
      </c>
      <c r="F20" s="37"/>
      <c r="G20" s="37">
        <f t="shared" si="2"/>
        <v>0</v>
      </c>
      <c r="H20" s="37">
        <v>20</v>
      </c>
      <c r="I20" s="37">
        <v>108.23</v>
      </c>
      <c r="J20" s="37">
        <f t="shared" si="3"/>
        <v>2164.6</v>
      </c>
      <c r="K20" s="37">
        <f t="shared" si="4"/>
        <v>2164.6</v>
      </c>
      <c r="L20" s="209"/>
      <c r="M20" s="37">
        <f t="shared" si="6"/>
        <v>2356143.233</v>
      </c>
      <c r="N20" s="254"/>
    </row>
    <row r="21" spans="1:14">
      <c r="A21" s="26">
        <v>18</v>
      </c>
      <c r="B21" s="27">
        <v>45948</v>
      </c>
      <c r="C21" s="190"/>
      <c r="D21" s="35"/>
      <c r="E21" s="37">
        <v>60</v>
      </c>
      <c r="F21" s="37">
        <v>96.42</v>
      </c>
      <c r="G21" s="37">
        <f t="shared" si="2"/>
        <v>5785.2</v>
      </c>
      <c r="H21" s="37">
        <v>25</v>
      </c>
      <c r="I21" s="37">
        <v>108.23</v>
      </c>
      <c r="J21" s="37">
        <f t="shared" si="3"/>
        <v>2705.75</v>
      </c>
      <c r="K21" s="37">
        <f t="shared" si="4"/>
        <v>8490.9500000000007</v>
      </c>
      <c r="L21" s="209"/>
      <c r="M21" s="37">
        <f t="shared" si="6"/>
        <v>2364634.1830000002</v>
      </c>
      <c r="N21" s="254"/>
    </row>
    <row r="22" spans="1:14">
      <c r="A22" s="26">
        <v>19</v>
      </c>
      <c r="B22" s="27">
        <v>45949</v>
      </c>
      <c r="C22" s="114"/>
      <c r="D22" s="35"/>
      <c r="E22" s="37"/>
      <c r="F22" s="37"/>
      <c r="G22" s="37">
        <f t="shared" si="2"/>
        <v>0</v>
      </c>
      <c r="H22" s="37">
        <v>10</v>
      </c>
      <c r="I22" s="37">
        <v>108.23</v>
      </c>
      <c r="J22" s="37">
        <f t="shared" si="3"/>
        <v>1082.3</v>
      </c>
      <c r="K22" s="37">
        <f t="shared" si="4"/>
        <v>1082.3</v>
      </c>
      <c r="L22" s="209"/>
      <c r="M22" s="37">
        <f t="shared" si="6"/>
        <v>2365716.483</v>
      </c>
      <c r="N22" s="210"/>
    </row>
    <row r="23" spans="1:14">
      <c r="A23" s="26">
        <v>20</v>
      </c>
      <c r="B23" s="27">
        <v>45950</v>
      </c>
      <c r="C23" s="114"/>
      <c r="D23" s="35"/>
      <c r="E23" s="37"/>
      <c r="F23" s="37"/>
      <c r="G23" s="37">
        <f t="shared" si="2"/>
        <v>0</v>
      </c>
      <c r="H23" s="37">
        <v>5</v>
      </c>
      <c r="I23" s="37">
        <v>108.23</v>
      </c>
      <c r="J23" s="37">
        <f t="shared" si="3"/>
        <v>541.15</v>
      </c>
      <c r="K23" s="37">
        <f t="shared" si="4"/>
        <v>541.15</v>
      </c>
      <c r="L23" s="209"/>
      <c r="M23" s="37">
        <f t="shared" si="6"/>
        <v>2366257.6329999999</v>
      </c>
      <c r="N23" s="210"/>
    </row>
    <row r="24" spans="1:14">
      <c r="A24" s="26">
        <v>21</v>
      </c>
      <c r="B24" s="27">
        <v>45951</v>
      </c>
      <c r="C24" s="114"/>
      <c r="D24" s="35"/>
      <c r="E24" s="37"/>
      <c r="F24" s="37"/>
      <c r="G24" s="37">
        <f t="shared" si="2"/>
        <v>0</v>
      </c>
      <c r="H24" s="37">
        <v>73.42</v>
      </c>
      <c r="I24" s="37">
        <v>108.23</v>
      </c>
      <c r="J24" s="37">
        <f t="shared" si="3"/>
        <v>7946.2466000000004</v>
      </c>
      <c r="K24" s="37">
        <f t="shared" si="4"/>
        <v>7946.2466000000004</v>
      </c>
      <c r="L24" s="209"/>
      <c r="M24" s="37">
        <f t="shared" si="6"/>
        <v>2374203.8796000001</v>
      </c>
      <c r="N24" s="210"/>
    </row>
    <row r="25" spans="1:14">
      <c r="A25" s="26">
        <v>22</v>
      </c>
      <c r="B25" s="27">
        <v>45952</v>
      </c>
      <c r="C25" s="114"/>
      <c r="D25" s="35"/>
      <c r="E25" s="37"/>
      <c r="F25" s="37"/>
      <c r="G25" s="37">
        <f t="shared" si="2"/>
        <v>0</v>
      </c>
      <c r="H25" s="37">
        <v>22</v>
      </c>
      <c r="I25" s="37">
        <v>108.23</v>
      </c>
      <c r="J25" s="37">
        <f t="shared" si="3"/>
        <v>2381.06</v>
      </c>
      <c r="K25" s="37">
        <f t="shared" si="4"/>
        <v>2381.06</v>
      </c>
      <c r="L25" s="209"/>
      <c r="M25" s="37">
        <f t="shared" si="6"/>
        <v>2376584.9396000002</v>
      </c>
      <c r="N25" s="210"/>
    </row>
    <row r="26" spans="1:14">
      <c r="A26" s="26">
        <v>23</v>
      </c>
      <c r="B26" s="27">
        <v>45953</v>
      </c>
      <c r="C26" s="114"/>
      <c r="D26" s="35"/>
      <c r="E26" s="37"/>
      <c r="F26" s="37"/>
      <c r="G26" s="37">
        <f t="shared" si="2"/>
        <v>0</v>
      </c>
      <c r="H26" s="37">
        <v>97.71</v>
      </c>
      <c r="I26" s="37">
        <v>108.23</v>
      </c>
      <c r="J26" s="37">
        <f t="shared" si="3"/>
        <v>10575.1533</v>
      </c>
      <c r="K26" s="37">
        <f t="shared" si="4"/>
        <v>10575.1533</v>
      </c>
      <c r="L26" s="209"/>
      <c r="M26" s="37">
        <f t="shared" si="6"/>
        <v>2387160.0929</v>
      </c>
      <c r="N26" s="210"/>
    </row>
    <row r="27" spans="1:14">
      <c r="A27" s="26">
        <v>24</v>
      </c>
      <c r="B27" s="27">
        <v>45954</v>
      </c>
      <c r="C27" s="114"/>
      <c r="D27" s="35"/>
      <c r="E27" s="37"/>
      <c r="F27" s="37"/>
      <c r="G27" s="37">
        <f t="shared" si="2"/>
        <v>0</v>
      </c>
      <c r="H27" s="37"/>
      <c r="I27" s="37"/>
      <c r="J27" s="37">
        <f t="shared" si="3"/>
        <v>0</v>
      </c>
      <c r="K27" s="37">
        <f t="shared" si="4"/>
        <v>0</v>
      </c>
      <c r="L27" s="209"/>
      <c r="M27" s="37">
        <f t="shared" si="6"/>
        <v>2387160.0929</v>
      </c>
      <c r="N27" s="210"/>
    </row>
    <row r="28" spans="1:14">
      <c r="A28" s="26">
        <v>25</v>
      </c>
      <c r="B28" s="27">
        <v>45955</v>
      </c>
      <c r="C28" s="114"/>
      <c r="D28" s="35"/>
      <c r="E28" s="37"/>
      <c r="F28" s="37"/>
      <c r="G28" s="37">
        <f t="shared" si="2"/>
        <v>0</v>
      </c>
      <c r="H28" s="37"/>
      <c r="I28" s="37"/>
      <c r="J28" s="37">
        <f t="shared" si="3"/>
        <v>0</v>
      </c>
      <c r="K28" s="37">
        <f t="shared" si="4"/>
        <v>0</v>
      </c>
      <c r="L28" s="209"/>
      <c r="M28" s="37">
        <f t="shared" si="6"/>
        <v>2387160.0929</v>
      </c>
      <c r="N28" s="210"/>
    </row>
    <row r="29" spans="1:14">
      <c r="A29" s="26">
        <v>26</v>
      </c>
      <c r="B29" s="27">
        <v>45956</v>
      </c>
      <c r="C29" s="114"/>
      <c r="D29" s="35"/>
      <c r="E29" s="37"/>
      <c r="F29" s="37"/>
      <c r="G29" s="37">
        <f t="shared" si="2"/>
        <v>0</v>
      </c>
      <c r="H29" s="37">
        <v>100</v>
      </c>
      <c r="I29" s="37">
        <v>108.23</v>
      </c>
      <c r="J29" s="37">
        <f t="shared" si="3"/>
        <v>10823</v>
      </c>
      <c r="K29" s="37">
        <f t="shared" si="4"/>
        <v>10823</v>
      </c>
      <c r="L29" s="209"/>
      <c r="M29" s="37">
        <f t="shared" si="6"/>
        <v>2397983.0929</v>
      </c>
      <c r="N29" s="210"/>
    </row>
    <row r="30" spans="1:14">
      <c r="A30" s="26">
        <v>27</v>
      </c>
      <c r="B30" s="27">
        <v>45957</v>
      </c>
      <c r="C30" s="114"/>
      <c r="D30" s="35"/>
      <c r="E30" s="37"/>
      <c r="F30" s="37"/>
      <c r="G30" s="37">
        <f t="shared" si="2"/>
        <v>0</v>
      </c>
      <c r="H30" s="37"/>
      <c r="I30" s="37"/>
      <c r="J30" s="37">
        <f t="shared" si="3"/>
        <v>0</v>
      </c>
      <c r="K30" s="37">
        <f t="shared" si="4"/>
        <v>0</v>
      </c>
      <c r="L30" s="209"/>
      <c r="M30" s="37">
        <f>M29+K30-L30</f>
        <v>2397983.0929</v>
      </c>
      <c r="N30" s="210"/>
    </row>
    <row r="31" spans="1:14">
      <c r="A31" s="26">
        <v>28</v>
      </c>
      <c r="B31" s="27">
        <v>45958</v>
      </c>
      <c r="C31" s="114"/>
      <c r="D31" s="35"/>
      <c r="E31" s="37"/>
      <c r="F31" s="37"/>
      <c r="G31" s="37">
        <f t="shared" si="2"/>
        <v>0</v>
      </c>
      <c r="H31" s="37"/>
      <c r="I31" s="37"/>
      <c r="J31" s="37">
        <f t="shared" si="3"/>
        <v>0</v>
      </c>
      <c r="K31" s="37">
        <f t="shared" si="4"/>
        <v>0</v>
      </c>
      <c r="L31" s="209"/>
      <c r="M31" s="37">
        <f t="shared" si="6"/>
        <v>2397983.0929</v>
      </c>
      <c r="N31" s="210"/>
    </row>
    <row r="32" spans="1:14">
      <c r="A32" s="26">
        <v>29</v>
      </c>
      <c r="B32" s="27">
        <v>45959</v>
      </c>
      <c r="C32" s="114"/>
      <c r="D32" s="35"/>
      <c r="E32" s="37">
        <v>35</v>
      </c>
      <c r="F32" s="37">
        <v>96.42</v>
      </c>
      <c r="G32" s="37">
        <f t="shared" si="2"/>
        <v>3374.7000000000003</v>
      </c>
      <c r="H32" s="37">
        <v>50</v>
      </c>
      <c r="I32" s="37">
        <v>108.23</v>
      </c>
      <c r="J32" s="37">
        <f t="shared" si="3"/>
        <v>5411.5</v>
      </c>
      <c r="K32" s="37">
        <f t="shared" si="4"/>
        <v>8786.2000000000007</v>
      </c>
      <c r="L32" s="209"/>
      <c r="M32" s="37">
        <f t="shared" si="6"/>
        <v>2406769.2929000002</v>
      </c>
      <c r="N32" s="210"/>
    </row>
    <row r="33" spans="1:16">
      <c r="A33" s="26">
        <v>30</v>
      </c>
      <c r="B33" s="27">
        <v>45960</v>
      </c>
      <c r="C33" s="114"/>
      <c r="D33" s="35"/>
      <c r="E33" s="37"/>
      <c r="F33" s="37"/>
      <c r="G33" s="37">
        <f t="shared" si="2"/>
        <v>0</v>
      </c>
      <c r="H33" s="37"/>
      <c r="I33" s="37"/>
      <c r="J33" s="37">
        <f t="shared" si="3"/>
        <v>0</v>
      </c>
      <c r="K33" s="37">
        <f t="shared" si="4"/>
        <v>0</v>
      </c>
      <c r="L33" s="209">
        <v>700000</v>
      </c>
      <c r="M33" s="37">
        <f t="shared" si="6"/>
        <v>1706769.2929000002</v>
      </c>
      <c r="N33" s="210"/>
    </row>
    <row r="34" spans="1:16">
      <c r="A34" s="26">
        <v>31</v>
      </c>
      <c r="B34" s="27">
        <v>45961</v>
      </c>
      <c r="C34" s="114"/>
      <c r="D34" s="35"/>
      <c r="E34" s="37">
        <v>52</v>
      </c>
      <c r="F34" s="37">
        <v>96.42</v>
      </c>
      <c r="G34" s="37">
        <f t="shared" si="2"/>
        <v>5013.84</v>
      </c>
      <c r="H34" s="37"/>
      <c r="I34" s="37"/>
      <c r="J34" s="37">
        <f t="shared" si="3"/>
        <v>0</v>
      </c>
      <c r="K34" s="37">
        <f t="shared" si="4"/>
        <v>5013.84</v>
      </c>
      <c r="L34" s="209">
        <v>0</v>
      </c>
      <c r="M34" s="37">
        <f t="shared" si="6"/>
        <v>1711783.1329000003</v>
      </c>
      <c r="N34" s="254"/>
      <c r="O34">
        <v>2669494</v>
      </c>
      <c r="P34" s="183">
        <f>O34-M34</f>
        <v>957710.86709999968</v>
      </c>
    </row>
    <row r="35" spans="1:16">
      <c r="A35" s="277"/>
      <c r="B35" s="27"/>
      <c r="C35" s="33"/>
      <c r="D35" s="278"/>
      <c r="E35" s="37">
        <v>0</v>
      </c>
      <c r="F35" s="37">
        <v>0</v>
      </c>
      <c r="G35" s="37">
        <f>E35*F35</f>
        <v>0</v>
      </c>
      <c r="H35" s="37"/>
      <c r="I35" s="37"/>
      <c r="J35" s="37">
        <f t="shared" ref="J35" si="7">H35*I35</f>
        <v>0</v>
      </c>
      <c r="K35" s="37">
        <f t="shared" ref="K35" si="8">G35+J35</f>
        <v>0</v>
      </c>
      <c r="L35" s="39"/>
      <c r="M35" s="209">
        <f t="shared" si="6"/>
        <v>1711783.1329000003</v>
      </c>
      <c r="N35" s="37"/>
    </row>
    <row r="36" spans="1:16">
      <c r="A36" s="191"/>
      <c r="B36" s="188"/>
      <c r="C36" s="188"/>
      <c r="D36" s="188"/>
      <c r="E36" s="44">
        <f>SUM(E4:E34)</f>
        <v>12153.6</v>
      </c>
      <c r="F36" s="44"/>
      <c r="G36" s="44">
        <f>SUM(G4:G34)</f>
        <v>1171850.112</v>
      </c>
      <c r="H36" s="44">
        <f>SUM(H4:H34)</f>
        <v>693.13</v>
      </c>
      <c r="I36" s="44"/>
      <c r="J36" s="44">
        <f>SUM(J4:J34)</f>
        <v>75018.459900000002</v>
      </c>
      <c r="K36" s="44">
        <f>SUM(K4:K34)</f>
        <v>1246868.5719000001</v>
      </c>
      <c r="L36" s="44">
        <f>SUM(L4:L34)</f>
        <v>2175000</v>
      </c>
      <c r="M36" s="111"/>
      <c r="N36" s="45"/>
    </row>
    <row r="37" spans="1:16">
      <c r="A37" s="38"/>
      <c r="B37" s="38"/>
      <c r="C37" s="38"/>
      <c r="D37" s="38"/>
      <c r="E37" s="41"/>
      <c r="F37" s="41"/>
      <c r="G37" s="41"/>
      <c r="H37" s="41"/>
      <c r="I37" s="41"/>
      <c r="J37" s="41"/>
      <c r="K37" s="41"/>
      <c r="L37" s="41"/>
      <c r="M37" s="41"/>
      <c r="N37" s="41"/>
      <c r="P37" s="183"/>
    </row>
    <row r="38" spans="1:16">
      <c r="A38" s="33"/>
      <c r="B38" s="33"/>
      <c r="C38" s="33"/>
      <c r="D38" s="33"/>
      <c r="E38" s="33"/>
      <c r="F38" s="33"/>
      <c r="G38" s="40"/>
      <c r="H38" s="33"/>
      <c r="I38" s="33"/>
      <c r="J38" s="33"/>
      <c r="K38" s="33"/>
      <c r="L38" s="33"/>
      <c r="M38" s="33"/>
      <c r="N38" s="33"/>
    </row>
    <row r="39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P39" s="183"/>
    </row>
    <row r="43" spans="1:16">
      <c r="E43" s="183"/>
    </row>
    <row r="45" spans="1:16">
      <c r="M45">
        <v>2408309</v>
      </c>
    </row>
    <row r="46" spans="1:16">
      <c r="M46">
        <v>5327.86</v>
      </c>
    </row>
    <row r="47" spans="1:16">
      <c r="M47" s="404">
        <f>M45-M46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S20" sqref="S20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  <col min="15" max="15" width="15.5703125" customWidth="1"/>
  </cols>
  <sheetData>
    <row r="1" spans="1:18" ht="15.75">
      <c r="A1" s="436" t="s">
        <v>18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8" ht="25.5">
      <c r="A2" s="109" t="s">
        <v>96</v>
      </c>
      <c r="B2" s="113" t="s">
        <v>97</v>
      </c>
      <c r="C2" s="113" t="s">
        <v>98</v>
      </c>
      <c r="D2" s="113" t="s">
        <v>99</v>
      </c>
      <c r="E2" s="205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18">
      <c r="A3" s="437" t="s">
        <v>108</v>
      </c>
      <c r="B3" s="437"/>
      <c r="C3" s="437"/>
      <c r="D3" s="437"/>
      <c r="E3" s="437"/>
      <c r="F3" s="437"/>
      <c r="G3" s="437"/>
      <c r="H3" s="437"/>
      <c r="I3" s="437"/>
      <c r="J3" s="437"/>
      <c r="K3" s="143">
        <v>238933.00000000023</v>
      </c>
      <c r="L3" s="229"/>
      <c r="M3" s="230">
        <f>+K3</f>
        <v>238933.00000000023</v>
      </c>
      <c r="N3" s="100"/>
      <c r="O3" s="143">
        <v>238933.00000000023</v>
      </c>
    </row>
    <row r="4" spans="1:18">
      <c r="A4" s="26">
        <v>1</v>
      </c>
      <c r="B4" s="27">
        <v>45931</v>
      </c>
      <c r="C4" s="17"/>
      <c r="D4" s="17"/>
      <c r="E4" s="17"/>
      <c r="F4" s="17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143">
        <f>M3+K4-L4</f>
        <v>238933.00000000023</v>
      </c>
      <c r="N4" s="17"/>
      <c r="O4" s="22"/>
    </row>
    <row r="5" spans="1:18">
      <c r="A5" s="26">
        <v>2</v>
      </c>
      <c r="B5" s="27">
        <v>45932</v>
      </c>
      <c r="C5" s="17"/>
      <c r="D5" s="17"/>
      <c r="E5" s="17"/>
      <c r="F5" s="17"/>
      <c r="G5" s="17">
        <f t="shared" ref="G5:G34" si="0">E5*F5</f>
        <v>0</v>
      </c>
      <c r="H5" s="17"/>
      <c r="I5" s="17"/>
      <c r="J5" s="17">
        <f t="shared" ref="J5:J34" si="1">H5*I5</f>
        <v>0</v>
      </c>
      <c r="K5" s="17">
        <f t="shared" ref="K5:K34" si="2">G5+J5</f>
        <v>0</v>
      </c>
      <c r="L5" s="17"/>
      <c r="M5" s="143">
        <f t="shared" ref="M5:M34" si="3">M4+K5-L5</f>
        <v>238933.00000000023</v>
      </c>
      <c r="N5" s="17"/>
    </row>
    <row r="6" spans="1:18">
      <c r="A6" s="26">
        <v>3</v>
      </c>
      <c r="B6" s="27">
        <v>45933</v>
      </c>
      <c r="C6" s="17"/>
      <c r="D6" s="17"/>
      <c r="E6" s="17"/>
      <c r="F6" s="17"/>
      <c r="G6" s="17">
        <f t="shared" si="0"/>
        <v>0</v>
      </c>
      <c r="H6" s="17"/>
      <c r="I6" s="17"/>
      <c r="J6" s="17">
        <f t="shared" si="1"/>
        <v>0</v>
      </c>
      <c r="K6" s="17">
        <f t="shared" si="2"/>
        <v>0</v>
      </c>
      <c r="L6" s="17"/>
      <c r="M6" s="143">
        <f t="shared" si="3"/>
        <v>238933.00000000023</v>
      </c>
      <c r="N6" s="17"/>
      <c r="R6">
        <v>541.08000000000004</v>
      </c>
    </row>
    <row r="7" spans="1:18">
      <c r="A7" s="26">
        <v>4</v>
      </c>
      <c r="B7" s="27">
        <v>45934</v>
      </c>
      <c r="C7" s="17"/>
      <c r="D7" s="17"/>
      <c r="E7" s="17"/>
      <c r="F7" s="17"/>
      <c r="G7" s="17">
        <f t="shared" si="0"/>
        <v>0</v>
      </c>
      <c r="H7" s="17"/>
      <c r="I7" s="17"/>
      <c r="J7" s="17">
        <f t="shared" si="1"/>
        <v>0</v>
      </c>
      <c r="K7" s="17">
        <f t="shared" si="2"/>
        <v>0</v>
      </c>
      <c r="L7" s="17"/>
      <c r="M7" s="143">
        <f t="shared" si="3"/>
        <v>238933.00000000023</v>
      </c>
      <c r="N7" s="17"/>
    </row>
    <row r="8" spans="1:18">
      <c r="A8" s="26">
        <v>5</v>
      </c>
      <c r="B8" s="27">
        <v>45935</v>
      </c>
      <c r="C8" s="17"/>
      <c r="D8" s="17"/>
      <c r="E8" s="17"/>
      <c r="F8" s="17"/>
      <c r="G8" s="17">
        <f t="shared" si="0"/>
        <v>0</v>
      </c>
      <c r="H8" s="17"/>
      <c r="I8" s="17"/>
      <c r="J8" s="17">
        <f t="shared" si="1"/>
        <v>0</v>
      </c>
      <c r="K8" s="17">
        <f t="shared" si="2"/>
        <v>0</v>
      </c>
      <c r="L8" s="17"/>
      <c r="M8" s="143">
        <f>M7+K8-L8</f>
        <v>238933.00000000023</v>
      </c>
      <c r="N8" s="17"/>
    </row>
    <row r="9" spans="1:18">
      <c r="A9" s="26">
        <v>6</v>
      </c>
      <c r="B9" s="27">
        <v>45936</v>
      </c>
      <c r="C9" s="17"/>
      <c r="D9" s="17"/>
      <c r="E9" s="17"/>
      <c r="F9" s="17"/>
      <c r="G9" s="17">
        <f t="shared" si="0"/>
        <v>0</v>
      </c>
      <c r="H9" s="17"/>
      <c r="I9" s="17"/>
      <c r="J9" s="17">
        <f t="shared" si="1"/>
        <v>0</v>
      </c>
      <c r="K9" s="17">
        <f t="shared" si="2"/>
        <v>0</v>
      </c>
      <c r="L9" s="17"/>
      <c r="M9" s="143">
        <f t="shared" si="3"/>
        <v>238933.00000000023</v>
      </c>
      <c r="N9" s="17"/>
    </row>
    <row r="10" spans="1:18">
      <c r="A10" s="26">
        <v>7</v>
      </c>
      <c r="B10" s="27">
        <v>45937</v>
      </c>
      <c r="C10" s="17"/>
      <c r="D10" s="17">
        <v>1</v>
      </c>
      <c r="E10" s="17">
        <v>2500</v>
      </c>
      <c r="F10" s="17">
        <v>96.43</v>
      </c>
      <c r="G10" s="17">
        <f t="shared" si="0"/>
        <v>241075.00000000003</v>
      </c>
      <c r="H10" s="17"/>
      <c r="I10" s="17"/>
      <c r="J10" s="17">
        <f t="shared" si="1"/>
        <v>0</v>
      </c>
      <c r="K10" s="17">
        <f t="shared" si="2"/>
        <v>241075.00000000003</v>
      </c>
      <c r="L10" s="17"/>
      <c r="M10" s="143">
        <f t="shared" si="3"/>
        <v>480008.00000000023</v>
      </c>
      <c r="N10" s="17"/>
    </row>
    <row r="11" spans="1:18">
      <c r="A11" s="26">
        <v>8</v>
      </c>
      <c r="B11" s="27">
        <v>45938</v>
      </c>
      <c r="C11" s="17"/>
      <c r="D11" s="17"/>
      <c r="E11" s="17"/>
      <c r="F11" s="17"/>
      <c r="G11" s="17">
        <f t="shared" si="0"/>
        <v>0</v>
      </c>
      <c r="H11" s="17"/>
      <c r="I11" s="17"/>
      <c r="J11" s="17">
        <f t="shared" si="1"/>
        <v>0</v>
      </c>
      <c r="K11" s="17">
        <f t="shared" si="2"/>
        <v>0</v>
      </c>
      <c r="L11" s="17"/>
      <c r="M11" s="143">
        <f t="shared" si="3"/>
        <v>480008.00000000023</v>
      </c>
      <c r="N11" s="17"/>
    </row>
    <row r="12" spans="1:18">
      <c r="A12" s="26">
        <v>9</v>
      </c>
      <c r="B12" s="27">
        <v>45939</v>
      </c>
      <c r="C12" s="17"/>
      <c r="D12" s="17"/>
      <c r="E12" s="17"/>
      <c r="F12" s="17"/>
      <c r="G12" s="17">
        <f t="shared" si="0"/>
        <v>0</v>
      </c>
      <c r="H12" s="17"/>
      <c r="I12" s="17"/>
      <c r="J12" s="17">
        <f t="shared" si="1"/>
        <v>0</v>
      </c>
      <c r="K12" s="17">
        <f t="shared" si="2"/>
        <v>0</v>
      </c>
      <c r="L12" s="17"/>
      <c r="M12" s="143">
        <f t="shared" si="3"/>
        <v>480008.00000000023</v>
      </c>
      <c r="N12" s="17"/>
    </row>
    <row r="13" spans="1:18">
      <c r="A13" s="26">
        <v>10</v>
      </c>
      <c r="B13" s="27">
        <v>45940</v>
      </c>
      <c r="C13" s="17"/>
      <c r="D13" s="17"/>
      <c r="E13" s="17"/>
      <c r="F13" s="17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>
        <v>200000</v>
      </c>
      <c r="M13" s="143">
        <f t="shared" si="3"/>
        <v>280008.00000000023</v>
      </c>
      <c r="N13" s="17"/>
    </row>
    <row r="14" spans="1:18">
      <c r="A14" s="26">
        <v>11</v>
      </c>
      <c r="B14" s="27">
        <v>45941</v>
      </c>
      <c r="C14" s="17"/>
      <c r="D14" s="17">
        <v>2</v>
      </c>
      <c r="E14" s="17">
        <v>2400</v>
      </c>
      <c r="F14" s="17">
        <v>96.43</v>
      </c>
      <c r="G14" s="17">
        <f t="shared" si="0"/>
        <v>231432.00000000003</v>
      </c>
      <c r="H14" s="17"/>
      <c r="I14" s="17"/>
      <c r="J14" s="17">
        <f t="shared" si="1"/>
        <v>0</v>
      </c>
      <c r="K14" s="17">
        <f t="shared" si="2"/>
        <v>231432.00000000003</v>
      </c>
      <c r="L14" s="17"/>
      <c r="M14" s="143">
        <f t="shared" si="3"/>
        <v>511440.00000000023</v>
      </c>
      <c r="N14" s="17"/>
    </row>
    <row r="15" spans="1:18">
      <c r="A15" s="26">
        <v>12</v>
      </c>
      <c r="B15" s="27">
        <v>45942</v>
      </c>
      <c r="C15" s="17"/>
      <c r="D15" s="17">
        <v>3</v>
      </c>
      <c r="E15" s="17">
        <v>2000</v>
      </c>
      <c r="F15" s="17">
        <v>96.43</v>
      </c>
      <c r="G15" s="37">
        <f>E15*F15</f>
        <v>192860</v>
      </c>
      <c r="H15" s="37">
        <v>0</v>
      </c>
      <c r="I15" s="37">
        <v>0</v>
      </c>
      <c r="J15" s="37">
        <f>H15*I15</f>
        <v>0</v>
      </c>
      <c r="K15" s="37">
        <f>G15+J15</f>
        <v>192860</v>
      </c>
      <c r="L15" s="17"/>
      <c r="M15" s="143">
        <f t="shared" si="3"/>
        <v>704300.00000000023</v>
      </c>
      <c r="N15" s="17"/>
    </row>
    <row r="16" spans="1:18">
      <c r="A16" s="26">
        <v>13</v>
      </c>
      <c r="B16" s="27">
        <v>45943</v>
      </c>
      <c r="C16" s="17"/>
      <c r="D16" s="17">
        <v>4</v>
      </c>
      <c r="E16" s="17">
        <v>2000</v>
      </c>
      <c r="F16" s="17">
        <v>96.43</v>
      </c>
      <c r="G16" s="17">
        <f t="shared" si="0"/>
        <v>192860</v>
      </c>
      <c r="H16" s="17"/>
      <c r="I16" s="17"/>
      <c r="J16" s="17">
        <f t="shared" si="1"/>
        <v>0</v>
      </c>
      <c r="K16" s="17">
        <f t="shared" si="2"/>
        <v>192860</v>
      </c>
      <c r="L16" s="17"/>
      <c r="M16" s="143">
        <f t="shared" si="3"/>
        <v>897160.00000000023</v>
      </c>
      <c r="N16" s="17"/>
    </row>
    <row r="17" spans="1:14">
      <c r="A17" s="26">
        <v>14</v>
      </c>
      <c r="B17" s="27">
        <v>45944</v>
      </c>
      <c r="C17" s="17"/>
      <c r="D17" s="17">
        <v>5</v>
      </c>
      <c r="E17" s="17">
        <v>4800</v>
      </c>
      <c r="F17" s="17">
        <v>96.43</v>
      </c>
      <c r="G17" s="17">
        <f t="shared" si="0"/>
        <v>462864.00000000006</v>
      </c>
      <c r="H17" s="17"/>
      <c r="I17" s="17"/>
      <c r="J17" s="17">
        <f t="shared" si="1"/>
        <v>0</v>
      </c>
      <c r="K17" s="17">
        <f t="shared" si="2"/>
        <v>462864.00000000006</v>
      </c>
      <c r="L17" s="17"/>
      <c r="M17" s="143">
        <f t="shared" si="3"/>
        <v>1360024.0000000002</v>
      </c>
      <c r="N17" s="17"/>
    </row>
    <row r="18" spans="1:14">
      <c r="A18" s="26">
        <v>15</v>
      </c>
      <c r="B18" s="27">
        <v>45945</v>
      </c>
      <c r="C18" s="17"/>
      <c r="D18" s="17">
        <v>6</v>
      </c>
      <c r="E18" s="17">
        <v>4400</v>
      </c>
      <c r="F18" s="17">
        <v>96.43</v>
      </c>
      <c r="G18" s="17">
        <f t="shared" si="0"/>
        <v>424292.00000000006</v>
      </c>
      <c r="H18" s="17"/>
      <c r="I18" s="17"/>
      <c r="J18" s="17">
        <f t="shared" si="1"/>
        <v>0</v>
      </c>
      <c r="K18" s="17">
        <f t="shared" si="2"/>
        <v>424292.00000000006</v>
      </c>
      <c r="L18" s="17">
        <v>800000</v>
      </c>
      <c r="M18" s="143">
        <f t="shared" si="3"/>
        <v>984316.00000000023</v>
      </c>
      <c r="N18" s="17"/>
    </row>
    <row r="19" spans="1:14">
      <c r="A19" s="26">
        <v>16</v>
      </c>
      <c r="B19" s="27">
        <v>45946</v>
      </c>
      <c r="C19" s="17"/>
      <c r="D19" s="17">
        <v>7</v>
      </c>
      <c r="E19" s="17">
        <v>2400</v>
      </c>
      <c r="F19" s="17">
        <v>96.43</v>
      </c>
      <c r="G19" s="17">
        <f t="shared" si="0"/>
        <v>231432.00000000003</v>
      </c>
      <c r="H19" s="17"/>
      <c r="I19" s="17"/>
      <c r="J19" s="17">
        <f t="shared" si="1"/>
        <v>0</v>
      </c>
      <c r="K19" s="17">
        <f t="shared" si="2"/>
        <v>231432.00000000003</v>
      </c>
      <c r="L19" s="17"/>
      <c r="M19" s="143">
        <f t="shared" si="3"/>
        <v>1215748.0000000002</v>
      </c>
      <c r="N19" s="17"/>
    </row>
    <row r="20" spans="1:14">
      <c r="A20" s="26">
        <v>17</v>
      </c>
      <c r="B20" s="27">
        <v>45947</v>
      </c>
      <c r="C20" s="17"/>
      <c r="D20" s="17">
        <v>8</v>
      </c>
      <c r="E20" s="17">
        <v>2400</v>
      </c>
      <c r="F20" s="17">
        <v>96.43</v>
      </c>
      <c r="G20" s="17">
        <f t="shared" si="0"/>
        <v>231432.00000000003</v>
      </c>
      <c r="H20" s="17"/>
      <c r="I20" s="17"/>
      <c r="J20" s="17">
        <f t="shared" si="1"/>
        <v>0</v>
      </c>
      <c r="K20" s="17">
        <f t="shared" si="2"/>
        <v>231432.00000000003</v>
      </c>
      <c r="L20" s="17"/>
      <c r="M20" s="143">
        <f t="shared" si="3"/>
        <v>1447180.0000000002</v>
      </c>
      <c r="N20" s="17"/>
    </row>
    <row r="21" spans="1:14">
      <c r="A21" s="26">
        <v>18</v>
      </c>
      <c r="B21" s="27">
        <v>45948</v>
      </c>
      <c r="C21" s="17"/>
      <c r="D21" s="17">
        <v>9</v>
      </c>
      <c r="E21" s="110">
        <v>4300</v>
      </c>
      <c r="F21" s="347">
        <v>96.43</v>
      </c>
      <c r="G21" s="17">
        <f t="shared" si="0"/>
        <v>414649.00000000006</v>
      </c>
      <c r="H21" s="17"/>
      <c r="I21" s="17"/>
      <c r="J21" s="17">
        <f t="shared" si="1"/>
        <v>0</v>
      </c>
      <c r="K21" s="17">
        <f t="shared" si="2"/>
        <v>414649.00000000006</v>
      </c>
      <c r="L21" s="17"/>
      <c r="M21" s="143">
        <f t="shared" si="3"/>
        <v>1861829.0000000002</v>
      </c>
      <c r="N21" s="17"/>
    </row>
    <row r="22" spans="1:14">
      <c r="A22" s="26">
        <v>19</v>
      </c>
      <c r="B22" s="27">
        <v>45949</v>
      </c>
      <c r="C22" s="17"/>
      <c r="D22" s="17">
        <v>10</v>
      </c>
      <c r="E22" s="336">
        <v>4400</v>
      </c>
      <c r="F22" s="383">
        <v>96.43</v>
      </c>
      <c r="G22" s="17">
        <f t="shared" si="0"/>
        <v>424292.00000000006</v>
      </c>
      <c r="H22" s="17"/>
      <c r="I22" s="17"/>
      <c r="J22" s="17">
        <f t="shared" si="1"/>
        <v>0</v>
      </c>
      <c r="K22" s="17">
        <f>G22+J22</f>
        <v>424292.00000000006</v>
      </c>
      <c r="L22" s="17"/>
      <c r="M22" s="143">
        <f t="shared" si="3"/>
        <v>2286121.0000000005</v>
      </c>
      <c r="N22" s="17"/>
    </row>
    <row r="23" spans="1:14">
      <c r="A23" s="26">
        <v>20</v>
      </c>
      <c r="B23" s="27">
        <v>45950</v>
      </c>
      <c r="C23" s="17"/>
      <c r="D23" s="17"/>
      <c r="E23" s="17"/>
      <c r="F23" s="17"/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143">
        <f t="shared" si="3"/>
        <v>2286121.0000000005</v>
      </c>
      <c r="N23" s="17"/>
    </row>
    <row r="24" spans="1:14">
      <c r="A24" s="26">
        <v>21</v>
      </c>
      <c r="B24" s="27">
        <v>45951</v>
      </c>
      <c r="C24" s="17"/>
      <c r="D24" s="17">
        <v>11</v>
      </c>
      <c r="E24" s="17">
        <v>1500</v>
      </c>
      <c r="F24" s="17">
        <v>96.43</v>
      </c>
      <c r="G24" s="17">
        <f t="shared" si="0"/>
        <v>144645</v>
      </c>
      <c r="H24" s="17"/>
      <c r="I24" s="17"/>
      <c r="J24" s="17">
        <f t="shared" si="1"/>
        <v>0</v>
      </c>
      <c r="K24" s="17">
        <f t="shared" si="2"/>
        <v>144645</v>
      </c>
      <c r="L24" s="17"/>
      <c r="M24" s="143">
        <f t="shared" si="3"/>
        <v>2430766.0000000005</v>
      </c>
      <c r="N24" s="17"/>
    </row>
    <row r="25" spans="1:14">
      <c r="A25" s="26">
        <v>22</v>
      </c>
      <c r="B25" s="27">
        <v>45952</v>
      </c>
      <c r="C25" s="17"/>
      <c r="D25" s="17">
        <v>12</v>
      </c>
      <c r="E25" s="17">
        <v>2400</v>
      </c>
      <c r="F25" s="17">
        <v>96.43</v>
      </c>
      <c r="G25" s="17">
        <f t="shared" si="0"/>
        <v>231432.00000000003</v>
      </c>
      <c r="H25" s="17"/>
      <c r="I25" s="17"/>
      <c r="J25" s="17">
        <f t="shared" si="1"/>
        <v>0</v>
      </c>
      <c r="K25" s="17">
        <f t="shared" si="2"/>
        <v>231432.00000000003</v>
      </c>
      <c r="L25" s="17"/>
      <c r="M25" s="143">
        <f t="shared" si="3"/>
        <v>2662198.0000000005</v>
      </c>
      <c r="N25" s="17"/>
    </row>
    <row r="26" spans="1:14">
      <c r="A26" s="26">
        <v>23</v>
      </c>
      <c r="B26" s="27">
        <v>45953</v>
      </c>
      <c r="C26" s="17"/>
      <c r="D26" s="17">
        <v>13</v>
      </c>
      <c r="E26" s="17">
        <v>1400</v>
      </c>
      <c r="F26" s="17">
        <v>96.43</v>
      </c>
      <c r="G26" s="17">
        <f t="shared" si="0"/>
        <v>135002</v>
      </c>
      <c r="H26" s="17"/>
      <c r="I26" s="17"/>
      <c r="J26" s="17">
        <f t="shared" si="1"/>
        <v>0</v>
      </c>
      <c r="K26" s="17">
        <f t="shared" si="2"/>
        <v>135002</v>
      </c>
      <c r="L26" s="17"/>
      <c r="M26" s="143">
        <f t="shared" si="3"/>
        <v>2797200.0000000005</v>
      </c>
      <c r="N26" s="17"/>
    </row>
    <row r="27" spans="1:14">
      <c r="A27" s="26">
        <v>24</v>
      </c>
      <c r="B27" s="27">
        <v>45954</v>
      </c>
      <c r="C27" s="17"/>
      <c r="D27" s="17">
        <v>14</v>
      </c>
      <c r="E27" s="17">
        <v>2400</v>
      </c>
      <c r="F27" s="17">
        <v>96.43</v>
      </c>
      <c r="G27" s="17">
        <f t="shared" si="0"/>
        <v>231432.00000000003</v>
      </c>
      <c r="H27" s="17"/>
      <c r="I27" s="17"/>
      <c r="J27" s="17">
        <f t="shared" si="1"/>
        <v>0</v>
      </c>
      <c r="K27" s="17">
        <f t="shared" si="2"/>
        <v>231432.00000000003</v>
      </c>
      <c r="L27" s="17"/>
      <c r="M27" s="143">
        <f t="shared" si="3"/>
        <v>3028632.0000000005</v>
      </c>
      <c r="N27" s="17"/>
    </row>
    <row r="28" spans="1:14">
      <c r="A28" s="26">
        <v>25</v>
      </c>
      <c r="B28" s="27">
        <v>45955</v>
      </c>
      <c r="C28" s="17"/>
      <c r="D28" s="17">
        <v>15</v>
      </c>
      <c r="E28" s="17">
        <v>1600</v>
      </c>
      <c r="F28" s="17">
        <v>96.43</v>
      </c>
      <c r="G28" s="17">
        <f t="shared" si="0"/>
        <v>154288</v>
      </c>
      <c r="H28" s="17"/>
      <c r="I28" s="17"/>
      <c r="J28" s="17">
        <f t="shared" si="1"/>
        <v>0</v>
      </c>
      <c r="K28" s="17">
        <f t="shared" si="2"/>
        <v>154288</v>
      </c>
      <c r="L28" s="17"/>
      <c r="M28" s="143">
        <f t="shared" si="3"/>
        <v>3182920.0000000005</v>
      </c>
      <c r="N28" s="17"/>
    </row>
    <row r="29" spans="1:14">
      <c r="A29" s="26">
        <v>26</v>
      </c>
      <c r="B29" s="27">
        <v>45956</v>
      </c>
      <c r="C29" s="17"/>
      <c r="D29" s="17">
        <v>16</v>
      </c>
      <c r="E29" s="17">
        <v>2400</v>
      </c>
      <c r="F29" s="17">
        <v>96.43</v>
      </c>
      <c r="G29" s="17">
        <f t="shared" si="0"/>
        <v>231432.00000000003</v>
      </c>
      <c r="H29" s="17"/>
      <c r="I29" s="17"/>
      <c r="J29" s="17">
        <f t="shared" si="1"/>
        <v>0</v>
      </c>
      <c r="K29" s="17">
        <f t="shared" si="2"/>
        <v>231432.00000000003</v>
      </c>
      <c r="L29" s="17"/>
      <c r="M29" s="143">
        <f t="shared" si="3"/>
        <v>3414352.0000000005</v>
      </c>
      <c r="N29" s="17"/>
    </row>
    <row r="30" spans="1:14">
      <c r="A30" s="26">
        <v>27</v>
      </c>
      <c r="B30" s="27">
        <v>45957</v>
      </c>
      <c r="C30" s="17"/>
      <c r="D30" s="17">
        <v>17</v>
      </c>
      <c r="E30" s="17">
        <v>2400</v>
      </c>
      <c r="F30" s="17">
        <v>96.43</v>
      </c>
      <c r="G30" s="17">
        <f t="shared" si="0"/>
        <v>231432.00000000003</v>
      </c>
      <c r="H30" s="17"/>
      <c r="I30" s="17"/>
      <c r="J30" s="17">
        <f t="shared" si="1"/>
        <v>0</v>
      </c>
      <c r="K30" s="17">
        <f t="shared" si="2"/>
        <v>231432.00000000003</v>
      </c>
      <c r="L30" s="17"/>
      <c r="M30" s="143">
        <f t="shared" si="3"/>
        <v>3645784.0000000005</v>
      </c>
      <c r="N30" s="17"/>
    </row>
    <row r="31" spans="1:14">
      <c r="A31" s="26">
        <v>28</v>
      </c>
      <c r="B31" s="27">
        <v>45958</v>
      </c>
      <c r="C31" s="17"/>
      <c r="D31" s="17">
        <v>18</v>
      </c>
      <c r="E31" s="17">
        <v>1800</v>
      </c>
      <c r="F31" s="17">
        <v>96.43</v>
      </c>
      <c r="G31" s="17">
        <f t="shared" si="0"/>
        <v>173574</v>
      </c>
      <c r="H31" s="17"/>
      <c r="I31" s="17"/>
      <c r="J31" s="17">
        <f t="shared" si="1"/>
        <v>0</v>
      </c>
      <c r="K31" s="17">
        <f t="shared" si="2"/>
        <v>173574</v>
      </c>
      <c r="L31" s="17"/>
      <c r="M31" s="143">
        <f t="shared" si="3"/>
        <v>3819358.0000000005</v>
      </c>
      <c r="N31" s="17"/>
    </row>
    <row r="32" spans="1:14">
      <c r="A32" s="26">
        <v>29</v>
      </c>
      <c r="B32" s="27">
        <v>45959</v>
      </c>
      <c r="C32" s="17"/>
      <c r="D32" s="17">
        <v>19</v>
      </c>
      <c r="E32" s="17">
        <v>1000</v>
      </c>
      <c r="F32" s="17">
        <v>96.43</v>
      </c>
      <c r="G32" s="17">
        <f t="shared" si="0"/>
        <v>96430</v>
      </c>
      <c r="H32" s="17"/>
      <c r="I32" s="17"/>
      <c r="J32" s="17">
        <f t="shared" si="1"/>
        <v>0</v>
      </c>
      <c r="K32" s="17">
        <f t="shared" si="2"/>
        <v>96430</v>
      </c>
      <c r="L32" s="17"/>
      <c r="M32" s="143">
        <f t="shared" si="3"/>
        <v>3915788.0000000005</v>
      </c>
      <c r="N32" s="17"/>
    </row>
    <row r="33" spans="1:17">
      <c r="A33" s="26">
        <v>30</v>
      </c>
      <c r="B33" s="27">
        <v>45960</v>
      </c>
      <c r="C33" s="17"/>
      <c r="D33" s="17">
        <v>20</v>
      </c>
      <c r="E33" s="17">
        <v>1200</v>
      </c>
      <c r="F33" s="17">
        <v>96.43</v>
      </c>
      <c r="G33" s="17">
        <f t="shared" si="0"/>
        <v>115716.00000000001</v>
      </c>
      <c r="H33" s="17"/>
      <c r="I33" s="17"/>
      <c r="J33" s="17">
        <f t="shared" si="1"/>
        <v>0</v>
      </c>
      <c r="K33" s="17">
        <f t="shared" si="2"/>
        <v>115716.00000000001</v>
      </c>
      <c r="L33" s="17">
        <v>1900000</v>
      </c>
      <c r="M33" s="143">
        <f t="shared" si="3"/>
        <v>2131504.0000000005</v>
      </c>
      <c r="N33" s="17"/>
    </row>
    <row r="34" spans="1:17">
      <c r="A34" s="26">
        <v>31</v>
      </c>
      <c r="B34" s="27">
        <v>45961</v>
      </c>
      <c r="C34" s="17"/>
      <c r="D34" s="17">
        <v>21</v>
      </c>
      <c r="E34" s="17">
        <v>2000</v>
      </c>
      <c r="F34" s="17">
        <v>96.43</v>
      </c>
      <c r="G34" s="17">
        <f t="shared" si="0"/>
        <v>192860</v>
      </c>
      <c r="H34" s="17"/>
      <c r="I34" s="17"/>
      <c r="J34" s="17">
        <f t="shared" si="1"/>
        <v>0</v>
      </c>
      <c r="K34" s="17">
        <f t="shared" si="2"/>
        <v>192860</v>
      </c>
      <c r="L34" s="17"/>
      <c r="M34" s="143">
        <f t="shared" si="3"/>
        <v>2324364.0000000005</v>
      </c>
      <c r="N34" s="17"/>
      <c r="O34">
        <v>1688453.58</v>
      </c>
      <c r="P34">
        <v>1900671</v>
      </c>
      <c r="Q34">
        <f>P34-O34</f>
        <v>212217.41999999993</v>
      </c>
    </row>
    <row r="35" spans="1:17">
      <c r="A35" s="46"/>
      <c r="B35" s="46"/>
      <c r="C35" s="46"/>
      <c r="D35" s="46"/>
      <c r="E35" s="206">
        <f>SUM(E4:E34)</f>
        <v>51700</v>
      </c>
      <c r="F35" s="47"/>
      <c r="G35" s="206">
        <f>SUM(G4:G34)</f>
        <v>4985431</v>
      </c>
      <c r="H35" s="206">
        <f>SUM(H4:H34)</f>
        <v>0</v>
      </c>
      <c r="I35" s="47"/>
      <c r="J35" s="206">
        <f>SUM(J4:J34)</f>
        <v>0</v>
      </c>
      <c r="K35" s="206">
        <f>SUM(K4:K34)</f>
        <v>4985431</v>
      </c>
      <c r="L35" s="206">
        <f>SUM(L4:L34)</f>
        <v>2900000</v>
      </c>
      <c r="M35" s="47"/>
      <c r="N35" s="47"/>
      <c r="O35" s="33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topLeftCell="A21" workbookViewId="0">
      <selection activeCell="O38" sqref="O38"/>
    </sheetView>
  </sheetViews>
  <sheetFormatPr defaultRowHeight="15"/>
  <cols>
    <col min="2" max="2" width="10.42578125" customWidth="1"/>
    <col min="5" max="5" width="10.85546875" bestFit="1" customWidth="1"/>
    <col min="7" max="7" width="13.7109375" bestFit="1" customWidth="1"/>
    <col min="9" max="9" width="7.140625" bestFit="1" customWidth="1"/>
    <col min="10" max="10" width="13.140625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38" t="s">
        <v>22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 ht="45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65">
        <v>121213.36599999985</v>
      </c>
      <c r="N3" s="164"/>
      <c r="O3" s="65">
        <v>121213.36599999985</v>
      </c>
    </row>
    <row r="4" spans="1:18">
      <c r="A4" s="208">
        <v>1</v>
      </c>
      <c r="B4" s="234">
        <v>45931</v>
      </c>
      <c r="C4" s="73"/>
      <c r="D4" s="395">
        <v>1</v>
      </c>
      <c r="E4" s="275">
        <v>441</v>
      </c>
      <c r="F4" s="375">
        <v>97.1</v>
      </c>
      <c r="G4" s="8">
        <f t="shared" ref="G4" si="0">E4*F4</f>
        <v>42821.1</v>
      </c>
      <c r="H4" s="71">
        <v>5</v>
      </c>
      <c r="I4" s="326">
        <v>108.83</v>
      </c>
      <c r="J4" s="8">
        <f>H4*I4</f>
        <v>544.15</v>
      </c>
      <c r="K4" s="8">
        <f>G4+J4</f>
        <v>43365.25</v>
      </c>
      <c r="L4" s="74"/>
      <c r="M4" s="74">
        <f>+M3+K4-L4</f>
        <v>164578.61599999986</v>
      </c>
      <c r="N4" s="8"/>
    </row>
    <row r="5" spans="1:18">
      <c r="A5" s="50">
        <v>2</v>
      </c>
      <c r="B5" s="234">
        <v>45932</v>
      </c>
      <c r="C5" s="73"/>
      <c r="D5" s="395">
        <v>2</v>
      </c>
      <c r="E5" s="275">
        <v>33.799999999999997</v>
      </c>
      <c r="F5" s="375">
        <v>97.1</v>
      </c>
      <c r="G5" s="8">
        <f t="shared" ref="G5:G34" si="1">E5*F5</f>
        <v>3281.9799999999996</v>
      </c>
      <c r="H5" s="71">
        <v>5</v>
      </c>
      <c r="I5" s="326">
        <v>108.83</v>
      </c>
      <c r="J5" s="8">
        <f t="shared" ref="J5:J34" si="2">H5*I5</f>
        <v>544.15</v>
      </c>
      <c r="K5" s="8">
        <f t="shared" ref="K5:K34" si="3">G5+J5</f>
        <v>3826.1299999999997</v>
      </c>
      <c r="L5" s="74"/>
      <c r="M5" s="74">
        <f t="shared" ref="M5:M18" si="4">+M4+K5-L5</f>
        <v>168404.74599999987</v>
      </c>
      <c r="N5" s="8"/>
    </row>
    <row r="6" spans="1:18">
      <c r="A6" s="50">
        <v>3</v>
      </c>
      <c r="B6" s="234">
        <v>45933</v>
      </c>
      <c r="C6" s="73"/>
      <c r="D6" s="395">
        <v>3</v>
      </c>
      <c r="E6" s="275">
        <v>270.60000000000002</v>
      </c>
      <c r="F6" s="375">
        <v>97.1</v>
      </c>
      <c r="G6" s="43">
        <f t="shared" si="1"/>
        <v>26275.260000000002</v>
      </c>
      <c r="H6" s="71">
        <v>10</v>
      </c>
      <c r="I6" s="326">
        <v>108.83</v>
      </c>
      <c r="J6" s="8">
        <f t="shared" si="2"/>
        <v>1088.3</v>
      </c>
      <c r="K6" s="8">
        <f t="shared" si="3"/>
        <v>27363.56</v>
      </c>
      <c r="L6" s="74"/>
      <c r="M6" s="74">
        <f t="shared" si="4"/>
        <v>195768.30599999987</v>
      </c>
      <c r="N6" s="8"/>
    </row>
    <row r="7" spans="1:18">
      <c r="A7" s="50">
        <v>4</v>
      </c>
      <c r="B7" s="234">
        <v>45934</v>
      </c>
      <c r="C7" s="73"/>
      <c r="D7" s="395">
        <v>4</v>
      </c>
      <c r="E7" s="275">
        <v>683.4</v>
      </c>
      <c r="F7" s="375">
        <v>97.1</v>
      </c>
      <c r="G7" s="8">
        <f t="shared" si="1"/>
        <v>66358.14</v>
      </c>
      <c r="H7" s="71">
        <v>7</v>
      </c>
      <c r="I7" s="326">
        <v>108.83</v>
      </c>
      <c r="J7" s="8">
        <f t="shared" si="2"/>
        <v>761.81</v>
      </c>
      <c r="K7" s="8">
        <f t="shared" si="3"/>
        <v>67119.95</v>
      </c>
      <c r="L7" s="74"/>
      <c r="M7" s="74">
        <f t="shared" si="4"/>
        <v>262888.25599999988</v>
      </c>
      <c r="N7" s="8"/>
    </row>
    <row r="8" spans="1:18">
      <c r="A8" s="50">
        <v>5</v>
      </c>
      <c r="B8" s="234">
        <v>45935</v>
      </c>
      <c r="C8" s="73"/>
      <c r="D8" s="395">
        <v>5</v>
      </c>
      <c r="E8" s="275">
        <v>160</v>
      </c>
      <c r="F8" s="375">
        <v>97.1</v>
      </c>
      <c r="G8" s="8">
        <f t="shared" si="1"/>
        <v>15536</v>
      </c>
      <c r="H8" s="71"/>
      <c r="I8" s="72"/>
      <c r="J8" s="8">
        <f t="shared" si="2"/>
        <v>0</v>
      </c>
      <c r="K8" s="8">
        <f t="shared" si="3"/>
        <v>15536</v>
      </c>
      <c r="L8" s="74"/>
      <c r="M8" s="74">
        <f t="shared" si="4"/>
        <v>278424.25599999988</v>
      </c>
      <c r="N8" s="8"/>
      <c r="O8" s="75"/>
      <c r="R8" s="241"/>
    </row>
    <row r="9" spans="1:18">
      <c r="A9" s="50">
        <v>6</v>
      </c>
      <c r="B9" s="234">
        <v>45936</v>
      </c>
      <c r="C9" s="73"/>
      <c r="D9" s="395">
        <v>6</v>
      </c>
      <c r="E9" s="275">
        <v>809.25</v>
      </c>
      <c r="F9" s="375">
        <v>97.1</v>
      </c>
      <c r="G9" s="8">
        <f t="shared" si="1"/>
        <v>78578.174999999988</v>
      </c>
      <c r="H9" s="71"/>
      <c r="I9" s="72"/>
      <c r="J9" s="8">
        <f t="shared" si="2"/>
        <v>0</v>
      </c>
      <c r="K9" s="8">
        <f t="shared" si="3"/>
        <v>78578.174999999988</v>
      </c>
      <c r="L9" s="74"/>
      <c r="M9" s="74">
        <f t="shared" si="4"/>
        <v>357002.43099999987</v>
      </c>
      <c r="N9" s="8"/>
      <c r="O9" s="75"/>
    </row>
    <row r="10" spans="1:18">
      <c r="A10" s="50">
        <v>7</v>
      </c>
      <c r="B10" s="234">
        <v>45937</v>
      </c>
      <c r="C10" s="73"/>
      <c r="D10" s="395">
        <v>7</v>
      </c>
      <c r="E10" s="275">
        <v>647.66999999999996</v>
      </c>
      <c r="F10" s="375">
        <v>97.1</v>
      </c>
      <c r="G10" s="8">
        <f t="shared" si="1"/>
        <v>62888.756999999991</v>
      </c>
      <c r="H10" s="71">
        <v>6</v>
      </c>
      <c r="I10" s="326">
        <v>108.83</v>
      </c>
      <c r="J10" s="8">
        <f t="shared" si="2"/>
        <v>652.98</v>
      </c>
      <c r="K10" s="8">
        <f t="shared" si="3"/>
        <v>63541.736999999994</v>
      </c>
      <c r="L10" s="74"/>
      <c r="M10" s="74">
        <f t="shared" si="4"/>
        <v>420544.16799999983</v>
      </c>
      <c r="N10" s="8"/>
      <c r="O10" s="75"/>
    </row>
    <row r="11" spans="1:18">
      <c r="A11" s="50">
        <v>8</v>
      </c>
      <c r="B11" s="234">
        <v>45938</v>
      </c>
      <c r="C11" s="73"/>
      <c r="D11" s="395">
        <v>8</v>
      </c>
      <c r="E11" s="275">
        <v>466.71</v>
      </c>
      <c r="F11" s="375">
        <v>97.1</v>
      </c>
      <c r="G11" s="8">
        <f t="shared" si="1"/>
        <v>45317.540999999997</v>
      </c>
      <c r="H11" s="71">
        <v>5</v>
      </c>
      <c r="I11" s="326">
        <v>108.83</v>
      </c>
      <c r="J11" s="8">
        <f t="shared" si="2"/>
        <v>544.15</v>
      </c>
      <c r="K11" s="8">
        <f t="shared" si="3"/>
        <v>45861.690999999999</v>
      </c>
      <c r="L11" s="74"/>
      <c r="M11" s="74">
        <f t="shared" si="4"/>
        <v>466405.85899999982</v>
      </c>
      <c r="N11" s="8"/>
      <c r="O11" s="75"/>
    </row>
    <row r="12" spans="1:18">
      <c r="A12" s="50">
        <v>9</v>
      </c>
      <c r="B12" s="234">
        <v>45939</v>
      </c>
      <c r="C12" s="73"/>
      <c r="D12" s="395">
        <v>9</v>
      </c>
      <c r="E12" s="275">
        <v>712.49</v>
      </c>
      <c r="F12" s="375">
        <v>97.1</v>
      </c>
      <c r="G12" s="8">
        <f t="shared" si="1"/>
        <v>69182.778999999995</v>
      </c>
      <c r="H12" s="71"/>
      <c r="I12" s="72"/>
      <c r="J12" s="8">
        <f t="shared" si="2"/>
        <v>0</v>
      </c>
      <c r="K12" s="8">
        <f t="shared" si="3"/>
        <v>69182.778999999995</v>
      </c>
      <c r="L12" s="74"/>
      <c r="M12" s="74">
        <f t="shared" si="4"/>
        <v>535588.6379999998</v>
      </c>
      <c r="N12" s="8"/>
      <c r="O12" s="75"/>
    </row>
    <row r="13" spans="1:18">
      <c r="A13" s="50">
        <v>10</v>
      </c>
      <c r="B13" s="234">
        <v>45940</v>
      </c>
      <c r="C13" s="73"/>
      <c r="D13" s="395">
        <v>10</v>
      </c>
      <c r="E13" s="275">
        <v>284</v>
      </c>
      <c r="F13" s="375">
        <v>97.1</v>
      </c>
      <c r="G13" s="8">
        <f t="shared" si="1"/>
        <v>27576.399999999998</v>
      </c>
      <c r="H13" s="71"/>
      <c r="I13" s="72"/>
      <c r="J13" s="8">
        <f t="shared" si="2"/>
        <v>0</v>
      </c>
      <c r="K13" s="8">
        <f t="shared" si="3"/>
        <v>27576.399999999998</v>
      </c>
      <c r="L13" s="74">
        <v>150000</v>
      </c>
      <c r="M13" s="74">
        <f t="shared" si="4"/>
        <v>413165.03799999983</v>
      </c>
      <c r="N13" s="8"/>
      <c r="O13" s="75"/>
    </row>
    <row r="14" spans="1:18">
      <c r="A14" s="50">
        <v>11</v>
      </c>
      <c r="B14" s="234">
        <v>45941</v>
      </c>
      <c r="C14" s="73"/>
      <c r="D14" s="395">
        <v>11</v>
      </c>
      <c r="E14" s="275">
        <v>511.11</v>
      </c>
      <c r="F14" s="375">
        <v>97.1</v>
      </c>
      <c r="G14" s="8">
        <f t="shared" si="1"/>
        <v>49628.780999999995</v>
      </c>
      <c r="H14" s="71">
        <v>0</v>
      </c>
      <c r="I14" s="326">
        <v>108.83</v>
      </c>
      <c r="J14" s="8">
        <f t="shared" si="2"/>
        <v>0</v>
      </c>
      <c r="K14" s="8">
        <f t="shared" si="3"/>
        <v>49628.780999999995</v>
      </c>
      <c r="L14" s="74"/>
      <c r="M14" s="74">
        <f t="shared" si="4"/>
        <v>462793.81899999984</v>
      </c>
      <c r="N14" s="8"/>
      <c r="O14" s="75"/>
    </row>
    <row r="15" spans="1:18">
      <c r="A15" s="50">
        <v>12</v>
      </c>
      <c r="B15" s="234">
        <v>45942</v>
      </c>
      <c r="C15" s="73"/>
      <c r="D15" s="395">
        <v>12</v>
      </c>
      <c r="E15" s="275"/>
      <c r="F15" s="275"/>
      <c r="G15" s="8">
        <f t="shared" si="1"/>
        <v>0</v>
      </c>
      <c r="H15" s="71">
        <v>28</v>
      </c>
      <c r="I15" s="326">
        <v>108.83</v>
      </c>
      <c r="J15" s="8">
        <f t="shared" si="2"/>
        <v>3047.24</v>
      </c>
      <c r="K15" s="8">
        <f t="shared" si="3"/>
        <v>3047.24</v>
      </c>
      <c r="L15" s="74"/>
      <c r="M15" s="74">
        <f t="shared" si="4"/>
        <v>465841.05899999983</v>
      </c>
      <c r="N15" s="8"/>
      <c r="O15" s="75"/>
    </row>
    <row r="16" spans="1:18">
      <c r="A16" s="50">
        <v>13</v>
      </c>
      <c r="B16" s="234">
        <v>45943</v>
      </c>
      <c r="C16" s="73"/>
      <c r="D16" s="396">
        <v>13</v>
      </c>
      <c r="E16" s="275">
        <v>575.42999999999995</v>
      </c>
      <c r="F16" s="375">
        <v>97.1</v>
      </c>
      <c r="G16" s="8">
        <f t="shared" si="1"/>
        <v>55874.25299999999</v>
      </c>
      <c r="H16" s="71">
        <v>5</v>
      </c>
      <c r="I16" s="326">
        <v>108.83</v>
      </c>
      <c r="J16" s="8">
        <f t="shared" si="2"/>
        <v>544.15</v>
      </c>
      <c r="K16" s="8">
        <f t="shared" si="3"/>
        <v>56418.402999999991</v>
      </c>
      <c r="L16" s="74"/>
      <c r="M16" s="74">
        <f t="shared" si="4"/>
        <v>522259.46199999982</v>
      </c>
      <c r="N16" s="8"/>
      <c r="O16" s="75"/>
    </row>
    <row r="17" spans="1:17">
      <c r="A17" s="50">
        <v>14</v>
      </c>
      <c r="B17" s="234">
        <v>45944</v>
      </c>
      <c r="C17" s="73"/>
      <c r="D17" s="395">
        <v>14</v>
      </c>
      <c r="E17" s="275">
        <v>118</v>
      </c>
      <c r="F17" s="375">
        <v>97.1</v>
      </c>
      <c r="G17" s="8">
        <f t="shared" si="1"/>
        <v>11457.8</v>
      </c>
      <c r="H17" s="71">
        <v>3</v>
      </c>
      <c r="I17" s="326">
        <v>108.83</v>
      </c>
      <c r="J17" s="8">
        <f t="shared" si="2"/>
        <v>326.49</v>
      </c>
      <c r="K17" s="8">
        <f t="shared" si="3"/>
        <v>11784.289999999999</v>
      </c>
      <c r="L17" s="74"/>
      <c r="M17" s="74">
        <f t="shared" si="4"/>
        <v>534043.75199999986</v>
      </c>
      <c r="N17" s="8"/>
      <c r="O17" s="75"/>
    </row>
    <row r="18" spans="1:17">
      <c r="A18" s="50">
        <v>15</v>
      </c>
      <c r="B18" s="234">
        <v>45945</v>
      </c>
      <c r="C18" s="73"/>
      <c r="D18" s="395">
        <v>15</v>
      </c>
      <c r="E18" s="275">
        <v>18</v>
      </c>
      <c r="F18" s="375">
        <v>97.1</v>
      </c>
      <c r="G18" s="8">
        <f t="shared" si="1"/>
        <v>1747.8</v>
      </c>
      <c r="H18" s="71"/>
      <c r="I18" s="72"/>
      <c r="J18" s="8">
        <f t="shared" si="2"/>
        <v>0</v>
      </c>
      <c r="K18" s="8">
        <f t="shared" si="3"/>
        <v>1747.8</v>
      </c>
      <c r="L18" s="74">
        <v>200000</v>
      </c>
      <c r="M18" s="74">
        <f t="shared" si="4"/>
        <v>335791.55199999991</v>
      </c>
      <c r="N18" s="192"/>
      <c r="O18" s="75"/>
    </row>
    <row r="19" spans="1:17">
      <c r="A19" s="50">
        <v>16</v>
      </c>
      <c r="B19" s="234">
        <v>45946</v>
      </c>
      <c r="C19" s="73"/>
      <c r="D19" s="395">
        <v>16</v>
      </c>
      <c r="E19" s="275">
        <v>12</v>
      </c>
      <c r="F19" s="375">
        <v>97.1</v>
      </c>
      <c r="G19" s="8">
        <f t="shared" si="1"/>
        <v>1165.1999999999998</v>
      </c>
      <c r="H19" s="71">
        <v>5</v>
      </c>
      <c r="I19" s="326">
        <v>108.83</v>
      </c>
      <c r="J19" s="8">
        <f t="shared" si="2"/>
        <v>544.15</v>
      </c>
      <c r="K19" s="8">
        <f t="shared" si="3"/>
        <v>1709.35</v>
      </c>
      <c r="L19" s="74"/>
      <c r="M19" s="306">
        <f t="shared" ref="M19:M34" si="5">+M18+K19-L19</f>
        <v>337500.90199999989</v>
      </c>
      <c r="N19" s="305" t="s">
        <v>112</v>
      </c>
      <c r="O19" s="75"/>
    </row>
    <row r="20" spans="1:17">
      <c r="A20" s="50">
        <v>17</v>
      </c>
      <c r="B20" s="234">
        <v>45947</v>
      </c>
      <c r="C20" s="73"/>
      <c r="D20" s="395">
        <v>17</v>
      </c>
      <c r="E20" s="275">
        <v>50</v>
      </c>
      <c r="F20" s="375">
        <v>97.1</v>
      </c>
      <c r="G20" s="8">
        <f t="shared" si="1"/>
        <v>4855</v>
      </c>
      <c r="H20" s="71"/>
      <c r="I20" s="72"/>
      <c r="J20" s="8">
        <f t="shared" si="2"/>
        <v>0</v>
      </c>
      <c r="K20" s="8">
        <f t="shared" si="3"/>
        <v>4855</v>
      </c>
      <c r="L20" s="74"/>
      <c r="M20" s="74">
        <f t="shared" si="5"/>
        <v>342355.90199999989</v>
      </c>
      <c r="N20" s="19"/>
      <c r="O20" s="75"/>
    </row>
    <row r="21" spans="1:17">
      <c r="A21" s="50">
        <v>18</v>
      </c>
      <c r="B21" s="234">
        <v>45948</v>
      </c>
      <c r="C21" s="73"/>
      <c r="D21" s="395">
        <v>18</v>
      </c>
      <c r="E21" s="386">
        <v>111</v>
      </c>
      <c r="F21" s="375">
        <v>97.1</v>
      </c>
      <c r="G21" s="8">
        <f t="shared" si="1"/>
        <v>10778.099999999999</v>
      </c>
      <c r="H21" s="71">
        <v>5</v>
      </c>
      <c r="I21" s="326">
        <v>108.83</v>
      </c>
      <c r="J21" s="8">
        <f t="shared" si="2"/>
        <v>544.15</v>
      </c>
      <c r="K21" s="8">
        <f t="shared" si="3"/>
        <v>11322.249999999998</v>
      </c>
      <c r="L21" s="74"/>
      <c r="M21" s="74">
        <f t="shared" si="5"/>
        <v>353678.15199999989</v>
      </c>
      <c r="N21" s="8"/>
      <c r="O21" s="75"/>
    </row>
    <row r="22" spans="1:17">
      <c r="A22" s="50">
        <v>19</v>
      </c>
      <c r="B22" s="234">
        <v>45949</v>
      </c>
      <c r="C22" s="73"/>
      <c r="D22" s="395">
        <v>19</v>
      </c>
      <c r="E22" s="386">
        <f>35+20</f>
        <v>55</v>
      </c>
      <c r="F22" s="375">
        <v>97.1</v>
      </c>
      <c r="G22" s="8">
        <f t="shared" si="1"/>
        <v>5340.5</v>
      </c>
      <c r="H22" s="71"/>
      <c r="I22" s="72"/>
      <c r="J22" s="8">
        <f t="shared" si="2"/>
        <v>0</v>
      </c>
      <c r="K22" s="8">
        <f t="shared" si="3"/>
        <v>5340.5</v>
      </c>
      <c r="L22" s="74"/>
      <c r="M22" s="74">
        <f t="shared" si="5"/>
        <v>359018.65199999989</v>
      </c>
      <c r="N22" s="8"/>
      <c r="O22" s="75"/>
      <c r="Q22" s="22"/>
    </row>
    <row r="23" spans="1:17">
      <c r="A23" s="50">
        <v>20</v>
      </c>
      <c r="B23" s="234">
        <v>45950</v>
      </c>
      <c r="C23" s="73"/>
      <c r="D23" s="395">
        <v>20</v>
      </c>
      <c r="E23" s="386">
        <v>0</v>
      </c>
      <c r="F23" s="375">
        <v>97.1</v>
      </c>
      <c r="G23" s="8">
        <f t="shared" si="1"/>
        <v>0</v>
      </c>
      <c r="H23" s="71">
        <v>5</v>
      </c>
      <c r="I23" s="326">
        <v>108.83</v>
      </c>
      <c r="J23" s="8">
        <f t="shared" si="2"/>
        <v>544.15</v>
      </c>
      <c r="K23" s="8">
        <f t="shared" si="3"/>
        <v>544.15</v>
      </c>
      <c r="L23" s="74"/>
      <c r="M23" s="74">
        <f t="shared" si="5"/>
        <v>359562.80199999991</v>
      </c>
      <c r="N23" s="8"/>
      <c r="O23" s="75"/>
    </row>
    <row r="24" spans="1:17">
      <c r="A24" s="50">
        <v>21</v>
      </c>
      <c r="B24" s="234">
        <v>45951</v>
      </c>
      <c r="C24" s="73"/>
      <c r="D24" s="395">
        <v>21</v>
      </c>
      <c r="E24" s="275"/>
      <c r="F24" s="275"/>
      <c r="G24" s="8">
        <f t="shared" si="1"/>
        <v>0</v>
      </c>
      <c r="H24" s="71">
        <v>10</v>
      </c>
      <c r="I24" s="326">
        <v>108.83</v>
      </c>
      <c r="J24" s="8">
        <f t="shared" si="2"/>
        <v>1088.3</v>
      </c>
      <c r="K24" s="8">
        <f t="shared" si="3"/>
        <v>1088.3</v>
      </c>
      <c r="L24" s="74"/>
      <c r="M24" s="74">
        <f t="shared" si="5"/>
        <v>360651.1019999999</v>
      </c>
      <c r="N24" s="8"/>
      <c r="O24" s="75"/>
    </row>
    <row r="25" spans="1:17">
      <c r="A25" s="50">
        <v>22</v>
      </c>
      <c r="B25" s="234">
        <v>45952</v>
      </c>
      <c r="C25" s="73"/>
      <c r="D25" s="395">
        <v>22</v>
      </c>
      <c r="E25" s="275">
        <v>373</v>
      </c>
      <c r="F25" s="375">
        <v>97.1</v>
      </c>
      <c r="G25" s="8">
        <f t="shared" si="1"/>
        <v>36218.299999999996</v>
      </c>
      <c r="H25" s="71">
        <v>5</v>
      </c>
      <c r="I25" s="326">
        <v>108.83</v>
      </c>
      <c r="J25" s="8">
        <f t="shared" si="2"/>
        <v>544.15</v>
      </c>
      <c r="K25" s="8">
        <f t="shared" si="3"/>
        <v>36762.449999999997</v>
      </c>
      <c r="L25" s="74"/>
      <c r="M25" s="74">
        <f t="shared" si="5"/>
        <v>397413.55199999991</v>
      </c>
      <c r="N25" s="8"/>
      <c r="O25" s="75"/>
    </row>
    <row r="26" spans="1:17">
      <c r="A26" s="50">
        <v>23</v>
      </c>
      <c r="B26" s="234">
        <v>45953</v>
      </c>
      <c r="C26" s="73"/>
      <c r="D26" s="395">
        <v>23</v>
      </c>
      <c r="E26" s="275">
        <v>238</v>
      </c>
      <c r="F26" s="375">
        <v>97.1</v>
      </c>
      <c r="G26" s="8">
        <f t="shared" si="1"/>
        <v>23109.8</v>
      </c>
      <c r="H26" s="71">
        <v>5</v>
      </c>
      <c r="I26" s="326">
        <v>108.83</v>
      </c>
      <c r="J26" s="8">
        <f t="shared" si="2"/>
        <v>544.15</v>
      </c>
      <c r="K26" s="8">
        <f t="shared" si="3"/>
        <v>23653.95</v>
      </c>
      <c r="L26" s="74"/>
      <c r="M26" s="74">
        <f t="shared" si="5"/>
        <v>421067.50199999992</v>
      </c>
      <c r="N26" s="8"/>
      <c r="O26" s="75"/>
    </row>
    <row r="27" spans="1:17">
      <c r="A27" s="50">
        <v>24</v>
      </c>
      <c r="B27" s="234">
        <v>45954</v>
      </c>
      <c r="C27" s="73"/>
      <c r="D27" s="395">
        <v>24</v>
      </c>
      <c r="E27" s="275">
        <v>710.25</v>
      </c>
      <c r="F27" s="375">
        <v>97.1</v>
      </c>
      <c r="G27" s="8">
        <f t="shared" si="1"/>
        <v>68965.274999999994</v>
      </c>
      <c r="H27" s="71"/>
      <c r="I27" s="72"/>
      <c r="J27" s="8">
        <f t="shared" si="2"/>
        <v>0</v>
      </c>
      <c r="K27" s="8">
        <f t="shared" si="3"/>
        <v>68965.274999999994</v>
      </c>
      <c r="L27" s="74"/>
      <c r="M27" s="74">
        <f t="shared" si="5"/>
        <v>490032.77699999989</v>
      </c>
      <c r="N27" s="8"/>
      <c r="O27" s="75"/>
    </row>
    <row r="28" spans="1:17">
      <c r="A28" s="236">
        <v>25</v>
      </c>
      <c r="B28" s="234">
        <v>45955</v>
      </c>
      <c r="C28" s="73"/>
      <c r="D28" s="395"/>
      <c r="E28" s="275"/>
      <c r="F28" s="375">
        <v>97.1</v>
      </c>
      <c r="G28" s="8">
        <f t="shared" si="1"/>
        <v>0</v>
      </c>
      <c r="H28" s="71"/>
      <c r="I28" s="72"/>
      <c r="J28" s="8">
        <f t="shared" si="2"/>
        <v>0</v>
      </c>
      <c r="K28" s="8">
        <f t="shared" si="3"/>
        <v>0</v>
      </c>
      <c r="L28" s="74"/>
      <c r="M28" s="74">
        <f t="shared" si="5"/>
        <v>490032.77699999989</v>
      </c>
      <c r="N28" s="8"/>
      <c r="O28" s="75"/>
    </row>
    <row r="29" spans="1:17">
      <c r="A29" s="236">
        <v>26</v>
      </c>
      <c r="B29" s="234">
        <v>45956</v>
      </c>
      <c r="C29" s="73"/>
      <c r="D29" s="395">
        <v>25</v>
      </c>
      <c r="E29" s="275">
        <v>20</v>
      </c>
      <c r="F29" s="375">
        <v>97.1</v>
      </c>
      <c r="G29" s="8">
        <f t="shared" si="1"/>
        <v>1942</v>
      </c>
      <c r="H29" s="71">
        <v>5</v>
      </c>
      <c r="I29" s="72">
        <v>108.83</v>
      </c>
      <c r="J29" s="8">
        <f t="shared" si="2"/>
        <v>544.15</v>
      </c>
      <c r="K29" s="8">
        <f t="shared" si="3"/>
        <v>2486.15</v>
      </c>
      <c r="L29" s="74"/>
      <c r="M29" s="74">
        <f t="shared" si="5"/>
        <v>492518.92699999991</v>
      </c>
      <c r="N29" s="8"/>
      <c r="O29" s="75"/>
    </row>
    <row r="30" spans="1:17">
      <c r="A30" s="236">
        <v>27</v>
      </c>
      <c r="B30" s="234">
        <v>45957</v>
      </c>
      <c r="C30" s="73"/>
      <c r="D30" s="395">
        <v>26</v>
      </c>
      <c r="E30" s="275">
        <v>135</v>
      </c>
      <c r="F30" s="375">
        <v>97.1</v>
      </c>
      <c r="G30" s="8">
        <f t="shared" si="1"/>
        <v>13108.5</v>
      </c>
      <c r="H30" s="71"/>
      <c r="I30" s="72"/>
      <c r="J30" s="8">
        <f t="shared" si="2"/>
        <v>0</v>
      </c>
      <c r="K30" s="8">
        <f t="shared" si="3"/>
        <v>13108.5</v>
      </c>
      <c r="L30" s="74"/>
      <c r="M30" s="74">
        <f t="shared" si="5"/>
        <v>505627.42699999991</v>
      </c>
      <c r="N30" s="8"/>
      <c r="O30" s="75"/>
    </row>
    <row r="31" spans="1:17">
      <c r="A31" s="236">
        <v>28</v>
      </c>
      <c r="B31" s="234">
        <v>45958</v>
      </c>
      <c r="C31" s="73"/>
      <c r="D31" s="395">
        <v>27</v>
      </c>
      <c r="E31" s="275">
        <v>176</v>
      </c>
      <c r="F31" s="375">
        <v>97.1</v>
      </c>
      <c r="G31" s="8">
        <f t="shared" si="1"/>
        <v>17089.599999999999</v>
      </c>
      <c r="H31" s="71">
        <v>5</v>
      </c>
      <c r="I31" s="72">
        <v>108.83</v>
      </c>
      <c r="J31" s="8">
        <f t="shared" si="2"/>
        <v>544.15</v>
      </c>
      <c r="K31" s="8">
        <f t="shared" si="3"/>
        <v>17633.75</v>
      </c>
      <c r="L31" s="74"/>
      <c r="M31" s="74">
        <f t="shared" si="5"/>
        <v>523261.17699999991</v>
      </c>
      <c r="N31" s="8"/>
      <c r="O31" s="75"/>
    </row>
    <row r="32" spans="1:17">
      <c r="A32" s="237">
        <v>29</v>
      </c>
      <c r="B32" s="234">
        <v>45959</v>
      </c>
      <c r="C32" s="73"/>
      <c r="D32" s="395">
        <v>28</v>
      </c>
      <c r="E32" s="275">
        <v>200</v>
      </c>
      <c r="F32" s="375">
        <v>97.1</v>
      </c>
      <c r="G32" s="8">
        <f t="shared" si="1"/>
        <v>19420</v>
      </c>
      <c r="H32" s="71">
        <v>10</v>
      </c>
      <c r="I32" s="72">
        <v>108.83</v>
      </c>
      <c r="J32" s="8">
        <f t="shared" si="2"/>
        <v>1088.3</v>
      </c>
      <c r="K32" s="8">
        <f t="shared" si="3"/>
        <v>20508.3</v>
      </c>
      <c r="L32" s="74"/>
      <c r="M32" s="74">
        <f t="shared" si="5"/>
        <v>543769.47699999996</v>
      </c>
      <c r="N32" s="8"/>
      <c r="O32" s="75"/>
    </row>
    <row r="33" spans="1:15">
      <c r="A33" s="237">
        <v>30</v>
      </c>
      <c r="B33" s="234">
        <v>45960</v>
      </c>
      <c r="C33" s="73"/>
      <c r="D33" s="395"/>
      <c r="E33" s="275"/>
      <c r="F33" s="275"/>
      <c r="G33" s="8">
        <f t="shared" si="1"/>
        <v>0</v>
      </c>
      <c r="H33" s="71"/>
      <c r="I33" s="72"/>
      <c r="J33" s="8">
        <f t="shared" si="2"/>
        <v>0</v>
      </c>
      <c r="K33" s="8">
        <f t="shared" si="3"/>
        <v>0</v>
      </c>
      <c r="L33" s="74">
        <v>350000</v>
      </c>
      <c r="M33" s="74">
        <f t="shared" si="5"/>
        <v>193769.47699999996</v>
      </c>
      <c r="N33" s="8"/>
      <c r="O33" s="75"/>
    </row>
    <row r="34" spans="1:15">
      <c r="A34" s="237">
        <v>31</v>
      </c>
      <c r="B34" s="234">
        <v>45961</v>
      </c>
      <c r="C34" s="73"/>
      <c r="D34" s="395"/>
      <c r="E34" s="275"/>
      <c r="F34" s="275"/>
      <c r="G34" s="8">
        <f t="shared" si="1"/>
        <v>0</v>
      </c>
      <c r="H34" s="71"/>
      <c r="I34" s="72"/>
      <c r="J34" s="8">
        <f t="shared" si="2"/>
        <v>0</v>
      </c>
      <c r="K34" s="8">
        <f t="shared" si="3"/>
        <v>0</v>
      </c>
      <c r="L34" s="74"/>
      <c r="M34" s="74">
        <f t="shared" si="5"/>
        <v>193769.47699999996</v>
      </c>
      <c r="N34" s="8"/>
      <c r="O34" s="75"/>
    </row>
    <row r="35" spans="1:15">
      <c r="A35" s="68"/>
      <c r="B35" s="68"/>
      <c r="C35" s="68"/>
      <c r="D35" s="68"/>
      <c r="E35" s="276">
        <f>SUM(E4:E34)</f>
        <v>7811.71</v>
      </c>
      <c r="F35" s="276"/>
      <c r="G35" s="69">
        <f>SUM(G4:G34)</f>
        <v>758517.04100000008</v>
      </c>
      <c r="H35" s="69">
        <f>SUM(H4:H34)</f>
        <v>129</v>
      </c>
      <c r="I35" s="69"/>
      <c r="J35" s="69">
        <f>SUM(J4:J34)</f>
        <v>14039.069999999996</v>
      </c>
      <c r="K35" s="69">
        <f>SUM(K4:K34)</f>
        <v>772556.11100000015</v>
      </c>
      <c r="L35" s="69">
        <f>SUM(L4:L34)</f>
        <v>700000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A3EE-65D5-4D13-AD57-D03C52105DD6}">
  <dimension ref="A1:R44"/>
  <sheetViews>
    <sheetView workbookViewId="0">
      <selection activeCell="O10" sqref="O10"/>
    </sheetView>
  </sheetViews>
  <sheetFormatPr defaultRowHeight="15"/>
  <cols>
    <col min="7" max="7" width="11.85546875" bestFit="1" customWidth="1"/>
    <col min="11" max="12" width="13.5703125" bestFit="1" customWidth="1"/>
    <col min="13" max="13" width="11.85546875" bestFit="1" customWidth="1"/>
    <col min="15" max="15" width="12" customWidth="1"/>
  </cols>
  <sheetData>
    <row r="1" spans="1:18" ht="15.75">
      <c r="A1" s="438" t="s">
        <v>113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 ht="45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132273.53599999999</v>
      </c>
      <c r="N3" s="164"/>
      <c r="O3" s="65"/>
    </row>
    <row r="4" spans="1:18">
      <c r="A4" s="208">
        <v>1</v>
      </c>
      <c r="B4" s="234">
        <v>45931</v>
      </c>
      <c r="C4" s="73"/>
      <c r="D4" s="167"/>
      <c r="E4" s="275"/>
      <c r="F4" s="275"/>
      <c r="G4" s="8">
        <f t="shared" ref="G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132273.53599999999</v>
      </c>
      <c r="N4" s="8"/>
    </row>
    <row r="5" spans="1:18">
      <c r="A5" s="50">
        <v>2</v>
      </c>
      <c r="B5" s="234">
        <v>45932</v>
      </c>
      <c r="C5" s="73"/>
      <c r="D5" s="167"/>
      <c r="E5" s="275"/>
      <c r="F5" s="275"/>
      <c r="G5" s="8">
        <f t="shared" ref="G5:G10" si="1">E5*F5</f>
        <v>0</v>
      </c>
      <c r="H5" s="71">
        <v>0</v>
      </c>
      <c r="I5" s="72">
        <v>0</v>
      </c>
      <c r="J5" s="8">
        <f t="shared" ref="J5:J10" si="2">H5*I5</f>
        <v>0</v>
      </c>
      <c r="K5" s="8">
        <f t="shared" ref="K5:K10" si="3">G5+J5</f>
        <v>0</v>
      </c>
      <c r="L5" s="74">
        <v>0</v>
      </c>
      <c r="M5" s="74">
        <f t="shared" ref="M5:M8" si="4">+M4+K5-L5</f>
        <v>132273.53599999999</v>
      </c>
      <c r="N5" s="8"/>
    </row>
    <row r="6" spans="1:18">
      <c r="A6" s="50">
        <v>3</v>
      </c>
      <c r="B6" s="234">
        <v>45933</v>
      </c>
      <c r="C6" s="73"/>
      <c r="D6" s="167"/>
      <c r="E6" s="275"/>
      <c r="F6" s="275"/>
      <c r="G6" s="8">
        <f t="shared" si="1"/>
        <v>0</v>
      </c>
      <c r="H6" s="71">
        <v>0</v>
      </c>
      <c r="I6" s="72">
        <v>0</v>
      </c>
      <c r="J6" s="8">
        <f t="shared" si="2"/>
        <v>0</v>
      </c>
      <c r="K6" s="8">
        <f t="shared" si="3"/>
        <v>0</v>
      </c>
      <c r="L6" s="74">
        <v>0</v>
      </c>
      <c r="M6" s="74">
        <f t="shared" si="4"/>
        <v>132273.53599999999</v>
      </c>
      <c r="N6" s="8"/>
    </row>
    <row r="7" spans="1:18">
      <c r="A7" s="50">
        <v>4</v>
      </c>
      <c r="B7" s="234">
        <v>45934</v>
      </c>
      <c r="C7" s="73"/>
      <c r="D7" s="167"/>
      <c r="E7" s="275"/>
      <c r="F7" s="275"/>
      <c r="G7" s="8">
        <f t="shared" si="1"/>
        <v>0</v>
      </c>
      <c r="H7" s="71">
        <v>0</v>
      </c>
      <c r="I7" s="72">
        <v>0</v>
      </c>
      <c r="J7" s="8">
        <f t="shared" si="2"/>
        <v>0</v>
      </c>
      <c r="K7" s="8">
        <f t="shared" si="3"/>
        <v>0</v>
      </c>
      <c r="L7" s="74">
        <v>0</v>
      </c>
      <c r="M7" s="74">
        <f t="shared" si="4"/>
        <v>132273.53599999999</v>
      </c>
      <c r="N7" s="8"/>
    </row>
    <row r="8" spans="1:18">
      <c r="A8" s="50">
        <v>5</v>
      </c>
      <c r="B8" s="234">
        <v>45935</v>
      </c>
      <c r="C8" s="73"/>
      <c r="D8" s="167"/>
      <c r="E8" s="275"/>
      <c r="F8" s="275"/>
      <c r="G8" s="8">
        <f t="shared" si="1"/>
        <v>0</v>
      </c>
      <c r="H8" s="71">
        <v>0</v>
      </c>
      <c r="I8" s="72">
        <v>0</v>
      </c>
      <c r="J8" s="8">
        <f t="shared" si="2"/>
        <v>0</v>
      </c>
      <c r="K8" s="8">
        <f t="shared" si="3"/>
        <v>0</v>
      </c>
      <c r="L8" s="74">
        <v>0</v>
      </c>
      <c r="M8" s="74">
        <f t="shared" si="4"/>
        <v>132273.53599999999</v>
      </c>
      <c r="N8" s="8"/>
      <c r="O8" s="75"/>
      <c r="R8" s="241"/>
    </row>
    <row r="9" spans="1:18">
      <c r="A9" s="50">
        <v>6</v>
      </c>
      <c r="B9" s="234">
        <v>45936</v>
      </c>
      <c r="C9" s="73"/>
      <c r="D9" s="167"/>
      <c r="E9" s="275"/>
      <c r="F9" s="71"/>
      <c r="G9" s="8">
        <f t="shared" si="1"/>
        <v>0</v>
      </c>
      <c r="H9" s="71">
        <v>0</v>
      </c>
      <c r="I9" s="72">
        <v>0</v>
      </c>
      <c r="J9" s="8">
        <f t="shared" si="2"/>
        <v>0</v>
      </c>
      <c r="K9" s="8">
        <f t="shared" si="3"/>
        <v>0</v>
      </c>
      <c r="L9" s="74">
        <v>0</v>
      </c>
      <c r="M9" s="74">
        <f>+M8+K9-L9</f>
        <v>132273.53599999999</v>
      </c>
      <c r="N9" s="8"/>
      <c r="O9" s="75"/>
    </row>
    <row r="10" spans="1:18">
      <c r="A10" s="50">
        <v>7</v>
      </c>
      <c r="B10" s="234">
        <v>45937</v>
      </c>
      <c r="C10" s="73"/>
      <c r="D10" s="167"/>
      <c r="E10" s="275"/>
      <c r="F10" s="275"/>
      <c r="G10" s="8">
        <f t="shared" si="1"/>
        <v>0</v>
      </c>
      <c r="H10" s="71">
        <v>0</v>
      </c>
      <c r="I10" s="72">
        <v>0</v>
      </c>
      <c r="J10" s="8">
        <f t="shared" si="2"/>
        <v>0</v>
      </c>
      <c r="K10" s="8">
        <f t="shared" si="3"/>
        <v>0</v>
      </c>
      <c r="L10" s="74">
        <v>132200</v>
      </c>
      <c r="M10" s="74">
        <f>+M9+K10-L10</f>
        <v>73.535999999992782</v>
      </c>
      <c r="N10" s="8"/>
      <c r="O10" s="75"/>
    </row>
    <row r="11" spans="1:18">
      <c r="A11" s="50">
        <v>8</v>
      </c>
      <c r="B11" s="234">
        <v>45938</v>
      </c>
      <c r="C11" s="73"/>
      <c r="D11" s="167"/>
      <c r="E11" s="275"/>
      <c r="F11" s="275"/>
      <c r="G11" s="8">
        <f t="shared" ref="G11:G34" si="5">E11*F11</f>
        <v>0</v>
      </c>
      <c r="H11" s="71">
        <v>0</v>
      </c>
      <c r="I11" s="72">
        <v>0</v>
      </c>
      <c r="J11" s="8">
        <f t="shared" ref="J11:J34" si="6">H11*I11</f>
        <v>0</v>
      </c>
      <c r="K11" s="8">
        <f t="shared" ref="K11:K34" si="7">G11+J11</f>
        <v>0</v>
      </c>
      <c r="L11" s="74">
        <v>0</v>
      </c>
      <c r="M11" s="74">
        <f>+M10+K11-L11</f>
        <v>73.535999999992782</v>
      </c>
      <c r="N11" s="8"/>
      <c r="O11" s="75"/>
    </row>
    <row r="12" spans="1:18">
      <c r="A12" s="50">
        <v>9</v>
      </c>
      <c r="B12" s="234">
        <v>45939</v>
      </c>
      <c r="C12" s="73"/>
      <c r="D12" s="167"/>
      <c r="E12" s="275"/>
      <c r="F12" s="275"/>
      <c r="G12" s="8">
        <f t="shared" si="5"/>
        <v>0</v>
      </c>
      <c r="H12" s="71">
        <v>0</v>
      </c>
      <c r="I12" s="72">
        <v>0</v>
      </c>
      <c r="J12" s="8">
        <f t="shared" si="6"/>
        <v>0</v>
      </c>
      <c r="K12" s="8">
        <f t="shared" si="7"/>
        <v>0</v>
      </c>
      <c r="L12" s="74">
        <v>0</v>
      </c>
      <c r="M12" s="74">
        <f t="shared" ref="M12:M34" si="8">+M11+K12-L12</f>
        <v>73.535999999992782</v>
      </c>
      <c r="N12" s="8"/>
      <c r="O12" s="75"/>
    </row>
    <row r="13" spans="1:18">
      <c r="A13" s="50">
        <v>10</v>
      </c>
      <c r="B13" s="234">
        <v>45940</v>
      </c>
      <c r="C13" s="73"/>
      <c r="D13" s="167"/>
      <c r="E13" s="275"/>
      <c r="F13" s="275"/>
      <c r="G13" s="8">
        <f t="shared" si="5"/>
        <v>0</v>
      </c>
      <c r="H13" s="71">
        <v>0</v>
      </c>
      <c r="I13" s="72">
        <v>0</v>
      </c>
      <c r="J13" s="8">
        <f t="shared" si="6"/>
        <v>0</v>
      </c>
      <c r="K13" s="8">
        <f t="shared" si="7"/>
        <v>0</v>
      </c>
      <c r="L13" s="74">
        <v>0</v>
      </c>
      <c r="M13" s="74">
        <f t="shared" si="8"/>
        <v>73.535999999992782</v>
      </c>
      <c r="N13" s="8"/>
      <c r="O13" s="75"/>
    </row>
    <row r="14" spans="1:18">
      <c r="A14" s="50">
        <v>11</v>
      </c>
      <c r="B14" s="234">
        <v>45941</v>
      </c>
      <c r="C14" s="73"/>
      <c r="D14" s="167"/>
      <c r="E14" s="275"/>
      <c r="F14" s="275"/>
      <c r="G14" s="8">
        <f t="shared" si="5"/>
        <v>0</v>
      </c>
      <c r="H14" s="71">
        <v>0</v>
      </c>
      <c r="I14" s="72">
        <v>0</v>
      </c>
      <c r="J14" s="8">
        <f t="shared" si="6"/>
        <v>0</v>
      </c>
      <c r="K14" s="8">
        <f t="shared" si="7"/>
        <v>0</v>
      </c>
      <c r="L14" s="74">
        <v>0</v>
      </c>
      <c r="M14" s="74">
        <f t="shared" si="8"/>
        <v>73.535999999992782</v>
      </c>
      <c r="N14" s="8"/>
      <c r="O14" s="75"/>
    </row>
    <row r="15" spans="1:18">
      <c r="A15" s="50">
        <v>12</v>
      </c>
      <c r="B15" s="234">
        <v>45942</v>
      </c>
      <c r="C15" s="73"/>
      <c r="D15" s="167"/>
      <c r="E15" s="275"/>
      <c r="F15" s="275"/>
      <c r="G15" s="8">
        <f t="shared" si="5"/>
        <v>0</v>
      </c>
      <c r="H15" s="71">
        <v>0</v>
      </c>
      <c r="I15" s="72">
        <v>0</v>
      </c>
      <c r="J15" s="8">
        <f t="shared" si="6"/>
        <v>0</v>
      </c>
      <c r="K15" s="8">
        <f t="shared" si="7"/>
        <v>0</v>
      </c>
      <c r="L15" s="74">
        <v>0</v>
      </c>
      <c r="M15" s="74">
        <f t="shared" si="8"/>
        <v>73.535999999992782</v>
      </c>
      <c r="N15" s="8"/>
      <c r="O15" s="75"/>
    </row>
    <row r="16" spans="1:18">
      <c r="A16" s="50">
        <v>13</v>
      </c>
      <c r="B16" s="234">
        <v>45943</v>
      </c>
      <c r="C16" s="73"/>
      <c r="D16" s="167"/>
      <c r="E16" s="275"/>
      <c r="F16" s="275"/>
      <c r="G16" s="8">
        <f t="shared" si="5"/>
        <v>0</v>
      </c>
      <c r="H16" s="71">
        <v>0</v>
      </c>
      <c r="I16" s="72">
        <v>0</v>
      </c>
      <c r="J16" s="8">
        <f t="shared" si="6"/>
        <v>0</v>
      </c>
      <c r="K16" s="8">
        <f t="shared" si="7"/>
        <v>0</v>
      </c>
      <c r="L16" s="74">
        <v>0</v>
      </c>
      <c r="M16" s="74">
        <f t="shared" si="8"/>
        <v>73.535999999992782</v>
      </c>
      <c r="N16" s="8"/>
      <c r="O16" s="75"/>
    </row>
    <row r="17" spans="1:17">
      <c r="A17" s="50">
        <v>14</v>
      </c>
      <c r="B17" s="234">
        <v>45944</v>
      </c>
      <c r="C17" s="73"/>
      <c r="D17" s="167"/>
      <c r="E17" s="275"/>
      <c r="F17" s="275"/>
      <c r="G17" s="8">
        <f t="shared" si="5"/>
        <v>0</v>
      </c>
      <c r="H17" s="71">
        <v>0</v>
      </c>
      <c r="I17" s="72">
        <v>0</v>
      </c>
      <c r="J17" s="8">
        <f t="shared" si="6"/>
        <v>0</v>
      </c>
      <c r="K17" s="8">
        <f t="shared" si="7"/>
        <v>0</v>
      </c>
      <c r="L17" s="74">
        <v>0</v>
      </c>
      <c r="M17" s="74">
        <f t="shared" si="8"/>
        <v>73.535999999992782</v>
      </c>
      <c r="N17" s="8"/>
      <c r="O17" s="75"/>
    </row>
    <row r="18" spans="1:17">
      <c r="A18" s="50">
        <v>15</v>
      </c>
      <c r="B18" s="234">
        <v>45945</v>
      </c>
      <c r="C18" s="73"/>
      <c r="D18" s="167"/>
      <c r="E18" s="275"/>
      <c r="F18" s="275"/>
      <c r="G18" s="8">
        <f t="shared" si="5"/>
        <v>0</v>
      </c>
      <c r="H18" s="71">
        <v>0</v>
      </c>
      <c r="I18" s="72">
        <v>0</v>
      </c>
      <c r="J18" s="8">
        <f t="shared" si="6"/>
        <v>0</v>
      </c>
      <c r="K18" s="8">
        <f t="shared" si="7"/>
        <v>0</v>
      </c>
      <c r="L18" s="74">
        <v>0</v>
      </c>
      <c r="M18" s="74">
        <f t="shared" si="8"/>
        <v>73.535999999992782</v>
      </c>
      <c r="N18" s="192"/>
      <c r="O18" s="75"/>
    </row>
    <row r="19" spans="1:17">
      <c r="A19" s="50">
        <v>16</v>
      </c>
      <c r="B19" s="234">
        <v>45946</v>
      </c>
      <c r="C19" s="73"/>
      <c r="D19" s="167"/>
      <c r="E19" s="275"/>
      <c r="F19" s="275"/>
      <c r="G19" s="8">
        <f t="shared" si="5"/>
        <v>0</v>
      </c>
      <c r="H19" s="71">
        <v>0</v>
      </c>
      <c r="I19" s="72">
        <v>0</v>
      </c>
      <c r="J19" s="8">
        <f t="shared" si="6"/>
        <v>0</v>
      </c>
      <c r="K19" s="8">
        <f t="shared" si="7"/>
        <v>0</v>
      </c>
      <c r="L19" s="74">
        <v>0</v>
      </c>
      <c r="M19" s="74">
        <f t="shared" si="8"/>
        <v>73.535999999992782</v>
      </c>
      <c r="N19" s="305"/>
      <c r="O19" s="75"/>
    </row>
    <row r="20" spans="1:17">
      <c r="A20" s="50">
        <v>17</v>
      </c>
      <c r="B20" s="234">
        <v>45947</v>
      </c>
      <c r="C20" s="73"/>
      <c r="D20" s="167"/>
      <c r="E20" s="275"/>
      <c r="F20" s="275"/>
      <c r="G20" s="8">
        <f t="shared" si="5"/>
        <v>0</v>
      </c>
      <c r="H20" s="71">
        <v>0</v>
      </c>
      <c r="I20" s="72">
        <v>0</v>
      </c>
      <c r="J20" s="8">
        <f t="shared" si="6"/>
        <v>0</v>
      </c>
      <c r="K20" s="8">
        <f t="shared" si="7"/>
        <v>0</v>
      </c>
      <c r="L20" s="74">
        <v>0</v>
      </c>
      <c r="M20" s="74">
        <f t="shared" si="8"/>
        <v>73.535999999992782</v>
      </c>
      <c r="N20" s="19"/>
      <c r="O20" s="75"/>
    </row>
    <row r="21" spans="1:17">
      <c r="A21" s="50">
        <v>18</v>
      </c>
      <c r="B21" s="234">
        <v>45948</v>
      </c>
      <c r="C21" s="73"/>
      <c r="D21" s="167"/>
      <c r="E21" s="275"/>
      <c r="F21" s="275"/>
      <c r="G21" s="8">
        <f t="shared" si="5"/>
        <v>0</v>
      </c>
      <c r="H21" s="71">
        <v>0</v>
      </c>
      <c r="I21" s="72">
        <v>0</v>
      </c>
      <c r="J21" s="8">
        <f t="shared" si="6"/>
        <v>0</v>
      </c>
      <c r="K21" s="8">
        <f t="shared" si="7"/>
        <v>0</v>
      </c>
      <c r="L21" s="74">
        <v>0</v>
      </c>
      <c r="M21" s="74">
        <f t="shared" si="8"/>
        <v>73.535999999992782</v>
      </c>
      <c r="N21" s="8"/>
      <c r="O21" s="75"/>
    </row>
    <row r="22" spans="1:17">
      <c r="A22" s="50">
        <v>19</v>
      </c>
      <c r="B22" s="234">
        <v>45949</v>
      </c>
      <c r="C22" s="73"/>
      <c r="D22" s="167"/>
      <c r="E22" s="275"/>
      <c r="F22" s="275"/>
      <c r="G22" s="8">
        <f t="shared" si="5"/>
        <v>0</v>
      </c>
      <c r="H22" s="71">
        <v>0</v>
      </c>
      <c r="I22" s="72">
        <v>0</v>
      </c>
      <c r="J22" s="8">
        <f t="shared" si="6"/>
        <v>0</v>
      </c>
      <c r="K22" s="8">
        <f t="shared" si="7"/>
        <v>0</v>
      </c>
      <c r="L22" s="74">
        <v>0</v>
      </c>
      <c r="M22" s="74">
        <f t="shared" si="8"/>
        <v>73.535999999992782</v>
      </c>
      <c r="N22" s="8"/>
      <c r="O22" s="75"/>
      <c r="Q22" s="22"/>
    </row>
    <row r="23" spans="1:17">
      <c r="A23" s="50">
        <v>20</v>
      </c>
      <c r="B23" s="234">
        <v>45950</v>
      </c>
      <c r="C23" s="73"/>
      <c r="D23" s="167"/>
      <c r="E23" s="275"/>
      <c r="F23" s="275"/>
      <c r="G23" s="8">
        <f t="shared" si="5"/>
        <v>0</v>
      </c>
      <c r="H23" s="71">
        <v>0</v>
      </c>
      <c r="I23" s="72">
        <v>0</v>
      </c>
      <c r="J23" s="8">
        <f t="shared" si="6"/>
        <v>0</v>
      </c>
      <c r="K23" s="8">
        <f t="shared" si="7"/>
        <v>0</v>
      </c>
      <c r="L23" s="74">
        <v>0</v>
      </c>
      <c r="M23" s="74">
        <f t="shared" si="8"/>
        <v>73.535999999992782</v>
      </c>
      <c r="N23" s="8"/>
      <c r="O23" s="75"/>
    </row>
    <row r="24" spans="1:17">
      <c r="A24" s="50">
        <v>21</v>
      </c>
      <c r="B24" s="234">
        <v>45951</v>
      </c>
      <c r="C24" s="73"/>
      <c r="D24" s="167"/>
      <c r="E24" s="275"/>
      <c r="F24" s="275"/>
      <c r="G24" s="8">
        <f t="shared" si="5"/>
        <v>0</v>
      </c>
      <c r="H24" s="71">
        <v>0</v>
      </c>
      <c r="I24" s="72">
        <v>0</v>
      </c>
      <c r="J24" s="8">
        <f t="shared" si="6"/>
        <v>0</v>
      </c>
      <c r="K24" s="8">
        <f t="shared" si="7"/>
        <v>0</v>
      </c>
      <c r="L24" s="74">
        <v>0</v>
      </c>
      <c r="M24" s="74">
        <f t="shared" si="8"/>
        <v>73.535999999992782</v>
      </c>
      <c r="N24" s="8"/>
      <c r="O24" s="75"/>
    </row>
    <row r="25" spans="1:17">
      <c r="A25" s="50">
        <v>22</v>
      </c>
      <c r="B25" s="234">
        <v>45952</v>
      </c>
      <c r="C25" s="73"/>
      <c r="D25" s="167"/>
      <c r="E25" s="275"/>
      <c r="F25" s="275"/>
      <c r="G25" s="8">
        <f t="shared" si="5"/>
        <v>0</v>
      </c>
      <c r="H25" s="71">
        <v>0</v>
      </c>
      <c r="I25" s="72">
        <v>0</v>
      </c>
      <c r="J25" s="8">
        <f t="shared" si="6"/>
        <v>0</v>
      </c>
      <c r="K25" s="8">
        <f t="shared" si="7"/>
        <v>0</v>
      </c>
      <c r="L25" s="74">
        <v>0</v>
      </c>
      <c r="M25" s="74">
        <f t="shared" si="8"/>
        <v>73.535999999992782</v>
      </c>
      <c r="N25" s="8"/>
      <c r="O25" s="75"/>
    </row>
    <row r="26" spans="1:17">
      <c r="A26" s="50">
        <v>23</v>
      </c>
      <c r="B26" s="234">
        <v>45953</v>
      </c>
      <c r="C26" s="73"/>
      <c r="D26" s="167"/>
      <c r="E26" s="275"/>
      <c r="F26" s="275"/>
      <c r="G26" s="8">
        <f t="shared" si="5"/>
        <v>0</v>
      </c>
      <c r="H26" s="71">
        <v>0</v>
      </c>
      <c r="I26" s="72">
        <v>0</v>
      </c>
      <c r="J26" s="8">
        <f t="shared" si="6"/>
        <v>0</v>
      </c>
      <c r="K26" s="8">
        <f t="shared" si="7"/>
        <v>0</v>
      </c>
      <c r="L26" s="74">
        <v>0</v>
      </c>
      <c r="M26" s="74">
        <f t="shared" si="8"/>
        <v>73.535999999992782</v>
      </c>
      <c r="N26" s="8"/>
      <c r="O26" s="75"/>
    </row>
    <row r="27" spans="1:17">
      <c r="A27" s="50">
        <v>24</v>
      </c>
      <c r="B27" s="234">
        <v>45954</v>
      </c>
      <c r="C27" s="73"/>
      <c r="D27" s="167"/>
      <c r="E27" s="275"/>
      <c r="F27" s="275"/>
      <c r="G27" s="8">
        <f t="shared" si="5"/>
        <v>0</v>
      </c>
      <c r="H27" s="71">
        <v>0</v>
      </c>
      <c r="I27" s="72">
        <v>0</v>
      </c>
      <c r="J27" s="8">
        <f t="shared" si="6"/>
        <v>0</v>
      </c>
      <c r="K27" s="8">
        <f t="shared" si="7"/>
        <v>0</v>
      </c>
      <c r="L27" s="74">
        <v>0</v>
      </c>
      <c r="M27" s="74">
        <f t="shared" si="8"/>
        <v>73.535999999992782</v>
      </c>
      <c r="N27" s="8"/>
      <c r="O27" s="75"/>
    </row>
    <row r="28" spans="1:17">
      <c r="A28" s="236">
        <v>25</v>
      </c>
      <c r="B28" s="234">
        <v>45955</v>
      </c>
      <c r="C28" s="73"/>
      <c r="D28" s="167"/>
      <c r="E28" s="275"/>
      <c r="F28" s="275"/>
      <c r="G28" s="8">
        <f t="shared" si="5"/>
        <v>0</v>
      </c>
      <c r="H28" s="71">
        <v>0</v>
      </c>
      <c r="I28" s="72">
        <v>0</v>
      </c>
      <c r="J28" s="8">
        <f t="shared" si="6"/>
        <v>0</v>
      </c>
      <c r="K28" s="8">
        <f t="shared" si="7"/>
        <v>0</v>
      </c>
      <c r="L28" s="74">
        <v>0</v>
      </c>
      <c r="M28" s="74">
        <f t="shared" si="8"/>
        <v>73.535999999992782</v>
      </c>
      <c r="N28" s="8"/>
      <c r="O28" s="75"/>
    </row>
    <row r="29" spans="1:17">
      <c r="A29" s="236">
        <v>26</v>
      </c>
      <c r="B29" s="234">
        <v>45956</v>
      </c>
      <c r="C29" s="73"/>
      <c r="D29" s="167"/>
      <c r="E29" s="275"/>
      <c r="F29" s="275"/>
      <c r="G29" s="8">
        <f t="shared" si="5"/>
        <v>0</v>
      </c>
      <c r="H29" s="71">
        <v>0</v>
      </c>
      <c r="I29" s="72">
        <v>0</v>
      </c>
      <c r="J29" s="8">
        <f t="shared" si="6"/>
        <v>0</v>
      </c>
      <c r="K29" s="8">
        <f t="shared" si="7"/>
        <v>0</v>
      </c>
      <c r="L29" s="74">
        <v>0</v>
      </c>
      <c r="M29" s="74">
        <f t="shared" si="8"/>
        <v>73.535999999992782</v>
      </c>
      <c r="N29" s="8"/>
      <c r="O29" s="75"/>
    </row>
    <row r="30" spans="1:17">
      <c r="A30" s="236">
        <v>27</v>
      </c>
      <c r="B30" s="234">
        <v>45957</v>
      </c>
      <c r="C30" s="73"/>
      <c r="D30" s="167"/>
      <c r="E30" s="275"/>
      <c r="F30" s="275"/>
      <c r="G30" s="8">
        <f t="shared" si="5"/>
        <v>0</v>
      </c>
      <c r="H30" s="71">
        <v>0</v>
      </c>
      <c r="I30" s="72">
        <v>0</v>
      </c>
      <c r="J30" s="8">
        <f t="shared" si="6"/>
        <v>0</v>
      </c>
      <c r="K30" s="8">
        <f t="shared" si="7"/>
        <v>0</v>
      </c>
      <c r="L30" s="74">
        <v>0</v>
      </c>
      <c r="M30" s="74">
        <f t="shared" si="8"/>
        <v>73.535999999992782</v>
      </c>
      <c r="N30" s="8"/>
      <c r="O30" s="75"/>
    </row>
    <row r="31" spans="1:17">
      <c r="A31" s="236">
        <v>28</v>
      </c>
      <c r="B31" s="234">
        <v>45958</v>
      </c>
      <c r="C31" s="73"/>
      <c r="D31" s="167"/>
      <c r="E31" s="275"/>
      <c r="F31" s="275"/>
      <c r="G31" s="8">
        <f t="shared" si="5"/>
        <v>0</v>
      </c>
      <c r="H31" s="71">
        <v>0</v>
      </c>
      <c r="I31" s="72">
        <v>0</v>
      </c>
      <c r="J31" s="8">
        <f t="shared" si="6"/>
        <v>0</v>
      </c>
      <c r="K31" s="8">
        <f t="shared" si="7"/>
        <v>0</v>
      </c>
      <c r="L31" s="74">
        <v>0</v>
      </c>
      <c r="M31" s="74">
        <f t="shared" si="8"/>
        <v>73.535999999992782</v>
      </c>
      <c r="N31" s="8"/>
      <c r="O31" s="75"/>
    </row>
    <row r="32" spans="1:17">
      <c r="A32" s="237">
        <v>29</v>
      </c>
      <c r="B32" s="234">
        <v>45959</v>
      </c>
      <c r="C32" s="73"/>
      <c r="D32" s="167"/>
      <c r="E32" s="275"/>
      <c r="F32" s="275"/>
      <c r="G32" s="8">
        <f t="shared" si="5"/>
        <v>0</v>
      </c>
      <c r="H32" s="71">
        <v>0</v>
      </c>
      <c r="I32" s="72">
        <v>0</v>
      </c>
      <c r="J32" s="8">
        <f t="shared" si="6"/>
        <v>0</v>
      </c>
      <c r="K32" s="8">
        <f t="shared" si="7"/>
        <v>0</v>
      </c>
      <c r="L32" s="74">
        <v>0</v>
      </c>
      <c r="M32" s="74">
        <f t="shared" si="8"/>
        <v>73.535999999992782</v>
      </c>
      <c r="N32" s="8"/>
      <c r="O32" s="75"/>
    </row>
    <row r="33" spans="1:15">
      <c r="A33" s="237">
        <v>30</v>
      </c>
      <c r="B33" s="234">
        <v>45960</v>
      </c>
      <c r="C33" s="73"/>
      <c r="D33" s="167"/>
      <c r="E33" s="275"/>
      <c r="F33" s="275"/>
      <c r="G33" s="8">
        <f t="shared" si="5"/>
        <v>0</v>
      </c>
      <c r="H33" s="71">
        <v>0</v>
      </c>
      <c r="I33" s="72">
        <v>0</v>
      </c>
      <c r="J33" s="8">
        <f t="shared" si="6"/>
        <v>0</v>
      </c>
      <c r="K33" s="8">
        <f t="shared" si="7"/>
        <v>0</v>
      </c>
      <c r="L33" s="74">
        <v>0</v>
      </c>
      <c r="M33" s="74">
        <f t="shared" si="8"/>
        <v>73.535999999992782</v>
      </c>
      <c r="N33" s="8"/>
      <c r="O33" s="75"/>
    </row>
    <row r="34" spans="1:15">
      <c r="A34" s="237">
        <v>31</v>
      </c>
      <c r="B34" s="234"/>
      <c r="C34" s="73"/>
      <c r="D34" s="167"/>
      <c r="E34" s="275"/>
      <c r="F34" s="275"/>
      <c r="G34" s="8">
        <f t="shared" si="5"/>
        <v>0</v>
      </c>
      <c r="H34" s="71">
        <v>0</v>
      </c>
      <c r="I34" s="72">
        <v>0</v>
      </c>
      <c r="J34" s="8">
        <f t="shared" si="6"/>
        <v>0</v>
      </c>
      <c r="K34" s="8">
        <f t="shared" si="7"/>
        <v>0</v>
      </c>
      <c r="L34" s="74">
        <v>0</v>
      </c>
      <c r="M34" s="74">
        <f t="shared" si="8"/>
        <v>73.535999999992782</v>
      </c>
      <c r="N34" s="8"/>
      <c r="O34" s="75"/>
    </row>
    <row r="35" spans="1:15">
      <c r="A35" s="68"/>
      <c r="B35" s="68"/>
      <c r="C35" s="68"/>
      <c r="D35" s="68"/>
      <c r="E35" s="276">
        <f>SUM(E4:E34)</f>
        <v>0</v>
      </c>
      <c r="F35" s="276"/>
      <c r="G35" s="69">
        <f>SUM(G4:G34)</f>
        <v>0</v>
      </c>
      <c r="H35" s="69">
        <f>SUM(H4:H34)</f>
        <v>0</v>
      </c>
      <c r="I35" s="69"/>
      <c r="J35" s="69">
        <f>SUM(J4:J34)</f>
        <v>0</v>
      </c>
      <c r="K35" s="69">
        <f>SUM(K4:K34)</f>
        <v>0</v>
      </c>
      <c r="L35" s="69">
        <f>SUM(L4:L34)</f>
        <v>132200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F38" t="s">
        <v>114</v>
      </c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E53-C6E4-49B5-8886-5922140E07C1}">
  <dimension ref="A1:R44"/>
  <sheetViews>
    <sheetView topLeftCell="A16" workbookViewId="0">
      <selection activeCell="H39" sqref="H39"/>
    </sheetView>
  </sheetViews>
  <sheetFormatPr defaultRowHeight="15"/>
  <cols>
    <col min="7" max="7" width="11.85546875" bestFit="1" customWidth="1"/>
    <col min="11" max="11" width="13.5703125" bestFit="1" customWidth="1"/>
    <col min="12" max="12" width="12.140625" customWidth="1"/>
    <col min="13" max="13" width="11.85546875" bestFit="1" customWidth="1"/>
  </cols>
  <sheetData>
    <row r="1" spans="1:18" ht="15.75">
      <c r="A1" s="438" t="s">
        <v>26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 ht="30.75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0</v>
      </c>
      <c r="N3" s="164"/>
      <c r="O3" s="65"/>
    </row>
    <row r="4" spans="1:18">
      <c r="A4" s="208">
        <v>1</v>
      </c>
      <c r="B4" s="234">
        <v>45931</v>
      </c>
      <c r="C4" s="73"/>
      <c r="D4" s="167"/>
      <c r="E4" s="275"/>
      <c r="F4" s="275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0</v>
      </c>
      <c r="N4" s="8"/>
    </row>
    <row r="5" spans="1:18">
      <c r="A5" s="50">
        <v>2</v>
      </c>
      <c r="B5" s="234">
        <v>45932</v>
      </c>
      <c r="C5" s="73"/>
      <c r="D5" s="167"/>
      <c r="E5" s="275"/>
      <c r="F5" s="275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v>0</v>
      </c>
      <c r="M5" s="74">
        <f t="shared" ref="M5:M8" si="3">+M4+K5-L5</f>
        <v>0</v>
      </c>
      <c r="N5" s="8"/>
    </row>
    <row r="6" spans="1:18">
      <c r="A6" s="50">
        <v>3</v>
      </c>
      <c r="B6" s="234">
        <v>45933</v>
      </c>
      <c r="C6" s="73"/>
      <c r="D6" s="167"/>
      <c r="E6" s="275"/>
      <c r="F6" s="275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v>0</v>
      </c>
      <c r="M6" s="74">
        <f t="shared" si="3"/>
        <v>0</v>
      </c>
      <c r="N6" s="8"/>
    </row>
    <row r="7" spans="1:18">
      <c r="A7" s="50">
        <v>4</v>
      </c>
      <c r="B7" s="234">
        <v>45934</v>
      </c>
      <c r="C7" s="73"/>
      <c r="D7" s="167"/>
      <c r="E7" s="275"/>
      <c r="F7" s="275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v>0</v>
      </c>
      <c r="M7" s="74">
        <f t="shared" si="3"/>
        <v>0</v>
      </c>
      <c r="N7" s="8"/>
    </row>
    <row r="8" spans="1:18">
      <c r="A8" s="50">
        <v>5</v>
      </c>
      <c r="B8" s="234">
        <v>45935</v>
      </c>
      <c r="C8" s="73"/>
      <c r="D8" s="167"/>
      <c r="E8" s="275"/>
      <c r="F8" s="275"/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v>0</v>
      </c>
      <c r="M8" s="74">
        <f t="shared" si="3"/>
        <v>0</v>
      </c>
      <c r="N8" s="8"/>
      <c r="O8" s="75"/>
      <c r="R8" s="241"/>
    </row>
    <row r="9" spans="1:18">
      <c r="A9" s="50">
        <v>6</v>
      </c>
      <c r="B9" s="234">
        <v>45936</v>
      </c>
      <c r="C9" s="73"/>
      <c r="D9" s="167"/>
      <c r="E9" s="275"/>
      <c r="F9" s="71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v>0</v>
      </c>
      <c r="M9" s="74">
        <f>+M8+K9-L9</f>
        <v>0</v>
      </c>
      <c r="N9" s="8"/>
      <c r="O9" s="75"/>
    </row>
    <row r="10" spans="1:18">
      <c r="A10" s="50">
        <v>7</v>
      </c>
      <c r="B10" s="234">
        <v>45937</v>
      </c>
      <c r="C10" s="73"/>
      <c r="D10" s="167"/>
      <c r="E10" s="275"/>
      <c r="F10" s="275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v>0</v>
      </c>
      <c r="M10" s="74">
        <f>+M9+K10-L10</f>
        <v>0</v>
      </c>
      <c r="N10" s="8"/>
      <c r="O10" s="75"/>
    </row>
    <row r="11" spans="1:18">
      <c r="A11" s="50">
        <v>8</v>
      </c>
      <c r="B11" s="234">
        <v>45938</v>
      </c>
      <c r="C11" s="73"/>
      <c r="D11" s="167"/>
      <c r="E11" s="275"/>
      <c r="F11" s="275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v>0</v>
      </c>
      <c r="M11" s="74">
        <f>+M10+K11-L11</f>
        <v>0</v>
      </c>
      <c r="N11" s="8"/>
      <c r="O11" s="75"/>
    </row>
    <row r="12" spans="1:18">
      <c r="A12" s="50">
        <v>9</v>
      </c>
      <c r="B12" s="234">
        <v>45939</v>
      </c>
      <c r="C12" s="73"/>
      <c r="D12" s="167"/>
      <c r="E12" s="275"/>
      <c r="F12" s="275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v>0</v>
      </c>
      <c r="M12" s="74">
        <f t="shared" ref="M12:M34" si="4">+M11+K12-L12</f>
        <v>0</v>
      </c>
      <c r="N12" s="8"/>
      <c r="O12" s="75"/>
    </row>
    <row r="13" spans="1:18">
      <c r="A13" s="50">
        <v>10</v>
      </c>
      <c r="B13" s="234">
        <v>45940</v>
      </c>
      <c r="C13" s="73"/>
      <c r="D13" s="167"/>
      <c r="E13" s="275"/>
      <c r="F13" s="275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v>0</v>
      </c>
      <c r="M13" s="74">
        <f t="shared" si="4"/>
        <v>0</v>
      </c>
      <c r="N13" s="8"/>
      <c r="O13" s="75"/>
    </row>
    <row r="14" spans="1:18">
      <c r="A14" s="50">
        <v>11</v>
      </c>
      <c r="B14" s="234">
        <v>45941</v>
      </c>
      <c r="C14" s="73"/>
      <c r="D14" s="167"/>
      <c r="E14" s="275"/>
      <c r="F14" s="275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 t="shared" si="2"/>
        <v>0</v>
      </c>
      <c r="L14" s="74">
        <v>0</v>
      </c>
      <c r="M14" s="74">
        <f t="shared" si="4"/>
        <v>0</v>
      </c>
      <c r="N14" s="8"/>
      <c r="O14" s="75"/>
    </row>
    <row r="15" spans="1:18">
      <c r="A15" s="50">
        <v>12</v>
      </c>
      <c r="B15" s="234">
        <v>45942</v>
      </c>
      <c r="C15" s="73"/>
      <c r="D15" s="167"/>
      <c r="E15" s="275"/>
      <c r="F15" s="275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v>0</v>
      </c>
      <c r="M15" s="74">
        <f t="shared" si="4"/>
        <v>0</v>
      </c>
      <c r="N15" s="8"/>
      <c r="O15" s="75"/>
    </row>
    <row r="16" spans="1:18">
      <c r="A16" s="50">
        <v>13</v>
      </c>
      <c r="B16" s="234">
        <v>45943</v>
      </c>
      <c r="C16" s="73"/>
      <c r="D16" s="167"/>
      <c r="E16" s="275"/>
      <c r="F16" s="275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>
        <v>0</v>
      </c>
      <c r="M16" s="74">
        <f t="shared" si="4"/>
        <v>0</v>
      </c>
      <c r="N16" s="8"/>
      <c r="O16" s="75"/>
    </row>
    <row r="17" spans="1:17">
      <c r="A17" s="50">
        <v>14</v>
      </c>
      <c r="B17" s="234">
        <v>45944</v>
      </c>
      <c r="C17" s="73"/>
      <c r="D17" s="167"/>
      <c r="E17" s="288">
        <v>1743.87</v>
      </c>
      <c r="F17" s="375">
        <v>95.83</v>
      </c>
      <c r="G17" s="8">
        <f t="shared" si="0"/>
        <v>167115.06209999998</v>
      </c>
      <c r="H17" s="71">
        <v>0</v>
      </c>
      <c r="I17" s="72">
        <v>0</v>
      </c>
      <c r="J17" s="8">
        <f t="shared" si="1"/>
        <v>0</v>
      </c>
      <c r="K17" s="8">
        <f t="shared" si="2"/>
        <v>167115.06209999998</v>
      </c>
      <c r="L17" s="74">
        <v>0</v>
      </c>
      <c r="M17" s="74">
        <f t="shared" si="4"/>
        <v>167115.06209999998</v>
      </c>
      <c r="N17" s="8"/>
      <c r="O17" s="75"/>
    </row>
    <row r="18" spans="1:17">
      <c r="A18" s="50">
        <v>15</v>
      </c>
      <c r="B18" s="234">
        <v>45945</v>
      </c>
      <c r="C18" s="73"/>
      <c r="D18" s="167"/>
      <c r="E18" s="275"/>
      <c r="F18" s="275"/>
      <c r="G18" s="8">
        <f t="shared" si="0"/>
        <v>0</v>
      </c>
      <c r="H18" s="71">
        <v>0</v>
      </c>
      <c r="I18" s="72">
        <v>0</v>
      </c>
      <c r="J18" s="8">
        <f t="shared" si="1"/>
        <v>0</v>
      </c>
      <c r="K18" s="8">
        <f t="shared" si="2"/>
        <v>0</v>
      </c>
      <c r="L18" s="74">
        <v>0</v>
      </c>
      <c r="M18" s="74">
        <f t="shared" si="4"/>
        <v>167115.06209999998</v>
      </c>
      <c r="N18" s="192"/>
      <c r="O18" s="75"/>
    </row>
    <row r="19" spans="1:17">
      <c r="A19" s="50">
        <v>16</v>
      </c>
      <c r="B19" s="234">
        <v>45946</v>
      </c>
      <c r="C19" s="73"/>
      <c r="D19" s="167"/>
      <c r="E19" s="275"/>
      <c r="F19" s="275"/>
      <c r="G19" s="8">
        <f t="shared" si="0"/>
        <v>0</v>
      </c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v>0</v>
      </c>
      <c r="M19" s="74">
        <f t="shared" si="4"/>
        <v>167115.06209999998</v>
      </c>
      <c r="N19" s="305"/>
      <c r="O19" s="75"/>
    </row>
    <row r="20" spans="1:17">
      <c r="A20" s="50">
        <v>17</v>
      </c>
      <c r="B20" s="234">
        <v>45947</v>
      </c>
      <c r="C20" s="73"/>
      <c r="D20" s="167"/>
      <c r="E20" s="275"/>
      <c r="F20" s="275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v>0</v>
      </c>
      <c r="M20" s="74">
        <f t="shared" si="4"/>
        <v>167115.06209999998</v>
      </c>
      <c r="N20" s="19"/>
      <c r="O20" s="75"/>
    </row>
    <row r="21" spans="1:17">
      <c r="A21" s="50">
        <v>18</v>
      </c>
      <c r="B21" s="234">
        <v>45948</v>
      </c>
      <c r="C21" s="73"/>
      <c r="D21" s="167"/>
      <c r="E21" s="275"/>
      <c r="F21" s="275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>
        <v>0</v>
      </c>
      <c r="M21" s="74">
        <f t="shared" si="4"/>
        <v>167115.06209999998</v>
      </c>
      <c r="N21" s="8"/>
      <c r="O21" s="75"/>
    </row>
    <row r="22" spans="1:17">
      <c r="A22" s="50">
        <v>19</v>
      </c>
      <c r="B22" s="234">
        <v>45949</v>
      </c>
      <c r="C22" s="73"/>
      <c r="D22" s="167"/>
      <c r="E22" s="275"/>
      <c r="F22" s="275"/>
      <c r="G22" s="8">
        <f t="shared" si="0"/>
        <v>0</v>
      </c>
      <c r="H22" s="71">
        <v>0</v>
      </c>
      <c r="I22" s="72">
        <v>0</v>
      </c>
      <c r="J22" s="8">
        <f t="shared" si="1"/>
        <v>0</v>
      </c>
      <c r="K22" s="8">
        <f t="shared" si="2"/>
        <v>0</v>
      </c>
      <c r="L22" s="74">
        <v>0</v>
      </c>
      <c r="M22" s="74">
        <f t="shared" si="4"/>
        <v>167115.06209999998</v>
      </c>
      <c r="N22" s="8"/>
      <c r="O22" s="75"/>
      <c r="Q22" s="22"/>
    </row>
    <row r="23" spans="1:17">
      <c r="A23" s="50">
        <v>20</v>
      </c>
      <c r="B23" s="234">
        <v>45950</v>
      </c>
      <c r="C23" s="73"/>
      <c r="D23" s="167"/>
      <c r="E23" s="275"/>
      <c r="F23" s="275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v>0</v>
      </c>
      <c r="M23" s="74">
        <f t="shared" si="4"/>
        <v>167115.06209999998</v>
      </c>
      <c r="N23" s="8"/>
      <c r="O23" s="75"/>
    </row>
    <row r="24" spans="1:17">
      <c r="A24" s="50">
        <v>21</v>
      </c>
      <c r="B24" s="234">
        <v>45951</v>
      </c>
      <c r="C24" s="73"/>
      <c r="D24" s="167"/>
      <c r="E24" s="275"/>
      <c r="F24" s="275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v>0</v>
      </c>
      <c r="M24" s="74">
        <f t="shared" si="4"/>
        <v>167115.06209999998</v>
      </c>
      <c r="N24" s="8"/>
      <c r="O24" s="75"/>
    </row>
    <row r="25" spans="1:17">
      <c r="A25" s="50">
        <v>22</v>
      </c>
      <c r="B25" s="234">
        <v>45952</v>
      </c>
      <c r="C25" s="73"/>
      <c r="D25" s="167"/>
      <c r="E25" s="275"/>
      <c r="F25" s="275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v>0</v>
      </c>
      <c r="M25" s="74">
        <f t="shared" si="4"/>
        <v>167115.06209999998</v>
      </c>
      <c r="N25" s="8"/>
      <c r="O25" s="75"/>
    </row>
    <row r="26" spans="1:17">
      <c r="A26" s="50">
        <v>23</v>
      </c>
      <c r="B26" s="234">
        <v>45953</v>
      </c>
      <c r="C26" s="73"/>
      <c r="D26" s="167"/>
      <c r="E26" s="275"/>
      <c r="F26" s="275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v>0</v>
      </c>
      <c r="M26" s="74">
        <f t="shared" si="4"/>
        <v>167115.06209999998</v>
      </c>
      <c r="N26" s="8"/>
      <c r="O26" s="75"/>
    </row>
    <row r="27" spans="1:17">
      <c r="A27" s="50">
        <v>24</v>
      </c>
      <c r="B27" s="234">
        <v>45954</v>
      </c>
      <c r="C27" s="73"/>
      <c r="D27" s="167"/>
      <c r="E27" s="275"/>
      <c r="F27" s="275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>
        <v>0</v>
      </c>
      <c r="M27" s="74">
        <f t="shared" si="4"/>
        <v>167115.06209999998</v>
      </c>
      <c r="N27" s="8"/>
      <c r="O27" s="75"/>
    </row>
    <row r="28" spans="1:17">
      <c r="A28" s="236">
        <v>25</v>
      </c>
      <c r="B28" s="234">
        <v>45955</v>
      </c>
      <c r="C28" s="73"/>
      <c r="D28" s="167"/>
      <c r="E28" s="275"/>
      <c r="F28" s="275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v>0</v>
      </c>
      <c r="M28" s="74">
        <f t="shared" si="4"/>
        <v>167115.06209999998</v>
      </c>
      <c r="N28" s="8"/>
      <c r="O28" s="75"/>
    </row>
    <row r="29" spans="1:17">
      <c r="A29" s="236">
        <v>26</v>
      </c>
      <c r="B29" s="234">
        <v>45956</v>
      </c>
      <c r="C29" s="73"/>
      <c r="D29" s="167"/>
      <c r="E29" s="275"/>
      <c r="F29" s="275"/>
      <c r="G29" s="8">
        <f t="shared" si="0"/>
        <v>0</v>
      </c>
      <c r="H29" s="71">
        <v>0</v>
      </c>
      <c r="I29" s="72">
        <v>0</v>
      </c>
      <c r="J29" s="8">
        <f t="shared" si="1"/>
        <v>0</v>
      </c>
      <c r="K29" s="8">
        <f t="shared" si="2"/>
        <v>0</v>
      </c>
      <c r="L29" s="74">
        <v>0</v>
      </c>
      <c r="M29" s="74">
        <f t="shared" si="4"/>
        <v>167115.06209999998</v>
      </c>
      <c r="N29" s="8"/>
      <c r="O29" s="75"/>
    </row>
    <row r="30" spans="1:17">
      <c r="A30" s="236">
        <v>27</v>
      </c>
      <c r="B30" s="234">
        <v>45957</v>
      </c>
      <c r="C30" s="73"/>
      <c r="D30" s="167"/>
      <c r="E30" s="275"/>
      <c r="F30" s="275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v>0</v>
      </c>
      <c r="M30" s="74">
        <f t="shared" si="4"/>
        <v>167115.06209999998</v>
      </c>
      <c r="N30" s="8"/>
      <c r="O30" s="75"/>
    </row>
    <row r="31" spans="1:17">
      <c r="A31" s="236">
        <v>28</v>
      </c>
      <c r="B31" s="234">
        <v>45958</v>
      </c>
      <c r="C31" s="73"/>
      <c r="D31" s="167"/>
      <c r="E31" s="275"/>
      <c r="F31" s="275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v>0</v>
      </c>
      <c r="M31" s="74">
        <f t="shared" si="4"/>
        <v>167115.06209999998</v>
      </c>
      <c r="N31" s="8"/>
      <c r="O31" s="75"/>
    </row>
    <row r="32" spans="1:17">
      <c r="A32" s="237">
        <v>29</v>
      </c>
      <c r="B32" s="234">
        <v>45959</v>
      </c>
      <c r="C32" s="73"/>
      <c r="D32" s="167"/>
      <c r="E32" s="275"/>
      <c r="F32" s="275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v>0</v>
      </c>
      <c r="M32" s="74">
        <f t="shared" si="4"/>
        <v>167115.06209999998</v>
      </c>
      <c r="N32" s="8"/>
      <c r="O32" s="75"/>
    </row>
    <row r="33" spans="1:15">
      <c r="A33" s="237">
        <v>30</v>
      </c>
      <c r="B33" s="234">
        <v>45960</v>
      </c>
      <c r="C33" s="73"/>
      <c r="D33" s="167"/>
      <c r="E33" s="275"/>
      <c r="F33" s="275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v>0</v>
      </c>
      <c r="M33" s="74">
        <f t="shared" si="4"/>
        <v>167115.06209999998</v>
      </c>
      <c r="N33" s="8"/>
      <c r="O33" s="75"/>
    </row>
    <row r="34" spans="1:15">
      <c r="A34" s="237">
        <v>31</v>
      </c>
      <c r="B34" s="234"/>
      <c r="C34" s="73"/>
      <c r="D34" s="167"/>
      <c r="E34" s="275"/>
      <c r="F34" s="275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v>0</v>
      </c>
      <c r="M34" s="74">
        <f t="shared" si="4"/>
        <v>167115.06209999998</v>
      </c>
      <c r="N34" s="8"/>
      <c r="O34" s="75"/>
    </row>
    <row r="35" spans="1:15">
      <c r="A35" s="68"/>
      <c r="B35" s="68"/>
      <c r="C35" s="68"/>
      <c r="D35" s="68"/>
      <c r="E35" s="276">
        <f>SUM(E4:E34)</f>
        <v>1743.87</v>
      </c>
      <c r="F35" s="276"/>
      <c r="G35" s="69">
        <f>SUM(G4:G34)</f>
        <v>167115.06209999998</v>
      </c>
      <c r="H35" s="69">
        <f>SUM(H4:H34)</f>
        <v>0</v>
      </c>
      <c r="I35" s="69"/>
      <c r="J35" s="69">
        <f>SUM(J4:J34)</f>
        <v>0</v>
      </c>
      <c r="K35" s="69">
        <f>SUM(K4:K34)</f>
        <v>167115.06209999998</v>
      </c>
      <c r="L35" s="69">
        <f>SUM(L4:L34)</f>
        <v>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R18" sqref="R18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38" t="s">
        <v>20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0</v>
      </c>
      <c r="N3" s="164"/>
      <c r="O3" s="65"/>
    </row>
    <row r="4" spans="1:18">
      <c r="A4" s="208">
        <v>1</v>
      </c>
      <c r="B4" s="234">
        <v>45931</v>
      </c>
      <c r="C4" s="73"/>
      <c r="D4" s="167"/>
      <c r="E4" s="275"/>
      <c r="F4" s="275"/>
      <c r="G4" s="8">
        <f t="shared" ref="G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8">
      <c r="A5" s="50">
        <v>2</v>
      </c>
      <c r="B5" s="234">
        <v>45932</v>
      </c>
      <c r="C5" s="73"/>
      <c r="D5" s="167"/>
      <c r="E5" s="275"/>
      <c r="F5" s="275"/>
      <c r="G5" s="8">
        <f t="shared" ref="G5:G33" si="1">E5*F5</f>
        <v>0</v>
      </c>
      <c r="H5" s="71">
        <v>0</v>
      </c>
      <c r="I5" s="72">
        <v>0</v>
      </c>
      <c r="J5" s="8">
        <f t="shared" ref="J5:J33" si="2">H5*I5</f>
        <v>0</v>
      </c>
      <c r="K5" s="8">
        <f t="shared" ref="K5:K33" si="3">G5+J5</f>
        <v>0</v>
      </c>
      <c r="L5" s="74">
        <f t="shared" ref="L5:L33" si="4">+K5</f>
        <v>0</v>
      </c>
      <c r="M5" s="74">
        <v>0</v>
      </c>
      <c r="N5" s="8"/>
    </row>
    <row r="6" spans="1:18">
      <c r="A6" s="50">
        <v>3</v>
      </c>
      <c r="B6" s="234">
        <v>45933</v>
      </c>
      <c r="C6" s="73"/>
      <c r="D6" s="167"/>
      <c r="E6" s="275"/>
      <c r="F6" s="275"/>
      <c r="G6" s="8">
        <f t="shared" si="1"/>
        <v>0</v>
      </c>
      <c r="H6" s="71">
        <v>0</v>
      </c>
      <c r="I6" s="72">
        <v>0</v>
      </c>
      <c r="J6" s="8">
        <f t="shared" si="2"/>
        <v>0</v>
      </c>
      <c r="K6" s="8">
        <f t="shared" si="3"/>
        <v>0</v>
      </c>
      <c r="L6" s="74">
        <f t="shared" si="4"/>
        <v>0</v>
      </c>
      <c r="M6" s="74">
        <v>0</v>
      </c>
      <c r="N6" s="8"/>
    </row>
    <row r="7" spans="1:18">
      <c r="A7" s="50">
        <v>4</v>
      </c>
      <c r="B7" s="234">
        <v>45934</v>
      </c>
      <c r="C7" s="73"/>
      <c r="D7" s="167"/>
      <c r="E7" s="275"/>
      <c r="F7" s="275"/>
      <c r="G7" s="8">
        <f t="shared" si="1"/>
        <v>0</v>
      </c>
      <c r="H7" s="71">
        <v>0</v>
      </c>
      <c r="I7" s="72">
        <v>0</v>
      </c>
      <c r="J7" s="8">
        <f t="shared" si="2"/>
        <v>0</v>
      </c>
      <c r="K7" s="8">
        <f t="shared" si="3"/>
        <v>0</v>
      </c>
      <c r="L7" s="74">
        <f t="shared" si="4"/>
        <v>0</v>
      </c>
      <c r="M7" s="74">
        <v>0</v>
      </c>
      <c r="N7" s="8"/>
    </row>
    <row r="8" spans="1:18">
      <c r="A8" s="50">
        <v>5</v>
      </c>
      <c r="B8" s="234">
        <v>45935</v>
      </c>
      <c r="C8" s="73"/>
      <c r="D8" s="167"/>
      <c r="E8" s="275"/>
      <c r="F8" s="275"/>
      <c r="G8" s="8">
        <f t="shared" si="1"/>
        <v>0</v>
      </c>
      <c r="H8" s="71">
        <v>0</v>
      </c>
      <c r="I8" s="72">
        <v>0</v>
      </c>
      <c r="J8" s="8">
        <f t="shared" si="2"/>
        <v>0</v>
      </c>
      <c r="K8" s="8">
        <f t="shared" si="3"/>
        <v>0</v>
      </c>
      <c r="L8" s="74">
        <f t="shared" si="4"/>
        <v>0</v>
      </c>
      <c r="M8" s="74">
        <v>0</v>
      </c>
      <c r="N8" s="8"/>
      <c r="O8" s="75"/>
      <c r="R8" s="241"/>
    </row>
    <row r="9" spans="1:18">
      <c r="A9" s="50">
        <v>6</v>
      </c>
      <c r="B9" s="234">
        <v>45936</v>
      </c>
      <c r="C9" s="73"/>
      <c r="D9" s="167"/>
      <c r="E9" s="275"/>
      <c r="F9" s="275"/>
      <c r="G9" s="8">
        <f t="shared" si="1"/>
        <v>0</v>
      </c>
      <c r="H9" s="71">
        <v>0</v>
      </c>
      <c r="I9" s="72">
        <v>0</v>
      </c>
      <c r="J9" s="8">
        <f t="shared" si="2"/>
        <v>0</v>
      </c>
      <c r="K9" s="8">
        <f t="shared" si="3"/>
        <v>0</v>
      </c>
      <c r="L9" s="74">
        <f t="shared" si="4"/>
        <v>0</v>
      </c>
      <c r="M9" s="74">
        <v>0</v>
      </c>
      <c r="N9" s="8"/>
      <c r="O9" s="75"/>
    </row>
    <row r="10" spans="1:18">
      <c r="A10" s="50">
        <v>7</v>
      </c>
      <c r="B10" s="234">
        <v>45937</v>
      </c>
      <c r="C10" s="73"/>
      <c r="D10" s="167"/>
      <c r="E10" s="275">
        <v>43.61</v>
      </c>
      <c r="F10" s="275">
        <v>96.83</v>
      </c>
      <c r="G10" s="8">
        <f t="shared" si="1"/>
        <v>4222.7563</v>
      </c>
      <c r="H10" s="71">
        <v>0</v>
      </c>
      <c r="I10" s="72">
        <v>0</v>
      </c>
      <c r="J10" s="8">
        <f t="shared" si="2"/>
        <v>0</v>
      </c>
      <c r="K10" s="8">
        <f t="shared" si="3"/>
        <v>4222.7563</v>
      </c>
      <c r="L10" s="74">
        <f t="shared" si="4"/>
        <v>4222.7563</v>
      </c>
      <c r="M10" s="74">
        <v>0</v>
      </c>
      <c r="N10" s="8"/>
      <c r="O10" s="75"/>
    </row>
    <row r="11" spans="1:18">
      <c r="A11" s="50">
        <v>8</v>
      </c>
      <c r="B11" s="234">
        <v>45938</v>
      </c>
      <c r="C11" s="73"/>
      <c r="D11" s="167"/>
      <c r="E11" s="275"/>
      <c r="F11" s="275"/>
      <c r="G11" s="8">
        <f t="shared" si="1"/>
        <v>0</v>
      </c>
      <c r="H11" s="71">
        <v>0</v>
      </c>
      <c r="I11" s="72">
        <v>0</v>
      </c>
      <c r="J11" s="8">
        <f t="shared" si="2"/>
        <v>0</v>
      </c>
      <c r="K11" s="8">
        <f t="shared" si="3"/>
        <v>0</v>
      </c>
      <c r="L11" s="74">
        <f t="shared" si="4"/>
        <v>0</v>
      </c>
      <c r="M11" s="74">
        <v>0</v>
      </c>
      <c r="N11" s="8"/>
      <c r="O11" s="75"/>
    </row>
    <row r="12" spans="1:18">
      <c r="A12" s="50">
        <v>9</v>
      </c>
      <c r="B12" s="234">
        <v>45939</v>
      </c>
      <c r="C12" s="73"/>
      <c r="D12" s="167"/>
      <c r="E12" s="275"/>
      <c r="F12" s="275"/>
      <c r="G12" s="8">
        <f t="shared" si="1"/>
        <v>0</v>
      </c>
      <c r="H12" s="71">
        <v>0</v>
      </c>
      <c r="I12" s="72">
        <v>0</v>
      </c>
      <c r="J12" s="8">
        <f t="shared" si="2"/>
        <v>0</v>
      </c>
      <c r="K12" s="8">
        <f t="shared" si="3"/>
        <v>0</v>
      </c>
      <c r="L12" s="74">
        <f t="shared" si="4"/>
        <v>0</v>
      </c>
      <c r="M12" s="74">
        <v>0</v>
      </c>
      <c r="N12" s="8"/>
      <c r="O12" s="75"/>
    </row>
    <row r="13" spans="1:18">
      <c r="A13" s="50">
        <v>10</v>
      </c>
      <c r="B13" s="234">
        <v>45940</v>
      </c>
      <c r="C13" s="73"/>
      <c r="D13" s="167"/>
      <c r="E13" s="275"/>
      <c r="F13" s="275"/>
      <c r="G13" s="8">
        <f t="shared" si="1"/>
        <v>0</v>
      </c>
      <c r="H13" s="71">
        <v>0</v>
      </c>
      <c r="I13" s="72">
        <v>0</v>
      </c>
      <c r="J13" s="8">
        <f t="shared" si="2"/>
        <v>0</v>
      </c>
      <c r="K13" s="8">
        <f t="shared" si="3"/>
        <v>0</v>
      </c>
      <c r="L13" s="74">
        <f t="shared" si="4"/>
        <v>0</v>
      </c>
      <c r="M13" s="74">
        <v>0</v>
      </c>
      <c r="N13" s="8"/>
      <c r="O13" s="75"/>
    </row>
    <row r="14" spans="1:18">
      <c r="A14" s="50">
        <v>11</v>
      </c>
      <c r="B14" s="234">
        <v>45941</v>
      </c>
      <c r="C14" s="73"/>
      <c r="D14" s="167"/>
      <c r="E14" s="275"/>
      <c r="F14" s="275"/>
      <c r="G14" s="8">
        <f t="shared" si="1"/>
        <v>0</v>
      </c>
      <c r="H14" s="71">
        <v>0</v>
      </c>
      <c r="I14" s="72">
        <v>0</v>
      </c>
      <c r="J14" s="8">
        <f t="shared" si="2"/>
        <v>0</v>
      </c>
      <c r="K14" s="8">
        <f t="shared" si="3"/>
        <v>0</v>
      </c>
      <c r="L14" s="74">
        <f t="shared" si="4"/>
        <v>0</v>
      </c>
      <c r="M14" s="74">
        <v>0</v>
      </c>
      <c r="N14" s="8"/>
      <c r="O14" s="75"/>
    </row>
    <row r="15" spans="1:18">
      <c r="A15" s="50">
        <v>12</v>
      </c>
      <c r="B15" s="234">
        <v>45942</v>
      </c>
      <c r="C15" s="73"/>
      <c r="D15" s="167"/>
      <c r="E15" s="275"/>
      <c r="F15" s="275"/>
      <c r="G15" s="8">
        <f t="shared" si="1"/>
        <v>0</v>
      </c>
      <c r="H15" s="71">
        <v>0</v>
      </c>
      <c r="I15" s="72">
        <v>0</v>
      </c>
      <c r="J15" s="8">
        <f t="shared" si="2"/>
        <v>0</v>
      </c>
      <c r="K15" s="8">
        <f t="shared" si="3"/>
        <v>0</v>
      </c>
      <c r="L15" s="74">
        <f t="shared" si="4"/>
        <v>0</v>
      </c>
      <c r="M15" s="74">
        <v>0</v>
      </c>
      <c r="N15" s="8"/>
      <c r="O15" s="75"/>
    </row>
    <row r="16" spans="1:18">
      <c r="A16" s="50">
        <v>13</v>
      </c>
      <c r="B16" s="234">
        <v>45943</v>
      </c>
      <c r="C16" s="73"/>
      <c r="D16" s="167"/>
      <c r="E16" s="275"/>
      <c r="F16" s="275"/>
      <c r="G16" s="8">
        <f t="shared" si="1"/>
        <v>0</v>
      </c>
      <c r="H16" s="71">
        <v>0</v>
      </c>
      <c r="I16" s="72">
        <v>0</v>
      </c>
      <c r="J16" s="8">
        <f t="shared" si="2"/>
        <v>0</v>
      </c>
      <c r="K16" s="8">
        <f t="shared" si="3"/>
        <v>0</v>
      </c>
      <c r="L16" s="74">
        <f t="shared" si="4"/>
        <v>0</v>
      </c>
      <c r="M16" s="74">
        <v>0</v>
      </c>
      <c r="N16" s="8"/>
      <c r="O16" s="75"/>
    </row>
    <row r="17" spans="1:15">
      <c r="A17" s="50">
        <v>14</v>
      </c>
      <c r="B17" s="234">
        <v>45944</v>
      </c>
      <c r="C17" s="73"/>
      <c r="D17" s="167"/>
      <c r="E17" s="275"/>
      <c r="F17" s="275"/>
      <c r="G17" s="8">
        <f t="shared" si="1"/>
        <v>0</v>
      </c>
      <c r="H17" s="71">
        <v>0</v>
      </c>
      <c r="I17" s="72">
        <v>0</v>
      </c>
      <c r="J17" s="8">
        <f t="shared" si="2"/>
        <v>0</v>
      </c>
      <c r="K17" s="8">
        <f t="shared" si="3"/>
        <v>0</v>
      </c>
      <c r="L17" s="74">
        <f t="shared" si="4"/>
        <v>0</v>
      </c>
      <c r="M17" s="74">
        <v>0</v>
      </c>
      <c r="N17" s="8"/>
      <c r="O17" s="75"/>
    </row>
    <row r="18" spans="1:15">
      <c r="A18" s="50">
        <v>15</v>
      </c>
      <c r="B18" s="234">
        <v>45945</v>
      </c>
      <c r="C18" s="73"/>
      <c r="D18" s="167"/>
      <c r="E18" s="275"/>
      <c r="F18" s="275"/>
      <c r="G18" s="8">
        <f t="shared" si="1"/>
        <v>0</v>
      </c>
      <c r="H18" s="71">
        <v>0</v>
      </c>
      <c r="I18" s="72">
        <v>0</v>
      </c>
      <c r="J18" s="8">
        <f t="shared" si="2"/>
        <v>0</v>
      </c>
      <c r="K18" s="8">
        <f t="shared" si="3"/>
        <v>0</v>
      </c>
      <c r="L18" s="74">
        <f t="shared" si="4"/>
        <v>0</v>
      </c>
      <c r="M18" s="74">
        <v>0</v>
      </c>
      <c r="N18" s="8"/>
      <c r="O18" s="75"/>
    </row>
    <row r="19" spans="1:15">
      <c r="A19" s="50">
        <v>16</v>
      </c>
      <c r="B19" s="234">
        <v>45946</v>
      </c>
      <c r="C19" s="73"/>
      <c r="D19" s="167"/>
      <c r="E19" s="275"/>
      <c r="F19" s="275"/>
      <c r="G19" s="8">
        <f t="shared" si="1"/>
        <v>0</v>
      </c>
      <c r="H19" s="71">
        <v>0</v>
      </c>
      <c r="I19" s="72">
        <v>0</v>
      </c>
      <c r="J19" s="8">
        <f t="shared" si="2"/>
        <v>0</v>
      </c>
      <c r="K19" s="8">
        <f t="shared" si="3"/>
        <v>0</v>
      </c>
      <c r="L19" s="74">
        <f t="shared" si="4"/>
        <v>0</v>
      </c>
      <c r="M19" s="74">
        <v>0</v>
      </c>
      <c r="N19" s="8"/>
      <c r="O19" s="75"/>
    </row>
    <row r="20" spans="1:15">
      <c r="A20" s="50">
        <v>17</v>
      </c>
      <c r="B20" s="234">
        <v>45947</v>
      </c>
      <c r="C20" s="73"/>
      <c r="D20" s="167"/>
      <c r="E20" s="275"/>
      <c r="F20" s="275"/>
      <c r="G20" s="8">
        <f t="shared" si="1"/>
        <v>0</v>
      </c>
      <c r="H20" s="71">
        <v>0</v>
      </c>
      <c r="I20" s="72">
        <v>0</v>
      </c>
      <c r="J20" s="8">
        <f t="shared" si="2"/>
        <v>0</v>
      </c>
      <c r="K20" s="8">
        <f t="shared" si="3"/>
        <v>0</v>
      </c>
      <c r="L20" s="74">
        <f t="shared" si="4"/>
        <v>0</v>
      </c>
      <c r="M20" s="74">
        <v>0</v>
      </c>
      <c r="N20" s="8"/>
      <c r="O20" s="75"/>
    </row>
    <row r="21" spans="1:15">
      <c r="A21" s="50">
        <v>18</v>
      </c>
      <c r="B21" s="234">
        <v>45948</v>
      </c>
      <c r="C21" s="73"/>
      <c r="D21" s="167"/>
      <c r="E21" s="275"/>
      <c r="F21" s="275"/>
      <c r="G21" s="8">
        <f t="shared" si="1"/>
        <v>0</v>
      </c>
      <c r="H21" s="71">
        <v>0</v>
      </c>
      <c r="I21" s="72">
        <v>0</v>
      </c>
      <c r="J21" s="8">
        <f t="shared" si="2"/>
        <v>0</v>
      </c>
      <c r="K21" s="8">
        <f t="shared" si="3"/>
        <v>0</v>
      </c>
      <c r="L21" s="74">
        <f t="shared" si="4"/>
        <v>0</v>
      </c>
      <c r="M21" s="74">
        <v>0</v>
      </c>
      <c r="N21" s="8"/>
      <c r="O21" s="75"/>
    </row>
    <row r="22" spans="1:15">
      <c r="A22" s="50">
        <v>19</v>
      </c>
      <c r="B22" s="234">
        <v>45949</v>
      </c>
      <c r="C22" s="73"/>
      <c r="D22" s="167"/>
      <c r="E22" s="275"/>
      <c r="F22" s="275"/>
      <c r="G22" s="8">
        <f t="shared" si="1"/>
        <v>0</v>
      </c>
      <c r="H22" s="71">
        <v>0</v>
      </c>
      <c r="I22" s="72">
        <v>0</v>
      </c>
      <c r="J22" s="8">
        <f t="shared" si="2"/>
        <v>0</v>
      </c>
      <c r="K22" s="8">
        <f t="shared" si="3"/>
        <v>0</v>
      </c>
      <c r="L22" s="74">
        <f t="shared" si="4"/>
        <v>0</v>
      </c>
      <c r="M22" s="74">
        <v>0</v>
      </c>
      <c r="N22" s="8"/>
      <c r="O22" s="75"/>
    </row>
    <row r="23" spans="1:15">
      <c r="A23" s="50">
        <v>20</v>
      </c>
      <c r="B23" s="234">
        <v>45950</v>
      </c>
      <c r="C23" s="73"/>
      <c r="D23" s="167"/>
      <c r="E23" s="275"/>
      <c r="F23" s="275"/>
      <c r="G23" s="8">
        <f t="shared" si="1"/>
        <v>0</v>
      </c>
      <c r="H23" s="71">
        <v>0</v>
      </c>
      <c r="I23" s="72">
        <v>0</v>
      </c>
      <c r="J23" s="8">
        <f t="shared" si="2"/>
        <v>0</v>
      </c>
      <c r="K23" s="8">
        <f t="shared" si="3"/>
        <v>0</v>
      </c>
      <c r="L23" s="74">
        <f t="shared" si="4"/>
        <v>0</v>
      </c>
      <c r="M23" s="74">
        <v>0</v>
      </c>
      <c r="N23" s="8"/>
      <c r="O23" s="75"/>
    </row>
    <row r="24" spans="1:15">
      <c r="A24" s="50">
        <v>21</v>
      </c>
      <c r="B24" s="234">
        <v>45951</v>
      </c>
      <c r="C24" s="73"/>
      <c r="D24" s="167"/>
      <c r="E24" s="275"/>
      <c r="F24" s="275"/>
      <c r="G24" s="8">
        <f t="shared" si="1"/>
        <v>0</v>
      </c>
      <c r="H24" s="71">
        <v>0</v>
      </c>
      <c r="I24" s="72">
        <v>0</v>
      </c>
      <c r="J24" s="8">
        <f t="shared" si="2"/>
        <v>0</v>
      </c>
      <c r="K24" s="8">
        <f t="shared" si="3"/>
        <v>0</v>
      </c>
      <c r="L24" s="74">
        <f t="shared" si="4"/>
        <v>0</v>
      </c>
      <c r="M24" s="74">
        <v>0</v>
      </c>
      <c r="N24" s="8"/>
      <c r="O24" s="75"/>
    </row>
    <row r="25" spans="1:15">
      <c r="A25" s="50">
        <v>22</v>
      </c>
      <c r="B25" s="234">
        <v>45952</v>
      </c>
      <c r="C25" s="73"/>
      <c r="D25" s="167"/>
      <c r="E25" s="275"/>
      <c r="F25" s="275"/>
      <c r="G25" s="8">
        <f t="shared" si="1"/>
        <v>0</v>
      </c>
      <c r="H25" s="71">
        <v>0</v>
      </c>
      <c r="I25" s="72">
        <v>0</v>
      </c>
      <c r="J25" s="8">
        <f t="shared" si="2"/>
        <v>0</v>
      </c>
      <c r="K25" s="8">
        <f t="shared" si="3"/>
        <v>0</v>
      </c>
      <c r="L25" s="74">
        <f t="shared" si="4"/>
        <v>0</v>
      </c>
      <c r="M25" s="74">
        <v>0</v>
      </c>
      <c r="N25" s="8"/>
      <c r="O25" s="75"/>
    </row>
    <row r="26" spans="1:15">
      <c r="A26" s="50">
        <v>23</v>
      </c>
      <c r="B26" s="234">
        <v>45953</v>
      </c>
      <c r="C26" s="73"/>
      <c r="D26" s="167"/>
      <c r="E26" s="275">
        <v>0</v>
      </c>
      <c r="F26" s="8">
        <v>0</v>
      </c>
      <c r="G26" s="8">
        <f t="shared" si="1"/>
        <v>0</v>
      </c>
      <c r="H26" s="71">
        <v>0</v>
      </c>
      <c r="I26" s="72">
        <v>0</v>
      </c>
      <c r="J26" s="8">
        <f t="shared" si="2"/>
        <v>0</v>
      </c>
      <c r="K26" s="8">
        <f t="shared" si="3"/>
        <v>0</v>
      </c>
      <c r="L26" s="74">
        <f t="shared" si="4"/>
        <v>0</v>
      </c>
      <c r="M26" s="74">
        <v>0</v>
      </c>
      <c r="N26" s="8"/>
      <c r="O26" s="75"/>
    </row>
    <row r="27" spans="1:15">
      <c r="A27" s="50">
        <v>24</v>
      </c>
      <c r="B27" s="234">
        <v>45954</v>
      </c>
      <c r="C27" s="73"/>
      <c r="D27" s="167"/>
      <c r="E27" s="275">
        <v>42.27</v>
      </c>
      <c r="F27" s="8">
        <v>96.83</v>
      </c>
      <c r="G27" s="8">
        <f t="shared" si="1"/>
        <v>4093.0041000000001</v>
      </c>
      <c r="H27" s="71">
        <v>0</v>
      </c>
      <c r="I27" s="72">
        <v>0</v>
      </c>
      <c r="J27" s="8">
        <f t="shared" si="2"/>
        <v>0</v>
      </c>
      <c r="K27" s="8">
        <f t="shared" si="3"/>
        <v>4093.0041000000001</v>
      </c>
      <c r="L27" s="74">
        <f t="shared" si="4"/>
        <v>4093.0041000000001</v>
      </c>
      <c r="M27" s="74">
        <v>0</v>
      </c>
      <c r="N27" s="8"/>
      <c r="O27" s="75"/>
    </row>
    <row r="28" spans="1:15">
      <c r="A28" s="236">
        <v>25</v>
      </c>
      <c r="B28" s="234">
        <v>45955</v>
      </c>
      <c r="C28" s="73"/>
      <c r="D28" s="167"/>
      <c r="E28" s="275"/>
      <c r="F28" s="275"/>
      <c r="G28" s="8">
        <f t="shared" si="1"/>
        <v>0</v>
      </c>
      <c r="H28" s="71">
        <v>0</v>
      </c>
      <c r="I28" s="72">
        <v>0</v>
      </c>
      <c r="J28" s="8">
        <f t="shared" si="2"/>
        <v>0</v>
      </c>
      <c r="K28" s="8">
        <f t="shared" si="3"/>
        <v>0</v>
      </c>
      <c r="L28" s="74">
        <f t="shared" si="4"/>
        <v>0</v>
      </c>
      <c r="M28" s="74">
        <v>0</v>
      </c>
      <c r="N28" s="8"/>
      <c r="O28" s="75"/>
    </row>
    <row r="29" spans="1:15">
      <c r="A29" s="236">
        <v>26</v>
      </c>
      <c r="B29" s="234">
        <v>45956</v>
      </c>
      <c r="C29" s="73"/>
      <c r="D29" s="167"/>
      <c r="E29" s="275"/>
      <c r="F29" s="275"/>
      <c r="G29" s="8">
        <f t="shared" si="1"/>
        <v>0</v>
      </c>
      <c r="H29" s="71">
        <v>0</v>
      </c>
      <c r="I29" s="72">
        <v>0</v>
      </c>
      <c r="J29" s="8">
        <f t="shared" si="2"/>
        <v>0</v>
      </c>
      <c r="K29" s="8">
        <f t="shared" si="3"/>
        <v>0</v>
      </c>
      <c r="L29" s="74">
        <f t="shared" si="4"/>
        <v>0</v>
      </c>
      <c r="M29" s="74">
        <v>0</v>
      </c>
      <c r="N29" s="8"/>
      <c r="O29" s="75"/>
    </row>
    <row r="30" spans="1:15">
      <c r="A30" s="236">
        <v>27</v>
      </c>
      <c r="B30" s="234">
        <v>45957</v>
      </c>
      <c r="C30" s="73"/>
      <c r="D30" s="167"/>
      <c r="E30" s="275"/>
      <c r="F30" s="275"/>
      <c r="G30" s="8">
        <f t="shared" si="1"/>
        <v>0</v>
      </c>
      <c r="H30" s="71">
        <v>0</v>
      </c>
      <c r="I30" s="72">
        <v>0</v>
      </c>
      <c r="J30" s="8">
        <f t="shared" si="2"/>
        <v>0</v>
      </c>
      <c r="K30" s="8">
        <f t="shared" si="3"/>
        <v>0</v>
      </c>
      <c r="L30" s="74">
        <f t="shared" si="4"/>
        <v>0</v>
      </c>
      <c r="M30" s="74">
        <v>0</v>
      </c>
      <c r="N30" s="8"/>
      <c r="O30" s="75"/>
    </row>
    <row r="31" spans="1:15">
      <c r="A31" s="236">
        <v>28</v>
      </c>
      <c r="B31" s="234">
        <v>45958</v>
      </c>
      <c r="C31" s="73"/>
      <c r="D31" s="167"/>
      <c r="E31" s="275"/>
      <c r="F31" s="275"/>
      <c r="G31" s="8">
        <f t="shared" si="1"/>
        <v>0</v>
      </c>
      <c r="H31" s="71">
        <v>0</v>
      </c>
      <c r="I31" s="72">
        <v>0</v>
      </c>
      <c r="J31" s="8">
        <f t="shared" si="2"/>
        <v>0</v>
      </c>
      <c r="K31" s="8">
        <f t="shared" si="3"/>
        <v>0</v>
      </c>
      <c r="L31" s="74">
        <f t="shared" si="4"/>
        <v>0</v>
      </c>
      <c r="M31" s="74">
        <v>0</v>
      </c>
      <c r="N31" s="8"/>
      <c r="O31" s="75"/>
    </row>
    <row r="32" spans="1:15">
      <c r="A32" s="237">
        <v>29</v>
      </c>
      <c r="B32" s="234">
        <v>45959</v>
      </c>
      <c r="C32" s="73"/>
      <c r="D32" s="167"/>
      <c r="E32" s="275"/>
      <c r="F32" s="275"/>
      <c r="G32" s="8">
        <f t="shared" si="1"/>
        <v>0</v>
      </c>
      <c r="H32" s="71">
        <v>0</v>
      </c>
      <c r="I32" s="72">
        <v>0</v>
      </c>
      <c r="J32" s="8">
        <f t="shared" si="2"/>
        <v>0</v>
      </c>
      <c r="K32" s="8">
        <f t="shared" si="3"/>
        <v>0</v>
      </c>
      <c r="L32" s="74">
        <f t="shared" si="4"/>
        <v>0</v>
      </c>
      <c r="M32" s="74">
        <v>0</v>
      </c>
      <c r="N32" s="8"/>
      <c r="O32" s="75"/>
    </row>
    <row r="33" spans="1:15">
      <c r="A33" s="237">
        <v>30</v>
      </c>
      <c r="B33" s="234">
        <v>45960</v>
      </c>
      <c r="C33" s="73"/>
      <c r="D33" s="167"/>
      <c r="E33" s="275"/>
      <c r="F33" s="275"/>
      <c r="G33" s="8">
        <f t="shared" si="1"/>
        <v>0</v>
      </c>
      <c r="H33" s="71">
        <v>0</v>
      </c>
      <c r="I33" s="72">
        <v>0</v>
      </c>
      <c r="J33" s="8">
        <f t="shared" si="2"/>
        <v>0</v>
      </c>
      <c r="K33" s="8">
        <f t="shared" si="3"/>
        <v>0</v>
      </c>
      <c r="L33" s="74">
        <f t="shared" si="4"/>
        <v>0</v>
      </c>
      <c r="M33" s="74">
        <v>0</v>
      </c>
      <c r="N33" s="8"/>
      <c r="O33" s="75"/>
    </row>
    <row r="34" spans="1:15">
      <c r="A34" s="237">
        <v>31</v>
      </c>
      <c r="B34" s="234"/>
      <c r="C34" s="73"/>
      <c r="D34" s="167"/>
      <c r="E34" s="275"/>
      <c r="F34" s="275"/>
      <c r="G34" s="8">
        <f t="shared" ref="G34" si="5">E34*F34</f>
        <v>0</v>
      </c>
      <c r="H34" s="71">
        <v>0</v>
      </c>
      <c r="I34" s="72">
        <v>0</v>
      </c>
      <c r="J34" s="8">
        <f t="shared" ref="J34" si="6">H34*I34</f>
        <v>0</v>
      </c>
      <c r="K34" s="8">
        <f t="shared" ref="K34" si="7">G34+J34</f>
        <v>0</v>
      </c>
      <c r="L34" s="74">
        <f t="shared" ref="L34" si="8">+K34</f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6">
        <f>SUM(E4:E34)</f>
        <v>85.88</v>
      </c>
      <c r="F35" s="276"/>
      <c r="G35" s="69">
        <f>SUM(G4:G34)</f>
        <v>8315.7603999999992</v>
      </c>
      <c r="H35" s="69">
        <f>SUM(H4:H34)</f>
        <v>0</v>
      </c>
      <c r="I35" s="69"/>
      <c r="J35" s="69">
        <f>SUM(J4:J34)</f>
        <v>0</v>
      </c>
      <c r="K35" s="69">
        <f>SUM(K4:K34)</f>
        <v>8315.7603999999992</v>
      </c>
      <c r="L35" s="69">
        <f>SUM(L4:L34)</f>
        <v>8315.7603999999992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6"/>
  <sheetViews>
    <sheetView workbookViewId="0">
      <selection activeCell="G41" sqref="G41"/>
    </sheetView>
  </sheetViews>
  <sheetFormatPr defaultColWidth="18.28515625" defaultRowHeight="15"/>
  <cols>
    <col min="1" max="1" width="9" customWidth="1"/>
    <col min="2" max="2" width="13.42578125" customWidth="1"/>
    <col min="3" max="3" width="43" bestFit="1" customWidth="1"/>
    <col min="4" max="4" width="12.8554687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438" t="s">
        <v>30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 ht="30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0</v>
      </c>
      <c r="N3" s="164"/>
      <c r="O3" s="65"/>
    </row>
    <row r="4" spans="1:18">
      <c r="A4" s="208">
        <v>1</v>
      </c>
      <c r="B4" s="357">
        <v>45931</v>
      </c>
      <c r="C4" s="419"/>
      <c r="D4" s="173"/>
      <c r="E4" s="420"/>
      <c r="F4" s="71"/>
      <c r="G4" s="8">
        <f t="shared" ref="G4" si="0">E4*F4</f>
        <v>0</v>
      </c>
      <c r="H4" s="420"/>
      <c r="I4" s="71"/>
      <c r="J4" s="8">
        <f>H4*I4</f>
        <v>0</v>
      </c>
      <c r="K4" s="8">
        <f>G4+J4</f>
        <v>0</v>
      </c>
      <c r="L4" s="74"/>
      <c r="M4" s="74">
        <f>+M3+K4-L4</f>
        <v>0</v>
      </c>
      <c r="N4" s="8"/>
    </row>
    <row r="5" spans="1:18">
      <c r="A5" s="236">
        <v>2</v>
      </c>
      <c r="B5" s="417">
        <v>45932</v>
      </c>
      <c r="C5" s="25"/>
      <c r="D5" s="421"/>
      <c r="E5" s="420"/>
      <c r="F5" s="71"/>
      <c r="G5" s="8">
        <f t="shared" ref="G5:G36" si="1">E5*F5</f>
        <v>0</v>
      </c>
      <c r="H5" s="71"/>
      <c r="I5" s="422"/>
      <c r="J5" s="8">
        <f t="shared" ref="J5:J36" si="2">H5*I5</f>
        <v>0</v>
      </c>
      <c r="K5" s="8">
        <f t="shared" ref="K5:L36" si="3">G5+J5</f>
        <v>0</v>
      </c>
      <c r="L5" s="74"/>
      <c r="M5" s="74">
        <f t="shared" ref="M5:M36" si="4">+M4+K5-L5</f>
        <v>0</v>
      </c>
      <c r="N5" s="8"/>
    </row>
    <row r="6" spans="1:18">
      <c r="A6" s="236">
        <v>3</v>
      </c>
      <c r="B6" s="417">
        <v>45933</v>
      </c>
      <c r="C6" s="25"/>
      <c r="D6" s="421"/>
      <c r="E6" s="420"/>
      <c r="F6" s="71"/>
      <c r="G6" s="8">
        <f t="shared" si="1"/>
        <v>0</v>
      </c>
      <c r="H6" s="71"/>
      <c r="I6" s="422"/>
      <c r="J6" s="8">
        <f t="shared" si="2"/>
        <v>0</v>
      </c>
      <c r="K6" s="8">
        <f t="shared" si="3"/>
        <v>0</v>
      </c>
      <c r="L6" s="74"/>
      <c r="M6" s="74">
        <f t="shared" si="4"/>
        <v>0</v>
      </c>
      <c r="N6" s="8"/>
    </row>
    <row r="7" spans="1:18">
      <c r="A7" s="236">
        <v>4</v>
      </c>
      <c r="B7" s="417">
        <v>45934</v>
      </c>
      <c r="C7" s="25"/>
      <c r="D7" s="423" t="s">
        <v>115</v>
      </c>
      <c r="E7" s="420"/>
      <c r="F7" s="71"/>
      <c r="G7" s="8">
        <f t="shared" si="1"/>
        <v>0</v>
      </c>
      <c r="H7" s="71"/>
      <c r="I7" s="422"/>
      <c r="J7" s="8">
        <f t="shared" si="2"/>
        <v>0</v>
      </c>
      <c r="K7" s="8">
        <f t="shared" si="3"/>
        <v>0</v>
      </c>
      <c r="L7" s="74"/>
      <c r="M7" s="74">
        <f t="shared" si="4"/>
        <v>0</v>
      </c>
      <c r="N7" s="8"/>
    </row>
    <row r="8" spans="1:18">
      <c r="A8" s="236">
        <v>5</v>
      </c>
      <c r="B8" s="417">
        <v>45935</v>
      </c>
      <c r="C8" s="25" t="s">
        <v>116</v>
      </c>
      <c r="D8" s="424" t="s">
        <v>117</v>
      </c>
      <c r="E8" s="420"/>
      <c r="F8" s="71"/>
      <c r="G8" s="8">
        <f t="shared" si="1"/>
        <v>0</v>
      </c>
      <c r="H8" s="420">
        <v>25</v>
      </c>
      <c r="I8" s="423">
        <v>108.83</v>
      </c>
      <c r="J8" s="8">
        <f t="shared" si="2"/>
        <v>2720.75</v>
      </c>
      <c r="K8" s="8">
        <f t="shared" si="3"/>
        <v>2720.75</v>
      </c>
      <c r="L8" s="74">
        <v>2720.75</v>
      </c>
      <c r="M8" s="74">
        <f t="shared" si="4"/>
        <v>0</v>
      </c>
      <c r="N8" s="8"/>
      <c r="O8" s="75"/>
      <c r="R8" s="241"/>
    </row>
    <row r="9" spans="1:18">
      <c r="A9" s="236">
        <v>6</v>
      </c>
      <c r="B9" s="417">
        <v>45936</v>
      </c>
      <c r="C9" s="25" t="s">
        <v>118</v>
      </c>
      <c r="D9" s="424" t="s">
        <v>117</v>
      </c>
      <c r="E9" s="8">
        <v>20.68</v>
      </c>
      <c r="F9" s="71">
        <v>96.71</v>
      </c>
      <c r="G9" s="8">
        <f t="shared" si="1"/>
        <v>1999.9627999999998</v>
      </c>
      <c r="H9" s="71"/>
      <c r="I9" s="422"/>
      <c r="J9" s="8">
        <f t="shared" si="2"/>
        <v>0</v>
      </c>
      <c r="K9" s="8">
        <f t="shared" si="3"/>
        <v>1999.9627999999998</v>
      </c>
      <c r="L9" s="74">
        <v>1999.96</v>
      </c>
      <c r="M9" s="74">
        <f t="shared" si="4"/>
        <v>2.7999999997518898E-3</v>
      </c>
      <c r="N9" s="8"/>
      <c r="O9" s="75"/>
    </row>
    <row r="10" spans="1:18">
      <c r="A10" s="236">
        <v>7</v>
      </c>
      <c r="B10" s="417">
        <v>45937</v>
      </c>
      <c r="C10" s="420" t="s">
        <v>116</v>
      </c>
      <c r="D10" s="424" t="s">
        <v>117</v>
      </c>
      <c r="E10" s="420">
        <v>44.45</v>
      </c>
      <c r="F10" s="71">
        <v>96.71</v>
      </c>
      <c r="G10" s="8">
        <f t="shared" si="1"/>
        <v>4298.7595000000001</v>
      </c>
      <c r="H10" s="71"/>
      <c r="I10" s="422"/>
      <c r="J10" s="8">
        <f t="shared" si="2"/>
        <v>0</v>
      </c>
      <c r="K10" s="8">
        <f t="shared" si="3"/>
        <v>4298.7595000000001</v>
      </c>
      <c r="L10" s="74">
        <v>4298.76</v>
      </c>
      <c r="M10" s="74">
        <f t="shared" si="4"/>
        <v>2.3000000001047738E-3</v>
      </c>
      <c r="N10" s="8"/>
      <c r="O10" s="75"/>
    </row>
    <row r="11" spans="1:18">
      <c r="A11" s="236">
        <v>8</v>
      </c>
      <c r="B11" s="417">
        <v>45938</v>
      </c>
      <c r="C11" s="25"/>
      <c r="D11" s="421"/>
      <c r="E11" s="420"/>
      <c r="F11" s="71"/>
      <c r="G11" s="8">
        <f t="shared" si="1"/>
        <v>0</v>
      </c>
      <c r="H11" s="71"/>
      <c r="I11" s="422"/>
      <c r="J11" s="8">
        <f t="shared" si="2"/>
        <v>0</v>
      </c>
      <c r="K11" s="8">
        <f t="shared" si="3"/>
        <v>0</v>
      </c>
      <c r="L11" s="74"/>
      <c r="M11" s="74">
        <f t="shared" si="4"/>
        <v>2.3000000001047738E-3</v>
      </c>
      <c r="N11" s="8"/>
      <c r="O11" s="75"/>
    </row>
    <row r="12" spans="1:18">
      <c r="A12" s="236">
        <v>9</v>
      </c>
      <c r="B12" s="417">
        <v>45939</v>
      </c>
      <c r="C12" s="25" t="s">
        <v>119</v>
      </c>
      <c r="D12" s="421" t="s">
        <v>120</v>
      </c>
      <c r="E12" s="420">
        <v>48.53</v>
      </c>
      <c r="F12" s="71">
        <v>97.66</v>
      </c>
      <c r="G12" s="8">
        <f t="shared" si="1"/>
        <v>4739.4398000000001</v>
      </c>
      <c r="H12" s="71"/>
      <c r="I12" s="422"/>
      <c r="J12" s="8">
        <f t="shared" si="2"/>
        <v>0</v>
      </c>
      <c r="K12" s="8">
        <f t="shared" si="3"/>
        <v>4739.4398000000001</v>
      </c>
      <c r="L12" s="74">
        <v>4739.4398000000001</v>
      </c>
      <c r="M12" s="74">
        <f t="shared" si="4"/>
        <v>2.3000000001047738E-3</v>
      </c>
      <c r="N12" s="8"/>
      <c r="O12" s="75"/>
    </row>
    <row r="13" spans="1:18">
      <c r="A13" s="236">
        <v>10</v>
      </c>
      <c r="B13" s="417">
        <v>45940</v>
      </c>
      <c r="C13" s="25" t="s">
        <v>119</v>
      </c>
      <c r="D13" s="421" t="s">
        <v>120</v>
      </c>
      <c r="E13" s="420"/>
      <c r="F13" s="71"/>
      <c r="G13" s="8">
        <f t="shared" si="1"/>
        <v>0</v>
      </c>
      <c r="H13" s="71">
        <v>20</v>
      </c>
      <c r="I13" s="422">
        <v>109.86</v>
      </c>
      <c r="J13" s="8">
        <f t="shared" si="2"/>
        <v>2197.1999999999998</v>
      </c>
      <c r="K13" s="8">
        <f t="shared" si="3"/>
        <v>2197.1999999999998</v>
      </c>
      <c r="L13" s="74">
        <v>2197.1999999999998</v>
      </c>
      <c r="M13" s="74">
        <f t="shared" si="4"/>
        <v>2.3000000001047738E-3</v>
      </c>
      <c r="N13" s="8"/>
      <c r="O13" s="75"/>
    </row>
    <row r="14" spans="1:18">
      <c r="A14" s="236">
        <v>11</v>
      </c>
      <c r="B14" s="417">
        <v>45941</v>
      </c>
      <c r="C14" s="25"/>
      <c r="D14" s="421"/>
      <c r="E14" s="420"/>
      <c r="F14" s="71"/>
      <c r="G14" s="8">
        <f t="shared" si="1"/>
        <v>0</v>
      </c>
      <c r="H14" s="71"/>
      <c r="I14" s="422"/>
      <c r="J14" s="8">
        <f t="shared" si="2"/>
        <v>0</v>
      </c>
      <c r="K14" s="8">
        <f t="shared" si="3"/>
        <v>0</v>
      </c>
      <c r="L14" s="74"/>
      <c r="M14" s="74">
        <f t="shared" si="4"/>
        <v>2.3000000001047738E-3</v>
      </c>
      <c r="N14" s="8"/>
      <c r="O14" s="75"/>
    </row>
    <row r="15" spans="1:18">
      <c r="A15" s="418">
        <v>12</v>
      </c>
      <c r="B15" s="417">
        <v>45942</v>
      </c>
      <c r="C15" s="25"/>
      <c r="D15" s="421"/>
      <c r="E15" s="420"/>
      <c r="F15" s="71"/>
      <c r="G15" s="8">
        <f t="shared" si="1"/>
        <v>0</v>
      </c>
      <c r="H15" s="71"/>
      <c r="I15" s="422"/>
      <c r="J15" s="8">
        <f t="shared" si="2"/>
        <v>0</v>
      </c>
      <c r="K15" s="8">
        <f t="shared" si="3"/>
        <v>0</v>
      </c>
      <c r="L15" s="74"/>
      <c r="M15" s="74">
        <f t="shared" si="4"/>
        <v>2.3000000001047738E-3</v>
      </c>
      <c r="N15" s="8"/>
      <c r="O15" s="75"/>
    </row>
    <row r="16" spans="1:18">
      <c r="A16" s="236">
        <v>13</v>
      </c>
      <c r="B16" s="417">
        <v>45943</v>
      </c>
      <c r="C16" s="420" t="s">
        <v>121</v>
      </c>
      <c r="D16" s="423" t="s">
        <v>122</v>
      </c>
      <c r="E16" s="420">
        <v>38.9</v>
      </c>
      <c r="F16" s="423">
        <v>86.75</v>
      </c>
      <c r="G16" s="8">
        <f t="shared" si="1"/>
        <v>3374.5749999999998</v>
      </c>
      <c r="H16" s="71"/>
      <c r="I16" s="422"/>
      <c r="J16" s="8">
        <f t="shared" si="2"/>
        <v>0</v>
      </c>
      <c r="K16" s="8">
        <f t="shared" si="3"/>
        <v>3374.5749999999998</v>
      </c>
      <c r="L16" s="8">
        <f t="shared" si="3"/>
        <v>3374.5749999999998</v>
      </c>
      <c r="M16" s="74">
        <f t="shared" si="4"/>
        <v>2.3000000001047738E-3</v>
      </c>
      <c r="N16" s="8"/>
      <c r="O16" s="75"/>
    </row>
    <row r="17" spans="1:17">
      <c r="A17" s="236"/>
      <c r="B17" s="417">
        <v>45943</v>
      </c>
      <c r="C17" s="420" t="s">
        <v>123</v>
      </c>
      <c r="D17" s="424" t="s">
        <v>124</v>
      </c>
      <c r="E17" s="420"/>
      <c r="F17" s="71"/>
      <c r="G17" s="8"/>
      <c r="H17" s="420">
        <v>25</v>
      </c>
      <c r="I17" s="423">
        <v>109.97</v>
      </c>
      <c r="J17" s="8">
        <f t="shared" si="2"/>
        <v>2749.25</v>
      </c>
      <c r="K17" s="8">
        <f t="shared" si="3"/>
        <v>2749.25</v>
      </c>
      <c r="L17" s="8">
        <v>2749.25</v>
      </c>
      <c r="M17" s="74"/>
      <c r="N17" s="8"/>
      <c r="O17" s="75"/>
    </row>
    <row r="18" spans="1:17">
      <c r="A18" s="236">
        <v>14</v>
      </c>
      <c r="B18" s="417">
        <v>45944</v>
      </c>
      <c r="C18" s="25"/>
      <c r="D18" s="421"/>
      <c r="E18" s="420"/>
      <c r="F18" s="71"/>
      <c r="G18" s="8">
        <f t="shared" si="1"/>
        <v>0</v>
      </c>
      <c r="H18" s="71"/>
      <c r="I18" s="422"/>
      <c r="J18" s="8">
        <f t="shared" si="2"/>
        <v>0</v>
      </c>
      <c r="K18" s="8">
        <f t="shared" si="3"/>
        <v>0</v>
      </c>
      <c r="L18" s="74"/>
      <c r="M18" s="74">
        <f>+M16+K18-L18</f>
        <v>2.3000000001047738E-3</v>
      </c>
      <c r="N18" s="8"/>
      <c r="O18" s="75"/>
    </row>
    <row r="19" spans="1:17">
      <c r="A19" s="236">
        <v>15</v>
      </c>
      <c r="B19" s="417">
        <v>45945</v>
      </c>
      <c r="C19" s="25" t="s">
        <v>125</v>
      </c>
      <c r="D19" s="421" t="s">
        <v>122</v>
      </c>
      <c r="E19" s="420">
        <v>38.04</v>
      </c>
      <c r="F19" s="71">
        <v>86.75</v>
      </c>
      <c r="G19" s="8">
        <f t="shared" si="1"/>
        <v>3299.97</v>
      </c>
      <c r="H19" s="71"/>
      <c r="I19" s="422"/>
      <c r="J19" s="8">
        <f t="shared" si="2"/>
        <v>0</v>
      </c>
      <c r="K19" s="8">
        <f t="shared" si="3"/>
        <v>3299.97</v>
      </c>
      <c r="L19" s="74">
        <v>3299.97</v>
      </c>
      <c r="M19" s="74">
        <f t="shared" si="4"/>
        <v>2.3000000001047738E-3</v>
      </c>
      <c r="N19" s="192"/>
      <c r="O19" s="75"/>
    </row>
    <row r="20" spans="1:17">
      <c r="A20" s="237">
        <v>16</v>
      </c>
      <c r="B20" s="417">
        <v>45946</v>
      </c>
      <c r="C20" s="25"/>
      <c r="D20" s="421"/>
      <c r="E20" s="420"/>
      <c r="F20" s="71"/>
      <c r="G20" s="8">
        <f t="shared" si="1"/>
        <v>0</v>
      </c>
      <c r="H20" s="71"/>
      <c r="I20" s="422"/>
      <c r="J20" s="8">
        <f t="shared" si="2"/>
        <v>0</v>
      </c>
      <c r="K20" s="8">
        <f t="shared" si="3"/>
        <v>0</v>
      </c>
      <c r="L20" s="74"/>
      <c r="M20" s="74">
        <f t="shared" si="4"/>
        <v>2.3000000001047738E-3</v>
      </c>
      <c r="N20" s="305"/>
      <c r="O20" s="75"/>
    </row>
    <row r="21" spans="1:17">
      <c r="A21" s="236">
        <v>17</v>
      </c>
      <c r="B21" s="417">
        <v>45947</v>
      </c>
      <c r="C21" s="25" t="s">
        <v>126</v>
      </c>
      <c r="D21" s="421" t="s">
        <v>127</v>
      </c>
      <c r="E21" s="420">
        <v>45.44</v>
      </c>
      <c r="F21" s="71">
        <v>97.06</v>
      </c>
      <c r="G21" s="8">
        <f t="shared" si="1"/>
        <v>4410.4063999999998</v>
      </c>
      <c r="H21" s="71"/>
      <c r="I21" s="422"/>
      <c r="J21" s="8">
        <f t="shared" si="2"/>
        <v>0</v>
      </c>
      <c r="K21" s="8">
        <f t="shared" si="3"/>
        <v>4410.4063999999998</v>
      </c>
      <c r="L21" s="74">
        <v>4410.41</v>
      </c>
      <c r="M21" s="74">
        <f t="shared" si="4"/>
        <v>-1.299999999901047E-3</v>
      </c>
      <c r="N21" s="19"/>
      <c r="O21" s="75"/>
    </row>
    <row r="22" spans="1:17">
      <c r="A22" s="236">
        <v>18</v>
      </c>
      <c r="B22" s="417">
        <v>45948</v>
      </c>
      <c r="C22" s="25" t="s">
        <v>128</v>
      </c>
      <c r="D22" s="421" t="s">
        <v>129</v>
      </c>
      <c r="E22" s="420"/>
      <c r="F22" s="71"/>
      <c r="G22" s="8">
        <f t="shared" si="1"/>
        <v>0</v>
      </c>
      <c r="H22" s="71">
        <v>25</v>
      </c>
      <c r="I22" s="422">
        <v>109.51</v>
      </c>
      <c r="J22" s="8">
        <f t="shared" si="2"/>
        <v>2737.75</v>
      </c>
      <c r="K22" s="8">
        <f t="shared" si="3"/>
        <v>2737.75</v>
      </c>
      <c r="L22" s="74">
        <v>2737.75</v>
      </c>
      <c r="M22" s="74">
        <f t="shared" si="4"/>
        <v>-1.299999999901047E-3</v>
      </c>
      <c r="N22" s="8"/>
      <c r="O22" s="75"/>
    </row>
    <row r="23" spans="1:17">
      <c r="A23" s="236">
        <v>19</v>
      </c>
      <c r="B23" s="417">
        <v>45949</v>
      </c>
      <c r="C23" s="25" t="s">
        <v>128</v>
      </c>
      <c r="D23" s="421" t="s">
        <v>129</v>
      </c>
      <c r="E23" s="420"/>
      <c r="F23" s="71"/>
      <c r="G23" s="8">
        <f t="shared" si="1"/>
        <v>0</v>
      </c>
      <c r="H23" s="71">
        <v>20</v>
      </c>
      <c r="I23" s="422">
        <v>109.51</v>
      </c>
      <c r="J23" s="8">
        <f t="shared" si="2"/>
        <v>2190.2000000000003</v>
      </c>
      <c r="K23" s="8">
        <f t="shared" si="3"/>
        <v>2190.2000000000003</v>
      </c>
      <c r="L23" s="74">
        <v>2190.1999999999998</v>
      </c>
      <c r="M23" s="74">
        <f t="shared" si="4"/>
        <v>-1.2999999994462996E-3</v>
      </c>
      <c r="N23" s="8"/>
      <c r="O23" s="75"/>
      <c r="Q23" s="22"/>
    </row>
    <row r="24" spans="1:17">
      <c r="A24" s="236">
        <v>20</v>
      </c>
      <c r="B24" s="417">
        <v>45950</v>
      </c>
      <c r="C24" s="25"/>
      <c r="D24" s="421"/>
      <c r="E24" s="420"/>
      <c r="F24" s="71"/>
      <c r="G24" s="8">
        <f t="shared" si="1"/>
        <v>0</v>
      </c>
      <c r="H24" s="71"/>
      <c r="I24" s="422"/>
      <c r="J24" s="8">
        <f t="shared" si="2"/>
        <v>0</v>
      </c>
      <c r="K24" s="8">
        <f t="shared" si="3"/>
        <v>0</v>
      </c>
      <c r="L24" s="74"/>
      <c r="M24" s="74">
        <f t="shared" si="4"/>
        <v>-1.2999999994462996E-3</v>
      </c>
      <c r="N24" s="8"/>
      <c r="O24" s="75"/>
    </row>
    <row r="25" spans="1:17">
      <c r="A25" s="236">
        <v>21</v>
      </c>
      <c r="B25" s="417">
        <v>45951</v>
      </c>
      <c r="C25" s="25"/>
      <c r="D25" s="421"/>
      <c r="E25" s="420"/>
      <c r="F25" s="71"/>
      <c r="G25" s="8">
        <f t="shared" si="1"/>
        <v>0</v>
      </c>
      <c r="H25" s="71"/>
      <c r="I25" s="422"/>
      <c r="J25" s="8">
        <f t="shared" si="2"/>
        <v>0</v>
      </c>
      <c r="K25" s="8">
        <f t="shared" si="3"/>
        <v>0</v>
      </c>
      <c r="L25" s="74"/>
      <c r="M25" s="74">
        <f t="shared" si="4"/>
        <v>-1.2999999994462996E-3</v>
      </c>
      <c r="N25" s="8"/>
      <c r="O25" s="75"/>
    </row>
    <row r="26" spans="1:17">
      <c r="A26" s="236">
        <v>22</v>
      </c>
      <c r="B26" s="417">
        <v>45952</v>
      </c>
      <c r="C26" s="25"/>
      <c r="D26" s="421"/>
      <c r="E26" s="420"/>
      <c r="F26" s="71"/>
      <c r="G26" s="8">
        <f t="shared" si="1"/>
        <v>0</v>
      </c>
      <c r="H26" s="71"/>
      <c r="I26" s="422"/>
      <c r="J26" s="8">
        <f t="shared" si="2"/>
        <v>0</v>
      </c>
      <c r="K26" s="8">
        <f t="shared" si="3"/>
        <v>0</v>
      </c>
      <c r="L26" s="74"/>
      <c r="M26" s="74">
        <f t="shared" si="4"/>
        <v>-1.2999999994462996E-3</v>
      </c>
      <c r="N26" s="8"/>
      <c r="O26" s="75"/>
    </row>
    <row r="27" spans="1:17">
      <c r="A27" s="236">
        <v>23</v>
      </c>
      <c r="B27" s="417">
        <v>45953</v>
      </c>
      <c r="C27" s="420" t="s">
        <v>130</v>
      </c>
      <c r="D27" s="423" t="s">
        <v>131</v>
      </c>
      <c r="E27" s="423">
        <v>30.89</v>
      </c>
      <c r="F27" s="423">
        <v>97.12</v>
      </c>
      <c r="G27" s="8">
        <f t="shared" si="1"/>
        <v>3000.0368000000003</v>
      </c>
      <c r="H27" s="71"/>
      <c r="I27" s="422"/>
      <c r="J27" s="8">
        <f t="shared" si="2"/>
        <v>0</v>
      </c>
      <c r="K27" s="8">
        <f t="shared" si="3"/>
        <v>3000.0368000000003</v>
      </c>
      <c r="L27" s="74">
        <v>3000.04</v>
      </c>
      <c r="M27" s="74">
        <f t="shared" si="4"/>
        <v>-4.4999999990977813E-3</v>
      </c>
      <c r="N27" s="8"/>
      <c r="O27" s="75"/>
    </row>
    <row r="28" spans="1:17">
      <c r="A28" s="236">
        <v>24</v>
      </c>
      <c r="B28" s="417">
        <v>45954</v>
      </c>
      <c r="C28" s="420" t="s">
        <v>132</v>
      </c>
      <c r="D28" s="423" t="s">
        <v>133</v>
      </c>
      <c r="E28" s="423">
        <v>30.75</v>
      </c>
      <c r="F28" s="423">
        <v>97.56</v>
      </c>
      <c r="G28" s="8">
        <f t="shared" si="1"/>
        <v>2999.9700000000003</v>
      </c>
      <c r="H28" s="71"/>
      <c r="I28" s="422"/>
      <c r="J28" s="8">
        <f t="shared" si="2"/>
        <v>0</v>
      </c>
      <c r="K28" s="8">
        <f t="shared" si="3"/>
        <v>2999.9700000000003</v>
      </c>
      <c r="L28" s="74">
        <v>2999.97</v>
      </c>
      <c r="M28" s="74">
        <f t="shared" si="4"/>
        <v>-4.4999999986430339E-3</v>
      </c>
      <c r="N28" s="8"/>
      <c r="O28" s="75"/>
    </row>
    <row r="29" spans="1:17">
      <c r="A29" s="236">
        <v>25</v>
      </c>
      <c r="B29" s="417">
        <v>45955</v>
      </c>
      <c r="C29" s="420" t="s">
        <v>134</v>
      </c>
      <c r="D29" s="425" t="s">
        <v>135</v>
      </c>
      <c r="E29" s="420"/>
      <c r="F29" s="71"/>
      <c r="G29" s="8">
        <f t="shared" si="1"/>
        <v>0</v>
      </c>
      <c r="H29" s="71">
        <v>25</v>
      </c>
      <c r="I29" s="422">
        <v>109.21</v>
      </c>
      <c r="J29" s="8">
        <f t="shared" si="2"/>
        <v>2730.25</v>
      </c>
      <c r="K29" s="8">
        <f t="shared" si="3"/>
        <v>2730.25</v>
      </c>
      <c r="L29" s="74">
        <v>2730.25</v>
      </c>
      <c r="M29" s="74">
        <f t="shared" si="4"/>
        <v>-4.4999999986430339E-3</v>
      </c>
      <c r="N29" s="8"/>
      <c r="O29" s="75"/>
    </row>
    <row r="30" spans="1:17">
      <c r="A30" s="236">
        <v>26</v>
      </c>
      <c r="B30" s="417">
        <v>45956</v>
      </c>
      <c r="C30" s="25"/>
      <c r="D30" s="421"/>
      <c r="E30" s="420"/>
      <c r="F30" s="71"/>
      <c r="G30" s="8">
        <f t="shared" si="1"/>
        <v>0</v>
      </c>
      <c r="H30" s="71"/>
      <c r="I30" s="422"/>
      <c r="J30" s="8">
        <f t="shared" si="2"/>
        <v>0</v>
      </c>
      <c r="K30" s="8">
        <f t="shared" si="3"/>
        <v>0</v>
      </c>
      <c r="L30" s="74"/>
      <c r="M30" s="74">
        <f t="shared" si="4"/>
        <v>-4.4999999986430339E-3</v>
      </c>
      <c r="N30" s="8"/>
      <c r="O30" s="75"/>
    </row>
    <row r="31" spans="1:17">
      <c r="A31" s="236">
        <v>27</v>
      </c>
      <c r="B31" s="417">
        <v>45957</v>
      </c>
      <c r="C31" s="25"/>
      <c r="D31" s="421"/>
      <c r="E31" s="420"/>
      <c r="F31" s="71"/>
      <c r="G31" s="8">
        <f t="shared" si="1"/>
        <v>0</v>
      </c>
      <c r="H31" s="71"/>
      <c r="I31" s="422"/>
      <c r="J31" s="8">
        <f t="shared" si="2"/>
        <v>0</v>
      </c>
      <c r="K31" s="8">
        <f t="shared" si="3"/>
        <v>0</v>
      </c>
      <c r="L31" s="74"/>
      <c r="M31" s="74">
        <f t="shared" si="4"/>
        <v>-4.4999999986430339E-3</v>
      </c>
      <c r="N31" s="8"/>
      <c r="O31" s="75"/>
    </row>
    <row r="32" spans="1:17">
      <c r="A32" s="236">
        <v>28</v>
      </c>
      <c r="B32" s="417">
        <v>45958</v>
      </c>
      <c r="C32" s="25"/>
      <c r="D32" s="421"/>
      <c r="E32" s="420"/>
      <c r="F32" s="71"/>
      <c r="G32" s="8">
        <f t="shared" si="1"/>
        <v>0</v>
      </c>
      <c r="H32" s="71"/>
      <c r="I32" s="422"/>
      <c r="J32" s="8">
        <f t="shared" si="2"/>
        <v>0</v>
      </c>
      <c r="K32" s="8">
        <f t="shared" si="3"/>
        <v>0</v>
      </c>
      <c r="L32" s="74"/>
      <c r="M32" s="74">
        <f t="shared" si="4"/>
        <v>-4.4999999986430339E-3</v>
      </c>
      <c r="N32" s="8"/>
      <c r="O32" s="75"/>
    </row>
    <row r="33" spans="1:15">
      <c r="A33" s="237">
        <v>29</v>
      </c>
      <c r="B33" s="417">
        <v>45959</v>
      </c>
      <c r="C33" s="25"/>
      <c r="D33" s="421"/>
      <c r="E33" s="420"/>
      <c r="F33" s="71"/>
      <c r="G33" s="8">
        <f t="shared" si="1"/>
        <v>0</v>
      </c>
      <c r="H33" s="71"/>
      <c r="I33" s="422"/>
      <c r="J33" s="8">
        <f t="shared" si="2"/>
        <v>0</v>
      </c>
      <c r="K33" s="8">
        <f t="shared" si="3"/>
        <v>0</v>
      </c>
      <c r="L33" s="8"/>
      <c r="M33" s="74">
        <f t="shared" si="4"/>
        <v>-4.4999999986430339E-3</v>
      </c>
      <c r="N33" s="8"/>
      <c r="O33" s="75"/>
    </row>
    <row r="34" spans="1:15">
      <c r="A34" s="237"/>
      <c r="B34" s="417">
        <v>45960</v>
      </c>
      <c r="C34" s="420" t="s">
        <v>136</v>
      </c>
      <c r="D34" s="423" t="s">
        <v>137</v>
      </c>
      <c r="E34" s="420"/>
      <c r="F34" s="71"/>
      <c r="G34" s="8">
        <f t="shared" si="1"/>
        <v>0</v>
      </c>
      <c r="H34" s="71">
        <v>15</v>
      </c>
      <c r="I34" s="422">
        <v>109.83</v>
      </c>
      <c r="J34" s="8">
        <f t="shared" si="2"/>
        <v>1647.45</v>
      </c>
      <c r="K34" s="8">
        <f>G34+J34</f>
        <v>1647.45</v>
      </c>
      <c r="L34" s="8">
        <v>1647.45</v>
      </c>
      <c r="M34" s="74">
        <v>0</v>
      </c>
      <c r="N34" s="8"/>
      <c r="O34" s="75"/>
    </row>
    <row r="35" spans="1:15">
      <c r="A35" s="237">
        <v>30</v>
      </c>
      <c r="B35" s="417">
        <v>45961</v>
      </c>
      <c r="C35" s="420" t="s">
        <v>136</v>
      </c>
      <c r="D35" s="423" t="s">
        <v>137</v>
      </c>
      <c r="E35" s="420">
        <v>43</v>
      </c>
      <c r="F35" s="71">
        <v>97.64</v>
      </c>
      <c r="G35" s="8">
        <f t="shared" si="1"/>
        <v>4198.5200000000004</v>
      </c>
      <c r="H35" s="71">
        <v>20</v>
      </c>
      <c r="I35" s="422">
        <v>109.83</v>
      </c>
      <c r="J35" s="8">
        <f t="shared" si="2"/>
        <v>2196.6</v>
      </c>
      <c r="K35" s="8">
        <f t="shared" si="3"/>
        <v>6395.1200000000008</v>
      </c>
      <c r="L35" s="74">
        <v>6395.12</v>
      </c>
      <c r="M35" s="74">
        <f>+M33+K35-L35</f>
        <v>-4.4999999981882866E-3</v>
      </c>
      <c r="N35" s="8"/>
      <c r="O35" s="75"/>
    </row>
    <row r="36" spans="1:15">
      <c r="A36" s="237">
        <v>31</v>
      </c>
      <c r="B36" s="234"/>
      <c r="C36" s="408"/>
      <c r="D36" s="173"/>
      <c r="E36" s="71">
        <v>0</v>
      </c>
      <c r="F36" s="71">
        <v>0</v>
      </c>
      <c r="G36" s="8">
        <f t="shared" si="1"/>
        <v>0</v>
      </c>
      <c r="H36" s="71"/>
      <c r="I36" s="422"/>
      <c r="J36" s="8">
        <f t="shared" si="2"/>
        <v>0</v>
      </c>
      <c r="K36" s="8">
        <f t="shared" si="3"/>
        <v>0</v>
      </c>
      <c r="L36" s="74">
        <v>0</v>
      </c>
      <c r="M36" s="74">
        <f t="shared" si="4"/>
        <v>-4.4999999981882866E-3</v>
      </c>
      <c r="N36" s="8"/>
      <c r="O36" s="75"/>
    </row>
    <row r="37" spans="1:15">
      <c r="A37" s="68"/>
      <c r="B37" s="68"/>
      <c r="C37" s="68"/>
      <c r="D37" s="68"/>
      <c r="E37" s="276">
        <f>SUM(E4:E36)</f>
        <v>340.68</v>
      </c>
      <c r="F37" s="276"/>
      <c r="G37" s="69">
        <f>SUM(G4:G36)</f>
        <v>32321.640300000003</v>
      </c>
      <c r="H37" s="69">
        <f>SUM(H4:H36)</f>
        <v>175</v>
      </c>
      <c r="I37" s="69"/>
      <c r="J37" s="69">
        <f>SUM(J4:J36)</f>
        <v>19169.45</v>
      </c>
      <c r="K37" s="69">
        <f>SUM(K4:K36)</f>
        <v>51491.090300000003</v>
      </c>
      <c r="L37" s="69">
        <f>SUM(L4:L36)</f>
        <v>51491.094800000006</v>
      </c>
      <c r="M37" s="69"/>
      <c r="N37" s="69"/>
      <c r="O37" s="65"/>
    </row>
    <row r="38" spans="1:15">
      <c r="A38" s="78"/>
      <c r="B38" s="79"/>
      <c r="C38" s="78"/>
      <c r="D38" s="78"/>
      <c r="E38" s="80"/>
      <c r="F38" s="80"/>
      <c r="G38" s="80"/>
      <c r="H38" s="80"/>
      <c r="I38" s="80"/>
      <c r="J38" s="81"/>
      <c r="K38" s="81"/>
      <c r="L38" s="81"/>
      <c r="M38" s="81"/>
      <c r="N38" s="80"/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O42" s="75"/>
    </row>
    <row r="43" spans="1:15">
      <c r="O43" s="75"/>
    </row>
    <row r="44" spans="1:15">
      <c r="A44" s="75"/>
      <c r="B44" s="65"/>
      <c r="C44" s="75"/>
      <c r="D44" s="75"/>
      <c r="E44" s="75"/>
      <c r="F44" s="75"/>
      <c r="G44" s="82"/>
      <c r="H44" s="75"/>
      <c r="I44" s="75"/>
      <c r="J44" s="65"/>
      <c r="K44" s="65"/>
      <c r="L44" s="65"/>
      <c r="M44" s="65"/>
      <c r="N44" s="75"/>
      <c r="O44" s="80"/>
    </row>
    <row r="45" spans="1:15">
      <c r="A45" s="75"/>
      <c r="B45" s="440"/>
      <c r="C45" s="440"/>
      <c r="D45" s="440"/>
      <c r="E45" s="440"/>
      <c r="F45" s="75"/>
      <c r="G45" s="75"/>
      <c r="H45" s="75"/>
      <c r="I45" s="440"/>
      <c r="J45" s="440"/>
      <c r="K45" s="440"/>
      <c r="L45" s="440"/>
      <c r="M45" s="440"/>
      <c r="N45" s="440"/>
      <c r="O45" s="80"/>
    </row>
    <row r="46" spans="1:15">
      <c r="A46" s="75"/>
      <c r="B46" s="65"/>
      <c r="C46" s="75"/>
      <c r="D46" s="75"/>
      <c r="E46" s="75"/>
      <c r="F46" s="75"/>
      <c r="G46" s="75"/>
      <c r="H46" s="75"/>
      <c r="I46" s="75"/>
      <c r="J46" s="65"/>
      <c r="K46" s="65"/>
      <c r="L46" s="65"/>
      <c r="M46" s="65"/>
      <c r="N46" s="75"/>
      <c r="O46" s="80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4"/>
  <sheetViews>
    <sheetView workbookViewId="0">
      <selection activeCell="M45" sqref="M45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1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38" t="s">
        <v>138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8" ht="30.75">
      <c r="A2" s="104" t="s">
        <v>96</v>
      </c>
      <c r="B2" s="105" t="s">
        <v>97</v>
      </c>
      <c r="C2" s="105" t="s">
        <v>98</v>
      </c>
      <c r="D2" s="105" t="s">
        <v>111</v>
      </c>
      <c r="E2" s="274" t="s">
        <v>100</v>
      </c>
      <c r="F2" s="274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8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0</v>
      </c>
      <c r="N3" s="164"/>
      <c r="O3" s="65"/>
    </row>
    <row r="4" spans="1:18">
      <c r="A4" s="208">
        <v>1</v>
      </c>
      <c r="B4" s="234">
        <v>45931</v>
      </c>
      <c r="C4" s="73"/>
      <c r="D4" s="167"/>
      <c r="E4" s="275"/>
      <c r="F4" s="275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8">
      <c r="A5" s="50">
        <v>2</v>
      </c>
      <c r="B5" s="234">
        <v>45932</v>
      </c>
      <c r="C5" s="73"/>
      <c r="D5" s="167"/>
      <c r="E5" s="275"/>
      <c r="F5" s="275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f t="shared" ref="L5:L34" si="3">+K5</f>
        <v>0</v>
      </c>
      <c r="M5" s="74">
        <v>0</v>
      </c>
      <c r="N5" s="8"/>
    </row>
    <row r="6" spans="1:18">
      <c r="A6" s="50">
        <v>3</v>
      </c>
      <c r="B6" s="234">
        <v>45933</v>
      </c>
      <c r="C6" s="73"/>
      <c r="D6" s="167"/>
      <c r="E6" s="275"/>
      <c r="F6" s="275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f t="shared" si="3"/>
        <v>0</v>
      </c>
      <c r="M6" s="74">
        <v>0</v>
      </c>
      <c r="N6" s="8"/>
    </row>
    <row r="7" spans="1:18">
      <c r="A7" s="50">
        <v>4</v>
      </c>
      <c r="B7" s="234">
        <v>45934</v>
      </c>
      <c r="C7" s="73"/>
      <c r="D7" s="167"/>
      <c r="E7" s="275"/>
      <c r="F7" s="275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f t="shared" si="3"/>
        <v>0</v>
      </c>
      <c r="M7" s="74">
        <v>0</v>
      </c>
      <c r="N7" s="8"/>
    </row>
    <row r="8" spans="1:18">
      <c r="A8" s="50">
        <v>5</v>
      </c>
      <c r="B8" s="234">
        <v>45935</v>
      </c>
      <c r="C8" s="73"/>
      <c r="D8" s="167"/>
      <c r="E8" s="275"/>
      <c r="F8" s="275"/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f t="shared" si="3"/>
        <v>0</v>
      </c>
      <c r="M8" s="74">
        <v>0</v>
      </c>
      <c r="N8" s="8"/>
      <c r="O8" s="75"/>
      <c r="R8" s="241"/>
    </row>
    <row r="9" spans="1:18">
      <c r="A9" s="50">
        <v>6</v>
      </c>
      <c r="B9" s="234">
        <v>45936</v>
      </c>
      <c r="C9" s="73"/>
      <c r="D9" s="167"/>
      <c r="E9" s="275"/>
      <c r="F9" s="275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f t="shared" si="3"/>
        <v>0</v>
      </c>
      <c r="M9" s="74">
        <v>0</v>
      </c>
      <c r="N9" s="8"/>
      <c r="O9" s="75"/>
    </row>
    <row r="10" spans="1:18">
      <c r="A10" s="50">
        <v>7</v>
      </c>
      <c r="B10" s="234">
        <v>45937</v>
      </c>
      <c r="C10" s="73"/>
      <c r="D10" s="167"/>
      <c r="E10" s="275"/>
      <c r="F10" s="275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f t="shared" si="3"/>
        <v>0</v>
      </c>
      <c r="M10" s="74">
        <v>0</v>
      </c>
      <c r="N10" s="8"/>
      <c r="O10" s="75"/>
    </row>
    <row r="11" spans="1:18">
      <c r="A11" s="50">
        <v>8</v>
      </c>
      <c r="B11" s="234">
        <v>45938</v>
      </c>
      <c r="C11" s="73"/>
      <c r="D11" s="167"/>
      <c r="E11" s="275"/>
      <c r="F11" s="275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/>
    </row>
    <row r="12" spans="1:18">
      <c r="A12" s="50">
        <v>9</v>
      </c>
      <c r="B12" s="234">
        <v>45939</v>
      </c>
      <c r="C12" s="73"/>
      <c r="D12" s="167"/>
      <c r="E12" s="275"/>
      <c r="F12" s="275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f t="shared" si="3"/>
        <v>0</v>
      </c>
      <c r="M12" s="74">
        <v>0</v>
      </c>
      <c r="N12" s="8"/>
      <c r="O12" s="75"/>
    </row>
    <row r="13" spans="1:18">
      <c r="A13" s="50">
        <v>10</v>
      </c>
      <c r="B13" s="234">
        <v>45940</v>
      </c>
      <c r="C13" s="73"/>
      <c r="D13" s="167"/>
      <c r="E13" s="275"/>
      <c r="F13" s="275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8">
      <c r="A14" s="50">
        <v>11</v>
      </c>
      <c r="B14" s="234">
        <v>45941</v>
      </c>
      <c r="C14" s="73"/>
      <c r="D14" s="167"/>
      <c r="E14" s="275"/>
      <c r="F14" s="275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 t="shared" si="2"/>
        <v>0</v>
      </c>
      <c r="L14" s="74">
        <f t="shared" si="3"/>
        <v>0</v>
      </c>
      <c r="M14" s="74">
        <v>0</v>
      </c>
      <c r="N14" s="8"/>
      <c r="O14" s="75"/>
    </row>
    <row r="15" spans="1:18">
      <c r="A15" s="50">
        <v>12</v>
      </c>
      <c r="B15" s="234">
        <v>45942</v>
      </c>
      <c r="C15" s="73"/>
      <c r="D15" s="167"/>
      <c r="E15" s="275"/>
      <c r="F15" s="275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</row>
    <row r="16" spans="1:18">
      <c r="A16" s="50">
        <v>13</v>
      </c>
      <c r="B16" s="234">
        <v>45943</v>
      </c>
      <c r="C16" s="73"/>
      <c r="D16" s="167"/>
      <c r="E16" s="275"/>
      <c r="F16" s="275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>
        <f t="shared" si="3"/>
        <v>0</v>
      </c>
      <c r="M16" s="74">
        <v>0</v>
      </c>
      <c r="N16" s="8"/>
      <c r="O16" s="75"/>
    </row>
    <row r="17" spans="1:15">
      <c r="A17" s="50">
        <v>14</v>
      </c>
      <c r="B17" s="234">
        <v>45944</v>
      </c>
      <c r="C17" s="73"/>
      <c r="D17" s="167"/>
      <c r="E17" s="275"/>
      <c r="F17" s="275"/>
      <c r="G17" s="8">
        <f t="shared" si="0"/>
        <v>0</v>
      </c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>
        <f t="shared" si="3"/>
        <v>0</v>
      </c>
      <c r="M17" s="74">
        <v>0</v>
      </c>
      <c r="N17" s="8"/>
      <c r="O17" s="75"/>
    </row>
    <row r="18" spans="1:15">
      <c r="A18" s="50">
        <v>15</v>
      </c>
      <c r="B18" s="234">
        <v>45945</v>
      </c>
      <c r="C18" s="73"/>
      <c r="D18" s="167"/>
      <c r="E18" s="391"/>
      <c r="F18" s="391"/>
      <c r="G18" s="192">
        <f t="shared" si="0"/>
        <v>0</v>
      </c>
      <c r="H18" s="393">
        <v>0</v>
      </c>
      <c r="I18" s="180">
        <v>0</v>
      </c>
      <c r="J18" s="192">
        <f t="shared" si="1"/>
        <v>0</v>
      </c>
      <c r="K18" s="192">
        <f t="shared" si="2"/>
        <v>0</v>
      </c>
      <c r="L18" s="394">
        <f t="shared" si="3"/>
        <v>0</v>
      </c>
      <c r="M18" s="394">
        <v>0</v>
      </c>
      <c r="N18" s="8"/>
      <c r="O18" s="75"/>
    </row>
    <row r="19" spans="1:15">
      <c r="A19" s="50">
        <v>16</v>
      </c>
      <c r="B19" s="234">
        <v>45946</v>
      </c>
      <c r="C19" s="73"/>
      <c r="D19" s="390"/>
      <c r="E19" s="275"/>
      <c r="F19" s="275"/>
      <c r="G19" s="8">
        <f t="shared" si="0"/>
        <v>0</v>
      </c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f t="shared" si="3"/>
        <v>0</v>
      </c>
      <c r="M19" s="74">
        <v>0</v>
      </c>
      <c r="N19" s="203"/>
      <c r="O19" s="75"/>
    </row>
    <row r="20" spans="1:15">
      <c r="A20" s="50">
        <v>17</v>
      </c>
      <c r="B20" s="234">
        <v>45947</v>
      </c>
      <c r="C20" s="73"/>
      <c r="D20" s="390"/>
      <c r="E20" s="275"/>
      <c r="F20" s="275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f t="shared" si="3"/>
        <v>0</v>
      </c>
      <c r="M20" s="74">
        <v>0</v>
      </c>
      <c r="N20" s="203"/>
      <c r="O20" s="75"/>
    </row>
    <row r="21" spans="1:15">
      <c r="A21" s="50">
        <v>18</v>
      </c>
      <c r="B21" s="234">
        <v>45948</v>
      </c>
      <c r="C21" s="73"/>
      <c r="D21" s="390"/>
      <c r="E21" s="17">
        <v>335.74</v>
      </c>
      <c r="F21" s="17">
        <v>97.43</v>
      </c>
      <c r="G21" s="8">
        <f t="shared" si="0"/>
        <v>32711.148200000003</v>
      </c>
      <c r="H21" s="204">
        <v>5.56</v>
      </c>
      <c r="I21" s="17">
        <v>109.61</v>
      </c>
      <c r="J21" s="8">
        <f t="shared" si="1"/>
        <v>609.4316</v>
      </c>
      <c r="K21" s="8">
        <f t="shared" si="2"/>
        <v>33320.579800000007</v>
      </c>
      <c r="L21" s="74">
        <f t="shared" si="3"/>
        <v>33320.579800000007</v>
      </c>
      <c r="M21" s="74">
        <v>0</v>
      </c>
      <c r="N21" s="203" t="s">
        <v>139</v>
      </c>
      <c r="O21" s="75"/>
    </row>
    <row r="22" spans="1:15">
      <c r="A22" s="50">
        <v>19</v>
      </c>
      <c r="B22" s="234">
        <v>45949</v>
      </c>
      <c r="C22" s="73"/>
      <c r="D22" s="390"/>
      <c r="E22" s="275"/>
      <c r="F22" s="275"/>
      <c r="G22" s="8">
        <f t="shared" si="0"/>
        <v>0</v>
      </c>
      <c r="H22" s="71">
        <v>0</v>
      </c>
      <c r="I22" s="72">
        <v>0</v>
      </c>
      <c r="J22" s="8">
        <f t="shared" si="1"/>
        <v>0</v>
      </c>
      <c r="K22" s="8">
        <f t="shared" si="2"/>
        <v>0</v>
      </c>
      <c r="L22" s="74">
        <f t="shared" si="3"/>
        <v>0</v>
      </c>
      <c r="M22" s="74">
        <v>0</v>
      </c>
      <c r="N22" s="203"/>
      <c r="O22" s="75"/>
    </row>
    <row r="23" spans="1:15">
      <c r="A23" s="50">
        <v>20</v>
      </c>
      <c r="B23" s="234">
        <v>45950</v>
      </c>
      <c r="C23" s="73"/>
      <c r="D23" s="390"/>
      <c r="E23" s="17">
        <v>61.58</v>
      </c>
      <c r="F23" s="17">
        <v>97.43</v>
      </c>
      <c r="G23" s="8">
        <f t="shared" si="0"/>
        <v>5999.7394000000004</v>
      </c>
      <c r="H23" s="71">
        <v>0</v>
      </c>
      <c r="I23" s="72">
        <v>0</v>
      </c>
      <c r="J23" s="8">
        <f t="shared" si="1"/>
        <v>0</v>
      </c>
      <c r="K23" s="8">
        <f t="shared" si="2"/>
        <v>5999.7394000000004</v>
      </c>
      <c r="L23" s="74">
        <f t="shared" si="3"/>
        <v>5999.7394000000004</v>
      </c>
      <c r="M23" s="74">
        <v>0</v>
      </c>
      <c r="N23" s="203" t="s">
        <v>139</v>
      </c>
      <c r="O23" s="75"/>
    </row>
    <row r="24" spans="1:15">
      <c r="A24" s="50">
        <v>21</v>
      </c>
      <c r="B24" s="234">
        <v>45951</v>
      </c>
      <c r="C24" s="73"/>
      <c r="D24" s="390"/>
      <c r="E24" s="275"/>
      <c r="F24" s="275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f t="shared" si="3"/>
        <v>0</v>
      </c>
      <c r="M24" s="74">
        <v>0</v>
      </c>
      <c r="N24" s="203"/>
      <c r="O24" s="75"/>
    </row>
    <row r="25" spans="1:15">
      <c r="A25" s="50">
        <v>22</v>
      </c>
      <c r="B25" s="234">
        <v>45952</v>
      </c>
      <c r="C25" s="73"/>
      <c r="D25" s="390"/>
      <c r="E25" s="275"/>
      <c r="F25" s="275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f t="shared" si="3"/>
        <v>0</v>
      </c>
      <c r="M25" s="74">
        <v>0</v>
      </c>
      <c r="N25" s="203"/>
      <c r="O25" s="75"/>
    </row>
    <row r="26" spans="1:15">
      <c r="A26" s="50">
        <v>23</v>
      </c>
      <c r="B26" s="234">
        <v>45953</v>
      </c>
      <c r="C26" s="73"/>
      <c r="D26" s="390"/>
      <c r="E26" s="17">
        <v>200</v>
      </c>
      <c r="F26" s="17">
        <v>97.76</v>
      </c>
      <c r="G26" s="8">
        <f t="shared" si="0"/>
        <v>19552</v>
      </c>
      <c r="H26" s="71">
        <v>0</v>
      </c>
      <c r="I26" s="72">
        <v>0</v>
      </c>
      <c r="J26" s="8">
        <f t="shared" si="1"/>
        <v>0</v>
      </c>
      <c r="K26" s="8">
        <f t="shared" si="2"/>
        <v>19552</v>
      </c>
      <c r="L26" s="74">
        <f t="shared" si="3"/>
        <v>19552</v>
      </c>
      <c r="M26" s="74">
        <v>0</v>
      </c>
      <c r="N26" s="203" t="s">
        <v>140</v>
      </c>
      <c r="O26" s="75"/>
    </row>
    <row r="27" spans="1:15">
      <c r="A27" s="50">
        <v>24</v>
      </c>
      <c r="B27" s="234">
        <v>45954</v>
      </c>
      <c r="C27" s="73"/>
      <c r="D27" s="390"/>
      <c r="E27" s="17">
        <v>98.62</v>
      </c>
      <c r="F27" s="17">
        <v>97.43</v>
      </c>
      <c r="G27" s="8">
        <f t="shared" si="0"/>
        <v>9608.5466000000015</v>
      </c>
      <c r="H27" s="204">
        <v>5.83</v>
      </c>
      <c r="I27" s="17">
        <v>109.61</v>
      </c>
      <c r="J27" s="8">
        <f t="shared" si="1"/>
        <v>639.02629999999999</v>
      </c>
      <c r="K27" s="8">
        <f t="shared" si="2"/>
        <v>10247.572900000001</v>
      </c>
      <c r="L27" s="74">
        <f t="shared" si="3"/>
        <v>10247.572900000001</v>
      </c>
      <c r="M27" s="74">
        <v>0</v>
      </c>
      <c r="N27" s="203" t="s">
        <v>139</v>
      </c>
      <c r="O27" s="75"/>
    </row>
    <row r="28" spans="1:15">
      <c r="A28" s="236">
        <v>25</v>
      </c>
      <c r="B28" s="234">
        <v>45955</v>
      </c>
      <c r="C28" s="73"/>
      <c r="D28" s="390"/>
      <c r="E28" s="275"/>
      <c r="F28" s="275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f t="shared" si="3"/>
        <v>0</v>
      </c>
      <c r="M28" s="74">
        <v>0</v>
      </c>
      <c r="N28" s="203"/>
      <c r="O28" s="75"/>
    </row>
    <row r="29" spans="1:15">
      <c r="A29" s="236">
        <v>26</v>
      </c>
      <c r="B29" s="234">
        <v>45956</v>
      </c>
      <c r="C29" s="73"/>
      <c r="D29" s="167"/>
      <c r="E29" s="392"/>
      <c r="F29" s="392"/>
      <c r="G29" s="19">
        <f t="shared" si="0"/>
        <v>0</v>
      </c>
      <c r="H29" s="161">
        <v>0</v>
      </c>
      <c r="I29" s="162">
        <v>0</v>
      </c>
      <c r="J29" s="19">
        <f t="shared" si="1"/>
        <v>0</v>
      </c>
      <c r="K29" s="19">
        <f t="shared" si="2"/>
        <v>0</v>
      </c>
      <c r="L29" s="137">
        <f t="shared" si="3"/>
        <v>0</v>
      </c>
      <c r="M29" s="137">
        <v>0</v>
      </c>
      <c r="N29" s="8"/>
      <c r="O29" s="75"/>
    </row>
    <row r="30" spans="1:15">
      <c r="A30" s="236">
        <v>27</v>
      </c>
      <c r="B30" s="234">
        <v>45957</v>
      </c>
      <c r="C30" s="73"/>
      <c r="D30" s="167"/>
      <c r="E30" s="275"/>
      <c r="F30" s="275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15">
      <c r="A31" s="236">
        <v>28</v>
      </c>
      <c r="B31" s="234">
        <v>45958</v>
      </c>
      <c r="C31" s="73"/>
      <c r="D31" s="167"/>
      <c r="E31" s="275"/>
      <c r="F31" s="275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15">
      <c r="A32" s="237">
        <v>29</v>
      </c>
      <c r="B32" s="234">
        <v>45959</v>
      </c>
      <c r="C32" s="73"/>
      <c r="D32" s="167"/>
      <c r="E32" s="275"/>
      <c r="F32" s="275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f t="shared" si="3"/>
        <v>0</v>
      </c>
      <c r="M32" s="74">
        <v>0</v>
      </c>
      <c r="N32" s="8"/>
      <c r="O32" s="75"/>
    </row>
    <row r="33" spans="1:15">
      <c r="A33" s="237">
        <v>30</v>
      </c>
      <c r="B33" s="234">
        <v>45960</v>
      </c>
      <c r="C33" s="73"/>
      <c r="D33" s="167"/>
      <c r="E33" s="275">
        <v>400</v>
      </c>
      <c r="F33" s="275">
        <v>97.76</v>
      </c>
      <c r="G33" s="8">
        <f t="shared" si="0"/>
        <v>39104</v>
      </c>
      <c r="H33" s="71">
        <v>4.54</v>
      </c>
      <c r="I33" s="72">
        <v>110.07</v>
      </c>
      <c r="J33" s="8">
        <f t="shared" si="1"/>
        <v>499.71779999999995</v>
      </c>
      <c r="K33" s="8">
        <f t="shared" si="2"/>
        <v>39603.717799999999</v>
      </c>
      <c r="L33" s="74">
        <f t="shared" si="3"/>
        <v>39603.717799999999</v>
      </c>
      <c r="M33" s="74">
        <v>0</v>
      </c>
      <c r="N33" s="8" t="s">
        <v>140</v>
      </c>
      <c r="O33" s="75"/>
    </row>
    <row r="34" spans="1:15">
      <c r="A34" s="237">
        <v>31</v>
      </c>
      <c r="B34" s="234"/>
      <c r="C34" s="73"/>
      <c r="D34" s="167"/>
      <c r="E34" s="275">
        <v>30.79</v>
      </c>
      <c r="F34" s="275">
        <v>97.43</v>
      </c>
      <c r="G34" s="8">
        <f t="shared" si="0"/>
        <v>2999.8697000000002</v>
      </c>
      <c r="H34" s="71">
        <v>0</v>
      </c>
      <c r="I34" s="72">
        <v>0</v>
      </c>
      <c r="J34" s="8">
        <f t="shared" si="1"/>
        <v>0</v>
      </c>
      <c r="K34" s="8">
        <f t="shared" si="2"/>
        <v>2999.8697000000002</v>
      </c>
      <c r="L34" s="74">
        <f t="shared" si="3"/>
        <v>2999.8697000000002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6">
        <f>SUM(E4:E34)</f>
        <v>1126.73</v>
      </c>
      <c r="F35" s="276"/>
      <c r="G35" s="69">
        <f>SUM(G4:G34)</f>
        <v>109975.3039</v>
      </c>
      <c r="H35" s="69">
        <f>SUM(H4:H34)</f>
        <v>15.93</v>
      </c>
      <c r="I35" s="69"/>
      <c r="J35" s="69">
        <f>SUM(J4:J34)</f>
        <v>1748.1756999999998</v>
      </c>
      <c r="K35" s="69">
        <f>SUM(K4:K34)</f>
        <v>111723.47960000001</v>
      </c>
      <c r="L35" s="69">
        <f>SUM(L4:L34)</f>
        <v>111723.47960000001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25" activePane="bottomLeft" state="frozen"/>
      <selection pane="bottomLeft" activeCell="O35" sqref="O35"/>
    </sheetView>
  </sheetViews>
  <sheetFormatPr defaultColWidth="12.28515625" defaultRowHeight="12.75"/>
  <cols>
    <col min="1" max="1" width="8.42578125" style="67" customWidth="1"/>
    <col min="2" max="3" width="12.28515625" style="67"/>
    <col min="4" max="4" width="13.5703125" style="67" customWidth="1"/>
    <col min="5" max="5" width="12.28515625" style="67"/>
    <col min="6" max="6" width="13.7109375" style="67" bestFit="1" customWidth="1"/>
    <col min="7" max="16384" width="12.28515625" style="67"/>
  </cols>
  <sheetData>
    <row r="1" spans="1:15" ht="15.75" customHeight="1">
      <c r="A1" s="427" t="s">
        <v>42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66"/>
    </row>
    <row r="2" spans="1:15" ht="15.75" customHeight="1">
      <c r="A2" s="93" t="s">
        <v>96</v>
      </c>
      <c r="B2" s="94" t="s">
        <v>97</v>
      </c>
      <c r="C2" s="94" t="s">
        <v>98</v>
      </c>
      <c r="D2" s="94" t="s">
        <v>99</v>
      </c>
      <c r="E2" s="94" t="s">
        <v>100</v>
      </c>
      <c r="F2" s="94" t="s">
        <v>101</v>
      </c>
      <c r="G2" s="94" t="s">
        <v>102</v>
      </c>
      <c r="H2" s="94" t="s">
        <v>103</v>
      </c>
      <c r="I2" s="94" t="s">
        <v>101</v>
      </c>
      <c r="J2" s="119" t="s">
        <v>102</v>
      </c>
      <c r="K2" s="121" t="s">
        <v>104</v>
      </c>
      <c r="L2" s="122" t="s">
        <v>105</v>
      </c>
      <c r="M2" s="123" t="s">
        <v>110</v>
      </c>
      <c r="N2" s="95" t="s">
        <v>107</v>
      </c>
      <c r="O2" s="33"/>
    </row>
    <row r="3" spans="1:15" ht="15.75" customHeight="1">
      <c r="A3" s="434" t="s">
        <v>108</v>
      </c>
      <c r="B3" s="435"/>
      <c r="C3" s="432"/>
      <c r="D3" s="432"/>
      <c r="E3" s="432"/>
      <c r="F3" s="432"/>
      <c r="G3" s="432"/>
      <c r="H3" s="432"/>
      <c r="I3" s="432"/>
      <c r="J3" s="442"/>
      <c r="K3" s="216">
        <v>11508.83099999976</v>
      </c>
      <c r="L3" s="215"/>
      <c r="M3" s="216">
        <v>11508.83099999976</v>
      </c>
      <c r="N3" s="215"/>
      <c r="O3" s="33">
        <v>207239.43099999998</v>
      </c>
    </row>
    <row r="4" spans="1:15" ht="15">
      <c r="A4" s="26">
        <v>1</v>
      </c>
      <c r="B4" s="27">
        <v>45931</v>
      </c>
      <c r="C4" s="114"/>
      <c r="D4" s="114"/>
      <c r="E4" s="37"/>
      <c r="F4" s="37">
        <v>0</v>
      </c>
      <c r="G4" s="37">
        <f>E4*F4</f>
        <v>0</v>
      </c>
      <c r="H4" s="211">
        <v>0</v>
      </c>
      <c r="I4" s="211">
        <v>0</v>
      </c>
      <c r="J4" s="37">
        <f>H4*I4</f>
        <v>0</v>
      </c>
      <c r="K4" s="37">
        <f>G4+J4</f>
        <v>0</v>
      </c>
      <c r="L4" s="215"/>
      <c r="M4" s="212">
        <f>M3+K4-L4</f>
        <v>11508.83099999976</v>
      </c>
      <c r="N4" s="37"/>
      <c r="O4" s="28"/>
    </row>
    <row r="5" spans="1:15" ht="15">
      <c r="A5" s="26">
        <v>2</v>
      </c>
      <c r="B5" s="27">
        <v>45932</v>
      </c>
      <c r="C5" s="114"/>
      <c r="D5" s="114"/>
      <c r="E5" s="37"/>
      <c r="F5" s="37">
        <v>0</v>
      </c>
      <c r="G5" s="37">
        <f t="shared" ref="G5:G33" si="0">E5*F5</f>
        <v>0</v>
      </c>
      <c r="H5" s="211">
        <v>0</v>
      </c>
      <c r="I5" s="211">
        <v>0</v>
      </c>
      <c r="J5" s="37">
        <f t="shared" ref="J5:J33" si="1">H5*I5</f>
        <v>0</v>
      </c>
      <c r="K5" s="37">
        <f t="shared" ref="K5:K33" si="2">G5+J5</f>
        <v>0</v>
      </c>
      <c r="L5" s="215"/>
      <c r="M5" s="212">
        <f>M4+K5-L5</f>
        <v>11508.83099999976</v>
      </c>
      <c r="N5" s="37"/>
      <c r="O5" s="28"/>
    </row>
    <row r="6" spans="1:15" ht="15">
      <c r="A6" s="26">
        <v>3</v>
      </c>
      <c r="B6" s="27">
        <v>45933</v>
      </c>
      <c r="C6" s="114"/>
      <c r="D6" s="114"/>
      <c r="E6" s="37"/>
      <c r="F6" s="37">
        <v>0</v>
      </c>
      <c r="G6" s="37">
        <f t="shared" si="0"/>
        <v>0</v>
      </c>
      <c r="H6" s="211">
        <v>0</v>
      </c>
      <c r="I6" s="211">
        <v>0</v>
      </c>
      <c r="J6" s="37">
        <f t="shared" si="1"/>
        <v>0</v>
      </c>
      <c r="K6" s="37">
        <f t="shared" si="2"/>
        <v>0</v>
      </c>
      <c r="L6" s="215"/>
      <c r="M6" s="212">
        <f>M5+K6-L6</f>
        <v>11508.83099999976</v>
      </c>
      <c r="N6" s="37"/>
      <c r="O6" s="28"/>
    </row>
    <row r="7" spans="1:15" ht="15">
      <c r="A7" s="26">
        <v>4</v>
      </c>
      <c r="B7" s="27">
        <v>45934</v>
      </c>
      <c r="C7" s="114"/>
      <c r="D7" s="114"/>
      <c r="E7" s="37"/>
      <c r="F7" s="37">
        <v>0</v>
      </c>
      <c r="G7" s="37">
        <f t="shared" si="0"/>
        <v>0</v>
      </c>
      <c r="H7" s="211">
        <v>0</v>
      </c>
      <c r="I7" s="211">
        <v>0</v>
      </c>
      <c r="J7" s="37">
        <f t="shared" si="1"/>
        <v>0</v>
      </c>
      <c r="K7" s="37">
        <f t="shared" si="2"/>
        <v>0</v>
      </c>
      <c r="L7" s="215"/>
      <c r="M7" s="212">
        <f>M6+K7-L7</f>
        <v>11508.83099999976</v>
      </c>
      <c r="N7" s="37"/>
      <c r="O7" s="28"/>
    </row>
    <row r="8" spans="1:15" ht="15">
      <c r="A8" s="26">
        <v>5</v>
      </c>
      <c r="B8" s="27">
        <v>45935</v>
      </c>
      <c r="C8" s="114"/>
      <c r="D8" s="114"/>
      <c r="E8" s="37"/>
      <c r="F8" s="37">
        <v>0</v>
      </c>
      <c r="G8" s="37">
        <f t="shared" si="0"/>
        <v>0</v>
      </c>
      <c r="H8" s="211">
        <v>0</v>
      </c>
      <c r="I8" s="211">
        <v>0</v>
      </c>
      <c r="J8" s="37">
        <f t="shared" si="1"/>
        <v>0</v>
      </c>
      <c r="K8" s="37">
        <f t="shared" si="2"/>
        <v>0</v>
      </c>
      <c r="L8" s="215"/>
      <c r="M8" s="212">
        <f>M7+K8-L8</f>
        <v>11508.83099999976</v>
      </c>
      <c r="N8" s="37"/>
      <c r="O8" s="28"/>
    </row>
    <row r="9" spans="1:15" ht="15">
      <c r="A9" s="26">
        <v>6</v>
      </c>
      <c r="B9" s="27">
        <v>45936</v>
      </c>
      <c r="C9" s="114"/>
      <c r="D9" s="114"/>
      <c r="E9" s="37"/>
      <c r="F9" s="37">
        <v>0</v>
      </c>
      <c r="G9" s="37">
        <f t="shared" si="0"/>
        <v>0</v>
      </c>
      <c r="H9" s="211">
        <v>0</v>
      </c>
      <c r="I9" s="211">
        <v>0</v>
      </c>
      <c r="J9" s="37">
        <f t="shared" si="1"/>
        <v>0</v>
      </c>
      <c r="K9" s="37">
        <f t="shared" si="2"/>
        <v>0</v>
      </c>
      <c r="L9" s="215"/>
      <c r="M9" s="212">
        <f t="shared" ref="M9:M33" si="3">M8+K9-L9</f>
        <v>11508.83099999976</v>
      </c>
      <c r="N9" s="37"/>
      <c r="O9" s="28"/>
    </row>
    <row r="10" spans="1:15" ht="15">
      <c r="A10" s="26">
        <v>7</v>
      </c>
      <c r="B10" s="27">
        <v>45937</v>
      </c>
      <c r="C10" s="114"/>
      <c r="D10" s="114"/>
      <c r="E10" s="37">
        <v>1500</v>
      </c>
      <c r="F10" s="37">
        <v>92.15</v>
      </c>
      <c r="G10" s="37">
        <f t="shared" si="0"/>
        <v>138225</v>
      </c>
      <c r="H10" s="211">
        <v>70</v>
      </c>
      <c r="I10" s="211">
        <v>104.27</v>
      </c>
      <c r="J10" s="37">
        <f t="shared" si="1"/>
        <v>7298.9</v>
      </c>
      <c r="K10" s="37">
        <f t="shared" si="2"/>
        <v>145523.9</v>
      </c>
      <c r="L10" s="215"/>
      <c r="M10" s="212">
        <f t="shared" si="3"/>
        <v>157032.73099999977</v>
      </c>
      <c r="N10" s="37"/>
      <c r="O10" s="28"/>
    </row>
    <row r="11" spans="1:15" ht="15">
      <c r="A11" s="26">
        <v>8</v>
      </c>
      <c r="B11" s="27">
        <v>45938</v>
      </c>
      <c r="C11" s="114"/>
      <c r="D11" s="114"/>
      <c r="E11" s="37"/>
      <c r="F11" s="37">
        <v>0</v>
      </c>
      <c r="G11" s="37">
        <f t="shared" si="0"/>
        <v>0</v>
      </c>
      <c r="H11" s="211">
        <v>0</v>
      </c>
      <c r="I11" s="211">
        <v>0</v>
      </c>
      <c r="J11" s="37">
        <f t="shared" si="1"/>
        <v>0</v>
      </c>
      <c r="K11" s="37">
        <f t="shared" si="2"/>
        <v>0</v>
      </c>
      <c r="L11" s="215"/>
      <c r="M11" s="212">
        <f t="shared" si="3"/>
        <v>157032.73099999977</v>
      </c>
      <c r="N11" s="37"/>
      <c r="O11" s="28"/>
    </row>
    <row r="12" spans="1:15" ht="15">
      <c r="A12" s="26">
        <v>9</v>
      </c>
      <c r="B12" s="27">
        <v>45939</v>
      </c>
      <c r="C12" s="114"/>
      <c r="D12" s="114"/>
      <c r="E12" s="37"/>
      <c r="F12" s="37">
        <v>0</v>
      </c>
      <c r="G12" s="37">
        <f t="shared" si="0"/>
        <v>0</v>
      </c>
      <c r="H12" s="211">
        <v>0</v>
      </c>
      <c r="I12" s="211">
        <v>0</v>
      </c>
      <c r="J12" s="37">
        <f t="shared" si="1"/>
        <v>0</v>
      </c>
      <c r="K12" s="37">
        <f t="shared" si="2"/>
        <v>0</v>
      </c>
      <c r="L12" s="215"/>
      <c r="M12" s="212">
        <f t="shared" si="3"/>
        <v>157032.73099999977</v>
      </c>
      <c r="N12" s="37"/>
      <c r="O12" s="28"/>
    </row>
    <row r="13" spans="1:15" ht="15">
      <c r="A13" s="26">
        <v>10</v>
      </c>
      <c r="B13" s="27">
        <v>45940</v>
      </c>
      <c r="C13" s="114"/>
      <c r="D13" s="114"/>
      <c r="E13" s="37"/>
      <c r="F13" s="37">
        <v>0</v>
      </c>
      <c r="G13" s="37">
        <f t="shared" si="0"/>
        <v>0</v>
      </c>
      <c r="H13" s="211">
        <v>0</v>
      </c>
      <c r="I13" s="211">
        <v>0</v>
      </c>
      <c r="J13" s="37">
        <f t="shared" si="1"/>
        <v>0</v>
      </c>
      <c r="K13" s="37">
        <f t="shared" si="2"/>
        <v>0</v>
      </c>
      <c r="L13" s="215"/>
      <c r="M13" s="212">
        <f t="shared" si="3"/>
        <v>157032.73099999977</v>
      </c>
      <c r="N13" s="37"/>
      <c r="O13" s="28"/>
    </row>
    <row r="14" spans="1:15" ht="15">
      <c r="A14" s="26">
        <v>11</v>
      </c>
      <c r="B14" s="27">
        <v>45941</v>
      </c>
      <c r="C14" s="114"/>
      <c r="D14" s="114"/>
      <c r="E14" s="37"/>
      <c r="F14" s="37">
        <v>0</v>
      </c>
      <c r="G14" s="37">
        <f t="shared" si="0"/>
        <v>0</v>
      </c>
      <c r="H14" s="211">
        <v>0</v>
      </c>
      <c r="I14" s="211">
        <v>0</v>
      </c>
      <c r="J14" s="37">
        <f t="shared" si="1"/>
        <v>0</v>
      </c>
      <c r="K14" s="37">
        <f t="shared" si="2"/>
        <v>0</v>
      </c>
      <c r="L14" s="215"/>
      <c r="M14" s="212">
        <f t="shared" si="3"/>
        <v>157032.73099999977</v>
      </c>
      <c r="N14" s="37"/>
      <c r="O14" s="28"/>
    </row>
    <row r="15" spans="1:15" ht="15">
      <c r="A15" s="26">
        <v>12</v>
      </c>
      <c r="B15" s="27">
        <v>45942</v>
      </c>
      <c r="C15" s="114"/>
      <c r="D15" s="114"/>
      <c r="E15" s="37"/>
      <c r="F15" s="37">
        <v>0</v>
      </c>
      <c r="G15" s="37">
        <f t="shared" si="0"/>
        <v>0</v>
      </c>
      <c r="H15" s="211">
        <v>0</v>
      </c>
      <c r="I15" s="211">
        <v>0</v>
      </c>
      <c r="J15" s="37">
        <f t="shared" si="1"/>
        <v>0</v>
      </c>
      <c r="K15" s="37">
        <f t="shared" si="2"/>
        <v>0</v>
      </c>
      <c r="L15" s="215"/>
      <c r="M15" s="212">
        <f t="shared" si="3"/>
        <v>157032.73099999977</v>
      </c>
      <c r="N15" s="37"/>
      <c r="O15" s="28"/>
    </row>
    <row r="16" spans="1:15" ht="15">
      <c r="A16" s="26">
        <v>13</v>
      </c>
      <c r="B16" s="27">
        <v>45943</v>
      </c>
      <c r="C16" s="114"/>
      <c r="D16" s="114"/>
      <c r="E16" s="37"/>
      <c r="F16" s="37">
        <v>0</v>
      </c>
      <c r="G16" s="37">
        <f t="shared" si="0"/>
        <v>0</v>
      </c>
      <c r="H16" s="211">
        <v>0</v>
      </c>
      <c r="I16" s="211">
        <v>0</v>
      </c>
      <c r="J16" s="37">
        <f t="shared" si="1"/>
        <v>0</v>
      </c>
      <c r="K16" s="37">
        <f t="shared" si="2"/>
        <v>0</v>
      </c>
      <c r="L16" s="215"/>
      <c r="M16" s="212">
        <f t="shared" si="3"/>
        <v>157032.73099999977</v>
      </c>
      <c r="N16" s="37"/>
      <c r="O16" s="28"/>
    </row>
    <row r="17" spans="1:15" ht="15">
      <c r="A17" s="26">
        <v>14</v>
      </c>
      <c r="B17" s="27">
        <v>45944</v>
      </c>
      <c r="C17" s="114"/>
      <c r="D17" s="114"/>
      <c r="E17" s="37"/>
      <c r="F17" s="37">
        <v>0</v>
      </c>
      <c r="G17" s="37">
        <f t="shared" si="0"/>
        <v>0</v>
      </c>
      <c r="H17" s="211">
        <v>0</v>
      </c>
      <c r="I17" s="211">
        <v>0</v>
      </c>
      <c r="J17" s="37">
        <f t="shared" si="1"/>
        <v>0</v>
      </c>
      <c r="K17" s="37">
        <f t="shared" si="2"/>
        <v>0</v>
      </c>
      <c r="L17" s="215"/>
      <c r="M17" s="212">
        <f t="shared" si="3"/>
        <v>157032.73099999977</v>
      </c>
      <c r="N17" s="37"/>
      <c r="O17" s="28"/>
    </row>
    <row r="18" spans="1:15" ht="15">
      <c r="A18" s="26">
        <v>15</v>
      </c>
      <c r="B18" s="27">
        <v>45945</v>
      </c>
      <c r="C18" s="114"/>
      <c r="D18" s="114"/>
      <c r="E18" s="37"/>
      <c r="F18" s="37">
        <v>0</v>
      </c>
      <c r="G18" s="37">
        <f t="shared" si="0"/>
        <v>0</v>
      </c>
      <c r="H18" s="211">
        <v>0</v>
      </c>
      <c r="I18" s="211">
        <v>0</v>
      </c>
      <c r="J18" s="37">
        <f t="shared" si="1"/>
        <v>0</v>
      </c>
      <c r="K18" s="37">
        <f t="shared" si="2"/>
        <v>0</v>
      </c>
      <c r="L18" s="215"/>
      <c r="M18" s="212">
        <f t="shared" si="3"/>
        <v>157032.73099999977</v>
      </c>
      <c r="N18" s="37"/>
      <c r="O18" s="28"/>
    </row>
    <row r="19" spans="1:15" ht="15">
      <c r="A19" s="26">
        <v>16</v>
      </c>
      <c r="B19" s="27">
        <v>45946</v>
      </c>
      <c r="C19" s="114"/>
      <c r="D19" s="114"/>
      <c r="E19" s="37"/>
      <c r="F19" s="37">
        <v>0</v>
      </c>
      <c r="G19" s="37">
        <f t="shared" si="0"/>
        <v>0</v>
      </c>
      <c r="H19" s="211">
        <v>0</v>
      </c>
      <c r="I19" s="211">
        <v>0</v>
      </c>
      <c r="J19" s="37">
        <f t="shared" si="1"/>
        <v>0</v>
      </c>
      <c r="K19" s="37">
        <f t="shared" si="2"/>
        <v>0</v>
      </c>
      <c r="L19" s="215"/>
      <c r="M19" s="212">
        <f t="shared" si="3"/>
        <v>157032.73099999977</v>
      </c>
      <c r="N19" s="37"/>
      <c r="O19" s="28"/>
    </row>
    <row r="20" spans="1:15" ht="15">
      <c r="A20" s="26">
        <v>17</v>
      </c>
      <c r="B20" s="27">
        <v>45947</v>
      </c>
      <c r="C20" s="114"/>
      <c r="D20" s="114"/>
      <c r="E20" s="37"/>
      <c r="F20" s="37">
        <v>0</v>
      </c>
      <c r="G20" s="37">
        <f t="shared" si="0"/>
        <v>0</v>
      </c>
      <c r="H20" s="211">
        <v>0</v>
      </c>
      <c r="I20" s="211">
        <v>0</v>
      </c>
      <c r="J20" s="37">
        <f t="shared" si="1"/>
        <v>0</v>
      </c>
      <c r="K20" s="37">
        <f t="shared" si="2"/>
        <v>0</v>
      </c>
      <c r="L20" s="215"/>
      <c r="M20" s="212">
        <f t="shared" si="3"/>
        <v>157032.73099999977</v>
      </c>
      <c r="N20" s="37"/>
      <c r="O20" s="28"/>
    </row>
    <row r="21" spans="1:15" ht="15">
      <c r="A21" s="26">
        <v>18</v>
      </c>
      <c r="B21" s="27">
        <v>45948</v>
      </c>
      <c r="C21" s="114"/>
      <c r="D21" s="114"/>
      <c r="E21" s="37"/>
      <c r="F21" s="37">
        <v>0</v>
      </c>
      <c r="G21" s="37"/>
      <c r="H21" s="211"/>
      <c r="I21" s="211"/>
      <c r="J21" s="37">
        <f t="shared" si="1"/>
        <v>0</v>
      </c>
      <c r="K21" s="37">
        <f t="shared" si="2"/>
        <v>0</v>
      </c>
      <c r="L21" s="215"/>
      <c r="M21" s="212">
        <f t="shared" si="3"/>
        <v>157032.73099999977</v>
      </c>
      <c r="N21" s="37"/>
      <c r="O21" s="28"/>
    </row>
    <row r="22" spans="1:15" ht="15">
      <c r="A22" s="26">
        <v>19</v>
      </c>
      <c r="B22" s="27">
        <v>45949</v>
      </c>
      <c r="C22" s="114"/>
      <c r="D22" s="114"/>
      <c r="E22" s="37"/>
      <c r="F22" s="37">
        <v>0</v>
      </c>
      <c r="G22" s="37"/>
      <c r="H22" s="211"/>
      <c r="I22" s="211"/>
      <c r="J22" s="37">
        <f t="shared" si="1"/>
        <v>0</v>
      </c>
      <c r="K22" s="37">
        <f t="shared" si="2"/>
        <v>0</v>
      </c>
      <c r="L22" s="215"/>
      <c r="M22" s="212">
        <f t="shared" si="3"/>
        <v>157032.73099999977</v>
      </c>
      <c r="N22" s="37"/>
      <c r="O22" s="28"/>
    </row>
    <row r="23" spans="1:15" ht="15">
      <c r="A23" s="26">
        <v>20</v>
      </c>
      <c r="B23" s="27">
        <v>45950</v>
      </c>
      <c r="C23" s="114"/>
      <c r="D23" s="114"/>
      <c r="E23" s="37"/>
      <c r="F23" s="37">
        <v>0</v>
      </c>
      <c r="G23" s="37"/>
      <c r="H23" s="211"/>
      <c r="I23" s="211"/>
      <c r="J23" s="37">
        <f t="shared" ref="J23:J34" si="4">H23*I23</f>
        <v>0</v>
      </c>
      <c r="K23" s="37">
        <f t="shared" ref="K23:K32" si="5">G23+J23</f>
        <v>0</v>
      </c>
      <c r="L23" s="215"/>
      <c r="M23" s="212">
        <f t="shared" si="3"/>
        <v>157032.73099999977</v>
      </c>
      <c r="N23" s="37"/>
      <c r="O23" s="28"/>
    </row>
    <row r="24" spans="1:15" ht="15">
      <c r="A24" s="26">
        <v>21</v>
      </c>
      <c r="B24" s="27">
        <v>45951</v>
      </c>
      <c r="C24" s="114"/>
      <c r="D24" s="114"/>
      <c r="E24" s="37"/>
      <c r="F24" s="37">
        <v>0</v>
      </c>
      <c r="G24" s="37"/>
      <c r="H24" s="211"/>
      <c r="I24" s="211"/>
      <c r="J24" s="37">
        <f t="shared" si="4"/>
        <v>0</v>
      </c>
      <c r="K24" s="37">
        <f t="shared" si="5"/>
        <v>0</v>
      </c>
      <c r="L24" s="215"/>
      <c r="M24" s="212">
        <f t="shared" si="3"/>
        <v>157032.73099999977</v>
      </c>
      <c r="N24" s="37"/>
      <c r="O24" s="28"/>
    </row>
    <row r="25" spans="1:15" ht="15">
      <c r="A25" s="26">
        <v>22</v>
      </c>
      <c r="B25" s="27">
        <v>45952</v>
      </c>
      <c r="C25" s="114"/>
      <c r="D25" s="114"/>
      <c r="E25" s="37"/>
      <c r="F25" s="37">
        <v>0</v>
      </c>
      <c r="G25" s="37"/>
      <c r="H25" s="211"/>
      <c r="I25" s="211"/>
      <c r="J25" s="37">
        <f t="shared" si="4"/>
        <v>0</v>
      </c>
      <c r="K25" s="37">
        <f t="shared" si="5"/>
        <v>0</v>
      </c>
      <c r="L25" s="215"/>
      <c r="M25" s="212">
        <f t="shared" si="3"/>
        <v>157032.73099999977</v>
      </c>
      <c r="N25" s="37"/>
      <c r="O25" s="28"/>
    </row>
    <row r="26" spans="1:15" ht="15">
      <c r="A26" s="26">
        <v>23</v>
      </c>
      <c r="B26" s="27">
        <v>45953</v>
      </c>
      <c r="C26" s="114"/>
      <c r="D26" s="114"/>
      <c r="E26" s="37"/>
      <c r="F26" s="37">
        <v>0</v>
      </c>
      <c r="G26" s="37"/>
      <c r="H26" s="211"/>
      <c r="I26" s="211"/>
      <c r="J26" s="37">
        <f t="shared" si="4"/>
        <v>0</v>
      </c>
      <c r="K26" s="37">
        <f t="shared" si="5"/>
        <v>0</v>
      </c>
      <c r="L26" s="215"/>
      <c r="M26" s="212">
        <f t="shared" si="3"/>
        <v>157032.73099999977</v>
      </c>
      <c r="N26" s="37"/>
      <c r="O26" s="28"/>
    </row>
    <row r="27" spans="1:15" ht="15">
      <c r="A27" s="26">
        <v>24</v>
      </c>
      <c r="B27" s="27">
        <v>45954</v>
      </c>
      <c r="C27" s="114"/>
      <c r="D27" s="114"/>
      <c r="E27" s="37"/>
      <c r="F27" s="37">
        <v>0</v>
      </c>
      <c r="G27" s="37"/>
      <c r="H27" s="211"/>
      <c r="I27" s="211"/>
      <c r="J27" s="37">
        <f t="shared" si="4"/>
        <v>0</v>
      </c>
      <c r="K27" s="37">
        <f t="shared" si="5"/>
        <v>0</v>
      </c>
      <c r="L27" s="215"/>
      <c r="M27" s="212">
        <f t="shared" si="3"/>
        <v>157032.73099999977</v>
      </c>
      <c r="N27" s="37"/>
      <c r="O27" s="28"/>
    </row>
    <row r="28" spans="1:15" ht="15">
      <c r="A28" s="26">
        <v>25</v>
      </c>
      <c r="B28" s="27">
        <v>45955</v>
      </c>
      <c r="C28" s="114"/>
      <c r="D28" s="114"/>
      <c r="E28" s="37"/>
      <c r="F28" s="37">
        <v>0</v>
      </c>
      <c r="G28" s="37"/>
      <c r="H28" s="211"/>
      <c r="I28" s="211"/>
      <c r="J28" s="37">
        <f t="shared" si="4"/>
        <v>0</v>
      </c>
      <c r="K28" s="37">
        <f t="shared" si="5"/>
        <v>0</v>
      </c>
      <c r="L28" s="215"/>
      <c r="M28" s="212">
        <f>M27+K28-L28</f>
        <v>157032.73099999977</v>
      </c>
      <c r="N28" s="37"/>
      <c r="O28" s="28"/>
    </row>
    <row r="29" spans="1:15" ht="15">
      <c r="A29" s="26">
        <v>26</v>
      </c>
      <c r="B29" s="27">
        <v>45956</v>
      </c>
      <c r="C29" s="114"/>
      <c r="D29" s="114"/>
      <c r="E29" s="37"/>
      <c r="F29" s="37">
        <v>0</v>
      </c>
      <c r="G29" s="37"/>
      <c r="H29" s="211"/>
      <c r="I29" s="211"/>
      <c r="J29" s="37">
        <f t="shared" si="4"/>
        <v>0</v>
      </c>
      <c r="K29" s="37">
        <f t="shared" si="5"/>
        <v>0</v>
      </c>
      <c r="L29" s="215"/>
      <c r="M29" s="212">
        <f t="shared" si="3"/>
        <v>157032.73099999977</v>
      </c>
      <c r="N29" s="37"/>
      <c r="O29" s="28"/>
    </row>
    <row r="30" spans="1:15" ht="15">
      <c r="A30" s="26">
        <v>27</v>
      </c>
      <c r="B30" s="27">
        <v>45957</v>
      </c>
      <c r="C30" s="114"/>
      <c r="D30" s="114"/>
      <c r="E30" s="37"/>
      <c r="F30" s="37">
        <v>0</v>
      </c>
      <c r="G30" s="37"/>
      <c r="H30" s="211"/>
      <c r="I30" s="211"/>
      <c r="J30" s="37">
        <f t="shared" si="4"/>
        <v>0</v>
      </c>
      <c r="K30" s="37">
        <f t="shared" si="5"/>
        <v>0</v>
      </c>
      <c r="L30" s="215"/>
      <c r="M30" s="212">
        <f t="shared" si="3"/>
        <v>157032.73099999977</v>
      </c>
      <c r="N30" s="37"/>
      <c r="O30" s="28"/>
    </row>
    <row r="31" spans="1:15" ht="15">
      <c r="A31" s="26">
        <v>28</v>
      </c>
      <c r="B31" s="27">
        <v>45958</v>
      </c>
      <c r="C31" s="114"/>
      <c r="D31" s="114"/>
      <c r="E31" s="37"/>
      <c r="F31" s="37">
        <v>0</v>
      </c>
      <c r="G31" s="37"/>
      <c r="H31" s="211"/>
      <c r="I31" s="211"/>
      <c r="J31" s="37">
        <f t="shared" si="4"/>
        <v>0</v>
      </c>
      <c r="K31" s="37">
        <f t="shared" si="5"/>
        <v>0</v>
      </c>
      <c r="L31" s="215"/>
      <c r="M31" s="212">
        <f t="shared" si="3"/>
        <v>157032.73099999977</v>
      </c>
      <c r="N31" s="37"/>
      <c r="O31" s="28"/>
    </row>
    <row r="32" spans="1:15" ht="15">
      <c r="A32" s="26">
        <v>29</v>
      </c>
      <c r="B32" s="27">
        <v>45959</v>
      </c>
      <c r="C32" s="114"/>
      <c r="D32" s="114"/>
      <c r="E32" s="37"/>
      <c r="F32" s="37">
        <v>0</v>
      </c>
      <c r="G32" s="37">
        <f t="shared" ref="G32" si="6">E32*F32</f>
        <v>0</v>
      </c>
      <c r="H32" s="211">
        <v>0</v>
      </c>
      <c r="I32" s="211">
        <v>0</v>
      </c>
      <c r="J32" s="37">
        <f t="shared" si="4"/>
        <v>0</v>
      </c>
      <c r="K32" s="37">
        <f t="shared" si="5"/>
        <v>0</v>
      </c>
      <c r="L32" s="215"/>
      <c r="M32" s="212">
        <f t="shared" si="3"/>
        <v>157032.73099999977</v>
      </c>
      <c r="N32" s="231"/>
      <c r="O32" s="28"/>
    </row>
    <row r="33" spans="1:15" ht="15">
      <c r="A33" s="26">
        <v>30</v>
      </c>
      <c r="B33" s="27">
        <v>45960</v>
      </c>
      <c r="C33" s="114"/>
      <c r="D33" s="114"/>
      <c r="E33" s="37"/>
      <c r="F33" s="37">
        <v>0</v>
      </c>
      <c r="G33" s="37">
        <f t="shared" si="0"/>
        <v>0</v>
      </c>
      <c r="H33" s="211">
        <v>70</v>
      </c>
      <c r="I33" s="211">
        <v>104.27</v>
      </c>
      <c r="J33" s="37">
        <f t="shared" si="4"/>
        <v>7298.9</v>
      </c>
      <c r="K33" s="37">
        <f t="shared" si="2"/>
        <v>7298.9</v>
      </c>
      <c r="L33" s="215"/>
      <c r="M33" s="212">
        <f t="shared" si="3"/>
        <v>164331.63099999976</v>
      </c>
      <c r="N33" s="231"/>
      <c r="O33" s="28"/>
    </row>
    <row r="34" spans="1:15" ht="15">
      <c r="A34" s="26">
        <v>31</v>
      </c>
      <c r="B34" s="27"/>
      <c r="C34" s="114"/>
      <c r="D34" s="114"/>
      <c r="E34" s="37"/>
      <c r="F34" s="37">
        <v>0</v>
      </c>
      <c r="G34" s="37">
        <f t="shared" ref="G34" si="7">E34*F34</f>
        <v>0</v>
      </c>
      <c r="H34" s="211"/>
      <c r="I34" s="211"/>
      <c r="J34" s="37">
        <f t="shared" si="4"/>
        <v>0</v>
      </c>
      <c r="K34" s="37">
        <f t="shared" ref="K34" si="8">G34+J34</f>
        <v>0</v>
      </c>
      <c r="L34" s="215"/>
      <c r="M34" s="231"/>
      <c r="N34" s="231"/>
      <c r="O34" s="28"/>
    </row>
    <row r="35" spans="1:15">
      <c r="A35" s="46"/>
      <c r="B35" s="46"/>
      <c r="C35" s="217"/>
      <c r="D35" s="217"/>
      <c r="E35" s="218">
        <f>SUM(E4:E34)</f>
        <v>1500</v>
      </c>
      <c r="F35" s="218"/>
      <c r="G35" s="218">
        <f>SUM(G4:G34)</f>
        <v>138225</v>
      </c>
      <c r="H35" s="218">
        <f>SUM(H4:H34)</f>
        <v>140</v>
      </c>
      <c r="I35" s="218"/>
      <c r="J35" s="218">
        <f>SUM(J4:J34)</f>
        <v>14597.8</v>
      </c>
      <c r="K35" s="218">
        <f>SUM(K4:K34)</f>
        <v>152822.79999999999</v>
      </c>
      <c r="L35" s="218">
        <f>SUM(L4:L31)</f>
        <v>0</v>
      </c>
      <c r="M35" s="218"/>
      <c r="N35" s="218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41"/>
      <c r="C38" s="441"/>
      <c r="D38" s="441"/>
      <c r="E38" s="441"/>
      <c r="F38" s="28"/>
      <c r="G38" s="28"/>
      <c r="H38" s="28"/>
      <c r="I38" s="441"/>
      <c r="J38" s="441"/>
      <c r="K38" s="441"/>
      <c r="L38" s="441"/>
      <c r="M38" s="441"/>
      <c r="N38" s="441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B3" activePane="bottomLeft" state="frozen"/>
      <selection pane="bottomLeft" activeCell="B4" sqref="B4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436" t="s">
        <v>36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24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24" ht="15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 s="158">
        <v>2258.5999999999767</v>
      </c>
      <c r="L3" s="157"/>
      <c r="M3" s="157">
        <f>+K3</f>
        <v>2258.5999999999767</v>
      </c>
      <c r="N3" s="114"/>
    </row>
    <row r="4" spans="1:24" ht="15">
      <c r="A4" s="26">
        <v>1</v>
      </c>
      <c r="B4" s="27">
        <v>45931</v>
      </c>
      <c r="C4" s="281"/>
      <c r="D4" s="282"/>
      <c r="E4" s="36"/>
      <c r="F4" s="36"/>
      <c r="G4" s="36">
        <f>E4*F4</f>
        <v>0</v>
      </c>
      <c r="H4" s="129">
        <v>0</v>
      </c>
      <c r="I4" s="129"/>
      <c r="J4" s="36">
        <f>H4*I4</f>
        <v>0</v>
      </c>
      <c r="K4" s="37">
        <f>G4+J4</f>
        <v>0</v>
      </c>
      <c r="L4" s="37">
        <v>0</v>
      </c>
      <c r="M4" s="37">
        <f>M3+K4-L4</f>
        <v>2258.5999999999767</v>
      </c>
      <c r="N4" s="48"/>
    </row>
    <row r="5" spans="1:24" ht="15">
      <c r="A5" s="26">
        <v>2</v>
      </c>
      <c r="B5" s="27">
        <v>45932</v>
      </c>
      <c r="C5" s="281"/>
      <c r="D5" s="282"/>
      <c r="E5" s="36"/>
      <c r="F5" s="36"/>
      <c r="G5" s="36">
        <f t="shared" ref="G5:G7" si="0">E5*F5</f>
        <v>0</v>
      </c>
      <c r="H5" s="129">
        <v>0</v>
      </c>
      <c r="I5" s="129">
        <v>0</v>
      </c>
      <c r="J5" s="36">
        <f t="shared" ref="J5:J7" si="1">H5*I5</f>
        <v>0</v>
      </c>
      <c r="K5" s="37">
        <f t="shared" ref="K5:K7" si="2">G5+J5</f>
        <v>0</v>
      </c>
      <c r="L5" s="37">
        <v>0</v>
      </c>
      <c r="M5" s="37">
        <f t="shared" ref="M5:M34" si="3">M4+K5-L5</f>
        <v>2258.5999999999767</v>
      </c>
      <c r="N5" s="48"/>
    </row>
    <row r="6" spans="1:24" ht="15">
      <c r="A6" s="26">
        <v>3</v>
      </c>
      <c r="B6" s="27">
        <v>45933</v>
      </c>
      <c r="C6" s="281"/>
      <c r="D6" s="282"/>
      <c r="E6" s="36"/>
      <c r="F6" s="36"/>
      <c r="G6" s="36">
        <f t="shared" si="0"/>
        <v>0</v>
      </c>
      <c r="H6" s="129">
        <v>0</v>
      </c>
      <c r="I6" s="129">
        <v>0</v>
      </c>
      <c r="J6" s="36">
        <f t="shared" si="1"/>
        <v>0</v>
      </c>
      <c r="K6" s="37">
        <f t="shared" si="2"/>
        <v>0</v>
      </c>
      <c r="L6" s="37">
        <v>0</v>
      </c>
      <c r="M6" s="37">
        <f t="shared" si="3"/>
        <v>2258.5999999999767</v>
      </c>
      <c r="N6" s="48"/>
    </row>
    <row r="7" spans="1:24" ht="15">
      <c r="A7" s="26">
        <v>4</v>
      </c>
      <c r="B7" s="27">
        <v>45934</v>
      </c>
      <c r="C7" s="281"/>
      <c r="D7" s="282"/>
      <c r="E7" s="36"/>
      <c r="F7" s="36"/>
      <c r="G7" s="36">
        <f t="shared" si="0"/>
        <v>0</v>
      </c>
      <c r="H7" s="129">
        <v>0</v>
      </c>
      <c r="I7" s="129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2258.5999999999767</v>
      </c>
      <c r="N7" s="48"/>
    </row>
    <row r="8" spans="1:24" ht="15">
      <c r="A8" s="26">
        <v>5</v>
      </c>
      <c r="B8" s="27">
        <v>45935</v>
      </c>
      <c r="C8" s="281"/>
      <c r="D8" s="282"/>
      <c r="E8" s="36"/>
      <c r="F8" s="36"/>
      <c r="G8" s="36">
        <f t="shared" ref="G8:G34" si="4">E8*F8</f>
        <v>0</v>
      </c>
      <c r="H8" s="129">
        <v>0</v>
      </c>
      <c r="I8" s="129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2258.5999999999767</v>
      </c>
      <c r="N8" s="48"/>
    </row>
    <row r="9" spans="1:24" ht="15">
      <c r="A9" s="26">
        <v>6</v>
      </c>
      <c r="B9" s="27">
        <v>45936</v>
      </c>
      <c r="C9" s="281"/>
      <c r="D9" s="282"/>
      <c r="E9" s="36"/>
      <c r="F9" s="36"/>
      <c r="G9" s="36">
        <f t="shared" si="4"/>
        <v>0</v>
      </c>
      <c r="H9" s="129">
        <v>0</v>
      </c>
      <c r="I9" s="129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2258.5999999999767</v>
      </c>
      <c r="N9" s="48"/>
    </row>
    <row r="10" spans="1:24" ht="15">
      <c r="A10" s="26">
        <v>7</v>
      </c>
      <c r="B10" s="27">
        <v>45937</v>
      </c>
      <c r="C10" s="281"/>
      <c r="D10" s="282"/>
      <c r="E10" s="36"/>
      <c r="F10" s="36"/>
      <c r="G10" s="36">
        <f t="shared" si="4"/>
        <v>0</v>
      </c>
      <c r="H10" s="129"/>
      <c r="I10" s="129"/>
      <c r="J10" s="36">
        <f t="shared" si="5"/>
        <v>0</v>
      </c>
      <c r="K10" s="37">
        <f t="shared" si="6"/>
        <v>0</v>
      </c>
      <c r="L10" s="37">
        <v>0</v>
      </c>
      <c r="M10" s="37">
        <f t="shared" si="3"/>
        <v>2258.5999999999767</v>
      </c>
      <c r="N10" s="48"/>
    </row>
    <row r="11" spans="1:24" ht="15">
      <c r="A11" s="26">
        <v>8</v>
      </c>
      <c r="B11" s="27">
        <v>45938</v>
      </c>
      <c r="C11" s="281"/>
      <c r="D11" s="282"/>
      <c r="E11" s="36"/>
      <c r="F11" s="36"/>
      <c r="G11" s="36">
        <f t="shared" si="4"/>
        <v>0</v>
      </c>
      <c r="H11" s="129">
        <v>0</v>
      </c>
      <c r="I11" s="129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2258.5999999999767</v>
      </c>
      <c r="N11" s="48"/>
    </row>
    <row r="12" spans="1:24" ht="15">
      <c r="A12" s="26">
        <v>9</v>
      </c>
      <c r="B12" s="27">
        <v>45939</v>
      </c>
      <c r="C12" s="281"/>
      <c r="D12" s="282"/>
      <c r="E12" s="36"/>
      <c r="F12" s="36"/>
      <c r="G12" s="36">
        <f t="shared" si="4"/>
        <v>0</v>
      </c>
      <c r="H12" s="129">
        <v>0</v>
      </c>
      <c r="I12" s="129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2258.5999999999767</v>
      </c>
      <c r="N12" s="48"/>
    </row>
    <row r="13" spans="1:24" ht="15">
      <c r="A13" s="26">
        <v>10</v>
      </c>
      <c r="B13" s="27">
        <v>45940</v>
      </c>
      <c r="C13" s="281"/>
      <c r="D13" s="282"/>
      <c r="E13" s="36"/>
      <c r="F13" s="36"/>
      <c r="G13" s="36">
        <f t="shared" si="4"/>
        <v>0</v>
      </c>
      <c r="H13" s="129">
        <v>0</v>
      </c>
      <c r="I13" s="129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2258.5999999999767</v>
      </c>
      <c r="N13" s="48"/>
    </row>
    <row r="14" spans="1:24" ht="15">
      <c r="A14" s="26">
        <v>11</v>
      </c>
      <c r="B14" s="27">
        <v>45941</v>
      </c>
      <c r="C14" s="281"/>
      <c r="D14" s="282"/>
      <c r="E14" s="36"/>
      <c r="F14" s="36"/>
      <c r="G14" s="36">
        <f t="shared" si="4"/>
        <v>0</v>
      </c>
      <c r="H14" s="129">
        <v>0</v>
      </c>
      <c r="I14" s="129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2258.5999999999767</v>
      </c>
      <c r="N14" s="48"/>
    </row>
    <row r="15" spans="1:24" ht="15">
      <c r="A15" s="26">
        <v>12</v>
      </c>
      <c r="B15" s="27">
        <v>45942</v>
      </c>
      <c r="C15" s="281"/>
      <c r="D15" s="282"/>
      <c r="E15" s="36"/>
      <c r="F15" s="36"/>
      <c r="G15" s="36">
        <f t="shared" si="4"/>
        <v>0</v>
      </c>
      <c r="H15" s="129">
        <v>0</v>
      </c>
      <c r="I15" s="129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2258.5999999999767</v>
      </c>
      <c r="N15" s="48"/>
    </row>
    <row r="16" spans="1:24" ht="15">
      <c r="A16" s="26">
        <v>13</v>
      </c>
      <c r="B16" s="27">
        <v>45943</v>
      </c>
      <c r="C16" s="281"/>
      <c r="D16" s="282"/>
      <c r="E16" s="36"/>
      <c r="F16" s="36"/>
      <c r="G16" s="36">
        <f t="shared" si="4"/>
        <v>0</v>
      </c>
      <c r="H16" s="129">
        <v>0</v>
      </c>
      <c r="I16" s="129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2258.5999999999767</v>
      </c>
      <c r="N16" s="48"/>
      <c r="X16" s="33">
        <f>100*104</f>
        <v>10400</v>
      </c>
    </row>
    <row r="17" spans="1:14" ht="15">
      <c r="A17" s="26">
        <v>14</v>
      </c>
      <c r="B17" s="27">
        <v>45944</v>
      </c>
      <c r="C17" s="281"/>
      <c r="D17" s="282"/>
      <c r="E17" s="36"/>
      <c r="F17" s="36"/>
      <c r="G17" s="36">
        <f t="shared" si="4"/>
        <v>0</v>
      </c>
      <c r="H17" s="129">
        <v>0</v>
      </c>
      <c r="I17" s="129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2258.5999999999767</v>
      </c>
      <c r="N17" s="48"/>
    </row>
    <row r="18" spans="1:14" ht="15">
      <c r="A18" s="26">
        <v>15</v>
      </c>
      <c r="B18" s="27">
        <v>45945</v>
      </c>
      <c r="C18" s="281"/>
      <c r="D18" s="282"/>
      <c r="E18" s="36"/>
      <c r="F18" s="36"/>
      <c r="G18" s="36">
        <f t="shared" si="4"/>
        <v>0</v>
      </c>
      <c r="H18" s="129">
        <v>0</v>
      </c>
      <c r="I18" s="129">
        <v>0</v>
      </c>
      <c r="J18" s="36">
        <f t="shared" si="5"/>
        <v>0</v>
      </c>
      <c r="K18" s="37">
        <f t="shared" si="6"/>
        <v>0</v>
      </c>
      <c r="L18" s="37"/>
      <c r="M18" s="37">
        <f t="shared" si="3"/>
        <v>2258.5999999999767</v>
      </c>
      <c r="N18" s="48"/>
    </row>
    <row r="19" spans="1:14" ht="15">
      <c r="A19" s="26">
        <v>16</v>
      </c>
      <c r="B19" s="27">
        <v>45946</v>
      </c>
      <c r="C19" s="281"/>
      <c r="D19" s="282"/>
      <c r="E19" s="36"/>
      <c r="F19" s="36"/>
      <c r="G19" s="36">
        <f t="shared" si="4"/>
        <v>0</v>
      </c>
      <c r="H19" s="129">
        <v>0</v>
      </c>
      <c r="I19" s="129">
        <v>0</v>
      </c>
      <c r="J19" s="36">
        <f t="shared" si="5"/>
        <v>0</v>
      </c>
      <c r="K19" s="37">
        <f t="shared" si="6"/>
        <v>0</v>
      </c>
      <c r="L19" s="37"/>
      <c r="M19" s="37">
        <f t="shared" si="3"/>
        <v>2258.5999999999767</v>
      </c>
      <c r="N19" s="48"/>
    </row>
    <row r="20" spans="1:14" ht="15">
      <c r="A20" s="26">
        <v>17</v>
      </c>
      <c r="B20" s="27">
        <v>45947</v>
      </c>
      <c r="C20" s="281"/>
      <c r="D20" s="282"/>
      <c r="E20" s="36"/>
      <c r="F20" s="36"/>
      <c r="G20" s="36">
        <f t="shared" si="4"/>
        <v>0</v>
      </c>
      <c r="H20" s="129">
        <v>0</v>
      </c>
      <c r="I20" s="129">
        <v>0</v>
      </c>
      <c r="J20" s="36">
        <f t="shared" si="5"/>
        <v>0</v>
      </c>
      <c r="K20" s="37">
        <f t="shared" si="6"/>
        <v>0</v>
      </c>
      <c r="L20" s="37"/>
      <c r="M20" s="37">
        <f t="shared" si="3"/>
        <v>2258.5999999999767</v>
      </c>
      <c r="N20" s="48"/>
    </row>
    <row r="21" spans="1:14" ht="15">
      <c r="A21" s="26">
        <v>18</v>
      </c>
      <c r="B21" s="27">
        <v>45948</v>
      </c>
      <c r="C21" s="281"/>
      <c r="D21" s="282"/>
      <c r="E21" s="36"/>
      <c r="F21" s="36"/>
      <c r="G21" s="36">
        <f t="shared" si="4"/>
        <v>0</v>
      </c>
      <c r="H21" s="129">
        <v>0</v>
      </c>
      <c r="I21" s="129">
        <v>0</v>
      </c>
      <c r="J21" s="36">
        <f t="shared" si="5"/>
        <v>0</v>
      </c>
      <c r="K21" s="37">
        <f t="shared" si="6"/>
        <v>0</v>
      </c>
      <c r="L21" s="37"/>
      <c r="M21" s="37">
        <f t="shared" si="3"/>
        <v>2258.5999999999767</v>
      </c>
      <c r="N21" s="48"/>
    </row>
    <row r="22" spans="1:14" ht="15">
      <c r="A22" s="26">
        <v>19</v>
      </c>
      <c r="B22" s="27">
        <v>45949</v>
      </c>
      <c r="C22" s="281"/>
      <c r="D22" s="282"/>
      <c r="E22" s="36"/>
      <c r="F22" s="36"/>
      <c r="G22" s="36">
        <f t="shared" si="4"/>
        <v>0</v>
      </c>
      <c r="H22" s="129">
        <v>0</v>
      </c>
      <c r="I22" s="129">
        <v>0</v>
      </c>
      <c r="J22" s="36">
        <f t="shared" si="5"/>
        <v>0</v>
      </c>
      <c r="K22" s="37">
        <f t="shared" si="6"/>
        <v>0</v>
      </c>
      <c r="L22" s="37"/>
      <c r="M22" s="37">
        <f t="shared" si="3"/>
        <v>2258.5999999999767</v>
      </c>
      <c r="N22" s="48"/>
    </row>
    <row r="23" spans="1:14" ht="15">
      <c r="A23" s="26">
        <v>20</v>
      </c>
      <c r="B23" s="27">
        <v>45950</v>
      </c>
      <c r="C23" s="281"/>
      <c r="D23" s="282"/>
      <c r="E23" s="36"/>
      <c r="F23" s="36"/>
      <c r="G23" s="36">
        <f t="shared" si="4"/>
        <v>0</v>
      </c>
      <c r="H23" s="129">
        <v>0</v>
      </c>
      <c r="I23" s="129">
        <v>0</v>
      </c>
      <c r="J23" s="36">
        <f t="shared" si="5"/>
        <v>0</v>
      </c>
      <c r="K23" s="37">
        <f t="shared" si="6"/>
        <v>0</v>
      </c>
      <c r="L23" s="37"/>
      <c r="M23" s="37">
        <f t="shared" si="3"/>
        <v>2258.5999999999767</v>
      </c>
      <c r="N23" s="48"/>
    </row>
    <row r="24" spans="1:14" ht="15">
      <c r="A24" s="26">
        <v>21</v>
      </c>
      <c r="B24" s="27">
        <v>45951</v>
      </c>
      <c r="C24" s="281"/>
      <c r="D24" s="282"/>
      <c r="E24" s="36"/>
      <c r="F24" s="36"/>
      <c r="G24" s="36">
        <f t="shared" si="4"/>
        <v>0</v>
      </c>
      <c r="H24" s="129">
        <v>0</v>
      </c>
      <c r="I24" s="129">
        <v>0</v>
      </c>
      <c r="J24" s="36">
        <f t="shared" si="5"/>
        <v>0</v>
      </c>
      <c r="K24" s="37">
        <f t="shared" si="6"/>
        <v>0</v>
      </c>
      <c r="L24" s="37"/>
      <c r="M24" s="37">
        <f t="shared" si="3"/>
        <v>2258.5999999999767</v>
      </c>
      <c r="N24" s="48"/>
    </row>
    <row r="25" spans="1:14" ht="15">
      <c r="A25" s="26">
        <v>22</v>
      </c>
      <c r="B25" s="27">
        <v>45952</v>
      </c>
      <c r="C25" s="281"/>
      <c r="D25" s="282"/>
      <c r="E25" s="36"/>
      <c r="F25" s="36"/>
      <c r="G25" s="36">
        <f t="shared" si="4"/>
        <v>0</v>
      </c>
      <c r="H25" s="129">
        <v>0</v>
      </c>
      <c r="I25" s="129">
        <v>0</v>
      </c>
      <c r="J25" s="36">
        <f t="shared" si="5"/>
        <v>0</v>
      </c>
      <c r="K25" s="37">
        <f t="shared" si="6"/>
        <v>0</v>
      </c>
      <c r="L25" s="37"/>
      <c r="M25" s="37">
        <f t="shared" si="3"/>
        <v>2258.5999999999767</v>
      </c>
      <c r="N25" s="48"/>
    </row>
    <row r="26" spans="1:14" ht="15">
      <c r="A26" s="26">
        <v>23</v>
      </c>
      <c r="B26" s="27">
        <v>45953</v>
      </c>
      <c r="C26" s="281"/>
      <c r="D26" s="282"/>
      <c r="E26" s="36"/>
      <c r="F26" s="36"/>
      <c r="G26" s="36">
        <f t="shared" si="4"/>
        <v>0</v>
      </c>
      <c r="H26" s="129">
        <v>0</v>
      </c>
      <c r="I26" s="129">
        <v>0</v>
      </c>
      <c r="J26" s="36">
        <f t="shared" ref="J26:J31" si="7">H26*I26</f>
        <v>0</v>
      </c>
      <c r="K26" s="37">
        <f t="shared" ref="K26:K31" si="8">G26+J26</f>
        <v>0</v>
      </c>
      <c r="L26" s="37"/>
      <c r="M26" s="37">
        <f t="shared" si="3"/>
        <v>2258.5999999999767</v>
      </c>
      <c r="N26" s="48"/>
    </row>
    <row r="27" spans="1:14" ht="15">
      <c r="A27" s="26">
        <v>24</v>
      </c>
      <c r="B27" s="27">
        <v>45954</v>
      </c>
      <c r="C27" s="281"/>
      <c r="D27" s="282"/>
      <c r="E27" s="36"/>
      <c r="F27" s="36"/>
      <c r="G27" s="36">
        <f t="shared" si="4"/>
        <v>0</v>
      </c>
      <c r="H27" s="129">
        <v>0</v>
      </c>
      <c r="I27" s="129">
        <v>0</v>
      </c>
      <c r="J27" s="36">
        <f t="shared" si="7"/>
        <v>0</v>
      </c>
      <c r="K27" s="37">
        <f t="shared" si="8"/>
        <v>0</v>
      </c>
      <c r="L27" s="37"/>
      <c r="M27" s="37">
        <f t="shared" si="3"/>
        <v>2258.5999999999767</v>
      </c>
      <c r="N27" s="48"/>
    </row>
    <row r="28" spans="1:14" ht="15">
      <c r="A28" s="26">
        <v>25</v>
      </c>
      <c r="B28" s="27">
        <v>45955</v>
      </c>
      <c r="C28" s="281"/>
      <c r="D28" s="282"/>
      <c r="E28" s="36"/>
      <c r="F28" s="36"/>
      <c r="G28" s="36">
        <f t="shared" si="4"/>
        <v>0</v>
      </c>
      <c r="H28" s="129">
        <v>0</v>
      </c>
      <c r="I28" s="129">
        <v>0</v>
      </c>
      <c r="J28" s="36">
        <f t="shared" si="7"/>
        <v>0</v>
      </c>
      <c r="K28" s="37">
        <f t="shared" si="8"/>
        <v>0</v>
      </c>
      <c r="L28" s="37"/>
      <c r="M28" s="37">
        <f t="shared" si="3"/>
        <v>2258.5999999999767</v>
      </c>
      <c r="N28" s="48"/>
    </row>
    <row r="29" spans="1:14" ht="15">
      <c r="A29" s="26">
        <v>26</v>
      </c>
      <c r="B29" s="27">
        <v>45956</v>
      </c>
      <c r="C29" s="281"/>
      <c r="D29" s="282"/>
      <c r="E29" s="36"/>
      <c r="F29" s="36"/>
      <c r="G29" s="36">
        <f t="shared" si="4"/>
        <v>0</v>
      </c>
      <c r="H29" s="129">
        <v>0</v>
      </c>
      <c r="I29" s="129">
        <v>0</v>
      </c>
      <c r="J29" s="36">
        <f t="shared" si="7"/>
        <v>0</v>
      </c>
      <c r="K29" s="37">
        <f t="shared" si="8"/>
        <v>0</v>
      </c>
      <c r="L29" s="37"/>
      <c r="M29" s="37">
        <f t="shared" si="3"/>
        <v>2258.5999999999767</v>
      </c>
      <c r="N29" s="48"/>
    </row>
    <row r="30" spans="1:14" ht="15">
      <c r="A30" s="26">
        <v>27</v>
      </c>
      <c r="B30" s="27">
        <v>45957</v>
      </c>
      <c r="C30" s="281"/>
      <c r="D30" s="282"/>
      <c r="E30" s="36"/>
      <c r="F30" s="36"/>
      <c r="G30" s="36">
        <f t="shared" si="4"/>
        <v>0</v>
      </c>
      <c r="H30" s="129">
        <v>0</v>
      </c>
      <c r="I30" s="129">
        <v>0</v>
      </c>
      <c r="J30" s="36">
        <f t="shared" si="7"/>
        <v>0</v>
      </c>
      <c r="K30" s="37">
        <f t="shared" si="8"/>
        <v>0</v>
      </c>
      <c r="L30" s="37"/>
      <c r="M30" s="37">
        <f t="shared" si="3"/>
        <v>2258.5999999999767</v>
      </c>
      <c r="N30" s="48"/>
    </row>
    <row r="31" spans="1:14" ht="15">
      <c r="A31" s="26">
        <v>28</v>
      </c>
      <c r="B31" s="27">
        <v>45958</v>
      </c>
      <c r="C31" s="281"/>
      <c r="D31" s="282"/>
      <c r="E31" s="36"/>
      <c r="F31" s="36"/>
      <c r="G31" s="36">
        <f t="shared" si="4"/>
        <v>0</v>
      </c>
      <c r="H31" s="129">
        <v>0</v>
      </c>
      <c r="I31" s="129">
        <v>0</v>
      </c>
      <c r="J31" s="36">
        <f t="shared" si="7"/>
        <v>0</v>
      </c>
      <c r="K31" s="37">
        <f t="shared" si="8"/>
        <v>0</v>
      </c>
      <c r="L31" s="37"/>
      <c r="M31" s="37">
        <f t="shared" si="3"/>
        <v>2258.5999999999767</v>
      </c>
      <c r="N31" s="48"/>
    </row>
    <row r="32" spans="1:14" ht="15">
      <c r="A32" s="26">
        <v>29</v>
      </c>
      <c r="B32" s="27">
        <v>45959</v>
      </c>
      <c r="C32" s="281"/>
      <c r="D32" s="282"/>
      <c r="E32" s="36"/>
      <c r="F32" s="36"/>
      <c r="G32" s="36">
        <f t="shared" si="4"/>
        <v>0</v>
      </c>
      <c r="H32" s="129">
        <v>0</v>
      </c>
      <c r="I32" s="129">
        <v>0</v>
      </c>
      <c r="J32" s="36">
        <f t="shared" si="5"/>
        <v>0</v>
      </c>
      <c r="K32" s="37">
        <f t="shared" si="6"/>
        <v>0</v>
      </c>
      <c r="L32" s="37"/>
      <c r="M32" s="37">
        <f t="shared" si="3"/>
        <v>2258.5999999999767</v>
      </c>
      <c r="N32" s="48"/>
    </row>
    <row r="33" spans="1:14" ht="15">
      <c r="A33" s="26">
        <v>30</v>
      </c>
      <c r="B33" s="27">
        <v>45960</v>
      </c>
      <c r="C33" s="281"/>
      <c r="D33" s="282"/>
      <c r="E33" s="36"/>
      <c r="F33" s="36"/>
      <c r="G33" s="36">
        <f t="shared" si="4"/>
        <v>0</v>
      </c>
      <c r="H33" s="129">
        <v>0</v>
      </c>
      <c r="I33" s="129">
        <v>0</v>
      </c>
      <c r="J33" s="36">
        <f t="shared" si="5"/>
        <v>0</v>
      </c>
      <c r="K33" s="37">
        <f t="shared" si="6"/>
        <v>0</v>
      </c>
      <c r="L33" s="37"/>
      <c r="M33" s="37">
        <f t="shared" si="3"/>
        <v>2258.5999999999767</v>
      </c>
      <c r="N33" s="48"/>
    </row>
    <row r="34" spans="1:14" ht="15">
      <c r="A34" s="26">
        <v>31</v>
      </c>
      <c r="B34" s="27"/>
      <c r="C34" s="114"/>
      <c r="D34" s="128"/>
      <c r="E34" s="36"/>
      <c r="F34" s="36"/>
      <c r="G34" s="36">
        <f t="shared" si="4"/>
        <v>0</v>
      </c>
      <c r="H34" s="129">
        <v>0</v>
      </c>
      <c r="I34" s="129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2258.5999999999767</v>
      </c>
      <c r="N34" s="48"/>
    </row>
    <row r="35" spans="1:14">
      <c r="A35" s="46"/>
      <c r="B35" s="46"/>
      <c r="C35" s="46"/>
      <c r="D35" s="46"/>
      <c r="E35" s="47">
        <f>SUM(E4:E34)</f>
        <v>0</v>
      </c>
      <c r="F35" s="47"/>
      <c r="G35" s="47">
        <f>SUM(G4:G34)</f>
        <v>0</v>
      </c>
      <c r="H35" s="47">
        <f>SUM(H4:H34)</f>
        <v>0</v>
      </c>
      <c r="I35" s="47"/>
      <c r="J35" s="47">
        <f>SUM(J4:J34)</f>
        <v>0</v>
      </c>
      <c r="K35" s="47">
        <f>SUM(K4:K34)</f>
        <v>0</v>
      </c>
      <c r="L35" s="47">
        <f>SUM(L4:L34)</f>
        <v>0</v>
      </c>
      <c r="M35" s="47"/>
      <c r="N35" s="47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43"/>
      <c r="C38" s="443"/>
      <c r="D38" s="443"/>
      <c r="E38" s="443"/>
      <c r="I38" s="443"/>
      <c r="J38" s="443"/>
      <c r="K38" s="443"/>
      <c r="L38" s="443"/>
      <c r="M38" s="443"/>
      <c r="N38" s="443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P35"/>
  <sheetViews>
    <sheetView topLeftCell="A5" workbookViewId="0">
      <selection activeCell="O39" sqref="O39"/>
    </sheetView>
  </sheetViews>
  <sheetFormatPr defaultRowHeight="15"/>
  <cols>
    <col min="2" max="2" width="9.8554687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6" ht="15.75" customHeight="1">
      <c r="A1" s="436" t="s">
        <v>38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6" ht="25.5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16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>
        <v>277709.08689999999</v>
      </c>
      <c r="L3" s="157"/>
      <c r="M3" s="157">
        <f>+K3</f>
        <v>277709.08689999999</v>
      </c>
      <c r="N3" s="114"/>
      <c r="O3">
        <v>618231.25190000003</v>
      </c>
    </row>
    <row r="4" spans="1:16">
      <c r="A4" s="26">
        <v>1</v>
      </c>
      <c r="B4" s="27">
        <v>45931</v>
      </c>
      <c r="C4" s="114">
        <v>0</v>
      </c>
      <c r="D4" s="128"/>
      <c r="E4" s="37"/>
      <c r="F4" s="37"/>
      <c r="G4" s="37">
        <f>E4*F4</f>
        <v>0</v>
      </c>
      <c r="H4" s="129"/>
      <c r="I4" s="129"/>
      <c r="J4" s="37">
        <f>H4*I4</f>
        <v>0</v>
      </c>
      <c r="K4" s="37">
        <f>G4+J4</f>
        <v>0</v>
      </c>
      <c r="L4" s="37"/>
      <c r="M4" s="37">
        <f t="shared" ref="M4:M33" si="0">M3+K4-L4</f>
        <v>277709.08689999999</v>
      </c>
      <c r="N4" s="48"/>
    </row>
    <row r="5" spans="1:16">
      <c r="A5" s="26">
        <v>2</v>
      </c>
      <c r="B5" s="27">
        <v>45932</v>
      </c>
      <c r="C5" s="114">
        <v>0</v>
      </c>
      <c r="D5" s="128"/>
      <c r="E5" s="37"/>
      <c r="F5" s="37"/>
      <c r="G5" s="37">
        <f t="shared" ref="G5:G33" si="1">E5*F5</f>
        <v>0</v>
      </c>
      <c r="H5" s="129"/>
      <c r="I5" s="129"/>
      <c r="J5" s="37">
        <f t="shared" ref="J5:J33" si="2">H5*I5</f>
        <v>0</v>
      </c>
      <c r="K5" s="37">
        <f t="shared" ref="K5:K33" si="3">G5+J5</f>
        <v>0</v>
      </c>
      <c r="L5" s="37"/>
      <c r="M5" s="37">
        <f t="shared" si="0"/>
        <v>277709.08689999999</v>
      </c>
      <c r="N5" s="48"/>
    </row>
    <row r="6" spans="1:16">
      <c r="A6" s="26">
        <v>3</v>
      </c>
      <c r="B6" s="27">
        <v>45933</v>
      </c>
      <c r="C6" s="114">
        <v>0</v>
      </c>
      <c r="D6" s="128"/>
      <c r="E6" s="37"/>
      <c r="F6" s="37"/>
      <c r="G6" s="37">
        <f t="shared" si="1"/>
        <v>0</v>
      </c>
      <c r="H6" s="129"/>
      <c r="I6" s="129"/>
      <c r="J6" s="37">
        <f t="shared" si="2"/>
        <v>0</v>
      </c>
      <c r="K6" s="37">
        <f t="shared" si="3"/>
        <v>0</v>
      </c>
      <c r="L6" s="37"/>
      <c r="M6" s="37">
        <f t="shared" si="0"/>
        <v>277709.08689999999</v>
      </c>
      <c r="N6" s="48"/>
    </row>
    <row r="7" spans="1:16">
      <c r="A7" s="26">
        <v>4</v>
      </c>
      <c r="B7" s="27">
        <v>45934</v>
      </c>
      <c r="C7" s="114">
        <v>0</v>
      </c>
      <c r="D7" s="128">
        <v>1</v>
      </c>
      <c r="E7" s="37">
        <v>1800</v>
      </c>
      <c r="F7" s="37">
        <v>91.52</v>
      </c>
      <c r="G7" s="37">
        <f t="shared" si="1"/>
        <v>164736</v>
      </c>
      <c r="H7" s="129">
        <v>70</v>
      </c>
      <c r="I7" s="129">
        <v>103.67</v>
      </c>
      <c r="J7" s="37">
        <f t="shared" si="2"/>
        <v>7256.9000000000005</v>
      </c>
      <c r="K7" s="37">
        <f t="shared" si="3"/>
        <v>171992.9</v>
      </c>
      <c r="L7" s="37"/>
      <c r="M7" s="37">
        <f t="shared" si="0"/>
        <v>449701.98690000002</v>
      </c>
      <c r="N7" s="48"/>
    </row>
    <row r="8" spans="1:16">
      <c r="A8" s="26">
        <v>5</v>
      </c>
      <c r="B8" s="27">
        <v>45935</v>
      </c>
      <c r="C8" s="114">
        <v>0</v>
      </c>
      <c r="D8" s="128"/>
      <c r="E8" s="37"/>
      <c r="F8" s="37"/>
      <c r="G8" s="37">
        <f t="shared" si="1"/>
        <v>0</v>
      </c>
      <c r="H8" s="129"/>
      <c r="I8" s="129"/>
      <c r="J8" s="37">
        <f t="shared" si="2"/>
        <v>0</v>
      </c>
      <c r="K8" s="37">
        <f t="shared" si="3"/>
        <v>0</v>
      </c>
      <c r="L8" s="37"/>
      <c r="M8" s="37">
        <f t="shared" si="0"/>
        <v>449701.98690000002</v>
      </c>
      <c r="N8" s="48"/>
    </row>
    <row r="9" spans="1:16">
      <c r="A9" s="26">
        <v>6</v>
      </c>
      <c r="B9" s="27">
        <v>45936</v>
      </c>
      <c r="C9" s="114">
        <v>0</v>
      </c>
      <c r="D9" s="128"/>
      <c r="E9" s="37"/>
      <c r="F9" s="37"/>
      <c r="G9" s="37">
        <f t="shared" si="1"/>
        <v>0</v>
      </c>
      <c r="H9" s="129"/>
      <c r="I9" s="129"/>
      <c r="J9" s="37">
        <f t="shared" si="2"/>
        <v>0</v>
      </c>
      <c r="K9" s="37">
        <f t="shared" si="3"/>
        <v>0</v>
      </c>
      <c r="L9" s="37"/>
      <c r="M9" s="37">
        <f t="shared" si="0"/>
        <v>449701.98690000002</v>
      </c>
      <c r="N9" s="48"/>
    </row>
    <row r="10" spans="1:16">
      <c r="A10" s="26">
        <v>7</v>
      </c>
      <c r="B10" s="27">
        <v>45937</v>
      </c>
      <c r="C10" s="114">
        <v>0</v>
      </c>
      <c r="D10" s="128"/>
      <c r="E10" s="37"/>
      <c r="F10" s="37"/>
      <c r="G10" s="37">
        <f t="shared" si="1"/>
        <v>0</v>
      </c>
      <c r="H10" s="129"/>
      <c r="I10" s="129"/>
      <c r="J10" s="37">
        <f t="shared" si="2"/>
        <v>0</v>
      </c>
      <c r="K10" s="37">
        <f t="shared" si="3"/>
        <v>0</v>
      </c>
      <c r="L10" s="37"/>
      <c r="M10" s="37">
        <f t="shared" si="0"/>
        <v>449701.98690000002</v>
      </c>
      <c r="N10" s="48"/>
    </row>
    <row r="11" spans="1:16">
      <c r="A11" s="26">
        <v>8</v>
      </c>
      <c r="B11" s="27">
        <v>45938</v>
      </c>
      <c r="C11" s="114">
        <v>0</v>
      </c>
      <c r="D11" s="128"/>
      <c r="E11" s="37"/>
      <c r="F11" s="37"/>
      <c r="G11" s="37">
        <f t="shared" si="1"/>
        <v>0</v>
      </c>
      <c r="H11" s="129"/>
      <c r="I11" s="129"/>
      <c r="J11" s="37">
        <f t="shared" si="2"/>
        <v>0</v>
      </c>
      <c r="K11" s="37">
        <f t="shared" si="3"/>
        <v>0</v>
      </c>
      <c r="L11" s="37">
        <v>100000</v>
      </c>
      <c r="M11" s="37">
        <f t="shared" si="0"/>
        <v>349701.98690000002</v>
      </c>
      <c r="N11" s="48"/>
    </row>
    <row r="12" spans="1:16">
      <c r="A12" s="26">
        <v>9</v>
      </c>
      <c r="B12" s="27">
        <v>45939</v>
      </c>
      <c r="C12" s="114">
        <v>0</v>
      </c>
      <c r="D12" s="128"/>
      <c r="E12" s="37"/>
      <c r="F12" s="37"/>
      <c r="G12" s="37">
        <f t="shared" si="1"/>
        <v>0</v>
      </c>
      <c r="H12" s="129"/>
      <c r="I12" s="129"/>
      <c r="J12" s="37">
        <f t="shared" si="2"/>
        <v>0</v>
      </c>
      <c r="K12" s="37">
        <f t="shared" si="3"/>
        <v>0</v>
      </c>
      <c r="L12" s="37"/>
      <c r="M12" s="37">
        <f t="shared" si="0"/>
        <v>349701.98690000002</v>
      </c>
      <c r="N12" s="48"/>
    </row>
    <row r="13" spans="1:16">
      <c r="A13" s="26">
        <v>10</v>
      </c>
      <c r="B13" s="27">
        <v>45940</v>
      </c>
      <c r="C13" s="114">
        <v>0</v>
      </c>
      <c r="D13" s="128"/>
      <c r="E13" s="37"/>
      <c r="F13" s="37"/>
      <c r="G13" s="37">
        <f t="shared" si="1"/>
        <v>0</v>
      </c>
      <c r="H13" s="129"/>
      <c r="I13" s="129"/>
      <c r="J13" s="37">
        <f t="shared" si="2"/>
        <v>0</v>
      </c>
      <c r="K13" s="37">
        <f t="shared" si="3"/>
        <v>0</v>
      </c>
      <c r="L13" s="37"/>
      <c r="M13" s="37">
        <f t="shared" si="0"/>
        <v>349701.98690000002</v>
      </c>
      <c r="N13" s="48"/>
    </row>
    <row r="14" spans="1:16">
      <c r="A14" s="26">
        <v>11</v>
      </c>
      <c r="B14" s="27">
        <v>45941</v>
      </c>
      <c r="C14" s="114">
        <v>0</v>
      </c>
      <c r="D14" s="128">
        <v>2</v>
      </c>
      <c r="E14" s="37">
        <v>2000</v>
      </c>
      <c r="F14" s="37">
        <v>91.52</v>
      </c>
      <c r="G14" s="37">
        <f t="shared" si="1"/>
        <v>183040</v>
      </c>
      <c r="H14" s="129">
        <v>70</v>
      </c>
      <c r="I14" s="129">
        <v>103.67</v>
      </c>
      <c r="J14" s="37">
        <f t="shared" si="2"/>
        <v>7256.9000000000005</v>
      </c>
      <c r="K14" s="37">
        <f t="shared" si="3"/>
        <v>190296.9</v>
      </c>
      <c r="L14" s="37"/>
      <c r="M14" s="37">
        <f t="shared" si="0"/>
        <v>539998.88690000004</v>
      </c>
      <c r="N14" s="48"/>
      <c r="O14">
        <v>2</v>
      </c>
      <c r="P14" t="s">
        <v>141</v>
      </c>
    </row>
    <row r="15" spans="1:16">
      <c r="A15" s="26">
        <v>12</v>
      </c>
      <c r="B15" s="27">
        <v>45942</v>
      </c>
      <c r="C15" s="114">
        <v>0</v>
      </c>
      <c r="D15" s="128"/>
      <c r="E15" s="37"/>
      <c r="F15" s="37"/>
      <c r="G15" s="37">
        <f t="shared" si="1"/>
        <v>0</v>
      </c>
      <c r="H15" s="129"/>
      <c r="I15" s="129"/>
      <c r="J15" s="37">
        <f t="shared" si="2"/>
        <v>0</v>
      </c>
      <c r="K15" s="37">
        <f t="shared" si="3"/>
        <v>0</v>
      </c>
      <c r="L15" s="37"/>
      <c r="M15" s="37">
        <f t="shared" si="0"/>
        <v>539998.88690000004</v>
      </c>
      <c r="N15" s="48"/>
    </row>
    <row r="16" spans="1:16">
      <c r="A16" s="26">
        <v>13</v>
      </c>
      <c r="B16" s="27">
        <v>45943</v>
      </c>
      <c r="C16" s="114">
        <v>0</v>
      </c>
      <c r="D16" s="128"/>
      <c r="E16" s="37"/>
      <c r="F16" s="37"/>
      <c r="G16" s="37">
        <f t="shared" si="1"/>
        <v>0</v>
      </c>
      <c r="H16" s="129"/>
      <c r="I16" s="129"/>
      <c r="J16" s="37">
        <f t="shared" si="2"/>
        <v>0</v>
      </c>
      <c r="K16" s="37">
        <f t="shared" si="3"/>
        <v>0</v>
      </c>
      <c r="L16" s="37">
        <v>100000</v>
      </c>
      <c r="M16" s="37">
        <f t="shared" si="0"/>
        <v>439998.88690000004</v>
      </c>
      <c r="N16" s="48"/>
    </row>
    <row r="17" spans="1:16">
      <c r="A17" s="26">
        <v>14</v>
      </c>
      <c r="B17" s="27">
        <v>45944</v>
      </c>
      <c r="C17" s="114">
        <v>0</v>
      </c>
      <c r="D17" s="128"/>
      <c r="E17" s="37"/>
      <c r="F17" s="37"/>
      <c r="G17" s="37">
        <f t="shared" si="1"/>
        <v>0</v>
      </c>
      <c r="H17" s="129"/>
      <c r="I17" s="129"/>
      <c r="J17" s="37">
        <f t="shared" si="2"/>
        <v>0</v>
      </c>
      <c r="K17" s="37">
        <f t="shared" si="3"/>
        <v>0</v>
      </c>
      <c r="L17" s="37"/>
      <c r="M17" s="37">
        <f t="shared" si="0"/>
        <v>439998.88690000004</v>
      </c>
      <c r="N17" s="48"/>
    </row>
    <row r="18" spans="1:16">
      <c r="A18" s="26">
        <v>15</v>
      </c>
      <c r="B18" s="27">
        <v>45945</v>
      </c>
      <c r="C18" s="114">
        <v>0</v>
      </c>
      <c r="D18" s="128"/>
      <c r="E18" s="37"/>
      <c r="F18" s="37"/>
      <c r="G18" s="37">
        <f t="shared" si="1"/>
        <v>0</v>
      </c>
      <c r="H18" s="129"/>
      <c r="I18" s="129"/>
      <c r="J18" s="37">
        <f t="shared" si="2"/>
        <v>0</v>
      </c>
      <c r="K18" s="37">
        <f t="shared" si="3"/>
        <v>0</v>
      </c>
      <c r="L18" s="37"/>
      <c r="M18" s="37">
        <f t="shared" si="0"/>
        <v>439998.88690000004</v>
      </c>
      <c r="N18" s="48"/>
    </row>
    <row r="19" spans="1:16">
      <c r="A19" s="26">
        <v>16</v>
      </c>
      <c r="B19" s="27">
        <v>45946</v>
      </c>
      <c r="C19" s="114">
        <v>0</v>
      </c>
      <c r="D19" s="128"/>
      <c r="E19" s="37"/>
      <c r="F19" s="37"/>
      <c r="G19" s="37">
        <f t="shared" si="1"/>
        <v>0</v>
      </c>
      <c r="H19" s="129"/>
      <c r="I19" s="129"/>
      <c r="J19" s="37">
        <f t="shared" si="2"/>
        <v>0</v>
      </c>
      <c r="K19" s="37">
        <f t="shared" si="3"/>
        <v>0</v>
      </c>
      <c r="L19" s="37">
        <v>100000</v>
      </c>
      <c r="M19" s="37">
        <f t="shared" si="0"/>
        <v>339998.88690000004</v>
      </c>
      <c r="N19" s="48"/>
    </row>
    <row r="20" spans="1:16">
      <c r="A20" s="26">
        <v>17</v>
      </c>
      <c r="B20" s="27">
        <v>45947</v>
      </c>
      <c r="C20" s="114">
        <v>0</v>
      </c>
      <c r="D20" s="128">
        <v>3</v>
      </c>
      <c r="E20" s="37"/>
      <c r="F20" s="37"/>
      <c r="G20" s="37">
        <f t="shared" si="1"/>
        <v>0</v>
      </c>
      <c r="H20" s="129">
        <v>100</v>
      </c>
      <c r="I20" s="129">
        <v>103.67</v>
      </c>
      <c r="J20" s="37">
        <f t="shared" si="2"/>
        <v>10367</v>
      </c>
      <c r="K20" s="37">
        <f t="shared" si="3"/>
        <v>10367</v>
      </c>
      <c r="L20" s="37"/>
      <c r="M20" s="37">
        <f t="shared" si="0"/>
        <v>350365.88690000004</v>
      </c>
      <c r="N20" s="48"/>
      <c r="O20">
        <v>3</v>
      </c>
      <c r="P20" t="s">
        <v>141</v>
      </c>
    </row>
    <row r="21" spans="1:16">
      <c r="A21" s="26">
        <v>18</v>
      </c>
      <c r="B21" s="27">
        <v>45948</v>
      </c>
      <c r="C21" s="114">
        <v>0</v>
      </c>
      <c r="D21" s="128"/>
      <c r="E21" s="37">
        <v>1800</v>
      </c>
      <c r="F21" s="37">
        <v>91.52</v>
      </c>
      <c r="G21" s="37">
        <f t="shared" si="1"/>
        <v>164736</v>
      </c>
      <c r="H21" s="129"/>
      <c r="I21" s="129"/>
      <c r="J21" s="37">
        <f t="shared" si="2"/>
        <v>0</v>
      </c>
      <c r="K21" s="37">
        <f t="shared" si="3"/>
        <v>164736</v>
      </c>
      <c r="L21" s="37"/>
      <c r="M21" s="37">
        <f t="shared" si="0"/>
        <v>515101.88690000004</v>
      </c>
      <c r="N21" s="48"/>
    </row>
    <row r="22" spans="1:16">
      <c r="A22" s="26">
        <v>19</v>
      </c>
      <c r="B22" s="27">
        <v>45949</v>
      </c>
      <c r="C22" s="114">
        <v>0</v>
      </c>
      <c r="D22" s="128"/>
      <c r="E22" s="37"/>
      <c r="F22" s="37"/>
      <c r="G22" s="37">
        <f t="shared" si="1"/>
        <v>0</v>
      </c>
      <c r="H22" s="129"/>
      <c r="I22" s="129"/>
      <c r="J22" s="37">
        <f t="shared" si="2"/>
        <v>0</v>
      </c>
      <c r="K22" s="37">
        <f t="shared" si="3"/>
        <v>0</v>
      </c>
      <c r="L22" s="37"/>
      <c r="M22" s="37">
        <f t="shared" si="0"/>
        <v>515101.88690000004</v>
      </c>
      <c r="N22" s="48"/>
    </row>
    <row r="23" spans="1:16">
      <c r="A23" s="26">
        <v>20</v>
      </c>
      <c r="B23" s="27">
        <v>45950</v>
      </c>
      <c r="C23" s="114">
        <v>0</v>
      </c>
      <c r="D23" s="128"/>
      <c r="E23" s="37"/>
      <c r="F23" s="37"/>
      <c r="G23" s="37">
        <f t="shared" si="1"/>
        <v>0</v>
      </c>
      <c r="H23" s="129"/>
      <c r="I23" s="129"/>
      <c r="J23" s="37">
        <f t="shared" si="2"/>
        <v>0</v>
      </c>
      <c r="K23" s="37">
        <f t="shared" si="3"/>
        <v>0</v>
      </c>
      <c r="L23" s="37"/>
      <c r="M23" s="37">
        <f t="shared" si="0"/>
        <v>515101.88690000004</v>
      </c>
      <c r="N23" s="48"/>
    </row>
    <row r="24" spans="1:16">
      <c r="A24" s="26">
        <v>21</v>
      </c>
      <c r="B24" s="27">
        <v>45951</v>
      </c>
      <c r="C24" s="114">
        <v>0</v>
      </c>
      <c r="D24" s="128"/>
      <c r="E24" s="37"/>
      <c r="F24" s="37"/>
      <c r="G24" s="37">
        <f t="shared" si="1"/>
        <v>0</v>
      </c>
      <c r="H24" s="129"/>
      <c r="I24" s="129"/>
      <c r="J24" s="37">
        <f t="shared" si="2"/>
        <v>0</v>
      </c>
      <c r="K24" s="37">
        <f t="shared" si="3"/>
        <v>0</v>
      </c>
      <c r="L24" s="37"/>
      <c r="M24" s="37">
        <f t="shared" si="0"/>
        <v>515101.88690000004</v>
      </c>
      <c r="N24" s="48"/>
    </row>
    <row r="25" spans="1:16">
      <c r="A25" s="26">
        <v>22</v>
      </c>
      <c r="B25" s="27">
        <v>45952</v>
      </c>
      <c r="C25" s="114">
        <v>0</v>
      </c>
      <c r="D25" s="128"/>
      <c r="E25" s="37"/>
      <c r="F25" s="37"/>
      <c r="G25" s="37">
        <f t="shared" si="1"/>
        <v>0</v>
      </c>
      <c r="H25" s="129"/>
      <c r="I25" s="129"/>
      <c r="J25" s="37">
        <f t="shared" si="2"/>
        <v>0</v>
      </c>
      <c r="K25" s="37">
        <f t="shared" si="3"/>
        <v>0</v>
      </c>
      <c r="L25" s="37"/>
      <c r="M25" s="37">
        <f t="shared" si="0"/>
        <v>515101.88690000004</v>
      </c>
      <c r="N25" s="48"/>
    </row>
    <row r="26" spans="1:16">
      <c r="A26" s="26">
        <v>23</v>
      </c>
      <c r="B26" s="27">
        <v>45953</v>
      </c>
      <c r="C26" s="114">
        <v>0</v>
      </c>
      <c r="D26" s="128"/>
      <c r="E26" s="37"/>
      <c r="F26" s="37"/>
      <c r="G26" s="37">
        <f t="shared" si="1"/>
        <v>0</v>
      </c>
      <c r="H26" s="129"/>
      <c r="I26" s="129"/>
      <c r="J26" s="37">
        <f t="shared" si="2"/>
        <v>0</v>
      </c>
      <c r="K26" s="37">
        <f t="shared" si="3"/>
        <v>0</v>
      </c>
      <c r="L26" s="37"/>
      <c r="M26" s="37">
        <f t="shared" si="0"/>
        <v>515101.88690000004</v>
      </c>
      <c r="N26" s="48"/>
    </row>
    <row r="27" spans="1:16">
      <c r="A27" s="26">
        <v>24</v>
      </c>
      <c r="B27" s="27">
        <v>45954</v>
      </c>
      <c r="C27" s="114">
        <v>0</v>
      </c>
      <c r="D27" s="128"/>
      <c r="E27" s="37"/>
      <c r="F27" s="37"/>
      <c r="G27" s="37">
        <f t="shared" si="1"/>
        <v>0</v>
      </c>
      <c r="H27" s="129"/>
      <c r="I27" s="129"/>
      <c r="J27" s="37">
        <f t="shared" si="2"/>
        <v>0</v>
      </c>
      <c r="K27" s="37">
        <f t="shared" si="3"/>
        <v>0</v>
      </c>
      <c r="L27" s="37"/>
      <c r="M27" s="37">
        <f t="shared" si="0"/>
        <v>515101.88690000004</v>
      </c>
      <c r="N27" s="48"/>
    </row>
    <row r="28" spans="1:16">
      <c r="A28" s="26">
        <v>25</v>
      </c>
      <c r="B28" s="27">
        <v>45955</v>
      </c>
      <c r="C28" s="114">
        <v>0</v>
      </c>
      <c r="D28" s="128"/>
      <c r="E28" s="37"/>
      <c r="F28" s="37"/>
      <c r="G28" s="37">
        <f t="shared" si="1"/>
        <v>0</v>
      </c>
      <c r="H28" s="129"/>
      <c r="I28" s="129"/>
      <c r="J28" s="37">
        <f t="shared" si="2"/>
        <v>0</v>
      </c>
      <c r="K28" s="37">
        <f t="shared" si="3"/>
        <v>0</v>
      </c>
      <c r="L28" s="37"/>
      <c r="M28" s="37">
        <f t="shared" si="0"/>
        <v>515101.88690000004</v>
      </c>
      <c r="N28" s="48"/>
    </row>
    <row r="29" spans="1:16">
      <c r="A29" s="26">
        <v>26</v>
      </c>
      <c r="B29" s="27">
        <v>45956</v>
      </c>
      <c r="C29" s="114">
        <v>0</v>
      </c>
      <c r="D29" s="128"/>
      <c r="E29" s="37"/>
      <c r="F29" s="37"/>
      <c r="G29" s="37">
        <f t="shared" si="1"/>
        <v>0</v>
      </c>
      <c r="H29" s="129"/>
      <c r="I29" s="129"/>
      <c r="J29" s="37">
        <f t="shared" si="2"/>
        <v>0</v>
      </c>
      <c r="K29" s="37">
        <f t="shared" si="3"/>
        <v>0</v>
      </c>
      <c r="L29" s="37"/>
      <c r="M29" s="37">
        <f t="shared" si="0"/>
        <v>515101.88690000004</v>
      </c>
      <c r="N29" s="48"/>
    </row>
    <row r="30" spans="1:16">
      <c r="A30" s="26">
        <v>27</v>
      </c>
      <c r="B30" s="27">
        <v>45957</v>
      </c>
      <c r="C30" s="114">
        <v>0</v>
      </c>
      <c r="D30" s="128"/>
      <c r="E30" s="37"/>
      <c r="F30" s="37"/>
      <c r="G30" s="37">
        <f t="shared" si="1"/>
        <v>0</v>
      </c>
      <c r="H30" s="129"/>
      <c r="I30" s="129"/>
      <c r="J30" s="37">
        <f t="shared" si="2"/>
        <v>0</v>
      </c>
      <c r="K30" s="37">
        <f t="shared" si="3"/>
        <v>0</v>
      </c>
      <c r="L30" s="37"/>
      <c r="M30" s="37">
        <f t="shared" si="0"/>
        <v>515101.88690000004</v>
      </c>
      <c r="N30" s="48"/>
    </row>
    <row r="31" spans="1:16">
      <c r="A31" s="26">
        <v>28</v>
      </c>
      <c r="B31" s="27">
        <v>45958</v>
      </c>
      <c r="C31" s="114">
        <v>0</v>
      </c>
      <c r="D31" s="128"/>
      <c r="E31" s="37"/>
      <c r="F31" s="37"/>
      <c r="G31" s="37">
        <f t="shared" si="1"/>
        <v>0</v>
      </c>
      <c r="H31" s="129"/>
      <c r="I31" s="129"/>
      <c r="J31" s="37">
        <f t="shared" si="2"/>
        <v>0</v>
      </c>
      <c r="K31" s="37">
        <f t="shared" si="3"/>
        <v>0</v>
      </c>
      <c r="L31" s="37"/>
      <c r="M31" s="37">
        <f t="shared" si="0"/>
        <v>515101.88690000004</v>
      </c>
      <c r="N31" s="48"/>
    </row>
    <row r="32" spans="1:16">
      <c r="A32" s="26">
        <v>29</v>
      </c>
      <c r="B32" s="27">
        <v>45959</v>
      </c>
      <c r="C32" s="114">
        <v>0</v>
      </c>
      <c r="D32" s="128"/>
      <c r="E32" s="37">
        <v>1500</v>
      </c>
      <c r="F32" s="37">
        <v>91.52</v>
      </c>
      <c r="G32" s="37">
        <f t="shared" si="1"/>
        <v>137280</v>
      </c>
      <c r="H32" s="129">
        <v>70</v>
      </c>
      <c r="I32" s="129">
        <v>103.67</v>
      </c>
      <c r="J32" s="37">
        <f t="shared" si="2"/>
        <v>7256.9000000000005</v>
      </c>
      <c r="K32" s="37">
        <f t="shared" si="3"/>
        <v>144536.9</v>
      </c>
      <c r="L32" s="37"/>
      <c r="M32" s="37">
        <f t="shared" si="0"/>
        <v>659638.78690000006</v>
      </c>
      <c r="N32" s="48"/>
    </row>
    <row r="33" spans="1:14">
      <c r="A33" s="26">
        <v>30</v>
      </c>
      <c r="B33" s="27">
        <v>45960</v>
      </c>
      <c r="C33" s="114">
        <v>0</v>
      </c>
      <c r="D33" s="128"/>
      <c r="E33" s="37"/>
      <c r="F33" s="37"/>
      <c r="G33" s="37">
        <f t="shared" si="1"/>
        <v>0</v>
      </c>
      <c r="H33" s="129"/>
      <c r="I33" s="129"/>
      <c r="J33" s="37">
        <f t="shared" si="2"/>
        <v>0</v>
      </c>
      <c r="K33" s="37">
        <f t="shared" si="3"/>
        <v>0</v>
      </c>
      <c r="L33" s="37">
        <v>200000</v>
      </c>
      <c r="M33" s="37">
        <f t="shared" si="0"/>
        <v>459638.78690000006</v>
      </c>
      <c r="N33" s="48"/>
    </row>
    <row r="34" spans="1:14">
      <c r="A34" s="26">
        <v>31</v>
      </c>
      <c r="B34" s="27">
        <v>45961</v>
      </c>
      <c r="C34" s="114"/>
      <c r="D34" s="128"/>
      <c r="E34" s="37"/>
      <c r="F34" s="37"/>
      <c r="G34" s="37"/>
      <c r="H34" s="129"/>
      <c r="I34" s="129"/>
      <c r="J34" s="37"/>
      <c r="K34" s="37"/>
      <c r="L34" s="37"/>
      <c r="M34" s="37"/>
      <c r="N34" s="48"/>
    </row>
    <row r="35" spans="1:14">
      <c r="A35" s="46"/>
      <c r="B35" s="46"/>
      <c r="C35" s="46"/>
      <c r="D35" s="46"/>
      <c r="E35" s="47">
        <f>SUM(E4:E34)</f>
        <v>7100</v>
      </c>
      <c r="F35" s="47"/>
      <c r="G35" s="47">
        <f>SUM(G4:G34)</f>
        <v>649792</v>
      </c>
      <c r="H35" s="47">
        <f>SUM(H4:H34)</f>
        <v>310</v>
      </c>
      <c r="I35" s="47"/>
      <c r="J35" s="47">
        <f>SUM(J4:J34)</f>
        <v>32137.700000000004</v>
      </c>
      <c r="K35" s="47">
        <f>SUM(K4:K34)</f>
        <v>681929.70000000007</v>
      </c>
      <c r="L35" s="47">
        <f>SUM(L4:L34)</f>
        <v>500000</v>
      </c>
      <c r="M35" s="47"/>
      <c r="N35" s="47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3" activePane="bottomLeft" state="frozen"/>
      <selection pane="bottomLeft" activeCell="L38" sqref="L38"/>
    </sheetView>
  </sheetViews>
  <sheetFormatPr defaultRowHeight="15"/>
  <cols>
    <col min="1" max="1" width="4.7109375" style="49" bestFit="1" customWidth="1"/>
    <col min="2" max="2" width="10.42578125" style="49" bestFit="1" customWidth="1"/>
    <col min="3" max="3" width="7.140625" style="49" bestFit="1" customWidth="1"/>
    <col min="4" max="4" width="16" style="49" bestFit="1" customWidth="1"/>
    <col min="5" max="5" width="9.7109375" style="49" bestFit="1" customWidth="1"/>
    <col min="6" max="6" width="11.5703125" style="49" bestFit="1" customWidth="1"/>
    <col min="7" max="7" width="11.85546875" style="49" bestFit="1" customWidth="1"/>
    <col min="8" max="8" width="10.42578125" style="49" bestFit="1" customWidth="1"/>
    <col min="9" max="9" width="7.140625" style="49" bestFit="1" customWidth="1"/>
    <col min="10" max="10" width="10.85546875" style="55" bestFit="1" customWidth="1"/>
    <col min="11" max="11" width="11.85546875" style="49" bestFit="1" customWidth="1"/>
    <col min="12" max="12" width="12.42578125" style="55" bestFit="1" customWidth="1"/>
    <col min="13" max="13" width="12.42578125" style="55" customWidth="1"/>
    <col min="14" max="14" width="17.7109375" style="49" bestFit="1" customWidth="1"/>
    <col min="15" max="15" width="9.140625" style="49"/>
    <col min="16" max="16" width="11.85546875" style="49" bestFit="1" customWidth="1"/>
    <col min="17" max="16384" width="9.140625" style="49"/>
  </cols>
  <sheetData>
    <row r="1" spans="1:16">
      <c r="A1" s="444" t="s">
        <v>32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</row>
    <row r="2" spans="1:16">
      <c r="A2" s="93" t="s">
        <v>96</v>
      </c>
      <c r="B2" s="94" t="s">
        <v>97</v>
      </c>
      <c r="C2" s="94" t="s">
        <v>98</v>
      </c>
      <c r="D2" s="94" t="s">
        <v>99</v>
      </c>
      <c r="E2" s="94" t="s">
        <v>100</v>
      </c>
      <c r="F2" s="94" t="s">
        <v>101</v>
      </c>
      <c r="G2" s="94" t="s">
        <v>102</v>
      </c>
      <c r="H2" s="94" t="s">
        <v>103</v>
      </c>
      <c r="I2" s="94" t="s">
        <v>101</v>
      </c>
      <c r="J2" s="119" t="s">
        <v>102</v>
      </c>
      <c r="K2" s="94" t="s">
        <v>104</v>
      </c>
      <c r="L2" s="119" t="s">
        <v>105</v>
      </c>
      <c r="M2" s="118" t="s">
        <v>110</v>
      </c>
      <c r="N2" s="95" t="s">
        <v>107</v>
      </c>
      <c r="O2" s="33"/>
    </row>
    <row r="3" spans="1:16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45"/>
      <c r="K3" s="29">
        <v>109814.66451380023</v>
      </c>
      <c r="L3" s="50"/>
      <c r="M3" s="120">
        <f>+K3</f>
        <v>109814.66451380023</v>
      </c>
      <c r="N3" s="50"/>
      <c r="O3" s="33"/>
      <c r="P3" s="53"/>
    </row>
    <row r="4" spans="1:16">
      <c r="A4" s="26">
        <v>1</v>
      </c>
      <c r="B4" s="27">
        <v>45931</v>
      </c>
      <c r="C4" s="51" t="s">
        <v>115</v>
      </c>
      <c r="D4" s="52" t="s">
        <v>115</v>
      </c>
      <c r="E4" s="51"/>
      <c r="F4" s="51"/>
      <c r="G4" s="50">
        <f t="shared" ref="G4" si="0">E4*F4</f>
        <v>0</v>
      </c>
      <c r="H4" s="51"/>
      <c r="I4" s="51"/>
      <c r="J4" s="53">
        <f t="shared" ref="J4" si="1">H4*I4</f>
        <v>0</v>
      </c>
      <c r="K4" s="50">
        <f t="shared" ref="K4" si="2">G4+J4</f>
        <v>0</v>
      </c>
      <c r="L4" s="115"/>
      <c r="M4" s="53">
        <f>M3+K4-L4</f>
        <v>109814.66451380023</v>
      </c>
      <c r="N4" s="110"/>
    </row>
    <row r="5" spans="1:16">
      <c r="A5" s="26">
        <v>2</v>
      </c>
      <c r="B5" s="27">
        <v>45932</v>
      </c>
      <c r="C5" s="51" t="s">
        <v>115</v>
      </c>
      <c r="D5" s="52" t="s">
        <v>115</v>
      </c>
      <c r="E5" s="51"/>
      <c r="F5" s="51"/>
      <c r="G5" s="50">
        <f t="shared" ref="G5:G35" si="3">E5*F5</f>
        <v>0</v>
      </c>
      <c r="H5" s="51"/>
      <c r="I5" s="51"/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109814.66451380023</v>
      </c>
      <c r="N5" s="110"/>
    </row>
    <row r="6" spans="1:16">
      <c r="A6" s="26">
        <v>3</v>
      </c>
      <c r="B6" s="27">
        <v>45933</v>
      </c>
      <c r="C6" s="51" t="s">
        <v>115</v>
      </c>
      <c r="D6" s="52" t="s">
        <v>115</v>
      </c>
      <c r="E6" s="51"/>
      <c r="F6" s="51"/>
      <c r="G6" s="50">
        <f t="shared" si="3"/>
        <v>0</v>
      </c>
      <c r="H6" s="51"/>
      <c r="I6" s="51"/>
      <c r="J6" s="53">
        <f t="shared" si="4"/>
        <v>0</v>
      </c>
      <c r="K6" s="50">
        <f t="shared" si="5"/>
        <v>0</v>
      </c>
      <c r="L6" s="115"/>
      <c r="M6" s="53">
        <f t="shared" si="6"/>
        <v>109814.66451380023</v>
      </c>
      <c r="N6" s="117"/>
    </row>
    <row r="7" spans="1:16">
      <c r="A7" s="26">
        <v>4</v>
      </c>
      <c r="B7" s="27">
        <v>45934</v>
      </c>
      <c r="C7" s="51" t="s">
        <v>115</v>
      </c>
      <c r="D7" s="52" t="s">
        <v>115</v>
      </c>
      <c r="E7" s="51"/>
      <c r="F7" s="51"/>
      <c r="G7" s="50">
        <f t="shared" si="3"/>
        <v>0</v>
      </c>
      <c r="H7" s="51"/>
      <c r="I7" s="51"/>
      <c r="J7" s="53">
        <f t="shared" si="4"/>
        <v>0</v>
      </c>
      <c r="K7" s="50">
        <f t="shared" si="5"/>
        <v>0</v>
      </c>
      <c r="L7" s="115"/>
      <c r="M7" s="53">
        <f t="shared" si="6"/>
        <v>109814.66451380023</v>
      </c>
      <c r="N7" s="117"/>
    </row>
    <row r="8" spans="1:16">
      <c r="A8" s="26">
        <v>5</v>
      </c>
      <c r="B8" s="27">
        <v>45935</v>
      </c>
      <c r="C8" s="51" t="s">
        <v>115</v>
      </c>
      <c r="D8" s="52" t="s">
        <v>115</v>
      </c>
      <c r="E8" s="51"/>
      <c r="F8" s="51"/>
      <c r="G8" s="50">
        <f t="shared" si="3"/>
        <v>0</v>
      </c>
      <c r="H8" s="51"/>
      <c r="I8" s="51"/>
      <c r="J8" s="53">
        <f t="shared" si="4"/>
        <v>0</v>
      </c>
      <c r="K8" s="50">
        <f t="shared" si="5"/>
        <v>0</v>
      </c>
      <c r="L8" s="115"/>
      <c r="M8" s="53">
        <f t="shared" si="6"/>
        <v>109814.66451380023</v>
      </c>
      <c r="N8" s="110"/>
    </row>
    <row r="9" spans="1:16">
      <c r="A9" s="26">
        <v>6</v>
      </c>
      <c r="B9" s="27">
        <v>45936</v>
      </c>
      <c r="C9" s="51" t="s">
        <v>115</v>
      </c>
      <c r="D9" s="52" t="s">
        <v>115</v>
      </c>
      <c r="E9" s="51"/>
      <c r="F9" s="51"/>
      <c r="G9" s="50">
        <f t="shared" si="3"/>
        <v>0</v>
      </c>
      <c r="H9" s="51"/>
      <c r="I9" s="51"/>
      <c r="J9" s="53">
        <f t="shared" si="4"/>
        <v>0</v>
      </c>
      <c r="K9" s="50">
        <f t="shared" si="5"/>
        <v>0</v>
      </c>
      <c r="L9" s="115"/>
      <c r="M9" s="53">
        <f t="shared" si="6"/>
        <v>109814.66451380023</v>
      </c>
      <c r="N9" s="117"/>
    </row>
    <row r="10" spans="1:16">
      <c r="A10" s="26">
        <v>7</v>
      </c>
      <c r="B10" s="27">
        <v>45937</v>
      </c>
      <c r="C10" s="51" t="s">
        <v>115</v>
      </c>
      <c r="D10" s="52" t="s">
        <v>115</v>
      </c>
      <c r="E10" s="51"/>
      <c r="F10" s="51"/>
      <c r="G10" s="50">
        <f t="shared" si="3"/>
        <v>0</v>
      </c>
      <c r="H10" s="51"/>
      <c r="I10" s="51"/>
      <c r="J10" s="53">
        <f t="shared" si="4"/>
        <v>0</v>
      </c>
      <c r="K10" s="50">
        <f t="shared" si="5"/>
        <v>0</v>
      </c>
      <c r="L10" s="115">
        <v>80000</v>
      </c>
      <c r="M10" s="53">
        <f t="shared" si="6"/>
        <v>29814.664513800235</v>
      </c>
      <c r="N10" s="110"/>
    </row>
    <row r="11" spans="1:16">
      <c r="A11" s="26">
        <v>8</v>
      </c>
      <c r="B11" s="27">
        <v>45938</v>
      </c>
      <c r="C11" s="51" t="s">
        <v>115</v>
      </c>
      <c r="D11" s="52" t="s">
        <v>115</v>
      </c>
      <c r="E11" s="51"/>
      <c r="F11" s="51"/>
      <c r="G11" s="50">
        <f t="shared" si="3"/>
        <v>0</v>
      </c>
      <c r="H11" s="51">
        <v>105</v>
      </c>
      <c r="I11" s="51">
        <v>103.24</v>
      </c>
      <c r="J11" s="53">
        <f t="shared" si="4"/>
        <v>10840.199999999999</v>
      </c>
      <c r="K11" s="50">
        <f t="shared" si="5"/>
        <v>10840.199999999999</v>
      </c>
      <c r="L11" s="115"/>
      <c r="M11" s="53">
        <f t="shared" si="6"/>
        <v>40654.864513800232</v>
      </c>
      <c r="N11" s="116"/>
      <c r="O11" s="49">
        <v>1</v>
      </c>
      <c r="P11" s="49" t="s">
        <v>141</v>
      </c>
    </row>
    <row r="12" spans="1:16">
      <c r="A12" s="26">
        <v>9</v>
      </c>
      <c r="B12" s="27">
        <v>45939</v>
      </c>
      <c r="C12" s="51" t="s">
        <v>115</v>
      </c>
      <c r="D12" s="52" t="s">
        <v>115</v>
      </c>
      <c r="E12" s="51"/>
      <c r="F12" s="51"/>
      <c r="G12" s="50">
        <f t="shared" si="3"/>
        <v>0</v>
      </c>
      <c r="H12" s="51"/>
      <c r="I12" s="51"/>
      <c r="J12" s="53">
        <f t="shared" si="4"/>
        <v>0</v>
      </c>
      <c r="K12" s="50">
        <f t="shared" si="5"/>
        <v>0</v>
      </c>
      <c r="L12" s="115"/>
      <c r="M12" s="53">
        <f t="shared" si="6"/>
        <v>40654.864513800232</v>
      </c>
      <c r="N12" s="110"/>
    </row>
    <row r="13" spans="1:16">
      <c r="A13" s="26">
        <v>10</v>
      </c>
      <c r="B13" s="27">
        <v>45940</v>
      </c>
      <c r="C13" s="51" t="s">
        <v>115</v>
      </c>
      <c r="D13" s="52" t="s">
        <v>115</v>
      </c>
      <c r="E13" s="51"/>
      <c r="F13" s="51"/>
      <c r="G13" s="50">
        <f t="shared" si="3"/>
        <v>0</v>
      </c>
      <c r="H13" s="51"/>
      <c r="I13" s="51"/>
      <c r="J13" s="53">
        <f t="shared" si="4"/>
        <v>0</v>
      </c>
      <c r="K13" s="50">
        <f t="shared" si="5"/>
        <v>0</v>
      </c>
      <c r="L13" s="115"/>
      <c r="M13" s="53">
        <f t="shared" si="6"/>
        <v>40654.864513800232</v>
      </c>
      <c r="N13" s="110"/>
    </row>
    <row r="14" spans="1:16">
      <c r="A14" s="26">
        <v>11</v>
      </c>
      <c r="B14" s="27">
        <v>45941</v>
      </c>
      <c r="C14" s="51" t="s">
        <v>115</v>
      </c>
      <c r="D14" s="52" t="s">
        <v>115</v>
      </c>
      <c r="E14" s="51"/>
      <c r="F14" s="51"/>
      <c r="G14" s="50">
        <f t="shared" si="3"/>
        <v>0</v>
      </c>
      <c r="H14" s="51"/>
      <c r="I14" s="51"/>
      <c r="J14" s="53">
        <f t="shared" si="4"/>
        <v>0</v>
      </c>
      <c r="K14" s="50">
        <f t="shared" si="5"/>
        <v>0</v>
      </c>
      <c r="L14" s="115"/>
      <c r="M14" s="53">
        <f t="shared" si="6"/>
        <v>40654.864513800232</v>
      </c>
      <c r="N14" s="110"/>
    </row>
    <row r="15" spans="1:16">
      <c r="A15" s="26">
        <v>12</v>
      </c>
      <c r="B15" s="27">
        <v>45942</v>
      </c>
      <c r="C15" s="51" t="s">
        <v>115</v>
      </c>
      <c r="D15" s="52" t="s">
        <v>115</v>
      </c>
      <c r="E15" s="51"/>
      <c r="F15" s="51"/>
      <c r="G15" s="50">
        <f t="shared" si="3"/>
        <v>0</v>
      </c>
      <c r="H15" s="51"/>
      <c r="I15" s="51"/>
      <c r="J15" s="53">
        <f t="shared" si="4"/>
        <v>0</v>
      </c>
      <c r="K15" s="50">
        <f t="shared" si="5"/>
        <v>0</v>
      </c>
      <c r="L15" s="115"/>
      <c r="M15" s="53">
        <f t="shared" si="6"/>
        <v>40654.864513800232</v>
      </c>
      <c r="N15" s="110"/>
    </row>
    <row r="16" spans="1:16">
      <c r="A16" s="26">
        <v>13</v>
      </c>
      <c r="B16" s="27">
        <v>45943</v>
      </c>
      <c r="C16" s="51" t="s">
        <v>115</v>
      </c>
      <c r="D16" s="52" t="s">
        <v>115</v>
      </c>
      <c r="E16" s="51"/>
      <c r="F16" s="51"/>
      <c r="G16" s="50">
        <f t="shared" si="3"/>
        <v>0</v>
      </c>
      <c r="H16" s="51"/>
      <c r="I16" s="51"/>
      <c r="J16" s="53">
        <f t="shared" si="4"/>
        <v>0</v>
      </c>
      <c r="K16" s="50">
        <f t="shared" si="5"/>
        <v>0</v>
      </c>
      <c r="L16" s="115"/>
      <c r="M16" s="53">
        <f t="shared" si="6"/>
        <v>40654.864513800232</v>
      </c>
      <c r="N16" s="110"/>
    </row>
    <row r="17" spans="1:16">
      <c r="A17" s="26">
        <v>14</v>
      </c>
      <c r="B17" s="27">
        <v>45944</v>
      </c>
      <c r="C17" s="51" t="s">
        <v>115</v>
      </c>
      <c r="D17" s="52" t="s">
        <v>115</v>
      </c>
      <c r="E17" s="51"/>
      <c r="F17" s="51"/>
      <c r="G17" s="50">
        <f t="shared" si="3"/>
        <v>0</v>
      </c>
      <c r="H17" s="51"/>
      <c r="I17" s="51"/>
      <c r="J17" s="53">
        <f t="shared" si="4"/>
        <v>0</v>
      </c>
      <c r="K17" s="50">
        <f t="shared" si="5"/>
        <v>0</v>
      </c>
      <c r="L17" s="115"/>
      <c r="M17" s="53">
        <f t="shared" si="6"/>
        <v>40654.864513800232</v>
      </c>
      <c r="N17" s="110"/>
    </row>
    <row r="18" spans="1:16">
      <c r="A18" s="26">
        <v>15</v>
      </c>
      <c r="B18" s="27">
        <v>45945</v>
      </c>
      <c r="C18" s="51" t="s">
        <v>115</v>
      </c>
      <c r="D18" s="52" t="s">
        <v>115</v>
      </c>
      <c r="E18" s="51"/>
      <c r="F18" s="51"/>
      <c r="G18" s="50">
        <f t="shared" si="3"/>
        <v>0</v>
      </c>
      <c r="H18" s="51"/>
      <c r="I18" s="51"/>
      <c r="J18" s="53">
        <f t="shared" si="4"/>
        <v>0</v>
      </c>
      <c r="K18" s="50">
        <f t="shared" si="5"/>
        <v>0</v>
      </c>
      <c r="L18" s="115"/>
      <c r="M18" s="53">
        <f t="shared" si="6"/>
        <v>40654.864513800232</v>
      </c>
      <c r="N18" s="110"/>
    </row>
    <row r="19" spans="1:16">
      <c r="A19" s="26">
        <v>16</v>
      </c>
      <c r="B19" s="27">
        <v>45946</v>
      </c>
      <c r="C19" s="51" t="s">
        <v>115</v>
      </c>
      <c r="D19" s="52" t="s">
        <v>115</v>
      </c>
      <c r="E19" s="51">
        <v>1000</v>
      </c>
      <c r="F19" s="51">
        <v>91.3</v>
      </c>
      <c r="G19" s="53">
        <f t="shared" si="3"/>
        <v>91300</v>
      </c>
      <c r="H19" s="51">
        <v>105</v>
      </c>
      <c r="I19" s="51">
        <v>103.24</v>
      </c>
      <c r="J19" s="53">
        <f t="shared" si="4"/>
        <v>10840.199999999999</v>
      </c>
      <c r="K19" s="50">
        <f t="shared" si="5"/>
        <v>102140.2</v>
      </c>
      <c r="L19" s="115">
        <v>40000</v>
      </c>
      <c r="M19" s="53">
        <f t="shared" si="6"/>
        <v>102795.06451380023</v>
      </c>
      <c r="N19" s="110"/>
      <c r="O19" s="49">
        <v>2</v>
      </c>
      <c r="P19" s="49" t="s">
        <v>141</v>
      </c>
    </row>
    <row r="20" spans="1:16">
      <c r="A20" s="26">
        <v>17</v>
      </c>
      <c r="B20" s="27">
        <v>45947</v>
      </c>
      <c r="C20" s="51" t="s">
        <v>115</v>
      </c>
      <c r="D20" s="52" t="s">
        <v>115</v>
      </c>
      <c r="E20" s="51"/>
      <c r="F20" s="51"/>
      <c r="G20" s="50">
        <f t="shared" si="3"/>
        <v>0</v>
      </c>
      <c r="H20" s="51"/>
      <c r="I20" s="51"/>
      <c r="J20" s="53">
        <f t="shared" si="4"/>
        <v>0</v>
      </c>
      <c r="K20" s="50">
        <f t="shared" si="5"/>
        <v>0</v>
      </c>
      <c r="L20" s="115"/>
      <c r="M20" s="53">
        <f t="shared" si="6"/>
        <v>102795.06451380023</v>
      </c>
      <c r="N20" s="110"/>
    </row>
    <row r="21" spans="1:16">
      <c r="A21" s="26">
        <v>18</v>
      </c>
      <c r="B21" s="27">
        <v>45948</v>
      </c>
      <c r="C21" s="51" t="s">
        <v>115</v>
      </c>
      <c r="D21" s="52" t="s">
        <v>115</v>
      </c>
      <c r="E21" s="51"/>
      <c r="F21" s="51"/>
      <c r="G21" s="50">
        <f t="shared" si="3"/>
        <v>0</v>
      </c>
      <c r="H21" s="51"/>
      <c r="I21" s="51"/>
      <c r="J21" s="53">
        <f t="shared" si="4"/>
        <v>0</v>
      </c>
      <c r="K21" s="50">
        <f t="shared" si="5"/>
        <v>0</v>
      </c>
      <c r="L21" s="115"/>
      <c r="M21" s="53">
        <f t="shared" si="6"/>
        <v>102795.06451380023</v>
      </c>
      <c r="N21" s="110"/>
    </row>
    <row r="22" spans="1:16">
      <c r="A22" s="26">
        <v>19</v>
      </c>
      <c r="B22" s="27">
        <v>45949</v>
      </c>
      <c r="C22" s="51" t="s">
        <v>115</v>
      </c>
      <c r="D22" s="52" t="s">
        <v>115</v>
      </c>
      <c r="E22" s="51"/>
      <c r="F22" s="51"/>
      <c r="G22" s="50">
        <f t="shared" si="3"/>
        <v>0</v>
      </c>
      <c r="H22" s="51"/>
      <c r="I22" s="51"/>
      <c r="J22" s="53">
        <f t="shared" si="4"/>
        <v>0</v>
      </c>
      <c r="K22" s="50">
        <f t="shared" si="5"/>
        <v>0</v>
      </c>
      <c r="L22" s="115"/>
      <c r="M22" s="53">
        <f t="shared" si="6"/>
        <v>102795.06451380023</v>
      </c>
      <c r="N22" s="110"/>
    </row>
    <row r="23" spans="1:16">
      <c r="A23" s="26">
        <v>20</v>
      </c>
      <c r="B23" s="27">
        <v>45950</v>
      </c>
      <c r="C23" s="51" t="s">
        <v>115</v>
      </c>
      <c r="D23" s="52" t="s">
        <v>115</v>
      </c>
      <c r="E23" s="51"/>
      <c r="F23" s="51"/>
      <c r="G23" s="50">
        <f t="shared" si="3"/>
        <v>0</v>
      </c>
      <c r="H23" s="51"/>
      <c r="I23" s="51"/>
      <c r="J23" s="53">
        <f t="shared" si="4"/>
        <v>0</v>
      </c>
      <c r="K23" s="50">
        <f t="shared" si="5"/>
        <v>0</v>
      </c>
      <c r="L23" s="115"/>
      <c r="M23" s="53">
        <f t="shared" si="6"/>
        <v>102795.06451380023</v>
      </c>
      <c r="N23" s="110"/>
    </row>
    <row r="24" spans="1:16">
      <c r="A24" s="26">
        <v>21</v>
      </c>
      <c r="B24" s="27">
        <v>45951</v>
      </c>
      <c r="C24" s="51" t="s">
        <v>115</v>
      </c>
      <c r="D24" s="52" t="s">
        <v>115</v>
      </c>
      <c r="E24" s="51"/>
      <c r="F24" s="51"/>
      <c r="G24" s="50">
        <f t="shared" si="3"/>
        <v>0</v>
      </c>
      <c r="H24" s="51"/>
      <c r="I24" s="51"/>
      <c r="J24" s="53">
        <f t="shared" si="4"/>
        <v>0</v>
      </c>
      <c r="K24" s="50">
        <f t="shared" si="5"/>
        <v>0</v>
      </c>
      <c r="L24" s="115"/>
      <c r="M24" s="53">
        <f t="shared" si="6"/>
        <v>102795.06451380023</v>
      </c>
      <c r="N24" s="110"/>
    </row>
    <row r="25" spans="1:16">
      <c r="A25" s="26">
        <v>22</v>
      </c>
      <c r="B25" s="27">
        <v>45952</v>
      </c>
      <c r="C25" s="51" t="s">
        <v>115</v>
      </c>
      <c r="D25" s="52" t="s">
        <v>115</v>
      </c>
      <c r="E25" s="51"/>
      <c r="F25" s="51"/>
      <c r="G25" s="50">
        <f t="shared" si="3"/>
        <v>0</v>
      </c>
      <c r="H25" s="51"/>
      <c r="I25" s="51"/>
      <c r="J25" s="53">
        <f t="shared" si="4"/>
        <v>0</v>
      </c>
      <c r="K25" s="50">
        <f t="shared" si="5"/>
        <v>0</v>
      </c>
      <c r="L25" s="115"/>
      <c r="M25" s="53">
        <f t="shared" si="6"/>
        <v>102795.06451380023</v>
      </c>
      <c r="N25" s="110"/>
    </row>
    <row r="26" spans="1:16">
      <c r="A26" s="26">
        <v>23</v>
      </c>
      <c r="B26" s="27">
        <v>45953</v>
      </c>
      <c r="C26" s="51" t="s">
        <v>115</v>
      </c>
      <c r="D26" s="52" t="s">
        <v>115</v>
      </c>
      <c r="E26" s="51"/>
      <c r="F26" s="51"/>
      <c r="G26" s="50">
        <f t="shared" si="3"/>
        <v>0</v>
      </c>
      <c r="H26" s="51"/>
      <c r="I26" s="51"/>
      <c r="J26" s="53">
        <f t="shared" si="4"/>
        <v>0</v>
      </c>
      <c r="K26" s="50">
        <f t="shared" si="5"/>
        <v>0</v>
      </c>
      <c r="L26" s="115"/>
      <c r="M26" s="53">
        <f t="shared" si="6"/>
        <v>102795.06451380023</v>
      </c>
      <c r="N26" s="110"/>
    </row>
    <row r="27" spans="1:16">
      <c r="A27" s="26">
        <v>24</v>
      </c>
      <c r="B27" s="27">
        <v>45954</v>
      </c>
      <c r="C27" s="51" t="s">
        <v>115</v>
      </c>
      <c r="D27" s="52" t="s">
        <v>115</v>
      </c>
      <c r="E27" s="51"/>
      <c r="F27" s="51"/>
      <c r="G27" s="50">
        <f t="shared" si="3"/>
        <v>0</v>
      </c>
      <c r="H27" s="51"/>
      <c r="I27" s="51"/>
      <c r="J27" s="53">
        <f t="shared" si="4"/>
        <v>0</v>
      </c>
      <c r="K27" s="50">
        <f t="shared" si="5"/>
        <v>0</v>
      </c>
      <c r="L27" s="115"/>
      <c r="M27" s="53">
        <f t="shared" si="6"/>
        <v>102795.06451380023</v>
      </c>
      <c r="N27" s="110"/>
    </row>
    <row r="28" spans="1:16">
      <c r="A28" s="26">
        <v>25</v>
      </c>
      <c r="B28" s="27">
        <v>45955</v>
      </c>
      <c r="C28" s="51"/>
      <c r="D28" s="52"/>
      <c r="E28" s="51"/>
      <c r="F28" s="51"/>
      <c r="G28" s="50">
        <f t="shared" si="3"/>
        <v>0</v>
      </c>
      <c r="H28" s="51"/>
      <c r="I28" s="51"/>
      <c r="J28" s="53">
        <f t="shared" si="4"/>
        <v>0</v>
      </c>
      <c r="K28" s="50">
        <f t="shared" si="5"/>
        <v>0</v>
      </c>
      <c r="L28" s="115"/>
      <c r="M28" s="53">
        <f t="shared" si="6"/>
        <v>102795.06451380023</v>
      </c>
      <c r="N28" s="110"/>
    </row>
    <row r="29" spans="1:16">
      <c r="A29" s="26">
        <v>26</v>
      </c>
      <c r="B29" s="27">
        <v>45956</v>
      </c>
      <c r="C29" s="51" t="s">
        <v>115</v>
      </c>
      <c r="D29" s="52" t="s">
        <v>115</v>
      </c>
      <c r="E29" s="51"/>
      <c r="F29" s="51"/>
      <c r="G29" s="50">
        <f t="shared" si="3"/>
        <v>0</v>
      </c>
      <c r="H29" s="51"/>
      <c r="I29" s="51"/>
      <c r="J29" s="53">
        <f t="shared" si="4"/>
        <v>0</v>
      </c>
      <c r="K29" s="50">
        <f t="shared" si="5"/>
        <v>0</v>
      </c>
      <c r="L29" s="115"/>
      <c r="M29" s="53">
        <f t="shared" si="6"/>
        <v>102795.06451380023</v>
      </c>
      <c r="N29" s="110"/>
    </row>
    <row r="30" spans="1:16">
      <c r="A30" s="26">
        <v>27</v>
      </c>
      <c r="B30" s="27">
        <v>45957</v>
      </c>
      <c r="C30" s="51" t="s">
        <v>115</v>
      </c>
      <c r="D30" s="52" t="s">
        <v>115</v>
      </c>
      <c r="E30" s="51"/>
      <c r="F30" s="51"/>
      <c r="G30" s="50">
        <f t="shared" si="3"/>
        <v>0</v>
      </c>
      <c r="H30" s="51"/>
      <c r="I30" s="51"/>
      <c r="J30" s="53">
        <f t="shared" si="4"/>
        <v>0</v>
      </c>
      <c r="K30" s="50">
        <f t="shared" si="5"/>
        <v>0</v>
      </c>
      <c r="L30" s="115"/>
      <c r="M30" s="53">
        <f t="shared" si="6"/>
        <v>102795.06451380023</v>
      </c>
      <c r="N30" s="110"/>
    </row>
    <row r="31" spans="1:16">
      <c r="A31" s="26">
        <v>28</v>
      </c>
      <c r="B31" s="27">
        <v>45958</v>
      </c>
      <c r="C31" s="51" t="s">
        <v>115</v>
      </c>
      <c r="D31" s="52" t="s">
        <v>115</v>
      </c>
      <c r="E31" s="51"/>
      <c r="F31" s="51"/>
      <c r="G31" s="50">
        <f t="shared" si="3"/>
        <v>0</v>
      </c>
      <c r="H31" s="51"/>
      <c r="I31" s="51"/>
      <c r="J31" s="53">
        <f t="shared" si="4"/>
        <v>0</v>
      </c>
      <c r="K31" s="50">
        <f t="shared" si="5"/>
        <v>0</v>
      </c>
      <c r="L31" s="115"/>
      <c r="M31" s="53">
        <f t="shared" si="6"/>
        <v>102795.06451380023</v>
      </c>
      <c r="N31" s="110"/>
    </row>
    <row r="32" spans="1:16">
      <c r="A32" s="26">
        <v>29</v>
      </c>
      <c r="B32" s="27">
        <v>45959</v>
      </c>
      <c r="C32" s="50"/>
      <c r="D32" s="52" t="s">
        <v>115</v>
      </c>
      <c r="E32" s="51"/>
      <c r="F32" s="51"/>
      <c r="G32" s="50">
        <f t="shared" si="3"/>
        <v>0</v>
      </c>
      <c r="H32" s="51"/>
      <c r="I32" s="51"/>
      <c r="J32" s="53">
        <f t="shared" si="4"/>
        <v>0</v>
      </c>
      <c r="K32" s="50">
        <f t="shared" si="5"/>
        <v>0</v>
      </c>
      <c r="L32" s="115"/>
      <c r="M32" s="53">
        <f t="shared" si="6"/>
        <v>102795.06451380023</v>
      </c>
      <c r="N32" s="110"/>
    </row>
    <row r="33" spans="1:34">
      <c r="A33" s="26">
        <v>30</v>
      </c>
      <c r="B33" s="27">
        <v>45960</v>
      </c>
      <c r="C33" s="50"/>
      <c r="D33" s="52" t="s">
        <v>115</v>
      </c>
      <c r="E33" s="51"/>
      <c r="F33" s="51"/>
      <c r="G33" s="50">
        <f t="shared" si="3"/>
        <v>0</v>
      </c>
      <c r="H33" s="51"/>
      <c r="I33" s="51"/>
      <c r="J33" s="53">
        <f t="shared" si="4"/>
        <v>0</v>
      </c>
      <c r="K33" s="50">
        <f t="shared" si="5"/>
        <v>0</v>
      </c>
      <c r="L33" s="115"/>
      <c r="M33" s="53">
        <f t="shared" si="6"/>
        <v>102795.06451380023</v>
      </c>
      <c r="N33" s="110"/>
    </row>
    <row r="34" spans="1:34">
      <c r="A34" s="26">
        <v>31</v>
      </c>
      <c r="B34" s="27">
        <v>45961</v>
      </c>
      <c r="C34" s="50"/>
      <c r="D34" s="52" t="s">
        <v>115</v>
      </c>
      <c r="E34" s="51"/>
      <c r="F34" s="51"/>
      <c r="G34" s="50">
        <f t="shared" si="3"/>
        <v>0</v>
      </c>
      <c r="H34" s="51"/>
      <c r="I34" s="51"/>
      <c r="J34" s="53">
        <f t="shared" si="4"/>
        <v>0</v>
      </c>
      <c r="K34" s="50">
        <f t="shared" si="5"/>
        <v>0</v>
      </c>
      <c r="L34" s="115"/>
      <c r="M34" s="53">
        <f t="shared" si="6"/>
        <v>102795.06451380023</v>
      </c>
      <c r="N34" s="110"/>
    </row>
    <row r="35" spans="1:34">
      <c r="A35" s="26">
        <v>32</v>
      </c>
      <c r="B35" s="27"/>
      <c r="C35" s="50"/>
      <c r="D35" s="52" t="s">
        <v>115</v>
      </c>
      <c r="E35" s="51">
        <v>0</v>
      </c>
      <c r="F35" s="51">
        <v>0</v>
      </c>
      <c r="G35" s="50">
        <f t="shared" si="3"/>
        <v>0</v>
      </c>
      <c r="H35" s="51"/>
      <c r="I35" s="51"/>
      <c r="J35" s="53">
        <f t="shared" si="4"/>
        <v>0</v>
      </c>
      <c r="K35" s="50">
        <f t="shared" si="5"/>
        <v>0</v>
      </c>
      <c r="L35" s="115"/>
      <c r="M35" s="53">
        <f t="shared" si="6"/>
        <v>102795.06451380023</v>
      </c>
      <c r="N35" s="110"/>
    </row>
    <row r="36" spans="1:34">
      <c r="A36" s="46"/>
      <c r="B36" s="46"/>
      <c r="C36" s="46"/>
      <c r="D36" s="46"/>
      <c r="E36" s="47">
        <f>SUM(E4:E35)</f>
        <v>1000</v>
      </c>
      <c r="F36" s="47"/>
      <c r="G36" s="47">
        <f>SUM(G4:G35)</f>
        <v>91300</v>
      </c>
      <c r="H36" s="47">
        <f>SUM(H4:H35)</f>
        <v>210</v>
      </c>
      <c r="I36" s="47"/>
      <c r="J36" s="47">
        <f>SUM(J4:J35)</f>
        <v>21680.399999999998</v>
      </c>
      <c r="K36" s="47">
        <f>SUM(K4:K35)</f>
        <v>112980.4</v>
      </c>
      <c r="L36" s="47">
        <f>SUM(L4:L35)</f>
        <v>120000</v>
      </c>
      <c r="M36" s="47"/>
      <c r="N36" s="47"/>
      <c r="O36" s="33"/>
    </row>
    <row r="37" spans="1:34" s="54" customFormat="1" ht="20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J38" s="49"/>
      <c r="L38" s="49"/>
      <c r="M38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topLeftCell="A6" workbookViewId="0">
      <selection activeCell="M35" sqref="M35"/>
    </sheetView>
  </sheetViews>
  <sheetFormatPr defaultRowHeight="15"/>
  <cols>
    <col min="2" max="2" width="10.28515625" customWidth="1"/>
    <col min="7" max="7" width="12.140625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44" t="s">
        <v>34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ht="25.5">
      <c r="A2" s="93" t="s">
        <v>96</v>
      </c>
      <c r="B2" s="94" t="s">
        <v>97</v>
      </c>
      <c r="C2" s="94" t="s">
        <v>98</v>
      </c>
      <c r="D2" s="94" t="s">
        <v>99</v>
      </c>
      <c r="E2" s="94" t="s">
        <v>100</v>
      </c>
      <c r="F2" s="94" t="s">
        <v>101</v>
      </c>
      <c r="G2" s="94" t="s">
        <v>102</v>
      </c>
      <c r="H2" s="94" t="s">
        <v>103</v>
      </c>
      <c r="I2" s="94" t="s">
        <v>101</v>
      </c>
      <c r="J2" s="119" t="s">
        <v>102</v>
      </c>
      <c r="K2" s="94" t="s">
        <v>104</v>
      </c>
      <c r="L2" s="119" t="s">
        <v>105</v>
      </c>
      <c r="M2" s="118" t="s">
        <v>110</v>
      </c>
      <c r="N2" s="95" t="s">
        <v>107</v>
      </c>
      <c r="O2" s="33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spans="1:34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45"/>
      <c r="K3" s="29">
        <v>306111</v>
      </c>
      <c r="L3" s="50"/>
      <c r="M3" s="120">
        <f>+K3</f>
        <v>306111</v>
      </c>
      <c r="N3" s="50"/>
      <c r="O3" s="33">
        <v>99992.614513800188</v>
      </c>
      <c r="P3" s="53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>
      <c r="A4" s="26">
        <v>1</v>
      </c>
      <c r="B4" s="27">
        <v>45931</v>
      </c>
      <c r="C4" s="51" t="s">
        <v>115</v>
      </c>
      <c r="D4" s="52" t="s">
        <v>115</v>
      </c>
      <c r="E4" s="51"/>
      <c r="F4" s="51"/>
      <c r="G4" s="50">
        <f t="shared" ref="G4" si="0">E4*F4</f>
        <v>0</v>
      </c>
      <c r="H4" s="51">
        <v>0</v>
      </c>
      <c r="I4" s="51">
        <v>0</v>
      </c>
      <c r="J4" s="53">
        <f t="shared" ref="J4" si="1">H4*I4</f>
        <v>0</v>
      </c>
      <c r="K4" s="50">
        <f t="shared" ref="K4" si="2">G4+J4</f>
        <v>0</v>
      </c>
      <c r="L4" s="115"/>
      <c r="M4" s="53">
        <f>M3+K4-L4</f>
        <v>306111</v>
      </c>
      <c r="N4" s="110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>
      <c r="A5" s="26">
        <v>2</v>
      </c>
      <c r="B5" s="27">
        <v>45932</v>
      </c>
      <c r="C5" s="51" t="s">
        <v>115</v>
      </c>
      <c r="D5" s="52" t="s">
        <v>115</v>
      </c>
      <c r="E5" s="51"/>
      <c r="F5" s="51"/>
      <c r="G5" s="50">
        <f t="shared" ref="G5:G35" si="3">E5*F5</f>
        <v>0</v>
      </c>
      <c r="H5" s="51"/>
      <c r="I5" s="51"/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306111</v>
      </c>
      <c r="N5" s="110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 spans="1:34">
      <c r="A6" s="26">
        <v>3</v>
      </c>
      <c r="B6" s="27">
        <v>45933</v>
      </c>
      <c r="C6" s="51" t="s">
        <v>115</v>
      </c>
      <c r="D6" s="52" t="s">
        <v>115</v>
      </c>
      <c r="E6" s="51"/>
      <c r="F6" s="51"/>
      <c r="G6" s="50">
        <f t="shared" si="3"/>
        <v>0</v>
      </c>
      <c r="H6" s="51"/>
      <c r="I6" s="51"/>
      <c r="J6" s="53">
        <f t="shared" si="4"/>
        <v>0</v>
      </c>
      <c r="K6" s="50">
        <f t="shared" si="5"/>
        <v>0</v>
      </c>
      <c r="L6" s="115"/>
      <c r="M6" s="53">
        <f t="shared" si="6"/>
        <v>306111</v>
      </c>
      <c r="N6" s="117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>
      <c r="A7" s="26">
        <v>4</v>
      </c>
      <c r="B7" s="27">
        <v>45934</v>
      </c>
      <c r="C7" s="51" t="s">
        <v>115</v>
      </c>
      <c r="D7" s="52" t="s">
        <v>115</v>
      </c>
      <c r="E7" s="51">
        <v>1500</v>
      </c>
      <c r="F7" s="51">
        <v>91.33</v>
      </c>
      <c r="G7" s="50">
        <f t="shared" si="3"/>
        <v>136995</v>
      </c>
      <c r="H7" s="51">
        <v>70</v>
      </c>
      <c r="I7" s="51">
        <v>103.27</v>
      </c>
      <c r="J7" s="53">
        <f t="shared" si="4"/>
        <v>7228.9</v>
      </c>
      <c r="K7" s="50">
        <f t="shared" si="5"/>
        <v>144223.9</v>
      </c>
      <c r="L7" s="115"/>
      <c r="M7" s="53">
        <f t="shared" si="6"/>
        <v>450334.9</v>
      </c>
      <c r="N7" s="117"/>
      <c r="O7" s="49">
        <v>1</v>
      </c>
      <c r="P7" s="49" t="s">
        <v>141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 spans="1:34">
      <c r="A8" s="26">
        <v>5</v>
      </c>
      <c r="B8" s="27">
        <v>45935</v>
      </c>
      <c r="C8" s="51" t="s">
        <v>115</v>
      </c>
      <c r="D8" s="52" t="s">
        <v>115</v>
      </c>
      <c r="E8" s="51"/>
      <c r="F8" s="51"/>
      <c r="G8" s="50">
        <f t="shared" si="3"/>
        <v>0</v>
      </c>
      <c r="H8" s="51"/>
      <c r="I8" s="51"/>
      <c r="J8" s="53">
        <f t="shared" si="4"/>
        <v>0</v>
      </c>
      <c r="K8" s="50">
        <f t="shared" si="5"/>
        <v>0</v>
      </c>
      <c r="L8" s="115"/>
      <c r="M8" s="53">
        <f t="shared" si="6"/>
        <v>450334.9</v>
      </c>
      <c r="N8" s="110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>
      <c r="A9" s="26">
        <v>6</v>
      </c>
      <c r="B9" s="27">
        <v>45936</v>
      </c>
      <c r="C9" s="51" t="s">
        <v>115</v>
      </c>
      <c r="D9" s="52" t="s">
        <v>115</v>
      </c>
      <c r="E9" s="51"/>
      <c r="F9" s="51"/>
      <c r="G9" s="50">
        <f t="shared" si="3"/>
        <v>0</v>
      </c>
      <c r="H9" s="51"/>
      <c r="I9" s="51"/>
      <c r="J9" s="53">
        <f t="shared" si="4"/>
        <v>0</v>
      </c>
      <c r="K9" s="50">
        <f t="shared" si="5"/>
        <v>0</v>
      </c>
      <c r="L9" s="115"/>
      <c r="M9" s="53">
        <f t="shared" si="6"/>
        <v>450334.9</v>
      </c>
      <c r="N9" s="117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>
      <c r="A10" s="26">
        <v>7</v>
      </c>
      <c r="B10" s="27">
        <v>45937</v>
      </c>
      <c r="C10" s="51" t="s">
        <v>115</v>
      </c>
      <c r="D10" s="52" t="s">
        <v>115</v>
      </c>
      <c r="E10" s="51"/>
      <c r="F10" s="51"/>
      <c r="G10" s="50">
        <f t="shared" si="3"/>
        <v>0</v>
      </c>
      <c r="H10" s="51"/>
      <c r="I10" s="51"/>
      <c r="J10" s="53">
        <f t="shared" si="4"/>
        <v>0</v>
      </c>
      <c r="K10" s="50">
        <f t="shared" si="5"/>
        <v>0</v>
      </c>
      <c r="L10" s="115"/>
      <c r="M10" s="53">
        <f t="shared" si="6"/>
        <v>450334.9</v>
      </c>
      <c r="N10" s="110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spans="1:34">
      <c r="A11" s="26">
        <v>8</v>
      </c>
      <c r="B11" s="27">
        <v>45938</v>
      </c>
      <c r="C11" s="51" t="s">
        <v>115</v>
      </c>
      <c r="D11" s="52" t="s">
        <v>115</v>
      </c>
      <c r="E11" s="51"/>
      <c r="F11" s="51"/>
      <c r="G11" s="50">
        <f t="shared" si="3"/>
        <v>0</v>
      </c>
      <c r="H11" s="51"/>
      <c r="I11" s="51"/>
      <c r="J11" s="53">
        <f t="shared" si="4"/>
        <v>0</v>
      </c>
      <c r="K11" s="50">
        <f t="shared" si="5"/>
        <v>0</v>
      </c>
      <c r="L11" s="115">
        <v>250000</v>
      </c>
      <c r="M11" s="53">
        <f t="shared" si="6"/>
        <v>200334.90000000002</v>
      </c>
      <c r="N11" s="116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>
      <c r="A12" s="26">
        <v>9</v>
      </c>
      <c r="B12" s="27">
        <v>45939</v>
      </c>
      <c r="C12" s="51" t="s">
        <v>115</v>
      </c>
      <c r="D12" s="52" t="s">
        <v>115</v>
      </c>
      <c r="E12" s="51">
        <v>1500</v>
      </c>
      <c r="F12" s="51">
        <v>91.33</v>
      </c>
      <c r="G12" s="50">
        <f t="shared" si="3"/>
        <v>136995</v>
      </c>
      <c r="H12" s="51"/>
      <c r="I12" s="51"/>
      <c r="J12" s="53">
        <f t="shared" si="4"/>
        <v>0</v>
      </c>
      <c r="K12" s="50">
        <f t="shared" si="5"/>
        <v>136995</v>
      </c>
      <c r="L12" s="115"/>
      <c r="M12" s="53">
        <f t="shared" si="6"/>
        <v>337329.9</v>
      </c>
      <c r="N12" s="110"/>
      <c r="O12" s="49">
        <v>2</v>
      </c>
      <c r="P12" s="49" t="s">
        <v>141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</row>
    <row r="13" spans="1:34">
      <c r="A13" s="26">
        <v>10</v>
      </c>
      <c r="B13" s="27">
        <v>45940</v>
      </c>
      <c r="C13" s="51" t="s">
        <v>115</v>
      </c>
      <c r="D13" s="52" t="s">
        <v>115</v>
      </c>
      <c r="E13" s="51"/>
      <c r="F13" s="51"/>
      <c r="G13" s="50">
        <f t="shared" si="3"/>
        <v>0</v>
      </c>
      <c r="H13" s="51"/>
      <c r="I13" s="51"/>
      <c r="J13" s="53">
        <f t="shared" si="4"/>
        <v>0</v>
      </c>
      <c r="K13" s="50">
        <f t="shared" si="5"/>
        <v>0</v>
      </c>
      <c r="L13" s="115"/>
      <c r="M13" s="53">
        <f t="shared" si="6"/>
        <v>337329.9</v>
      </c>
      <c r="N13" s="110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 spans="1:34">
      <c r="A14" s="26">
        <v>11</v>
      </c>
      <c r="B14" s="27">
        <v>45941</v>
      </c>
      <c r="C14" s="51" t="s">
        <v>115</v>
      </c>
      <c r="D14" s="52" t="s">
        <v>115</v>
      </c>
      <c r="E14" s="51"/>
      <c r="F14" s="51"/>
      <c r="G14" s="50">
        <f t="shared" si="3"/>
        <v>0</v>
      </c>
      <c r="H14" s="51"/>
      <c r="I14" s="51"/>
      <c r="J14" s="53">
        <f t="shared" si="4"/>
        <v>0</v>
      </c>
      <c r="K14" s="50">
        <f t="shared" si="5"/>
        <v>0</v>
      </c>
      <c r="L14" s="115"/>
      <c r="M14" s="53">
        <f t="shared" si="6"/>
        <v>337329.9</v>
      </c>
      <c r="N14" s="110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>
      <c r="A15" s="26">
        <v>12</v>
      </c>
      <c r="B15" s="27">
        <v>45942</v>
      </c>
      <c r="C15" s="51" t="s">
        <v>115</v>
      </c>
      <c r="D15" s="52" t="s">
        <v>115</v>
      </c>
      <c r="E15" s="51"/>
      <c r="F15" s="51"/>
      <c r="G15" s="50">
        <f t="shared" si="3"/>
        <v>0</v>
      </c>
      <c r="H15" s="51"/>
      <c r="I15" s="51"/>
      <c r="J15" s="53">
        <f t="shared" si="4"/>
        <v>0</v>
      </c>
      <c r="K15" s="50">
        <f t="shared" si="5"/>
        <v>0</v>
      </c>
      <c r="L15" s="115"/>
      <c r="M15" s="53">
        <f t="shared" si="6"/>
        <v>337329.9</v>
      </c>
      <c r="N15" s="11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>
      <c r="A16" s="26">
        <v>13</v>
      </c>
      <c r="B16" s="27">
        <v>45943</v>
      </c>
      <c r="C16" s="51" t="s">
        <v>115</v>
      </c>
      <c r="D16" s="52" t="s">
        <v>115</v>
      </c>
      <c r="E16" s="51">
        <v>1500</v>
      </c>
      <c r="F16" s="51">
        <v>91.33</v>
      </c>
      <c r="G16" s="50">
        <f t="shared" si="3"/>
        <v>136995</v>
      </c>
      <c r="H16" s="51">
        <v>70</v>
      </c>
      <c r="I16" s="51">
        <v>103.27</v>
      </c>
      <c r="J16" s="53">
        <f t="shared" si="4"/>
        <v>7228.9</v>
      </c>
      <c r="K16" s="50">
        <f t="shared" si="5"/>
        <v>144223.9</v>
      </c>
      <c r="L16" s="115"/>
      <c r="M16" s="53">
        <f t="shared" si="6"/>
        <v>481553.80000000005</v>
      </c>
      <c r="N16" s="110"/>
      <c r="O16" s="49">
        <v>3</v>
      </c>
      <c r="P16" s="49" t="s">
        <v>141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>
      <c r="A17" s="26">
        <v>14</v>
      </c>
      <c r="B17" s="27">
        <v>45944</v>
      </c>
      <c r="C17" s="51" t="s">
        <v>115</v>
      </c>
      <c r="D17" s="52" t="s">
        <v>115</v>
      </c>
      <c r="E17" s="51"/>
      <c r="F17" s="51"/>
      <c r="G17" s="50">
        <f t="shared" si="3"/>
        <v>0</v>
      </c>
      <c r="H17" s="51"/>
      <c r="I17" s="51"/>
      <c r="J17" s="53">
        <f t="shared" si="4"/>
        <v>0</v>
      </c>
      <c r="K17" s="50">
        <f t="shared" si="5"/>
        <v>0</v>
      </c>
      <c r="L17" s="115"/>
      <c r="M17" s="53">
        <f t="shared" si="6"/>
        <v>481553.80000000005</v>
      </c>
      <c r="N17" s="110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 spans="1:34">
      <c r="A18" s="26">
        <v>15</v>
      </c>
      <c r="B18" s="27">
        <v>45945</v>
      </c>
      <c r="C18" s="51" t="s">
        <v>115</v>
      </c>
      <c r="D18" s="52" t="s">
        <v>115</v>
      </c>
      <c r="E18" s="51"/>
      <c r="F18" s="51"/>
      <c r="G18" s="50">
        <f t="shared" si="3"/>
        <v>0</v>
      </c>
      <c r="H18" s="51"/>
      <c r="I18" s="51"/>
      <c r="J18" s="53">
        <f t="shared" si="4"/>
        <v>0</v>
      </c>
      <c r="K18" s="50">
        <f t="shared" si="5"/>
        <v>0</v>
      </c>
      <c r="L18" s="115">
        <v>300000</v>
      </c>
      <c r="M18" s="53">
        <f t="shared" si="6"/>
        <v>181553.80000000005</v>
      </c>
      <c r="N18" s="110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 spans="1:34">
      <c r="A19" s="26">
        <v>16</v>
      </c>
      <c r="B19" s="27">
        <v>45946</v>
      </c>
      <c r="C19" s="51" t="s">
        <v>115</v>
      </c>
      <c r="D19" s="52" t="s">
        <v>115</v>
      </c>
      <c r="E19" s="51"/>
      <c r="F19" s="51"/>
      <c r="G19" s="50">
        <f t="shared" si="3"/>
        <v>0</v>
      </c>
      <c r="H19" s="51"/>
      <c r="I19" s="51"/>
      <c r="J19" s="53">
        <f t="shared" si="4"/>
        <v>0</v>
      </c>
      <c r="K19" s="50">
        <f t="shared" si="5"/>
        <v>0</v>
      </c>
      <c r="L19" s="115"/>
      <c r="M19" s="53">
        <f t="shared" si="6"/>
        <v>181553.80000000005</v>
      </c>
      <c r="N19" s="110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</row>
    <row r="20" spans="1:34">
      <c r="A20" s="26">
        <v>17</v>
      </c>
      <c r="B20" s="27">
        <v>45947</v>
      </c>
      <c r="C20" s="51" t="s">
        <v>115</v>
      </c>
      <c r="D20" s="52" t="s">
        <v>115</v>
      </c>
      <c r="E20" s="51"/>
      <c r="F20" s="51"/>
      <c r="G20" s="50">
        <f t="shared" si="3"/>
        <v>0</v>
      </c>
      <c r="H20" s="51"/>
      <c r="I20" s="51"/>
      <c r="J20" s="53">
        <f t="shared" si="4"/>
        <v>0</v>
      </c>
      <c r="K20" s="50">
        <f t="shared" si="5"/>
        <v>0</v>
      </c>
      <c r="L20" s="115"/>
      <c r="M20" s="53">
        <f t="shared" si="6"/>
        <v>181553.80000000005</v>
      </c>
      <c r="N20" s="110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>
      <c r="A21" s="26">
        <v>18</v>
      </c>
      <c r="B21" s="27">
        <v>45948</v>
      </c>
      <c r="C21" s="51" t="s">
        <v>115</v>
      </c>
      <c r="D21" s="52" t="s">
        <v>115</v>
      </c>
      <c r="E21" s="51"/>
      <c r="F21" s="51"/>
      <c r="G21" s="50">
        <f t="shared" si="3"/>
        <v>0</v>
      </c>
      <c r="H21" s="51"/>
      <c r="I21" s="51"/>
      <c r="J21" s="53">
        <f t="shared" si="4"/>
        <v>0</v>
      </c>
      <c r="K21" s="50">
        <f t="shared" si="5"/>
        <v>0</v>
      </c>
      <c r="L21" s="115"/>
      <c r="M21" s="53">
        <f t="shared" si="6"/>
        <v>181553.80000000005</v>
      </c>
      <c r="N21" s="11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>
      <c r="A22" s="26">
        <v>19</v>
      </c>
      <c r="B22" s="27">
        <v>45949</v>
      </c>
      <c r="C22" s="51" t="s">
        <v>115</v>
      </c>
      <c r="D22" s="52" t="s">
        <v>115</v>
      </c>
      <c r="E22" s="51"/>
      <c r="F22" s="51"/>
      <c r="G22" s="50">
        <f t="shared" si="3"/>
        <v>0</v>
      </c>
      <c r="H22" s="51"/>
      <c r="I22" s="51"/>
      <c r="J22" s="53">
        <f t="shared" si="4"/>
        <v>0</v>
      </c>
      <c r="K22" s="50">
        <f t="shared" si="5"/>
        <v>0</v>
      </c>
      <c r="L22" s="115"/>
      <c r="M22" s="53">
        <f t="shared" si="6"/>
        <v>181553.80000000005</v>
      </c>
      <c r="N22" s="11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 spans="1:34">
      <c r="A23" s="26">
        <v>20</v>
      </c>
      <c r="B23" s="27">
        <v>45950</v>
      </c>
      <c r="C23" s="51" t="s">
        <v>115</v>
      </c>
      <c r="D23" s="52" t="s">
        <v>115</v>
      </c>
      <c r="E23" s="51"/>
      <c r="F23" s="51"/>
      <c r="G23" s="50">
        <f t="shared" si="3"/>
        <v>0</v>
      </c>
      <c r="H23" s="51"/>
      <c r="I23" s="51"/>
      <c r="J23" s="53">
        <f t="shared" si="4"/>
        <v>0</v>
      </c>
      <c r="K23" s="50">
        <f t="shared" si="5"/>
        <v>0</v>
      </c>
      <c r="L23" s="115"/>
      <c r="M23" s="53">
        <f t="shared" si="6"/>
        <v>181553.80000000005</v>
      </c>
      <c r="N23" s="11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 spans="1:34">
      <c r="A24" s="26">
        <v>21</v>
      </c>
      <c r="B24" s="27">
        <v>45951</v>
      </c>
      <c r="C24" s="51" t="s">
        <v>115</v>
      </c>
      <c r="D24" s="52" t="s">
        <v>115</v>
      </c>
      <c r="E24" s="51">
        <v>600</v>
      </c>
      <c r="F24" s="51">
        <v>91.33</v>
      </c>
      <c r="G24" s="50">
        <f t="shared" si="3"/>
        <v>54798</v>
      </c>
      <c r="H24" s="51">
        <v>70</v>
      </c>
      <c r="I24" s="51">
        <v>103.27</v>
      </c>
      <c r="J24" s="53">
        <f t="shared" si="4"/>
        <v>7228.9</v>
      </c>
      <c r="K24" s="50">
        <f t="shared" si="5"/>
        <v>62026.9</v>
      </c>
      <c r="L24" s="115"/>
      <c r="M24" s="53">
        <f t="shared" si="6"/>
        <v>243580.70000000004</v>
      </c>
      <c r="N24" s="110"/>
      <c r="O24" s="49">
        <v>4</v>
      </c>
      <c r="P24" s="49" t="s">
        <v>141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4">
      <c r="A25" s="26">
        <v>22</v>
      </c>
      <c r="B25" s="27">
        <v>45952</v>
      </c>
      <c r="C25" s="51" t="s">
        <v>115</v>
      </c>
      <c r="D25" s="52" t="s">
        <v>115</v>
      </c>
      <c r="E25" s="51"/>
      <c r="F25" s="51"/>
      <c r="G25" s="50">
        <f t="shared" si="3"/>
        <v>0</v>
      </c>
      <c r="H25" s="51"/>
      <c r="I25" s="51"/>
      <c r="J25" s="53">
        <f t="shared" si="4"/>
        <v>0</v>
      </c>
      <c r="K25" s="50">
        <f t="shared" si="5"/>
        <v>0</v>
      </c>
      <c r="L25" s="115"/>
      <c r="M25" s="53">
        <f t="shared" si="6"/>
        <v>243580.70000000004</v>
      </c>
      <c r="N25" s="110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34">
      <c r="A26" s="26">
        <v>23</v>
      </c>
      <c r="B26" s="27">
        <v>45953</v>
      </c>
      <c r="C26" s="51" t="s">
        <v>115</v>
      </c>
      <c r="D26" s="52" t="s">
        <v>115</v>
      </c>
      <c r="E26" s="51"/>
      <c r="F26" s="51"/>
      <c r="G26" s="50">
        <f t="shared" si="3"/>
        <v>0</v>
      </c>
      <c r="H26" s="51"/>
      <c r="I26" s="51"/>
      <c r="J26" s="53">
        <f t="shared" si="4"/>
        <v>0</v>
      </c>
      <c r="K26" s="50">
        <f t="shared" si="5"/>
        <v>0</v>
      </c>
      <c r="L26" s="115"/>
      <c r="M26" s="53">
        <f t="shared" si="6"/>
        <v>243580.70000000004</v>
      </c>
      <c r="N26" s="110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4">
      <c r="A27" s="26">
        <v>24</v>
      </c>
      <c r="B27" s="27">
        <v>45954</v>
      </c>
      <c r="C27" s="51" t="s">
        <v>115</v>
      </c>
      <c r="D27" s="52" t="s">
        <v>115</v>
      </c>
      <c r="E27" s="51">
        <v>1500</v>
      </c>
      <c r="F27" s="51">
        <v>91.33</v>
      </c>
      <c r="G27" s="50">
        <f t="shared" si="3"/>
        <v>136995</v>
      </c>
      <c r="H27" s="51"/>
      <c r="I27" s="51"/>
      <c r="J27" s="53">
        <f t="shared" si="4"/>
        <v>0</v>
      </c>
      <c r="K27" s="50">
        <f t="shared" si="5"/>
        <v>136995</v>
      </c>
      <c r="L27" s="115"/>
      <c r="M27" s="53">
        <f t="shared" si="6"/>
        <v>380575.70000000007</v>
      </c>
      <c r="N27" s="110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4">
      <c r="A28" s="26">
        <v>25</v>
      </c>
      <c r="B28" s="27">
        <v>45955</v>
      </c>
      <c r="C28" s="51"/>
      <c r="D28" s="52"/>
      <c r="E28" s="51"/>
      <c r="F28" s="51"/>
      <c r="G28" s="50">
        <f t="shared" si="3"/>
        <v>0</v>
      </c>
      <c r="H28" s="51"/>
      <c r="I28" s="51"/>
      <c r="J28" s="53">
        <f t="shared" si="4"/>
        <v>0</v>
      </c>
      <c r="K28" s="50">
        <f t="shared" si="5"/>
        <v>0</v>
      </c>
      <c r="L28" s="115"/>
      <c r="M28" s="53">
        <f t="shared" si="6"/>
        <v>380575.70000000007</v>
      </c>
      <c r="N28" s="110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34">
      <c r="A29" s="26">
        <v>26</v>
      </c>
      <c r="B29" s="27">
        <v>45956</v>
      </c>
      <c r="C29" s="51" t="s">
        <v>115</v>
      </c>
      <c r="D29" s="52" t="s">
        <v>115</v>
      </c>
      <c r="E29" s="51"/>
      <c r="F29" s="51"/>
      <c r="G29" s="50">
        <f t="shared" si="3"/>
        <v>0</v>
      </c>
      <c r="H29" s="51"/>
      <c r="I29" s="51"/>
      <c r="J29" s="53">
        <f t="shared" si="4"/>
        <v>0</v>
      </c>
      <c r="K29" s="50">
        <f t="shared" si="5"/>
        <v>0</v>
      </c>
      <c r="L29" s="115"/>
      <c r="M29" s="53">
        <f t="shared" si="6"/>
        <v>380575.70000000007</v>
      </c>
      <c r="N29" s="110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34">
      <c r="A30" s="26">
        <v>27</v>
      </c>
      <c r="B30" s="27">
        <v>45957</v>
      </c>
      <c r="C30" s="51" t="s">
        <v>115</v>
      </c>
      <c r="D30" s="52" t="s">
        <v>115</v>
      </c>
      <c r="E30" s="51">
        <v>1500</v>
      </c>
      <c r="F30" s="51">
        <v>91.33</v>
      </c>
      <c r="G30" s="50">
        <f t="shared" si="3"/>
        <v>136995</v>
      </c>
      <c r="H30" s="51">
        <v>70</v>
      </c>
      <c r="I30" s="51">
        <v>103.27</v>
      </c>
      <c r="J30" s="53">
        <f t="shared" si="4"/>
        <v>7228.9</v>
      </c>
      <c r="K30" s="50">
        <f t="shared" si="5"/>
        <v>144223.9</v>
      </c>
      <c r="L30" s="115"/>
      <c r="M30" s="53">
        <f t="shared" si="6"/>
        <v>524799.60000000009</v>
      </c>
      <c r="N30" s="11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34">
      <c r="A31" s="26">
        <v>28</v>
      </c>
      <c r="B31" s="27">
        <v>45958</v>
      </c>
      <c r="C31" s="51" t="s">
        <v>115</v>
      </c>
      <c r="D31" s="52" t="s">
        <v>115</v>
      </c>
      <c r="E31" s="51"/>
      <c r="F31" s="51"/>
      <c r="G31" s="50">
        <f t="shared" si="3"/>
        <v>0</v>
      </c>
      <c r="H31" s="51"/>
      <c r="I31" s="51"/>
      <c r="J31" s="53">
        <f t="shared" si="4"/>
        <v>0</v>
      </c>
      <c r="K31" s="50">
        <f t="shared" si="5"/>
        <v>0</v>
      </c>
      <c r="L31" s="115"/>
      <c r="M31" s="53">
        <f t="shared" si="6"/>
        <v>524799.60000000009</v>
      </c>
      <c r="N31" s="110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 spans="1:34">
      <c r="A32" s="26">
        <v>29</v>
      </c>
      <c r="B32" s="27">
        <v>45959</v>
      </c>
      <c r="C32" s="50"/>
      <c r="D32" s="52" t="s">
        <v>115</v>
      </c>
      <c r="E32" s="51"/>
      <c r="F32" s="51"/>
      <c r="G32" s="50">
        <f t="shared" si="3"/>
        <v>0</v>
      </c>
      <c r="H32" s="51"/>
      <c r="I32" s="51"/>
      <c r="J32" s="53">
        <f t="shared" si="4"/>
        <v>0</v>
      </c>
      <c r="K32" s="50">
        <f t="shared" si="5"/>
        <v>0</v>
      </c>
      <c r="L32" s="115"/>
      <c r="M32" s="53">
        <f t="shared" si="6"/>
        <v>524799.60000000009</v>
      </c>
      <c r="N32" s="110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 spans="1:34">
      <c r="A33" s="26">
        <v>30</v>
      </c>
      <c r="B33" s="27">
        <v>45960</v>
      </c>
      <c r="C33" s="50"/>
      <c r="D33" s="52" t="s">
        <v>115</v>
      </c>
      <c r="E33" s="51"/>
      <c r="F33" s="51"/>
      <c r="G33" s="50">
        <f t="shared" si="3"/>
        <v>0</v>
      </c>
      <c r="H33" s="51"/>
      <c r="I33" s="51"/>
      <c r="J33" s="53">
        <f t="shared" si="4"/>
        <v>0</v>
      </c>
      <c r="K33" s="50">
        <f t="shared" si="5"/>
        <v>0</v>
      </c>
      <c r="L33" s="115">
        <v>200000</v>
      </c>
      <c r="M33" s="53">
        <f t="shared" si="6"/>
        <v>324799.60000000009</v>
      </c>
      <c r="N33" s="110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1:34">
      <c r="A34" s="26">
        <v>31</v>
      </c>
      <c r="B34" s="27">
        <v>45961</v>
      </c>
      <c r="C34" s="50"/>
      <c r="D34" s="52" t="s">
        <v>115</v>
      </c>
      <c r="E34" s="51"/>
      <c r="F34" s="51"/>
      <c r="G34" s="50">
        <f t="shared" si="3"/>
        <v>0</v>
      </c>
      <c r="H34" s="51"/>
      <c r="I34" s="51"/>
      <c r="J34" s="53">
        <f t="shared" si="4"/>
        <v>0</v>
      </c>
      <c r="K34" s="50">
        <f t="shared" si="5"/>
        <v>0</v>
      </c>
      <c r="L34" s="115"/>
      <c r="M34" s="53">
        <f t="shared" si="6"/>
        <v>324799.60000000009</v>
      </c>
      <c r="N34" s="110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 spans="1:34">
      <c r="A35" s="26">
        <v>32</v>
      </c>
      <c r="B35" s="27"/>
      <c r="C35" s="50"/>
      <c r="D35" s="52" t="s">
        <v>115</v>
      </c>
      <c r="E35" s="51"/>
      <c r="F35" s="51"/>
      <c r="G35" s="50">
        <f t="shared" si="3"/>
        <v>0</v>
      </c>
      <c r="H35" s="51">
        <v>0</v>
      </c>
      <c r="I35" s="51">
        <v>0</v>
      </c>
      <c r="J35" s="53">
        <f t="shared" si="4"/>
        <v>0</v>
      </c>
      <c r="K35" s="50">
        <f t="shared" si="5"/>
        <v>0</v>
      </c>
      <c r="L35" s="115"/>
      <c r="M35" s="53">
        <f t="shared" si="6"/>
        <v>324799.60000000009</v>
      </c>
      <c r="N35" s="110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 spans="1:34">
      <c r="A36" s="46"/>
      <c r="B36" s="46"/>
      <c r="C36" s="46"/>
      <c r="D36" s="46"/>
      <c r="E36" s="47">
        <f>SUM(E4:E35)</f>
        <v>8100</v>
      </c>
      <c r="F36" s="47"/>
      <c r="G36" s="47">
        <f>SUM(G4:G35)</f>
        <v>739773</v>
      </c>
      <c r="H36" s="47">
        <f>SUM(H4:H35)</f>
        <v>280</v>
      </c>
      <c r="I36" s="47"/>
      <c r="J36" s="47">
        <f>SUM(J4:J35)</f>
        <v>28915.599999999999</v>
      </c>
      <c r="K36" s="47">
        <f>SUM(K4:K35)</f>
        <v>768688.60000000009</v>
      </c>
      <c r="L36" s="47">
        <f>SUM(L4:L35)</f>
        <v>750000</v>
      </c>
      <c r="M36" s="47"/>
      <c r="N36" s="47"/>
      <c r="O36" s="33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1:34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4" activePane="bottomLeft" state="frozen"/>
      <selection pane="bottomLeft" activeCell="E25" sqref="E25"/>
    </sheetView>
  </sheetViews>
  <sheetFormatPr defaultColWidth="9.28515625" defaultRowHeight="15"/>
  <cols>
    <col min="1" max="1" width="5.42578125" style="57" bestFit="1" customWidth="1"/>
    <col min="2" max="2" width="11" style="57" bestFit="1" customWidth="1"/>
    <col min="3" max="3" width="7.140625" style="57" bestFit="1" customWidth="1"/>
    <col min="4" max="4" width="15.140625" style="57" bestFit="1" customWidth="1"/>
    <col min="5" max="5" width="9.28515625" style="57"/>
    <col min="6" max="6" width="9.85546875" style="57" bestFit="1" customWidth="1"/>
    <col min="7" max="7" width="10.42578125" style="57" bestFit="1" customWidth="1"/>
    <col min="8" max="8" width="9.28515625" style="57"/>
    <col min="9" max="9" width="7.140625" style="57" bestFit="1" customWidth="1"/>
    <col min="10" max="10" width="9.5703125" style="57" bestFit="1" customWidth="1"/>
    <col min="11" max="11" width="12.28515625" style="57" customWidth="1"/>
    <col min="12" max="12" width="11.7109375" style="57" bestFit="1" customWidth="1"/>
    <col min="13" max="13" width="11.7109375" style="57" customWidth="1"/>
    <col min="14" max="14" width="17.7109375" style="57" bestFit="1" customWidth="1"/>
    <col min="15" max="16384" width="9.28515625" style="57"/>
  </cols>
  <sheetData>
    <row r="1" spans="1:15" ht="15.75">
      <c r="A1" s="446" t="s">
        <v>44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</row>
    <row r="2" spans="1:15" ht="25.5">
      <c r="A2" s="93" t="s">
        <v>96</v>
      </c>
      <c r="B2" s="94" t="s">
        <v>97</v>
      </c>
      <c r="C2" s="94" t="s">
        <v>98</v>
      </c>
      <c r="D2" s="94" t="s">
        <v>99</v>
      </c>
      <c r="E2" s="94" t="s">
        <v>100</v>
      </c>
      <c r="F2" s="94" t="s">
        <v>101</v>
      </c>
      <c r="G2" s="94" t="s">
        <v>102</v>
      </c>
      <c r="H2" s="94" t="s">
        <v>103</v>
      </c>
      <c r="I2" s="94" t="s">
        <v>101</v>
      </c>
      <c r="J2" s="119" t="s">
        <v>102</v>
      </c>
      <c r="K2" s="121" t="s">
        <v>104</v>
      </c>
      <c r="L2" s="122" t="s">
        <v>105</v>
      </c>
      <c r="M2" s="123" t="s">
        <v>110</v>
      </c>
      <c r="N2" s="95" t="s">
        <v>107</v>
      </c>
      <c r="O2" s="33"/>
    </row>
    <row r="3" spans="1:15" ht="15.75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 s="58">
        <v>74841.399999999965</v>
      </c>
      <c r="L3" s="130"/>
      <c r="M3" s="127">
        <f>+K3</f>
        <v>74841.399999999965</v>
      </c>
      <c r="N3" s="56"/>
    </row>
    <row r="4" spans="1:15" ht="15.75">
      <c r="A4" s="26">
        <v>1</v>
      </c>
      <c r="B4" s="27">
        <v>45931</v>
      </c>
      <c r="C4" s="125"/>
      <c r="D4" s="126"/>
      <c r="E4" s="85">
        <v>0</v>
      </c>
      <c r="F4" s="124"/>
      <c r="G4" s="124">
        <f>E4*F4</f>
        <v>0</v>
      </c>
      <c r="H4" s="124"/>
      <c r="I4" s="124"/>
      <c r="J4" s="124">
        <f>H4*I4</f>
        <v>0</v>
      </c>
      <c r="K4" s="124">
        <f>G4+J4</f>
        <v>0</v>
      </c>
      <c r="L4" s="124"/>
      <c r="M4" s="130">
        <f>M3+K4-L4</f>
        <v>74841.399999999965</v>
      </c>
      <c r="N4" s="124"/>
    </row>
    <row r="5" spans="1:15" ht="15.75">
      <c r="A5" s="26">
        <v>2</v>
      </c>
      <c r="B5" s="27">
        <v>45932</v>
      </c>
      <c r="C5" s="23"/>
      <c r="D5" s="24"/>
      <c r="E5" s="85">
        <v>0</v>
      </c>
      <c r="F5" s="124"/>
      <c r="G5" s="124">
        <f t="shared" ref="G5:G33" si="0">E5*F5</f>
        <v>0</v>
      </c>
      <c r="H5" s="124"/>
      <c r="I5" s="124"/>
      <c r="J5" s="124">
        <f t="shared" ref="J5:J33" si="1">H5*I5</f>
        <v>0</v>
      </c>
      <c r="K5" s="124">
        <f t="shared" ref="K5:K33" si="2">G5+J5</f>
        <v>0</v>
      </c>
      <c r="L5" s="124"/>
      <c r="M5" s="130">
        <f>M4+K5-L5</f>
        <v>74841.399999999965</v>
      </c>
      <c r="N5" s="48"/>
    </row>
    <row r="6" spans="1:15" ht="18.75" customHeight="1">
      <c r="A6" s="26">
        <v>3</v>
      </c>
      <c r="B6" s="27">
        <v>45933</v>
      </c>
      <c r="C6" s="221"/>
      <c r="D6" s="199"/>
      <c r="E6" s="85">
        <v>0</v>
      </c>
      <c r="F6" s="124"/>
      <c r="G6" s="124">
        <f t="shared" si="0"/>
        <v>0</v>
      </c>
      <c r="H6" s="124"/>
      <c r="I6" s="124"/>
      <c r="J6" s="124">
        <f t="shared" si="1"/>
        <v>0</v>
      </c>
      <c r="K6" s="124">
        <f t="shared" si="2"/>
        <v>0</v>
      </c>
      <c r="L6" s="124"/>
      <c r="M6" s="130">
        <f>M5+K6-L6</f>
        <v>74841.399999999965</v>
      </c>
      <c r="N6" s="56"/>
    </row>
    <row r="7" spans="1:15" ht="15.75">
      <c r="A7" s="26">
        <v>4</v>
      </c>
      <c r="B7" s="27">
        <v>45934</v>
      </c>
      <c r="C7" s="219"/>
      <c r="D7" s="220"/>
      <c r="E7" s="85">
        <v>2200</v>
      </c>
      <c r="F7" s="124">
        <v>92.23</v>
      </c>
      <c r="G7" s="124">
        <f t="shared" ref="G7" si="3">E7*F7</f>
        <v>202906</v>
      </c>
      <c r="H7" s="124">
        <v>70</v>
      </c>
      <c r="I7" s="124">
        <v>104.08</v>
      </c>
      <c r="J7" s="124">
        <f t="shared" ref="J7" si="4">H7*I7</f>
        <v>7285.5999999999995</v>
      </c>
      <c r="K7" s="124">
        <f t="shared" ref="K7" si="5">G7+J7</f>
        <v>210191.6</v>
      </c>
      <c r="L7" s="124"/>
      <c r="M7" s="130">
        <f>M6+K7-L7</f>
        <v>285033</v>
      </c>
      <c r="N7" s="48"/>
    </row>
    <row r="8" spans="1:15" ht="15.75" customHeight="1">
      <c r="A8" s="26">
        <v>5</v>
      </c>
      <c r="B8" s="27">
        <v>45935</v>
      </c>
      <c r="C8" s="124"/>
      <c r="D8" s="124"/>
      <c r="E8" s="85">
        <v>0</v>
      </c>
      <c r="F8" s="124"/>
      <c r="G8" s="124">
        <f t="shared" si="0"/>
        <v>0</v>
      </c>
      <c r="H8" s="124"/>
      <c r="I8" s="124"/>
      <c r="J8" s="124">
        <f t="shared" si="1"/>
        <v>0</v>
      </c>
      <c r="K8" s="124">
        <f t="shared" si="2"/>
        <v>0</v>
      </c>
      <c r="L8" s="124"/>
      <c r="M8" s="130">
        <f t="shared" ref="M8:M34" si="6">M7+K8-L8</f>
        <v>285033</v>
      </c>
      <c r="N8" s="56"/>
    </row>
    <row r="9" spans="1:15" ht="15.75" customHeight="1">
      <c r="A9" s="26">
        <v>6</v>
      </c>
      <c r="B9" s="27">
        <v>45936</v>
      </c>
      <c r="C9" s="56"/>
      <c r="D9" s="124"/>
      <c r="E9" s="85">
        <v>0</v>
      </c>
      <c r="F9" s="124"/>
      <c r="G9" s="124">
        <f t="shared" si="0"/>
        <v>0</v>
      </c>
      <c r="H9" s="124"/>
      <c r="I9" s="124"/>
      <c r="J9" s="124">
        <f t="shared" si="1"/>
        <v>0</v>
      </c>
      <c r="K9" s="124">
        <f t="shared" si="2"/>
        <v>0</v>
      </c>
      <c r="L9" s="124"/>
      <c r="M9" s="130">
        <f t="shared" si="6"/>
        <v>285033</v>
      </c>
      <c r="N9" s="56"/>
    </row>
    <row r="10" spans="1:15" ht="15.75" customHeight="1">
      <c r="A10" s="26">
        <v>7</v>
      </c>
      <c r="B10" s="27">
        <v>45937</v>
      </c>
      <c r="C10" s="56"/>
      <c r="D10" s="124"/>
      <c r="E10" s="85">
        <v>0</v>
      </c>
      <c r="F10" s="124"/>
      <c r="G10" s="124">
        <f t="shared" si="0"/>
        <v>0</v>
      </c>
      <c r="H10" s="124"/>
      <c r="I10" s="124"/>
      <c r="J10" s="124">
        <f t="shared" si="1"/>
        <v>0</v>
      </c>
      <c r="K10" s="124">
        <f t="shared" si="2"/>
        <v>0</v>
      </c>
      <c r="L10" s="124"/>
      <c r="M10" s="130">
        <f t="shared" si="6"/>
        <v>285033</v>
      </c>
      <c r="N10" s="56"/>
    </row>
    <row r="11" spans="1:15" ht="15.75" customHeight="1">
      <c r="A11" s="26">
        <v>8</v>
      </c>
      <c r="B11" s="27">
        <v>45938</v>
      </c>
      <c r="C11" s="56"/>
      <c r="D11" s="124"/>
      <c r="E11" s="85">
        <v>0</v>
      </c>
      <c r="F11" s="124"/>
      <c r="G11" s="124">
        <f t="shared" si="0"/>
        <v>0</v>
      </c>
      <c r="H11" s="124"/>
      <c r="I11" s="124"/>
      <c r="J11" s="124">
        <f t="shared" si="1"/>
        <v>0</v>
      </c>
      <c r="K11" s="124">
        <f t="shared" si="2"/>
        <v>0</v>
      </c>
      <c r="L11" s="124"/>
      <c r="M11" s="130">
        <f t="shared" si="6"/>
        <v>285033</v>
      </c>
      <c r="N11" s="56"/>
    </row>
    <row r="12" spans="1:15" ht="15.75" customHeight="1">
      <c r="A12" s="26">
        <v>9</v>
      </c>
      <c r="B12" s="27">
        <v>45939</v>
      </c>
      <c r="C12" s="56"/>
      <c r="D12" s="124"/>
      <c r="E12" s="85">
        <v>0</v>
      </c>
      <c r="F12" s="124"/>
      <c r="G12" s="124">
        <f t="shared" si="0"/>
        <v>0</v>
      </c>
      <c r="H12" s="124"/>
      <c r="I12" s="124"/>
      <c r="J12" s="124">
        <f t="shared" si="1"/>
        <v>0</v>
      </c>
      <c r="K12" s="124">
        <f t="shared" si="2"/>
        <v>0</v>
      </c>
      <c r="L12" s="124"/>
      <c r="M12" s="130">
        <f t="shared" si="6"/>
        <v>285033</v>
      </c>
      <c r="N12" s="56"/>
    </row>
    <row r="13" spans="1:15" ht="15.75" customHeight="1">
      <c r="A13" s="26">
        <v>10</v>
      </c>
      <c r="B13" s="27">
        <v>45940</v>
      </c>
      <c r="C13" s="56"/>
      <c r="D13" s="124"/>
      <c r="E13" s="85">
        <v>0</v>
      </c>
      <c r="F13" s="124"/>
      <c r="G13" s="124">
        <f t="shared" si="0"/>
        <v>0</v>
      </c>
      <c r="H13" s="124"/>
      <c r="I13" s="124"/>
      <c r="J13" s="124">
        <f t="shared" si="1"/>
        <v>0</v>
      </c>
      <c r="K13" s="124">
        <f t="shared" si="2"/>
        <v>0</v>
      </c>
      <c r="L13" s="124">
        <v>100000</v>
      </c>
      <c r="M13" s="130">
        <f t="shared" si="6"/>
        <v>185033</v>
      </c>
      <c r="N13" s="56"/>
    </row>
    <row r="14" spans="1:15" ht="15.75" customHeight="1">
      <c r="A14" s="26">
        <v>11</v>
      </c>
      <c r="B14" s="27">
        <v>45941</v>
      </c>
      <c r="C14" s="56"/>
      <c r="D14" s="124"/>
      <c r="E14" s="85">
        <v>0</v>
      </c>
      <c r="F14" s="124"/>
      <c r="G14" s="124">
        <f t="shared" si="0"/>
        <v>0</v>
      </c>
      <c r="H14" s="124"/>
      <c r="I14" s="124"/>
      <c r="J14" s="124">
        <f t="shared" si="1"/>
        <v>0</v>
      </c>
      <c r="K14" s="124">
        <f t="shared" si="2"/>
        <v>0</v>
      </c>
      <c r="L14" s="124"/>
      <c r="M14" s="130">
        <f t="shared" si="6"/>
        <v>185033</v>
      </c>
      <c r="N14" s="56"/>
    </row>
    <row r="15" spans="1:15" ht="15.75" customHeight="1">
      <c r="A15" s="26">
        <v>12</v>
      </c>
      <c r="B15" s="27">
        <v>45942</v>
      </c>
      <c r="C15" s="56"/>
      <c r="D15" s="124"/>
      <c r="E15" s="85">
        <v>0</v>
      </c>
      <c r="F15" s="124"/>
      <c r="G15" s="124">
        <f t="shared" si="0"/>
        <v>0</v>
      </c>
      <c r="H15" s="124">
        <v>70</v>
      </c>
      <c r="I15" s="124">
        <v>104.08</v>
      </c>
      <c r="J15" s="124">
        <f t="shared" si="1"/>
        <v>7285.5999999999995</v>
      </c>
      <c r="K15" s="124">
        <f t="shared" si="2"/>
        <v>7285.5999999999995</v>
      </c>
      <c r="L15" s="124"/>
      <c r="M15" s="130">
        <f t="shared" si="6"/>
        <v>192318.6</v>
      </c>
      <c r="N15" s="56"/>
    </row>
    <row r="16" spans="1:15" ht="15.75" customHeight="1">
      <c r="A16" s="26">
        <v>13</v>
      </c>
      <c r="B16" s="27">
        <v>45943</v>
      </c>
      <c r="C16" s="56"/>
      <c r="D16" s="124"/>
      <c r="E16" s="85">
        <v>0</v>
      </c>
      <c r="F16" s="124"/>
      <c r="G16" s="124">
        <f t="shared" si="0"/>
        <v>0</v>
      </c>
      <c r="H16" s="124"/>
      <c r="I16" s="124"/>
      <c r="J16" s="124">
        <f t="shared" si="1"/>
        <v>0</v>
      </c>
      <c r="K16" s="124">
        <f t="shared" si="2"/>
        <v>0</v>
      </c>
      <c r="L16" s="124"/>
      <c r="M16" s="130">
        <f t="shared" si="6"/>
        <v>192318.6</v>
      </c>
      <c r="N16" s="56"/>
    </row>
    <row r="17" spans="1:14" ht="15.75" customHeight="1">
      <c r="A17" s="26">
        <v>14</v>
      </c>
      <c r="B17" s="27">
        <v>45944</v>
      </c>
      <c r="C17" s="56"/>
      <c r="D17" s="124"/>
      <c r="E17" s="85">
        <v>0</v>
      </c>
      <c r="F17" s="124"/>
      <c r="G17" s="124">
        <f t="shared" si="0"/>
        <v>0</v>
      </c>
      <c r="H17" s="124">
        <v>0</v>
      </c>
      <c r="I17" s="124">
        <v>0</v>
      </c>
      <c r="J17" s="124">
        <f t="shared" si="1"/>
        <v>0</v>
      </c>
      <c r="K17" s="124">
        <f t="shared" si="2"/>
        <v>0</v>
      </c>
      <c r="L17" s="124"/>
      <c r="M17" s="130">
        <f t="shared" si="6"/>
        <v>192318.6</v>
      </c>
      <c r="N17" s="56"/>
    </row>
    <row r="18" spans="1:14" ht="15.75" customHeight="1">
      <c r="A18" s="26">
        <v>15</v>
      </c>
      <c r="B18" s="27">
        <v>45945</v>
      </c>
      <c r="C18" s="56"/>
      <c r="D18" s="124"/>
      <c r="E18" s="85">
        <v>0</v>
      </c>
      <c r="F18" s="124"/>
      <c r="G18" s="124">
        <f t="shared" si="0"/>
        <v>0</v>
      </c>
      <c r="H18" s="124">
        <v>0</v>
      </c>
      <c r="I18" s="124">
        <v>0</v>
      </c>
      <c r="J18" s="124">
        <f t="shared" si="1"/>
        <v>0</v>
      </c>
      <c r="K18" s="124">
        <f t="shared" si="2"/>
        <v>0</v>
      </c>
      <c r="L18" s="124">
        <v>192000</v>
      </c>
      <c r="M18" s="130">
        <f t="shared" si="6"/>
        <v>318.60000000000582</v>
      </c>
      <c r="N18" s="56"/>
    </row>
    <row r="19" spans="1:14" ht="15.75" customHeight="1">
      <c r="A19" s="26">
        <v>16</v>
      </c>
      <c r="B19" s="27">
        <v>45946</v>
      </c>
      <c r="C19" s="56"/>
      <c r="D19" s="124"/>
      <c r="E19" s="85">
        <v>0</v>
      </c>
      <c r="F19" s="124">
        <v>0</v>
      </c>
      <c r="G19" s="124">
        <f t="shared" si="0"/>
        <v>0</v>
      </c>
      <c r="H19" s="124">
        <v>0</v>
      </c>
      <c r="I19" s="124">
        <v>0</v>
      </c>
      <c r="J19" s="124">
        <f t="shared" si="1"/>
        <v>0</v>
      </c>
      <c r="K19" s="124">
        <f t="shared" si="2"/>
        <v>0</v>
      </c>
      <c r="L19" s="124"/>
      <c r="M19" s="130">
        <f t="shared" si="6"/>
        <v>318.60000000000582</v>
      </c>
      <c r="N19" s="56"/>
    </row>
    <row r="20" spans="1:14" ht="15.75" customHeight="1">
      <c r="A20" s="26">
        <v>17</v>
      </c>
      <c r="B20" s="27">
        <v>45947</v>
      </c>
      <c r="C20" s="56"/>
      <c r="D20" s="124"/>
      <c r="E20" s="85">
        <v>2200</v>
      </c>
      <c r="F20" s="124">
        <v>92.23</v>
      </c>
      <c r="G20" s="124">
        <f t="shared" si="0"/>
        <v>202906</v>
      </c>
      <c r="H20" s="124">
        <v>70</v>
      </c>
      <c r="I20" s="124">
        <v>104.08</v>
      </c>
      <c r="J20" s="124">
        <f t="shared" si="1"/>
        <v>7285.5999999999995</v>
      </c>
      <c r="K20" s="124">
        <f t="shared" si="2"/>
        <v>210191.6</v>
      </c>
      <c r="L20" s="124"/>
      <c r="M20" s="130">
        <f t="shared" si="6"/>
        <v>210510.2</v>
      </c>
      <c r="N20" s="56"/>
    </row>
    <row r="21" spans="1:14" ht="15.75" customHeight="1">
      <c r="A21" s="26">
        <v>18</v>
      </c>
      <c r="B21" s="27">
        <v>45948</v>
      </c>
      <c r="C21" s="56"/>
      <c r="D21" s="124"/>
      <c r="E21" s="85">
        <v>0</v>
      </c>
      <c r="F21" s="124"/>
      <c r="G21" s="124">
        <f t="shared" si="0"/>
        <v>0</v>
      </c>
      <c r="H21" s="124">
        <v>0</v>
      </c>
      <c r="I21" s="124">
        <v>0</v>
      </c>
      <c r="J21" s="124">
        <f t="shared" si="1"/>
        <v>0</v>
      </c>
      <c r="K21" s="124">
        <f t="shared" si="2"/>
        <v>0</v>
      </c>
      <c r="L21" s="124"/>
      <c r="M21" s="130">
        <f t="shared" si="6"/>
        <v>210510.2</v>
      </c>
      <c r="N21" s="56"/>
    </row>
    <row r="22" spans="1:14" ht="15.75" customHeight="1">
      <c r="A22" s="26">
        <v>19</v>
      </c>
      <c r="B22" s="27">
        <v>45949</v>
      </c>
      <c r="C22" s="56"/>
      <c r="D22" s="124"/>
      <c r="E22" s="85">
        <v>0</v>
      </c>
      <c r="F22" s="124"/>
      <c r="G22" s="124">
        <f t="shared" si="0"/>
        <v>0</v>
      </c>
      <c r="H22" s="124">
        <v>0</v>
      </c>
      <c r="I22" s="124">
        <v>0</v>
      </c>
      <c r="J22" s="124">
        <f t="shared" si="1"/>
        <v>0</v>
      </c>
      <c r="K22" s="124">
        <f t="shared" si="2"/>
        <v>0</v>
      </c>
      <c r="L22" s="124"/>
      <c r="M22" s="130">
        <f t="shared" si="6"/>
        <v>210510.2</v>
      </c>
      <c r="N22" s="56"/>
    </row>
    <row r="23" spans="1:14" ht="15.75" customHeight="1">
      <c r="A23" s="26">
        <v>20</v>
      </c>
      <c r="B23" s="27">
        <v>45950</v>
      </c>
      <c r="C23" s="56"/>
      <c r="D23" s="124"/>
      <c r="E23" s="85">
        <v>0</v>
      </c>
      <c r="F23" s="124"/>
      <c r="G23" s="124">
        <f t="shared" si="0"/>
        <v>0</v>
      </c>
      <c r="H23" s="124">
        <v>0</v>
      </c>
      <c r="I23" s="124">
        <v>0</v>
      </c>
      <c r="J23" s="124">
        <f t="shared" si="1"/>
        <v>0</v>
      </c>
      <c r="K23" s="124">
        <f t="shared" si="2"/>
        <v>0</v>
      </c>
      <c r="L23" s="124"/>
      <c r="M23" s="130">
        <f t="shared" si="6"/>
        <v>210510.2</v>
      </c>
      <c r="N23" s="56"/>
    </row>
    <row r="24" spans="1:14" ht="15.75" customHeight="1">
      <c r="A24" s="26">
        <v>21</v>
      </c>
      <c r="B24" s="27">
        <v>45951</v>
      </c>
      <c r="C24" s="56"/>
      <c r="D24" s="124"/>
      <c r="E24" s="85">
        <v>0</v>
      </c>
      <c r="F24" s="124"/>
      <c r="G24" s="124">
        <f t="shared" si="0"/>
        <v>0</v>
      </c>
      <c r="H24" s="124">
        <v>0</v>
      </c>
      <c r="I24" s="124">
        <v>0</v>
      </c>
      <c r="J24" s="124">
        <f t="shared" si="1"/>
        <v>0</v>
      </c>
      <c r="K24" s="124">
        <f t="shared" si="2"/>
        <v>0</v>
      </c>
      <c r="L24" s="124"/>
      <c r="M24" s="130">
        <f t="shared" si="6"/>
        <v>210510.2</v>
      </c>
      <c r="N24" s="56"/>
    </row>
    <row r="25" spans="1:14" ht="15.75" customHeight="1">
      <c r="A25" s="26">
        <v>22</v>
      </c>
      <c r="B25" s="27">
        <v>45952</v>
      </c>
      <c r="C25" s="56"/>
      <c r="D25" s="124"/>
      <c r="E25" s="85">
        <v>0</v>
      </c>
      <c r="F25" s="124"/>
      <c r="G25" s="124">
        <f t="shared" si="0"/>
        <v>0</v>
      </c>
      <c r="H25" s="124">
        <v>0</v>
      </c>
      <c r="I25" s="124">
        <v>0</v>
      </c>
      <c r="J25" s="124">
        <f t="shared" si="1"/>
        <v>0</v>
      </c>
      <c r="K25" s="124">
        <f t="shared" si="2"/>
        <v>0</v>
      </c>
      <c r="L25" s="124"/>
      <c r="M25" s="130">
        <f t="shared" si="6"/>
        <v>210510.2</v>
      </c>
      <c r="N25" s="56"/>
    </row>
    <row r="26" spans="1:14" ht="15.75" customHeight="1">
      <c r="A26" s="26">
        <v>23</v>
      </c>
      <c r="B26" s="27">
        <v>45953</v>
      </c>
      <c r="C26" s="56"/>
      <c r="D26" s="124"/>
      <c r="E26" s="85">
        <v>0</v>
      </c>
      <c r="F26" s="124"/>
      <c r="G26" s="124">
        <f t="shared" si="0"/>
        <v>0</v>
      </c>
      <c r="H26" s="124">
        <v>0</v>
      </c>
      <c r="I26" s="124">
        <v>0</v>
      </c>
      <c r="J26" s="124">
        <f t="shared" si="1"/>
        <v>0</v>
      </c>
      <c r="K26" s="124">
        <f t="shared" si="2"/>
        <v>0</v>
      </c>
      <c r="L26" s="124"/>
      <c r="M26" s="130">
        <f t="shared" si="6"/>
        <v>210510.2</v>
      </c>
      <c r="N26" s="56"/>
    </row>
    <row r="27" spans="1:14" ht="15.75" customHeight="1">
      <c r="A27" s="26">
        <v>24</v>
      </c>
      <c r="B27" s="27">
        <v>45954</v>
      </c>
      <c r="C27" s="56"/>
      <c r="D27" s="124"/>
      <c r="E27" s="85">
        <v>0</v>
      </c>
      <c r="F27" s="124"/>
      <c r="G27" s="124">
        <f t="shared" si="0"/>
        <v>0</v>
      </c>
      <c r="H27" s="124">
        <v>0</v>
      </c>
      <c r="I27" s="124">
        <v>0</v>
      </c>
      <c r="J27" s="124">
        <f t="shared" si="1"/>
        <v>0</v>
      </c>
      <c r="K27" s="124">
        <f t="shared" si="2"/>
        <v>0</v>
      </c>
      <c r="L27" s="124"/>
      <c r="M27" s="130">
        <f t="shared" si="6"/>
        <v>210510.2</v>
      </c>
      <c r="N27" s="56"/>
    </row>
    <row r="28" spans="1:14" ht="15.75" customHeight="1">
      <c r="A28" s="26">
        <v>25</v>
      </c>
      <c r="B28" s="27">
        <v>45955</v>
      </c>
      <c r="C28" s="56"/>
      <c r="D28" s="124"/>
      <c r="E28" s="85">
        <v>0</v>
      </c>
      <c r="F28" s="124"/>
      <c r="G28" s="124">
        <f t="shared" si="0"/>
        <v>0</v>
      </c>
      <c r="H28" s="124">
        <v>0</v>
      </c>
      <c r="I28" s="124">
        <v>0</v>
      </c>
      <c r="J28" s="124">
        <f t="shared" si="1"/>
        <v>0</v>
      </c>
      <c r="K28" s="124">
        <f t="shared" si="2"/>
        <v>0</v>
      </c>
      <c r="L28" s="124"/>
      <c r="M28" s="130">
        <f t="shared" si="6"/>
        <v>210510.2</v>
      </c>
      <c r="N28" s="56"/>
    </row>
    <row r="29" spans="1:14" ht="15.75" customHeight="1">
      <c r="A29" s="26">
        <v>26</v>
      </c>
      <c r="B29" s="27">
        <v>45956</v>
      </c>
      <c r="C29" s="56"/>
      <c r="D29" s="124"/>
      <c r="E29" s="85">
        <v>0</v>
      </c>
      <c r="F29" s="124"/>
      <c r="G29" s="124">
        <f t="shared" si="0"/>
        <v>0</v>
      </c>
      <c r="H29" s="124">
        <v>0</v>
      </c>
      <c r="I29" s="124">
        <v>0</v>
      </c>
      <c r="J29" s="124">
        <f t="shared" si="1"/>
        <v>0</v>
      </c>
      <c r="K29" s="124">
        <f t="shared" si="2"/>
        <v>0</v>
      </c>
      <c r="L29" s="124"/>
      <c r="M29" s="130">
        <f t="shared" si="6"/>
        <v>210510.2</v>
      </c>
      <c r="N29" s="56"/>
    </row>
    <row r="30" spans="1:14" ht="15.75" customHeight="1">
      <c r="A30" s="26">
        <v>27</v>
      </c>
      <c r="B30" s="27">
        <v>45957</v>
      </c>
      <c r="C30" s="56"/>
      <c r="D30" s="124"/>
      <c r="E30" s="85">
        <v>0</v>
      </c>
      <c r="F30" s="124"/>
      <c r="G30" s="124">
        <f t="shared" si="0"/>
        <v>0</v>
      </c>
      <c r="H30" s="124">
        <v>70</v>
      </c>
      <c r="I30" s="124">
        <v>104.08</v>
      </c>
      <c r="J30" s="124">
        <f t="shared" si="1"/>
        <v>7285.5999999999995</v>
      </c>
      <c r="K30" s="124">
        <f t="shared" si="2"/>
        <v>7285.5999999999995</v>
      </c>
      <c r="L30" s="124"/>
      <c r="M30" s="130">
        <f t="shared" si="6"/>
        <v>217795.80000000002</v>
      </c>
      <c r="N30" s="56"/>
    </row>
    <row r="31" spans="1:14" ht="15.75" customHeight="1">
      <c r="A31" s="26">
        <v>28</v>
      </c>
      <c r="B31" s="27">
        <v>45958</v>
      </c>
      <c r="C31" s="56"/>
      <c r="D31" s="124"/>
      <c r="E31" s="85">
        <v>0</v>
      </c>
      <c r="F31" s="124"/>
      <c r="G31" s="124">
        <f t="shared" si="0"/>
        <v>0</v>
      </c>
      <c r="H31" s="124">
        <v>0</v>
      </c>
      <c r="I31" s="124">
        <v>0</v>
      </c>
      <c r="J31" s="124">
        <f t="shared" si="1"/>
        <v>0</v>
      </c>
      <c r="K31" s="124">
        <f t="shared" si="2"/>
        <v>0</v>
      </c>
      <c r="L31" s="124"/>
      <c r="M31" s="130">
        <f t="shared" si="6"/>
        <v>217795.80000000002</v>
      </c>
      <c r="N31" s="56"/>
    </row>
    <row r="32" spans="1:14" ht="15.75" customHeight="1">
      <c r="A32" s="26">
        <v>29</v>
      </c>
      <c r="B32" s="27">
        <v>45959</v>
      </c>
      <c r="C32" s="56"/>
      <c r="D32" s="124"/>
      <c r="E32" s="85">
        <v>0</v>
      </c>
      <c r="F32" s="124"/>
      <c r="G32" s="124">
        <f t="shared" si="0"/>
        <v>0</v>
      </c>
      <c r="H32" s="124">
        <v>0</v>
      </c>
      <c r="I32" s="124">
        <v>0</v>
      </c>
      <c r="J32" s="124">
        <f t="shared" si="1"/>
        <v>0</v>
      </c>
      <c r="K32" s="124">
        <f t="shared" si="2"/>
        <v>0</v>
      </c>
      <c r="L32" s="124"/>
      <c r="M32" s="130">
        <f t="shared" si="6"/>
        <v>217795.80000000002</v>
      </c>
      <c r="N32" s="56"/>
    </row>
    <row r="33" spans="1:15" ht="15.75" customHeight="1">
      <c r="A33" s="26">
        <v>30</v>
      </c>
      <c r="B33" s="27">
        <v>45960</v>
      </c>
      <c r="C33" s="56"/>
      <c r="D33" s="124"/>
      <c r="E33" s="85">
        <v>0</v>
      </c>
      <c r="F33" s="124"/>
      <c r="G33" s="124">
        <f t="shared" si="0"/>
        <v>0</v>
      </c>
      <c r="H33" s="124">
        <v>0</v>
      </c>
      <c r="I33" s="124">
        <v>0</v>
      </c>
      <c r="J33" s="124">
        <f t="shared" si="1"/>
        <v>0</v>
      </c>
      <c r="K33" s="124">
        <f t="shared" si="2"/>
        <v>0</v>
      </c>
      <c r="L33" s="124">
        <v>117797</v>
      </c>
      <c r="M33" s="130">
        <f t="shared" si="6"/>
        <v>99998.800000000017</v>
      </c>
      <c r="N33" s="56"/>
    </row>
    <row r="34" spans="1:15" ht="15.75" customHeight="1">
      <c r="A34" s="26">
        <v>31</v>
      </c>
      <c r="B34" s="27">
        <v>45961</v>
      </c>
      <c r="C34" s="56"/>
      <c r="D34" s="124"/>
      <c r="E34" s="85">
        <v>2400</v>
      </c>
      <c r="F34" s="124">
        <v>92.23</v>
      </c>
      <c r="G34" s="124">
        <f t="shared" ref="G34" si="7">E34*F34</f>
        <v>221352</v>
      </c>
      <c r="H34" s="124">
        <v>0</v>
      </c>
      <c r="I34" s="124">
        <v>0</v>
      </c>
      <c r="J34" s="124">
        <f t="shared" ref="J34" si="8">H34*I34</f>
        <v>0</v>
      </c>
      <c r="K34" s="124">
        <f t="shared" ref="K34" si="9">G34+J34</f>
        <v>221352</v>
      </c>
      <c r="L34" s="124"/>
      <c r="M34" s="130">
        <f t="shared" si="6"/>
        <v>321350.80000000005</v>
      </c>
      <c r="N34" s="56"/>
    </row>
    <row r="35" spans="1:15">
      <c r="A35" s="46"/>
      <c r="B35" s="46"/>
      <c r="C35" s="46"/>
      <c r="D35" s="46"/>
      <c r="E35" s="47">
        <f>SUM(E4:E34)</f>
        <v>6800</v>
      </c>
      <c r="F35" s="47"/>
      <c r="G35" s="47">
        <f>SUM(G4:G34)</f>
        <v>627164</v>
      </c>
      <c r="H35" s="47">
        <f>SUM(H4:H34)</f>
        <v>280</v>
      </c>
      <c r="I35" s="47"/>
      <c r="J35" s="47">
        <f>SUM(J4:J34)</f>
        <v>29142.399999999998</v>
      </c>
      <c r="K35" s="47">
        <f>SUM(K4:K34)</f>
        <v>656306.4</v>
      </c>
      <c r="L35" s="47">
        <f>SUM(L4:L34)</f>
        <v>409797</v>
      </c>
      <c r="M35" s="47"/>
      <c r="N35" s="47"/>
      <c r="O35" s="33"/>
    </row>
    <row r="37" spans="1:15">
      <c r="D37" s="49"/>
      <c r="E37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topLeftCell="A11" workbookViewId="0">
      <selection activeCell="Q28" sqref="Q28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36" t="s">
        <v>46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25.5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14">
      <c r="A3" s="447" t="s">
        <v>108</v>
      </c>
      <c r="B3" s="447"/>
      <c r="C3" s="447"/>
      <c r="D3" s="447"/>
      <c r="E3" s="447"/>
      <c r="F3" s="447"/>
      <c r="G3" s="447"/>
      <c r="H3" s="447"/>
      <c r="I3" s="447"/>
      <c r="J3" s="447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45931</v>
      </c>
      <c r="C4" s="17"/>
      <c r="D4" s="17"/>
      <c r="E4" s="92">
        <v>0</v>
      </c>
      <c r="F4" s="92">
        <v>0</v>
      </c>
      <c r="G4" s="17">
        <f>E4*F4</f>
        <v>0</v>
      </c>
      <c r="H4" s="92">
        <v>0</v>
      </c>
      <c r="I4" s="92">
        <v>0</v>
      </c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45932</v>
      </c>
      <c r="C5" s="17"/>
      <c r="D5" s="17"/>
      <c r="E5" s="92">
        <v>0</v>
      </c>
      <c r="F5" s="92">
        <v>0</v>
      </c>
      <c r="G5" s="17">
        <f t="shared" ref="G5:G33" si="0">E5*F5</f>
        <v>0</v>
      </c>
      <c r="H5" s="92">
        <v>0</v>
      </c>
      <c r="I5" s="92">
        <v>0</v>
      </c>
      <c r="J5" s="17">
        <f t="shared" ref="J5:J33" si="1">H5*I5</f>
        <v>0</v>
      </c>
      <c r="K5" s="17">
        <f t="shared" ref="K5:K33" si="2">G5+J5</f>
        <v>0</v>
      </c>
      <c r="L5" s="17">
        <f t="shared" ref="L5:L33" si="3">K5</f>
        <v>0</v>
      </c>
      <c r="M5" s="17">
        <f t="shared" ref="M5:M33" si="4">M4+K5-L5</f>
        <v>0</v>
      </c>
      <c r="N5" s="48"/>
    </row>
    <row r="6" spans="1:14">
      <c r="A6" s="26">
        <v>3</v>
      </c>
      <c r="B6" s="27">
        <v>45933</v>
      </c>
      <c r="C6" s="17"/>
      <c r="D6" s="17"/>
      <c r="E6" s="92">
        <v>430</v>
      </c>
      <c r="F6" s="92">
        <v>92.22</v>
      </c>
      <c r="G6" s="17">
        <f t="shared" si="0"/>
        <v>39654.6</v>
      </c>
      <c r="H6" s="92">
        <v>0</v>
      </c>
      <c r="I6" s="92">
        <v>0</v>
      </c>
      <c r="J6" s="17">
        <f t="shared" si="1"/>
        <v>0</v>
      </c>
      <c r="K6" s="17">
        <f t="shared" si="2"/>
        <v>39654.6</v>
      </c>
      <c r="L6" s="17">
        <f t="shared" si="3"/>
        <v>39654.6</v>
      </c>
      <c r="M6" s="17">
        <f t="shared" si="4"/>
        <v>0</v>
      </c>
      <c r="N6" s="48"/>
    </row>
    <row r="7" spans="1:14">
      <c r="A7" s="26">
        <v>4</v>
      </c>
      <c r="B7" s="27">
        <v>45934</v>
      </c>
      <c r="C7" s="17"/>
      <c r="D7" s="17"/>
      <c r="E7" s="92">
        <v>0</v>
      </c>
      <c r="F7" s="92">
        <v>0</v>
      </c>
      <c r="G7" s="17">
        <f t="shared" si="0"/>
        <v>0</v>
      </c>
      <c r="H7" s="92">
        <v>0</v>
      </c>
      <c r="I7" s="92">
        <v>0</v>
      </c>
      <c r="J7" s="17">
        <f t="shared" si="1"/>
        <v>0</v>
      </c>
      <c r="K7" s="17">
        <f t="shared" si="2"/>
        <v>0</v>
      </c>
      <c r="L7" s="17">
        <f t="shared" si="3"/>
        <v>0</v>
      </c>
      <c r="M7" s="17">
        <f t="shared" si="4"/>
        <v>0</v>
      </c>
      <c r="N7" s="48"/>
    </row>
    <row r="8" spans="1:14">
      <c r="A8" s="26">
        <v>5</v>
      </c>
      <c r="B8" s="27">
        <v>45935</v>
      </c>
      <c r="C8" s="17"/>
      <c r="D8" s="17"/>
      <c r="E8" s="92">
        <v>0</v>
      </c>
      <c r="F8" s="92">
        <v>0</v>
      </c>
      <c r="G8" s="17">
        <f t="shared" si="0"/>
        <v>0</v>
      </c>
      <c r="H8" s="92">
        <v>0</v>
      </c>
      <c r="I8" s="92">
        <v>0</v>
      </c>
      <c r="J8" s="17">
        <f t="shared" si="1"/>
        <v>0</v>
      </c>
      <c r="K8" s="17">
        <f t="shared" si="2"/>
        <v>0</v>
      </c>
      <c r="L8" s="17">
        <f t="shared" si="3"/>
        <v>0</v>
      </c>
      <c r="M8" s="17">
        <f t="shared" si="4"/>
        <v>0</v>
      </c>
      <c r="N8" s="48"/>
    </row>
    <row r="9" spans="1:14">
      <c r="A9" s="26">
        <v>6</v>
      </c>
      <c r="B9" s="27">
        <v>45936</v>
      </c>
      <c r="C9" s="17"/>
      <c r="D9" s="17"/>
      <c r="E9" s="92">
        <v>185</v>
      </c>
      <c r="F9" s="92">
        <v>92.19</v>
      </c>
      <c r="G9" s="17">
        <f t="shared" si="0"/>
        <v>17055.149999999998</v>
      </c>
      <c r="H9" s="92">
        <v>25</v>
      </c>
      <c r="I9" s="92">
        <v>104.03</v>
      </c>
      <c r="J9" s="17">
        <f t="shared" si="1"/>
        <v>2600.75</v>
      </c>
      <c r="K9" s="17">
        <f t="shared" si="2"/>
        <v>19655.899999999998</v>
      </c>
      <c r="L9" s="17">
        <f t="shared" si="3"/>
        <v>19655.899999999998</v>
      </c>
      <c r="M9" s="17">
        <f t="shared" si="4"/>
        <v>0</v>
      </c>
      <c r="N9" s="48"/>
    </row>
    <row r="10" spans="1:14">
      <c r="A10" s="26">
        <v>7</v>
      </c>
      <c r="B10" s="27">
        <v>45937</v>
      </c>
      <c r="C10" s="17"/>
      <c r="D10" s="17"/>
      <c r="E10" s="92">
        <v>0</v>
      </c>
      <c r="F10" s="92">
        <v>0</v>
      </c>
      <c r="G10" s="17">
        <f t="shared" si="0"/>
        <v>0</v>
      </c>
      <c r="H10" s="92">
        <v>0</v>
      </c>
      <c r="I10" s="92">
        <v>0</v>
      </c>
      <c r="J10" s="17">
        <f t="shared" si="1"/>
        <v>0</v>
      </c>
      <c r="K10" s="17">
        <f t="shared" si="2"/>
        <v>0</v>
      </c>
      <c r="L10" s="17">
        <f t="shared" si="3"/>
        <v>0</v>
      </c>
      <c r="M10" s="17">
        <f t="shared" si="4"/>
        <v>0</v>
      </c>
      <c r="N10" s="48"/>
    </row>
    <row r="11" spans="1:14">
      <c r="A11" s="26">
        <v>8</v>
      </c>
      <c r="B11" s="27">
        <v>45938</v>
      </c>
      <c r="C11" s="17"/>
      <c r="D11" s="17"/>
      <c r="E11" s="92">
        <v>400</v>
      </c>
      <c r="F11" s="92">
        <v>92.22</v>
      </c>
      <c r="G11" s="17">
        <f t="shared" si="0"/>
        <v>36888</v>
      </c>
      <c r="H11" s="92">
        <v>25</v>
      </c>
      <c r="I11" s="92">
        <v>104.03</v>
      </c>
      <c r="J11" s="17">
        <f t="shared" si="1"/>
        <v>2600.75</v>
      </c>
      <c r="K11" s="17">
        <f t="shared" si="2"/>
        <v>39488.75</v>
      </c>
      <c r="L11" s="17">
        <f t="shared" si="3"/>
        <v>39488.75</v>
      </c>
      <c r="M11" s="17">
        <f t="shared" si="4"/>
        <v>0</v>
      </c>
      <c r="N11" s="48"/>
    </row>
    <row r="12" spans="1:14">
      <c r="A12" s="26">
        <v>9</v>
      </c>
      <c r="B12" s="27">
        <v>45939</v>
      </c>
      <c r="C12" s="17"/>
      <c r="D12" s="17"/>
      <c r="E12" s="92">
        <v>0</v>
      </c>
      <c r="F12" s="92">
        <v>0</v>
      </c>
      <c r="G12" s="17">
        <f t="shared" si="0"/>
        <v>0</v>
      </c>
      <c r="H12" s="92">
        <v>0</v>
      </c>
      <c r="I12" s="92">
        <v>0</v>
      </c>
      <c r="J12" s="17">
        <f t="shared" si="1"/>
        <v>0</v>
      </c>
      <c r="K12" s="17">
        <f t="shared" si="2"/>
        <v>0</v>
      </c>
      <c r="L12" s="17">
        <f t="shared" si="3"/>
        <v>0</v>
      </c>
      <c r="M12" s="17">
        <f t="shared" si="4"/>
        <v>0</v>
      </c>
      <c r="N12" s="48"/>
    </row>
    <row r="13" spans="1:14">
      <c r="A13" s="26">
        <v>10</v>
      </c>
      <c r="B13" s="27">
        <v>45940</v>
      </c>
      <c r="C13" s="17"/>
      <c r="D13" s="17"/>
      <c r="E13" s="92">
        <v>0</v>
      </c>
      <c r="F13" s="92">
        <v>0</v>
      </c>
      <c r="G13" s="17">
        <f t="shared" si="0"/>
        <v>0</v>
      </c>
      <c r="H13" s="92">
        <v>0</v>
      </c>
      <c r="I13" s="92">
        <v>0</v>
      </c>
      <c r="J13" s="17">
        <f t="shared" si="1"/>
        <v>0</v>
      </c>
      <c r="K13" s="17">
        <f t="shared" si="2"/>
        <v>0</v>
      </c>
      <c r="L13" s="17">
        <f t="shared" si="3"/>
        <v>0</v>
      </c>
      <c r="M13" s="17">
        <f t="shared" si="4"/>
        <v>0</v>
      </c>
      <c r="N13" s="48"/>
    </row>
    <row r="14" spans="1:14">
      <c r="A14" s="26">
        <v>11</v>
      </c>
      <c r="B14" s="27">
        <v>45941</v>
      </c>
      <c r="C14" s="17"/>
      <c r="D14" s="17" t="s">
        <v>142</v>
      </c>
      <c r="E14" s="379">
        <v>400</v>
      </c>
      <c r="F14" s="92">
        <v>92.19</v>
      </c>
      <c r="G14" s="17">
        <f t="shared" si="0"/>
        <v>36876</v>
      </c>
      <c r="H14" s="92">
        <v>0</v>
      </c>
      <c r="I14" s="92">
        <v>0</v>
      </c>
      <c r="J14" s="17">
        <f t="shared" si="1"/>
        <v>0</v>
      </c>
      <c r="K14" s="17">
        <f t="shared" si="2"/>
        <v>36876</v>
      </c>
      <c r="L14" s="17">
        <v>0</v>
      </c>
      <c r="M14" s="17">
        <f t="shared" si="4"/>
        <v>36876</v>
      </c>
      <c r="N14" s="48"/>
    </row>
    <row r="15" spans="1:14">
      <c r="A15" s="26">
        <v>12</v>
      </c>
      <c r="B15" s="27">
        <v>45942</v>
      </c>
      <c r="C15" s="17"/>
      <c r="D15" s="17"/>
      <c r="E15" s="92">
        <v>0</v>
      </c>
      <c r="F15" s="92">
        <v>0</v>
      </c>
      <c r="G15" s="17">
        <f t="shared" si="0"/>
        <v>0</v>
      </c>
      <c r="H15" s="92">
        <v>0</v>
      </c>
      <c r="I15" s="92">
        <v>0</v>
      </c>
      <c r="J15" s="17">
        <f t="shared" si="1"/>
        <v>0</v>
      </c>
      <c r="K15" s="17">
        <f t="shared" si="2"/>
        <v>0</v>
      </c>
      <c r="L15" s="17">
        <f t="shared" si="3"/>
        <v>0</v>
      </c>
      <c r="M15" s="17">
        <f t="shared" si="4"/>
        <v>36876</v>
      </c>
      <c r="N15" s="48"/>
    </row>
    <row r="16" spans="1:14">
      <c r="A16" s="26">
        <v>13</v>
      </c>
      <c r="B16" s="27">
        <v>45943</v>
      </c>
      <c r="C16" s="17"/>
      <c r="D16" s="17"/>
      <c r="E16" s="92">
        <v>0</v>
      </c>
      <c r="F16" s="92">
        <v>0</v>
      </c>
      <c r="G16" s="17">
        <f t="shared" si="0"/>
        <v>0</v>
      </c>
      <c r="H16" s="92">
        <v>0</v>
      </c>
      <c r="I16" s="92">
        <v>0</v>
      </c>
      <c r="J16" s="17">
        <f t="shared" si="1"/>
        <v>0</v>
      </c>
      <c r="K16" s="17">
        <f t="shared" si="2"/>
        <v>0</v>
      </c>
      <c r="L16" s="17">
        <f t="shared" si="3"/>
        <v>0</v>
      </c>
      <c r="M16" s="17">
        <f t="shared" si="4"/>
        <v>36876</v>
      </c>
      <c r="N16" s="48"/>
    </row>
    <row r="17" spans="1:14">
      <c r="A17" s="26">
        <v>14</v>
      </c>
      <c r="B17" s="27">
        <v>45944</v>
      </c>
      <c r="C17" s="17"/>
      <c r="D17" s="17"/>
      <c r="E17" s="92">
        <v>500</v>
      </c>
      <c r="F17" s="92">
        <v>92.19</v>
      </c>
      <c r="G17" s="17">
        <f t="shared" si="0"/>
        <v>46095</v>
      </c>
      <c r="H17" s="384">
        <v>30</v>
      </c>
      <c r="I17" s="92">
        <v>104.03</v>
      </c>
      <c r="J17" s="17">
        <f t="shared" si="1"/>
        <v>3120.9</v>
      </c>
      <c r="K17" s="17">
        <f t="shared" si="2"/>
        <v>49215.9</v>
      </c>
      <c r="L17" s="17">
        <v>0</v>
      </c>
      <c r="M17" s="17">
        <f t="shared" si="4"/>
        <v>86091.9</v>
      </c>
      <c r="N17" s="48"/>
    </row>
    <row r="18" spans="1:14">
      <c r="A18" s="26">
        <v>15</v>
      </c>
      <c r="B18" s="27">
        <v>45945</v>
      </c>
      <c r="C18" s="17"/>
      <c r="D18" s="17"/>
      <c r="E18" s="92">
        <v>0</v>
      </c>
      <c r="F18" s="92">
        <v>0</v>
      </c>
      <c r="G18" s="17">
        <f t="shared" si="0"/>
        <v>0</v>
      </c>
      <c r="H18" s="92">
        <v>0</v>
      </c>
      <c r="I18" s="92">
        <v>0</v>
      </c>
      <c r="J18" s="17">
        <f t="shared" si="1"/>
        <v>0</v>
      </c>
      <c r="K18" s="17">
        <f t="shared" si="2"/>
        <v>0</v>
      </c>
      <c r="L18" s="17">
        <v>86091.9</v>
      </c>
      <c r="M18" s="17">
        <f t="shared" si="4"/>
        <v>0</v>
      </c>
      <c r="N18" s="48"/>
    </row>
    <row r="19" spans="1:14">
      <c r="A19" s="26">
        <v>16</v>
      </c>
      <c r="B19" s="27">
        <v>45946</v>
      </c>
      <c r="C19" s="17"/>
      <c r="D19" s="17"/>
      <c r="E19" s="92">
        <v>0</v>
      </c>
      <c r="F19" s="92">
        <v>0</v>
      </c>
      <c r="G19" s="17">
        <f t="shared" si="0"/>
        <v>0</v>
      </c>
      <c r="H19" s="92">
        <v>0</v>
      </c>
      <c r="I19" s="92">
        <v>0</v>
      </c>
      <c r="J19" s="17">
        <f t="shared" si="1"/>
        <v>0</v>
      </c>
      <c r="K19" s="17">
        <f t="shared" si="2"/>
        <v>0</v>
      </c>
      <c r="L19" s="17">
        <f t="shared" si="3"/>
        <v>0</v>
      </c>
      <c r="M19" s="17">
        <f t="shared" si="4"/>
        <v>0</v>
      </c>
      <c r="N19" s="48"/>
    </row>
    <row r="20" spans="1:14">
      <c r="A20" s="26">
        <v>17</v>
      </c>
      <c r="B20" s="27">
        <v>45947</v>
      </c>
      <c r="C20" s="17"/>
      <c r="D20" s="17"/>
      <c r="E20" s="92">
        <v>270</v>
      </c>
      <c r="F20" s="92">
        <v>92.19</v>
      </c>
      <c r="G20" s="17">
        <f t="shared" si="0"/>
        <v>24891.3</v>
      </c>
      <c r="H20" s="92">
        <v>0</v>
      </c>
      <c r="I20" s="92">
        <v>0</v>
      </c>
      <c r="J20" s="17">
        <f t="shared" si="1"/>
        <v>0</v>
      </c>
      <c r="K20" s="17">
        <f t="shared" si="2"/>
        <v>24891.3</v>
      </c>
      <c r="L20" s="17">
        <v>0</v>
      </c>
      <c r="M20" s="17">
        <f t="shared" si="4"/>
        <v>24891.3</v>
      </c>
      <c r="N20" s="48"/>
    </row>
    <row r="21" spans="1:14">
      <c r="A21" s="26">
        <v>18</v>
      </c>
      <c r="B21" s="27">
        <v>45948</v>
      </c>
      <c r="C21" s="17"/>
      <c r="D21" s="17"/>
      <c r="E21" s="92">
        <v>0</v>
      </c>
      <c r="F21" s="92">
        <v>0</v>
      </c>
      <c r="G21" s="17">
        <f t="shared" si="0"/>
        <v>0</v>
      </c>
      <c r="H21" s="92">
        <v>0</v>
      </c>
      <c r="I21" s="92">
        <v>0</v>
      </c>
      <c r="J21" s="17">
        <f t="shared" si="1"/>
        <v>0</v>
      </c>
      <c r="K21" s="17">
        <f t="shared" si="2"/>
        <v>0</v>
      </c>
      <c r="L21" s="17">
        <f t="shared" si="3"/>
        <v>0</v>
      </c>
      <c r="M21" s="17">
        <f t="shared" si="4"/>
        <v>24891.3</v>
      </c>
      <c r="N21" s="48"/>
    </row>
    <row r="22" spans="1:14">
      <c r="A22" s="26">
        <v>19</v>
      </c>
      <c r="B22" s="27">
        <v>45949</v>
      </c>
      <c r="C22" s="17"/>
      <c r="D22" s="17"/>
      <c r="E22" s="92">
        <v>0</v>
      </c>
      <c r="F22" s="92">
        <v>0</v>
      </c>
      <c r="G22" s="17">
        <f t="shared" si="0"/>
        <v>0</v>
      </c>
      <c r="H22" s="92">
        <v>0</v>
      </c>
      <c r="I22" s="92">
        <v>0</v>
      </c>
      <c r="J22" s="17">
        <f t="shared" si="1"/>
        <v>0</v>
      </c>
      <c r="K22" s="17">
        <f t="shared" si="2"/>
        <v>0</v>
      </c>
      <c r="L22" s="17">
        <f t="shared" si="3"/>
        <v>0</v>
      </c>
      <c r="M22" s="17">
        <f t="shared" si="4"/>
        <v>24891.3</v>
      </c>
      <c r="N22" s="48"/>
    </row>
    <row r="23" spans="1:14">
      <c r="A23" s="26">
        <v>20</v>
      </c>
      <c r="B23" s="27">
        <v>45950</v>
      </c>
      <c r="C23" s="17"/>
      <c r="D23" s="17"/>
      <c r="E23" s="92">
        <v>0</v>
      </c>
      <c r="F23" s="92">
        <v>0</v>
      </c>
      <c r="G23" s="17">
        <f t="shared" si="0"/>
        <v>0</v>
      </c>
      <c r="H23" s="92">
        <v>0</v>
      </c>
      <c r="I23" s="92">
        <v>0</v>
      </c>
      <c r="J23" s="17">
        <f t="shared" si="1"/>
        <v>0</v>
      </c>
      <c r="K23" s="17">
        <f t="shared" si="2"/>
        <v>0</v>
      </c>
      <c r="L23" s="17">
        <f t="shared" si="3"/>
        <v>0</v>
      </c>
      <c r="M23" s="17">
        <f t="shared" si="4"/>
        <v>24891.3</v>
      </c>
      <c r="N23" s="48"/>
    </row>
    <row r="24" spans="1:14">
      <c r="A24" s="26">
        <v>21</v>
      </c>
      <c r="B24" s="27">
        <v>45951</v>
      </c>
      <c r="C24" s="17"/>
      <c r="D24" s="17"/>
      <c r="E24" s="92">
        <v>0</v>
      </c>
      <c r="F24" s="92">
        <v>0</v>
      </c>
      <c r="G24" s="17">
        <f t="shared" si="0"/>
        <v>0</v>
      </c>
      <c r="H24" s="92">
        <v>0</v>
      </c>
      <c r="I24" s="92">
        <v>0</v>
      </c>
      <c r="J24" s="17">
        <f t="shared" si="1"/>
        <v>0</v>
      </c>
      <c r="K24" s="17">
        <f t="shared" si="2"/>
        <v>0</v>
      </c>
      <c r="L24" s="17">
        <f t="shared" si="3"/>
        <v>0</v>
      </c>
      <c r="M24" s="17">
        <f t="shared" si="4"/>
        <v>24891.3</v>
      </c>
      <c r="N24" s="48"/>
    </row>
    <row r="25" spans="1:14">
      <c r="A25" s="26">
        <v>22</v>
      </c>
      <c r="B25" s="27">
        <v>45952</v>
      </c>
      <c r="C25" s="17"/>
      <c r="D25" s="17"/>
      <c r="E25" s="92">
        <v>0</v>
      </c>
      <c r="F25" s="92">
        <v>0</v>
      </c>
      <c r="G25" s="17">
        <f t="shared" si="0"/>
        <v>0</v>
      </c>
      <c r="H25" s="92">
        <v>0</v>
      </c>
      <c r="I25" s="92">
        <v>0</v>
      </c>
      <c r="J25" s="17">
        <f t="shared" si="1"/>
        <v>0</v>
      </c>
      <c r="K25" s="17">
        <f t="shared" si="2"/>
        <v>0</v>
      </c>
      <c r="L25" s="17">
        <f t="shared" si="3"/>
        <v>0</v>
      </c>
      <c r="M25" s="17">
        <f t="shared" si="4"/>
        <v>24891.3</v>
      </c>
      <c r="N25" s="48"/>
    </row>
    <row r="26" spans="1:14">
      <c r="A26" s="26">
        <v>23</v>
      </c>
      <c r="B26" s="27">
        <v>45953</v>
      </c>
      <c r="C26" s="17"/>
      <c r="D26" s="17"/>
      <c r="E26" s="92">
        <v>400</v>
      </c>
      <c r="F26" s="92">
        <v>92.19</v>
      </c>
      <c r="G26" s="17">
        <f t="shared" si="0"/>
        <v>36876</v>
      </c>
      <c r="H26" s="92">
        <v>35</v>
      </c>
      <c r="I26" s="92">
        <v>104.03</v>
      </c>
      <c r="J26" s="17">
        <f t="shared" si="1"/>
        <v>3641.05</v>
      </c>
      <c r="K26" s="17">
        <f t="shared" si="2"/>
        <v>40517.050000000003</v>
      </c>
      <c r="L26" s="17">
        <v>0</v>
      </c>
      <c r="M26" s="17">
        <f t="shared" si="4"/>
        <v>65408.350000000006</v>
      </c>
      <c r="N26" s="48"/>
    </row>
    <row r="27" spans="1:14">
      <c r="A27" s="26">
        <v>24</v>
      </c>
      <c r="B27" s="27">
        <v>45954</v>
      </c>
      <c r="C27" s="17"/>
      <c r="D27" s="17"/>
      <c r="E27" s="92">
        <v>0</v>
      </c>
      <c r="F27" s="92">
        <v>0</v>
      </c>
      <c r="G27" s="17">
        <f t="shared" si="0"/>
        <v>0</v>
      </c>
      <c r="H27" s="92">
        <v>0</v>
      </c>
      <c r="I27" s="92">
        <v>0</v>
      </c>
      <c r="J27" s="17">
        <f t="shared" si="1"/>
        <v>0</v>
      </c>
      <c r="K27" s="17">
        <f t="shared" si="2"/>
        <v>0</v>
      </c>
      <c r="L27" s="17">
        <f t="shared" si="3"/>
        <v>0</v>
      </c>
      <c r="M27" s="17">
        <f t="shared" si="4"/>
        <v>65408.350000000006</v>
      </c>
      <c r="N27" s="48"/>
    </row>
    <row r="28" spans="1:14">
      <c r="A28" s="26">
        <v>25</v>
      </c>
      <c r="B28" s="27">
        <v>45955</v>
      </c>
      <c r="C28" s="17"/>
      <c r="D28" s="17"/>
      <c r="E28" s="92">
        <v>0</v>
      </c>
      <c r="F28" s="92">
        <v>0</v>
      </c>
      <c r="G28" s="17">
        <f t="shared" si="0"/>
        <v>0</v>
      </c>
      <c r="H28" s="92">
        <v>0</v>
      </c>
      <c r="I28" s="92">
        <v>0</v>
      </c>
      <c r="J28" s="17">
        <f t="shared" si="1"/>
        <v>0</v>
      </c>
      <c r="K28" s="17">
        <f t="shared" si="2"/>
        <v>0</v>
      </c>
      <c r="L28" s="17">
        <f t="shared" si="3"/>
        <v>0</v>
      </c>
      <c r="M28" s="17">
        <f t="shared" si="4"/>
        <v>65408.350000000006</v>
      </c>
      <c r="N28" s="48"/>
    </row>
    <row r="29" spans="1:14">
      <c r="A29" s="26">
        <v>26</v>
      </c>
      <c r="B29" s="27">
        <v>45956</v>
      </c>
      <c r="C29" s="17"/>
      <c r="D29" s="17"/>
      <c r="E29" s="92">
        <v>0</v>
      </c>
      <c r="F29" s="92">
        <v>0</v>
      </c>
      <c r="G29" s="17">
        <f t="shared" si="0"/>
        <v>0</v>
      </c>
      <c r="H29" s="92">
        <v>0</v>
      </c>
      <c r="I29" s="92">
        <v>0</v>
      </c>
      <c r="J29" s="17">
        <f t="shared" si="1"/>
        <v>0</v>
      </c>
      <c r="K29" s="17">
        <f t="shared" si="2"/>
        <v>0</v>
      </c>
      <c r="L29" s="17">
        <f t="shared" si="3"/>
        <v>0</v>
      </c>
      <c r="M29" s="17">
        <f t="shared" si="4"/>
        <v>65408.350000000006</v>
      </c>
      <c r="N29" s="48"/>
    </row>
    <row r="30" spans="1:14">
      <c r="A30" s="26">
        <v>27</v>
      </c>
      <c r="B30" s="27">
        <v>45957</v>
      </c>
      <c r="C30" s="17"/>
      <c r="D30" s="17"/>
      <c r="E30" s="92">
        <v>470</v>
      </c>
      <c r="F30" s="92">
        <v>92.19</v>
      </c>
      <c r="G30" s="17">
        <f t="shared" si="0"/>
        <v>43329.299999999996</v>
      </c>
      <c r="H30" s="92">
        <v>30</v>
      </c>
      <c r="I30" s="92">
        <v>104.03</v>
      </c>
      <c r="J30" s="17">
        <f t="shared" si="1"/>
        <v>3120.9</v>
      </c>
      <c r="K30" s="17">
        <f t="shared" si="2"/>
        <v>46450.2</v>
      </c>
      <c r="L30" s="17">
        <v>0</v>
      </c>
      <c r="M30" s="17">
        <f t="shared" si="4"/>
        <v>111858.55</v>
      </c>
      <c r="N30" s="48"/>
    </row>
    <row r="31" spans="1:14">
      <c r="A31" s="26">
        <v>28</v>
      </c>
      <c r="B31" s="27">
        <v>45958</v>
      </c>
      <c r="C31" s="17"/>
      <c r="D31" s="17"/>
      <c r="E31" s="92">
        <v>0</v>
      </c>
      <c r="F31" s="92">
        <v>0</v>
      </c>
      <c r="G31" s="17">
        <f t="shared" si="0"/>
        <v>0</v>
      </c>
      <c r="H31" s="92">
        <v>0</v>
      </c>
      <c r="I31" s="92">
        <v>0</v>
      </c>
      <c r="J31" s="17">
        <f t="shared" si="1"/>
        <v>0</v>
      </c>
      <c r="K31" s="17">
        <f t="shared" si="2"/>
        <v>0</v>
      </c>
      <c r="L31" s="17">
        <f t="shared" si="3"/>
        <v>0</v>
      </c>
      <c r="M31" s="17">
        <f t="shared" si="4"/>
        <v>111858.55</v>
      </c>
      <c r="N31" s="48"/>
    </row>
    <row r="32" spans="1:14">
      <c r="A32" s="26">
        <v>29</v>
      </c>
      <c r="B32" s="27">
        <v>45959</v>
      </c>
      <c r="C32" s="17"/>
      <c r="D32" s="17"/>
      <c r="E32" s="92">
        <v>0</v>
      </c>
      <c r="F32" s="92">
        <v>0</v>
      </c>
      <c r="G32" s="17">
        <f t="shared" si="0"/>
        <v>0</v>
      </c>
      <c r="H32" s="92">
        <v>0</v>
      </c>
      <c r="I32" s="92">
        <v>0</v>
      </c>
      <c r="J32" s="17">
        <f t="shared" si="1"/>
        <v>0</v>
      </c>
      <c r="K32" s="17">
        <f t="shared" si="2"/>
        <v>0</v>
      </c>
      <c r="L32" s="17">
        <f t="shared" si="3"/>
        <v>0</v>
      </c>
      <c r="M32" s="17">
        <f t="shared" si="4"/>
        <v>111858.55</v>
      </c>
      <c r="N32" s="48"/>
    </row>
    <row r="33" spans="1:14">
      <c r="A33" s="26">
        <v>30</v>
      </c>
      <c r="B33" s="27">
        <v>45960</v>
      </c>
      <c r="C33" s="17"/>
      <c r="D33" s="17"/>
      <c r="E33" s="92">
        <v>0</v>
      </c>
      <c r="F33" s="92">
        <v>0</v>
      </c>
      <c r="G33" s="17">
        <f t="shared" si="0"/>
        <v>0</v>
      </c>
      <c r="H33" s="92">
        <v>0</v>
      </c>
      <c r="I33" s="92">
        <v>0</v>
      </c>
      <c r="J33" s="17">
        <f t="shared" si="1"/>
        <v>0</v>
      </c>
      <c r="K33" s="17">
        <f t="shared" si="2"/>
        <v>0</v>
      </c>
      <c r="L33" s="17">
        <v>111858.6</v>
      </c>
      <c r="M33" s="17">
        <f t="shared" si="4"/>
        <v>-5.0000000002910383E-2</v>
      </c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3055</v>
      </c>
      <c r="F35" s="46"/>
      <c r="G35" s="46">
        <f>SUM(G4:G34)</f>
        <v>281665.34999999998</v>
      </c>
      <c r="H35" s="46">
        <f>SUM(H4:H34)</f>
        <v>145</v>
      </c>
      <c r="I35" s="46"/>
      <c r="J35" s="46">
        <f>SUM(J4:J34)</f>
        <v>15084.35</v>
      </c>
      <c r="K35" s="46">
        <f>SUM(K4:K34)</f>
        <v>296749.7</v>
      </c>
      <c r="L35" s="46">
        <f>SUM(L4:L34)</f>
        <v>296749.75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workbookViewId="0">
      <selection activeCell="A18" sqref="A18:XFD18"/>
    </sheetView>
  </sheetViews>
  <sheetFormatPr defaultRowHeight="15"/>
  <cols>
    <col min="7" max="7" width="9.28515625" bestFit="1" customWidth="1"/>
  </cols>
  <sheetData>
    <row r="1" spans="1:14" ht="15.75">
      <c r="A1" s="436" t="s">
        <v>143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25.5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14">
      <c r="A3" s="447" t="s">
        <v>108</v>
      </c>
      <c r="B3" s="447"/>
      <c r="C3" s="447"/>
      <c r="D3" s="447"/>
      <c r="E3" s="447"/>
      <c r="F3" s="447"/>
      <c r="G3" s="447"/>
      <c r="H3" s="447"/>
      <c r="I3" s="447"/>
      <c r="J3" s="447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45931</v>
      </c>
      <c r="C4" s="17"/>
      <c r="D4" s="17"/>
      <c r="E4" s="92"/>
      <c r="F4" s="92"/>
      <c r="G4" s="17"/>
      <c r="H4" s="92"/>
      <c r="I4" s="92"/>
      <c r="J4" s="17"/>
      <c r="K4" s="17"/>
      <c r="L4" s="17"/>
      <c r="M4" s="17">
        <f>M3+K4-L4</f>
        <v>0</v>
      </c>
      <c r="N4" s="48"/>
    </row>
    <row r="5" spans="1:14">
      <c r="A5" s="26">
        <v>2</v>
      </c>
      <c r="B5" s="27">
        <v>45932</v>
      </c>
      <c r="C5" s="17"/>
      <c r="D5" s="17"/>
      <c r="E5" s="92"/>
      <c r="F5" s="92"/>
      <c r="G5" s="17"/>
      <c r="H5" s="92"/>
      <c r="I5" s="92"/>
      <c r="J5" s="17"/>
      <c r="K5" s="17"/>
      <c r="L5" s="17"/>
      <c r="M5" s="17">
        <f t="shared" ref="M5:M27" si="0">M4+K5-L5</f>
        <v>0</v>
      </c>
      <c r="N5" s="48"/>
    </row>
    <row r="6" spans="1:14">
      <c r="A6" s="26">
        <v>3</v>
      </c>
      <c r="B6" s="27">
        <v>45933</v>
      </c>
      <c r="C6" s="17"/>
      <c r="D6" s="17"/>
      <c r="E6" s="92"/>
      <c r="F6" s="92"/>
      <c r="G6" s="17"/>
      <c r="H6" s="92"/>
      <c r="I6" s="92"/>
      <c r="J6" s="17"/>
      <c r="K6" s="17"/>
      <c r="L6" s="17"/>
      <c r="M6" s="17">
        <f t="shared" si="0"/>
        <v>0</v>
      </c>
      <c r="N6" s="48"/>
    </row>
    <row r="7" spans="1:14">
      <c r="A7" s="26">
        <v>4</v>
      </c>
      <c r="B7" s="27">
        <v>45934</v>
      </c>
      <c r="C7" s="17"/>
      <c r="D7" s="17"/>
      <c r="E7" s="92"/>
      <c r="F7" s="92"/>
      <c r="G7" s="17"/>
      <c r="H7" s="92"/>
      <c r="I7" s="92"/>
      <c r="J7" s="17"/>
      <c r="K7" s="17"/>
      <c r="L7" s="17"/>
      <c r="M7" s="17">
        <f t="shared" si="0"/>
        <v>0</v>
      </c>
      <c r="N7" s="48"/>
    </row>
    <row r="8" spans="1:14">
      <c r="A8" s="26">
        <v>5</v>
      </c>
      <c r="B8" s="27">
        <v>45935</v>
      </c>
      <c r="C8" s="17"/>
      <c r="D8" s="17"/>
      <c r="E8" s="92"/>
      <c r="F8" s="92"/>
      <c r="G8" s="17"/>
      <c r="H8" s="92"/>
      <c r="I8" s="92"/>
      <c r="J8" s="17"/>
      <c r="K8" s="17"/>
      <c r="L8" s="17"/>
      <c r="M8" s="17">
        <f t="shared" si="0"/>
        <v>0</v>
      </c>
      <c r="N8" s="48"/>
    </row>
    <row r="9" spans="1:14">
      <c r="A9" s="26">
        <v>6</v>
      </c>
      <c r="B9" s="27">
        <v>45936</v>
      </c>
      <c r="C9" s="17"/>
      <c r="D9" s="17"/>
      <c r="E9" s="92"/>
      <c r="F9" s="92"/>
      <c r="G9" s="17"/>
      <c r="H9" s="92"/>
      <c r="I9" s="92"/>
      <c r="J9" s="17"/>
      <c r="K9" s="17"/>
      <c r="L9" s="17"/>
      <c r="M9" s="17">
        <f t="shared" si="0"/>
        <v>0</v>
      </c>
      <c r="N9" s="48"/>
    </row>
    <row r="10" spans="1:14">
      <c r="A10" s="26">
        <v>7</v>
      </c>
      <c r="B10" s="27">
        <v>45937</v>
      </c>
      <c r="C10" s="17"/>
      <c r="D10" s="17"/>
      <c r="E10" s="92"/>
      <c r="F10" s="92"/>
      <c r="G10" s="17"/>
      <c r="H10" s="92"/>
      <c r="I10" s="92"/>
      <c r="J10" s="17"/>
      <c r="K10" s="17"/>
      <c r="L10" s="17"/>
      <c r="M10" s="17">
        <f t="shared" si="0"/>
        <v>0</v>
      </c>
      <c r="N10" s="48"/>
    </row>
    <row r="11" spans="1:14">
      <c r="A11" s="26">
        <v>8</v>
      </c>
      <c r="B11" s="27">
        <v>45938</v>
      </c>
      <c r="C11" s="17"/>
      <c r="D11" s="17"/>
      <c r="E11" s="92"/>
      <c r="F11" s="92"/>
      <c r="G11" s="17"/>
      <c r="H11" s="92"/>
      <c r="I11" s="92"/>
      <c r="J11" s="17"/>
      <c r="K11" s="17"/>
      <c r="L11" s="17"/>
      <c r="M11" s="17">
        <f t="shared" si="0"/>
        <v>0</v>
      </c>
      <c r="N11" s="48"/>
    </row>
    <row r="12" spans="1:14">
      <c r="A12" s="26">
        <v>9</v>
      </c>
      <c r="B12" s="27">
        <v>45939</v>
      </c>
      <c r="C12" s="17"/>
      <c r="D12" s="17"/>
      <c r="E12" s="92"/>
      <c r="F12" s="92"/>
      <c r="G12" s="17"/>
      <c r="H12" s="92"/>
      <c r="I12" s="92"/>
      <c r="J12" s="17"/>
      <c r="K12" s="17"/>
      <c r="L12" s="17"/>
      <c r="M12" s="17">
        <f t="shared" si="0"/>
        <v>0</v>
      </c>
      <c r="N12" s="48"/>
    </row>
    <row r="13" spans="1:14">
      <c r="A13" s="26">
        <v>10</v>
      </c>
      <c r="B13" s="27">
        <v>45940</v>
      </c>
      <c r="C13" s="17"/>
      <c r="D13" s="17"/>
      <c r="E13" s="92"/>
      <c r="F13" s="92"/>
      <c r="G13" s="17"/>
      <c r="H13" s="92"/>
      <c r="I13" s="92"/>
      <c r="J13" s="17"/>
      <c r="K13" s="17"/>
      <c r="L13" s="17"/>
      <c r="M13" s="17">
        <f t="shared" si="0"/>
        <v>0</v>
      </c>
      <c r="N13" s="48"/>
    </row>
    <row r="14" spans="1:14">
      <c r="A14" s="26">
        <v>11</v>
      </c>
      <c r="B14" s="27">
        <v>45941</v>
      </c>
      <c r="C14" s="17"/>
      <c r="D14" s="17" t="s">
        <v>142</v>
      </c>
      <c r="E14" s="379">
        <v>400</v>
      </c>
      <c r="F14" s="92">
        <v>92.19</v>
      </c>
      <c r="G14" s="17">
        <f t="shared" ref="G14:G33" si="1">E14*F14</f>
        <v>36876</v>
      </c>
      <c r="H14" s="92">
        <v>0</v>
      </c>
      <c r="I14" s="92">
        <v>0</v>
      </c>
      <c r="J14" s="17">
        <f t="shared" ref="J14:J33" si="2">H14*I14</f>
        <v>0</v>
      </c>
      <c r="K14" s="17">
        <f t="shared" ref="K14:K33" si="3">G14+J14</f>
        <v>36876</v>
      </c>
      <c r="L14" s="17">
        <v>0</v>
      </c>
      <c r="M14" s="17">
        <f t="shared" si="0"/>
        <v>36876</v>
      </c>
      <c r="N14" s="48"/>
    </row>
    <row r="15" spans="1:14">
      <c r="A15" s="26">
        <v>12</v>
      </c>
      <c r="B15" s="27">
        <v>45942</v>
      </c>
      <c r="C15" s="17"/>
      <c r="D15" s="17"/>
      <c r="E15" s="92">
        <v>0</v>
      </c>
      <c r="F15" s="92">
        <v>0</v>
      </c>
      <c r="G15" s="17">
        <f t="shared" si="1"/>
        <v>0</v>
      </c>
      <c r="H15" s="92">
        <v>0</v>
      </c>
      <c r="I15" s="92">
        <v>0</v>
      </c>
      <c r="J15" s="17">
        <f t="shared" si="2"/>
        <v>0</v>
      </c>
      <c r="K15" s="17">
        <f t="shared" si="3"/>
        <v>0</v>
      </c>
      <c r="L15" s="17">
        <f t="shared" ref="L15:L33" si="4">K15</f>
        <v>0</v>
      </c>
      <c r="M15" s="17">
        <f t="shared" si="0"/>
        <v>36876</v>
      </c>
      <c r="N15" s="48"/>
    </row>
    <row r="16" spans="1:14">
      <c r="A16" s="26">
        <v>13</v>
      </c>
      <c r="B16" s="27">
        <v>45943</v>
      </c>
      <c r="C16" s="17"/>
      <c r="D16" s="17"/>
      <c r="E16" s="92">
        <v>0</v>
      </c>
      <c r="F16" s="92">
        <v>0</v>
      </c>
      <c r="G16" s="17">
        <f t="shared" si="1"/>
        <v>0</v>
      </c>
      <c r="H16" s="92">
        <v>0</v>
      </c>
      <c r="I16" s="92">
        <v>0</v>
      </c>
      <c r="J16" s="17">
        <f t="shared" si="2"/>
        <v>0</v>
      </c>
      <c r="K16" s="17">
        <f t="shared" si="3"/>
        <v>0</v>
      </c>
      <c r="L16" s="17">
        <f t="shared" si="4"/>
        <v>0</v>
      </c>
      <c r="M16" s="17">
        <f t="shared" si="0"/>
        <v>36876</v>
      </c>
      <c r="N16" s="48"/>
    </row>
    <row r="17" spans="1:14">
      <c r="A17" s="26">
        <v>14</v>
      </c>
      <c r="B17" s="27">
        <v>45944</v>
      </c>
      <c r="C17" s="17"/>
      <c r="D17" s="17"/>
      <c r="E17" s="92">
        <v>500</v>
      </c>
      <c r="F17" s="92">
        <v>92.19</v>
      </c>
      <c r="G17" s="17">
        <f t="shared" si="1"/>
        <v>46095</v>
      </c>
      <c r="H17" s="384">
        <v>30</v>
      </c>
      <c r="I17" s="92">
        <v>104.03</v>
      </c>
      <c r="J17" s="17">
        <f t="shared" si="2"/>
        <v>3120.9</v>
      </c>
      <c r="K17" s="17">
        <f t="shared" si="3"/>
        <v>49215.9</v>
      </c>
      <c r="L17" s="17">
        <v>0</v>
      </c>
      <c r="M17" s="17">
        <f t="shared" si="0"/>
        <v>86091.9</v>
      </c>
      <c r="N17" s="48"/>
    </row>
    <row r="18" spans="1:14">
      <c r="A18" s="26">
        <v>15</v>
      </c>
      <c r="B18" s="27">
        <v>45945</v>
      </c>
      <c r="C18" s="17"/>
      <c r="D18" s="17"/>
      <c r="E18" s="92">
        <v>0</v>
      </c>
      <c r="F18" s="92">
        <v>0</v>
      </c>
      <c r="G18" s="17">
        <f t="shared" si="1"/>
        <v>0</v>
      </c>
      <c r="H18" s="92">
        <v>0</v>
      </c>
      <c r="I18" s="92">
        <v>0</v>
      </c>
      <c r="J18" s="17">
        <f t="shared" si="2"/>
        <v>0</v>
      </c>
      <c r="K18" s="17">
        <f t="shared" si="3"/>
        <v>0</v>
      </c>
      <c r="L18" s="17">
        <v>86091.9</v>
      </c>
      <c r="M18" s="17">
        <f t="shared" si="0"/>
        <v>0</v>
      </c>
      <c r="N18" s="48"/>
    </row>
    <row r="19" spans="1:14">
      <c r="A19" s="26">
        <v>16</v>
      </c>
      <c r="B19" s="27">
        <v>45946</v>
      </c>
      <c r="C19" s="17"/>
      <c r="D19" s="17"/>
      <c r="E19" s="92">
        <v>0</v>
      </c>
      <c r="F19" s="92">
        <v>0</v>
      </c>
      <c r="G19" s="17">
        <f t="shared" si="1"/>
        <v>0</v>
      </c>
      <c r="H19" s="92">
        <v>0</v>
      </c>
      <c r="I19" s="92">
        <v>0</v>
      </c>
      <c r="J19" s="17">
        <f t="shared" si="2"/>
        <v>0</v>
      </c>
      <c r="K19" s="17">
        <f t="shared" si="3"/>
        <v>0</v>
      </c>
      <c r="L19" s="17">
        <f t="shared" si="4"/>
        <v>0</v>
      </c>
      <c r="M19" s="17">
        <f t="shared" si="0"/>
        <v>0</v>
      </c>
      <c r="N19" s="48"/>
    </row>
    <row r="20" spans="1:14">
      <c r="A20" s="26">
        <v>17</v>
      </c>
      <c r="B20" s="27">
        <v>45947</v>
      </c>
      <c r="C20" s="17"/>
      <c r="D20" s="17"/>
      <c r="E20" s="92">
        <v>0</v>
      </c>
      <c r="F20" s="92">
        <v>0</v>
      </c>
      <c r="G20" s="17">
        <f t="shared" si="1"/>
        <v>0</v>
      </c>
      <c r="H20" s="92">
        <v>0</v>
      </c>
      <c r="I20" s="92">
        <v>0</v>
      </c>
      <c r="J20" s="17">
        <f t="shared" si="2"/>
        <v>0</v>
      </c>
      <c r="K20" s="17">
        <f t="shared" si="3"/>
        <v>0</v>
      </c>
      <c r="L20" s="17">
        <f t="shared" si="4"/>
        <v>0</v>
      </c>
      <c r="M20" s="17">
        <f t="shared" si="0"/>
        <v>0</v>
      </c>
      <c r="N20" s="48"/>
    </row>
    <row r="21" spans="1:14">
      <c r="A21" s="26">
        <v>18</v>
      </c>
      <c r="B21" s="27">
        <v>45948</v>
      </c>
      <c r="C21" s="17"/>
      <c r="D21" s="17"/>
      <c r="E21" s="92">
        <v>0</v>
      </c>
      <c r="F21" s="92">
        <v>0</v>
      </c>
      <c r="G21" s="17">
        <f t="shared" si="1"/>
        <v>0</v>
      </c>
      <c r="H21" s="92">
        <v>0</v>
      </c>
      <c r="I21" s="92">
        <v>0</v>
      </c>
      <c r="J21" s="17">
        <f t="shared" si="2"/>
        <v>0</v>
      </c>
      <c r="K21" s="17">
        <f t="shared" si="3"/>
        <v>0</v>
      </c>
      <c r="L21" s="17">
        <f t="shared" si="4"/>
        <v>0</v>
      </c>
      <c r="M21" s="17">
        <f t="shared" si="0"/>
        <v>0</v>
      </c>
      <c r="N21" s="48"/>
    </row>
    <row r="22" spans="1:14">
      <c r="A22" s="26">
        <v>19</v>
      </c>
      <c r="B22" s="27">
        <v>45949</v>
      </c>
      <c r="C22" s="17"/>
      <c r="D22" s="17"/>
      <c r="E22" s="92">
        <v>0</v>
      </c>
      <c r="F22" s="92">
        <v>0</v>
      </c>
      <c r="G22" s="17">
        <f t="shared" si="1"/>
        <v>0</v>
      </c>
      <c r="H22" s="92">
        <v>0</v>
      </c>
      <c r="I22" s="92">
        <v>0</v>
      </c>
      <c r="J22" s="17">
        <f t="shared" si="2"/>
        <v>0</v>
      </c>
      <c r="K22" s="17">
        <f t="shared" si="3"/>
        <v>0</v>
      </c>
      <c r="L22" s="17">
        <f t="shared" si="4"/>
        <v>0</v>
      </c>
      <c r="M22" s="17">
        <f t="shared" si="0"/>
        <v>0</v>
      </c>
      <c r="N22" s="48"/>
    </row>
    <row r="23" spans="1:14">
      <c r="A23" s="26">
        <v>20</v>
      </c>
      <c r="B23" s="27">
        <v>45950</v>
      </c>
      <c r="C23" s="17"/>
      <c r="D23" s="17"/>
      <c r="E23" s="92">
        <v>0</v>
      </c>
      <c r="F23" s="92">
        <v>0</v>
      </c>
      <c r="G23" s="17">
        <f t="shared" si="1"/>
        <v>0</v>
      </c>
      <c r="H23" s="92">
        <v>0</v>
      </c>
      <c r="I23" s="92">
        <v>0</v>
      </c>
      <c r="J23" s="17">
        <f t="shared" si="2"/>
        <v>0</v>
      </c>
      <c r="K23" s="17">
        <f t="shared" si="3"/>
        <v>0</v>
      </c>
      <c r="L23" s="17">
        <f t="shared" si="4"/>
        <v>0</v>
      </c>
      <c r="M23" s="17">
        <f t="shared" si="0"/>
        <v>0</v>
      </c>
      <c r="N23" s="48"/>
    </row>
    <row r="24" spans="1:14">
      <c r="A24" s="26">
        <v>21</v>
      </c>
      <c r="B24" s="27">
        <v>45951</v>
      </c>
      <c r="C24" s="17"/>
      <c r="D24" s="17"/>
      <c r="E24" s="92">
        <v>0</v>
      </c>
      <c r="F24" s="92">
        <v>0</v>
      </c>
      <c r="G24" s="17">
        <f t="shared" si="1"/>
        <v>0</v>
      </c>
      <c r="H24" s="92">
        <v>0</v>
      </c>
      <c r="I24" s="92">
        <v>0</v>
      </c>
      <c r="J24" s="17">
        <f t="shared" si="2"/>
        <v>0</v>
      </c>
      <c r="K24" s="17">
        <f t="shared" si="3"/>
        <v>0</v>
      </c>
      <c r="L24" s="17">
        <f t="shared" si="4"/>
        <v>0</v>
      </c>
      <c r="M24" s="17">
        <f t="shared" si="0"/>
        <v>0</v>
      </c>
      <c r="N24" s="48"/>
    </row>
    <row r="25" spans="1:14">
      <c r="A25" s="26">
        <v>22</v>
      </c>
      <c r="B25" s="27">
        <v>45952</v>
      </c>
      <c r="C25" s="17"/>
      <c r="D25" s="17"/>
      <c r="E25" s="92">
        <v>0</v>
      </c>
      <c r="F25" s="92">
        <v>0</v>
      </c>
      <c r="G25" s="17">
        <f t="shared" si="1"/>
        <v>0</v>
      </c>
      <c r="H25" s="92">
        <v>0</v>
      </c>
      <c r="I25" s="92">
        <v>0</v>
      </c>
      <c r="J25" s="17">
        <f t="shared" si="2"/>
        <v>0</v>
      </c>
      <c r="K25" s="17">
        <f t="shared" si="3"/>
        <v>0</v>
      </c>
      <c r="L25" s="17">
        <f t="shared" si="4"/>
        <v>0</v>
      </c>
      <c r="M25" s="17">
        <f t="shared" si="0"/>
        <v>0</v>
      </c>
      <c r="N25" s="48"/>
    </row>
    <row r="26" spans="1:14">
      <c r="A26" s="26">
        <v>23</v>
      </c>
      <c r="B26" s="27">
        <v>45953</v>
      </c>
      <c r="C26" s="17"/>
      <c r="D26" s="17"/>
      <c r="E26" s="92">
        <v>0</v>
      </c>
      <c r="F26" s="92">
        <v>0</v>
      </c>
      <c r="G26" s="17">
        <f t="shared" si="1"/>
        <v>0</v>
      </c>
      <c r="H26" s="92">
        <v>0</v>
      </c>
      <c r="I26" s="92">
        <v>0</v>
      </c>
      <c r="J26" s="17">
        <f t="shared" si="2"/>
        <v>0</v>
      </c>
      <c r="K26" s="17">
        <f t="shared" si="3"/>
        <v>0</v>
      </c>
      <c r="L26" s="17">
        <f t="shared" si="4"/>
        <v>0</v>
      </c>
      <c r="M26" s="17">
        <f t="shared" si="0"/>
        <v>0</v>
      </c>
      <c r="N26" s="48"/>
    </row>
    <row r="27" spans="1:14">
      <c r="A27" s="26">
        <v>24</v>
      </c>
      <c r="B27" s="27">
        <v>45954</v>
      </c>
      <c r="C27" s="17"/>
      <c r="D27" s="17"/>
      <c r="E27" s="92">
        <v>0</v>
      </c>
      <c r="F27" s="92">
        <v>0</v>
      </c>
      <c r="G27" s="17">
        <f t="shared" si="1"/>
        <v>0</v>
      </c>
      <c r="H27" s="92">
        <v>0</v>
      </c>
      <c r="I27" s="92">
        <v>0</v>
      </c>
      <c r="J27" s="17">
        <f t="shared" si="2"/>
        <v>0</v>
      </c>
      <c r="K27" s="17">
        <f t="shared" si="3"/>
        <v>0</v>
      </c>
      <c r="L27" s="17">
        <f t="shared" si="4"/>
        <v>0</v>
      </c>
      <c r="M27" s="17">
        <f t="shared" si="0"/>
        <v>0</v>
      </c>
      <c r="N27" s="48"/>
    </row>
    <row r="28" spans="1:14">
      <c r="A28" s="26">
        <v>25</v>
      </c>
      <c r="B28" s="27">
        <v>45955</v>
      </c>
      <c r="C28" s="17"/>
      <c r="D28" s="17"/>
      <c r="E28" s="92">
        <v>0</v>
      </c>
      <c r="F28" s="92">
        <v>0</v>
      </c>
      <c r="G28" s="17">
        <f t="shared" si="1"/>
        <v>0</v>
      </c>
      <c r="H28" s="92">
        <v>0</v>
      </c>
      <c r="I28" s="92">
        <v>0</v>
      </c>
      <c r="J28" s="17">
        <f t="shared" si="2"/>
        <v>0</v>
      </c>
      <c r="K28" s="17">
        <f t="shared" si="3"/>
        <v>0</v>
      </c>
      <c r="L28" s="17">
        <f t="shared" si="4"/>
        <v>0</v>
      </c>
      <c r="M28" s="17">
        <v>0</v>
      </c>
      <c r="N28" s="48"/>
    </row>
    <row r="29" spans="1:14">
      <c r="A29" s="26">
        <v>26</v>
      </c>
      <c r="B29" s="27">
        <v>45956</v>
      </c>
      <c r="C29" s="17"/>
      <c r="D29" s="17"/>
      <c r="E29" s="92">
        <v>0</v>
      </c>
      <c r="F29" s="92">
        <v>0</v>
      </c>
      <c r="G29" s="17">
        <f t="shared" si="1"/>
        <v>0</v>
      </c>
      <c r="H29" s="92">
        <v>0</v>
      </c>
      <c r="I29" s="92">
        <v>0</v>
      </c>
      <c r="J29" s="17">
        <f t="shared" si="2"/>
        <v>0</v>
      </c>
      <c r="K29" s="17">
        <f t="shared" si="3"/>
        <v>0</v>
      </c>
      <c r="L29" s="17">
        <f t="shared" si="4"/>
        <v>0</v>
      </c>
      <c r="M29" s="17">
        <v>0</v>
      </c>
      <c r="N29" s="48"/>
    </row>
    <row r="30" spans="1:14">
      <c r="A30" s="26">
        <v>27</v>
      </c>
      <c r="B30" s="27">
        <v>45957</v>
      </c>
      <c r="C30" s="17"/>
      <c r="D30" s="17"/>
      <c r="E30" s="92">
        <v>0</v>
      </c>
      <c r="F30" s="92">
        <v>0</v>
      </c>
      <c r="G30" s="17">
        <f t="shared" si="1"/>
        <v>0</v>
      </c>
      <c r="H30" s="92">
        <v>0</v>
      </c>
      <c r="I30" s="92">
        <v>0</v>
      </c>
      <c r="J30" s="17">
        <f t="shared" si="2"/>
        <v>0</v>
      </c>
      <c r="K30" s="17">
        <f t="shared" si="3"/>
        <v>0</v>
      </c>
      <c r="L30" s="17">
        <f t="shared" si="4"/>
        <v>0</v>
      </c>
      <c r="M30" s="17">
        <v>0</v>
      </c>
      <c r="N30" s="48"/>
    </row>
    <row r="31" spans="1:14">
      <c r="A31" s="26">
        <v>28</v>
      </c>
      <c r="B31" s="27">
        <v>45958</v>
      </c>
      <c r="C31" s="17"/>
      <c r="D31" s="17"/>
      <c r="E31" s="92">
        <v>0</v>
      </c>
      <c r="F31" s="92">
        <v>0</v>
      </c>
      <c r="G31" s="17">
        <f t="shared" si="1"/>
        <v>0</v>
      </c>
      <c r="H31" s="92">
        <v>0</v>
      </c>
      <c r="I31" s="92">
        <v>0</v>
      </c>
      <c r="J31" s="17">
        <f t="shared" si="2"/>
        <v>0</v>
      </c>
      <c r="K31" s="17">
        <f t="shared" si="3"/>
        <v>0</v>
      </c>
      <c r="L31" s="17">
        <f t="shared" si="4"/>
        <v>0</v>
      </c>
      <c r="M31" s="17">
        <v>0</v>
      </c>
      <c r="N31" s="48"/>
    </row>
    <row r="32" spans="1:14">
      <c r="A32" s="26">
        <v>29</v>
      </c>
      <c r="B32" s="27">
        <v>45959</v>
      </c>
      <c r="C32" s="17"/>
      <c r="D32" s="17"/>
      <c r="E32" s="92">
        <v>0</v>
      </c>
      <c r="F32" s="92">
        <v>0</v>
      </c>
      <c r="G32" s="17">
        <f t="shared" si="1"/>
        <v>0</v>
      </c>
      <c r="H32" s="92">
        <v>0</v>
      </c>
      <c r="I32" s="92">
        <v>0</v>
      </c>
      <c r="J32" s="17">
        <f t="shared" si="2"/>
        <v>0</v>
      </c>
      <c r="K32" s="17">
        <f t="shared" si="3"/>
        <v>0</v>
      </c>
      <c r="L32" s="17">
        <f t="shared" si="4"/>
        <v>0</v>
      </c>
      <c r="M32" s="17"/>
      <c r="N32" s="48"/>
    </row>
    <row r="33" spans="1:14">
      <c r="A33" s="26">
        <v>30</v>
      </c>
      <c r="B33" s="27">
        <v>45960</v>
      </c>
      <c r="C33" s="17"/>
      <c r="D33" s="17"/>
      <c r="E33" s="92">
        <v>0</v>
      </c>
      <c r="F33" s="92">
        <v>0</v>
      </c>
      <c r="G33" s="17">
        <f t="shared" si="1"/>
        <v>0</v>
      </c>
      <c r="H33" s="92">
        <v>0</v>
      </c>
      <c r="I33" s="92">
        <v>0</v>
      </c>
      <c r="J33" s="17">
        <f t="shared" si="2"/>
        <v>0</v>
      </c>
      <c r="K33" s="17">
        <f t="shared" si="3"/>
        <v>0</v>
      </c>
      <c r="L33" s="17">
        <f t="shared" si="4"/>
        <v>0</v>
      </c>
      <c r="M33" s="17"/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900</v>
      </c>
      <c r="F35" s="46"/>
      <c r="G35" s="46">
        <f>SUM(G4:G34)</f>
        <v>82971</v>
      </c>
      <c r="H35" s="46">
        <f>SUM(H4:H34)</f>
        <v>30</v>
      </c>
      <c r="I35" s="46"/>
      <c r="J35" s="46">
        <f>SUM(J4:J34)</f>
        <v>3120.9</v>
      </c>
      <c r="K35" s="46">
        <f>SUM(K4:K34)</f>
        <v>86091.9</v>
      </c>
      <c r="L35" s="46">
        <f>SUM(L4:L34)</f>
        <v>86091.9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25" activePane="bottomLeft" state="frozen"/>
      <selection pane="bottomLeft" activeCell="L42" sqref="L42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48" t="s">
        <v>144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88"/>
    </row>
    <row r="2" spans="1:15">
      <c r="A2" s="131" t="s">
        <v>96</v>
      </c>
      <c r="B2" s="132" t="s">
        <v>97</v>
      </c>
      <c r="C2" s="132" t="s">
        <v>98</v>
      </c>
      <c r="D2" s="132" t="s">
        <v>99</v>
      </c>
      <c r="E2" s="132" t="s">
        <v>100</v>
      </c>
      <c r="F2" s="132" t="s">
        <v>101</v>
      </c>
      <c r="G2" s="132" t="s">
        <v>102</v>
      </c>
      <c r="H2" s="132" t="s">
        <v>103</v>
      </c>
      <c r="I2" s="132" t="s">
        <v>101</v>
      </c>
      <c r="J2" s="133" t="s">
        <v>102</v>
      </c>
      <c r="K2" s="131" t="s">
        <v>104</v>
      </c>
      <c r="L2" s="134" t="s">
        <v>105</v>
      </c>
      <c r="M2" s="134" t="s">
        <v>110</v>
      </c>
      <c r="N2" s="132" t="s">
        <v>107</v>
      </c>
      <c r="O2" s="65"/>
    </row>
    <row r="3" spans="1:15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 s="102">
        <v>2634.8283999999694</v>
      </c>
      <c r="L3" s="42"/>
      <c r="M3" s="42">
        <f>+K3</f>
        <v>2634.8283999999694</v>
      </c>
      <c r="N3" s="17"/>
      <c r="O3" s="65">
        <v>46138.763999999966</v>
      </c>
    </row>
    <row r="4" spans="1:15">
      <c r="A4" s="26">
        <v>1</v>
      </c>
      <c r="B4" s="27">
        <v>45931</v>
      </c>
      <c r="C4" s="135"/>
      <c r="D4" s="136"/>
      <c r="E4" s="99">
        <v>0</v>
      </c>
      <c r="F4" s="99">
        <v>0</v>
      </c>
      <c r="G4" s="19">
        <f>E4*F4</f>
        <v>0</v>
      </c>
      <c r="H4" s="99">
        <v>0</v>
      </c>
      <c r="I4" s="99"/>
      <c r="J4" s="19">
        <f>H4*I4</f>
        <v>0</v>
      </c>
      <c r="K4" s="19">
        <f>G4+J4</f>
        <v>0</v>
      </c>
      <c r="L4" s="137">
        <v>0</v>
      </c>
      <c r="M4" s="137">
        <f>M3+K4-L4</f>
        <v>2634.8283999999694</v>
      </c>
      <c r="N4" s="48"/>
    </row>
    <row r="5" spans="1:15">
      <c r="A5" s="26">
        <v>2</v>
      </c>
      <c r="B5" s="27">
        <v>45932</v>
      </c>
      <c r="C5" s="135"/>
      <c r="D5" s="136"/>
      <c r="E5" s="99">
        <v>0</v>
      </c>
      <c r="F5" s="99">
        <v>0</v>
      </c>
      <c r="G5" s="19">
        <f t="shared" ref="G5:G34" si="0">E5*F5</f>
        <v>0</v>
      </c>
      <c r="H5" s="99">
        <v>0</v>
      </c>
      <c r="I5" s="99"/>
      <c r="J5" s="19">
        <f t="shared" ref="J5:J34" si="1">H5*I5</f>
        <v>0</v>
      </c>
      <c r="K5" s="19">
        <f t="shared" ref="K5:L34" si="2">G5+J5</f>
        <v>0</v>
      </c>
      <c r="L5" s="137">
        <v>0</v>
      </c>
      <c r="M5" s="137">
        <f>M4+K5-L5</f>
        <v>2634.8283999999694</v>
      </c>
      <c r="N5" s="48"/>
    </row>
    <row r="6" spans="1:15">
      <c r="A6" s="26">
        <v>3</v>
      </c>
      <c r="B6" s="27">
        <v>45933</v>
      </c>
      <c r="C6" s="135"/>
      <c r="D6" s="136"/>
      <c r="E6" s="99">
        <v>400.27</v>
      </c>
      <c r="F6" s="99">
        <v>92.14</v>
      </c>
      <c r="G6" s="19">
        <f t="shared" si="0"/>
        <v>36880.877800000002</v>
      </c>
      <c r="H6" s="99">
        <v>30</v>
      </c>
      <c r="I6" s="99">
        <v>103.97</v>
      </c>
      <c r="J6" s="19">
        <f t="shared" si="1"/>
        <v>3119.1</v>
      </c>
      <c r="K6" s="19">
        <f t="shared" si="2"/>
        <v>39999.977800000001</v>
      </c>
      <c r="L6" s="137">
        <v>39999.980000000003</v>
      </c>
      <c r="M6" s="137">
        <f>M5+K6-L6</f>
        <v>2634.8261999999668</v>
      </c>
      <c r="N6" s="48"/>
    </row>
    <row r="7" spans="1:15">
      <c r="A7" s="26">
        <v>4</v>
      </c>
      <c r="B7" s="27">
        <v>45934</v>
      </c>
      <c r="C7" s="135"/>
      <c r="D7" s="136"/>
      <c r="E7" s="99">
        <v>0</v>
      </c>
      <c r="F7" s="99">
        <v>0</v>
      </c>
      <c r="G7" s="19">
        <f t="shared" si="0"/>
        <v>0</v>
      </c>
      <c r="H7" s="99">
        <v>0</v>
      </c>
      <c r="I7" s="99"/>
      <c r="J7" s="19">
        <f t="shared" si="1"/>
        <v>0</v>
      </c>
      <c r="K7" s="19">
        <f t="shared" si="2"/>
        <v>0</v>
      </c>
      <c r="L7" s="137">
        <v>0</v>
      </c>
      <c r="M7" s="137">
        <f>M6+K7-L7</f>
        <v>2634.8261999999668</v>
      </c>
      <c r="N7" s="48"/>
    </row>
    <row r="8" spans="1:15">
      <c r="A8" s="26">
        <v>5</v>
      </c>
      <c r="B8" s="27">
        <v>45935</v>
      </c>
      <c r="C8" s="135"/>
      <c r="D8" s="136"/>
      <c r="E8" s="99">
        <v>0</v>
      </c>
      <c r="F8" s="99">
        <v>0</v>
      </c>
      <c r="G8" s="19">
        <f t="shared" si="0"/>
        <v>0</v>
      </c>
      <c r="H8" s="99">
        <v>0</v>
      </c>
      <c r="I8" s="99"/>
      <c r="J8" s="19">
        <f t="shared" si="1"/>
        <v>0</v>
      </c>
      <c r="K8" s="19">
        <f t="shared" si="2"/>
        <v>0</v>
      </c>
      <c r="L8" s="137">
        <v>0</v>
      </c>
      <c r="M8" s="137">
        <f t="shared" ref="M8:M34" si="3">M7+K8-L8</f>
        <v>2634.8261999999668</v>
      </c>
      <c r="N8" s="48"/>
      <c r="O8" s="75"/>
    </row>
    <row r="9" spans="1:15">
      <c r="A9" s="26">
        <v>6</v>
      </c>
      <c r="B9" s="27">
        <v>45936</v>
      </c>
      <c r="C9" s="135"/>
      <c r="D9" s="136"/>
      <c r="E9" s="99">
        <v>0</v>
      </c>
      <c r="F9" s="99">
        <v>0</v>
      </c>
      <c r="G9" s="19">
        <f t="shared" si="0"/>
        <v>0</v>
      </c>
      <c r="H9" s="99">
        <v>0</v>
      </c>
      <c r="I9" s="99"/>
      <c r="J9" s="19">
        <f t="shared" si="1"/>
        <v>0</v>
      </c>
      <c r="K9" s="19">
        <f t="shared" si="2"/>
        <v>0</v>
      </c>
      <c r="L9" s="137">
        <v>0</v>
      </c>
      <c r="M9" s="137">
        <f t="shared" si="3"/>
        <v>2634.8261999999668</v>
      </c>
      <c r="N9" s="48"/>
      <c r="O9" s="75"/>
    </row>
    <row r="10" spans="1:15">
      <c r="A10" s="26">
        <v>7</v>
      </c>
      <c r="B10" s="27">
        <v>45937</v>
      </c>
      <c r="C10" s="135"/>
      <c r="D10" s="136"/>
      <c r="E10" s="99">
        <v>0</v>
      </c>
      <c r="F10" s="99">
        <v>0</v>
      </c>
      <c r="G10" s="19">
        <f t="shared" si="0"/>
        <v>0</v>
      </c>
      <c r="H10" s="99">
        <v>0</v>
      </c>
      <c r="I10" s="99"/>
      <c r="J10" s="19">
        <f t="shared" si="1"/>
        <v>0</v>
      </c>
      <c r="K10" s="19">
        <f t="shared" si="2"/>
        <v>0</v>
      </c>
      <c r="L10" s="137">
        <v>0</v>
      </c>
      <c r="M10" s="137">
        <f t="shared" si="3"/>
        <v>2634.8261999999668</v>
      </c>
      <c r="N10" s="48"/>
      <c r="O10" s="75"/>
    </row>
    <row r="11" spans="1:15">
      <c r="A11" s="26">
        <v>8</v>
      </c>
      <c r="B11" s="27">
        <v>45938</v>
      </c>
      <c r="C11" s="135"/>
      <c r="D11" s="136"/>
      <c r="E11" s="99">
        <v>243.11</v>
      </c>
      <c r="F11" s="99">
        <v>92.14</v>
      </c>
      <c r="G11" s="19">
        <f t="shared" si="0"/>
        <v>22400.1554</v>
      </c>
      <c r="H11" s="99">
        <v>25.01</v>
      </c>
      <c r="I11" s="99">
        <v>103.97</v>
      </c>
      <c r="J11" s="19">
        <f t="shared" si="1"/>
        <v>2600.2897000000003</v>
      </c>
      <c r="K11" s="19">
        <f t="shared" si="2"/>
        <v>25000.445100000001</v>
      </c>
      <c r="L11" s="137">
        <v>25000.45</v>
      </c>
      <c r="M11" s="137">
        <f t="shared" si="3"/>
        <v>2634.8212999999669</v>
      </c>
      <c r="N11" s="48"/>
      <c r="O11" s="75"/>
    </row>
    <row r="12" spans="1:15">
      <c r="A12" s="26">
        <v>9</v>
      </c>
      <c r="B12" s="27">
        <v>45939</v>
      </c>
      <c r="C12" s="135"/>
      <c r="D12" s="136"/>
      <c r="E12" s="99">
        <v>0</v>
      </c>
      <c r="F12" s="99">
        <v>0</v>
      </c>
      <c r="G12" s="19">
        <f t="shared" si="0"/>
        <v>0</v>
      </c>
      <c r="H12" s="99">
        <v>0</v>
      </c>
      <c r="I12" s="99"/>
      <c r="J12" s="19">
        <f t="shared" si="1"/>
        <v>0</v>
      </c>
      <c r="K12" s="19">
        <f t="shared" si="2"/>
        <v>0</v>
      </c>
      <c r="L12" s="137">
        <v>0</v>
      </c>
      <c r="M12" s="137">
        <f t="shared" si="3"/>
        <v>2634.8212999999669</v>
      </c>
      <c r="N12" s="48"/>
      <c r="O12" s="75"/>
    </row>
    <row r="13" spans="1:15">
      <c r="A13" s="26">
        <v>10</v>
      </c>
      <c r="B13" s="27">
        <v>45940</v>
      </c>
      <c r="C13" s="135"/>
      <c r="D13" s="136"/>
      <c r="E13" s="99">
        <v>216.87</v>
      </c>
      <c r="F13" s="99">
        <v>92.22</v>
      </c>
      <c r="G13" s="19">
        <f t="shared" si="0"/>
        <v>19999.751400000001</v>
      </c>
      <c r="H13" s="99">
        <v>0</v>
      </c>
      <c r="I13" s="99"/>
      <c r="J13" s="19">
        <f t="shared" si="1"/>
        <v>0</v>
      </c>
      <c r="K13" s="19">
        <f t="shared" si="2"/>
        <v>19999.751400000001</v>
      </c>
      <c r="L13" s="137">
        <v>19999.75</v>
      </c>
      <c r="M13" s="137">
        <f t="shared" si="3"/>
        <v>2634.8226999999679</v>
      </c>
      <c r="N13" s="48"/>
      <c r="O13" s="75"/>
    </row>
    <row r="14" spans="1:15">
      <c r="A14" s="26">
        <v>11</v>
      </c>
      <c r="B14" s="27">
        <v>45941</v>
      </c>
      <c r="C14" s="135"/>
      <c r="D14" s="136"/>
      <c r="E14" s="99">
        <v>434.12</v>
      </c>
      <c r="F14" s="99">
        <v>92.14</v>
      </c>
      <c r="G14" s="19">
        <f t="shared" si="0"/>
        <v>39999.816800000001</v>
      </c>
      <c r="H14" s="99">
        <v>0</v>
      </c>
      <c r="I14" s="99"/>
      <c r="J14" s="19">
        <f t="shared" si="1"/>
        <v>0</v>
      </c>
      <c r="K14" s="19">
        <f t="shared" si="2"/>
        <v>39999.816800000001</v>
      </c>
      <c r="L14" s="19">
        <f t="shared" si="2"/>
        <v>39999.816800000001</v>
      </c>
      <c r="M14" s="137">
        <f t="shared" si="3"/>
        <v>2634.8226999999679</v>
      </c>
      <c r="N14" s="48"/>
      <c r="O14" s="75"/>
    </row>
    <row r="15" spans="1:15">
      <c r="A15" s="26">
        <v>12</v>
      </c>
      <c r="B15" s="27">
        <v>45942</v>
      </c>
      <c r="C15" s="135"/>
      <c r="D15" s="136"/>
      <c r="E15" s="99">
        <v>0</v>
      </c>
      <c r="F15" s="99">
        <v>0</v>
      </c>
      <c r="G15" s="19">
        <f t="shared" si="0"/>
        <v>0</v>
      </c>
      <c r="H15" s="99">
        <v>0</v>
      </c>
      <c r="I15" s="99"/>
      <c r="J15" s="19">
        <f t="shared" si="1"/>
        <v>0</v>
      </c>
      <c r="K15" s="19">
        <f t="shared" si="2"/>
        <v>0</v>
      </c>
      <c r="L15" s="137">
        <v>0</v>
      </c>
      <c r="M15" s="137">
        <f t="shared" si="3"/>
        <v>2634.8226999999679</v>
      </c>
      <c r="N15" s="48"/>
      <c r="O15" s="75"/>
    </row>
    <row r="16" spans="1:15">
      <c r="A16" s="26">
        <v>13</v>
      </c>
      <c r="B16" s="27">
        <v>45943</v>
      </c>
      <c r="C16" s="135"/>
      <c r="D16" s="136"/>
      <c r="E16" s="99">
        <v>400.27</v>
      </c>
      <c r="F16" s="99">
        <v>92.14</v>
      </c>
      <c r="G16" s="19">
        <f t="shared" si="0"/>
        <v>36880.877800000002</v>
      </c>
      <c r="H16" s="99">
        <v>30</v>
      </c>
      <c r="I16" s="99">
        <v>103.97</v>
      </c>
      <c r="J16" s="19">
        <f t="shared" si="1"/>
        <v>3119.1</v>
      </c>
      <c r="K16" s="19">
        <f t="shared" si="2"/>
        <v>39999.977800000001</v>
      </c>
      <c r="L16" s="137">
        <v>39999.980000000003</v>
      </c>
      <c r="M16" s="137">
        <f t="shared" si="3"/>
        <v>2634.8204999999653</v>
      </c>
      <c r="N16" s="48"/>
      <c r="O16" s="75"/>
    </row>
    <row r="17" spans="1:22">
      <c r="A17" s="26">
        <v>14</v>
      </c>
      <c r="B17" s="27">
        <v>45944</v>
      </c>
      <c r="C17" s="135"/>
      <c r="D17" s="136"/>
      <c r="E17" s="99">
        <v>433.98</v>
      </c>
      <c r="F17" s="99">
        <v>92.17</v>
      </c>
      <c r="G17" s="19">
        <f t="shared" si="0"/>
        <v>39999.936600000001</v>
      </c>
      <c r="H17" s="99">
        <v>0</v>
      </c>
      <c r="I17" s="99"/>
      <c r="J17" s="19">
        <f t="shared" si="1"/>
        <v>0</v>
      </c>
      <c r="K17" s="19">
        <f t="shared" si="2"/>
        <v>39999.936600000001</v>
      </c>
      <c r="L17" s="19">
        <f t="shared" si="2"/>
        <v>39999.936600000001</v>
      </c>
      <c r="M17" s="137">
        <f t="shared" si="3"/>
        <v>2634.8204999999653</v>
      </c>
      <c r="N17" s="48"/>
      <c r="O17" s="75"/>
      <c r="Q17" s="258">
        <v>2767.8</v>
      </c>
      <c r="S17" s="183">
        <f>Q17-M18</f>
        <v>132.97950000003493</v>
      </c>
    </row>
    <row r="18" spans="1:22">
      <c r="A18" s="26">
        <v>15</v>
      </c>
      <c r="B18" s="27">
        <v>45945</v>
      </c>
      <c r="C18" s="135"/>
      <c r="D18" s="136"/>
      <c r="E18" s="99">
        <v>0</v>
      </c>
      <c r="F18" s="99">
        <v>0</v>
      </c>
      <c r="G18" s="19">
        <f t="shared" si="0"/>
        <v>0</v>
      </c>
      <c r="H18" s="99">
        <v>0</v>
      </c>
      <c r="I18" s="99"/>
      <c r="J18" s="19">
        <f t="shared" si="1"/>
        <v>0</v>
      </c>
      <c r="K18" s="19">
        <f t="shared" si="2"/>
        <v>0</v>
      </c>
      <c r="L18" s="137">
        <v>0</v>
      </c>
      <c r="M18" s="137">
        <f t="shared" si="3"/>
        <v>2634.8204999999653</v>
      </c>
      <c r="N18" s="48"/>
      <c r="O18" s="75"/>
    </row>
    <row r="19" spans="1:22">
      <c r="A19" s="26">
        <v>16</v>
      </c>
      <c r="B19" s="27">
        <v>45946</v>
      </c>
      <c r="C19" s="135"/>
      <c r="D19" s="136"/>
      <c r="E19" s="99">
        <v>400</v>
      </c>
      <c r="F19" s="99">
        <v>92.14</v>
      </c>
      <c r="G19" s="19">
        <f t="shared" si="0"/>
        <v>36856</v>
      </c>
      <c r="H19" s="99">
        <v>25</v>
      </c>
      <c r="I19" s="99">
        <v>103.97</v>
      </c>
      <c r="J19" s="19">
        <f t="shared" si="1"/>
        <v>2599.25</v>
      </c>
      <c r="K19" s="19">
        <f t="shared" si="2"/>
        <v>39455.25</v>
      </c>
      <c r="L19" s="137">
        <v>0</v>
      </c>
      <c r="M19" s="137">
        <f t="shared" si="3"/>
        <v>42090.070499999965</v>
      </c>
      <c r="N19" s="48"/>
      <c r="O19" s="75"/>
    </row>
    <row r="20" spans="1:22">
      <c r="A20" s="26">
        <v>17</v>
      </c>
      <c r="B20" s="27">
        <v>45947</v>
      </c>
      <c r="C20" s="135"/>
      <c r="D20" s="136"/>
      <c r="E20" s="99">
        <v>0</v>
      </c>
      <c r="F20" s="99">
        <v>0</v>
      </c>
      <c r="G20" s="19">
        <f t="shared" si="0"/>
        <v>0</v>
      </c>
      <c r="H20" s="99">
        <v>0</v>
      </c>
      <c r="I20" s="99"/>
      <c r="J20" s="19">
        <f t="shared" si="1"/>
        <v>0</v>
      </c>
      <c r="K20" s="19">
        <f t="shared" si="2"/>
        <v>0</v>
      </c>
      <c r="L20" s="137">
        <v>0</v>
      </c>
      <c r="M20" s="137">
        <f t="shared" si="3"/>
        <v>42090.070499999965</v>
      </c>
      <c r="N20" s="48"/>
      <c r="O20" s="75"/>
      <c r="V20">
        <f>400*90.23</f>
        <v>36092</v>
      </c>
    </row>
    <row r="21" spans="1:22">
      <c r="A21" s="26">
        <v>18</v>
      </c>
      <c r="B21" s="27">
        <v>45948</v>
      </c>
      <c r="C21" s="135"/>
      <c r="D21" s="136"/>
      <c r="E21" s="99">
        <v>0</v>
      </c>
      <c r="F21" s="99">
        <v>0</v>
      </c>
      <c r="G21" s="19">
        <f t="shared" si="0"/>
        <v>0</v>
      </c>
      <c r="H21" s="99">
        <v>0</v>
      </c>
      <c r="I21" s="99"/>
      <c r="J21" s="19">
        <f t="shared" si="1"/>
        <v>0</v>
      </c>
      <c r="K21" s="19">
        <f t="shared" si="2"/>
        <v>0</v>
      </c>
      <c r="L21" s="137">
        <v>0</v>
      </c>
      <c r="M21" s="137">
        <f t="shared" si="3"/>
        <v>42090.070499999965</v>
      </c>
      <c r="N21" s="48"/>
      <c r="O21" s="75"/>
      <c r="V21">
        <f>35*104.14</f>
        <v>3644.9</v>
      </c>
    </row>
    <row r="22" spans="1:22">
      <c r="A22" s="26">
        <v>19</v>
      </c>
      <c r="B22" s="27">
        <v>45949</v>
      </c>
      <c r="C22" s="135"/>
      <c r="D22" s="136"/>
      <c r="E22" s="99">
        <v>0</v>
      </c>
      <c r="F22" s="99">
        <v>0</v>
      </c>
      <c r="G22" s="19">
        <f t="shared" si="0"/>
        <v>0</v>
      </c>
      <c r="H22" s="99">
        <v>0</v>
      </c>
      <c r="I22" s="99"/>
      <c r="J22" s="19">
        <f t="shared" si="1"/>
        <v>0</v>
      </c>
      <c r="K22" s="19">
        <f t="shared" si="2"/>
        <v>0</v>
      </c>
      <c r="L22" s="137">
        <v>2634.82</v>
      </c>
      <c r="M22" s="137">
        <f t="shared" si="3"/>
        <v>39455.250499999966</v>
      </c>
      <c r="N22" s="48"/>
      <c r="O22" s="75"/>
    </row>
    <row r="23" spans="1:22">
      <c r="A23" s="26">
        <v>20</v>
      </c>
      <c r="B23" s="27">
        <v>45950</v>
      </c>
      <c r="C23" s="135"/>
      <c r="D23" s="136"/>
      <c r="E23" s="99">
        <v>500</v>
      </c>
      <c r="F23" s="99">
        <v>92.14</v>
      </c>
      <c r="G23" s="19">
        <f t="shared" si="0"/>
        <v>46070</v>
      </c>
      <c r="H23" s="99">
        <v>0</v>
      </c>
      <c r="I23" s="99"/>
      <c r="J23" s="19">
        <f t="shared" si="1"/>
        <v>0</v>
      </c>
      <c r="K23" s="19">
        <f t="shared" si="2"/>
        <v>46070</v>
      </c>
      <c r="L23" s="137">
        <v>0</v>
      </c>
      <c r="M23" s="137">
        <f t="shared" si="3"/>
        <v>85525.250499999966</v>
      </c>
      <c r="N23" s="271"/>
      <c r="O23" s="257"/>
    </row>
    <row r="24" spans="1:22">
      <c r="A24" s="26">
        <v>21</v>
      </c>
      <c r="B24" s="27">
        <v>45951</v>
      </c>
      <c r="C24" s="135"/>
      <c r="D24" s="136"/>
      <c r="E24" s="99">
        <v>0</v>
      </c>
      <c r="F24" s="99">
        <v>0</v>
      </c>
      <c r="G24" s="19">
        <f t="shared" si="0"/>
        <v>0</v>
      </c>
      <c r="H24" s="99">
        <v>0</v>
      </c>
      <c r="I24" s="99"/>
      <c r="J24" s="19">
        <f t="shared" si="1"/>
        <v>0</v>
      </c>
      <c r="K24" s="19">
        <f t="shared" si="2"/>
        <v>0</v>
      </c>
      <c r="L24" s="137">
        <v>0</v>
      </c>
      <c r="M24" s="137">
        <f t="shared" si="3"/>
        <v>85525.250499999966</v>
      </c>
      <c r="N24" s="48"/>
      <c r="O24" s="75"/>
    </row>
    <row r="25" spans="1:22">
      <c r="A25" s="26">
        <v>22</v>
      </c>
      <c r="B25" s="27">
        <v>45952</v>
      </c>
      <c r="C25" s="135"/>
      <c r="D25" s="136"/>
      <c r="E25" s="99">
        <v>0</v>
      </c>
      <c r="F25" s="99">
        <v>0</v>
      </c>
      <c r="G25" s="19">
        <f t="shared" si="0"/>
        <v>0</v>
      </c>
      <c r="H25" s="99">
        <v>0</v>
      </c>
      <c r="I25" s="99"/>
      <c r="J25" s="19">
        <f t="shared" si="1"/>
        <v>0</v>
      </c>
      <c r="K25" s="19">
        <f t="shared" si="2"/>
        <v>0</v>
      </c>
      <c r="L25" s="137">
        <v>0</v>
      </c>
      <c r="M25" s="137">
        <f t="shared" si="3"/>
        <v>85525.250499999966</v>
      </c>
      <c r="N25" s="48"/>
      <c r="O25" s="75"/>
    </row>
    <row r="26" spans="1:22">
      <c r="A26" s="26">
        <v>23</v>
      </c>
      <c r="B26" s="27">
        <v>45953</v>
      </c>
      <c r="C26" s="135"/>
      <c r="D26" s="136"/>
      <c r="E26" s="99">
        <v>0</v>
      </c>
      <c r="F26" s="99">
        <v>0</v>
      </c>
      <c r="G26" s="19">
        <f t="shared" si="0"/>
        <v>0</v>
      </c>
      <c r="H26" s="99">
        <v>0</v>
      </c>
      <c r="I26" s="99"/>
      <c r="J26" s="19">
        <f t="shared" si="1"/>
        <v>0</v>
      </c>
      <c r="K26" s="19">
        <f t="shared" si="2"/>
        <v>0</v>
      </c>
      <c r="L26" s="137">
        <v>0</v>
      </c>
      <c r="M26" s="137">
        <f t="shared" si="3"/>
        <v>85525.250499999966</v>
      </c>
      <c r="N26" s="48"/>
      <c r="O26" s="75"/>
    </row>
    <row r="27" spans="1:22">
      <c r="A27" s="26">
        <v>24</v>
      </c>
      <c r="B27" s="27">
        <v>45954</v>
      </c>
      <c r="C27" s="135"/>
      <c r="D27" s="136"/>
      <c r="E27" s="99">
        <v>500</v>
      </c>
      <c r="F27" s="99">
        <v>92.14</v>
      </c>
      <c r="G27" s="19">
        <f t="shared" si="0"/>
        <v>46070</v>
      </c>
      <c r="H27" s="99">
        <v>34.85</v>
      </c>
      <c r="I27" s="99">
        <v>103.97</v>
      </c>
      <c r="J27" s="19">
        <f t="shared" si="1"/>
        <v>3623.3544999999999</v>
      </c>
      <c r="K27" s="19">
        <f t="shared" si="2"/>
        <v>49693.354500000001</v>
      </c>
      <c r="L27" s="137">
        <v>0</v>
      </c>
      <c r="M27" s="137">
        <f t="shared" si="3"/>
        <v>135218.60499999998</v>
      </c>
      <c r="N27" s="48"/>
      <c r="O27" s="75"/>
    </row>
    <row r="28" spans="1:22">
      <c r="A28" s="26">
        <v>25</v>
      </c>
      <c r="B28" s="27">
        <v>45955</v>
      </c>
      <c r="C28" s="135"/>
      <c r="D28" s="136"/>
      <c r="E28" s="99">
        <v>0</v>
      </c>
      <c r="F28" s="99">
        <v>0</v>
      </c>
      <c r="G28" s="19">
        <f t="shared" si="0"/>
        <v>0</v>
      </c>
      <c r="H28" s="99">
        <v>0</v>
      </c>
      <c r="I28" s="99"/>
      <c r="J28" s="19">
        <f t="shared" si="1"/>
        <v>0</v>
      </c>
      <c r="K28" s="19">
        <f t="shared" si="2"/>
        <v>0</v>
      </c>
      <c r="L28" s="137">
        <v>0</v>
      </c>
      <c r="M28" s="137">
        <f t="shared" si="3"/>
        <v>135218.60499999998</v>
      </c>
      <c r="N28" s="48"/>
      <c r="O28" s="75"/>
    </row>
    <row r="29" spans="1:22">
      <c r="A29" s="26">
        <v>26</v>
      </c>
      <c r="B29" s="27">
        <v>45956</v>
      </c>
      <c r="C29" s="135"/>
      <c r="D29" s="136"/>
      <c r="E29" s="99">
        <v>0</v>
      </c>
      <c r="F29" s="99">
        <v>0</v>
      </c>
      <c r="G29" s="19">
        <f t="shared" si="0"/>
        <v>0</v>
      </c>
      <c r="H29" s="99">
        <v>0</v>
      </c>
      <c r="I29" s="99"/>
      <c r="J29" s="19">
        <f t="shared" si="1"/>
        <v>0</v>
      </c>
      <c r="K29" s="19">
        <f t="shared" si="2"/>
        <v>0</v>
      </c>
      <c r="L29" s="137">
        <v>0</v>
      </c>
      <c r="M29" s="137">
        <f t="shared" si="3"/>
        <v>135218.60499999998</v>
      </c>
      <c r="N29" s="48"/>
      <c r="O29" s="75"/>
    </row>
    <row r="30" spans="1:22">
      <c r="A30" s="26">
        <v>27</v>
      </c>
      <c r="B30" s="27">
        <v>45957</v>
      </c>
      <c r="C30" s="135"/>
      <c r="D30" s="136"/>
      <c r="E30" s="99">
        <v>0</v>
      </c>
      <c r="F30" s="99">
        <v>0</v>
      </c>
      <c r="G30" s="19">
        <f t="shared" si="0"/>
        <v>0</v>
      </c>
      <c r="H30" s="99">
        <v>0</v>
      </c>
      <c r="I30" s="99"/>
      <c r="J30" s="19">
        <f t="shared" si="1"/>
        <v>0</v>
      </c>
      <c r="K30" s="19">
        <f t="shared" si="2"/>
        <v>0</v>
      </c>
      <c r="L30" s="137">
        <v>135218.6</v>
      </c>
      <c r="M30" s="137">
        <f t="shared" si="3"/>
        <v>4.9999999755527824E-3</v>
      </c>
      <c r="N30" s="48"/>
      <c r="O30" s="75"/>
      <c r="P30" s="258">
        <v>29774.14</v>
      </c>
    </row>
    <row r="31" spans="1:22">
      <c r="A31" s="26">
        <v>28</v>
      </c>
      <c r="B31" s="27">
        <v>45958</v>
      </c>
      <c r="C31" s="135"/>
      <c r="D31" s="136"/>
      <c r="E31" s="99">
        <v>0</v>
      </c>
      <c r="F31" s="99">
        <v>0</v>
      </c>
      <c r="G31" s="19">
        <f t="shared" si="0"/>
        <v>0</v>
      </c>
      <c r="H31" s="99">
        <v>0</v>
      </c>
      <c r="I31" s="99"/>
      <c r="J31" s="19">
        <f t="shared" si="1"/>
        <v>0</v>
      </c>
      <c r="K31" s="19">
        <f t="shared" si="2"/>
        <v>0</v>
      </c>
      <c r="L31" s="137">
        <v>0</v>
      </c>
      <c r="M31" s="137">
        <f t="shared" si="3"/>
        <v>4.9999999755527824E-3</v>
      </c>
      <c r="N31" s="48"/>
      <c r="O31" s="75"/>
      <c r="P31">
        <v>50000</v>
      </c>
    </row>
    <row r="32" spans="1:22">
      <c r="A32" s="26">
        <v>29</v>
      </c>
      <c r="B32" s="27">
        <v>45959</v>
      </c>
      <c r="C32" s="135"/>
      <c r="D32" s="136"/>
      <c r="E32" s="99">
        <v>0</v>
      </c>
      <c r="F32" s="99">
        <v>0</v>
      </c>
      <c r="G32" s="19">
        <f t="shared" si="0"/>
        <v>0</v>
      </c>
      <c r="H32" s="99">
        <v>0</v>
      </c>
      <c r="I32" s="99"/>
      <c r="J32" s="19">
        <f t="shared" si="1"/>
        <v>0</v>
      </c>
      <c r="K32" s="19">
        <f t="shared" si="2"/>
        <v>0</v>
      </c>
      <c r="L32" s="137">
        <v>0</v>
      </c>
      <c r="M32" s="137">
        <f t="shared" si="3"/>
        <v>4.9999999755527824E-3</v>
      </c>
      <c r="N32" s="48"/>
      <c r="O32" s="75"/>
      <c r="P32" s="258">
        <f>SUM(P30:P31)</f>
        <v>79774.14</v>
      </c>
    </row>
    <row r="33" spans="1:19">
      <c r="A33" s="26">
        <v>30</v>
      </c>
      <c r="B33" s="27">
        <v>45960</v>
      </c>
      <c r="C33" s="135"/>
      <c r="D33" s="136"/>
      <c r="E33" s="99">
        <v>400</v>
      </c>
      <c r="F33" s="99">
        <v>92.14</v>
      </c>
      <c r="G33" s="19">
        <f t="shared" si="0"/>
        <v>36856</v>
      </c>
      <c r="H33" s="99">
        <v>20</v>
      </c>
      <c r="I33" s="99">
        <v>103.97</v>
      </c>
      <c r="J33" s="19">
        <f t="shared" si="1"/>
        <v>2079.4</v>
      </c>
      <c r="K33" s="19">
        <f t="shared" si="2"/>
        <v>38935.4</v>
      </c>
      <c r="L33" s="137">
        <v>0</v>
      </c>
      <c r="M33" s="137">
        <f t="shared" si="3"/>
        <v>38935.404999999977</v>
      </c>
      <c r="N33" s="48"/>
      <c r="O33" s="75"/>
    </row>
    <row r="34" spans="1:19">
      <c r="A34" s="26">
        <v>31</v>
      </c>
      <c r="B34" s="27"/>
      <c r="C34" s="135"/>
      <c r="D34" s="136"/>
      <c r="E34" s="99">
        <v>0</v>
      </c>
      <c r="F34" s="99">
        <v>0</v>
      </c>
      <c r="G34" s="19">
        <f t="shared" si="0"/>
        <v>0</v>
      </c>
      <c r="H34" s="99">
        <v>0</v>
      </c>
      <c r="I34" s="99"/>
      <c r="J34" s="19">
        <f t="shared" si="1"/>
        <v>0</v>
      </c>
      <c r="K34" s="19">
        <f t="shared" si="2"/>
        <v>0</v>
      </c>
      <c r="L34" s="137">
        <v>0</v>
      </c>
      <c r="M34" s="137">
        <f t="shared" si="3"/>
        <v>38935.404999999977</v>
      </c>
      <c r="N34" s="48"/>
      <c r="O34" s="75"/>
    </row>
    <row r="35" spans="1:19">
      <c r="A35" s="26"/>
      <c r="B35" s="405"/>
      <c r="C35" s="135"/>
      <c r="D35" s="136"/>
      <c r="E35" s="99">
        <v>0</v>
      </c>
      <c r="F35" s="99">
        <v>0</v>
      </c>
      <c r="G35" s="19">
        <f t="shared" ref="G35" si="4">E35*F35</f>
        <v>0</v>
      </c>
      <c r="H35" s="99">
        <v>0</v>
      </c>
      <c r="I35" s="99"/>
      <c r="J35" s="19">
        <f t="shared" ref="J35" si="5">H35*I35</f>
        <v>0</v>
      </c>
      <c r="K35" s="19">
        <f t="shared" ref="K35" si="6">G35+J35</f>
        <v>0</v>
      </c>
      <c r="L35" s="137">
        <v>0</v>
      </c>
      <c r="M35" s="137">
        <f t="shared" ref="M35" si="7">M34+K35-L35</f>
        <v>38935.404999999977</v>
      </c>
      <c r="N35" s="48"/>
      <c r="O35" s="75"/>
    </row>
    <row r="36" spans="1:19">
      <c r="A36" s="46"/>
      <c r="B36" s="46"/>
      <c r="C36" s="46"/>
      <c r="D36" s="46"/>
      <c r="E36" s="47">
        <f>SUM(E4:E34)</f>
        <v>3928.62</v>
      </c>
      <c r="F36" s="47"/>
      <c r="G36" s="47">
        <f>SUM(G4:G34)</f>
        <v>362013.41580000002</v>
      </c>
      <c r="H36" s="47">
        <f>SUM(H4:H34)</f>
        <v>164.86</v>
      </c>
      <c r="I36" s="47"/>
      <c r="J36" s="47">
        <f>SUM(J4:J34)</f>
        <v>17140.494200000001</v>
      </c>
      <c r="K36" s="47">
        <f>SUM(K4:K34)</f>
        <v>379153.91000000003</v>
      </c>
      <c r="L36" s="47">
        <f>SUM(L4:L34)</f>
        <v>342853.3334</v>
      </c>
      <c r="M36" s="47"/>
      <c r="N36" s="47"/>
      <c r="O36" s="33"/>
    </row>
    <row r="37" spans="1:19">
      <c r="A37" s="78"/>
      <c r="B37" s="79"/>
      <c r="C37" s="78"/>
      <c r="D37" s="78"/>
      <c r="E37" s="80">
        <v>0</v>
      </c>
      <c r="F37" s="80"/>
      <c r="G37" s="80">
        <v>0</v>
      </c>
      <c r="H37" s="80">
        <v>0</v>
      </c>
      <c r="I37" s="80"/>
      <c r="J37" s="81">
        <v>0</v>
      </c>
      <c r="K37" s="81">
        <f>G37+J37</f>
        <v>0</v>
      </c>
      <c r="L37" s="81">
        <v>0</v>
      </c>
      <c r="M37" s="81"/>
      <c r="N37" s="80"/>
      <c r="O37" s="75"/>
    </row>
    <row r="38" spans="1:19">
      <c r="E38" s="142"/>
      <c r="F38" s="142"/>
      <c r="G38" s="142"/>
      <c r="H38" s="142"/>
      <c r="I38" s="142"/>
      <c r="J38" s="142"/>
      <c r="K38" s="142"/>
      <c r="L38" s="142"/>
      <c r="M38" s="258"/>
      <c r="O38" s="75"/>
    </row>
    <row r="39" spans="1:19">
      <c r="O39" s="75"/>
    </row>
    <row r="40" spans="1:19">
      <c r="M40" s="183"/>
      <c r="O40" s="75"/>
    </row>
    <row r="41" spans="1:19">
      <c r="O41" s="75"/>
    </row>
    <row r="42" spans="1:19">
      <c r="O42" s="75"/>
      <c r="S42">
        <v>9052944708</v>
      </c>
    </row>
    <row r="43" spans="1:19">
      <c r="A43" s="75"/>
      <c r="B43" s="65"/>
      <c r="C43" s="75"/>
      <c r="D43" s="75"/>
      <c r="E43" s="75"/>
      <c r="F43" s="75"/>
      <c r="G43" s="82"/>
      <c r="H43" s="75"/>
      <c r="I43" s="75"/>
      <c r="J43" s="65"/>
      <c r="K43" s="65"/>
      <c r="L43" s="65"/>
      <c r="M43" s="65"/>
      <c r="N43" s="75"/>
      <c r="O43" s="80"/>
    </row>
    <row r="44" spans="1:19">
      <c r="A44" s="75"/>
      <c r="B44" s="440"/>
      <c r="C44" s="440"/>
      <c r="D44" s="440"/>
      <c r="E44" s="440"/>
      <c r="F44" s="75"/>
      <c r="G44" s="75"/>
      <c r="H44" s="75"/>
      <c r="I44" s="440"/>
      <c r="J44" s="440"/>
      <c r="K44" s="440"/>
      <c r="L44" s="440"/>
      <c r="M44" s="440"/>
      <c r="N44" s="440"/>
      <c r="O44" s="80"/>
    </row>
    <row r="45" spans="1:19">
      <c r="A45" s="75"/>
      <c r="B45" s="65"/>
      <c r="C45" s="75"/>
      <c r="D45" s="75"/>
      <c r="E45" s="75"/>
      <c r="F45" s="75"/>
      <c r="G45" s="75"/>
      <c r="H45" s="75"/>
      <c r="I45" s="75"/>
      <c r="J45" s="65"/>
      <c r="K45" s="65"/>
      <c r="L45" s="65"/>
      <c r="M45" s="65"/>
      <c r="N45" s="75"/>
      <c r="O45" s="80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6"/>
  <sheetViews>
    <sheetView workbookViewId="0">
      <selection activeCell="P11" sqref="P11"/>
    </sheetView>
  </sheetViews>
  <sheetFormatPr defaultRowHeight="15"/>
  <cols>
    <col min="2" max="2" width="10.85546875" bestFit="1" customWidth="1"/>
    <col min="4" max="4" width="10.7109375" customWidth="1"/>
  </cols>
  <sheetData>
    <row r="1" spans="1:14" ht="15.75">
      <c r="A1" s="436" t="s">
        <v>145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25.5">
      <c r="A2" s="109" t="s">
        <v>96</v>
      </c>
      <c r="B2" s="113" t="s">
        <v>97</v>
      </c>
      <c r="C2" s="113" t="s">
        <v>98</v>
      </c>
      <c r="D2" s="113" t="s">
        <v>99</v>
      </c>
      <c r="E2" s="113" t="s">
        <v>100</v>
      </c>
      <c r="F2" s="113" t="s">
        <v>101</v>
      </c>
      <c r="G2" s="113" t="s">
        <v>102</v>
      </c>
      <c r="H2" s="113" t="s">
        <v>103</v>
      </c>
      <c r="I2" s="113" t="s">
        <v>101</v>
      </c>
      <c r="J2" s="113" t="s">
        <v>102</v>
      </c>
      <c r="K2" s="113" t="s">
        <v>104</v>
      </c>
      <c r="L2" s="113" t="s">
        <v>105</v>
      </c>
      <c r="M2" s="113" t="s">
        <v>110</v>
      </c>
      <c r="N2" s="113" t="s">
        <v>107</v>
      </c>
    </row>
    <row r="3" spans="1:14">
      <c r="A3" s="447" t="s">
        <v>108</v>
      </c>
      <c r="B3" s="447"/>
      <c r="C3" s="447"/>
      <c r="D3" s="447"/>
      <c r="E3" s="447"/>
      <c r="F3" s="447"/>
      <c r="G3" s="447"/>
      <c r="H3" s="447"/>
      <c r="I3" s="447"/>
      <c r="J3" s="447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45931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45932</v>
      </c>
      <c r="C5" s="17"/>
      <c r="D5" s="17"/>
      <c r="E5" s="92"/>
      <c r="F5" s="92"/>
      <c r="G5" s="17">
        <f t="shared" ref="G5:G35" si="0">E5*F5</f>
        <v>0</v>
      </c>
      <c r="H5" s="92"/>
      <c r="I5" s="92"/>
      <c r="J5" s="17">
        <f t="shared" ref="J5:J35" si="1">H5*I5</f>
        <v>0</v>
      </c>
      <c r="K5" s="17">
        <f t="shared" ref="K5:K33" si="2">G5+J5</f>
        <v>0</v>
      </c>
      <c r="L5" s="17">
        <f t="shared" ref="L5:L33" si="3">K5</f>
        <v>0</v>
      </c>
      <c r="M5" s="17">
        <f t="shared" ref="M5:M27" si="4">M4+K5-L5</f>
        <v>0</v>
      </c>
      <c r="N5" s="48"/>
    </row>
    <row r="6" spans="1:14">
      <c r="A6" s="26">
        <v>3</v>
      </c>
      <c r="B6" s="27">
        <v>45933</v>
      </c>
      <c r="C6" s="17"/>
      <c r="D6" s="17"/>
      <c r="E6" s="92"/>
      <c r="F6" s="92"/>
      <c r="G6" s="17">
        <f t="shared" si="0"/>
        <v>0</v>
      </c>
      <c r="H6" s="92"/>
      <c r="I6" s="92"/>
      <c r="J6" s="17">
        <f t="shared" si="1"/>
        <v>0</v>
      </c>
      <c r="K6" s="17">
        <f t="shared" si="2"/>
        <v>0</v>
      </c>
      <c r="L6" s="17">
        <f t="shared" si="3"/>
        <v>0</v>
      </c>
      <c r="M6" s="17">
        <f t="shared" si="4"/>
        <v>0</v>
      </c>
      <c r="N6" s="48"/>
    </row>
    <row r="7" spans="1:14">
      <c r="A7" s="26">
        <v>4</v>
      </c>
      <c r="B7" s="27">
        <v>45934</v>
      </c>
      <c r="C7" s="17"/>
      <c r="D7" s="17"/>
      <c r="E7" s="92">
        <v>255</v>
      </c>
      <c r="F7" s="92">
        <v>92.22</v>
      </c>
      <c r="G7" s="17">
        <f t="shared" si="0"/>
        <v>23516.1</v>
      </c>
      <c r="H7" s="92">
        <v>10</v>
      </c>
      <c r="I7" s="92">
        <v>104.07</v>
      </c>
      <c r="J7" s="17">
        <f t="shared" si="1"/>
        <v>1040.6999999999998</v>
      </c>
      <c r="K7" s="17">
        <f t="shared" si="2"/>
        <v>24556.799999999999</v>
      </c>
      <c r="L7" s="17">
        <f t="shared" si="3"/>
        <v>24556.799999999999</v>
      </c>
      <c r="M7" s="17">
        <f t="shared" si="4"/>
        <v>0</v>
      </c>
      <c r="N7" s="48"/>
    </row>
    <row r="8" spans="1:14">
      <c r="A8" s="26">
        <v>5</v>
      </c>
      <c r="B8" s="27">
        <v>45935</v>
      </c>
      <c r="C8" s="17"/>
      <c r="D8" s="17"/>
      <c r="E8" s="92"/>
      <c r="F8" s="92"/>
      <c r="G8" s="17">
        <f t="shared" si="0"/>
        <v>0</v>
      </c>
      <c r="H8" s="92"/>
      <c r="I8" s="92"/>
      <c r="J8" s="17">
        <f t="shared" si="1"/>
        <v>0</v>
      </c>
      <c r="K8" s="17">
        <f t="shared" si="2"/>
        <v>0</v>
      </c>
      <c r="L8" s="17">
        <f t="shared" si="3"/>
        <v>0</v>
      </c>
      <c r="M8" s="17">
        <f t="shared" si="4"/>
        <v>0</v>
      </c>
      <c r="N8" s="48"/>
    </row>
    <row r="9" spans="1:14">
      <c r="A9" s="26">
        <v>6</v>
      </c>
      <c r="B9" s="27">
        <v>45936</v>
      </c>
      <c r="C9" s="17"/>
      <c r="D9" s="17"/>
      <c r="E9" s="92"/>
      <c r="F9" s="92"/>
      <c r="G9" s="17">
        <f t="shared" si="0"/>
        <v>0</v>
      </c>
      <c r="H9" s="92"/>
      <c r="I9" s="92"/>
      <c r="J9" s="17">
        <f t="shared" si="1"/>
        <v>0</v>
      </c>
      <c r="K9" s="17">
        <f t="shared" si="2"/>
        <v>0</v>
      </c>
      <c r="L9" s="17">
        <f t="shared" si="3"/>
        <v>0</v>
      </c>
      <c r="M9" s="17">
        <f t="shared" si="4"/>
        <v>0</v>
      </c>
      <c r="N9" s="48"/>
    </row>
    <row r="10" spans="1:14">
      <c r="A10" s="26">
        <v>7</v>
      </c>
      <c r="B10" s="27">
        <v>45937</v>
      </c>
      <c r="C10" s="17"/>
      <c r="D10" s="17"/>
      <c r="E10" s="92"/>
      <c r="F10" s="92"/>
      <c r="G10" s="17">
        <f t="shared" si="0"/>
        <v>0</v>
      </c>
      <c r="H10" s="92"/>
      <c r="I10" s="92"/>
      <c r="J10" s="17">
        <f t="shared" si="1"/>
        <v>0</v>
      </c>
      <c r="K10" s="17">
        <f t="shared" si="2"/>
        <v>0</v>
      </c>
      <c r="L10" s="17">
        <f t="shared" si="3"/>
        <v>0</v>
      </c>
      <c r="M10" s="17">
        <f t="shared" si="4"/>
        <v>0</v>
      </c>
      <c r="N10" s="48"/>
    </row>
    <row r="11" spans="1:14">
      <c r="A11" s="26">
        <v>8</v>
      </c>
      <c r="B11" s="27">
        <v>45938</v>
      </c>
      <c r="C11" s="17"/>
      <c r="D11" s="17"/>
      <c r="E11" s="92">
        <v>210</v>
      </c>
      <c r="F11" s="92">
        <v>92.22</v>
      </c>
      <c r="G11" s="17">
        <f t="shared" si="0"/>
        <v>19366.2</v>
      </c>
      <c r="H11" s="92"/>
      <c r="I11" s="92"/>
      <c r="J11" s="17">
        <f t="shared" si="1"/>
        <v>0</v>
      </c>
      <c r="K11" s="17">
        <f t="shared" si="2"/>
        <v>19366.2</v>
      </c>
      <c r="L11" s="17">
        <f t="shared" si="3"/>
        <v>19366.2</v>
      </c>
      <c r="M11" s="17">
        <f t="shared" si="4"/>
        <v>0</v>
      </c>
      <c r="N11" s="48"/>
    </row>
    <row r="12" spans="1:14">
      <c r="A12" s="26">
        <v>9</v>
      </c>
      <c r="B12" s="27">
        <v>45939</v>
      </c>
      <c r="C12" s="17"/>
      <c r="D12" s="17"/>
      <c r="E12" s="92"/>
      <c r="F12" s="92"/>
      <c r="G12" s="17">
        <f t="shared" si="0"/>
        <v>0</v>
      </c>
      <c r="H12" s="92"/>
      <c r="I12" s="92"/>
      <c r="J12" s="17">
        <f t="shared" si="1"/>
        <v>0</v>
      </c>
      <c r="K12" s="17">
        <f t="shared" si="2"/>
        <v>0</v>
      </c>
      <c r="L12" s="17">
        <f t="shared" si="3"/>
        <v>0</v>
      </c>
      <c r="M12" s="17">
        <f t="shared" si="4"/>
        <v>0</v>
      </c>
      <c r="N12" s="48"/>
    </row>
    <row r="13" spans="1:14">
      <c r="A13" s="26">
        <v>10</v>
      </c>
      <c r="B13" s="27">
        <v>45940</v>
      </c>
      <c r="C13" s="17"/>
      <c r="D13" s="17"/>
      <c r="E13" s="92"/>
      <c r="F13" s="92"/>
      <c r="G13" s="17">
        <f t="shared" si="0"/>
        <v>0</v>
      </c>
      <c r="H13" s="92"/>
      <c r="I13" s="92"/>
      <c r="J13" s="17">
        <f t="shared" si="1"/>
        <v>0</v>
      </c>
      <c r="K13" s="17">
        <f t="shared" si="2"/>
        <v>0</v>
      </c>
      <c r="L13" s="17">
        <f t="shared" si="3"/>
        <v>0</v>
      </c>
      <c r="M13" s="17">
        <f t="shared" si="4"/>
        <v>0</v>
      </c>
      <c r="N13" s="48"/>
    </row>
    <row r="14" spans="1:14">
      <c r="A14" s="26">
        <v>11</v>
      </c>
      <c r="B14" s="27">
        <v>45941</v>
      </c>
      <c r="C14" s="17"/>
      <c r="D14" s="17"/>
      <c r="E14" s="92"/>
      <c r="F14" s="92"/>
      <c r="G14" s="17">
        <f t="shared" si="0"/>
        <v>0</v>
      </c>
      <c r="H14" s="92"/>
      <c r="I14" s="92"/>
      <c r="J14" s="17">
        <f t="shared" si="1"/>
        <v>0</v>
      </c>
      <c r="K14" s="17">
        <f t="shared" si="2"/>
        <v>0</v>
      </c>
      <c r="L14" s="17">
        <f t="shared" si="3"/>
        <v>0</v>
      </c>
      <c r="M14" s="17">
        <f t="shared" si="4"/>
        <v>0</v>
      </c>
      <c r="N14" s="48"/>
    </row>
    <row r="15" spans="1:14">
      <c r="A15" s="26">
        <v>12</v>
      </c>
      <c r="B15" s="27">
        <v>45942</v>
      </c>
      <c r="C15" s="17"/>
      <c r="D15" s="17"/>
      <c r="E15" s="92"/>
      <c r="F15" s="92"/>
      <c r="G15" s="17">
        <f t="shared" si="0"/>
        <v>0</v>
      </c>
      <c r="H15" s="92"/>
      <c r="I15" s="92"/>
      <c r="J15" s="17">
        <f t="shared" si="1"/>
        <v>0</v>
      </c>
      <c r="K15" s="17">
        <f t="shared" si="2"/>
        <v>0</v>
      </c>
      <c r="L15" s="17">
        <f t="shared" si="3"/>
        <v>0</v>
      </c>
      <c r="M15" s="17">
        <f t="shared" si="4"/>
        <v>0</v>
      </c>
      <c r="N15" s="48"/>
    </row>
    <row r="16" spans="1:14">
      <c r="A16" s="26">
        <v>13</v>
      </c>
      <c r="B16" s="27">
        <v>45943</v>
      </c>
      <c r="C16" s="17"/>
      <c r="D16" s="17"/>
      <c r="E16" s="92">
        <v>245</v>
      </c>
      <c r="F16" s="92">
        <v>92.22</v>
      </c>
      <c r="G16" s="17">
        <f t="shared" si="0"/>
        <v>22593.9</v>
      </c>
      <c r="H16" s="92">
        <v>20</v>
      </c>
      <c r="I16" s="381">
        <v>104.07</v>
      </c>
      <c r="J16" s="17">
        <f t="shared" si="1"/>
        <v>2081.3999999999996</v>
      </c>
      <c r="K16" s="17">
        <f t="shared" si="2"/>
        <v>24675.300000000003</v>
      </c>
      <c r="L16" s="17">
        <f t="shared" si="3"/>
        <v>24675.300000000003</v>
      </c>
      <c r="M16" s="17">
        <f t="shared" si="4"/>
        <v>0</v>
      </c>
      <c r="N16" s="48"/>
    </row>
    <row r="17" spans="1:14">
      <c r="A17" s="26">
        <v>14</v>
      </c>
      <c r="B17" s="27">
        <v>45944</v>
      </c>
      <c r="C17" s="17"/>
      <c r="D17" s="17"/>
      <c r="E17" s="92"/>
      <c r="F17" s="92"/>
      <c r="G17" s="17">
        <f t="shared" si="0"/>
        <v>0</v>
      </c>
      <c r="H17" s="92"/>
      <c r="I17" s="92"/>
      <c r="J17" s="17">
        <f t="shared" si="1"/>
        <v>0</v>
      </c>
      <c r="K17" s="17">
        <f t="shared" si="2"/>
        <v>0</v>
      </c>
      <c r="L17" s="17">
        <f t="shared" si="3"/>
        <v>0</v>
      </c>
      <c r="M17" s="17">
        <f t="shared" si="4"/>
        <v>0</v>
      </c>
      <c r="N17" s="48"/>
    </row>
    <row r="18" spans="1:14">
      <c r="A18" s="26">
        <v>15</v>
      </c>
      <c r="B18" s="27">
        <v>45945</v>
      </c>
      <c r="C18" s="17"/>
      <c r="D18" s="17"/>
      <c r="E18" s="92"/>
      <c r="F18" s="92"/>
      <c r="G18" s="17">
        <f t="shared" si="0"/>
        <v>0</v>
      </c>
      <c r="H18" s="92"/>
      <c r="I18" s="92"/>
      <c r="J18" s="17">
        <f t="shared" si="1"/>
        <v>0</v>
      </c>
      <c r="K18" s="17">
        <f t="shared" si="2"/>
        <v>0</v>
      </c>
      <c r="L18" s="17">
        <f t="shared" si="3"/>
        <v>0</v>
      </c>
      <c r="M18" s="17">
        <f t="shared" si="4"/>
        <v>0</v>
      </c>
      <c r="N18" s="48"/>
    </row>
    <row r="19" spans="1:14">
      <c r="A19" s="26">
        <v>16</v>
      </c>
      <c r="B19" s="27">
        <v>45946</v>
      </c>
      <c r="C19" s="17"/>
      <c r="D19" s="17"/>
      <c r="E19" s="92"/>
      <c r="F19" s="92"/>
      <c r="G19" s="17">
        <f t="shared" si="0"/>
        <v>0</v>
      </c>
      <c r="H19" s="92"/>
      <c r="I19" s="92"/>
      <c r="J19" s="17">
        <f t="shared" si="1"/>
        <v>0</v>
      </c>
      <c r="K19" s="17">
        <f t="shared" si="2"/>
        <v>0</v>
      </c>
      <c r="L19" s="17">
        <f t="shared" si="3"/>
        <v>0</v>
      </c>
      <c r="M19" s="17">
        <f t="shared" si="4"/>
        <v>0</v>
      </c>
      <c r="N19" s="48"/>
    </row>
    <row r="20" spans="1:14">
      <c r="A20" s="26">
        <v>17</v>
      </c>
      <c r="B20" s="27">
        <v>45947</v>
      </c>
      <c r="C20" s="17"/>
      <c r="D20" s="17"/>
      <c r="E20" s="92"/>
      <c r="F20" s="92"/>
      <c r="G20" s="17">
        <f t="shared" si="0"/>
        <v>0</v>
      </c>
      <c r="H20" s="92"/>
      <c r="I20" s="92"/>
      <c r="J20" s="17">
        <f t="shared" si="1"/>
        <v>0</v>
      </c>
      <c r="K20" s="17">
        <f t="shared" si="2"/>
        <v>0</v>
      </c>
      <c r="L20" s="17">
        <f t="shared" si="3"/>
        <v>0</v>
      </c>
      <c r="M20" s="17">
        <f t="shared" si="4"/>
        <v>0</v>
      </c>
      <c r="N20" s="48"/>
    </row>
    <row r="21" spans="1:14">
      <c r="A21" s="26">
        <v>18</v>
      </c>
      <c r="B21" s="27">
        <v>45948</v>
      </c>
      <c r="C21" s="17"/>
      <c r="D21" s="17"/>
      <c r="E21" s="92">
        <v>270</v>
      </c>
      <c r="F21" s="92">
        <v>92.22</v>
      </c>
      <c r="G21" s="17">
        <f t="shared" si="0"/>
        <v>24899.4</v>
      </c>
      <c r="H21" s="92"/>
      <c r="I21" s="92"/>
      <c r="J21" s="17">
        <f t="shared" si="1"/>
        <v>0</v>
      </c>
      <c r="K21" s="17">
        <f t="shared" si="2"/>
        <v>24899.4</v>
      </c>
      <c r="L21" s="17">
        <f t="shared" si="3"/>
        <v>24899.4</v>
      </c>
      <c r="M21" s="17">
        <f t="shared" si="4"/>
        <v>0</v>
      </c>
      <c r="N21" s="48"/>
    </row>
    <row r="22" spans="1:14">
      <c r="A22" s="26">
        <v>19</v>
      </c>
      <c r="B22" s="27">
        <v>45949</v>
      </c>
      <c r="C22" s="17"/>
      <c r="D22" s="17"/>
      <c r="E22" s="92"/>
      <c r="F22" s="92"/>
      <c r="G22" s="17">
        <f t="shared" si="0"/>
        <v>0</v>
      </c>
      <c r="H22" s="92"/>
      <c r="I22" s="92"/>
      <c r="J22" s="17">
        <f t="shared" si="1"/>
        <v>0</v>
      </c>
      <c r="K22" s="17">
        <f t="shared" si="2"/>
        <v>0</v>
      </c>
      <c r="L22" s="17">
        <f t="shared" si="3"/>
        <v>0</v>
      </c>
      <c r="M22" s="17">
        <f t="shared" si="4"/>
        <v>0</v>
      </c>
      <c r="N22" s="48"/>
    </row>
    <row r="23" spans="1:14">
      <c r="A23" s="26">
        <v>20</v>
      </c>
      <c r="B23" s="27">
        <v>45950</v>
      </c>
      <c r="C23" s="17"/>
      <c r="D23" s="17"/>
      <c r="E23" s="92"/>
      <c r="F23" s="92"/>
      <c r="G23" s="17">
        <f t="shared" si="0"/>
        <v>0</v>
      </c>
      <c r="H23" s="92"/>
      <c r="I23" s="92"/>
      <c r="J23" s="17">
        <f t="shared" si="1"/>
        <v>0</v>
      </c>
      <c r="K23" s="17">
        <f t="shared" si="2"/>
        <v>0</v>
      </c>
      <c r="L23" s="17">
        <f t="shared" si="3"/>
        <v>0</v>
      </c>
      <c r="M23" s="17">
        <f t="shared" si="4"/>
        <v>0</v>
      </c>
      <c r="N23" s="48"/>
    </row>
    <row r="24" spans="1:14">
      <c r="A24" s="26">
        <v>21</v>
      </c>
      <c r="B24" s="27">
        <v>45951</v>
      </c>
      <c r="C24" s="17"/>
      <c r="D24" s="17"/>
      <c r="E24" s="92"/>
      <c r="F24" s="92"/>
      <c r="G24" s="17">
        <f t="shared" si="0"/>
        <v>0</v>
      </c>
      <c r="H24" s="92"/>
      <c r="I24" s="92"/>
      <c r="J24" s="17">
        <f t="shared" si="1"/>
        <v>0</v>
      </c>
      <c r="K24" s="17">
        <f t="shared" si="2"/>
        <v>0</v>
      </c>
      <c r="L24" s="17">
        <f t="shared" si="3"/>
        <v>0</v>
      </c>
      <c r="M24" s="17">
        <f t="shared" si="4"/>
        <v>0</v>
      </c>
      <c r="N24" s="48"/>
    </row>
    <row r="25" spans="1:14">
      <c r="A25" s="26">
        <v>22</v>
      </c>
      <c r="B25" s="27">
        <v>45952</v>
      </c>
      <c r="C25" s="17"/>
      <c r="D25" s="17"/>
      <c r="E25" s="92"/>
      <c r="F25" s="92"/>
      <c r="G25" s="17">
        <f t="shared" si="0"/>
        <v>0</v>
      </c>
      <c r="H25" s="92"/>
      <c r="I25" s="92"/>
      <c r="J25" s="17">
        <f t="shared" si="1"/>
        <v>0</v>
      </c>
      <c r="K25" s="17">
        <f t="shared" si="2"/>
        <v>0</v>
      </c>
      <c r="L25" s="17">
        <f t="shared" si="3"/>
        <v>0</v>
      </c>
      <c r="M25" s="17">
        <f t="shared" si="4"/>
        <v>0</v>
      </c>
      <c r="N25" s="48"/>
    </row>
    <row r="26" spans="1:14">
      <c r="A26" s="26">
        <v>23</v>
      </c>
      <c r="B26" s="27">
        <v>45953</v>
      </c>
      <c r="C26" s="17"/>
      <c r="D26" s="17"/>
      <c r="E26" s="92"/>
      <c r="F26" s="92"/>
      <c r="G26" s="17">
        <f t="shared" si="0"/>
        <v>0</v>
      </c>
      <c r="H26" s="92"/>
      <c r="I26" s="92"/>
      <c r="J26" s="17">
        <f t="shared" si="1"/>
        <v>0</v>
      </c>
      <c r="K26" s="17">
        <f t="shared" si="2"/>
        <v>0</v>
      </c>
      <c r="L26" s="17">
        <f t="shared" si="3"/>
        <v>0</v>
      </c>
      <c r="M26" s="17">
        <f t="shared" si="4"/>
        <v>0</v>
      </c>
      <c r="N26" s="48"/>
    </row>
    <row r="27" spans="1:14">
      <c r="A27" s="26">
        <v>24</v>
      </c>
      <c r="B27" s="27">
        <v>45954</v>
      </c>
      <c r="C27" s="17"/>
      <c r="D27" s="17"/>
      <c r="E27" s="92"/>
      <c r="F27" s="92"/>
      <c r="G27" s="17">
        <f t="shared" si="0"/>
        <v>0</v>
      </c>
      <c r="H27" s="92"/>
      <c r="I27" s="92"/>
      <c r="J27" s="17">
        <f t="shared" si="1"/>
        <v>0</v>
      </c>
      <c r="K27" s="17">
        <f t="shared" si="2"/>
        <v>0</v>
      </c>
      <c r="L27" s="17">
        <f t="shared" si="3"/>
        <v>0</v>
      </c>
      <c r="M27" s="17">
        <f t="shared" si="4"/>
        <v>0</v>
      </c>
      <c r="N27" s="48"/>
    </row>
    <row r="28" spans="1:14">
      <c r="A28" s="26">
        <v>25</v>
      </c>
      <c r="B28" s="27">
        <v>45955</v>
      </c>
      <c r="C28" s="17"/>
      <c r="D28" s="17"/>
      <c r="E28" s="92">
        <v>219.99600000000001</v>
      </c>
      <c r="F28" s="92">
        <v>92.17</v>
      </c>
      <c r="G28" s="17">
        <f t="shared" si="0"/>
        <v>20277.031320000002</v>
      </c>
      <c r="H28" s="92">
        <v>15</v>
      </c>
      <c r="I28" s="92">
        <v>104.02</v>
      </c>
      <c r="J28" s="17">
        <f t="shared" si="1"/>
        <v>1560.3</v>
      </c>
      <c r="K28" s="17">
        <f>G28+J28</f>
        <v>21837.331320000001</v>
      </c>
      <c r="L28" s="17">
        <f t="shared" si="3"/>
        <v>21837.331320000001</v>
      </c>
      <c r="M28" s="17">
        <v>0</v>
      </c>
      <c r="N28" s="48"/>
    </row>
    <row r="29" spans="1:14">
      <c r="A29" s="26">
        <v>26</v>
      </c>
      <c r="B29" s="27">
        <v>45956</v>
      </c>
      <c r="C29" s="17"/>
      <c r="D29" s="17"/>
      <c r="E29" s="92"/>
      <c r="F29" s="92"/>
      <c r="G29" s="17">
        <f t="shared" si="0"/>
        <v>0</v>
      </c>
      <c r="H29" s="92"/>
      <c r="I29" s="92"/>
      <c r="J29" s="17">
        <f t="shared" si="1"/>
        <v>0</v>
      </c>
      <c r="K29" s="17">
        <f t="shared" si="2"/>
        <v>0</v>
      </c>
      <c r="L29" s="17">
        <f t="shared" si="3"/>
        <v>0</v>
      </c>
      <c r="M29" s="17">
        <v>0</v>
      </c>
      <c r="N29" s="48"/>
    </row>
    <row r="30" spans="1:14">
      <c r="A30" s="26">
        <v>27</v>
      </c>
      <c r="B30" s="27">
        <v>45957</v>
      </c>
      <c r="C30" s="17"/>
      <c r="D30" s="17"/>
      <c r="E30" s="92"/>
      <c r="F30" s="92"/>
      <c r="G30" s="17">
        <f t="shared" si="0"/>
        <v>0</v>
      </c>
      <c r="H30" s="92"/>
      <c r="I30" s="92"/>
      <c r="J30" s="17">
        <f t="shared" si="1"/>
        <v>0</v>
      </c>
      <c r="K30" s="17">
        <f t="shared" si="2"/>
        <v>0</v>
      </c>
      <c r="L30" s="17">
        <f t="shared" si="3"/>
        <v>0</v>
      </c>
      <c r="M30" s="17">
        <v>0</v>
      </c>
      <c r="N30" s="48"/>
    </row>
    <row r="31" spans="1:14">
      <c r="A31" s="26">
        <v>28</v>
      </c>
      <c r="B31" s="27">
        <v>45958</v>
      </c>
      <c r="C31" s="17"/>
      <c r="D31" s="17"/>
      <c r="E31" s="92"/>
      <c r="F31" s="92"/>
      <c r="G31" s="17">
        <f t="shared" si="0"/>
        <v>0</v>
      </c>
      <c r="H31" s="92"/>
      <c r="I31" s="92"/>
      <c r="J31" s="17">
        <f t="shared" si="1"/>
        <v>0</v>
      </c>
      <c r="K31" s="17">
        <f t="shared" si="2"/>
        <v>0</v>
      </c>
      <c r="L31" s="17">
        <f t="shared" si="3"/>
        <v>0</v>
      </c>
      <c r="M31" s="17">
        <v>0</v>
      </c>
      <c r="N31" s="48"/>
    </row>
    <row r="32" spans="1:14">
      <c r="A32" s="26">
        <v>29</v>
      </c>
      <c r="B32" s="27">
        <v>45959</v>
      </c>
      <c r="C32" s="17"/>
      <c r="D32" s="17"/>
      <c r="E32" s="92"/>
      <c r="F32" s="92"/>
      <c r="G32" s="17">
        <f t="shared" si="0"/>
        <v>0</v>
      </c>
      <c r="H32" s="92"/>
      <c r="I32" s="92"/>
      <c r="J32" s="17">
        <f t="shared" si="1"/>
        <v>0</v>
      </c>
      <c r="K32" s="17">
        <f t="shared" si="2"/>
        <v>0</v>
      </c>
      <c r="L32" s="17">
        <f t="shared" si="3"/>
        <v>0</v>
      </c>
      <c r="M32" s="17"/>
      <c r="N32" s="48"/>
    </row>
    <row r="33" spans="1:14">
      <c r="A33" s="26">
        <v>30</v>
      </c>
      <c r="B33" s="27">
        <v>45960</v>
      </c>
      <c r="C33" s="17"/>
      <c r="D33" s="17"/>
      <c r="E33" s="92"/>
      <c r="F33" s="92"/>
      <c r="G33" s="17">
        <f t="shared" si="0"/>
        <v>0</v>
      </c>
      <c r="H33" s="92"/>
      <c r="I33" s="92"/>
      <c r="J33" s="17">
        <f t="shared" si="1"/>
        <v>0</v>
      </c>
      <c r="K33" s="17">
        <f t="shared" si="2"/>
        <v>0</v>
      </c>
      <c r="L33" s="17">
        <f t="shared" si="3"/>
        <v>0</v>
      </c>
      <c r="M33" s="17"/>
      <c r="N33" s="48"/>
    </row>
    <row r="34" spans="1:14">
      <c r="A34" s="26"/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26">
        <v>31</v>
      </c>
      <c r="B35" s="405"/>
      <c r="C35" s="17"/>
      <c r="D35" s="17"/>
      <c r="E35" s="92"/>
      <c r="F35" s="92"/>
      <c r="G35" s="17"/>
      <c r="H35" s="92"/>
      <c r="I35" s="92"/>
      <c r="J35" s="17"/>
      <c r="K35" s="17"/>
      <c r="L35" s="17">
        <f>H35+K35</f>
        <v>0</v>
      </c>
      <c r="M35" s="17"/>
      <c r="N35" s="48"/>
    </row>
    <row r="36" spans="1:14">
      <c r="A36" s="46"/>
      <c r="B36" s="46"/>
      <c r="C36" s="46"/>
      <c r="D36" s="46"/>
      <c r="E36" s="46">
        <f>SUM(E4:E35)</f>
        <v>1199.9960000000001</v>
      </c>
      <c r="F36" s="46"/>
      <c r="G36" s="46">
        <f>SUM(G4:G35)</f>
        <v>110652.63132000001</v>
      </c>
      <c r="H36" s="46">
        <f>SUM(H4:H35)</f>
        <v>45</v>
      </c>
      <c r="I36" s="46"/>
      <c r="J36" s="46">
        <f>SUM(J4:J35)</f>
        <v>4682.3999999999996</v>
      </c>
      <c r="K36" s="46">
        <f>SUM(K4:K35)</f>
        <v>115335.03132000001</v>
      </c>
      <c r="L36" s="46">
        <f>SUM(L4:L35)</f>
        <v>115335.03132000001</v>
      </c>
      <c r="M36" s="46"/>
      <c r="N36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R50"/>
  <sheetViews>
    <sheetView workbookViewId="0">
      <pane ySplit="2" topLeftCell="A3" activePane="bottomLeft" state="frozen"/>
      <selection pane="bottomLeft" activeCell="L36" sqref="L36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29" t="s">
        <v>66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9"/>
    </row>
    <row r="2" spans="1:15" ht="18" customHeight="1">
      <c r="A2" s="70" t="s">
        <v>96</v>
      </c>
      <c r="B2" s="89" t="s">
        <v>97</v>
      </c>
      <c r="C2" s="89" t="s">
        <v>98</v>
      </c>
      <c r="D2" s="89" t="s">
        <v>99</v>
      </c>
      <c r="E2" s="89" t="s">
        <v>100</v>
      </c>
      <c r="F2" s="89" t="s">
        <v>101</v>
      </c>
      <c r="G2" s="89" t="s">
        <v>102</v>
      </c>
      <c r="H2" s="89" t="s">
        <v>103</v>
      </c>
      <c r="I2" s="89" t="s">
        <v>101</v>
      </c>
      <c r="J2" s="90" t="s">
        <v>102</v>
      </c>
      <c r="K2" s="70" t="s">
        <v>104</v>
      </c>
      <c r="L2" s="91" t="s">
        <v>105</v>
      </c>
      <c r="M2" s="174" t="s">
        <v>110</v>
      </c>
      <c r="N2" s="89" t="s">
        <v>107</v>
      </c>
      <c r="O2" s="65"/>
    </row>
    <row r="3" spans="1:15" ht="18" customHeight="1">
      <c r="A3" s="152"/>
      <c r="B3" s="153"/>
      <c r="C3" s="153"/>
      <c r="D3" s="139" t="s">
        <v>108</v>
      </c>
      <c r="E3" s="153"/>
      <c r="F3" s="153"/>
      <c r="G3" s="153"/>
      <c r="H3" s="153"/>
      <c r="I3" s="153"/>
      <c r="J3" s="154"/>
      <c r="K3" s="285"/>
      <c r="L3" s="248">
        <v>100388.60509999996</v>
      </c>
      <c r="M3" s="248">
        <v>100388.60509999996</v>
      </c>
      <c r="N3" s="153"/>
      <c r="O3" s="65"/>
    </row>
    <row r="4" spans="1:15">
      <c r="A4" s="50">
        <v>1</v>
      </c>
      <c r="B4" s="213">
        <v>45931</v>
      </c>
      <c r="C4" s="25"/>
      <c r="D4" s="25"/>
      <c r="E4" s="8">
        <v>50</v>
      </c>
      <c r="F4" s="8">
        <v>91.47</v>
      </c>
      <c r="G4" s="8">
        <f>E4*F4</f>
        <v>4573.5</v>
      </c>
      <c r="H4" s="9">
        <v>0</v>
      </c>
      <c r="I4" s="9">
        <v>0</v>
      </c>
      <c r="J4" s="8">
        <f>H4*I4</f>
        <v>0</v>
      </c>
      <c r="K4" s="8">
        <f>G4+J4</f>
        <v>4573.5</v>
      </c>
      <c r="L4" s="155">
        <v>0</v>
      </c>
      <c r="M4" s="8">
        <f>M3+K4-L4</f>
        <v>104962.10509999996</v>
      </c>
      <c r="N4" s="48"/>
      <c r="O4" s="1"/>
    </row>
    <row r="5" spans="1:15">
      <c r="A5" s="50">
        <v>2</v>
      </c>
      <c r="B5" s="213">
        <v>45932</v>
      </c>
      <c r="C5" s="25"/>
      <c r="D5" s="25"/>
      <c r="E5" s="8">
        <v>0</v>
      </c>
      <c r="F5" s="8">
        <v>0</v>
      </c>
      <c r="G5" s="8">
        <f t="shared" ref="G5:G35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5" si="2">G5+J5</f>
        <v>0</v>
      </c>
      <c r="L5" s="155">
        <v>0</v>
      </c>
      <c r="M5" s="8">
        <f t="shared" ref="M5:M35" si="3">M4+K5-L5</f>
        <v>104962.10509999996</v>
      </c>
      <c r="N5" s="48"/>
      <c r="O5" s="1"/>
    </row>
    <row r="6" spans="1:15">
      <c r="A6" s="50">
        <v>3</v>
      </c>
      <c r="B6" s="213">
        <v>45933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5">
        <v>0</v>
      </c>
      <c r="M6" s="8">
        <f t="shared" si="3"/>
        <v>104962.10509999996</v>
      </c>
      <c r="N6" s="48"/>
      <c r="O6" s="1"/>
    </row>
    <row r="7" spans="1:15">
      <c r="A7" s="50">
        <v>4</v>
      </c>
      <c r="B7" s="213">
        <v>45934</v>
      </c>
      <c r="C7" s="25"/>
      <c r="D7" s="25"/>
      <c r="E7" s="8">
        <v>159</v>
      </c>
      <c r="F7" s="8">
        <v>91.47</v>
      </c>
      <c r="G7" s="8">
        <f t="shared" si="0"/>
        <v>14543.73</v>
      </c>
      <c r="H7" s="9">
        <v>15</v>
      </c>
      <c r="I7" s="9">
        <v>103.4</v>
      </c>
      <c r="J7" s="8">
        <f t="shared" si="1"/>
        <v>1551</v>
      </c>
      <c r="K7" s="8">
        <f t="shared" si="2"/>
        <v>16094.73</v>
      </c>
      <c r="L7" s="155">
        <v>0</v>
      </c>
      <c r="M7" s="8">
        <f t="shared" si="3"/>
        <v>121056.83509999995</v>
      </c>
      <c r="N7" s="48"/>
      <c r="O7" s="1"/>
    </row>
    <row r="8" spans="1:15">
      <c r="A8" s="50">
        <v>5</v>
      </c>
      <c r="B8" s="213">
        <v>45935</v>
      </c>
      <c r="C8" s="25"/>
      <c r="D8" s="25"/>
      <c r="E8" s="8">
        <v>131.01</v>
      </c>
      <c r="F8" s="8">
        <v>91.47</v>
      </c>
      <c r="G8" s="8">
        <f t="shared" si="0"/>
        <v>11983.484699999999</v>
      </c>
      <c r="H8" s="9">
        <v>0</v>
      </c>
      <c r="I8" s="9">
        <v>0</v>
      </c>
      <c r="J8" s="8">
        <f t="shared" si="1"/>
        <v>0</v>
      </c>
      <c r="K8" s="8">
        <f t="shared" si="2"/>
        <v>11983.484699999999</v>
      </c>
      <c r="L8" s="155">
        <v>0</v>
      </c>
      <c r="M8" s="8">
        <f t="shared" si="3"/>
        <v>133040.31979999994</v>
      </c>
      <c r="N8" s="48"/>
      <c r="O8" s="1"/>
    </row>
    <row r="9" spans="1:15">
      <c r="A9" s="50">
        <v>6</v>
      </c>
      <c r="B9" s="213">
        <v>45936</v>
      </c>
      <c r="C9" s="25"/>
      <c r="D9" s="25"/>
      <c r="E9" s="8">
        <v>230</v>
      </c>
      <c r="F9" s="8">
        <v>91.47</v>
      </c>
      <c r="G9" s="8">
        <f t="shared" si="0"/>
        <v>21038.1</v>
      </c>
      <c r="H9" s="9">
        <v>0</v>
      </c>
      <c r="I9" s="9">
        <v>0</v>
      </c>
      <c r="J9" s="8">
        <f t="shared" si="1"/>
        <v>0</v>
      </c>
      <c r="K9" s="8">
        <f t="shared" si="2"/>
        <v>21038.1</v>
      </c>
      <c r="L9" s="155">
        <v>0</v>
      </c>
      <c r="M9" s="8">
        <f t="shared" si="3"/>
        <v>154078.41979999995</v>
      </c>
      <c r="N9" s="48"/>
      <c r="O9" s="1"/>
    </row>
    <row r="10" spans="1:15">
      <c r="A10" s="50">
        <v>7</v>
      </c>
      <c r="B10" s="213">
        <v>45937</v>
      </c>
      <c r="C10" s="25"/>
      <c r="D10" s="25"/>
      <c r="E10" s="8">
        <v>156.49</v>
      </c>
      <c r="F10" s="8">
        <v>91.47</v>
      </c>
      <c r="G10" s="8">
        <f t="shared" si="0"/>
        <v>14314.140300000001</v>
      </c>
      <c r="H10" s="9">
        <v>0</v>
      </c>
      <c r="I10" s="9">
        <v>0</v>
      </c>
      <c r="J10" s="8">
        <f t="shared" si="1"/>
        <v>0</v>
      </c>
      <c r="K10" s="8">
        <f t="shared" si="2"/>
        <v>14314.140300000001</v>
      </c>
      <c r="L10" s="155">
        <v>100000</v>
      </c>
      <c r="M10" s="8">
        <f t="shared" si="3"/>
        <v>68392.560099999944</v>
      </c>
      <c r="N10" s="48"/>
      <c r="O10" s="1"/>
    </row>
    <row r="11" spans="1:15">
      <c r="A11" s="50">
        <v>8</v>
      </c>
      <c r="B11" s="213">
        <v>45938</v>
      </c>
      <c r="C11" s="25"/>
      <c r="D11" s="25"/>
      <c r="E11" s="8">
        <v>100.01</v>
      </c>
      <c r="F11" s="8">
        <v>91.47</v>
      </c>
      <c r="G11" s="8">
        <f t="shared" si="0"/>
        <v>9147.9147000000012</v>
      </c>
      <c r="H11" s="9">
        <v>11.12</v>
      </c>
      <c r="I11" s="9">
        <v>103.4</v>
      </c>
      <c r="J11" s="8">
        <f t="shared" si="1"/>
        <v>1149.808</v>
      </c>
      <c r="K11" s="8">
        <f t="shared" si="2"/>
        <v>10297.722700000002</v>
      </c>
      <c r="L11" s="155">
        <v>0</v>
      </c>
      <c r="M11" s="8">
        <f t="shared" si="3"/>
        <v>78690.282799999943</v>
      </c>
      <c r="N11" s="48"/>
      <c r="O11" s="1"/>
    </row>
    <row r="12" spans="1:15">
      <c r="A12" s="50">
        <v>9</v>
      </c>
      <c r="B12" s="213">
        <v>45939</v>
      </c>
      <c r="C12" s="25"/>
      <c r="D12" s="25"/>
      <c r="E12" s="8">
        <v>111</v>
      </c>
      <c r="F12" s="8">
        <v>91.47</v>
      </c>
      <c r="G12" s="8">
        <f t="shared" si="0"/>
        <v>10153.17</v>
      </c>
      <c r="H12" s="9">
        <v>7.84</v>
      </c>
      <c r="I12" s="9">
        <v>103.4</v>
      </c>
      <c r="J12" s="8">
        <f t="shared" si="1"/>
        <v>810.65600000000006</v>
      </c>
      <c r="K12" s="8">
        <f t="shared" si="2"/>
        <v>10963.826000000001</v>
      </c>
      <c r="L12" s="155">
        <v>0</v>
      </c>
      <c r="M12" s="8">
        <f t="shared" si="3"/>
        <v>89654.108799999944</v>
      </c>
      <c r="N12" s="48"/>
      <c r="O12" s="1" t="s">
        <v>146</v>
      </c>
    </row>
    <row r="13" spans="1:15">
      <c r="A13" s="50">
        <v>10</v>
      </c>
      <c r="B13" s="213">
        <v>45940</v>
      </c>
      <c r="C13" s="25"/>
      <c r="D13" s="25"/>
      <c r="E13" s="8">
        <v>200.01</v>
      </c>
      <c r="F13" s="8">
        <v>91.47</v>
      </c>
      <c r="G13" s="8">
        <f t="shared" si="0"/>
        <v>18294.914699999998</v>
      </c>
      <c r="H13" s="9">
        <v>6.5</v>
      </c>
      <c r="I13" s="9">
        <v>103.4</v>
      </c>
      <c r="J13" s="8">
        <f t="shared" si="1"/>
        <v>672.1</v>
      </c>
      <c r="K13" s="8">
        <f t="shared" si="2"/>
        <v>18967.014699999996</v>
      </c>
      <c r="L13" s="155">
        <v>0</v>
      </c>
      <c r="M13" s="8">
        <f t="shared" si="3"/>
        <v>108621.12349999994</v>
      </c>
      <c r="N13" s="48"/>
      <c r="O13" s="1"/>
    </row>
    <row r="14" spans="1:15">
      <c r="A14" s="50">
        <v>11</v>
      </c>
      <c r="B14" s="213">
        <v>45941</v>
      </c>
      <c r="C14" s="25"/>
      <c r="D14" s="25"/>
      <c r="E14" s="8">
        <v>180</v>
      </c>
      <c r="F14" s="8">
        <v>91.47</v>
      </c>
      <c r="G14" s="8">
        <f t="shared" si="0"/>
        <v>16464.599999999999</v>
      </c>
      <c r="H14" s="9">
        <v>0</v>
      </c>
      <c r="I14" s="9">
        <v>0</v>
      </c>
      <c r="J14" s="8">
        <f t="shared" si="1"/>
        <v>0</v>
      </c>
      <c r="K14" s="8">
        <f t="shared" si="2"/>
        <v>16464.599999999999</v>
      </c>
      <c r="L14" s="155">
        <v>0</v>
      </c>
      <c r="M14" s="8">
        <f t="shared" si="3"/>
        <v>125085.72349999993</v>
      </c>
      <c r="N14" s="48"/>
      <c r="O14" s="1"/>
    </row>
    <row r="15" spans="1:15">
      <c r="A15" s="50">
        <v>12</v>
      </c>
      <c r="B15" s="213">
        <v>45942</v>
      </c>
      <c r="C15" s="25"/>
      <c r="D15" s="25"/>
      <c r="E15" s="8">
        <v>130</v>
      </c>
      <c r="F15" s="8">
        <v>91.47</v>
      </c>
      <c r="G15" s="8">
        <f t="shared" si="0"/>
        <v>11891.1</v>
      </c>
      <c r="H15" s="9">
        <v>0</v>
      </c>
      <c r="I15" s="9">
        <v>0</v>
      </c>
      <c r="J15" s="8">
        <f t="shared" si="1"/>
        <v>0</v>
      </c>
      <c r="K15" s="8">
        <f t="shared" si="2"/>
        <v>11891.1</v>
      </c>
      <c r="L15" s="155">
        <v>0</v>
      </c>
      <c r="M15" s="8">
        <f t="shared" si="3"/>
        <v>136976.82349999994</v>
      </c>
      <c r="N15" s="48"/>
      <c r="O15" s="1"/>
    </row>
    <row r="16" spans="1:15">
      <c r="A16" s="50">
        <v>13</v>
      </c>
      <c r="B16" s="213">
        <v>45943</v>
      </c>
      <c r="C16" s="25"/>
      <c r="D16" s="25"/>
      <c r="E16" s="8">
        <v>179.3</v>
      </c>
      <c r="F16" s="8">
        <v>91.47</v>
      </c>
      <c r="G16" s="8">
        <f t="shared" si="0"/>
        <v>16400.571</v>
      </c>
      <c r="H16" s="9">
        <v>5</v>
      </c>
      <c r="I16" s="9">
        <v>103.4</v>
      </c>
      <c r="J16" s="8">
        <f t="shared" si="1"/>
        <v>517</v>
      </c>
      <c r="K16" s="8">
        <f t="shared" si="2"/>
        <v>16917.571</v>
      </c>
      <c r="L16" s="155">
        <v>0</v>
      </c>
      <c r="M16" s="8">
        <f>M15+K16-L16</f>
        <v>153894.39449999994</v>
      </c>
      <c r="N16" s="48"/>
      <c r="O16" s="1"/>
    </row>
    <row r="17" spans="1:18">
      <c r="A17" s="50">
        <v>14</v>
      </c>
      <c r="B17" s="213">
        <v>45944</v>
      </c>
      <c r="C17" s="25"/>
      <c r="D17" s="25"/>
      <c r="E17" s="8">
        <v>215.01</v>
      </c>
      <c r="F17" s="8">
        <v>91.47</v>
      </c>
      <c r="G17" s="8">
        <f t="shared" si="0"/>
        <v>19666.9647</v>
      </c>
      <c r="H17" s="9">
        <v>0</v>
      </c>
      <c r="I17" s="9">
        <v>0</v>
      </c>
      <c r="J17" s="8">
        <f t="shared" si="1"/>
        <v>0</v>
      </c>
      <c r="K17" s="8">
        <f t="shared" si="2"/>
        <v>19666.9647</v>
      </c>
      <c r="L17" s="155">
        <v>0</v>
      </c>
      <c r="M17" s="8">
        <f>M16+K17-L17</f>
        <v>173561.35919999995</v>
      </c>
      <c r="N17" s="48"/>
      <c r="O17" s="1"/>
    </row>
    <row r="18" spans="1:18">
      <c r="A18" s="50">
        <v>15</v>
      </c>
      <c r="B18" s="213">
        <v>45945</v>
      </c>
      <c r="C18" s="25"/>
      <c r="D18" s="25"/>
      <c r="E18" s="8">
        <v>385</v>
      </c>
      <c r="F18" s="8">
        <v>91.47</v>
      </c>
      <c r="G18" s="8">
        <f t="shared" si="0"/>
        <v>35215.949999999997</v>
      </c>
      <c r="H18" s="9">
        <v>7</v>
      </c>
      <c r="I18" s="9">
        <v>103.4</v>
      </c>
      <c r="J18" s="8">
        <f t="shared" si="1"/>
        <v>723.80000000000007</v>
      </c>
      <c r="K18" s="8">
        <f t="shared" si="2"/>
        <v>35939.75</v>
      </c>
      <c r="L18" s="155">
        <v>100000</v>
      </c>
      <c r="M18" s="8">
        <f t="shared" si="3"/>
        <v>109501.10919999995</v>
      </c>
      <c r="N18" s="48"/>
      <c r="O18" s="1"/>
    </row>
    <row r="19" spans="1:18">
      <c r="A19" s="50">
        <v>16</v>
      </c>
      <c r="B19" s="213">
        <v>45946</v>
      </c>
      <c r="C19" s="25"/>
      <c r="D19" s="25"/>
      <c r="E19" s="8">
        <v>220.68</v>
      </c>
      <c r="F19" s="8">
        <v>91.47</v>
      </c>
      <c r="G19" s="8">
        <f t="shared" si="0"/>
        <v>20185.599600000001</v>
      </c>
      <c r="H19" s="9">
        <v>0</v>
      </c>
      <c r="I19" s="9">
        <v>0</v>
      </c>
      <c r="J19" s="8">
        <f t="shared" si="1"/>
        <v>0</v>
      </c>
      <c r="K19" s="8">
        <f t="shared" si="2"/>
        <v>20185.599600000001</v>
      </c>
      <c r="L19" s="155">
        <v>0</v>
      </c>
      <c r="M19" s="8">
        <f t="shared" si="3"/>
        <v>129686.70879999995</v>
      </c>
      <c r="N19" s="48"/>
      <c r="O19" s="1"/>
    </row>
    <row r="20" spans="1:18">
      <c r="A20" s="50">
        <v>17</v>
      </c>
      <c r="B20" s="213">
        <v>45947</v>
      </c>
      <c r="C20" s="25"/>
      <c r="D20" s="25"/>
      <c r="E20" s="43">
        <v>521.89</v>
      </c>
      <c r="F20" s="8">
        <v>91.47</v>
      </c>
      <c r="G20" s="8">
        <f t="shared" si="0"/>
        <v>47737.278299999998</v>
      </c>
      <c r="H20" s="9">
        <v>13.02</v>
      </c>
      <c r="I20" s="9">
        <v>103.4</v>
      </c>
      <c r="J20" s="8">
        <f t="shared" si="1"/>
        <v>1346.268</v>
      </c>
      <c r="K20" s="8">
        <f t="shared" si="2"/>
        <v>49083.546300000002</v>
      </c>
      <c r="L20" s="155">
        <v>0</v>
      </c>
      <c r="M20" s="8">
        <f t="shared" si="3"/>
        <v>178770.25509999995</v>
      </c>
      <c r="N20" s="48"/>
      <c r="O20" s="1"/>
    </row>
    <row r="21" spans="1:18">
      <c r="A21" s="50">
        <v>18</v>
      </c>
      <c r="B21" s="213">
        <v>45948</v>
      </c>
      <c r="C21" s="25"/>
      <c r="D21" s="25"/>
      <c r="E21" s="385">
        <v>100</v>
      </c>
      <c r="F21" s="8">
        <v>91.47</v>
      </c>
      <c r="G21" s="8">
        <f t="shared" si="0"/>
        <v>9147</v>
      </c>
      <c r="H21" s="9">
        <v>0</v>
      </c>
      <c r="I21" s="9">
        <v>0</v>
      </c>
      <c r="J21" s="8">
        <f t="shared" si="1"/>
        <v>0</v>
      </c>
      <c r="K21" s="8">
        <f t="shared" si="2"/>
        <v>9147</v>
      </c>
      <c r="L21" s="155">
        <v>0</v>
      </c>
      <c r="M21" s="8">
        <f>M20+K21-L21</f>
        <v>187917.25509999995</v>
      </c>
      <c r="N21" s="48"/>
      <c r="O21" s="1"/>
    </row>
    <row r="22" spans="1:18">
      <c r="A22" s="50">
        <v>19</v>
      </c>
      <c r="B22" s="213">
        <v>45949</v>
      </c>
      <c r="C22" s="25"/>
      <c r="D22" s="25"/>
      <c r="E22" s="385">
        <v>55</v>
      </c>
      <c r="F22" s="8">
        <v>91.47</v>
      </c>
      <c r="G22" s="8">
        <f t="shared" si="0"/>
        <v>5030.8500000000004</v>
      </c>
      <c r="H22" s="9">
        <v>0</v>
      </c>
      <c r="I22" s="9">
        <v>0</v>
      </c>
      <c r="J22" s="8">
        <f t="shared" si="1"/>
        <v>0</v>
      </c>
      <c r="K22" s="8">
        <f t="shared" si="2"/>
        <v>5030.8500000000004</v>
      </c>
      <c r="L22" s="155">
        <v>0</v>
      </c>
      <c r="M22" s="8">
        <f t="shared" si="3"/>
        <v>192948.10509999996</v>
      </c>
      <c r="N22" s="48"/>
      <c r="O22" s="1"/>
    </row>
    <row r="23" spans="1:18">
      <c r="A23" s="50">
        <v>20</v>
      </c>
      <c r="B23" s="213">
        <v>45950</v>
      </c>
      <c r="C23" s="25"/>
      <c r="D23" s="25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0</v>
      </c>
      <c r="M23" s="8">
        <f t="shared" si="3"/>
        <v>192948.10509999996</v>
      </c>
      <c r="N23" s="48"/>
      <c r="O23" s="1"/>
    </row>
    <row r="24" spans="1:18">
      <c r="A24" s="50">
        <v>21</v>
      </c>
      <c r="B24" s="213">
        <v>45951</v>
      </c>
      <c r="C24" s="25"/>
      <c r="D24" s="25"/>
      <c r="E24" s="8">
        <v>253</v>
      </c>
      <c r="F24" s="8">
        <v>91.47</v>
      </c>
      <c r="G24" s="8">
        <f t="shared" si="0"/>
        <v>23141.91</v>
      </c>
      <c r="H24" s="9">
        <v>5</v>
      </c>
      <c r="I24" s="9">
        <v>103.4</v>
      </c>
      <c r="J24" s="8">
        <f t="shared" si="1"/>
        <v>517</v>
      </c>
      <c r="K24" s="8">
        <f t="shared" si="2"/>
        <v>23658.91</v>
      </c>
      <c r="L24" s="155">
        <v>0</v>
      </c>
      <c r="M24" s="8">
        <f t="shared" si="3"/>
        <v>216607.01509999996</v>
      </c>
      <c r="N24" s="48"/>
      <c r="O24" s="1"/>
    </row>
    <row r="25" spans="1:18">
      <c r="A25" s="50">
        <v>22</v>
      </c>
      <c r="B25" s="213">
        <v>45952</v>
      </c>
      <c r="C25" s="25"/>
      <c r="D25" s="25"/>
      <c r="E25" s="385">
        <v>205</v>
      </c>
      <c r="F25" s="385">
        <v>91.47</v>
      </c>
      <c r="G25" s="8">
        <f t="shared" si="0"/>
        <v>18751.349999999999</v>
      </c>
      <c r="H25" s="9">
        <v>0</v>
      </c>
      <c r="I25" s="9">
        <v>0</v>
      </c>
      <c r="J25" s="8">
        <f t="shared" si="1"/>
        <v>0</v>
      </c>
      <c r="K25" s="8">
        <f t="shared" si="2"/>
        <v>18751.349999999999</v>
      </c>
      <c r="L25" s="155">
        <v>0</v>
      </c>
      <c r="M25" s="8">
        <f t="shared" si="3"/>
        <v>235358.36509999997</v>
      </c>
      <c r="N25" s="48"/>
      <c r="O25" s="1"/>
    </row>
    <row r="26" spans="1:18">
      <c r="A26" s="50">
        <v>23</v>
      </c>
      <c r="B26" s="213">
        <v>45953</v>
      </c>
      <c r="C26" s="25"/>
      <c r="D26" s="25"/>
      <c r="E26" s="385">
        <v>158.46</v>
      </c>
      <c r="F26" s="385">
        <v>91.47</v>
      </c>
      <c r="G26" s="8">
        <f t="shared" si="0"/>
        <v>14494.3362</v>
      </c>
      <c r="H26" s="9">
        <v>0</v>
      </c>
      <c r="I26" s="9">
        <v>0</v>
      </c>
      <c r="J26" s="8">
        <f t="shared" si="1"/>
        <v>0</v>
      </c>
      <c r="K26" s="8">
        <f t="shared" si="2"/>
        <v>14494.3362</v>
      </c>
      <c r="L26" s="155">
        <v>0</v>
      </c>
      <c r="M26" s="8">
        <f t="shared" si="3"/>
        <v>249852.70129999996</v>
      </c>
      <c r="N26" s="48"/>
      <c r="O26" s="1"/>
    </row>
    <row r="27" spans="1:18">
      <c r="A27" s="50">
        <v>24</v>
      </c>
      <c r="B27" s="213">
        <v>45954</v>
      </c>
      <c r="C27" s="25"/>
      <c r="D27" s="25"/>
      <c r="E27" s="9">
        <v>67.650000000000006</v>
      </c>
      <c r="F27" s="385">
        <v>91.47</v>
      </c>
      <c r="G27" s="8">
        <f t="shared" si="0"/>
        <v>6187.9455000000007</v>
      </c>
      <c r="H27" s="9">
        <v>23.5</v>
      </c>
      <c r="I27" s="9">
        <v>103.4</v>
      </c>
      <c r="J27" s="8">
        <f t="shared" si="1"/>
        <v>2429.9</v>
      </c>
      <c r="K27" s="8">
        <f t="shared" si="2"/>
        <v>8617.8455000000013</v>
      </c>
      <c r="L27" s="155">
        <v>0</v>
      </c>
      <c r="M27" s="8">
        <f t="shared" si="3"/>
        <v>258470.54679999995</v>
      </c>
      <c r="N27" s="48"/>
      <c r="O27" s="1"/>
    </row>
    <row r="28" spans="1:18">
      <c r="A28" s="50">
        <v>25</v>
      </c>
      <c r="B28" s="213">
        <v>45955</v>
      </c>
      <c r="C28" s="25"/>
      <c r="D28" s="25"/>
      <c r="E28" s="8">
        <v>20</v>
      </c>
      <c r="F28" s="8">
        <v>91.47</v>
      </c>
      <c r="G28" s="8">
        <f t="shared" si="0"/>
        <v>1829.4</v>
      </c>
      <c r="H28" s="9">
        <v>15</v>
      </c>
      <c r="I28" s="9">
        <v>103.4</v>
      </c>
      <c r="J28" s="8">
        <f t="shared" si="1"/>
        <v>1551</v>
      </c>
      <c r="K28" s="8">
        <f t="shared" si="2"/>
        <v>3380.4</v>
      </c>
      <c r="L28" s="155">
        <v>0</v>
      </c>
      <c r="M28" s="8">
        <f t="shared" si="3"/>
        <v>261850.94679999995</v>
      </c>
      <c r="N28" s="48"/>
      <c r="O28" s="1"/>
    </row>
    <row r="29" spans="1:18">
      <c r="A29" s="50">
        <v>26</v>
      </c>
      <c r="B29" s="213">
        <v>45956</v>
      </c>
      <c r="C29" s="25"/>
      <c r="D29" s="25"/>
      <c r="E29" s="8">
        <v>35</v>
      </c>
      <c r="F29" s="8">
        <v>91.47</v>
      </c>
      <c r="G29" s="8">
        <f t="shared" si="0"/>
        <v>3201.45</v>
      </c>
      <c r="H29" s="9">
        <v>0</v>
      </c>
      <c r="I29" s="9">
        <v>0</v>
      </c>
      <c r="J29" s="8">
        <f t="shared" si="1"/>
        <v>0</v>
      </c>
      <c r="K29" s="8">
        <f t="shared" si="2"/>
        <v>3201.45</v>
      </c>
      <c r="L29" s="155">
        <v>0</v>
      </c>
      <c r="M29" s="8">
        <f t="shared" si="3"/>
        <v>265052.39679999993</v>
      </c>
      <c r="N29" s="48"/>
      <c r="O29" s="1"/>
    </row>
    <row r="30" spans="1:18">
      <c r="A30" s="50">
        <v>27</v>
      </c>
      <c r="B30" s="213">
        <v>45957</v>
      </c>
      <c r="C30" s="25"/>
      <c r="D30" s="25"/>
      <c r="E30" s="8">
        <v>183.61</v>
      </c>
      <c r="F30" s="8">
        <v>91.47</v>
      </c>
      <c r="G30" s="8">
        <f t="shared" si="0"/>
        <v>16794.806700000001</v>
      </c>
      <c r="H30" s="9">
        <v>0</v>
      </c>
      <c r="I30" s="9">
        <v>0</v>
      </c>
      <c r="J30" s="8">
        <f t="shared" si="1"/>
        <v>0</v>
      </c>
      <c r="K30" s="8">
        <f t="shared" si="2"/>
        <v>16794.806700000001</v>
      </c>
      <c r="L30" s="155">
        <v>0</v>
      </c>
      <c r="M30" s="8">
        <f t="shared" si="3"/>
        <v>281847.20349999995</v>
      </c>
      <c r="N30" s="48"/>
      <c r="O30" s="1"/>
      <c r="R30">
        <v>46.61</v>
      </c>
    </row>
    <row r="31" spans="1:18">
      <c r="A31" s="50">
        <v>28</v>
      </c>
      <c r="B31" s="213">
        <v>45958</v>
      </c>
      <c r="C31" s="25"/>
      <c r="D31" s="25"/>
      <c r="E31" s="8">
        <v>90</v>
      </c>
      <c r="F31" s="8">
        <v>91.47</v>
      </c>
      <c r="G31" s="8">
        <f t="shared" si="0"/>
        <v>8232.2999999999993</v>
      </c>
      <c r="H31" s="9">
        <v>0</v>
      </c>
      <c r="I31" s="9">
        <v>0</v>
      </c>
      <c r="J31" s="8">
        <f t="shared" si="1"/>
        <v>0</v>
      </c>
      <c r="K31" s="8">
        <f t="shared" si="2"/>
        <v>8232.2999999999993</v>
      </c>
      <c r="L31" s="155">
        <v>0</v>
      </c>
      <c r="M31" s="248">
        <f t="shared" si="3"/>
        <v>290079.50349999993</v>
      </c>
      <c r="N31" s="48"/>
      <c r="O31" s="1"/>
      <c r="R31">
        <v>100</v>
      </c>
    </row>
    <row r="32" spans="1:18">
      <c r="A32" s="208">
        <v>29</v>
      </c>
      <c r="B32" s="213">
        <v>45959</v>
      </c>
      <c r="C32" s="25"/>
      <c r="D32" s="25"/>
      <c r="E32" s="8">
        <v>25</v>
      </c>
      <c r="F32" s="8">
        <v>91.47</v>
      </c>
      <c r="G32" s="8">
        <f t="shared" si="0"/>
        <v>2286.75</v>
      </c>
      <c r="H32" s="9">
        <v>0</v>
      </c>
      <c r="I32" s="9">
        <v>0</v>
      </c>
      <c r="J32" s="8">
        <f t="shared" si="1"/>
        <v>0</v>
      </c>
      <c r="K32" s="8">
        <f t="shared" si="2"/>
        <v>2286.75</v>
      </c>
      <c r="L32" s="155">
        <v>0</v>
      </c>
      <c r="M32" s="248">
        <f t="shared" si="3"/>
        <v>292366.25349999993</v>
      </c>
      <c r="N32" s="48"/>
      <c r="O32" s="1"/>
      <c r="R32">
        <v>35</v>
      </c>
    </row>
    <row r="33" spans="1:15">
      <c r="A33" s="208">
        <v>30</v>
      </c>
      <c r="B33" s="213">
        <v>45960</v>
      </c>
      <c r="C33" s="25"/>
      <c r="D33" s="25"/>
      <c r="E33" s="8">
        <v>109.3</v>
      </c>
      <c r="F33" s="8">
        <v>91.49</v>
      </c>
      <c r="G33" s="8">
        <f t="shared" si="0"/>
        <v>9999.857</v>
      </c>
      <c r="H33" s="9">
        <v>0</v>
      </c>
      <c r="I33" s="9">
        <v>0</v>
      </c>
      <c r="J33" s="8">
        <f t="shared" si="1"/>
        <v>0</v>
      </c>
      <c r="K33" s="8">
        <f t="shared" si="2"/>
        <v>9999.857</v>
      </c>
      <c r="L33" s="155">
        <v>10000</v>
      </c>
      <c r="M33" s="248">
        <f t="shared" si="3"/>
        <v>292366.11049999995</v>
      </c>
      <c r="N33" s="48" t="s">
        <v>147</v>
      </c>
      <c r="O33" s="1"/>
    </row>
    <row r="34" spans="1:15">
      <c r="A34" s="208">
        <v>31</v>
      </c>
      <c r="B34" s="213">
        <v>45960</v>
      </c>
      <c r="C34" s="25"/>
      <c r="D34" s="25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ref="J34:J35" si="4">H34*I34</f>
        <v>0</v>
      </c>
      <c r="K34" s="8">
        <f t="shared" si="2"/>
        <v>0</v>
      </c>
      <c r="L34" s="155">
        <v>200000</v>
      </c>
      <c r="M34" s="248">
        <f t="shared" si="3"/>
        <v>92366.110499999952</v>
      </c>
      <c r="N34" s="48"/>
      <c r="O34" s="1"/>
    </row>
    <row r="35" spans="1:15">
      <c r="A35" s="208"/>
      <c r="B35" s="213">
        <v>45961</v>
      </c>
      <c r="C35" s="25"/>
      <c r="D35" s="25"/>
      <c r="E35" s="8">
        <v>378.58</v>
      </c>
      <c r="F35" s="8">
        <v>91.49</v>
      </c>
      <c r="G35" s="8">
        <f t="shared" si="0"/>
        <v>34636.284199999995</v>
      </c>
      <c r="H35" s="9">
        <v>7</v>
      </c>
      <c r="I35" s="9">
        <v>103.4</v>
      </c>
      <c r="J35" s="8">
        <f t="shared" si="4"/>
        <v>723.80000000000007</v>
      </c>
      <c r="K35" s="8">
        <f t="shared" si="2"/>
        <v>35360.084199999998</v>
      </c>
      <c r="L35" s="155"/>
      <c r="M35" s="248">
        <f>M34+K35-L35</f>
        <v>127726.19469999995</v>
      </c>
      <c r="N35" s="48"/>
      <c r="O35" s="1"/>
    </row>
    <row r="36" spans="1:15">
      <c r="A36" s="68"/>
      <c r="B36" s="68"/>
      <c r="C36" s="68"/>
      <c r="D36" s="68"/>
      <c r="E36" s="69">
        <f>SUM(E4:E35)</f>
        <v>4650</v>
      </c>
      <c r="F36" s="69"/>
      <c r="G36" s="69">
        <f t="shared" ref="F36:L36" si="5">SUM(G4:G35)</f>
        <v>425345.25760000001</v>
      </c>
      <c r="H36" s="69">
        <f t="shared" si="5"/>
        <v>115.97999999999999</v>
      </c>
      <c r="I36" s="69"/>
      <c r="J36" s="69">
        <f t="shared" si="5"/>
        <v>11992.332</v>
      </c>
      <c r="K36" s="69">
        <f t="shared" si="5"/>
        <v>437337.58960000001</v>
      </c>
      <c r="L36" s="69">
        <f t="shared" si="5"/>
        <v>410000</v>
      </c>
      <c r="M36" s="69"/>
      <c r="N36" s="69"/>
      <c r="O36" s="65"/>
    </row>
    <row r="37" spans="1:15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5">
      <c r="A38" s="1"/>
      <c r="B38" s="1"/>
      <c r="C38" s="1"/>
      <c r="D38" s="1"/>
      <c r="E38" s="1"/>
      <c r="F38" s="1"/>
      <c r="G38" s="3"/>
      <c r="H38" s="1"/>
      <c r="I38" s="1"/>
      <c r="J38" s="1"/>
      <c r="K38" s="1"/>
      <c r="L38" s="8"/>
      <c r="M38" s="1"/>
      <c r="N38" s="1"/>
      <c r="O38" s="4"/>
    </row>
    <row r="39" spans="1:15">
      <c r="A39" s="1"/>
      <c r="B39" s="426"/>
      <c r="C39" s="426"/>
      <c r="D39" s="426"/>
      <c r="E39" s="426"/>
      <c r="F39" s="1"/>
      <c r="G39" s="1"/>
      <c r="H39" s="1"/>
      <c r="I39" s="449">
        <f>K24+L24</f>
        <v>23658.91</v>
      </c>
      <c r="J39" s="426"/>
      <c r="K39" s="426"/>
      <c r="L39" s="426"/>
      <c r="M39" s="426"/>
      <c r="N39" s="426"/>
      <c r="O39" s="4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</sheetData>
  <mergeCells count="3">
    <mergeCell ref="B39:E39"/>
    <mergeCell ref="I39:N39"/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Q49"/>
  <sheetViews>
    <sheetView topLeftCell="A22" workbookViewId="0">
      <selection activeCell="L34" sqref="L34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10" width="10.8554687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29" t="s">
        <v>68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9"/>
    </row>
    <row r="2" spans="1:15" ht="30">
      <c r="A2" s="70" t="s">
        <v>96</v>
      </c>
      <c r="B2" s="89" t="s">
        <v>97</v>
      </c>
      <c r="C2" s="89" t="s">
        <v>98</v>
      </c>
      <c r="D2" s="89" t="s">
        <v>99</v>
      </c>
      <c r="E2" s="89" t="s">
        <v>100</v>
      </c>
      <c r="F2" s="89" t="s">
        <v>101</v>
      </c>
      <c r="G2" s="89" t="s">
        <v>102</v>
      </c>
      <c r="H2" s="89" t="s">
        <v>103</v>
      </c>
      <c r="I2" s="89" t="s">
        <v>101</v>
      </c>
      <c r="J2" s="90" t="s">
        <v>102</v>
      </c>
      <c r="K2" s="70" t="s">
        <v>104</v>
      </c>
      <c r="L2" s="91" t="s">
        <v>105</v>
      </c>
      <c r="M2" s="174" t="s">
        <v>110</v>
      </c>
      <c r="N2" s="89" t="s">
        <v>107</v>
      </c>
      <c r="O2" s="65"/>
    </row>
    <row r="3" spans="1:15">
      <c r="A3" s="152"/>
      <c r="B3" s="153"/>
      <c r="C3" s="153"/>
      <c r="D3" s="139" t="s">
        <v>108</v>
      </c>
      <c r="E3" s="153"/>
      <c r="F3" s="153"/>
      <c r="G3" s="153"/>
      <c r="H3" s="153"/>
      <c r="I3" s="153"/>
      <c r="J3" s="154"/>
      <c r="K3" s="152">
        <v>0</v>
      </c>
      <c r="L3" s="155">
        <v>0</v>
      </c>
      <c r="M3" s="155">
        <f>+K3</f>
        <v>0</v>
      </c>
      <c r="N3" s="153"/>
      <c r="O3" s="65"/>
    </row>
    <row r="4" spans="1:15">
      <c r="A4" s="50">
        <v>1</v>
      </c>
      <c r="B4" s="213">
        <v>45931</v>
      </c>
      <c r="C4" s="25"/>
      <c r="D4" s="25"/>
      <c r="E4" s="288">
        <v>0</v>
      </c>
      <c r="F4" s="28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0</v>
      </c>
      <c r="N4" s="48"/>
      <c r="O4" s="1"/>
    </row>
    <row r="5" spans="1:15">
      <c r="A5" s="50">
        <v>2</v>
      </c>
      <c r="B5" s="213">
        <v>45932</v>
      </c>
      <c r="C5" s="25"/>
      <c r="D5" s="25"/>
      <c r="E5" s="288">
        <v>0</v>
      </c>
      <c r="F5" s="28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L33" si="2">G5+J5</f>
        <v>0</v>
      </c>
      <c r="L5" s="155">
        <v>0</v>
      </c>
      <c r="M5" s="8">
        <f t="shared" ref="M5:M8" si="3">M4+K5-L5</f>
        <v>0</v>
      </c>
      <c r="N5" s="48"/>
      <c r="O5" s="1"/>
    </row>
    <row r="6" spans="1:15">
      <c r="A6" s="50">
        <v>3</v>
      </c>
      <c r="B6" s="213">
        <v>45933</v>
      </c>
      <c r="C6" s="25"/>
      <c r="D6" s="25"/>
      <c r="E6" s="288">
        <v>41.79</v>
      </c>
      <c r="F6" s="288">
        <v>91.8</v>
      </c>
      <c r="G6" s="8">
        <f t="shared" si="0"/>
        <v>3836.3219999999997</v>
      </c>
      <c r="H6" s="9">
        <v>5</v>
      </c>
      <c r="I6" s="9">
        <v>103.78</v>
      </c>
      <c r="J6" s="8">
        <f t="shared" si="1"/>
        <v>518.9</v>
      </c>
      <c r="K6" s="8">
        <f t="shared" si="2"/>
        <v>4355.2219999999998</v>
      </c>
      <c r="L6" s="155">
        <v>4355.22</v>
      </c>
      <c r="M6" s="8">
        <f t="shared" si="3"/>
        <v>1.9999999994979589E-3</v>
      </c>
      <c r="N6" s="48"/>
      <c r="O6" s="1"/>
    </row>
    <row r="7" spans="1:15">
      <c r="A7" s="50">
        <v>4</v>
      </c>
      <c r="B7" s="213">
        <v>45934</v>
      </c>
      <c r="C7" s="25"/>
      <c r="D7" s="25"/>
      <c r="E7" s="288">
        <v>32.229999999999997</v>
      </c>
      <c r="F7" s="288">
        <v>91.8</v>
      </c>
      <c r="G7" s="8">
        <f t="shared" si="0"/>
        <v>2958.7139999999995</v>
      </c>
      <c r="H7" s="9">
        <v>0</v>
      </c>
      <c r="I7" s="9">
        <v>0</v>
      </c>
      <c r="J7" s="8">
        <f t="shared" si="1"/>
        <v>0</v>
      </c>
      <c r="K7" s="8">
        <f t="shared" si="2"/>
        <v>2958.7139999999995</v>
      </c>
      <c r="L7" s="8">
        <f t="shared" si="2"/>
        <v>2958.7139999999995</v>
      </c>
      <c r="M7" s="8">
        <f t="shared" si="3"/>
        <v>1.9999999994979589E-3</v>
      </c>
      <c r="N7" s="48"/>
      <c r="O7" s="1"/>
    </row>
    <row r="8" spans="1:15">
      <c r="A8" s="50">
        <v>5</v>
      </c>
      <c r="B8" s="213">
        <v>45935</v>
      </c>
      <c r="C8" s="25"/>
      <c r="D8" s="25"/>
      <c r="E8" s="288">
        <v>0</v>
      </c>
      <c r="F8" s="28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5">
        <v>0</v>
      </c>
      <c r="M8" s="8">
        <f t="shared" si="3"/>
        <v>1.9999999994979589E-3</v>
      </c>
      <c r="N8" s="48"/>
      <c r="O8" s="1"/>
    </row>
    <row r="9" spans="1:15">
      <c r="A9" s="50">
        <v>6</v>
      </c>
      <c r="B9" s="213">
        <v>45936</v>
      </c>
      <c r="C9" s="25"/>
      <c r="D9" s="25"/>
      <c r="E9" s="288">
        <v>0</v>
      </c>
      <c r="F9" s="288">
        <v>0</v>
      </c>
      <c r="G9" s="8">
        <f t="shared" si="0"/>
        <v>0</v>
      </c>
      <c r="H9" s="9">
        <v>6</v>
      </c>
      <c r="I9" s="9">
        <v>103.78</v>
      </c>
      <c r="J9" s="8">
        <f t="shared" si="1"/>
        <v>622.68000000000006</v>
      </c>
      <c r="K9" s="8">
        <f t="shared" si="2"/>
        <v>622.68000000000006</v>
      </c>
      <c r="L9" s="155">
        <v>622.67999999999995</v>
      </c>
      <c r="M9" s="8">
        <f t="shared" ref="M9:M34" si="4">M8+K9-L9</f>
        <v>1.9999999996116458E-3</v>
      </c>
      <c r="N9" s="48"/>
      <c r="O9" s="1"/>
    </row>
    <row r="10" spans="1:15">
      <c r="A10" s="50">
        <v>7</v>
      </c>
      <c r="B10" s="213">
        <v>45937</v>
      </c>
      <c r="C10" s="25"/>
      <c r="D10" s="25"/>
      <c r="E10" s="288">
        <v>30</v>
      </c>
      <c r="F10" s="288">
        <v>91.8</v>
      </c>
      <c r="G10" s="8">
        <f t="shared" si="0"/>
        <v>2754</v>
      </c>
      <c r="H10" s="9">
        <v>17</v>
      </c>
      <c r="I10" s="9">
        <v>103.78</v>
      </c>
      <c r="J10" s="8">
        <f t="shared" si="1"/>
        <v>1764.26</v>
      </c>
      <c r="K10" s="8">
        <f t="shared" si="2"/>
        <v>4518.26</v>
      </c>
      <c r="L10" s="155">
        <v>4518.26</v>
      </c>
      <c r="M10" s="8">
        <f t="shared" si="4"/>
        <v>1.9999999994979589E-3</v>
      </c>
      <c r="N10" s="48"/>
      <c r="O10" s="1"/>
    </row>
    <row r="11" spans="1:15">
      <c r="A11" s="50">
        <v>8</v>
      </c>
      <c r="B11" s="213">
        <v>45938</v>
      </c>
      <c r="C11" s="25"/>
      <c r="D11" s="25"/>
      <c r="E11" s="288">
        <v>60</v>
      </c>
      <c r="F11" s="288">
        <v>91.8</v>
      </c>
      <c r="G11" s="8">
        <f t="shared" si="0"/>
        <v>5508</v>
      </c>
      <c r="H11" s="9">
        <v>0</v>
      </c>
      <c r="I11" s="9">
        <v>0</v>
      </c>
      <c r="J11" s="8">
        <f t="shared" si="1"/>
        <v>0</v>
      </c>
      <c r="K11" s="8">
        <f t="shared" si="2"/>
        <v>5508</v>
      </c>
      <c r="L11" s="155">
        <v>0</v>
      </c>
      <c r="M11" s="8">
        <f t="shared" si="4"/>
        <v>5508.0019999999995</v>
      </c>
      <c r="N11" s="48"/>
      <c r="O11" s="1"/>
    </row>
    <row r="12" spans="1:15">
      <c r="A12" s="50">
        <v>9</v>
      </c>
      <c r="B12" s="213">
        <v>45939</v>
      </c>
      <c r="C12" s="25"/>
      <c r="D12" s="25"/>
      <c r="E12" s="288">
        <v>45</v>
      </c>
      <c r="F12" s="288">
        <v>91.8</v>
      </c>
      <c r="G12" s="8">
        <f t="shared" si="0"/>
        <v>4131</v>
      </c>
      <c r="H12" s="9">
        <v>0</v>
      </c>
      <c r="I12" s="9">
        <v>0</v>
      </c>
      <c r="J12" s="8">
        <f t="shared" si="1"/>
        <v>0</v>
      </c>
      <c r="K12" s="8">
        <f t="shared" si="2"/>
        <v>4131</v>
      </c>
      <c r="L12" s="155">
        <v>0</v>
      </c>
      <c r="M12" s="8">
        <f t="shared" si="4"/>
        <v>9639.0020000000004</v>
      </c>
      <c r="N12" s="48"/>
      <c r="O12" s="1" t="s">
        <v>146</v>
      </c>
    </row>
    <row r="13" spans="1:15">
      <c r="A13" s="50">
        <v>10</v>
      </c>
      <c r="B13" s="213">
        <v>45940</v>
      </c>
      <c r="C13" s="25"/>
      <c r="D13" s="25"/>
      <c r="E13" s="288">
        <v>111.00999999999999</v>
      </c>
      <c r="F13" s="288">
        <v>91.8</v>
      </c>
      <c r="G13" s="8">
        <f t="shared" si="0"/>
        <v>10190.717999999999</v>
      </c>
      <c r="H13" s="378">
        <v>10</v>
      </c>
      <c r="I13" s="9">
        <v>103.78</v>
      </c>
      <c r="J13" s="8">
        <f t="shared" si="1"/>
        <v>1037.8</v>
      </c>
      <c r="K13" s="8">
        <f t="shared" si="2"/>
        <v>11228.517999999998</v>
      </c>
      <c r="L13" s="155">
        <v>0</v>
      </c>
      <c r="M13" s="8">
        <f t="shared" si="4"/>
        <v>20867.519999999997</v>
      </c>
      <c r="N13" s="48"/>
      <c r="O13" s="1"/>
    </row>
    <row r="14" spans="1:15">
      <c r="A14" s="50">
        <v>11</v>
      </c>
      <c r="B14" s="213">
        <v>45941</v>
      </c>
      <c r="C14" s="25"/>
      <c r="D14" s="25"/>
      <c r="E14" s="288">
        <v>50</v>
      </c>
      <c r="F14" s="288">
        <v>91.8</v>
      </c>
      <c r="G14" s="8">
        <f t="shared" si="0"/>
        <v>4590</v>
      </c>
      <c r="H14" s="9">
        <v>5</v>
      </c>
      <c r="I14" s="9">
        <v>103.78</v>
      </c>
      <c r="J14" s="8">
        <f t="shared" si="1"/>
        <v>518.9</v>
      </c>
      <c r="K14" s="8">
        <f t="shared" si="2"/>
        <v>5108.8999999999996</v>
      </c>
      <c r="L14" s="155">
        <v>9639</v>
      </c>
      <c r="M14" s="8">
        <f t="shared" si="4"/>
        <v>16337.419999999998</v>
      </c>
      <c r="N14" s="48"/>
      <c r="O14" s="1"/>
    </row>
    <row r="15" spans="1:15">
      <c r="A15" s="50">
        <v>12</v>
      </c>
      <c r="B15" s="213">
        <v>45942</v>
      </c>
      <c r="C15" s="25"/>
      <c r="D15" s="25"/>
      <c r="E15" s="288">
        <v>0</v>
      </c>
      <c r="F15" s="28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5">
        <v>0</v>
      </c>
      <c r="M15" s="8">
        <f t="shared" si="4"/>
        <v>16337.419999999998</v>
      </c>
      <c r="N15" s="48"/>
      <c r="O15" s="1"/>
    </row>
    <row r="16" spans="1:15">
      <c r="A16" s="50">
        <v>13</v>
      </c>
      <c r="B16" s="213">
        <v>45943</v>
      </c>
      <c r="C16" s="25"/>
      <c r="D16" s="25"/>
      <c r="E16" s="288">
        <v>90</v>
      </c>
      <c r="F16" s="288">
        <v>91.8</v>
      </c>
      <c r="G16" s="8">
        <f t="shared" si="0"/>
        <v>8262</v>
      </c>
      <c r="H16" s="9">
        <v>5</v>
      </c>
      <c r="I16" s="9">
        <v>103.78</v>
      </c>
      <c r="J16" s="8">
        <f t="shared" si="1"/>
        <v>518.9</v>
      </c>
      <c r="K16" s="8">
        <f t="shared" si="2"/>
        <v>8780.9</v>
      </c>
      <c r="L16" s="155">
        <v>0</v>
      </c>
      <c r="M16" s="8">
        <f t="shared" si="4"/>
        <v>25118.32</v>
      </c>
      <c r="N16" s="48"/>
      <c r="O16" s="1"/>
    </row>
    <row r="17" spans="1:17">
      <c r="A17" s="50">
        <v>14</v>
      </c>
      <c r="B17" s="213">
        <v>45944</v>
      </c>
      <c r="C17" s="25"/>
      <c r="D17" s="25"/>
      <c r="E17" s="288">
        <v>20</v>
      </c>
      <c r="F17" s="288">
        <v>91.8</v>
      </c>
      <c r="G17" s="8">
        <f t="shared" si="0"/>
        <v>1836</v>
      </c>
      <c r="H17" s="9">
        <v>0</v>
      </c>
      <c r="I17" s="9">
        <v>0</v>
      </c>
      <c r="J17" s="8">
        <f t="shared" si="1"/>
        <v>0</v>
      </c>
      <c r="K17" s="8">
        <f t="shared" si="2"/>
        <v>1836</v>
      </c>
      <c r="L17" s="155">
        <v>20000</v>
      </c>
      <c r="M17" s="8">
        <f t="shared" si="4"/>
        <v>6954.32</v>
      </c>
      <c r="N17" s="48"/>
      <c r="O17" s="1"/>
    </row>
    <row r="18" spans="1:17">
      <c r="A18" s="50">
        <v>15</v>
      </c>
      <c r="B18" s="213">
        <v>45945</v>
      </c>
      <c r="C18" s="25"/>
      <c r="D18" s="25"/>
      <c r="E18" s="288">
        <v>15</v>
      </c>
      <c r="F18" s="288">
        <v>91.8</v>
      </c>
      <c r="G18" s="8">
        <f t="shared" si="0"/>
        <v>1377</v>
      </c>
      <c r="H18" s="9">
        <v>5</v>
      </c>
      <c r="I18" s="9">
        <v>103.78</v>
      </c>
      <c r="J18" s="8">
        <f t="shared" si="1"/>
        <v>518.9</v>
      </c>
      <c r="K18" s="8">
        <f t="shared" si="2"/>
        <v>1895.9</v>
      </c>
      <c r="L18" s="155">
        <v>0</v>
      </c>
      <c r="M18" s="8">
        <f t="shared" si="4"/>
        <v>8850.2199999999993</v>
      </c>
      <c r="N18" s="48"/>
      <c r="O18" s="1"/>
    </row>
    <row r="19" spans="1:17">
      <c r="A19" s="50">
        <v>16</v>
      </c>
      <c r="B19" s="213">
        <v>45946</v>
      </c>
      <c r="C19" s="25"/>
      <c r="D19" s="25"/>
      <c r="E19" s="288">
        <v>0</v>
      </c>
      <c r="F19" s="288">
        <v>0</v>
      </c>
      <c r="G19" s="8">
        <f t="shared" si="0"/>
        <v>0</v>
      </c>
      <c r="H19" s="9">
        <v>5</v>
      </c>
      <c r="I19" s="9">
        <v>103.78</v>
      </c>
      <c r="J19" s="8">
        <f t="shared" si="1"/>
        <v>518.9</v>
      </c>
      <c r="K19" s="8">
        <f t="shared" si="2"/>
        <v>518.9</v>
      </c>
      <c r="L19" s="155">
        <v>0</v>
      </c>
      <c r="M19" s="8">
        <f t="shared" si="4"/>
        <v>9369.119999999999</v>
      </c>
      <c r="N19" s="48"/>
      <c r="O19" s="1"/>
    </row>
    <row r="20" spans="1:17">
      <c r="A20" s="50">
        <v>17</v>
      </c>
      <c r="B20" s="213">
        <v>45947</v>
      </c>
      <c r="C20" s="25"/>
      <c r="D20" s="25"/>
      <c r="E20" s="288">
        <v>134.56</v>
      </c>
      <c r="F20" s="288">
        <v>91.8</v>
      </c>
      <c r="G20" s="8">
        <f t="shared" si="0"/>
        <v>12352.608</v>
      </c>
      <c r="H20" s="9">
        <v>0</v>
      </c>
      <c r="I20" s="9">
        <v>0</v>
      </c>
      <c r="J20" s="8">
        <f t="shared" si="1"/>
        <v>0</v>
      </c>
      <c r="K20" s="8">
        <f t="shared" si="2"/>
        <v>12352.608</v>
      </c>
      <c r="L20" s="155">
        <v>0</v>
      </c>
      <c r="M20" s="8">
        <f t="shared" si="4"/>
        <v>21721.727999999999</v>
      </c>
      <c r="N20" s="48"/>
      <c r="O20" s="1"/>
    </row>
    <row r="21" spans="1:17">
      <c r="A21" s="50">
        <v>18</v>
      </c>
      <c r="B21" s="213">
        <v>45948</v>
      </c>
      <c r="C21" s="25"/>
      <c r="D21" s="25"/>
      <c r="E21" s="288">
        <v>60</v>
      </c>
      <c r="F21" s="288">
        <v>91.8</v>
      </c>
      <c r="G21" s="8">
        <f t="shared" si="0"/>
        <v>5508</v>
      </c>
      <c r="H21" s="9">
        <v>0</v>
      </c>
      <c r="I21" s="9">
        <v>0</v>
      </c>
      <c r="J21" s="8">
        <f t="shared" si="1"/>
        <v>0</v>
      </c>
      <c r="K21" s="8">
        <f t="shared" si="2"/>
        <v>5508</v>
      </c>
      <c r="L21" s="155">
        <v>0</v>
      </c>
      <c r="M21" s="8">
        <f t="shared" si="4"/>
        <v>27229.727999999999</v>
      </c>
      <c r="N21" s="48"/>
      <c r="O21" s="1"/>
    </row>
    <row r="22" spans="1:17">
      <c r="A22" s="50">
        <v>19</v>
      </c>
      <c r="B22" s="213">
        <v>45949</v>
      </c>
      <c r="C22" s="25"/>
      <c r="D22" s="25"/>
      <c r="E22" s="288">
        <v>0</v>
      </c>
      <c r="F22" s="28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4"/>
        <v>27229.727999999999</v>
      </c>
      <c r="N22" s="48"/>
      <c r="O22" s="1"/>
    </row>
    <row r="23" spans="1:17">
      <c r="A23" s="50">
        <v>20</v>
      </c>
      <c r="B23" s="213">
        <v>45950</v>
      </c>
      <c r="C23" s="25"/>
      <c r="D23" s="25"/>
      <c r="E23" s="288">
        <v>0</v>
      </c>
      <c r="F23" s="28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0</v>
      </c>
      <c r="M23" s="8">
        <f t="shared" si="4"/>
        <v>27229.727999999999</v>
      </c>
      <c r="N23" s="48"/>
      <c r="O23" s="1"/>
    </row>
    <row r="24" spans="1:17">
      <c r="A24" s="50">
        <v>21</v>
      </c>
      <c r="B24" s="213">
        <v>45951</v>
      </c>
      <c r="C24" s="25"/>
      <c r="D24" s="25"/>
      <c r="E24" s="288">
        <v>0</v>
      </c>
      <c r="F24" s="28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5">
        <v>0</v>
      </c>
      <c r="M24" s="8">
        <f t="shared" si="4"/>
        <v>27229.727999999999</v>
      </c>
      <c r="N24" s="48"/>
      <c r="O24" s="1"/>
    </row>
    <row r="25" spans="1:17">
      <c r="A25" s="50">
        <v>22</v>
      </c>
      <c r="B25" s="213">
        <v>45952</v>
      </c>
      <c r="C25" s="25"/>
      <c r="D25" s="25"/>
      <c r="E25" s="288">
        <v>0</v>
      </c>
      <c r="F25" s="28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5">
        <v>0</v>
      </c>
      <c r="M25" s="8">
        <f t="shared" si="4"/>
        <v>27229.727999999999</v>
      </c>
      <c r="N25" s="48"/>
      <c r="O25" s="1"/>
    </row>
    <row r="26" spans="1:17">
      <c r="A26" s="50">
        <v>23</v>
      </c>
      <c r="B26" s="213">
        <v>45953</v>
      </c>
      <c r="C26" s="25"/>
      <c r="D26" s="25"/>
      <c r="E26" s="288">
        <v>0</v>
      </c>
      <c r="F26" s="28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5">
        <v>0</v>
      </c>
      <c r="M26" s="8">
        <f t="shared" si="4"/>
        <v>27229.727999999999</v>
      </c>
      <c r="N26" s="48"/>
      <c r="O26" s="1"/>
    </row>
    <row r="27" spans="1:17">
      <c r="A27" s="50">
        <v>24</v>
      </c>
      <c r="B27" s="213">
        <v>45954</v>
      </c>
      <c r="C27" s="25"/>
      <c r="D27" s="25"/>
      <c r="E27" s="288">
        <v>0</v>
      </c>
      <c r="F27" s="28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5">
        <v>0</v>
      </c>
      <c r="M27" s="8">
        <f t="shared" si="4"/>
        <v>27229.727999999999</v>
      </c>
      <c r="N27" s="48"/>
      <c r="O27" s="1"/>
    </row>
    <row r="28" spans="1:17">
      <c r="A28" s="50">
        <v>25</v>
      </c>
      <c r="B28" s="213">
        <v>45955</v>
      </c>
      <c r="C28" s="25"/>
      <c r="D28" s="25"/>
      <c r="E28" s="288">
        <v>90</v>
      </c>
      <c r="F28" s="288">
        <v>91.8</v>
      </c>
      <c r="G28" s="8">
        <f t="shared" si="0"/>
        <v>8262</v>
      </c>
      <c r="H28" s="9">
        <v>5</v>
      </c>
      <c r="I28" s="9">
        <v>103.78</v>
      </c>
      <c r="J28" s="8">
        <f t="shared" si="1"/>
        <v>518.9</v>
      </c>
      <c r="K28" s="8">
        <f t="shared" si="2"/>
        <v>8780.9</v>
      </c>
      <c r="L28" s="155">
        <v>0</v>
      </c>
      <c r="M28" s="8">
        <f t="shared" si="4"/>
        <v>36010.627999999997</v>
      </c>
      <c r="N28" s="48"/>
      <c r="O28" s="1"/>
    </row>
    <row r="29" spans="1:17">
      <c r="A29" s="50">
        <v>26</v>
      </c>
      <c r="B29" s="213">
        <v>45956</v>
      </c>
      <c r="C29" s="25"/>
      <c r="D29" s="25"/>
      <c r="E29" s="288">
        <v>0</v>
      </c>
      <c r="F29" s="28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5">
        <v>0</v>
      </c>
      <c r="M29" s="8">
        <f t="shared" si="4"/>
        <v>36010.627999999997</v>
      </c>
      <c r="N29" s="48"/>
      <c r="O29" s="1"/>
      <c r="Q29">
        <v>30</v>
      </c>
    </row>
    <row r="30" spans="1:17">
      <c r="A30" s="50">
        <v>27</v>
      </c>
      <c r="B30" s="213">
        <v>45957</v>
      </c>
      <c r="C30" s="25"/>
      <c r="D30" s="25"/>
      <c r="E30" s="288">
        <v>50.02</v>
      </c>
      <c r="F30" s="288">
        <v>91.8</v>
      </c>
      <c r="G30" s="8">
        <f t="shared" si="0"/>
        <v>4591.8360000000002</v>
      </c>
      <c r="H30" s="9">
        <v>10</v>
      </c>
      <c r="I30" s="9">
        <v>103.78</v>
      </c>
      <c r="J30" s="8">
        <f t="shared" si="1"/>
        <v>1037.8</v>
      </c>
      <c r="K30" s="8">
        <f t="shared" si="2"/>
        <v>5629.6360000000004</v>
      </c>
      <c r="L30" s="155">
        <v>0</v>
      </c>
      <c r="M30" s="8">
        <f t="shared" si="4"/>
        <v>41640.263999999996</v>
      </c>
      <c r="N30" s="48"/>
      <c r="O30" s="1"/>
      <c r="Q30">
        <v>20.02</v>
      </c>
    </row>
    <row r="31" spans="1:17">
      <c r="A31" s="50">
        <v>28</v>
      </c>
      <c r="B31" s="213">
        <v>45958</v>
      </c>
      <c r="C31" s="25"/>
      <c r="D31" s="25"/>
      <c r="E31" s="288">
        <v>20</v>
      </c>
      <c r="F31" s="288">
        <v>91.8</v>
      </c>
      <c r="G31" s="8">
        <f t="shared" si="0"/>
        <v>1836</v>
      </c>
      <c r="H31" s="9">
        <v>10</v>
      </c>
      <c r="I31" s="9">
        <v>103.78</v>
      </c>
      <c r="J31" s="8">
        <f t="shared" si="1"/>
        <v>1037.8</v>
      </c>
      <c r="K31" s="8">
        <f t="shared" si="2"/>
        <v>2873.8</v>
      </c>
      <c r="L31" s="155">
        <v>0</v>
      </c>
      <c r="M31" s="8">
        <f t="shared" si="4"/>
        <v>44514.063999999998</v>
      </c>
      <c r="N31" s="48"/>
      <c r="O31" s="1"/>
    </row>
    <row r="32" spans="1:17">
      <c r="A32" s="208">
        <v>29</v>
      </c>
      <c r="B32" s="213">
        <v>45959</v>
      </c>
      <c r="C32" s="25"/>
      <c r="D32" s="25"/>
      <c r="E32" s="288">
        <v>120</v>
      </c>
      <c r="F32" s="288">
        <v>91.8</v>
      </c>
      <c r="G32" s="8">
        <f t="shared" si="0"/>
        <v>11016</v>
      </c>
      <c r="H32" s="9">
        <v>0</v>
      </c>
      <c r="I32" s="9">
        <v>0</v>
      </c>
      <c r="J32" s="8">
        <f t="shared" si="1"/>
        <v>0</v>
      </c>
      <c r="K32" s="8">
        <f t="shared" si="2"/>
        <v>11016</v>
      </c>
      <c r="L32" s="155">
        <v>0</v>
      </c>
      <c r="M32" s="8">
        <f t="shared" si="4"/>
        <v>55530.063999999998</v>
      </c>
      <c r="N32" s="48"/>
      <c r="O32" s="1"/>
    </row>
    <row r="33" spans="1:15">
      <c r="A33" s="208">
        <v>30</v>
      </c>
      <c r="B33" s="213">
        <v>45960</v>
      </c>
      <c r="C33" s="25"/>
      <c r="D33" s="25"/>
      <c r="E33" s="288">
        <v>20</v>
      </c>
      <c r="F33" s="288">
        <v>91.8</v>
      </c>
      <c r="G33" s="8">
        <f t="shared" si="0"/>
        <v>1836</v>
      </c>
      <c r="H33" s="9">
        <v>0</v>
      </c>
      <c r="I33" s="9">
        <v>0</v>
      </c>
      <c r="J33" s="8">
        <f t="shared" si="1"/>
        <v>0</v>
      </c>
      <c r="K33" s="8">
        <f t="shared" si="2"/>
        <v>1836</v>
      </c>
      <c r="L33" s="155">
        <v>0</v>
      </c>
      <c r="M33" s="8">
        <f t="shared" si="4"/>
        <v>57366.063999999998</v>
      </c>
      <c r="N33" s="48"/>
      <c r="O33" s="1"/>
    </row>
    <row r="34" spans="1:15">
      <c r="A34" s="208">
        <v>31</v>
      </c>
      <c r="B34" s="213">
        <v>45961</v>
      </c>
      <c r="C34" s="25"/>
      <c r="D34" s="25"/>
      <c r="E34" s="8">
        <v>50</v>
      </c>
      <c r="F34" s="288">
        <v>91.8</v>
      </c>
      <c r="G34" s="8">
        <f t="shared" ref="G34" si="5">E34*F34</f>
        <v>4590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4590</v>
      </c>
      <c r="L34" s="155">
        <v>25000</v>
      </c>
      <c r="M34" s="8">
        <f t="shared" si="4"/>
        <v>36956.063999999998</v>
      </c>
      <c r="N34" s="48"/>
      <c r="O34" s="1"/>
    </row>
    <row r="35" spans="1:15">
      <c r="A35" s="68"/>
      <c r="B35" s="68"/>
      <c r="C35" s="68"/>
      <c r="D35" s="68"/>
      <c r="E35" s="69">
        <f>SUM(E4:E34)</f>
        <v>1039.6099999999999</v>
      </c>
      <c r="F35" s="69"/>
      <c r="G35" s="69">
        <f>SUM(G4:G34)</f>
        <v>95436.197999999989</v>
      </c>
      <c r="H35" s="69">
        <f>SUM(H4:H34)</f>
        <v>83</v>
      </c>
      <c r="I35" s="69"/>
      <c r="J35" s="69">
        <f>SUM(J4:J34)</f>
        <v>8613.739999999998</v>
      </c>
      <c r="K35" s="69">
        <f>SUM(K4:K34)</f>
        <v>104049.93800000001</v>
      </c>
      <c r="L35" s="69">
        <f>SUM(L4:L34)</f>
        <v>67093.873999999996</v>
      </c>
      <c r="M35" s="69"/>
      <c r="N35" s="69"/>
      <c r="O35" s="65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26"/>
      <c r="C38" s="426"/>
      <c r="D38" s="426"/>
      <c r="E38" s="426"/>
      <c r="F38" s="1"/>
      <c r="G38" s="1"/>
      <c r="H38" s="1"/>
      <c r="I38" s="449">
        <f>K24+L24</f>
        <v>0</v>
      </c>
      <c r="J38" s="426"/>
      <c r="K38" s="426"/>
      <c r="L38" s="426"/>
      <c r="M38" s="426"/>
      <c r="N38" s="42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topLeftCell="A21" workbookViewId="0">
      <selection activeCell="O41" sqref="O41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29" t="s">
        <v>148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9"/>
    </row>
    <row r="2" spans="1:17" ht="45">
      <c r="A2" s="70" t="s">
        <v>96</v>
      </c>
      <c r="B2" s="89" t="s">
        <v>97</v>
      </c>
      <c r="C2" s="89" t="s">
        <v>98</v>
      </c>
      <c r="D2" s="89" t="s">
        <v>99</v>
      </c>
      <c r="E2" s="89" t="s">
        <v>100</v>
      </c>
      <c r="F2" s="89" t="s">
        <v>101</v>
      </c>
      <c r="G2" s="89" t="s">
        <v>102</v>
      </c>
      <c r="H2" s="89" t="s">
        <v>103</v>
      </c>
      <c r="I2" s="89" t="s">
        <v>101</v>
      </c>
      <c r="J2" s="90" t="s">
        <v>102</v>
      </c>
      <c r="K2" s="70" t="s">
        <v>104</v>
      </c>
      <c r="L2" s="91" t="s">
        <v>105</v>
      </c>
      <c r="M2" s="174" t="s">
        <v>110</v>
      </c>
      <c r="N2" s="89" t="s">
        <v>107</v>
      </c>
      <c r="O2" s="65"/>
    </row>
    <row r="3" spans="1:17">
      <c r="A3" s="152"/>
      <c r="B3" s="153"/>
      <c r="C3" s="153"/>
      <c r="D3" s="139" t="s">
        <v>108</v>
      </c>
      <c r="E3" s="153"/>
      <c r="F3" s="153"/>
      <c r="G3" s="153"/>
      <c r="H3" s="153"/>
      <c r="I3" s="153"/>
      <c r="J3" s="154"/>
      <c r="K3" s="152">
        <v>173876.23400000003</v>
      </c>
      <c r="L3" s="155"/>
      <c r="M3" s="155">
        <v>173876.23400000003</v>
      </c>
      <c r="N3" s="153"/>
      <c r="O3" s="65"/>
    </row>
    <row r="4" spans="1:17">
      <c r="A4" s="50">
        <v>1</v>
      </c>
      <c r="B4" s="213">
        <v>45931</v>
      </c>
      <c r="C4" s="25"/>
      <c r="D4" s="25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173876.23400000003</v>
      </c>
      <c r="N4" s="48"/>
      <c r="O4" s="1"/>
    </row>
    <row r="5" spans="1:17">
      <c r="A5" s="50">
        <v>2</v>
      </c>
      <c r="B5" s="213">
        <v>45932</v>
      </c>
      <c r="C5" s="25"/>
      <c r="D5" s="25"/>
      <c r="E5" s="8">
        <v>0</v>
      </c>
      <c r="F5" s="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0</v>
      </c>
      <c r="L5" s="155">
        <v>0</v>
      </c>
      <c r="M5" s="8">
        <f t="shared" ref="M5:M23" si="3">M4+K5-L5</f>
        <v>173876.23400000003</v>
      </c>
      <c r="N5" s="48"/>
      <c r="O5" s="1"/>
    </row>
    <row r="6" spans="1:17">
      <c r="A6" s="50">
        <v>3</v>
      </c>
      <c r="B6" s="213">
        <v>45933</v>
      </c>
      <c r="C6" s="25"/>
      <c r="D6" s="25"/>
      <c r="E6" s="8">
        <v>116.88</v>
      </c>
      <c r="F6" s="8">
        <v>92.04</v>
      </c>
      <c r="G6" s="8">
        <f t="shared" si="0"/>
        <v>10757.635200000001</v>
      </c>
      <c r="H6" s="9">
        <v>11</v>
      </c>
      <c r="I6" s="9">
        <v>104.02</v>
      </c>
      <c r="J6" s="8">
        <f t="shared" si="1"/>
        <v>1144.22</v>
      </c>
      <c r="K6" s="8">
        <f t="shared" si="2"/>
        <v>11901.8552</v>
      </c>
      <c r="L6" s="155">
        <v>0</v>
      </c>
      <c r="M6" s="8">
        <f t="shared" si="3"/>
        <v>185778.08920000002</v>
      </c>
      <c r="N6" s="48"/>
      <c r="O6" s="1"/>
    </row>
    <row r="7" spans="1:17">
      <c r="A7" s="50">
        <v>4</v>
      </c>
      <c r="B7" s="213">
        <v>45934</v>
      </c>
      <c r="C7" s="25"/>
      <c r="D7" s="25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5">
        <v>0</v>
      </c>
      <c r="M7" s="8">
        <f t="shared" si="3"/>
        <v>185778.08920000002</v>
      </c>
      <c r="N7" s="48"/>
      <c r="O7" s="1"/>
    </row>
    <row r="8" spans="1:17">
      <c r="A8" s="50">
        <v>5</v>
      </c>
      <c r="B8" s="213">
        <v>45935</v>
      </c>
      <c r="C8" s="25"/>
      <c r="D8" s="25"/>
      <c r="E8" s="8">
        <v>150</v>
      </c>
      <c r="F8" s="8">
        <v>92.04</v>
      </c>
      <c r="G8" s="8">
        <f t="shared" si="0"/>
        <v>13806.000000000002</v>
      </c>
      <c r="H8" s="9">
        <v>0</v>
      </c>
      <c r="I8" s="9">
        <v>0</v>
      </c>
      <c r="J8" s="8">
        <f t="shared" si="1"/>
        <v>0</v>
      </c>
      <c r="K8" s="8">
        <f t="shared" si="2"/>
        <v>13806.000000000002</v>
      </c>
      <c r="L8" s="155">
        <v>0</v>
      </c>
      <c r="M8" s="8">
        <f t="shared" si="3"/>
        <v>199584.08920000002</v>
      </c>
      <c r="N8" s="48"/>
      <c r="O8" s="1"/>
    </row>
    <row r="9" spans="1:17">
      <c r="A9" s="50">
        <v>6</v>
      </c>
      <c r="B9" s="213">
        <v>45936</v>
      </c>
      <c r="C9" s="25"/>
      <c r="D9" s="25"/>
      <c r="E9" s="8">
        <v>130</v>
      </c>
      <c r="F9" s="8">
        <v>92.04</v>
      </c>
      <c r="G9" s="8">
        <f t="shared" si="0"/>
        <v>11965.2</v>
      </c>
      <c r="H9" s="9">
        <v>5</v>
      </c>
      <c r="I9" s="9">
        <v>104.02</v>
      </c>
      <c r="J9" s="8">
        <f t="shared" si="1"/>
        <v>520.1</v>
      </c>
      <c r="K9" s="8">
        <f t="shared" si="2"/>
        <v>12485.300000000001</v>
      </c>
      <c r="L9" s="155">
        <v>0</v>
      </c>
      <c r="M9" s="8">
        <f t="shared" si="3"/>
        <v>212069.38920000001</v>
      </c>
      <c r="N9" s="48"/>
      <c r="O9" s="1"/>
    </row>
    <row r="10" spans="1:17">
      <c r="A10" s="50">
        <v>7</v>
      </c>
      <c r="B10" s="213">
        <v>45937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5">
        <v>150000</v>
      </c>
      <c r="M10" s="8">
        <f t="shared" si="3"/>
        <v>62069.389200000005</v>
      </c>
      <c r="N10" s="48"/>
      <c r="O10" s="1"/>
    </row>
    <row r="11" spans="1:17">
      <c r="A11" s="50">
        <v>8</v>
      </c>
      <c r="B11" s="213">
        <v>45938</v>
      </c>
      <c r="C11" s="25"/>
      <c r="D11" s="25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5">
        <v>0</v>
      </c>
      <c r="M11" s="8">
        <f t="shared" si="3"/>
        <v>62069.389200000005</v>
      </c>
      <c r="N11" s="48"/>
      <c r="O11" s="1"/>
    </row>
    <row r="12" spans="1:17">
      <c r="A12" s="50">
        <v>9</v>
      </c>
      <c r="B12" s="213">
        <v>45939</v>
      </c>
      <c r="C12" s="25"/>
      <c r="D12" s="25"/>
      <c r="E12" s="8">
        <v>20</v>
      </c>
      <c r="F12" s="8">
        <v>92.04</v>
      </c>
      <c r="G12" s="8">
        <f t="shared" si="0"/>
        <v>1840.8000000000002</v>
      </c>
      <c r="H12" s="9">
        <v>6.63</v>
      </c>
      <c r="I12" s="9">
        <v>104.02</v>
      </c>
      <c r="J12" s="8">
        <f t="shared" si="1"/>
        <v>689.65260000000001</v>
      </c>
      <c r="K12" s="8">
        <f t="shared" si="2"/>
        <v>2530.4526000000001</v>
      </c>
      <c r="L12" s="155">
        <v>0</v>
      </c>
      <c r="M12" s="8">
        <f t="shared" si="3"/>
        <v>64599.841800000002</v>
      </c>
      <c r="N12" s="48"/>
      <c r="O12" s="1"/>
    </row>
    <row r="13" spans="1:17">
      <c r="A13" s="50">
        <v>10</v>
      </c>
      <c r="B13" s="213">
        <v>45940</v>
      </c>
      <c r="C13" s="25"/>
      <c r="D13" s="25"/>
      <c r="E13" s="8">
        <v>97.01</v>
      </c>
      <c r="F13" s="8">
        <v>92.04</v>
      </c>
      <c r="G13" s="8">
        <f t="shared" si="0"/>
        <v>8928.8004000000019</v>
      </c>
      <c r="H13" s="288">
        <v>11.16</v>
      </c>
      <c r="I13" s="9">
        <v>104.02</v>
      </c>
      <c r="J13" s="8">
        <f t="shared" si="1"/>
        <v>1160.8632</v>
      </c>
      <c r="K13" s="8">
        <f t="shared" si="2"/>
        <v>10089.663600000002</v>
      </c>
      <c r="L13" s="155">
        <v>0</v>
      </c>
      <c r="M13" s="8">
        <f t="shared" si="3"/>
        <v>74689.505400000009</v>
      </c>
      <c r="N13" s="48"/>
      <c r="O13" s="1"/>
      <c r="Q13" s="155">
        <f>+K13</f>
        <v>10089.663600000002</v>
      </c>
    </row>
    <row r="14" spans="1:17">
      <c r="A14" s="50">
        <v>11</v>
      </c>
      <c r="B14" s="213">
        <v>45941</v>
      </c>
      <c r="C14" s="25"/>
      <c r="D14" s="25"/>
      <c r="E14" s="8">
        <v>105</v>
      </c>
      <c r="F14" s="8">
        <v>92.04</v>
      </c>
      <c r="G14" s="8">
        <f t="shared" si="0"/>
        <v>9664.2000000000007</v>
      </c>
      <c r="H14" s="9">
        <v>0</v>
      </c>
      <c r="I14" s="9">
        <v>0</v>
      </c>
      <c r="J14" s="8">
        <f t="shared" si="1"/>
        <v>0</v>
      </c>
      <c r="K14" s="8">
        <f t="shared" si="2"/>
        <v>9664.2000000000007</v>
      </c>
      <c r="L14" s="155">
        <v>0</v>
      </c>
      <c r="M14" s="8">
        <f t="shared" si="3"/>
        <v>84353.705400000006</v>
      </c>
      <c r="N14" s="48"/>
      <c r="O14" s="1"/>
    </row>
    <row r="15" spans="1:17">
      <c r="A15" s="50">
        <v>12</v>
      </c>
      <c r="B15" s="213">
        <v>45942</v>
      </c>
      <c r="C15" s="25"/>
      <c r="D15" s="25"/>
      <c r="E15" s="8">
        <v>100</v>
      </c>
      <c r="F15" s="8">
        <v>92.04</v>
      </c>
      <c r="G15" s="8">
        <f t="shared" si="0"/>
        <v>9204</v>
      </c>
      <c r="H15" s="9">
        <v>0</v>
      </c>
      <c r="I15" s="9">
        <v>0</v>
      </c>
      <c r="J15" s="8">
        <f t="shared" si="1"/>
        <v>0</v>
      </c>
      <c r="K15" s="8">
        <f t="shared" si="2"/>
        <v>9204</v>
      </c>
      <c r="L15" s="155">
        <v>0</v>
      </c>
      <c r="M15" s="8">
        <f t="shared" si="3"/>
        <v>93557.705400000006</v>
      </c>
      <c r="N15" s="48"/>
      <c r="O15" s="1"/>
    </row>
    <row r="16" spans="1:17">
      <c r="A16" s="50">
        <v>13</v>
      </c>
      <c r="B16" s="213">
        <v>45943</v>
      </c>
      <c r="C16" s="25"/>
      <c r="D16" s="25"/>
      <c r="E16" s="8">
        <v>133.06</v>
      </c>
      <c r="F16" s="8">
        <v>92.04</v>
      </c>
      <c r="G16" s="8">
        <f t="shared" si="0"/>
        <v>12246.842400000001</v>
      </c>
      <c r="H16" s="9">
        <v>0</v>
      </c>
      <c r="I16" s="9">
        <v>0</v>
      </c>
      <c r="J16" s="8">
        <f t="shared" si="1"/>
        <v>0</v>
      </c>
      <c r="K16" s="8">
        <f t="shared" si="2"/>
        <v>12246.842400000001</v>
      </c>
      <c r="L16" s="155">
        <v>0</v>
      </c>
      <c r="M16" s="8">
        <f t="shared" si="3"/>
        <v>105804.5478</v>
      </c>
      <c r="N16" s="48"/>
      <c r="O16" s="1"/>
    </row>
    <row r="17" spans="1:17">
      <c r="A17" s="50">
        <v>14</v>
      </c>
      <c r="B17" s="213">
        <v>45944</v>
      </c>
      <c r="C17" s="25"/>
      <c r="D17" s="25"/>
      <c r="E17" s="8">
        <v>20</v>
      </c>
      <c r="F17" s="8">
        <v>92.04</v>
      </c>
      <c r="G17" s="8">
        <f t="shared" si="0"/>
        <v>1840.8000000000002</v>
      </c>
      <c r="H17" s="9">
        <v>0</v>
      </c>
      <c r="I17" s="9">
        <v>0</v>
      </c>
      <c r="J17" s="8">
        <f t="shared" si="1"/>
        <v>0</v>
      </c>
      <c r="K17" s="8">
        <f t="shared" si="2"/>
        <v>1840.8000000000002</v>
      </c>
      <c r="L17" s="155">
        <v>0</v>
      </c>
      <c r="M17" s="8">
        <f t="shared" si="3"/>
        <v>107645.3478</v>
      </c>
      <c r="N17" s="48"/>
      <c r="O17" s="1"/>
    </row>
    <row r="18" spans="1:17">
      <c r="A18" s="50">
        <v>15</v>
      </c>
      <c r="B18" s="213">
        <v>45945</v>
      </c>
      <c r="C18" s="25"/>
      <c r="D18" s="25"/>
      <c r="E18" s="8">
        <v>120</v>
      </c>
      <c r="F18" s="8">
        <v>92.04</v>
      </c>
      <c r="G18" s="8">
        <f t="shared" si="0"/>
        <v>11044.800000000001</v>
      </c>
      <c r="H18" s="9">
        <v>0</v>
      </c>
      <c r="I18" s="9">
        <v>0</v>
      </c>
      <c r="J18" s="8">
        <f t="shared" si="1"/>
        <v>0</v>
      </c>
      <c r="K18" s="8">
        <f t="shared" si="2"/>
        <v>11044.800000000001</v>
      </c>
      <c r="L18" s="155">
        <v>0</v>
      </c>
      <c r="M18" s="8">
        <f t="shared" si="3"/>
        <v>118690.14780000001</v>
      </c>
      <c r="N18" s="48"/>
      <c r="O18" s="1"/>
    </row>
    <row r="19" spans="1:17">
      <c r="A19" s="50">
        <v>16</v>
      </c>
      <c r="B19" s="213">
        <v>45946</v>
      </c>
      <c r="C19" s="25"/>
      <c r="D19" s="25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5">
        <v>0</v>
      </c>
      <c r="M19" s="8">
        <f t="shared" si="3"/>
        <v>118690.14780000001</v>
      </c>
      <c r="N19" s="48"/>
      <c r="O19" s="1"/>
    </row>
    <row r="20" spans="1:17">
      <c r="A20" s="50">
        <v>17</v>
      </c>
      <c r="B20" s="213">
        <v>45947</v>
      </c>
      <c r="C20" s="25"/>
      <c r="D20" s="25"/>
      <c r="E20" s="8">
        <v>65.790000000000006</v>
      </c>
      <c r="F20" s="8">
        <v>92.04</v>
      </c>
      <c r="G20" s="8">
        <f t="shared" si="0"/>
        <v>6055.3116000000009</v>
      </c>
      <c r="H20" s="9">
        <v>11.96</v>
      </c>
      <c r="I20" s="9">
        <v>104.02</v>
      </c>
      <c r="J20" s="8">
        <f t="shared" si="1"/>
        <v>1244.0792000000001</v>
      </c>
      <c r="K20" s="8">
        <f t="shared" si="2"/>
        <v>7299.390800000001</v>
      </c>
      <c r="L20" s="155">
        <v>0</v>
      </c>
      <c r="M20" s="8">
        <f t="shared" si="3"/>
        <v>125989.5386</v>
      </c>
      <c r="N20" s="48"/>
      <c r="O20" s="1"/>
    </row>
    <row r="21" spans="1:17">
      <c r="A21" s="50">
        <v>18</v>
      </c>
      <c r="B21" s="213">
        <v>45948</v>
      </c>
      <c r="C21" s="25"/>
      <c r="D21" s="25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5">
        <v>0</v>
      </c>
      <c r="M21" s="8">
        <f t="shared" si="3"/>
        <v>125989.5386</v>
      </c>
      <c r="N21" s="48"/>
      <c r="O21" s="1"/>
    </row>
    <row r="22" spans="1:17">
      <c r="A22" s="50">
        <v>19</v>
      </c>
      <c r="B22" s="213">
        <v>45949</v>
      </c>
      <c r="C22" s="25"/>
      <c r="D22" s="25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3"/>
        <v>125989.5386</v>
      </c>
      <c r="N22" s="48"/>
      <c r="O22" s="1"/>
    </row>
    <row r="23" spans="1:17">
      <c r="A23" s="50">
        <v>20</v>
      </c>
      <c r="B23" s="213">
        <v>45950</v>
      </c>
      <c r="C23" s="25"/>
      <c r="D23" s="25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0</v>
      </c>
      <c r="M23" s="8">
        <f t="shared" si="3"/>
        <v>125989.5386</v>
      </c>
      <c r="N23" s="48"/>
      <c r="O23" s="1"/>
    </row>
    <row r="24" spans="1:17">
      <c r="A24" s="50">
        <v>21</v>
      </c>
      <c r="B24" s="213">
        <v>45951</v>
      </c>
      <c r="C24" s="25"/>
      <c r="D24" s="25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5">
        <v>0</v>
      </c>
      <c r="M24" s="8">
        <f t="shared" ref="M24:M34" si="4">M23+K24-L24</f>
        <v>125989.5386</v>
      </c>
      <c r="N24" s="48"/>
      <c r="O24" s="1"/>
    </row>
    <row r="25" spans="1:17">
      <c r="A25" s="50">
        <v>22</v>
      </c>
      <c r="B25" s="213">
        <v>45952</v>
      </c>
      <c r="C25" s="25"/>
      <c r="D25" s="25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5">
        <v>0</v>
      </c>
      <c r="M25" s="8">
        <f t="shared" si="4"/>
        <v>125989.5386</v>
      </c>
      <c r="N25" s="48"/>
      <c r="O25" s="1"/>
    </row>
    <row r="26" spans="1:17">
      <c r="A26" s="50">
        <v>23</v>
      </c>
      <c r="B26" s="213">
        <v>45953</v>
      </c>
      <c r="C26" s="25"/>
      <c r="D26" s="25"/>
      <c r="E26" s="8">
        <v>42.38</v>
      </c>
      <c r="F26" s="8">
        <v>92.04</v>
      </c>
      <c r="G26" s="8">
        <f t="shared" si="0"/>
        <v>3900.6552000000006</v>
      </c>
      <c r="H26" s="9">
        <v>6</v>
      </c>
      <c r="I26" s="9">
        <v>104.02</v>
      </c>
      <c r="J26" s="8">
        <f t="shared" si="1"/>
        <v>624.12</v>
      </c>
      <c r="K26" s="8">
        <f t="shared" si="2"/>
        <v>4524.775200000001</v>
      </c>
      <c r="L26" s="155">
        <v>0</v>
      </c>
      <c r="M26" s="8">
        <f t="shared" si="4"/>
        <v>130514.3138</v>
      </c>
      <c r="N26" s="48"/>
      <c r="O26" s="1"/>
    </row>
    <row r="27" spans="1:17">
      <c r="A27" s="50">
        <v>24</v>
      </c>
      <c r="B27" s="213">
        <v>45954</v>
      </c>
      <c r="C27" s="25"/>
      <c r="D27" s="25"/>
      <c r="E27" s="8">
        <v>100</v>
      </c>
      <c r="F27" s="8">
        <v>92.04</v>
      </c>
      <c r="G27" s="8">
        <f t="shared" si="0"/>
        <v>9204</v>
      </c>
      <c r="H27" s="9">
        <v>0</v>
      </c>
      <c r="I27" s="9">
        <v>0</v>
      </c>
      <c r="J27" s="8">
        <f t="shared" si="1"/>
        <v>0</v>
      </c>
      <c r="K27" s="8">
        <f t="shared" si="2"/>
        <v>9204</v>
      </c>
      <c r="L27" s="155">
        <v>0</v>
      </c>
      <c r="M27" s="8">
        <f t="shared" si="4"/>
        <v>139718.3138</v>
      </c>
      <c r="N27" s="48"/>
      <c r="O27" s="1"/>
    </row>
    <row r="28" spans="1:17">
      <c r="A28" s="50">
        <v>25</v>
      </c>
      <c r="B28" s="213">
        <v>45955</v>
      </c>
      <c r="C28" s="25"/>
      <c r="D28" s="25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5">
        <v>0</v>
      </c>
      <c r="M28" s="8">
        <f t="shared" si="4"/>
        <v>139718.3138</v>
      </c>
      <c r="N28" s="48"/>
      <c r="O28" s="1"/>
    </row>
    <row r="29" spans="1:17">
      <c r="A29" s="50">
        <v>26</v>
      </c>
      <c r="B29" s="213">
        <v>45956</v>
      </c>
      <c r="C29" s="25"/>
      <c r="D29" s="25"/>
      <c r="E29" s="8">
        <v>100</v>
      </c>
      <c r="F29" s="8">
        <v>92.04</v>
      </c>
      <c r="G29" s="8">
        <f t="shared" si="0"/>
        <v>9204</v>
      </c>
      <c r="H29" s="9">
        <v>0</v>
      </c>
      <c r="I29" s="9">
        <v>0</v>
      </c>
      <c r="J29" s="8">
        <f t="shared" si="1"/>
        <v>0</v>
      </c>
      <c r="K29" s="8">
        <f t="shared" si="2"/>
        <v>9204</v>
      </c>
      <c r="L29" s="155">
        <v>0</v>
      </c>
      <c r="M29" s="8">
        <f t="shared" si="4"/>
        <v>148922.3138</v>
      </c>
      <c r="N29" s="48"/>
      <c r="O29" s="1"/>
    </row>
    <row r="30" spans="1:17">
      <c r="A30" s="50">
        <v>27</v>
      </c>
      <c r="B30" s="213">
        <v>45957</v>
      </c>
      <c r="C30" s="25"/>
      <c r="D30" s="25"/>
      <c r="E30" s="8">
        <v>225</v>
      </c>
      <c r="F30" s="8">
        <v>92.04</v>
      </c>
      <c r="G30" s="8">
        <f t="shared" si="0"/>
        <v>20709</v>
      </c>
      <c r="H30" s="9">
        <v>12</v>
      </c>
      <c r="I30" s="9">
        <v>104.02</v>
      </c>
      <c r="J30" s="8">
        <f t="shared" si="1"/>
        <v>1248.24</v>
      </c>
      <c r="K30" s="8">
        <f t="shared" si="2"/>
        <v>21957.24</v>
      </c>
      <c r="L30" s="155">
        <v>0</v>
      </c>
      <c r="M30" s="8">
        <f t="shared" si="4"/>
        <v>170879.55379999999</v>
      </c>
      <c r="N30" s="48"/>
      <c r="O30" s="1"/>
      <c r="Q30" s="183"/>
    </row>
    <row r="31" spans="1:17">
      <c r="A31" s="50">
        <v>28</v>
      </c>
      <c r="B31" s="213">
        <v>45958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5">
        <v>0</v>
      </c>
      <c r="M31" s="8">
        <f t="shared" si="4"/>
        <v>170879.55379999999</v>
      </c>
      <c r="N31" s="48"/>
      <c r="O31" s="1"/>
    </row>
    <row r="32" spans="1:17">
      <c r="A32" s="208">
        <v>29</v>
      </c>
      <c r="B32" s="213">
        <v>45959</v>
      </c>
      <c r="C32" s="25"/>
      <c r="D32" s="25"/>
      <c r="E32" s="8">
        <v>111.01</v>
      </c>
      <c r="F32" s="8">
        <v>92.04</v>
      </c>
      <c r="G32" s="8">
        <f t="shared" si="0"/>
        <v>10217.360400000001</v>
      </c>
      <c r="H32" s="9">
        <v>0</v>
      </c>
      <c r="I32" s="9">
        <v>0</v>
      </c>
      <c r="J32" s="8">
        <f t="shared" si="1"/>
        <v>0</v>
      </c>
      <c r="K32" s="8">
        <f t="shared" si="2"/>
        <v>10217.360400000001</v>
      </c>
      <c r="L32" s="155">
        <v>0</v>
      </c>
      <c r="M32" s="8">
        <f t="shared" si="4"/>
        <v>181096.9142</v>
      </c>
      <c r="N32" s="48"/>
      <c r="O32" s="1"/>
    </row>
    <row r="33" spans="1:17">
      <c r="A33" s="208">
        <v>30</v>
      </c>
      <c r="B33" s="213">
        <v>45960</v>
      </c>
      <c r="C33" s="25"/>
      <c r="D33" s="25"/>
      <c r="E33" s="8">
        <v>100</v>
      </c>
      <c r="F33" s="8">
        <v>92.04</v>
      </c>
      <c r="G33" s="8">
        <f t="shared" si="0"/>
        <v>9204</v>
      </c>
      <c r="H33" s="9">
        <v>0</v>
      </c>
      <c r="I33" s="9">
        <v>0</v>
      </c>
      <c r="J33" s="8">
        <f t="shared" si="1"/>
        <v>0</v>
      </c>
      <c r="K33" s="8">
        <f t="shared" si="2"/>
        <v>9204</v>
      </c>
      <c r="L33" s="155">
        <v>0</v>
      </c>
      <c r="M33" s="8">
        <f t="shared" si="4"/>
        <v>190300.9142</v>
      </c>
      <c r="N33" s="48"/>
      <c r="O33" s="1"/>
      <c r="Q33">
        <v>30</v>
      </c>
    </row>
    <row r="34" spans="1:17">
      <c r="A34" s="208">
        <v>31</v>
      </c>
      <c r="B34" s="213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55">
        <f t="shared" ref="L34" si="8">+K34</f>
        <v>0</v>
      </c>
      <c r="M34" s="8">
        <f t="shared" si="4"/>
        <v>190300.9142</v>
      </c>
      <c r="N34" s="48"/>
      <c r="O34" s="1"/>
    </row>
    <row r="35" spans="1:17">
      <c r="A35" s="68"/>
      <c r="B35" s="68"/>
      <c r="C35" s="68"/>
      <c r="D35" s="68"/>
      <c r="E35" s="69">
        <f>SUM(E4:E34)</f>
        <v>1736.13</v>
      </c>
      <c r="F35" s="69"/>
      <c r="G35" s="69">
        <f>SUM(G4:G34)</f>
        <v>159793.40520000001</v>
      </c>
      <c r="H35" s="69">
        <f>SUM(H4:H34)</f>
        <v>63.75</v>
      </c>
      <c r="I35" s="69"/>
      <c r="J35" s="69">
        <f>SUM(J4:J34)</f>
        <v>6631.2749999999996</v>
      </c>
      <c r="K35" s="69">
        <f>SUM(K4:K34)</f>
        <v>166424.6802</v>
      </c>
      <c r="L35" s="69">
        <f>SUM(L4:L34)</f>
        <v>150000</v>
      </c>
      <c r="M35" s="69"/>
      <c r="N35" s="69"/>
      <c r="O35" s="65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26"/>
      <c r="C38" s="426"/>
      <c r="D38" s="426"/>
      <c r="E38" s="426"/>
      <c r="F38" s="1"/>
      <c r="G38" s="1"/>
      <c r="H38" s="1"/>
      <c r="I38" s="449">
        <f>K24+L24</f>
        <v>0</v>
      </c>
      <c r="J38" s="426"/>
      <c r="K38" s="426"/>
      <c r="L38" s="426"/>
      <c r="M38" s="426"/>
      <c r="N38" s="426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30" activePane="bottomLeft" state="frozen"/>
      <selection pane="bottomLeft" activeCell="L10" sqref="L10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38" t="s">
        <v>72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6">
      <c r="A2" s="104" t="s">
        <v>96</v>
      </c>
      <c r="B2" s="105" t="s">
        <v>97</v>
      </c>
      <c r="C2" s="105" t="s">
        <v>98</v>
      </c>
      <c r="D2" s="105" t="s">
        <v>111</v>
      </c>
      <c r="E2" s="105" t="s">
        <v>100</v>
      </c>
      <c r="F2" s="105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6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 s="171">
        <v>133672.01150000002</v>
      </c>
      <c r="L3" s="17"/>
      <c r="M3" s="112">
        <v>133672.01150000002</v>
      </c>
      <c r="N3" s="17"/>
      <c r="O3" s="65"/>
    </row>
    <row r="4" spans="1:16">
      <c r="A4" s="50">
        <v>1</v>
      </c>
      <c r="B4" s="213">
        <v>45931</v>
      </c>
      <c r="C4" s="159"/>
      <c r="D4" s="160"/>
      <c r="E4" s="161">
        <v>0</v>
      </c>
      <c r="F4" s="161">
        <v>0</v>
      </c>
      <c r="G4" s="147">
        <f>E4*F4</f>
        <v>0</v>
      </c>
      <c r="H4" s="161">
        <v>0</v>
      </c>
      <c r="I4" s="162">
        <v>0</v>
      </c>
      <c r="J4" s="20">
        <f>H4*I4</f>
        <v>0</v>
      </c>
      <c r="K4" s="20">
        <f>G4+J4</f>
        <v>0</v>
      </c>
      <c r="L4" s="148"/>
      <c r="M4" s="148">
        <f t="shared" ref="M4:M21" si="0">M3+K4-L4</f>
        <v>133672.01150000002</v>
      </c>
      <c r="N4" s="149"/>
    </row>
    <row r="5" spans="1:16">
      <c r="A5" s="50">
        <v>2</v>
      </c>
      <c r="B5" s="213">
        <v>45932</v>
      </c>
      <c r="C5" s="11"/>
      <c r="D5" s="11"/>
      <c r="E5" s="161">
        <v>0</v>
      </c>
      <c r="F5" s="161">
        <v>0</v>
      </c>
      <c r="G5" s="147">
        <f t="shared" ref="G5:G34" si="1">E5*F5</f>
        <v>0</v>
      </c>
      <c r="H5" s="161">
        <v>0</v>
      </c>
      <c r="I5" s="162">
        <v>0</v>
      </c>
      <c r="J5" s="20">
        <f t="shared" ref="J5:J34" si="2">H5*I5</f>
        <v>0</v>
      </c>
      <c r="K5" s="20">
        <f t="shared" ref="K5:K34" si="3">G5+J5</f>
        <v>0</v>
      </c>
      <c r="L5" s="148"/>
      <c r="M5" s="14">
        <f t="shared" si="0"/>
        <v>133672.01150000002</v>
      </c>
      <c r="N5" s="12"/>
    </row>
    <row r="6" spans="1:16">
      <c r="A6" s="50">
        <v>3</v>
      </c>
      <c r="B6" s="213">
        <v>45933</v>
      </c>
      <c r="C6" s="11"/>
      <c r="D6" s="11"/>
      <c r="E6" s="161">
        <v>75</v>
      </c>
      <c r="F6" s="161">
        <v>91.83</v>
      </c>
      <c r="G6" s="147">
        <f t="shared" si="1"/>
        <v>6887.25</v>
      </c>
      <c r="H6" s="161">
        <v>10</v>
      </c>
      <c r="I6" s="162">
        <v>103.8</v>
      </c>
      <c r="J6" s="20">
        <f t="shared" si="2"/>
        <v>1038</v>
      </c>
      <c r="K6" s="20">
        <f t="shared" si="3"/>
        <v>7925.25</v>
      </c>
      <c r="L6" s="148"/>
      <c r="M6" s="14">
        <f t="shared" si="0"/>
        <v>141597.26150000002</v>
      </c>
      <c r="N6" s="13"/>
    </row>
    <row r="7" spans="1:16">
      <c r="A7" s="50">
        <v>4</v>
      </c>
      <c r="B7" s="213">
        <v>45934</v>
      </c>
      <c r="C7" s="76"/>
      <c r="D7" s="77"/>
      <c r="E7" s="161">
        <v>100</v>
      </c>
      <c r="F7" s="161">
        <v>91.83</v>
      </c>
      <c r="G7" s="147">
        <f t="shared" si="1"/>
        <v>9183</v>
      </c>
      <c r="H7" s="161">
        <v>0</v>
      </c>
      <c r="I7" s="162">
        <v>0</v>
      </c>
      <c r="J7" s="20">
        <f t="shared" si="2"/>
        <v>0</v>
      </c>
      <c r="K7" s="20">
        <f t="shared" si="3"/>
        <v>9183</v>
      </c>
      <c r="L7" s="148"/>
      <c r="M7" s="14">
        <f t="shared" si="0"/>
        <v>150780.26150000002</v>
      </c>
      <c r="N7" s="43"/>
    </row>
    <row r="8" spans="1:16">
      <c r="A8" s="50">
        <v>5</v>
      </c>
      <c r="B8" s="213">
        <v>45935</v>
      </c>
      <c r="C8" s="76"/>
      <c r="D8" s="77"/>
      <c r="E8" s="161">
        <v>30</v>
      </c>
      <c r="F8" s="161">
        <v>91.83</v>
      </c>
      <c r="G8" s="147">
        <f t="shared" si="1"/>
        <v>2754.9</v>
      </c>
      <c r="H8" s="161">
        <v>0</v>
      </c>
      <c r="I8" s="162">
        <v>0</v>
      </c>
      <c r="J8" s="20">
        <f t="shared" si="2"/>
        <v>0</v>
      </c>
      <c r="K8" s="20">
        <f t="shared" si="3"/>
        <v>2754.9</v>
      </c>
      <c r="L8" s="148"/>
      <c r="M8" s="14">
        <f t="shared" si="0"/>
        <v>153535.16150000002</v>
      </c>
      <c r="N8" s="43"/>
      <c r="O8" s="260">
        <v>8497892194</v>
      </c>
      <c r="P8" s="261" t="s">
        <v>149</v>
      </c>
    </row>
    <row r="9" spans="1:16">
      <c r="A9" s="50">
        <v>6</v>
      </c>
      <c r="B9" s="213">
        <v>45936</v>
      </c>
      <c r="C9" s="76"/>
      <c r="D9" s="77"/>
      <c r="E9" s="161">
        <v>60</v>
      </c>
      <c r="F9" s="161">
        <v>91.83</v>
      </c>
      <c r="G9" s="147">
        <f t="shared" si="1"/>
        <v>5509.8</v>
      </c>
      <c r="H9" s="161">
        <v>0</v>
      </c>
      <c r="I9" s="162">
        <v>0</v>
      </c>
      <c r="J9" s="20">
        <f t="shared" si="2"/>
        <v>0</v>
      </c>
      <c r="K9" s="20">
        <f t="shared" si="3"/>
        <v>5509.8</v>
      </c>
      <c r="L9" s="148"/>
      <c r="M9" s="14">
        <f t="shared" si="0"/>
        <v>159044.9615</v>
      </c>
      <c r="N9" s="43"/>
      <c r="O9" s="75"/>
    </row>
    <row r="10" spans="1:16">
      <c r="A10" s="50">
        <v>7</v>
      </c>
      <c r="B10" s="213">
        <v>45937</v>
      </c>
      <c r="C10" s="76"/>
      <c r="D10" s="77"/>
      <c r="E10" s="161">
        <v>0</v>
      </c>
      <c r="F10" s="161">
        <v>0</v>
      </c>
      <c r="G10" s="147">
        <f t="shared" si="1"/>
        <v>0</v>
      </c>
      <c r="H10" s="161">
        <v>0</v>
      </c>
      <c r="I10" s="162">
        <v>0</v>
      </c>
      <c r="J10" s="20">
        <f t="shared" si="2"/>
        <v>0</v>
      </c>
      <c r="K10" s="20">
        <f t="shared" si="3"/>
        <v>0</v>
      </c>
      <c r="L10" s="148">
        <v>100000</v>
      </c>
      <c r="M10" s="14">
        <f t="shared" si="0"/>
        <v>59044.961500000005</v>
      </c>
      <c r="N10" s="43"/>
      <c r="O10" s="75"/>
    </row>
    <row r="11" spans="1:16">
      <c r="A11" s="50">
        <v>8</v>
      </c>
      <c r="B11" s="213">
        <v>45938</v>
      </c>
      <c r="C11" s="76"/>
      <c r="D11" s="77"/>
      <c r="E11" s="161">
        <v>60</v>
      </c>
      <c r="F11" s="161">
        <v>91.83</v>
      </c>
      <c r="G11" s="147">
        <f t="shared" si="1"/>
        <v>5509.8</v>
      </c>
      <c r="H11" s="161">
        <v>0</v>
      </c>
      <c r="I11" s="162">
        <v>0</v>
      </c>
      <c r="J11" s="20">
        <f t="shared" si="2"/>
        <v>0</v>
      </c>
      <c r="K11" s="20">
        <f t="shared" si="3"/>
        <v>5509.8</v>
      </c>
      <c r="L11" s="148"/>
      <c r="M11" s="14">
        <f t="shared" si="0"/>
        <v>64554.761500000008</v>
      </c>
      <c r="N11" s="43"/>
      <c r="O11" s="75"/>
    </row>
    <row r="12" spans="1:16">
      <c r="A12" s="50">
        <v>9</v>
      </c>
      <c r="B12" s="213">
        <v>45939</v>
      </c>
      <c r="C12" s="76"/>
      <c r="D12" s="77"/>
      <c r="E12" s="161">
        <v>70</v>
      </c>
      <c r="F12" s="161">
        <v>91.83</v>
      </c>
      <c r="G12" s="147">
        <f t="shared" si="1"/>
        <v>6428.0999999999995</v>
      </c>
      <c r="H12" s="161">
        <v>0</v>
      </c>
      <c r="I12" s="162">
        <v>0</v>
      </c>
      <c r="J12" s="20">
        <f t="shared" si="2"/>
        <v>0</v>
      </c>
      <c r="K12" s="20">
        <f t="shared" si="3"/>
        <v>6428.0999999999995</v>
      </c>
      <c r="L12" s="148"/>
      <c r="M12" s="14">
        <f t="shared" si="0"/>
        <v>70982.861500000014</v>
      </c>
      <c r="N12" s="43"/>
      <c r="O12" s="75"/>
    </row>
    <row r="13" spans="1:16">
      <c r="A13" s="50">
        <v>10</v>
      </c>
      <c r="B13" s="213">
        <v>45940</v>
      </c>
      <c r="C13" s="76"/>
      <c r="D13" s="77"/>
      <c r="E13" s="161">
        <v>50</v>
      </c>
      <c r="F13" s="161">
        <v>91.83</v>
      </c>
      <c r="G13" s="147">
        <f t="shared" si="1"/>
        <v>4591.5</v>
      </c>
      <c r="H13" s="161">
        <v>5</v>
      </c>
      <c r="I13" s="162">
        <v>103.8</v>
      </c>
      <c r="J13" s="20">
        <f t="shared" si="2"/>
        <v>519</v>
      </c>
      <c r="K13" s="20">
        <f t="shared" si="3"/>
        <v>5110.5</v>
      </c>
      <c r="L13" s="148"/>
      <c r="M13" s="14">
        <f t="shared" si="0"/>
        <v>76093.361500000014</v>
      </c>
      <c r="N13" s="43"/>
      <c r="O13" s="75"/>
    </row>
    <row r="14" spans="1:16">
      <c r="A14" s="50">
        <v>11</v>
      </c>
      <c r="B14" s="213">
        <v>45941</v>
      </c>
      <c r="C14" s="76"/>
      <c r="D14" s="77"/>
      <c r="E14" s="161">
        <v>0</v>
      </c>
      <c r="F14" s="161">
        <v>0</v>
      </c>
      <c r="G14" s="147">
        <f t="shared" si="1"/>
        <v>0</v>
      </c>
      <c r="H14" s="161">
        <v>0</v>
      </c>
      <c r="I14" s="162">
        <v>0</v>
      </c>
      <c r="J14" s="20">
        <f t="shared" si="2"/>
        <v>0</v>
      </c>
      <c r="K14" s="20">
        <f t="shared" si="3"/>
        <v>0</v>
      </c>
      <c r="L14" s="148"/>
      <c r="M14" s="14">
        <f t="shared" si="0"/>
        <v>76093.361500000014</v>
      </c>
      <c r="N14" s="43"/>
      <c r="O14" s="75"/>
    </row>
    <row r="15" spans="1:16">
      <c r="A15" s="50">
        <v>12</v>
      </c>
      <c r="B15" s="213">
        <v>45942</v>
      </c>
      <c r="C15" s="76"/>
      <c r="D15" s="77"/>
      <c r="E15" s="161">
        <v>200</v>
      </c>
      <c r="F15" s="161">
        <v>91.83</v>
      </c>
      <c r="G15" s="147">
        <f t="shared" si="1"/>
        <v>18366</v>
      </c>
      <c r="H15" s="161">
        <v>0</v>
      </c>
      <c r="I15" s="162">
        <v>0</v>
      </c>
      <c r="J15" s="20">
        <f t="shared" si="2"/>
        <v>0</v>
      </c>
      <c r="K15" s="20">
        <f t="shared" si="3"/>
        <v>18366</v>
      </c>
      <c r="L15" s="148"/>
      <c r="M15" s="14">
        <f t="shared" si="0"/>
        <v>94459.361500000014</v>
      </c>
      <c r="N15" s="43"/>
      <c r="O15" s="75"/>
    </row>
    <row r="16" spans="1:16">
      <c r="A16" s="50">
        <v>13</v>
      </c>
      <c r="B16" s="213">
        <v>45943</v>
      </c>
      <c r="C16" s="76"/>
      <c r="D16" s="77"/>
      <c r="E16" s="161">
        <v>30</v>
      </c>
      <c r="F16" s="161">
        <v>91.83</v>
      </c>
      <c r="G16" s="147">
        <f t="shared" si="1"/>
        <v>2754.9</v>
      </c>
      <c r="H16" s="161">
        <v>0</v>
      </c>
      <c r="I16" s="162">
        <v>0</v>
      </c>
      <c r="J16" s="20">
        <f t="shared" si="2"/>
        <v>0</v>
      </c>
      <c r="K16" s="20">
        <f t="shared" si="3"/>
        <v>2754.9</v>
      </c>
      <c r="L16" s="148"/>
      <c r="M16" s="259">
        <f t="shared" si="0"/>
        <v>97214.261500000008</v>
      </c>
      <c r="N16" s="43"/>
      <c r="O16" s="75"/>
    </row>
    <row r="17" spans="1:18">
      <c r="A17" s="50">
        <v>14</v>
      </c>
      <c r="B17" s="213">
        <v>45944</v>
      </c>
      <c r="C17" s="76"/>
      <c r="D17" s="77"/>
      <c r="E17" s="161">
        <v>0</v>
      </c>
      <c r="F17" s="161">
        <v>0</v>
      </c>
      <c r="G17" s="147">
        <f t="shared" si="1"/>
        <v>0</v>
      </c>
      <c r="H17" s="161">
        <v>0</v>
      </c>
      <c r="I17" s="162">
        <v>0</v>
      </c>
      <c r="J17" s="20">
        <f t="shared" si="2"/>
        <v>0</v>
      </c>
      <c r="K17" s="20">
        <f t="shared" si="3"/>
        <v>0</v>
      </c>
      <c r="L17" s="148"/>
      <c r="M17" s="14">
        <f t="shared" si="0"/>
        <v>97214.261500000008</v>
      </c>
      <c r="N17" s="43"/>
      <c r="O17" s="75"/>
    </row>
    <row r="18" spans="1:18">
      <c r="A18" s="50">
        <v>15</v>
      </c>
      <c r="B18" s="213">
        <v>45945</v>
      </c>
      <c r="C18" s="76"/>
      <c r="D18" s="77"/>
      <c r="E18" s="161">
        <v>0</v>
      </c>
      <c r="F18" s="161">
        <v>0</v>
      </c>
      <c r="G18" s="147">
        <f t="shared" si="1"/>
        <v>0</v>
      </c>
      <c r="H18" s="161">
        <v>0</v>
      </c>
      <c r="I18" s="162">
        <v>0</v>
      </c>
      <c r="J18" s="20">
        <f t="shared" si="2"/>
        <v>0</v>
      </c>
      <c r="K18" s="20">
        <f t="shared" si="3"/>
        <v>0</v>
      </c>
      <c r="L18" s="148"/>
      <c r="M18" s="14">
        <f t="shared" si="0"/>
        <v>97214.261500000008</v>
      </c>
      <c r="N18" s="43"/>
      <c r="O18" s="75"/>
    </row>
    <row r="19" spans="1:18">
      <c r="A19" s="50">
        <v>16</v>
      </c>
      <c r="B19" s="213">
        <v>45946</v>
      </c>
      <c r="C19" s="200"/>
      <c r="D19" s="201"/>
      <c r="E19" s="161">
        <v>0</v>
      </c>
      <c r="F19" s="161">
        <v>0</v>
      </c>
      <c r="G19" s="147">
        <f t="shared" si="1"/>
        <v>0</v>
      </c>
      <c r="H19" s="161">
        <v>0</v>
      </c>
      <c r="I19" s="162">
        <v>0</v>
      </c>
      <c r="J19" s="20">
        <f t="shared" si="2"/>
        <v>0</v>
      </c>
      <c r="K19" s="20">
        <f t="shared" si="3"/>
        <v>0</v>
      </c>
      <c r="L19" s="148"/>
      <c r="M19" s="15">
        <f t="shared" si="0"/>
        <v>97214.261500000008</v>
      </c>
      <c r="N19" s="202"/>
      <c r="O19" s="75"/>
    </row>
    <row r="20" spans="1:18">
      <c r="A20" s="50">
        <v>17</v>
      </c>
      <c r="B20" s="213">
        <v>45947</v>
      </c>
      <c r="C20" s="73"/>
      <c r="D20" s="77"/>
      <c r="E20" s="161">
        <v>0</v>
      </c>
      <c r="F20" s="161">
        <v>0</v>
      </c>
      <c r="G20" s="147">
        <f t="shared" si="1"/>
        <v>0</v>
      </c>
      <c r="H20" s="161">
        <v>5</v>
      </c>
      <c r="I20" s="162">
        <v>103.8</v>
      </c>
      <c r="J20" s="20">
        <f t="shared" si="2"/>
        <v>519</v>
      </c>
      <c r="K20" s="20">
        <f t="shared" si="3"/>
        <v>519</v>
      </c>
      <c r="L20" s="148"/>
      <c r="M20" s="15">
        <f t="shared" si="0"/>
        <v>97733.261500000008</v>
      </c>
      <c r="N20" s="43"/>
      <c r="O20" s="75"/>
    </row>
    <row r="21" spans="1:18">
      <c r="A21" s="50">
        <v>18</v>
      </c>
      <c r="B21" s="213">
        <v>45948</v>
      </c>
      <c r="C21" s="73"/>
      <c r="D21" s="77"/>
      <c r="E21" s="161">
        <v>0</v>
      </c>
      <c r="F21" s="161">
        <v>0</v>
      </c>
      <c r="G21" s="147">
        <f t="shared" si="1"/>
        <v>0</v>
      </c>
      <c r="H21" s="161">
        <v>0</v>
      </c>
      <c r="I21" s="162">
        <v>0</v>
      </c>
      <c r="J21" s="20">
        <f t="shared" si="2"/>
        <v>0</v>
      </c>
      <c r="K21" s="20">
        <f t="shared" si="3"/>
        <v>0</v>
      </c>
      <c r="L21" s="148"/>
      <c r="M21" s="15">
        <f t="shared" si="0"/>
        <v>97733.261500000008</v>
      </c>
      <c r="N21" s="43"/>
      <c r="O21" s="75"/>
    </row>
    <row r="22" spans="1:18">
      <c r="A22" s="50">
        <v>19</v>
      </c>
      <c r="B22" s="213">
        <v>45949</v>
      </c>
      <c r="C22" s="73"/>
      <c r="D22" s="77"/>
      <c r="E22" s="161">
        <v>0</v>
      </c>
      <c r="F22" s="161">
        <v>0</v>
      </c>
      <c r="G22" s="147">
        <f t="shared" si="1"/>
        <v>0</v>
      </c>
      <c r="H22" s="161">
        <v>0</v>
      </c>
      <c r="I22" s="162">
        <v>0</v>
      </c>
      <c r="J22" s="20">
        <f t="shared" si="2"/>
        <v>0</v>
      </c>
      <c r="K22" s="20">
        <f t="shared" si="3"/>
        <v>0</v>
      </c>
      <c r="L22" s="148"/>
      <c r="M22" s="15">
        <f t="shared" ref="M22:M30" si="4">M21+K22-L22</f>
        <v>97733.261500000008</v>
      </c>
      <c r="N22" s="43"/>
      <c r="O22" s="75"/>
    </row>
    <row r="23" spans="1:18">
      <c r="A23" s="50">
        <v>20</v>
      </c>
      <c r="B23" s="213">
        <v>45950</v>
      </c>
      <c r="C23" s="73"/>
      <c r="D23" s="77"/>
      <c r="E23" s="161">
        <v>0</v>
      </c>
      <c r="F23" s="161">
        <v>0</v>
      </c>
      <c r="G23" s="147">
        <f t="shared" si="1"/>
        <v>0</v>
      </c>
      <c r="H23" s="161">
        <v>0</v>
      </c>
      <c r="I23" s="162">
        <v>0</v>
      </c>
      <c r="J23" s="20">
        <f t="shared" si="2"/>
        <v>0</v>
      </c>
      <c r="K23" s="20">
        <f t="shared" si="3"/>
        <v>0</v>
      </c>
      <c r="L23" s="148"/>
      <c r="M23" s="15">
        <f t="shared" si="4"/>
        <v>97733.261500000008</v>
      </c>
      <c r="N23" s="43"/>
      <c r="O23" s="75"/>
    </row>
    <row r="24" spans="1:18">
      <c r="A24" s="50">
        <v>21</v>
      </c>
      <c r="B24" s="213">
        <v>45951</v>
      </c>
      <c r="C24" s="73"/>
      <c r="D24" s="77"/>
      <c r="E24" s="161">
        <v>0</v>
      </c>
      <c r="F24" s="161">
        <v>0</v>
      </c>
      <c r="G24" s="147">
        <f t="shared" si="1"/>
        <v>0</v>
      </c>
      <c r="H24" s="161">
        <v>0</v>
      </c>
      <c r="I24" s="162">
        <v>0</v>
      </c>
      <c r="J24" s="20">
        <f t="shared" si="2"/>
        <v>0</v>
      </c>
      <c r="K24" s="20">
        <f t="shared" si="3"/>
        <v>0</v>
      </c>
      <c r="L24" s="148"/>
      <c r="M24" s="15">
        <f t="shared" si="4"/>
        <v>97733.261500000008</v>
      </c>
      <c r="N24" s="43"/>
      <c r="O24" s="75"/>
    </row>
    <row r="25" spans="1:18">
      <c r="A25" s="50">
        <v>22</v>
      </c>
      <c r="B25" s="213">
        <v>45952</v>
      </c>
      <c r="C25" s="73"/>
      <c r="D25" s="77"/>
      <c r="E25" s="161">
        <v>0</v>
      </c>
      <c r="F25" s="161">
        <v>0</v>
      </c>
      <c r="G25" s="147">
        <f t="shared" si="1"/>
        <v>0</v>
      </c>
      <c r="H25" s="161">
        <v>0</v>
      </c>
      <c r="I25" s="162">
        <v>0</v>
      </c>
      <c r="J25" s="20">
        <f t="shared" si="2"/>
        <v>0</v>
      </c>
      <c r="K25" s="20">
        <f t="shared" si="3"/>
        <v>0</v>
      </c>
      <c r="L25" s="148"/>
      <c r="M25" s="15">
        <f t="shared" si="4"/>
        <v>97733.261500000008</v>
      </c>
      <c r="N25" s="43"/>
      <c r="O25" s="75"/>
    </row>
    <row r="26" spans="1:18">
      <c r="A26" s="50">
        <v>23</v>
      </c>
      <c r="B26" s="213">
        <v>45953</v>
      </c>
      <c r="C26" s="73"/>
      <c r="D26" s="77"/>
      <c r="E26" s="161">
        <v>0</v>
      </c>
      <c r="F26" s="161">
        <v>0</v>
      </c>
      <c r="G26" s="147">
        <f t="shared" si="1"/>
        <v>0</v>
      </c>
      <c r="H26" s="161">
        <v>0</v>
      </c>
      <c r="I26" s="162">
        <v>0</v>
      </c>
      <c r="J26" s="20">
        <f t="shared" si="2"/>
        <v>0</v>
      </c>
      <c r="K26" s="20">
        <f t="shared" si="3"/>
        <v>0</v>
      </c>
      <c r="L26" s="148"/>
      <c r="M26" s="15">
        <f t="shared" si="4"/>
        <v>97733.261500000008</v>
      </c>
      <c r="N26" s="43"/>
      <c r="O26" s="75"/>
    </row>
    <row r="27" spans="1:18">
      <c r="A27" s="50">
        <v>24</v>
      </c>
      <c r="B27" s="213">
        <v>45954</v>
      </c>
      <c r="C27" s="73"/>
      <c r="D27" s="77"/>
      <c r="E27" s="161">
        <v>0</v>
      </c>
      <c r="F27" s="161">
        <v>0</v>
      </c>
      <c r="G27" s="147">
        <f t="shared" si="1"/>
        <v>0</v>
      </c>
      <c r="H27" s="161">
        <v>0</v>
      </c>
      <c r="I27" s="162">
        <v>0</v>
      </c>
      <c r="J27" s="20">
        <f t="shared" si="2"/>
        <v>0</v>
      </c>
      <c r="K27" s="20">
        <f t="shared" si="3"/>
        <v>0</v>
      </c>
      <c r="L27" s="148"/>
      <c r="M27" s="15">
        <f t="shared" si="4"/>
        <v>97733.261500000008</v>
      </c>
      <c r="N27" s="43"/>
      <c r="O27" s="75"/>
      <c r="R27">
        <v>66742</v>
      </c>
    </row>
    <row r="28" spans="1:18">
      <c r="A28" s="233">
        <v>25</v>
      </c>
      <c r="B28" s="213">
        <v>45955</v>
      </c>
      <c r="C28" s="207"/>
      <c r="D28" s="201"/>
      <c r="E28" s="161">
        <v>0</v>
      </c>
      <c r="F28" s="161">
        <v>0</v>
      </c>
      <c r="G28" s="147">
        <f t="shared" si="1"/>
        <v>0</v>
      </c>
      <c r="H28" s="161">
        <v>0</v>
      </c>
      <c r="I28" s="162">
        <v>0</v>
      </c>
      <c r="J28" s="20">
        <f t="shared" si="2"/>
        <v>0</v>
      </c>
      <c r="K28" s="20">
        <f t="shared" si="3"/>
        <v>0</v>
      </c>
      <c r="L28" s="148"/>
      <c r="M28" s="15">
        <f t="shared" si="4"/>
        <v>97733.261500000008</v>
      </c>
      <c r="N28" s="202"/>
      <c r="O28" s="75"/>
    </row>
    <row r="29" spans="1:18">
      <c r="A29" s="50">
        <v>26</v>
      </c>
      <c r="B29" s="213">
        <v>45956</v>
      </c>
      <c r="C29" s="73"/>
      <c r="D29" s="77"/>
      <c r="E29" s="161">
        <v>0</v>
      </c>
      <c r="F29" s="161">
        <v>0</v>
      </c>
      <c r="G29" s="147">
        <f t="shared" si="1"/>
        <v>0</v>
      </c>
      <c r="H29" s="161">
        <v>0</v>
      </c>
      <c r="I29" s="162">
        <v>0</v>
      </c>
      <c r="J29" s="20">
        <f t="shared" si="2"/>
        <v>0</v>
      </c>
      <c r="K29" s="20">
        <f t="shared" si="3"/>
        <v>0</v>
      </c>
      <c r="L29" s="148"/>
      <c r="M29" s="15">
        <f t="shared" si="4"/>
        <v>97733.261500000008</v>
      </c>
      <c r="N29" s="43"/>
      <c r="O29" s="75"/>
    </row>
    <row r="30" spans="1:18">
      <c r="A30" s="50">
        <v>27</v>
      </c>
      <c r="B30" s="213">
        <v>45957</v>
      </c>
      <c r="C30" s="73"/>
      <c r="D30" s="77"/>
      <c r="E30" s="161">
        <v>0</v>
      </c>
      <c r="F30" s="161">
        <v>0</v>
      </c>
      <c r="G30" s="147">
        <f t="shared" si="1"/>
        <v>0</v>
      </c>
      <c r="H30" s="161">
        <v>5</v>
      </c>
      <c r="I30" s="162">
        <v>103.8</v>
      </c>
      <c r="J30" s="20">
        <f t="shared" si="2"/>
        <v>519</v>
      </c>
      <c r="K30" s="20">
        <f t="shared" si="3"/>
        <v>519</v>
      </c>
      <c r="L30" s="148"/>
      <c r="M30" s="15">
        <f t="shared" si="4"/>
        <v>98252.261500000008</v>
      </c>
      <c r="N30" s="43"/>
      <c r="O30" s="75"/>
    </row>
    <row r="31" spans="1:18">
      <c r="A31" s="50">
        <v>28</v>
      </c>
      <c r="B31" s="213">
        <v>45958</v>
      </c>
      <c r="C31" s="73"/>
      <c r="D31" s="77"/>
      <c r="E31" s="161">
        <v>0</v>
      </c>
      <c r="F31" s="161">
        <v>0</v>
      </c>
      <c r="G31" s="147">
        <f t="shared" si="1"/>
        <v>0</v>
      </c>
      <c r="H31" s="161">
        <v>0</v>
      </c>
      <c r="I31" s="162">
        <v>0</v>
      </c>
      <c r="J31" s="20">
        <f t="shared" si="2"/>
        <v>0</v>
      </c>
      <c r="K31" s="20">
        <f t="shared" si="3"/>
        <v>0</v>
      </c>
      <c r="L31" s="148"/>
      <c r="M31" s="15">
        <f>M30+K31-L31</f>
        <v>98252.261500000008</v>
      </c>
      <c r="N31" s="43"/>
      <c r="O31" s="75"/>
    </row>
    <row r="32" spans="1:18">
      <c r="A32" s="50">
        <v>29</v>
      </c>
      <c r="B32" s="213">
        <v>45959</v>
      </c>
      <c r="C32" s="73"/>
      <c r="D32" s="77"/>
      <c r="E32" s="161">
        <v>0</v>
      </c>
      <c r="F32" s="161">
        <v>0</v>
      </c>
      <c r="G32" s="147">
        <f t="shared" si="1"/>
        <v>0</v>
      </c>
      <c r="H32" s="161">
        <v>0</v>
      </c>
      <c r="I32" s="162">
        <v>0</v>
      </c>
      <c r="J32" s="20">
        <f t="shared" si="2"/>
        <v>0</v>
      </c>
      <c r="K32" s="20">
        <f t="shared" si="3"/>
        <v>0</v>
      </c>
      <c r="L32" s="148"/>
      <c r="M32" s="15">
        <f>M31+K32-L32</f>
        <v>98252.261500000008</v>
      </c>
      <c r="N32" s="43"/>
      <c r="O32" s="75"/>
    </row>
    <row r="33" spans="1:15">
      <c r="A33" s="50">
        <v>30</v>
      </c>
      <c r="B33" s="213">
        <v>45960</v>
      </c>
      <c r="C33" s="73"/>
      <c r="D33" s="77"/>
      <c r="E33" s="161">
        <v>0</v>
      </c>
      <c r="F33" s="161">
        <v>0</v>
      </c>
      <c r="G33" s="147">
        <f t="shared" si="1"/>
        <v>0</v>
      </c>
      <c r="H33" s="161">
        <v>0</v>
      </c>
      <c r="I33" s="162">
        <v>0</v>
      </c>
      <c r="J33" s="20">
        <f t="shared" si="2"/>
        <v>0</v>
      </c>
      <c r="K33" s="20">
        <f t="shared" si="3"/>
        <v>0</v>
      </c>
      <c r="L33" s="148"/>
      <c r="M33" s="15">
        <f>M32+K33-L33</f>
        <v>98252.261500000008</v>
      </c>
      <c r="N33" s="43"/>
      <c r="O33" s="75"/>
    </row>
    <row r="34" spans="1:15">
      <c r="A34" s="50">
        <v>31</v>
      </c>
      <c r="B34" s="213"/>
      <c r="C34" s="73"/>
      <c r="D34" s="77"/>
      <c r="E34" s="161">
        <v>0</v>
      </c>
      <c r="F34" s="161">
        <v>0</v>
      </c>
      <c r="G34" s="147">
        <f t="shared" si="1"/>
        <v>0</v>
      </c>
      <c r="H34" s="161">
        <v>0</v>
      </c>
      <c r="I34" s="162">
        <v>0</v>
      </c>
      <c r="J34" s="20">
        <f t="shared" si="2"/>
        <v>0</v>
      </c>
      <c r="K34" s="20">
        <f t="shared" si="3"/>
        <v>0</v>
      </c>
      <c r="L34" s="148"/>
      <c r="M34" s="15">
        <f>M33+K34-L34</f>
        <v>98252.261500000008</v>
      </c>
      <c r="N34" s="43"/>
      <c r="O34" s="75"/>
    </row>
    <row r="35" spans="1:15">
      <c r="A35" s="168"/>
      <c r="B35" s="168"/>
      <c r="C35" s="168"/>
      <c r="D35" s="168"/>
      <c r="E35" s="169">
        <f>SUM(E4:E34)</f>
        <v>675</v>
      </c>
      <c r="F35" s="169"/>
      <c r="G35" s="169">
        <f>SUM(G4:G34)</f>
        <v>61985.25</v>
      </c>
      <c r="H35" s="169">
        <f>SUM(H4:H34)</f>
        <v>25</v>
      </c>
      <c r="I35" s="169"/>
      <c r="J35" s="169">
        <f>SUM(J4:J34)</f>
        <v>2595</v>
      </c>
      <c r="K35" s="169">
        <f>SUM(K4:K34)</f>
        <v>64580.25</v>
      </c>
      <c r="L35" s="169">
        <f>SUM(L4:L34)</f>
        <v>100000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A3" activePane="bottomLeft" state="frozen"/>
      <selection pane="bottomLeft" activeCell="Q14" sqref="Q14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1.85546875" style="108" bestFit="1" customWidth="1"/>
    <col min="8" max="8" width="11.140625" style="5" customWidth="1"/>
    <col min="9" max="9" width="9.140625" style="5"/>
    <col min="10" max="10" width="10.85546875" style="108" bestFit="1" customWidth="1"/>
    <col min="11" max="11" width="12.85546875" style="5" customWidth="1"/>
    <col min="12" max="12" width="13.5703125" style="108" bestFit="1" customWidth="1"/>
    <col min="13" max="13" width="13.5703125" style="108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36" t="s">
        <v>150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18" customHeight="1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134" t="s">
        <v>110</v>
      </c>
      <c r="N2" s="89" t="s">
        <v>107</v>
      </c>
    </row>
    <row r="3" spans="1:14" ht="18" customHeight="1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323"/>
      <c r="N3" s="322">
        <v>20613.942399999993</v>
      </c>
    </row>
    <row r="4" spans="1:14">
      <c r="A4" s="6">
        <v>1</v>
      </c>
      <c r="B4" s="84" t="s">
        <v>151</v>
      </c>
      <c r="C4" s="6"/>
      <c r="D4" s="6"/>
      <c r="E4" s="71">
        <v>25.57</v>
      </c>
      <c r="F4" s="6">
        <v>91.5</v>
      </c>
      <c r="G4" s="72">
        <f>E4*F4</f>
        <v>2339.6550000000002</v>
      </c>
      <c r="H4" s="71">
        <v>0</v>
      </c>
      <c r="I4" s="6">
        <v>0</v>
      </c>
      <c r="J4" s="72">
        <f>H4*I4</f>
        <v>0</v>
      </c>
      <c r="K4" s="72">
        <f>G4+J4</f>
        <v>2339.6550000000002</v>
      </c>
      <c r="L4" s="72">
        <v>0</v>
      </c>
      <c r="M4" s="324">
        <f>N3+K4-L4</f>
        <v>22953.597399999991</v>
      </c>
      <c r="N4" s="50" t="s">
        <v>152</v>
      </c>
    </row>
    <row r="5" spans="1:14">
      <c r="A5" s="6">
        <v>2</v>
      </c>
      <c r="B5" s="84" t="s">
        <v>153</v>
      </c>
      <c r="C5" s="6"/>
      <c r="D5" s="6"/>
      <c r="E5" s="71">
        <v>0</v>
      </c>
      <c r="F5" s="6">
        <v>0</v>
      </c>
      <c r="G5" s="72">
        <f t="shared" ref="G5:G44" si="0">E5*F5</f>
        <v>0</v>
      </c>
      <c r="H5" s="71">
        <v>0</v>
      </c>
      <c r="I5" s="6">
        <v>0</v>
      </c>
      <c r="J5" s="72">
        <f t="shared" ref="J5:J44" si="1">H5*I5</f>
        <v>0</v>
      </c>
      <c r="K5" s="72">
        <f t="shared" ref="K5:K44" si="2">G5+J5</f>
        <v>0</v>
      </c>
      <c r="L5" s="72">
        <v>0</v>
      </c>
      <c r="M5" s="156">
        <f t="shared" ref="M5:M45" si="3">M4+K5-L5</f>
        <v>22953.597399999991</v>
      </c>
      <c r="N5" s="50" t="s">
        <v>152</v>
      </c>
    </row>
    <row r="6" spans="1:14">
      <c r="A6" s="6">
        <v>3</v>
      </c>
      <c r="B6" s="84" t="s">
        <v>154</v>
      </c>
      <c r="C6" s="6"/>
      <c r="D6" s="6"/>
      <c r="E6" s="71">
        <v>0</v>
      </c>
      <c r="F6" s="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72">
        <v>0</v>
      </c>
      <c r="M6" s="156">
        <f t="shared" si="3"/>
        <v>22953.597399999991</v>
      </c>
      <c r="N6" s="50" t="s">
        <v>152</v>
      </c>
    </row>
    <row r="7" spans="1:14">
      <c r="A7" s="6"/>
      <c r="B7" s="84" t="s">
        <v>155</v>
      </c>
      <c r="C7" s="6"/>
      <c r="D7" s="6"/>
      <c r="E7" s="71">
        <v>0</v>
      </c>
      <c r="F7" s="6">
        <v>0</v>
      </c>
      <c r="G7" s="72">
        <f t="shared" si="0"/>
        <v>0</v>
      </c>
      <c r="H7" s="71">
        <v>6.79</v>
      </c>
      <c r="I7" s="6">
        <v>103.44</v>
      </c>
      <c r="J7" s="72">
        <f t="shared" si="1"/>
        <v>702.35759999999993</v>
      </c>
      <c r="K7" s="72">
        <f t="shared" si="2"/>
        <v>702.35759999999993</v>
      </c>
      <c r="L7" s="72">
        <v>0</v>
      </c>
      <c r="M7" s="156">
        <f t="shared" si="3"/>
        <v>23655.954999999991</v>
      </c>
      <c r="N7" s="50" t="s">
        <v>152</v>
      </c>
    </row>
    <row r="8" spans="1:14">
      <c r="A8" s="6">
        <v>4</v>
      </c>
      <c r="B8" s="84" t="s">
        <v>156</v>
      </c>
      <c r="C8" s="6"/>
      <c r="D8" s="6"/>
      <c r="E8" s="71">
        <v>110.21</v>
      </c>
      <c r="F8" s="6">
        <v>91.5</v>
      </c>
      <c r="G8" s="72">
        <f t="shared" si="0"/>
        <v>10084.215</v>
      </c>
      <c r="H8" s="71">
        <v>0</v>
      </c>
      <c r="I8" s="6">
        <v>0</v>
      </c>
      <c r="J8" s="72">
        <f t="shared" si="1"/>
        <v>0</v>
      </c>
      <c r="K8" s="72">
        <f t="shared" si="2"/>
        <v>10084.215</v>
      </c>
      <c r="L8" s="72">
        <v>0</v>
      </c>
      <c r="M8" s="156">
        <f t="shared" si="3"/>
        <v>33740.169999999991</v>
      </c>
      <c r="N8" s="50" t="s">
        <v>152</v>
      </c>
    </row>
    <row r="9" spans="1:14">
      <c r="A9" s="6">
        <v>5</v>
      </c>
      <c r="B9" s="84" t="s">
        <v>157</v>
      </c>
      <c r="C9" s="6"/>
      <c r="D9" s="6"/>
      <c r="E9" s="71">
        <v>60</v>
      </c>
      <c r="F9" s="6">
        <v>91.5</v>
      </c>
      <c r="G9" s="72">
        <f t="shared" si="0"/>
        <v>5490</v>
      </c>
      <c r="H9" s="71">
        <v>15</v>
      </c>
      <c r="I9" s="6">
        <v>103.44</v>
      </c>
      <c r="J9" s="72">
        <f t="shared" si="1"/>
        <v>1551.6</v>
      </c>
      <c r="K9" s="72">
        <f t="shared" si="2"/>
        <v>7041.6</v>
      </c>
      <c r="L9" s="72">
        <v>0</v>
      </c>
      <c r="M9" s="156">
        <f t="shared" si="3"/>
        <v>40781.76999999999</v>
      </c>
      <c r="N9" s="50" t="s">
        <v>152</v>
      </c>
    </row>
    <row r="10" spans="1:14">
      <c r="A10" s="6">
        <v>6</v>
      </c>
      <c r="B10" s="84" t="s">
        <v>158</v>
      </c>
      <c r="C10" s="6"/>
      <c r="D10" s="6"/>
      <c r="E10" s="71">
        <v>0</v>
      </c>
      <c r="F10" s="6">
        <v>0</v>
      </c>
      <c r="G10" s="72">
        <f t="shared" si="0"/>
        <v>0</v>
      </c>
      <c r="H10" s="71">
        <v>0</v>
      </c>
      <c r="I10" s="6">
        <v>0</v>
      </c>
      <c r="J10" s="72">
        <f t="shared" si="1"/>
        <v>0</v>
      </c>
      <c r="K10" s="72">
        <f t="shared" si="2"/>
        <v>0</v>
      </c>
      <c r="L10" s="72">
        <v>0</v>
      </c>
      <c r="M10" s="156">
        <f t="shared" si="3"/>
        <v>40781.76999999999</v>
      </c>
      <c r="N10" s="50" t="s">
        <v>152</v>
      </c>
    </row>
    <row r="11" spans="1:14">
      <c r="A11" s="6">
        <v>7</v>
      </c>
      <c r="B11" s="84" t="s">
        <v>159</v>
      </c>
      <c r="C11" s="6"/>
      <c r="D11" s="6"/>
      <c r="E11" s="71">
        <v>80</v>
      </c>
      <c r="F11" s="6">
        <v>91.5</v>
      </c>
      <c r="G11" s="72">
        <f t="shared" si="0"/>
        <v>7320</v>
      </c>
      <c r="H11" s="71">
        <v>6.77</v>
      </c>
      <c r="I11" s="6">
        <v>103.44</v>
      </c>
      <c r="J11" s="72">
        <f t="shared" si="1"/>
        <v>700.28879999999992</v>
      </c>
      <c r="K11" s="72">
        <f t="shared" si="2"/>
        <v>8020.2888000000003</v>
      </c>
      <c r="L11" s="72">
        <v>40000</v>
      </c>
      <c r="M11" s="156">
        <f t="shared" si="3"/>
        <v>8802.0587999999916</v>
      </c>
      <c r="N11" s="50" t="s">
        <v>152</v>
      </c>
    </row>
    <row r="12" spans="1:14">
      <c r="A12" s="6">
        <v>8</v>
      </c>
      <c r="B12" s="84" t="s">
        <v>160</v>
      </c>
      <c r="C12" s="6"/>
      <c r="D12" s="6"/>
      <c r="E12" s="71">
        <v>0</v>
      </c>
      <c r="F12" s="6">
        <v>0</v>
      </c>
      <c r="G12" s="72">
        <f t="shared" si="0"/>
        <v>0</v>
      </c>
      <c r="H12" s="71">
        <v>7.2</v>
      </c>
      <c r="I12" s="6">
        <v>103.44</v>
      </c>
      <c r="J12" s="72">
        <f t="shared" si="1"/>
        <v>744.76800000000003</v>
      </c>
      <c r="K12" s="72">
        <f t="shared" si="2"/>
        <v>744.76800000000003</v>
      </c>
      <c r="L12" s="72">
        <v>0</v>
      </c>
      <c r="M12" s="156">
        <f t="shared" si="3"/>
        <v>9546.8267999999916</v>
      </c>
      <c r="N12" s="50" t="s">
        <v>152</v>
      </c>
    </row>
    <row r="13" spans="1:14">
      <c r="A13" s="6">
        <v>9</v>
      </c>
      <c r="B13" s="84" t="s">
        <v>161</v>
      </c>
      <c r="C13" s="6"/>
      <c r="D13" s="6"/>
      <c r="E13" s="71">
        <v>118.42</v>
      </c>
      <c r="F13" s="6">
        <v>91.5</v>
      </c>
      <c r="G13" s="72">
        <f t="shared" si="0"/>
        <v>10835.43</v>
      </c>
      <c r="H13" s="71">
        <v>5</v>
      </c>
      <c r="I13" s="6">
        <v>103.44</v>
      </c>
      <c r="J13" s="72">
        <f t="shared" si="1"/>
        <v>517.20000000000005</v>
      </c>
      <c r="K13" s="72">
        <f t="shared" si="2"/>
        <v>11352.630000000001</v>
      </c>
      <c r="L13" s="72">
        <v>0</v>
      </c>
      <c r="M13" s="156">
        <f t="shared" si="3"/>
        <v>20899.456799999993</v>
      </c>
      <c r="N13" s="50" t="s">
        <v>152</v>
      </c>
    </row>
    <row r="14" spans="1:14">
      <c r="A14" s="6">
        <v>10</v>
      </c>
      <c r="B14" s="84" t="s">
        <v>162</v>
      </c>
      <c r="C14" s="6"/>
      <c r="D14" s="6"/>
      <c r="E14" s="350">
        <v>37.590000000000003</v>
      </c>
      <c r="F14" s="380">
        <v>91.5</v>
      </c>
      <c r="G14" s="72">
        <f t="shared" si="0"/>
        <v>3439.4850000000001</v>
      </c>
      <c r="H14" s="71">
        <v>0</v>
      </c>
      <c r="I14" s="6">
        <v>0</v>
      </c>
      <c r="J14" s="72">
        <f t="shared" si="1"/>
        <v>0</v>
      </c>
      <c r="K14" s="72">
        <f t="shared" si="2"/>
        <v>3439.4850000000001</v>
      </c>
      <c r="L14" s="72">
        <v>0</v>
      </c>
      <c r="M14" s="156">
        <f t="shared" si="3"/>
        <v>24338.941799999993</v>
      </c>
      <c r="N14" s="50" t="s">
        <v>152</v>
      </c>
    </row>
    <row r="15" spans="1:14">
      <c r="A15" s="6">
        <v>11</v>
      </c>
      <c r="B15" s="84" t="s">
        <v>163</v>
      </c>
      <c r="C15" s="6"/>
      <c r="D15" s="6"/>
      <c r="E15" s="350">
        <f>29.92+30+12</f>
        <v>71.92</v>
      </c>
      <c r="F15" s="380">
        <v>91.5</v>
      </c>
      <c r="G15" s="72">
        <f t="shared" si="0"/>
        <v>6580.68</v>
      </c>
      <c r="H15" s="71">
        <v>4.83</v>
      </c>
      <c r="I15" s="6">
        <v>103.44</v>
      </c>
      <c r="J15" s="72">
        <f t="shared" si="1"/>
        <v>499.61520000000002</v>
      </c>
      <c r="K15" s="72">
        <f t="shared" si="2"/>
        <v>7080.2952000000005</v>
      </c>
      <c r="L15" s="72">
        <v>0</v>
      </c>
      <c r="M15" s="156">
        <f t="shared" si="3"/>
        <v>31419.236999999994</v>
      </c>
      <c r="N15" s="50" t="s">
        <v>152</v>
      </c>
    </row>
    <row r="16" spans="1:14">
      <c r="A16" s="6">
        <v>12</v>
      </c>
      <c r="B16" s="84" t="s">
        <v>164</v>
      </c>
      <c r="C16" s="6"/>
      <c r="D16" s="6"/>
      <c r="E16" s="71">
        <v>66.75</v>
      </c>
      <c r="F16" s="380">
        <v>91.5</v>
      </c>
      <c r="G16" s="72">
        <f t="shared" si="0"/>
        <v>6107.625</v>
      </c>
      <c r="H16" s="71">
        <v>0</v>
      </c>
      <c r="I16" s="6">
        <v>0</v>
      </c>
      <c r="J16" s="72">
        <f t="shared" si="1"/>
        <v>0</v>
      </c>
      <c r="K16" s="72">
        <f t="shared" si="2"/>
        <v>6107.625</v>
      </c>
      <c r="L16" s="72">
        <v>0</v>
      </c>
      <c r="M16" s="156">
        <f t="shared" si="3"/>
        <v>37526.861999999994</v>
      </c>
      <c r="N16" s="50" t="s">
        <v>152</v>
      </c>
    </row>
    <row r="17" spans="1:14">
      <c r="A17" s="6">
        <v>13</v>
      </c>
      <c r="B17" s="84" t="s">
        <v>165</v>
      </c>
      <c r="C17" s="6"/>
      <c r="D17" s="6"/>
      <c r="E17" s="71">
        <v>43.53</v>
      </c>
      <c r="F17" s="380">
        <v>91.5</v>
      </c>
      <c r="G17" s="72">
        <f t="shared" si="0"/>
        <v>3982.9949999999999</v>
      </c>
      <c r="H17" s="71">
        <v>4.83</v>
      </c>
      <c r="I17" s="6">
        <v>103.44</v>
      </c>
      <c r="J17" s="72">
        <f t="shared" si="1"/>
        <v>499.61520000000002</v>
      </c>
      <c r="K17" s="72">
        <f>G17+J17</f>
        <v>4482.6102000000001</v>
      </c>
      <c r="L17" s="72">
        <v>0</v>
      </c>
      <c r="M17" s="156">
        <f t="shared" si="3"/>
        <v>42009.472199999997</v>
      </c>
      <c r="N17" s="50" t="s">
        <v>152</v>
      </c>
    </row>
    <row r="18" spans="1:14">
      <c r="A18" s="6">
        <v>14</v>
      </c>
      <c r="B18" s="84" t="s">
        <v>166</v>
      </c>
      <c r="C18" s="6"/>
      <c r="D18" s="6"/>
      <c r="E18" s="71">
        <v>79.760000000000005</v>
      </c>
      <c r="F18" s="380">
        <v>91.5</v>
      </c>
      <c r="G18" s="72">
        <f t="shared" si="0"/>
        <v>7298.0400000000009</v>
      </c>
      <c r="H18" s="71">
        <v>6.28</v>
      </c>
      <c r="I18" s="6">
        <v>103.44</v>
      </c>
      <c r="J18" s="72">
        <f t="shared" si="1"/>
        <v>649.60320000000002</v>
      </c>
      <c r="K18" s="72">
        <f t="shared" si="2"/>
        <v>7947.6432000000004</v>
      </c>
      <c r="L18" s="72">
        <v>37000</v>
      </c>
      <c r="M18" s="156">
        <f t="shared" si="3"/>
        <v>12957.115399999995</v>
      </c>
      <c r="N18" s="50" t="s">
        <v>152</v>
      </c>
    </row>
    <row r="19" spans="1:14">
      <c r="A19" s="6">
        <v>15</v>
      </c>
      <c r="B19" s="84" t="s">
        <v>167</v>
      </c>
      <c r="C19" s="6"/>
      <c r="D19" s="6"/>
      <c r="E19" s="350">
        <f>10+3.83+2.96+39.92</f>
        <v>56.71</v>
      </c>
      <c r="F19" s="380">
        <v>91.5</v>
      </c>
      <c r="G19" s="72">
        <f t="shared" si="0"/>
        <v>5188.9650000000001</v>
      </c>
      <c r="H19" s="71">
        <v>6</v>
      </c>
      <c r="I19" s="6">
        <v>103.44</v>
      </c>
      <c r="J19" s="72">
        <f t="shared" si="1"/>
        <v>620.64</v>
      </c>
      <c r="K19" s="72">
        <f t="shared" si="2"/>
        <v>5809.6050000000005</v>
      </c>
      <c r="L19" s="72">
        <v>0</v>
      </c>
      <c r="M19" s="156">
        <f t="shared" si="3"/>
        <v>18766.720399999995</v>
      </c>
      <c r="N19" s="50" t="s">
        <v>152</v>
      </c>
    </row>
    <row r="20" spans="1:14">
      <c r="A20" s="6">
        <v>16</v>
      </c>
      <c r="B20" s="84" t="s">
        <v>167</v>
      </c>
      <c r="C20" s="6"/>
      <c r="D20" s="6"/>
      <c r="E20" s="350">
        <v>11.01</v>
      </c>
      <c r="F20" s="380">
        <v>90.8</v>
      </c>
      <c r="G20" s="72">
        <f t="shared" si="0"/>
        <v>999.70799999999997</v>
      </c>
      <c r="H20" s="71">
        <v>0</v>
      </c>
      <c r="I20" s="6">
        <v>0</v>
      </c>
      <c r="J20" s="72">
        <f t="shared" si="1"/>
        <v>0</v>
      </c>
      <c r="K20" s="72">
        <f t="shared" si="2"/>
        <v>999.70799999999997</v>
      </c>
      <c r="L20" s="72">
        <v>999.71</v>
      </c>
      <c r="M20" s="156">
        <f t="shared" si="3"/>
        <v>18766.718399999994</v>
      </c>
      <c r="N20" s="50" t="s">
        <v>152</v>
      </c>
    </row>
    <row r="21" spans="1:14">
      <c r="A21" s="6">
        <v>17</v>
      </c>
      <c r="B21" s="84" t="s">
        <v>168</v>
      </c>
      <c r="C21" s="6"/>
      <c r="D21" s="6"/>
      <c r="E21" s="71">
        <v>44.75</v>
      </c>
      <c r="F21" s="380">
        <v>91.5</v>
      </c>
      <c r="G21" s="72">
        <f t="shared" si="0"/>
        <v>4094.625</v>
      </c>
      <c r="H21" s="71">
        <v>9.66</v>
      </c>
      <c r="I21" s="6">
        <v>103.44</v>
      </c>
      <c r="J21" s="72">
        <f t="shared" si="1"/>
        <v>999.23040000000003</v>
      </c>
      <c r="K21" s="72">
        <f t="shared" si="2"/>
        <v>5093.8554000000004</v>
      </c>
      <c r="L21" s="72">
        <v>0</v>
      </c>
      <c r="M21" s="156">
        <f t="shared" si="3"/>
        <v>23860.573799999995</v>
      </c>
      <c r="N21" s="50" t="s">
        <v>152</v>
      </c>
    </row>
    <row r="22" spans="1:14">
      <c r="A22" s="6">
        <v>18</v>
      </c>
      <c r="B22" s="84" t="s">
        <v>169</v>
      </c>
      <c r="C22" s="6"/>
      <c r="D22" s="6"/>
      <c r="E22" s="71">
        <v>20</v>
      </c>
      <c r="F22" s="380">
        <v>91.5</v>
      </c>
      <c r="G22" s="72">
        <f t="shared" si="0"/>
        <v>1830</v>
      </c>
      <c r="H22" s="71">
        <v>0</v>
      </c>
      <c r="I22" s="6">
        <v>0</v>
      </c>
      <c r="J22" s="72">
        <f t="shared" si="1"/>
        <v>0</v>
      </c>
      <c r="K22" s="72">
        <f t="shared" si="2"/>
        <v>1830</v>
      </c>
      <c r="L22" s="72">
        <v>0</v>
      </c>
      <c r="M22" s="156">
        <f t="shared" si="3"/>
        <v>25690.573799999995</v>
      </c>
      <c r="N22" s="50" t="s">
        <v>152</v>
      </c>
    </row>
    <row r="23" spans="1:14">
      <c r="A23" s="6">
        <v>19</v>
      </c>
      <c r="B23" s="84" t="s">
        <v>170</v>
      </c>
      <c r="C23" s="6"/>
      <c r="D23" s="6"/>
      <c r="E23" s="71">
        <v>39.29</v>
      </c>
      <c r="F23" s="380">
        <v>91.5</v>
      </c>
      <c r="G23" s="72">
        <f t="shared" si="0"/>
        <v>3595.0349999999999</v>
      </c>
      <c r="H23" s="71">
        <v>6</v>
      </c>
      <c r="I23" s="6">
        <v>103.44</v>
      </c>
      <c r="J23" s="72">
        <f t="shared" si="1"/>
        <v>620.64</v>
      </c>
      <c r="K23" s="72">
        <f t="shared" si="2"/>
        <v>4215.6750000000002</v>
      </c>
      <c r="L23" s="72">
        <v>0</v>
      </c>
      <c r="M23" s="156">
        <f t="shared" si="3"/>
        <v>29906.248799999994</v>
      </c>
      <c r="N23" s="50" t="s">
        <v>152</v>
      </c>
    </row>
    <row r="24" spans="1:14">
      <c r="A24" s="6">
        <v>21</v>
      </c>
      <c r="B24" s="84" t="s">
        <v>171</v>
      </c>
      <c r="C24" s="6"/>
      <c r="D24" s="6"/>
      <c r="E24" s="71">
        <v>55.16</v>
      </c>
      <c r="F24" s="6">
        <v>91.5</v>
      </c>
      <c r="G24" s="72">
        <f t="shared" si="0"/>
        <v>5047.1399999999994</v>
      </c>
      <c r="H24" s="71">
        <v>0</v>
      </c>
      <c r="I24" s="6">
        <v>0</v>
      </c>
      <c r="J24" s="72">
        <f t="shared" si="1"/>
        <v>0</v>
      </c>
      <c r="K24" s="72">
        <f t="shared" si="2"/>
        <v>5047.1399999999994</v>
      </c>
      <c r="L24" s="72">
        <v>0</v>
      </c>
      <c r="M24" s="156">
        <f t="shared" si="3"/>
        <v>34953.388799999993</v>
      </c>
      <c r="N24" s="50" t="s">
        <v>152</v>
      </c>
    </row>
    <row r="25" spans="1:14">
      <c r="A25" s="6">
        <v>22</v>
      </c>
      <c r="B25" s="84" t="s">
        <v>172</v>
      </c>
      <c r="C25" s="6"/>
      <c r="D25" s="6"/>
      <c r="E25" s="71">
        <v>60</v>
      </c>
      <c r="F25" s="6">
        <v>91.5</v>
      </c>
      <c r="G25" s="72">
        <f t="shared" si="0"/>
        <v>5490</v>
      </c>
      <c r="H25" s="71">
        <v>10</v>
      </c>
      <c r="I25" s="6">
        <v>103.44</v>
      </c>
      <c r="J25" s="72">
        <f t="shared" si="1"/>
        <v>1034.4000000000001</v>
      </c>
      <c r="K25" s="72">
        <f t="shared" si="2"/>
        <v>6524.4</v>
      </c>
      <c r="L25" s="72">
        <v>0</v>
      </c>
      <c r="M25" s="156">
        <f t="shared" si="3"/>
        <v>41477.788799999995</v>
      </c>
      <c r="N25" s="50" t="s">
        <v>152</v>
      </c>
    </row>
    <row r="26" spans="1:14">
      <c r="A26" s="6">
        <v>23</v>
      </c>
      <c r="B26" s="84" t="s">
        <v>173</v>
      </c>
      <c r="C26" s="6"/>
      <c r="D26" s="6"/>
      <c r="E26" s="71">
        <v>0</v>
      </c>
      <c r="F26" s="6">
        <v>0</v>
      </c>
      <c r="G26" s="72">
        <f t="shared" si="0"/>
        <v>0</v>
      </c>
      <c r="H26" s="71">
        <v>0</v>
      </c>
      <c r="I26" s="6">
        <v>0</v>
      </c>
      <c r="J26" s="72">
        <f t="shared" si="1"/>
        <v>0</v>
      </c>
      <c r="K26" s="72">
        <f t="shared" si="2"/>
        <v>0</v>
      </c>
      <c r="L26" s="72">
        <v>0</v>
      </c>
      <c r="M26" s="156">
        <f t="shared" si="3"/>
        <v>41477.788799999995</v>
      </c>
      <c r="N26" s="50" t="s">
        <v>152</v>
      </c>
    </row>
    <row r="27" spans="1:14">
      <c r="A27" s="6">
        <v>24</v>
      </c>
      <c r="B27" s="84" t="s">
        <v>174</v>
      </c>
      <c r="C27" s="6"/>
      <c r="D27" s="6"/>
      <c r="E27" s="71">
        <v>101.56</v>
      </c>
      <c r="F27" s="6">
        <v>91.5</v>
      </c>
      <c r="G27" s="72">
        <f t="shared" si="0"/>
        <v>9292.74</v>
      </c>
      <c r="H27" s="71">
        <v>10</v>
      </c>
      <c r="I27" s="6">
        <v>103.44</v>
      </c>
      <c r="J27" s="72">
        <f t="shared" si="1"/>
        <v>1034.4000000000001</v>
      </c>
      <c r="K27" s="72">
        <f t="shared" si="2"/>
        <v>10327.14</v>
      </c>
      <c r="L27" s="72">
        <v>20000</v>
      </c>
      <c r="M27" s="156">
        <f t="shared" si="3"/>
        <v>31804.928799999994</v>
      </c>
      <c r="N27" s="50" t="s">
        <v>152</v>
      </c>
    </row>
    <row r="28" spans="1:14">
      <c r="A28" s="6">
        <v>25</v>
      </c>
      <c r="B28" s="84" t="s">
        <v>175</v>
      </c>
      <c r="C28" s="6"/>
      <c r="D28" s="6"/>
      <c r="E28" s="71">
        <v>0</v>
      </c>
      <c r="F28" s="6">
        <v>0</v>
      </c>
      <c r="G28" s="72">
        <f t="shared" si="0"/>
        <v>0</v>
      </c>
      <c r="H28" s="71">
        <v>7.83</v>
      </c>
      <c r="I28" s="6">
        <v>103.44</v>
      </c>
      <c r="J28" s="72">
        <f t="shared" si="1"/>
        <v>809.93520000000001</v>
      </c>
      <c r="K28" s="72">
        <f t="shared" si="2"/>
        <v>809.93520000000001</v>
      </c>
      <c r="L28" s="72">
        <v>0</v>
      </c>
      <c r="M28" s="156">
        <f t="shared" si="3"/>
        <v>32614.863999999994</v>
      </c>
      <c r="N28" s="50" t="s">
        <v>152</v>
      </c>
    </row>
    <row r="29" spans="1:14">
      <c r="A29" s="6">
        <v>26</v>
      </c>
      <c r="B29" s="84" t="s">
        <v>176</v>
      </c>
      <c r="C29" s="6"/>
      <c r="D29" s="6"/>
      <c r="E29" s="71">
        <v>31.32</v>
      </c>
      <c r="F29" s="6">
        <v>91.5</v>
      </c>
      <c r="G29" s="72">
        <f t="shared" si="0"/>
        <v>2865.78</v>
      </c>
      <c r="H29" s="71">
        <v>20.82</v>
      </c>
      <c r="I29" s="6">
        <v>103.44</v>
      </c>
      <c r="J29" s="72">
        <f t="shared" si="1"/>
        <v>2153.6208000000001</v>
      </c>
      <c r="K29" s="72">
        <f t="shared" si="2"/>
        <v>5019.4008000000003</v>
      </c>
      <c r="L29" s="72">
        <v>0</v>
      </c>
      <c r="M29" s="156">
        <f t="shared" si="3"/>
        <v>37634.264799999997</v>
      </c>
      <c r="N29" s="50" t="s">
        <v>152</v>
      </c>
    </row>
    <row r="30" spans="1:14">
      <c r="A30" s="6">
        <v>27</v>
      </c>
      <c r="B30" s="84" t="s">
        <v>177</v>
      </c>
      <c r="C30" s="6"/>
      <c r="D30" s="6"/>
      <c r="E30" s="71">
        <v>60</v>
      </c>
      <c r="F30" s="6">
        <v>91.5</v>
      </c>
      <c r="G30" s="72">
        <f t="shared" si="0"/>
        <v>5490</v>
      </c>
      <c r="H30" s="71">
        <v>0</v>
      </c>
      <c r="I30" s="6">
        <v>0</v>
      </c>
      <c r="J30" s="72">
        <f t="shared" si="1"/>
        <v>0</v>
      </c>
      <c r="K30" s="72">
        <f t="shared" si="2"/>
        <v>5490</v>
      </c>
      <c r="L30" s="72">
        <v>0</v>
      </c>
      <c r="M30" s="156">
        <f t="shared" si="3"/>
        <v>43124.264799999997</v>
      </c>
      <c r="N30" s="50" t="s">
        <v>152</v>
      </c>
    </row>
    <row r="31" spans="1:14">
      <c r="A31" s="6">
        <v>28</v>
      </c>
      <c r="B31" s="84"/>
      <c r="C31" s="6"/>
      <c r="D31" s="6"/>
      <c r="E31" s="71">
        <v>0</v>
      </c>
      <c r="F31" s="6">
        <v>0</v>
      </c>
      <c r="G31" s="72">
        <f t="shared" si="0"/>
        <v>0</v>
      </c>
      <c r="H31" s="71">
        <v>0</v>
      </c>
      <c r="I31" s="6">
        <v>0</v>
      </c>
      <c r="J31" s="72">
        <f t="shared" si="1"/>
        <v>0</v>
      </c>
      <c r="K31" s="72">
        <f t="shared" si="2"/>
        <v>0</v>
      </c>
      <c r="L31" s="72">
        <v>0</v>
      </c>
      <c r="M31" s="156">
        <f t="shared" si="3"/>
        <v>43124.264799999997</v>
      </c>
      <c r="N31" s="50" t="s">
        <v>152</v>
      </c>
    </row>
    <row r="32" spans="1:14">
      <c r="A32" s="6">
        <v>29</v>
      </c>
      <c r="B32" s="84"/>
      <c r="C32" s="6"/>
      <c r="D32" s="6"/>
      <c r="E32" s="71">
        <v>0</v>
      </c>
      <c r="F32" s="6">
        <v>0</v>
      </c>
      <c r="G32" s="72">
        <f t="shared" si="0"/>
        <v>0</v>
      </c>
      <c r="H32" s="71">
        <v>0</v>
      </c>
      <c r="I32" s="6">
        <v>0</v>
      </c>
      <c r="J32" s="72">
        <f t="shared" si="1"/>
        <v>0</v>
      </c>
      <c r="K32" s="72">
        <f t="shared" si="2"/>
        <v>0</v>
      </c>
      <c r="L32" s="72">
        <v>0</v>
      </c>
      <c r="M32" s="156">
        <f t="shared" si="3"/>
        <v>43124.264799999997</v>
      </c>
      <c r="N32" s="50" t="s">
        <v>152</v>
      </c>
    </row>
    <row r="33" spans="1:15">
      <c r="A33" s="6">
        <v>30</v>
      </c>
      <c r="B33" s="84"/>
      <c r="C33" s="6"/>
      <c r="D33" s="6"/>
      <c r="E33" s="71">
        <v>0</v>
      </c>
      <c r="F33" s="6">
        <v>0</v>
      </c>
      <c r="G33" s="72">
        <f t="shared" si="0"/>
        <v>0</v>
      </c>
      <c r="H33" s="71">
        <v>0</v>
      </c>
      <c r="I33" s="6">
        <v>0</v>
      </c>
      <c r="J33" s="72">
        <f t="shared" si="1"/>
        <v>0</v>
      </c>
      <c r="K33" s="72">
        <f t="shared" si="2"/>
        <v>0</v>
      </c>
      <c r="L33" s="72">
        <v>0</v>
      </c>
      <c r="M33" s="156">
        <f t="shared" si="3"/>
        <v>43124.264799999997</v>
      </c>
      <c r="N33" s="50" t="s">
        <v>152</v>
      </c>
    </row>
    <row r="34" spans="1:15">
      <c r="A34" s="6">
        <v>31</v>
      </c>
      <c r="B34" s="84"/>
      <c r="C34" s="6"/>
      <c r="D34" s="6"/>
      <c r="E34" s="71">
        <v>0</v>
      </c>
      <c r="F34" s="6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72">
        <v>0</v>
      </c>
      <c r="M34" s="156">
        <f t="shared" si="3"/>
        <v>43124.264799999997</v>
      </c>
      <c r="N34" s="50" t="s">
        <v>152</v>
      </c>
    </row>
    <row r="35" spans="1:15">
      <c r="A35" s="6">
        <v>32</v>
      </c>
      <c r="B35" s="84"/>
      <c r="C35" s="6"/>
      <c r="D35" s="6"/>
      <c r="E35" s="71">
        <v>0</v>
      </c>
      <c r="F35" s="6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72">
        <v>0</v>
      </c>
      <c r="M35" s="156">
        <f t="shared" si="3"/>
        <v>43124.264799999997</v>
      </c>
      <c r="N35" s="50" t="s">
        <v>152</v>
      </c>
    </row>
    <row r="36" spans="1:15">
      <c r="A36" s="6">
        <v>33</v>
      </c>
      <c r="B36" s="84"/>
      <c r="C36" s="6"/>
      <c r="D36" s="6"/>
      <c r="E36" s="71">
        <v>0</v>
      </c>
      <c r="F36" s="6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72">
        <v>0</v>
      </c>
      <c r="M36" s="156">
        <f t="shared" si="3"/>
        <v>43124.264799999997</v>
      </c>
      <c r="N36" s="50" t="s">
        <v>152</v>
      </c>
    </row>
    <row r="37" spans="1:15">
      <c r="A37" s="6">
        <v>34</v>
      </c>
      <c r="B37" s="84"/>
      <c r="C37" s="6"/>
      <c r="D37" s="6"/>
      <c r="E37" s="71">
        <v>0</v>
      </c>
      <c r="F37" s="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72">
        <v>0</v>
      </c>
      <c r="M37" s="156">
        <f t="shared" si="3"/>
        <v>43124.264799999997</v>
      </c>
      <c r="N37" s="50" t="s">
        <v>152</v>
      </c>
    </row>
    <row r="38" spans="1:15">
      <c r="A38" s="6">
        <v>35</v>
      </c>
      <c r="B38" s="84"/>
      <c r="C38" s="6"/>
      <c r="D38" s="6"/>
      <c r="E38" s="71">
        <v>0</v>
      </c>
      <c r="F38" s="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72">
        <v>0</v>
      </c>
      <c r="M38" s="156">
        <f t="shared" si="3"/>
        <v>43124.264799999997</v>
      </c>
      <c r="N38" s="50" t="s">
        <v>152</v>
      </c>
    </row>
    <row r="39" spans="1:15">
      <c r="A39" s="6">
        <v>36</v>
      </c>
      <c r="B39" s="84"/>
      <c r="C39" s="6"/>
      <c r="D39" s="6"/>
      <c r="E39" s="71">
        <v>0</v>
      </c>
      <c r="F39" s="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72">
        <v>0</v>
      </c>
      <c r="M39" s="156">
        <f t="shared" si="3"/>
        <v>43124.264799999997</v>
      </c>
      <c r="N39" s="50" t="s">
        <v>152</v>
      </c>
    </row>
    <row r="40" spans="1:15">
      <c r="A40" s="6">
        <v>37</v>
      </c>
      <c r="B40" s="84"/>
      <c r="C40" s="6"/>
      <c r="D40" s="6"/>
      <c r="E40" s="71">
        <v>0</v>
      </c>
      <c r="F40" s="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72">
        <v>0</v>
      </c>
      <c r="M40" s="156">
        <f t="shared" si="3"/>
        <v>43124.264799999997</v>
      </c>
      <c r="N40" s="50" t="s">
        <v>152</v>
      </c>
    </row>
    <row r="41" spans="1:15">
      <c r="A41" s="6">
        <v>38</v>
      </c>
      <c r="B41" s="84"/>
      <c r="C41" s="6"/>
      <c r="D41" s="6"/>
      <c r="E41" s="71">
        <v>0</v>
      </c>
      <c r="F41" s="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72">
        <v>0</v>
      </c>
      <c r="M41" s="156">
        <f t="shared" si="3"/>
        <v>43124.264799999997</v>
      </c>
      <c r="N41" s="50" t="s">
        <v>152</v>
      </c>
    </row>
    <row r="42" spans="1:15">
      <c r="A42" s="178">
        <v>39</v>
      </c>
      <c r="B42" s="179"/>
      <c r="C42" s="178"/>
      <c r="D42" s="6"/>
      <c r="E42" s="71">
        <v>0</v>
      </c>
      <c r="F42" s="6">
        <v>0</v>
      </c>
      <c r="G42" s="72">
        <f t="shared" si="0"/>
        <v>0</v>
      </c>
      <c r="H42" s="71">
        <v>0</v>
      </c>
      <c r="I42" s="6">
        <v>0</v>
      </c>
      <c r="J42" s="72">
        <f t="shared" si="1"/>
        <v>0</v>
      </c>
      <c r="K42" s="72">
        <f t="shared" si="2"/>
        <v>0</v>
      </c>
      <c r="L42" s="72">
        <v>0</v>
      </c>
      <c r="M42" s="156">
        <f t="shared" si="3"/>
        <v>43124.264799999997</v>
      </c>
      <c r="N42" s="50" t="s">
        <v>152</v>
      </c>
    </row>
    <row r="43" spans="1:15">
      <c r="A43" s="6">
        <v>40</v>
      </c>
      <c r="B43" s="6"/>
      <c r="C43" s="6"/>
      <c r="D43" s="6"/>
      <c r="E43" s="71">
        <v>0</v>
      </c>
      <c r="F43" s="6">
        <v>0</v>
      </c>
      <c r="G43" s="72">
        <f t="shared" si="0"/>
        <v>0</v>
      </c>
      <c r="H43" s="71">
        <v>0</v>
      </c>
      <c r="I43" s="6">
        <v>0</v>
      </c>
      <c r="J43" s="72">
        <f t="shared" si="1"/>
        <v>0</v>
      </c>
      <c r="K43" s="72">
        <f t="shared" si="2"/>
        <v>0</v>
      </c>
      <c r="L43" s="72">
        <v>0</v>
      </c>
      <c r="M43" s="156">
        <f t="shared" si="3"/>
        <v>43124.264799999997</v>
      </c>
      <c r="N43" s="50" t="s">
        <v>152</v>
      </c>
    </row>
    <row r="44" spans="1:15">
      <c r="A44" s="178">
        <v>41</v>
      </c>
      <c r="B44" s="178"/>
      <c r="C44" s="178"/>
      <c r="D44" s="6"/>
      <c r="E44" s="71">
        <v>0</v>
      </c>
      <c r="F44" s="6">
        <v>0</v>
      </c>
      <c r="G44" s="72">
        <f t="shared" si="0"/>
        <v>0</v>
      </c>
      <c r="H44" s="71">
        <v>0</v>
      </c>
      <c r="I44" s="6">
        <v>0</v>
      </c>
      <c r="J44" s="72">
        <f t="shared" si="1"/>
        <v>0</v>
      </c>
      <c r="K44" s="72">
        <f t="shared" si="2"/>
        <v>0</v>
      </c>
      <c r="L44" s="72">
        <v>0</v>
      </c>
      <c r="M44" s="156">
        <f t="shared" si="3"/>
        <v>43124.264799999997</v>
      </c>
      <c r="N44" s="50" t="s">
        <v>152</v>
      </c>
    </row>
    <row r="45" spans="1:15">
      <c r="A45" s="178">
        <v>42</v>
      </c>
      <c r="B45" s="178"/>
      <c r="C45" s="178"/>
      <c r="D45" s="6"/>
      <c r="E45" s="71">
        <v>0</v>
      </c>
      <c r="F45" s="6">
        <v>0</v>
      </c>
      <c r="G45" s="72">
        <f t="shared" ref="G45" si="4">E45*F45</f>
        <v>0</v>
      </c>
      <c r="H45" s="71">
        <v>0</v>
      </c>
      <c r="I45" s="6">
        <v>0</v>
      </c>
      <c r="J45" s="72">
        <f>H45*I45</f>
        <v>0</v>
      </c>
      <c r="K45" s="72">
        <f t="shared" ref="K45" si="5">G45+J45</f>
        <v>0</v>
      </c>
      <c r="L45" s="170">
        <f t="shared" ref="L45" si="6">+K45</f>
        <v>0</v>
      </c>
      <c r="M45" s="156">
        <f t="shared" si="3"/>
        <v>43124.264799999997</v>
      </c>
      <c r="N45" s="50" t="s">
        <v>152</v>
      </c>
    </row>
    <row r="46" spans="1:15">
      <c r="A46" s="68"/>
      <c r="B46" s="68"/>
      <c r="C46" s="68"/>
      <c r="D46" s="68"/>
      <c r="E46" s="69">
        <f>SUM(E4:E45)</f>
        <v>1173.55</v>
      </c>
      <c r="F46" s="69"/>
      <c r="G46" s="69">
        <f>SUM(G4:G45)</f>
        <v>107372.11800000002</v>
      </c>
      <c r="H46" s="69">
        <f>SUM(H4:H45)</f>
        <v>127.00999999999999</v>
      </c>
      <c r="I46" s="69"/>
      <c r="J46" s="69">
        <f>SUM(J4:J45)</f>
        <v>13137.914400000001</v>
      </c>
      <c r="K46" s="69">
        <f>SUM(K4:K45)</f>
        <v>120510.03240000001</v>
      </c>
      <c r="L46" s="69">
        <f>SUM(L4:L45)</f>
        <v>97999.71</v>
      </c>
      <c r="M46" s="69"/>
      <c r="N46" s="69"/>
      <c r="O46" s="65"/>
    </row>
  </sheetData>
  <mergeCells count="2">
    <mergeCell ref="A1:N1"/>
    <mergeCell ref="A3:L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6" activePane="bottomLeft" state="frozen"/>
      <selection pane="bottomLeft" activeCell="M46" sqref="M46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1.5703125" style="5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27" t="s">
        <v>82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59"/>
    </row>
    <row r="2" spans="1:15">
      <c r="A2" s="104" t="s">
        <v>96</v>
      </c>
      <c r="B2" s="105" t="s">
        <v>97</v>
      </c>
      <c r="C2" s="105" t="s">
        <v>98</v>
      </c>
      <c r="D2" s="105" t="s">
        <v>111</v>
      </c>
      <c r="E2" s="105" t="s">
        <v>100</v>
      </c>
      <c r="F2" s="105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5">
      <c r="A3" s="163"/>
      <c r="B3" s="17" t="s">
        <v>108</v>
      </c>
      <c r="C3" s="164"/>
      <c r="D3" s="164"/>
      <c r="E3" s="164"/>
      <c r="F3" s="164"/>
      <c r="G3" s="164"/>
      <c r="H3" s="164"/>
      <c r="I3" s="164"/>
      <c r="J3" s="165"/>
      <c r="K3" s="74">
        <v>92882.428200000038</v>
      </c>
      <c r="L3" s="166"/>
      <c r="M3" s="86">
        <f>+K3</f>
        <v>92882.428200000038</v>
      </c>
      <c r="N3" s="164"/>
      <c r="O3" s="65">
        <v>86559.56660000002</v>
      </c>
    </row>
    <row r="4" spans="1:15">
      <c r="A4" s="208">
        <v>1</v>
      </c>
      <c r="B4" s="234">
        <v>45931</v>
      </c>
      <c r="C4" s="73"/>
      <c r="D4" s="167"/>
      <c r="E4" s="71">
        <v>0</v>
      </c>
      <c r="F4" s="6">
        <v>0</v>
      </c>
      <c r="G4" s="8">
        <f>E4*F4</f>
        <v>0</v>
      </c>
      <c r="H4" s="71">
        <v>0</v>
      </c>
      <c r="I4" s="6">
        <v>0</v>
      </c>
      <c r="J4" s="8">
        <f>H4*I4</f>
        <v>0</v>
      </c>
      <c r="K4" s="8">
        <f>G4+J4</f>
        <v>0</v>
      </c>
      <c r="L4" s="74"/>
      <c r="M4" s="74">
        <f>M3+K4-L4</f>
        <v>92882.428200000038</v>
      </c>
      <c r="N4" s="43"/>
      <c r="O4" s="75"/>
    </row>
    <row r="5" spans="1:15">
      <c r="A5" s="50">
        <v>2</v>
      </c>
      <c r="B5" s="234">
        <v>45932</v>
      </c>
      <c r="C5" s="73"/>
      <c r="D5" s="77"/>
      <c r="E5" s="71">
        <v>45.06</v>
      </c>
      <c r="F5" s="6">
        <v>91.23</v>
      </c>
      <c r="G5" s="8">
        <f t="shared" ref="G5:G34" si="0">E5*F5</f>
        <v>4110.8238000000001</v>
      </c>
      <c r="H5" s="71">
        <v>5</v>
      </c>
      <c r="I5" s="6">
        <v>103.16</v>
      </c>
      <c r="J5" s="8">
        <f t="shared" ref="J5:J34" si="1">H5*I5</f>
        <v>515.79999999999995</v>
      </c>
      <c r="K5" s="8">
        <f t="shared" ref="K5:K34" si="2">G5+J5</f>
        <v>4626.6238000000003</v>
      </c>
      <c r="L5" s="74"/>
      <c r="M5" s="74">
        <f t="shared" ref="M5:M19" si="3">M4+K5-L5</f>
        <v>97509.05200000004</v>
      </c>
      <c r="N5" s="43"/>
      <c r="O5" s="75"/>
    </row>
    <row r="6" spans="1:15">
      <c r="A6" s="50">
        <v>3</v>
      </c>
      <c r="B6" s="234">
        <v>45933</v>
      </c>
      <c r="C6" s="73"/>
      <c r="D6" s="77"/>
      <c r="E6" s="71">
        <v>0</v>
      </c>
      <c r="F6" s="6">
        <v>0</v>
      </c>
      <c r="G6" s="8">
        <f t="shared" si="0"/>
        <v>0</v>
      </c>
      <c r="H6" s="71">
        <v>0</v>
      </c>
      <c r="I6" s="6">
        <v>0</v>
      </c>
      <c r="J6" s="8">
        <f t="shared" si="1"/>
        <v>0</v>
      </c>
      <c r="K6" s="8">
        <f t="shared" si="2"/>
        <v>0</v>
      </c>
      <c r="L6" s="74"/>
      <c r="M6" s="74">
        <f t="shared" si="3"/>
        <v>97509.05200000004</v>
      </c>
      <c r="N6" s="43"/>
      <c r="O6" s="75"/>
    </row>
    <row r="7" spans="1:15">
      <c r="A7" s="50">
        <v>4</v>
      </c>
      <c r="B7" s="234">
        <v>45934</v>
      </c>
      <c r="C7" s="73"/>
      <c r="D7" s="77"/>
      <c r="E7" s="71">
        <v>0</v>
      </c>
      <c r="F7" s="6">
        <v>0</v>
      </c>
      <c r="G7" s="8">
        <f t="shared" si="0"/>
        <v>0</v>
      </c>
      <c r="H7" s="71">
        <v>0</v>
      </c>
      <c r="I7" s="6">
        <v>0</v>
      </c>
      <c r="J7" s="8">
        <f t="shared" si="1"/>
        <v>0</v>
      </c>
      <c r="K7" s="8">
        <f t="shared" si="2"/>
        <v>0</v>
      </c>
      <c r="L7" s="74"/>
      <c r="M7" s="74">
        <f t="shared" si="3"/>
        <v>97509.05200000004</v>
      </c>
      <c r="N7" s="43"/>
      <c r="O7" s="75"/>
    </row>
    <row r="8" spans="1:15">
      <c r="A8" s="50">
        <v>5</v>
      </c>
      <c r="B8" s="234">
        <v>45935</v>
      </c>
      <c r="C8" s="73"/>
      <c r="D8" s="77"/>
      <c r="E8" s="71">
        <v>0</v>
      </c>
      <c r="F8" s="6">
        <v>0</v>
      </c>
      <c r="G8" s="8">
        <f t="shared" si="0"/>
        <v>0</v>
      </c>
      <c r="H8" s="71">
        <v>7.03</v>
      </c>
      <c r="I8" s="6">
        <v>103.16</v>
      </c>
      <c r="J8" s="8">
        <f t="shared" si="1"/>
        <v>725.21479999999997</v>
      </c>
      <c r="K8" s="8">
        <f t="shared" si="2"/>
        <v>725.21479999999997</v>
      </c>
      <c r="L8" s="74"/>
      <c r="M8" s="74">
        <f t="shared" si="3"/>
        <v>98234.266800000041</v>
      </c>
      <c r="N8" s="43"/>
      <c r="O8" s="75"/>
    </row>
    <row r="9" spans="1:15">
      <c r="A9" s="50">
        <v>6</v>
      </c>
      <c r="B9" s="234">
        <v>45936</v>
      </c>
      <c r="C9" s="73"/>
      <c r="D9" s="77"/>
      <c r="E9" s="71">
        <v>0</v>
      </c>
      <c r="F9" s="6">
        <v>0</v>
      </c>
      <c r="G9" s="8">
        <f t="shared" si="0"/>
        <v>0</v>
      </c>
      <c r="H9" s="71">
        <v>0</v>
      </c>
      <c r="I9" s="6">
        <v>0</v>
      </c>
      <c r="J9" s="8">
        <f t="shared" si="1"/>
        <v>0</v>
      </c>
      <c r="K9" s="8">
        <f t="shared" si="2"/>
        <v>0</v>
      </c>
      <c r="L9" s="74"/>
      <c r="M9" s="74">
        <f t="shared" si="3"/>
        <v>98234.266800000041</v>
      </c>
      <c r="N9" s="43"/>
      <c r="O9" s="75"/>
    </row>
    <row r="10" spans="1:15">
      <c r="A10" s="50">
        <v>7</v>
      </c>
      <c r="B10" s="234">
        <v>45937</v>
      </c>
      <c r="C10" s="73"/>
      <c r="D10" s="77"/>
      <c r="E10" s="71">
        <v>0</v>
      </c>
      <c r="F10" s="6">
        <v>0</v>
      </c>
      <c r="G10" s="8">
        <f t="shared" si="0"/>
        <v>0</v>
      </c>
      <c r="H10" s="71">
        <v>5</v>
      </c>
      <c r="I10" s="6">
        <v>103.16</v>
      </c>
      <c r="J10" s="8">
        <f t="shared" si="1"/>
        <v>515.79999999999995</v>
      </c>
      <c r="K10" s="8">
        <f t="shared" si="2"/>
        <v>515.79999999999995</v>
      </c>
      <c r="L10" s="74">
        <v>90000</v>
      </c>
      <c r="M10" s="74">
        <f t="shared" si="3"/>
        <v>8750.0668000000442</v>
      </c>
      <c r="N10" s="43"/>
      <c r="O10" s="75"/>
    </row>
    <row r="11" spans="1:15">
      <c r="A11" s="50">
        <v>8</v>
      </c>
      <c r="B11" s="234">
        <v>45938</v>
      </c>
      <c r="C11" s="73"/>
      <c r="D11" s="77"/>
      <c r="E11" s="71">
        <v>0</v>
      </c>
      <c r="F11" s="6">
        <v>0</v>
      </c>
      <c r="G11" s="8">
        <f t="shared" si="0"/>
        <v>0</v>
      </c>
      <c r="H11" s="71">
        <v>0</v>
      </c>
      <c r="I11" s="6">
        <v>0</v>
      </c>
      <c r="J11" s="8">
        <f t="shared" si="1"/>
        <v>0</v>
      </c>
      <c r="K11" s="8">
        <f t="shared" si="2"/>
        <v>0</v>
      </c>
      <c r="L11" s="74"/>
      <c r="M11" s="74">
        <f t="shared" si="3"/>
        <v>8750.0668000000442</v>
      </c>
      <c r="N11" s="43"/>
      <c r="O11" s="75"/>
    </row>
    <row r="12" spans="1:15">
      <c r="A12" s="50">
        <v>9</v>
      </c>
      <c r="B12" s="234">
        <v>45939</v>
      </c>
      <c r="C12" s="73"/>
      <c r="D12" s="77"/>
      <c r="E12" s="71">
        <v>143.9</v>
      </c>
      <c r="F12" s="6">
        <v>91.23</v>
      </c>
      <c r="G12" s="8">
        <f t="shared" si="0"/>
        <v>13127.997000000001</v>
      </c>
      <c r="H12" s="71">
        <v>0</v>
      </c>
      <c r="I12" s="6">
        <v>0</v>
      </c>
      <c r="J12" s="8">
        <f t="shared" si="1"/>
        <v>0</v>
      </c>
      <c r="K12" s="8">
        <f t="shared" si="2"/>
        <v>13127.997000000001</v>
      </c>
      <c r="L12" s="74"/>
      <c r="M12" s="74">
        <f t="shared" si="3"/>
        <v>21878.063800000047</v>
      </c>
      <c r="N12" s="43"/>
      <c r="O12" s="75"/>
    </row>
    <row r="13" spans="1:15">
      <c r="A13" s="50">
        <v>10</v>
      </c>
      <c r="B13" s="234">
        <v>45940</v>
      </c>
      <c r="C13" s="197"/>
      <c r="D13" s="198"/>
      <c r="E13" s="71">
        <v>35</v>
      </c>
      <c r="F13" s="6">
        <v>91.23</v>
      </c>
      <c r="G13" s="8">
        <f t="shared" si="0"/>
        <v>3193.05</v>
      </c>
      <c r="H13" s="71">
        <v>5</v>
      </c>
      <c r="I13" s="6">
        <v>103.16</v>
      </c>
      <c r="J13" s="8">
        <f t="shared" si="1"/>
        <v>515.79999999999995</v>
      </c>
      <c r="K13" s="8">
        <f t="shared" si="2"/>
        <v>3708.8500000000004</v>
      </c>
      <c r="L13" s="74"/>
      <c r="M13" s="74">
        <f>M12+K13-L13</f>
        <v>25586.913800000046</v>
      </c>
      <c r="N13" s="43"/>
      <c r="O13" s="75"/>
    </row>
    <row r="14" spans="1:15">
      <c r="A14" s="50">
        <v>11</v>
      </c>
      <c r="B14" s="234">
        <v>45941</v>
      </c>
      <c r="C14" s="185"/>
      <c r="D14" s="185"/>
      <c r="E14" s="71">
        <v>0</v>
      </c>
      <c r="F14" s="6">
        <v>0</v>
      </c>
      <c r="G14" s="8">
        <f t="shared" si="0"/>
        <v>0</v>
      </c>
      <c r="H14" s="71">
        <v>0</v>
      </c>
      <c r="I14" s="6">
        <v>0</v>
      </c>
      <c r="J14" s="8">
        <f t="shared" si="1"/>
        <v>0</v>
      </c>
      <c r="K14" s="8">
        <f t="shared" si="2"/>
        <v>0</v>
      </c>
      <c r="L14" s="74"/>
      <c r="M14" s="74">
        <f t="shared" si="3"/>
        <v>25586.913800000046</v>
      </c>
      <c r="N14" s="43"/>
      <c r="O14" s="75"/>
    </row>
    <row r="15" spans="1:15">
      <c r="A15" s="50">
        <v>12</v>
      </c>
      <c r="B15" s="234">
        <v>45942</v>
      </c>
      <c r="C15" s="185"/>
      <c r="D15" s="185"/>
      <c r="E15" s="71">
        <v>174.69</v>
      </c>
      <c r="F15" s="6">
        <v>91.23</v>
      </c>
      <c r="G15" s="8">
        <f t="shared" si="0"/>
        <v>15936.968700000001</v>
      </c>
      <c r="H15" s="71">
        <v>0</v>
      </c>
      <c r="I15" s="6">
        <v>0</v>
      </c>
      <c r="J15" s="8">
        <f t="shared" si="1"/>
        <v>0</v>
      </c>
      <c r="K15" s="8">
        <f t="shared" si="2"/>
        <v>15936.968700000001</v>
      </c>
      <c r="L15" s="74"/>
      <c r="M15" s="74">
        <f t="shared" si="3"/>
        <v>41523.882500000051</v>
      </c>
      <c r="N15" s="43"/>
      <c r="O15" s="75"/>
    </row>
    <row r="16" spans="1:15">
      <c r="A16" s="50">
        <v>13</v>
      </c>
      <c r="B16" s="234">
        <v>45943</v>
      </c>
      <c r="C16" s="185"/>
      <c r="D16" s="185"/>
      <c r="E16" s="71">
        <v>0</v>
      </c>
      <c r="F16" s="6">
        <v>0</v>
      </c>
      <c r="G16" s="8">
        <f t="shared" si="0"/>
        <v>0</v>
      </c>
      <c r="H16" s="71">
        <v>9.1199999999999992</v>
      </c>
      <c r="I16" s="6">
        <v>103.16</v>
      </c>
      <c r="J16" s="8">
        <f t="shared" si="1"/>
        <v>940.81919999999991</v>
      </c>
      <c r="K16" s="8">
        <f t="shared" si="2"/>
        <v>940.81919999999991</v>
      </c>
      <c r="L16" s="74"/>
      <c r="M16" s="74">
        <f t="shared" si="3"/>
        <v>42464.701700000049</v>
      </c>
      <c r="N16" s="43"/>
      <c r="O16" s="75"/>
    </row>
    <row r="17" spans="1:15">
      <c r="A17" s="50">
        <v>14</v>
      </c>
      <c r="B17" s="234">
        <v>45944</v>
      </c>
      <c r="C17" s="185"/>
      <c r="D17" s="185"/>
      <c r="E17" s="71">
        <v>126.27000000000001</v>
      </c>
      <c r="F17" s="6">
        <v>91.23</v>
      </c>
      <c r="G17" s="8">
        <f t="shared" si="0"/>
        <v>11519.612100000002</v>
      </c>
      <c r="H17" s="71">
        <v>18</v>
      </c>
      <c r="I17" s="6">
        <v>103.16</v>
      </c>
      <c r="J17" s="8">
        <f t="shared" si="1"/>
        <v>1856.8799999999999</v>
      </c>
      <c r="K17" s="8">
        <f t="shared" si="2"/>
        <v>13376.492100000001</v>
      </c>
      <c r="L17" s="74"/>
      <c r="M17" s="74">
        <f t="shared" si="3"/>
        <v>55841.193800000052</v>
      </c>
      <c r="N17" s="43"/>
      <c r="O17" s="75"/>
    </row>
    <row r="18" spans="1:15">
      <c r="A18" s="50">
        <v>15</v>
      </c>
      <c r="B18" s="234">
        <v>45945</v>
      </c>
      <c r="C18" s="185"/>
      <c r="D18" s="185"/>
      <c r="E18" s="71">
        <v>0</v>
      </c>
      <c r="F18" s="6">
        <v>0</v>
      </c>
      <c r="G18" s="8">
        <f t="shared" si="0"/>
        <v>0</v>
      </c>
      <c r="H18" s="71">
        <v>0</v>
      </c>
      <c r="I18" s="6">
        <v>0</v>
      </c>
      <c r="J18" s="8">
        <f t="shared" si="1"/>
        <v>0</v>
      </c>
      <c r="K18" s="8">
        <f t="shared" si="2"/>
        <v>0</v>
      </c>
      <c r="L18" s="74"/>
      <c r="M18" s="74">
        <f t="shared" si="3"/>
        <v>55841.193800000052</v>
      </c>
      <c r="N18" s="43"/>
      <c r="O18" s="75"/>
    </row>
    <row r="19" spans="1:15">
      <c r="A19" s="50">
        <v>16</v>
      </c>
      <c r="B19" s="234">
        <v>45946</v>
      </c>
      <c r="C19" s="185"/>
      <c r="D19" s="185"/>
      <c r="E19" s="71">
        <v>35</v>
      </c>
      <c r="F19" s="6">
        <v>91.23</v>
      </c>
      <c r="G19" s="8">
        <f t="shared" si="0"/>
        <v>3193.05</v>
      </c>
      <c r="H19" s="71">
        <v>0</v>
      </c>
      <c r="I19" s="6">
        <v>0</v>
      </c>
      <c r="J19" s="8">
        <f t="shared" si="1"/>
        <v>0</v>
      </c>
      <c r="K19" s="8">
        <f t="shared" si="2"/>
        <v>3193.05</v>
      </c>
      <c r="L19" s="74"/>
      <c r="M19" s="74">
        <f t="shared" si="3"/>
        <v>59034.243800000055</v>
      </c>
      <c r="N19" s="43"/>
      <c r="O19" s="75"/>
    </row>
    <row r="20" spans="1:15">
      <c r="A20" s="50">
        <v>17</v>
      </c>
      <c r="B20" s="234">
        <v>45947</v>
      </c>
      <c r="C20" s="185"/>
      <c r="D20" s="185"/>
      <c r="E20" s="71">
        <v>122.16</v>
      </c>
      <c r="F20" s="6">
        <v>91.23</v>
      </c>
      <c r="G20" s="8">
        <f t="shared" si="0"/>
        <v>11144.656800000001</v>
      </c>
      <c r="H20" s="71">
        <v>0</v>
      </c>
      <c r="I20" s="6">
        <v>0</v>
      </c>
      <c r="J20" s="8">
        <f t="shared" si="1"/>
        <v>0</v>
      </c>
      <c r="K20" s="8">
        <f t="shared" si="2"/>
        <v>11144.656800000001</v>
      </c>
      <c r="L20" s="74"/>
      <c r="M20" s="74">
        <f t="shared" ref="M20:M34" si="4">M19+K20-L20</f>
        <v>70178.900600000052</v>
      </c>
      <c r="N20" s="43"/>
      <c r="O20" s="75"/>
    </row>
    <row r="21" spans="1:15">
      <c r="A21" s="50">
        <v>18</v>
      </c>
      <c r="B21" s="234">
        <v>45948</v>
      </c>
      <c r="C21" s="185"/>
      <c r="D21" s="185"/>
      <c r="E21" s="71">
        <v>0</v>
      </c>
      <c r="F21" s="6">
        <v>0</v>
      </c>
      <c r="G21" s="8">
        <f t="shared" si="0"/>
        <v>0</v>
      </c>
      <c r="H21" s="71">
        <v>0</v>
      </c>
      <c r="I21" s="6">
        <v>0</v>
      </c>
      <c r="J21" s="8">
        <f t="shared" si="1"/>
        <v>0</v>
      </c>
      <c r="K21" s="8">
        <f t="shared" si="2"/>
        <v>0</v>
      </c>
      <c r="L21" s="74"/>
      <c r="M21" s="74">
        <f t="shared" si="4"/>
        <v>70178.900600000052</v>
      </c>
      <c r="N21" s="43"/>
      <c r="O21" s="75"/>
    </row>
    <row r="22" spans="1:15">
      <c r="A22" s="50">
        <v>19</v>
      </c>
      <c r="B22" s="234">
        <v>45949</v>
      </c>
      <c r="C22" s="185"/>
      <c r="D22" s="185"/>
      <c r="E22" s="71">
        <v>0</v>
      </c>
      <c r="F22" s="6">
        <v>0</v>
      </c>
      <c r="G22" s="8">
        <f t="shared" si="0"/>
        <v>0</v>
      </c>
      <c r="H22" s="71">
        <v>0</v>
      </c>
      <c r="I22" s="6">
        <v>0</v>
      </c>
      <c r="J22" s="8">
        <f t="shared" si="1"/>
        <v>0</v>
      </c>
      <c r="K22" s="8">
        <f t="shared" si="2"/>
        <v>0</v>
      </c>
      <c r="L22" s="74"/>
      <c r="M22" s="74">
        <f t="shared" si="4"/>
        <v>70178.900600000052</v>
      </c>
      <c r="N22" s="43"/>
      <c r="O22" s="75"/>
    </row>
    <row r="23" spans="1:15">
      <c r="A23" s="50">
        <v>20</v>
      </c>
      <c r="B23" s="234">
        <v>45950</v>
      </c>
      <c r="C23" s="185"/>
      <c r="D23" s="185"/>
      <c r="E23" s="71">
        <v>0</v>
      </c>
      <c r="F23" s="6">
        <v>0</v>
      </c>
      <c r="G23" s="8">
        <f t="shared" si="0"/>
        <v>0</v>
      </c>
      <c r="H23" s="71">
        <v>0</v>
      </c>
      <c r="I23" s="6">
        <v>0</v>
      </c>
      <c r="J23" s="8">
        <f t="shared" si="1"/>
        <v>0</v>
      </c>
      <c r="K23" s="8">
        <f t="shared" si="2"/>
        <v>0</v>
      </c>
      <c r="L23" s="74"/>
      <c r="M23" s="74">
        <f t="shared" si="4"/>
        <v>70178.900600000052</v>
      </c>
      <c r="N23" s="43"/>
      <c r="O23" s="75"/>
    </row>
    <row r="24" spans="1:15">
      <c r="A24" s="50">
        <v>21</v>
      </c>
      <c r="B24" s="234">
        <v>45951</v>
      </c>
      <c r="C24" s="185"/>
      <c r="D24" s="185"/>
      <c r="E24" s="71">
        <v>85</v>
      </c>
      <c r="F24" s="6">
        <v>91.23</v>
      </c>
      <c r="G24" s="8">
        <f t="shared" si="0"/>
        <v>7754.55</v>
      </c>
      <c r="H24" s="71">
        <v>9.0299999999999994</v>
      </c>
      <c r="I24" s="6">
        <v>103.16</v>
      </c>
      <c r="J24" s="8">
        <f t="shared" si="1"/>
        <v>931.5347999999999</v>
      </c>
      <c r="K24" s="8">
        <f t="shared" si="2"/>
        <v>8686.0848000000005</v>
      </c>
      <c r="L24" s="74"/>
      <c r="M24" s="74">
        <f t="shared" si="4"/>
        <v>78864.985400000049</v>
      </c>
      <c r="N24" s="43"/>
      <c r="O24" s="75"/>
    </row>
    <row r="25" spans="1:15">
      <c r="A25" s="50">
        <v>22</v>
      </c>
      <c r="B25" s="234">
        <v>45952</v>
      </c>
      <c r="C25" s="185"/>
      <c r="D25" s="185"/>
      <c r="E25" s="71">
        <v>42.89</v>
      </c>
      <c r="F25" s="6">
        <v>91.23</v>
      </c>
      <c r="G25" s="8">
        <f t="shared" si="0"/>
        <v>3912.8547000000003</v>
      </c>
      <c r="H25" s="71">
        <v>5</v>
      </c>
      <c r="I25" s="6">
        <v>103.16</v>
      </c>
      <c r="J25" s="8">
        <f t="shared" si="1"/>
        <v>515.79999999999995</v>
      </c>
      <c r="K25" s="8">
        <f t="shared" si="2"/>
        <v>4428.6547</v>
      </c>
      <c r="L25" s="74"/>
      <c r="M25" s="74">
        <f t="shared" si="4"/>
        <v>83293.640100000048</v>
      </c>
      <c r="N25" s="43"/>
      <c r="O25" s="75"/>
    </row>
    <row r="26" spans="1:15">
      <c r="A26" s="50">
        <v>23</v>
      </c>
      <c r="B26" s="234">
        <v>45953</v>
      </c>
      <c r="C26" s="223"/>
      <c r="D26" s="223"/>
      <c r="E26" s="71">
        <v>59.34</v>
      </c>
      <c r="F26" s="6">
        <v>91.23</v>
      </c>
      <c r="G26" s="8">
        <f t="shared" si="0"/>
        <v>5413.5882000000001</v>
      </c>
      <c r="H26" s="71">
        <v>5</v>
      </c>
      <c r="I26" s="6">
        <v>103.16</v>
      </c>
      <c r="J26" s="8">
        <f t="shared" si="1"/>
        <v>515.79999999999995</v>
      </c>
      <c r="K26" s="8">
        <f t="shared" si="2"/>
        <v>5929.3882000000003</v>
      </c>
      <c r="L26" s="74"/>
      <c r="M26" s="74">
        <f t="shared" si="4"/>
        <v>89223.028300000049</v>
      </c>
      <c r="N26" s="224"/>
      <c r="O26" s="75">
        <v>51702</v>
      </c>
    </row>
    <row r="27" spans="1:15">
      <c r="A27" s="50">
        <v>24</v>
      </c>
      <c r="B27" s="234">
        <v>45954</v>
      </c>
      <c r="C27" s="223"/>
      <c r="D27" s="223"/>
      <c r="E27" s="71">
        <v>0</v>
      </c>
      <c r="F27" s="6">
        <v>0</v>
      </c>
      <c r="G27" s="8">
        <f t="shared" si="0"/>
        <v>0</v>
      </c>
      <c r="H27" s="71">
        <v>0</v>
      </c>
      <c r="I27" s="6">
        <v>0</v>
      </c>
      <c r="J27" s="8">
        <f t="shared" si="1"/>
        <v>0</v>
      </c>
      <c r="K27" s="8">
        <f t="shared" si="2"/>
        <v>0</v>
      </c>
      <c r="L27" s="74"/>
      <c r="M27" s="74">
        <f t="shared" si="4"/>
        <v>89223.028300000049</v>
      </c>
      <c r="N27" s="224"/>
      <c r="O27" s="75"/>
    </row>
    <row r="28" spans="1:15">
      <c r="A28" s="236">
        <v>25</v>
      </c>
      <c r="B28" s="234">
        <v>45955</v>
      </c>
      <c r="C28" s="223"/>
      <c r="D28" s="223"/>
      <c r="E28" s="71">
        <v>219.94</v>
      </c>
      <c r="F28" s="6">
        <v>91.23</v>
      </c>
      <c r="G28" s="8">
        <f t="shared" si="0"/>
        <v>20065.126200000002</v>
      </c>
      <c r="H28" s="71">
        <v>0</v>
      </c>
      <c r="I28" s="6">
        <v>0</v>
      </c>
      <c r="J28" s="8">
        <f t="shared" si="1"/>
        <v>0</v>
      </c>
      <c r="K28" s="8">
        <f t="shared" si="2"/>
        <v>20065.126200000002</v>
      </c>
      <c r="L28" s="74"/>
      <c r="M28" s="74">
        <f>M27+K28-L28</f>
        <v>109288.15450000005</v>
      </c>
      <c r="N28" s="224"/>
      <c r="O28" s="75"/>
    </row>
    <row r="29" spans="1:15">
      <c r="A29" s="236">
        <v>26</v>
      </c>
      <c r="B29" s="234">
        <v>45956</v>
      </c>
      <c r="C29" s="223"/>
      <c r="D29" s="223"/>
      <c r="E29" s="71">
        <v>0</v>
      </c>
      <c r="F29" s="6">
        <v>0</v>
      </c>
      <c r="G29" s="8">
        <f t="shared" si="0"/>
        <v>0</v>
      </c>
      <c r="H29" s="71">
        <v>10</v>
      </c>
      <c r="I29" s="6">
        <v>103.16</v>
      </c>
      <c r="J29" s="8">
        <f t="shared" si="1"/>
        <v>1031.5999999999999</v>
      </c>
      <c r="K29" s="8">
        <f t="shared" si="2"/>
        <v>1031.5999999999999</v>
      </c>
      <c r="L29" s="74"/>
      <c r="M29" s="74">
        <f t="shared" si="4"/>
        <v>110319.75450000005</v>
      </c>
      <c r="N29" s="224"/>
      <c r="O29" s="75"/>
    </row>
    <row r="30" spans="1:15">
      <c r="A30" s="236">
        <v>27</v>
      </c>
      <c r="B30" s="234">
        <v>45957</v>
      </c>
      <c r="C30" s="223"/>
      <c r="D30" s="223"/>
      <c r="E30" s="71">
        <v>75.510000000000005</v>
      </c>
      <c r="F30" s="6">
        <v>91.23</v>
      </c>
      <c r="G30" s="8">
        <f t="shared" si="0"/>
        <v>6888.7773000000007</v>
      </c>
      <c r="H30" s="71">
        <v>12</v>
      </c>
      <c r="I30" s="6">
        <v>103.16</v>
      </c>
      <c r="J30" s="8">
        <f t="shared" si="1"/>
        <v>1237.92</v>
      </c>
      <c r="K30" s="8">
        <f t="shared" si="2"/>
        <v>8126.6973000000007</v>
      </c>
      <c r="L30" s="74"/>
      <c r="M30" s="74">
        <f t="shared" si="4"/>
        <v>118446.45180000005</v>
      </c>
      <c r="N30" s="224"/>
      <c r="O30" s="75"/>
    </row>
    <row r="31" spans="1:15">
      <c r="A31" s="236">
        <v>28</v>
      </c>
      <c r="B31" s="234">
        <v>45958</v>
      </c>
      <c r="C31" s="223"/>
      <c r="D31" s="223"/>
      <c r="E31" s="71">
        <v>136.22</v>
      </c>
      <c r="F31" s="6">
        <v>91.23</v>
      </c>
      <c r="G31" s="8">
        <f t="shared" si="0"/>
        <v>12427.3506</v>
      </c>
      <c r="H31" s="71">
        <v>5</v>
      </c>
      <c r="I31" s="6">
        <v>103.16</v>
      </c>
      <c r="J31" s="8">
        <f t="shared" si="1"/>
        <v>515.79999999999995</v>
      </c>
      <c r="K31" s="8">
        <f t="shared" si="2"/>
        <v>12943.150599999999</v>
      </c>
      <c r="L31" s="74"/>
      <c r="M31" s="74">
        <f t="shared" si="4"/>
        <v>131389.60240000006</v>
      </c>
      <c r="N31" s="224"/>
      <c r="O31" s="75"/>
    </row>
    <row r="32" spans="1:15">
      <c r="A32" s="237">
        <v>29</v>
      </c>
      <c r="B32" s="234">
        <v>45959</v>
      </c>
      <c r="C32" s="223"/>
      <c r="D32" s="223"/>
      <c r="E32" s="71">
        <v>0</v>
      </c>
      <c r="F32" s="6">
        <v>0</v>
      </c>
      <c r="G32" s="8">
        <f t="shared" si="0"/>
        <v>0</v>
      </c>
      <c r="H32" s="71">
        <v>0</v>
      </c>
      <c r="I32" s="6">
        <v>0</v>
      </c>
      <c r="J32" s="8">
        <f t="shared" si="1"/>
        <v>0</v>
      </c>
      <c r="K32" s="8">
        <f t="shared" si="2"/>
        <v>0</v>
      </c>
      <c r="L32" s="74"/>
      <c r="M32" s="74">
        <f t="shared" si="4"/>
        <v>131389.60240000006</v>
      </c>
      <c r="N32" s="224"/>
      <c r="O32" s="75"/>
    </row>
    <row r="33" spans="1:15">
      <c r="A33" s="237">
        <v>30</v>
      </c>
      <c r="B33" s="234">
        <v>45960</v>
      </c>
      <c r="C33" s="223"/>
      <c r="D33" s="223"/>
      <c r="E33" s="71">
        <v>7</v>
      </c>
      <c r="F33" s="6">
        <v>91.23</v>
      </c>
      <c r="G33" s="8">
        <f t="shared" si="0"/>
        <v>638.61</v>
      </c>
      <c r="H33" s="71">
        <v>7</v>
      </c>
      <c r="I33" s="6">
        <v>103.16</v>
      </c>
      <c r="J33" s="8">
        <f t="shared" si="1"/>
        <v>722.12</v>
      </c>
      <c r="K33" s="8">
        <f t="shared" si="2"/>
        <v>1360.73</v>
      </c>
      <c r="L33" s="74"/>
      <c r="M33" s="74">
        <f t="shared" si="4"/>
        <v>132750.33240000007</v>
      </c>
      <c r="N33" s="224"/>
      <c r="O33" s="75"/>
    </row>
    <row r="34" spans="1:15">
      <c r="A34" s="237">
        <v>31</v>
      </c>
      <c r="B34" s="234">
        <v>45961</v>
      </c>
      <c r="C34" s="223"/>
      <c r="D34" s="223"/>
      <c r="E34" s="71">
        <v>116.7</v>
      </c>
      <c r="F34" s="6">
        <v>91.23</v>
      </c>
      <c r="G34" s="8">
        <f t="shared" si="0"/>
        <v>10646.541000000001</v>
      </c>
      <c r="H34" s="71">
        <v>0</v>
      </c>
      <c r="I34" s="6">
        <v>0</v>
      </c>
      <c r="J34" s="8">
        <f t="shared" si="1"/>
        <v>0</v>
      </c>
      <c r="K34" s="8">
        <f t="shared" si="2"/>
        <v>10646.541000000001</v>
      </c>
      <c r="L34" s="74"/>
      <c r="M34" s="74">
        <f t="shared" si="4"/>
        <v>143396.87340000007</v>
      </c>
      <c r="N34" s="224"/>
      <c r="O34" s="75"/>
    </row>
    <row r="35" spans="1:15">
      <c r="A35" s="168"/>
      <c r="B35" s="168"/>
      <c r="C35" s="168"/>
      <c r="D35" s="168"/>
      <c r="E35" s="169">
        <f>SUM(E4:E34)</f>
        <v>1424.68</v>
      </c>
      <c r="F35" s="169"/>
      <c r="G35" s="169">
        <f>SUM(G4:G34)</f>
        <v>129973.5564</v>
      </c>
      <c r="H35" s="169">
        <f>SUM(H4:H34)</f>
        <v>102.18</v>
      </c>
      <c r="I35" s="169"/>
      <c r="J35" s="169">
        <f>SUM(J4:J34)</f>
        <v>10540.888800000001</v>
      </c>
      <c r="K35" s="169">
        <f>SUM(K4:K34)</f>
        <v>140514.44519999999</v>
      </c>
      <c r="L35" s="169">
        <f>SUM(L4:L31)</f>
        <v>90000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topLeftCell="A27" workbookViewId="0">
      <selection activeCell="P17" sqref="P17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36" t="s">
        <v>84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"/>
    </row>
    <row r="2" spans="1:16" ht="30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91" t="s">
        <v>110</v>
      </c>
      <c r="N2" s="89" t="s">
        <v>107</v>
      </c>
      <c r="O2" s="5"/>
    </row>
    <row r="3" spans="1:16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2"/>
      <c r="M3" s="453">
        <v>0</v>
      </c>
      <c r="N3" s="454"/>
      <c r="O3" s="5"/>
    </row>
    <row r="4" spans="1:16">
      <c r="A4" s="208">
        <v>1</v>
      </c>
      <c r="B4" s="234"/>
      <c r="C4" s="6"/>
      <c r="D4" s="6"/>
      <c r="E4" s="71">
        <v>0</v>
      </c>
      <c r="F4" s="6">
        <v>0</v>
      </c>
      <c r="G4" s="72">
        <f>E4*F4</f>
        <v>0</v>
      </c>
      <c r="H4" s="71">
        <v>0</v>
      </c>
      <c r="I4" s="6">
        <v>0</v>
      </c>
      <c r="J4" s="72">
        <f>H4*I4</f>
        <v>0</v>
      </c>
      <c r="K4" s="72">
        <f>G4+J4</f>
        <v>0</v>
      </c>
      <c r="L4" s="170">
        <v>0</v>
      </c>
      <c r="M4" s="156">
        <f>M3+K4-L4</f>
        <v>0</v>
      </c>
      <c r="N4" s="50"/>
      <c r="O4" s="5">
        <v>908.20409999999981</v>
      </c>
    </row>
    <row r="5" spans="1:16">
      <c r="A5" s="50">
        <v>2</v>
      </c>
      <c r="B5" s="234"/>
      <c r="C5" s="6"/>
      <c r="D5" s="6"/>
      <c r="E5" s="71">
        <v>0</v>
      </c>
      <c r="F5" s="6">
        <v>0</v>
      </c>
      <c r="G5" s="72">
        <f t="shared" ref="G5:G42" si="0">E5*F5</f>
        <v>0</v>
      </c>
      <c r="H5" s="71">
        <v>0</v>
      </c>
      <c r="I5" s="6">
        <v>0</v>
      </c>
      <c r="J5" s="72">
        <f t="shared" ref="J5:J42" si="1">H5*I5</f>
        <v>0</v>
      </c>
      <c r="K5" s="72">
        <f t="shared" ref="K5:K42" si="2">G5+J5</f>
        <v>0</v>
      </c>
      <c r="L5" s="170">
        <v>0</v>
      </c>
      <c r="M5" s="156">
        <f t="shared" ref="M5:M43" si="3">M4+K5-L5</f>
        <v>0</v>
      </c>
      <c r="N5" s="50"/>
      <c r="O5" s="5"/>
    </row>
    <row r="6" spans="1:16">
      <c r="A6" s="50">
        <v>3</v>
      </c>
      <c r="B6" s="234"/>
      <c r="C6" s="6"/>
      <c r="D6" s="6"/>
      <c r="E6" s="71">
        <v>0</v>
      </c>
      <c r="F6" s="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170">
        <v>0</v>
      </c>
      <c r="M6" s="156">
        <f t="shared" si="3"/>
        <v>0</v>
      </c>
      <c r="N6" s="50"/>
      <c r="O6" s="5"/>
    </row>
    <row r="7" spans="1:16">
      <c r="A7" s="50">
        <v>4</v>
      </c>
      <c r="B7" s="234"/>
      <c r="C7" s="6"/>
      <c r="D7" s="6"/>
      <c r="E7" s="71">
        <v>0</v>
      </c>
      <c r="F7" s="6">
        <v>0</v>
      </c>
      <c r="G7" s="72">
        <f t="shared" si="0"/>
        <v>0</v>
      </c>
      <c r="H7" s="71">
        <v>0</v>
      </c>
      <c r="I7" s="6">
        <v>0</v>
      </c>
      <c r="J7" s="72">
        <f t="shared" si="1"/>
        <v>0</v>
      </c>
      <c r="K7" s="72">
        <f t="shared" si="2"/>
        <v>0</v>
      </c>
      <c r="L7" s="170">
        <v>0</v>
      </c>
      <c r="M7" s="156">
        <f t="shared" si="3"/>
        <v>0</v>
      </c>
      <c r="N7" s="50"/>
      <c r="O7" s="5"/>
    </row>
    <row r="8" spans="1:16">
      <c r="A8" s="50">
        <v>5</v>
      </c>
      <c r="B8" s="234"/>
      <c r="C8" s="6"/>
      <c r="D8" s="6"/>
      <c r="E8" s="71">
        <v>0</v>
      </c>
      <c r="F8" s="6">
        <v>0</v>
      </c>
      <c r="G8" s="72">
        <f t="shared" si="0"/>
        <v>0</v>
      </c>
      <c r="H8" s="71">
        <v>0</v>
      </c>
      <c r="I8" s="6">
        <v>0</v>
      </c>
      <c r="J8" s="72">
        <f t="shared" si="1"/>
        <v>0</v>
      </c>
      <c r="K8" s="72">
        <f t="shared" si="2"/>
        <v>0</v>
      </c>
      <c r="L8" s="170">
        <v>0</v>
      </c>
      <c r="M8" s="156">
        <f t="shared" si="3"/>
        <v>0</v>
      </c>
      <c r="N8" s="50"/>
      <c r="O8" s="5"/>
    </row>
    <row r="9" spans="1:16">
      <c r="A9" s="50">
        <v>6</v>
      </c>
      <c r="B9" s="234"/>
      <c r="C9" s="6"/>
      <c r="D9" s="6"/>
      <c r="E9" s="71">
        <v>0</v>
      </c>
      <c r="F9" s="6">
        <v>0</v>
      </c>
      <c r="G9" s="72">
        <f t="shared" si="0"/>
        <v>0</v>
      </c>
      <c r="H9" s="71">
        <v>0</v>
      </c>
      <c r="I9" s="6">
        <v>0</v>
      </c>
      <c r="J9" s="72">
        <f t="shared" si="1"/>
        <v>0</v>
      </c>
      <c r="K9" s="72">
        <f t="shared" si="2"/>
        <v>0</v>
      </c>
      <c r="L9" s="170">
        <v>0</v>
      </c>
      <c r="M9" s="156">
        <f t="shared" si="3"/>
        <v>0</v>
      </c>
      <c r="N9" s="50"/>
      <c r="O9" s="5"/>
    </row>
    <row r="10" spans="1:16">
      <c r="A10" s="50">
        <v>7</v>
      </c>
      <c r="B10" s="234"/>
      <c r="C10" s="6"/>
      <c r="D10" s="6"/>
      <c r="E10" s="71">
        <v>0</v>
      </c>
      <c r="F10" s="6">
        <v>0</v>
      </c>
      <c r="G10" s="72">
        <f t="shared" si="0"/>
        <v>0</v>
      </c>
      <c r="H10" s="71">
        <v>0</v>
      </c>
      <c r="I10" s="6">
        <v>0</v>
      </c>
      <c r="J10" s="72">
        <f t="shared" si="1"/>
        <v>0</v>
      </c>
      <c r="K10" s="72">
        <f t="shared" si="2"/>
        <v>0</v>
      </c>
      <c r="L10" s="170">
        <v>0</v>
      </c>
      <c r="M10" s="156">
        <f t="shared" si="3"/>
        <v>0</v>
      </c>
      <c r="N10" s="50"/>
      <c r="O10" s="5"/>
    </row>
    <row r="11" spans="1:16">
      <c r="A11" s="50">
        <v>8</v>
      </c>
      <c r="B11" s="234"/>
      <c r="C11" s="6"/>
      <c r="D11" s="6"/>
      <c r="E11" s="71">
        <v>0</v>
      </c>
      <c r="F11" s="6">
        <v>0</v>
      </c>
      <c r="G11" s="72">
        <f t="shared" si="0"/>
        <v>0</v>
      </c>
      <c r="H11" s="71">
        <v>0</v>
      </c>
      <c r="I11" s="6">
        <v>0</v>
      </c>
      <c r="J11" s="72">
        <f t="shared" si="1"/>
        <v>0</v>
      </c>
      <c r="K11" s="72">
        <f t="shared" si="2"/>
        <v>0</v>
      </c>
      <c r="L11" s="170">
        <v>0</v>
      </c>
      <c r="M11" s="156">
        <f t="shared" si="3"/>
        <v>0</v>
      </c>
      <c r="N11" s="50"/>
      <c r="O11" s="5"/>
      <c r="P11" s="74">
        <f>P10+N11-O11</f>
        <v>0</v>
      </c>
    </row>
    <row r="12" spans="1:16">
      <c r="A12" s="50">
        <v>9</v>
      </c>
      <c r="B12" s="234"/>
      <c r="C12" s="6"/>
      <c r="D12" s="6"/>
      <c r="E12" s="71">
        <v>0</v>
      </c>
      <c r="F12" s="6">
        <v>0</v>
      </c>
      <c r="G12" s="72">
        <f t="shared" si="0"/>
        <v>0</v>
      </c>
      <c r="H12" s="71">
        <v>0</v>
      </c>
      <c r="I12" s="6">
        <v>0</v>
      </c>
      <c r="J12" s="72">
        <f t="shared" si="1"/>
        <v>0</v>
      </c>
      <c r="K12" s="72">
        <f t="shared" si="2"/>
        <v>0</v>
      </c>
      <c r="L12" s="170">
        <v>0</v>
      </c>
      <c r="M12" s="156">
        <f t="shared" si="3"/>
        <v>0</v>
      </c>
      <c r="N12" s="50"/>
      <c r="O12" s="5"/>
    </row>
    <row r="13" spans="1:16">
      <c r="A13" s="50">
        <v>10</v>
      </c>
      <c r="B13" s="234"/>
      <c r="C13" s="6"/>
      <c r="D13" s="6"/>
      <c r="E13" s="71">
        <v>0</v>
      </c>
      <c r="F13" s="6">
        <v>0</v>
      </c>
      <c r="G13" s="72">
        <f t="shared" si="0"/>
        <v>0</v>
      </c>
      <c r="H13" s="71">
        <v>0</v>
      </c>
      <c r="I13" s="6">
        <v>0</v>
      </c>
      <c r="J13" s="72">
        <f t="shared" si="1"/>
        <v>0</v>
      </c>
      <c r="K13" s="72">
        <f t="shared" si="2"/>
        <v>0</v>
      </c>
      <c r="L13" s="170">
        <v>0</v>
      </c>
      <c r="M13" s="156">
        <f t="shared" si="3"/>
        <v>0</v>
      </c>
      <c r="N13" s="50"/>
      <c r="O13" s="5"/>
    </row>
    <row r="14" spans="1:16">
      <c r="A14" s="50">
        <v>11</v>
      </c>
      <c r="B14" s="234"/>
      <c r="C14" s="6"/>
      <c r="D14" s="6"/>
      <c r="E14" s="71">
        <v>0</v>
      </c>
      <c r="F14" s="6">
        <v>0</v>
      </c>
      <c r="G14" s="72">
        <f t="shared" si="0"/>
        <v>0</v>
      </c>
      <c r="H14" s="71">
        <v>0</v>
      </c>
      <c r="I14" s="6">
        <v>0</v>
      </c>
      <c r="J14" s="72">
        <f t="shared" si="1"/>
        <v>0</v>
      </c>
      <c r="K14" s="72">
        <f t="shared" si="2"/>
        <v>0</v>
      </c>
      <c r="L14" s="170">
        <v>0</v>
      </c>
      <c r="M14" s="156">
        <f t="shared" si="3"/>
        <v>0</v>
      </c>
      <c r="N14" s="50"/>
      <c r="O14" s="5"/>
    </row>
    <row r="15" spans="1:16">
      <c r="A15" s="50">
        <v>12</v>
      </c>
      <c r="B15" s="234"/>
      <c r="C15" s="6"/>
      <c r="D15" s="6"/>
      <c r="E15" s="71">
        <v>0</v>
      </c>
      <c r="F15" s="6">
        <v>0</v>
      </c>
      <c r="G15" s="72">
        <f t="shared" si="0"/>
        <v>0</v>
      </c>
      <c r="H15" s="71">
        <v>0</v>
      </c>
      <c r="I15" s="6">
        <v>0</v>
      </c>
      <c r="J15" s="72">
        <f t="shared" si="1"/>
        <v>0</v>
      </c>
      <c r="K15" s="72">
        <f t="shared" si="2"/>
        <v>0</v>
      </c>
      <c r="L15" s="170">
        <v>0</v>
      </c>
      <c r="M15" s="156">
        <f t="shared" si="3"/>
        <v>0</v>
      </c>
      <c r="N15" s="50"/>
      <c r="O15" s="5"/>
    </row>
    <row r="16" spans="1:16">
      <c r="A16" s="50">
        <v>13</v>
      </c>
      <c r="B16" s="234"/>
      <c r="C16" s="6"/>
      <c r="D16" s="6"/>
      <c r="E16" s="71">
        <v>0</v>
      </c>
      <c r="F16" s="6">
        <v>0</v>
      </c>
      <c r="G16" s="72">
        <f t="shared" si="0"/>
        <v>0</v>
      </c>
      <c r="H16" s="71">
        <v>0</v>
      </c>
      <c r="I16" s="6">
        <v>0</v>
      </c>
      <c r="J16" s="72">
        <f t="shared" si="1"/>
        <v>0</v>
      </c>
      <c r="K16" s="72">
        <f t="shared" si="2"/>
        <v>0</v>
      </c>
      <c r="L16" s="170">
        <v>0</v>
      </c>
      <c r="M16" s="156">
        <f t="shared" si="3"/>
        <v>0</v>
      </c>
      <c r="N16" s="50"/>
      <c r="O16" s="5"/>
    </row>
    <row r="17" spans="1:15">
      <c r="A17" s="50">
        <v>14</v>
      </c>
      <c r="B17" s="234"/>
      <c r="C17" s="6"/>
      <c r="D17" s="6"/>
      <c r="E17" s="71">
        <v>0</v>
      </c>
      <c r="F17" s="6">
        <v>0</v>
      </c>
      <c r="G17" s="72">
        <f t="shared" si="0"/>
        <v>0</v>
      </c>
      <c r="H17" s="71">
        <v>0</v>
      </c>
      <c r="I17" s="6">
        <v>0</v>
      </c>
      <c r="J17" s="72">
        <f t="shared" si="1"/>
        <v>0</v>
      </c>
      <c r="K17" s="72">
        <f t="shared" si="2"/>
        <v>0</v>
      </c>
      <c r="L17" s="170">
        <v>0</v>
      </c>
      <c r="M17" s="156">
        <f t="shared" si="3"/>
        <v>0</v>
      </c>
      <c r="N17" s="50"/>
      <c r="O17" s="5"/>
    </row>
    <row r="18" spans="1:15">
      <c r="A18" s="50">
        <v>15</v>
      </c>
      <c r="B18" s="234"/>
      <c r="C18" s="6"/>
      <c r="D18" s="6"/>
      <c r="E18" s="71">
        <v>0</v>
      </c>
      <c r="F18" s="6">
        <v>0</v>
      </c>
      <c r="G18" s="72">
        <f t="shared" si="0"/>
        <v>0</v>
      </c>
      <c r="H18" s="71">
        <v>0</v>
      </c>
      <c r="I18" s="6">
        <v>0</v>
      </c>
      <c r="J18" s="72">
        <f t="shared" si="1"/>
        <v>0</v>
      </c>
      <c r="K18" s="72">
        <f t="shared" si="2"/>
        <v>0</v>
      </c>
      <c r="L18" s="170">
        <v>0</v>
      </c>
      <c r="M18" s="156">
        <f>M17+K18-L18</f>
        <v>0</v>
      </c>
      <c r="N18" s="50"/>
      <c r="O18" s="5"/>
    </row>
    <row r="19" spans="1:15">
      <c r="A19" s="50">
        <v>16</v>
      </c>
      <c r="B19" s="234"/>
      <c r="C19" s="6"/>
      <c r="D19" s="6"/>
      <c r="E19" s="71">
        <v>0</v>
      </c>
      <c r="F19" s="6">
        <v>0</v>
      </c>
      <c r="G19" s="72">
        <f t="shared" si="0"/>
        <v>0</v>
      </c>
      <c r="H19" s="71">
        <v>0</v>
      </c>
      <c r="I19" s="6">
        <v>0</v>
      </c>
      <c r="J19" s="72">
        <f t="shared" si="1"/>
        <v>0</v>
      </c>
      <c r="K19" s="72">
        <f t="shared" si="2"/>
        <v>0</v>
      </c>
      <c r="L19" s="170">
        <v>0</v>
      </c>
      <c r="M19" s="156">
        <f t="shared" si="3"/>
        <v>0</v>
      </c>
      <c r="N19" s="50"/>
      <c r="O19" s="5"/>
    </row>
    <row r="20" spans="1:15">
      <c r="A20" s="50">
        <v>17</v>
      </c>
      <c r="B20" s="234"/>
      <c r="C20" s="6"/>
      <c r="D20" s="6"/>
      <c r="E20" s="71">
        <v>0</v>
      </c>
      <c r="F20" s="6">
        <v>0</v>
      </c>
      <c r="G20" s="72">
        <f t="shared" si="0"/>
        <v>0</v>
      </c>
      <c r="H20" s="71">
        <v>0</v>
      </c>
      <c r="I20" s="6">
        <v>0</v>
      </c>
      <c r="J20" s="72">
        <f t="shared" si="1"/>
        <v>0</v>
      </c>
      <c r="K20" s="72">
        <f t="shared" si="2"/>
        <v>0</v>
      </c>
      <c r="L20" s="170">
        <v>0</v>
      </c>
      <c r="M20" s="156">
        <f t="shared" si="3"/>
        <v>0</v>
      </c>
      <c r="N20" s="50"/>
      <c r="O20" s="5"/>
    </row>
    <row r="21" spans="1:15">
      <c r="A21" s="50">
        <v>18</v>
      </c>
      <c r="B21" s="234"/>
      <c r="C21" s="6"/>
      <c r="D21" s="6"/>
      <c r="E21" s="71">
        <v>0</v>
      </c>
      <c r="F21" s="6">
        <v>0</v>
      </c>
      <c r="G21" s="72">
        <f t="shared" si="0"/>
        <v>0</v>
      </c>
      <c r="H21" s="71">
        <v>0</v>
      </c>
      <c r="I21" s="6">
        <v>0</v>
      </c>
      <c r="J21" s="72">
        <f t="shared" si="1"/>
        <v>0</v>
      </c>
      <c r="K21" s="72">
        <f t="shared" si="2"/>
        <v>0</v>
      </c>
      <c r="L21" s="170">
        <v>0</v>
      </c>
      <c r="M21" s="156">
        <f t="shared" si="3"/>
        <v>0</v>
      </c>
      <c r="N21" s="50"/>
      <c r="O21" s="5"/>
    </row>
    <row r="22" spans="1:15">
      <c r="A22" s="50">
        <v>19</v>
      </c>
      <c r="B22" s="234"/>
      <c r="C22" s="6"/>
      <c r="D22" s="6"/>
      <c r="E22" s="71">
        <v>0</v>
      </c>
      <c r="F22" s="6">
        <v>0</v>
      </c>
      <c r="G22" s="72">
        <f t="shared" si="0"/>
        <v>0</v>
      </c>
      <c r="H22" s="71">
        <v>0</v>
      </c>
      <c r="I22" s="6">
        <v>0</v>
      </c>
      <c r="J22" s="72">
        <f t="shared" si="1"/>
        <v>0</v>
      </c>
      <c r="K22" s="72">
        <f t="shared" si="2"/>
        <v>0</v>
      </c>
      <c r="L22" s="170">
        <v>0</v>
      </c>
      <c r="M22" s="156">
        <f t="shared" si="3"/>
        <v>0</v>
      </c>
      <c r="N22" s="50"/>
      <c r="O22" s="5"/>
    </row>
    <row r="23" spans="1:15">
      <c r="A23" s="50">
        <v>20</v>
      </c>
      <c r="B23" s="234"/>
      <c r="C23" s="6"/>
      <c r="D23" s="6"/>
      <c r="E23" s="71">
        <v>0</v>
      </c>
      <c r="F23" s="6">
        <v>0</v>
      </c>
      <c r="G23" s="72">
        <f t="shared" si="0"/>
        <v>0</v>
      </c>
      <c r="H23" s="71">
        <v>0</v>
      </c>
      <c r="I23" s="6">
        <v>0</v>
      </c>
      <c r="J23" s="72">
        <f t="shared" si="1"/>
        <v>0</v>
      </c>
      <c r="K23" s="72">
        <f t="shared" si="2"/>
        <v>0</v>
      </c>
      <c r="L23" s="170">
        <v>0</v>
      </c>
      <c r="M23" s="156">
        <f t="shared" si="3"/>
        <v>0</v>
      </c>
      <c r="N23" s="50"/>
      <c r="O23" s="5"/>
    </row>
    <row r="24" spans="1:15">
      <c r="A24" s="50">
        <v>21</v>
      </c>
      <c r="B24" s="234"/>
      <c r="C24" s="6"/>
      <c r="D24" s="6"/>
      <c r="E24" s="71">
        <v>0</v>
      </c>
      <c r="F24" s="6">
        <v>0</v>
      </c>
      <c r="G24" s="72">
        <f t="shared" si="0"/>
        <v>0</v>
      </c>
      <c r="H24" s="71">
        <v>0</v>
      </c>
      <c r="I24" s="6">
        <v>0</v>
      </c>
      <c r="J24" s="72">
        <f t="shared" si="1"/>
        <v>0</v>
      </c>
      <c r="K24" s="72">
        <f t="shared" si="2"/>
        <v>0</v>
      </c>
      <c r="L24" s="170">
        <v>0</v>
      </c>
      <c r="M24" s="156">
        <f t="shared" si="3"/>
        <v>0</v>
      </c>
      <c r="N24" s="50"/>
      <c r="O24" s="5"/>
    </row>
    <row r="25" spans="1:15">
      <c r="A25" s="50">
        <v>22</v>
      </c>
      <c r="B25" s="234"/>
      <c r="C25" s="6"/>
      <c r="D25" s="6"/>
      <c r="E25" s="71">
        <v>0</v>
      </c>
      <c r="F25" s="6">
        <v>0</v>
      </c>
      <c r="G25" s="72">
        <f t="shared" si="0"/>
        <v>0</v>
      </c>
      <c r="H25" s="71">
        <v>0</v>
      </c>
      <c r="I25" s="6">
        <v>0</v>
      </c>
      <c r="J25" s="72">
        <f t="shared" si="1"/>
        <v>0</v>
      </c>
      <c r="K25" s="72">
        <f t="shared" si="2"/>
        <v>0</v>
      </c>
      <c r="L25" s="170">
        <v>0</v>
      </c>
      <c r="M25" s="156">
        <f t="shared" si="3"/>
        <v>0</v>
      </c>
      <c r="N25" s="50"/>
      <c r="O25" s="5"/>
    </row>
    <row r="26" spans="1:15">
      <c r="A26" s="50">
        <v>23</v>
      </c>
      <c r="B26" s="234"/>
      <c r="C26" s="6"/>
      <c r="D26" s="6"/>
      <c r="E26" s="71">
        <v>0</v>
      </c>
      <c r="F26" s="6">
        <v>0</v>
      </c>
      <c r="G26" s="72">
        <f t="shared" si="0"/>
        <v>0</v>
      </c>
      <c r="H26" s="71">
        <v>0</v>
      </c>
      <c r="I26" s="6">
        <v>0</v>
      </c>
      <c r="J26" s="72">
        <f t="shared" si="1"/>
        <v>0</v>
      </c>
      <c r="K26" s="72">
        <f t="shared" si="2"/>
        <v>0</v>
      </c>
      <c r="L26" s="170">
        <v>0</v>
      </c>
      <c r="M26" s="156">
        <f t="shared" si="3"/>
        <v>0</v>
      </c>
      <c r="N26" s="50"/>
      <c r="O26" s="5"/>
    </row>
    <row r="27" spans="1:15">
      <c r="A27" s="50">
        <v>24</v>
      </c>
      <c r="B27" s="234"/>
      <c r="C27" s="6"/>
      <c r="D27" s="6"/>
      <c r="E27" s="71">
        <v>0</v>
      </c>
      <c r="F27" s="6">
        <v>0</v>
      </c>
      <c r="G27" s="72">
        <f t="shared" si="0"/>
        <v>0</v>
      </c>
      <c r="H27" s="71">
        <v>0</v>
      </c>
      <c r="I27" s="6">
        <v>0</v>
      </c>
      <c r="J27" s="72">
        <f t="shared" si="1"/>
        <v>0</v>
      </c>
      <c r="K27" s="72">
        <f t="shared" si="2"/>
        <v>0</v>
      </c>
      <c r="L27" s="170">
        <v>0</v>
      </c>
      <c r="M27" s="156">
        <f t="shared" si="3"/>
        <v>0</v>
      </c>
      <c r="N27" s="6"/>
      <c r="O27" s="5"/>
    </row>
    <row r="28" spans="1:15">
      <c r="A28" s="236">
        <v>25</v>
      </c>
      <c r="B28" s="234"/>
      <c r="C28" s="6"/>
      <c r="D28" s="6"/>
      <c r="E28" s="71">
        <v>0</v>
      </c>
      <c r="F28" s="6">
        <v>0</v>
      </c>
      <c r="G28" s="72">
        <f t="shared" si="0"/>
        <v>0</v>
      </c>
      <c r="H28" s="71">
        <v>0</v>
      </c>
      <c r="I28" s="6">
        <v>0</v>
      </c>
      <c r="J28" s="72">
        <f t="shared" si="1"/>
        <v>0</v>
      </c>
      <c r="K28" s="72">
        <f t="shared" si="2"/>
        <v>0</v>
      </c>
      <c r="L28" s="170">
        <v>0</v>
      </c>
      <c r="M28" s="156">
        <f t="shared" si="3"/>
        <v>0</v>
      </c>
      <c r="N28" s="6"/>
      <c r="O28" s="5"/>
    </row>
    <row r="29" spans="1:15">
      <c r="A29" s="236">
        <v>26</v>
      </c>
      <c r="B29" s="234"/>
      <c r="C29" s="6"/>
      <c r="D29" s="6"/>
      <c r="E29" s="71">
        <v>0</v>
      </c>
      <c r="F29" s="6">
        <v>0</v>
      </c>
      <c r="G29" s="72">
        <f t="shared" si="0"/>
        <v>0</v>
      </c>
      <c r="H29" s="71">
        <v>0</v>
      </c>
      <c r="I29" s="6">
        <v>0</v>
      </c>
      <c r="J29" s="72">
        <f t="shared" si="1"/>
        <v>0</v>
      </c>
      <c r="K29" s="72">
        <f t="shared" si="2"/>
        <v>0</v>
      </c>
      <c r="L29" s="170">
        <v>0</v>
      </c>
      <c r="M29" s="156">
        <f t="shared" si="3"/>
        <v>0</v>
      </c>
      <c r="N29" s="6"/>
      <c r="O29" s="5"/>
    </row>
    <row r="30" spans="1:15">
      <c r="A30" s="236">
        <v>27</v>
      </c>
      <c r="B30" s="234"/>
      <c r="C30" s="6"/>
      <c r="D30" s="6"/>
      <c r="E30" s="71">
        <v>0</v>
      </c>
      <c r="F30" s="6">
        <v>0</v>
      </c>
      <c r="G30" s="72">
        <f t="shared" si="0"/>
        <v>0</v>
      </c>
      <c r="H30" s="71">
        <v>0</v>
      </c>
      <c r="I30" s="6">
        <v>0</v>
      </c>
      <c r="J30" s="72">
        <f t="shared" si="1"/>
        <v>0</v>
      </c>
      <c r="K30" s="72">
        <f t="shared" si="2"/>
        <v>0</v>
      </c>
      <c r="L30" s="170">
        <v>0</v>
      </c>
      <c r="M30" s="156">
        <f t="shared" si="3"/>
        <v>0</v>
      </c>
      <c r="N30" s="6"/>
      <c r="O30" s="5"/>
    </row>
    <row r="31" spans="1:15">
      <c r="A31" s="236">
        <v>28</v>
      </c>
      <c r="B31" s="234"/>
      <c r="C31" s="6"/>
      <c r="D31" s="6"/>
      <c r="E31" s="71">
        <v>0</v>
      </c>
      <c r="F31" s="6">
        <v>0</v>
      </c>
      <c r="G31" s="72">
        <f t="shared" si="0"/>
        <v>0</v>
      </c>
      <c r="H31" s="71">
        <v>0</v>
      </c>
      <c r="I31" s="6">
        <v>0</v>
      </c>
      <c r="J31" s="72">
        <f t="shared" si="1"/>
        <v>0</v>
      </c>
      <c r="K31" s="72">
        <f t="shared" si="2"/>
        <v>0</v>
      </c>
      <c r="L31" s="170">
        <v>0</v>
      </c>
      <c r="M31" s="156">
        <f t="shared" si="3"/>
        <v>0</v>
      </c>
      <c r="N31" s="6"/>
      <c r="O31" s="5"/>
    </row>
    <row r="32" spans="1:15">
      <c r="A32" s="237">
        <v>29</v>
      </c>
      <c r="B32" s="234"/>
      <c r="C32" s="6"/>
      <c r="D32" s="6"/>
      <c r="E32" s="71">
        <v>0</v>
      </c>
      <c r="F32" s="6">
        <v>0</v>
      </c>
      <c r="G32" s="72">
        <f t="shared" si="0"/>
        <v>0</v>
      </c>
      <c r="H32" s="71">
        <v>0</v>
      </c>
      <c r="I32" s="6">
        <v>0</v>
      </c>
      <c r="J32" s="72">
        <f t="shared" si="1"/>
        <v>0</v>
      </c>
      <c r="K32" s="72">
        <f t="shared" si="2"/>
        <v>0</v>
      </c>
      <c r="L32" s="170">
        <v>0</v>
      </c>
      <c r="M32" s="156">
        <f t="shared" si="3"/>
        <v>0</v>
      </c>
      <c r="N32" s="6"/>
      <c r="O32" s="5"/>
    </row>
    <row r="33" spans="1:15">
      <c r="A33" s="237">
        <v>30</v>
      </c>
      <c r="B33" s="234"/>
      <c r="C33" s="6"/>
      <c r="D33" s="6"/>
      <c r="E33" s="71">
        <v>0</v>
      </c>
      <c r="F33" s="6">
        <v>0</v>
      </c>
      <c r="G33" s="72">
        <f t="shared" si="0"/>
        <v>0</v>
      </c>
      <c r="H33" s="71">
        <v>0</v>
      </c>
      <c r="I33" s="6">
        <v>0</v>
      </c>
      <c r="J33" s="72">
        <f t="shared" si="1"/>
        <v>0</v>
      </c>
      <c r="K33" s="72">
        <f t="shared" si="2"/>
        <v>0</v>
      </c>
      <c r="L33" s="170">
        <v>0</v>
      </c>
      <c r="M33" s="156">
        <f t="shared" si="3"/>
        <v>0</v>
      </c>
      <c r="N33" s="6"/>
      <c r="O33" s="5"/>
    </row>
    <row r="34" spans="1:15">
      <c r="A34" s="237">
        <v>31</v>
      </c>
      <c r="B34" s="234"/>
      <c r="C34" s="6"/>
      <c r="D34" s="6"/>
      <c r="E34" s="71">
        <v>0</v>
      </c>
      <c r="F34" s="6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170">
        <v>0</v>
      </c>
      <c r="M34" s="156">
        <f t="shared" si="3"/>
        <v>0</v>
      </c>
      <c r="N34" s="6"/>
      <c r="O34" s="5"/>
    </row>
    <row r="35" spans="1:15">
      <c r="A35" s="6">
        <v>34</v>
      </c>
      <c r="B35" s="84"/>
      <c r="C35" s="6"/>
      <c r="D35" s="6"/>
      <c r="E35" s="71">
        <v>0</v>
      </c>
      <c r="F35" s="6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170">
        <v>0</v>
      </c>
      <c r="M35" s="156">
        <f t="shared" si="3"/>
        <v>0</v>
      </c>
      <c r="N35" s="6"/>
      <c r="O35" s="5"/>
    </row>
    <row r="36" spans="1:15">
      <c r="A36" s="6">
        <v>35</v>
      </c>
      <c r="B36" s="84"/>
      <c r="C36" s="6"/>
      <c r="D36" s="6"/>
      <c r="E36" s="71">
        <v>0</v>
      </c>
      <c r="F36" s="6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3"/>
        <v>0</v>
      </c>
      <c r="N36" s="6"/>
      <c r="O36" s="5"/>
    </row>
    <row r="37" spans="1:15">
      <c r="A37" s="6">
        <v>36</v>
      </c>
      <c r="B37" s="84"/>
      <c r="C37" s="6"/>
      <c r="D37" s="6"/>
      <c r="E37" s="71">
        <v>0</v>
      </c>
      <c r="F37" s="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3"/>
        <v>0</v>
      </c>
      <c r="N37" s="6"/>
      <c r="O37" s="5"/>
    </row>
    <row r="38" spans="1:15">
      <c r="A38" s="6">
        <v>37</v>
      </c>
      <c r="B38" s="84"/>
      <c r="C38" s="6"/>
      <c r="D38" s="6"/>
      <c r="E38" s="71">
        <v>0</v>
      </c>
      <c r="F38" s="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3"/>
        <v>0</v>
      </c>
      <c r="N38" s="6"/>
      <c r="O38" s="5"/>
    </row>
    <row r="39" spans="1:15">
      <c r="A39" s="6">
        <v>38</v>
      </c>
      <c r="B39" s="84"/>
      <c r="C39" s="6"/>
      <c r="D39" s="6"/>
      <c r="E39" s="71">
        <v>0</v>
      </c>
      <c r="F39" s="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3"/>
        <v>0</v>
      </c>
      <c r="N39" s="6"/>
      <c r="O39" s="5"/>
    </row>
    <row r="40" spans="1:15">
      <c r="A40" s="178">
        <v>39</v>
      </c>
      <c r="B40" s="179"/>
      <c r="C40" s="178"/>
      <c r="D40" s="6"/>
      <c r="E40" s="71">
        <v>0</v>
      </c>
      <c r="F40" s="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f t="shared" si="3"/>
        <v>0</v>
      </c>
      <c r="N40" s="178"/>
      <c r="O40" s="5"/>
    </row>
    <row r="41" spans="1:15">
      <c r="A41" s="6">
        <v>40</v>
      </c>
      <c r="B41" s="6"/>
      <c r="C41" s="6"/>
      <c r="D41" s="6"/>
      <c r="E41" s="71">
        <v>0</v>
      </c>
      <c r="F41" s="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56">
        <f t="shared" si="3"/>
        <v>0</v>
      </c>
      <c r="N41" s="6"/>
      <c r="O41" s="5"/>
    </row>
    <row r="42" spans="1:15">
      <c r="A42" s="178">
        <v>41</v>
      </c>
      <c r="B42" s="178"/>
      <c r="C42" s="178"/>
      <c r="D42" s="6"/>
      <c r="E42" s="71">
        <v>0</v>
      </c>
      <c r="F42" s="6">
        <v>0</v>
      </c>
      <c r="G42" s="72">
        <f t="shared" si="0"/>
        <v>0</v>
      </c>
      <c r="H42" s="71">
        <v>0</v>
      </c>
      <c r="I42" s="6">
        <v>0</v>
      </c>
      <c r="J42" s="72">
        <f t="shared" si="1"/>
        <v>0</v>
      </c>
      <c r="K42" s="72">
        <f t="shared" si="2"/>
        <v>0</v>
      </c>
      <c r="L42" s="170">
        <v>0</v>
      </c>
      <c r="M42" s="156">
        <f t="shared" si="3"/>
        <v>0</v>
      </c>
      <c r="N42" s="178"/>
      <c r="O42" s="5"/>
    </row>
    <row r="43" spans="1:15">
      <c r="A43" s="178">
        <v>42</v>
      </c>
      <c r="B43" s="178"/>
      <c r="C43" s="178"/>
      <c r="D43" s="6"/>
      <c r="E43" s="71">
        <v>0</v>
      </c>
      <c r="F43" s="6">
        <v>0</v>
      </c>
      <c r="G43" s="72">
        <f t="shared" ref="G43" si="4">E43*F43</f>
        <v>0</v>
      </c>
      <c r="H43" s="71">
        <v>0</v>
      </c>
      <c r="I43" s="6">
        <v>0</v>
      </c>
      <c r="J43" s="72">
        <f t="shared" ref="J43" si="5">H43*I43</f>
        <v>0</v>
      </c>
      <c r="K43" s="72">
        <f t="shared" ref="K43" si="6">G43+J43</f>
        <v>0</v>
      </c>
      <c r="L43" s="170">
        <v>0</v>
      </c>
      <c r="M43" s="156">
        <f t="shared" si="3"/>
        <v>0</v>
      </c>
      <c r="N43" s="178"/>
      <c r="O43" s="5"/>
    </row>
    <row r="44" spans="1:15">
      <c r="A44" s="68"/>
      <c r="B44" s="68"/>
      <c r="C44" s="68"/>
      <c r="D44" s="68"/>
      <c r="E44" s="69">
        <f>SUM(E4:E43)</f>
        <v>0</v>
      </c>
      <c r="F44" s="69"/>
      <c r="G44" s="69">
        <f>SUM(G4:G43)</f>
        <v>0</v>
      </c>
      <c r="H44" s="69">
        <f>SUM(H4:H43)</f>
        <v>0</v>
      </c>
      <c r="I44" s="69"/>
      <c r="J44" s="69">
        <f>SUM(J4:J43)</f>
        <v>0</v>
      </c>
      <c r="K44" s="69">
        <f>SUM(K4:K43)</f>
        <v>0</v>
      </c>
      <c r="L44" s="69">
        <f>SUM(L4:L43)</f>
        <v>0</v>
      </c>
      <c r="M44" s="69">
        <f>SUM(M4:M43)</f>
        <v>0</v>
      </c>
      <c r="N44" s="69"/>
      <c r="O44" s="65"/>
    </row>
    <row r="45" spans="1:15">
      <c r="A45" s="5"/>
      <c r="B45" s="5"/>
      <c r="C45" s="5"/>
      <c r="D45" s="5"/>
      <c r="E45" s="5"/>
      <c r="F45" s="5"/>
      <c r="G45" s="108"/>
      <c r="H45" s="5"/>
      <c r="I45" s="5"/>
      <c r="J45" s="108"/>
      <c r="K45" s="5"/>
      <c r="L45" s="108"/>
      <c r="M45" s="108"/>
      <c r="N45" s="5"/>
      <c r="O45" s="5"/>
    </row>
    <row r="46" spans="1:15">
      <c r="A46" s="5"/>
      <c r="B46" s="5"/>
      <c r="C46" s="5"/>
      <c r="D46" s="5"/>
      <c r="E46" s="5"/>
      <c r="F46" s="5"/>
      <c r="G46" s="108"/>
      <c r="H46" s="5"/>
      <c r="I46" s="5"/>
      <c r="J46" s="108"/>
      <c r="K46" s="5"/>
      <c r="L46" s="108"/>
      <c r="M46" s="108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M49" sqref="M49"/>
    </sheetView>
  </sheetViews>
  <sheetFormatPr defaultRowHeight="15"/>
  <cols>
    <col min="1" max="1" width="6.140625" customWidth="1"/>
    <col min="2" max="2" width="10.8554687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36" t="s">
        <v>90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"/>
    </row>
    <row r="2" spans="1:15" ht="45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91" t="s">
        <v>110</v>
      </c>
      <c r="N2" s="89" t="s">
        <v>107</v>
      </c>
      <c r="O2" s="5"/>
    </row>
    <row r="3" spans="1:15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2"/>
      <c r="M3" s="453">
        <v>4396.8206999999966</v>
      </c>
      <c r="N3" s="454"/>
      <c r="O3" s="5"/>
    </row>
    <row r="4" spans="1:15">
      <c r="A4" s="208">
        <v>1</v>
      </c>
      <c r="B4" s="234" t="s">
        <v>178</v>
      </c>
      <c r="C4" s="6"/>
      <c r="D4" s="6"/>
      <c r="E4" s="71">
        <v>0</v>
      </c>
      <c r="F4" s="6">
        <v>0</v>
      </c>
      <c r="G4" s="72">
        <v>0</v>
      </c>
      <c r="H4" s="71">
        <v>13</v>
      </c>
      <c r="I4" s="6">
        <v>103.26</v>
      </c>
      <c r="J4" s="72">
        <f>H4*I4</f>
        <v>1342.38</v>
      </c>
      <c r="K4" s="72">
        <f>G4+J4</f>
        <v>1342.38</v>
      </c>
      <c r="L4" s="170">
        <v>0</v>
      </c>
      <c r="M4" s="328">
        <f>M3+K4-L4</f>
        <v>5739.2006999999967</v>
      </c>
      <c r="N4" s="50" t="s">
        <v>152</v>
      </c>
      <c r="O4" s="5"/>
    </row>
    <row r="5" spans="1:15">
      <c r="A5" s="50">
        <v>2</v>
      </c>
      <c r="B5" s="234" t="s">
        <v>155</v>
      </c>
      <c r="C5" s="6"/>
      <c r="D5" s="6"/>
      <c r="E5" s="350">
        <v>100</v>
      </c>
      <c r="F5" s="350">
        <v>91.33</v>
      </c>
      <c r="G5" s="72">
        <f>E5*F5</f>
        <v>9133</v>
      </c>
      <c r="H5" s="71">
        <v>0</v>
      </c>
      <c r="I5" s="6">
        <v>0</v>
      </c>
      <c r="J5" s="72">
        <f t="shared" ref="J5:J41" si="0">H5*I5</f>
        <v>0</v>
      </c>
      <c r="K5" s="72">
        <f t="shared" ref="K5:K41" si="1">G5+J5</f>
        <v>9133</v>
      </c>
      <c r="L5" s="170">
        <v>0</v>
      </c>
      <c r="M5" s="328">
        <f t="shared" ref="M5:M14" si="2">M4+K5-L5</f>
        <v>14872.200699999998</v>
      </c>
      <c r="N5" s="50" t="s">
        <v>152</v>
      </c>
      <c r="O5" s="5"/>
    </row>
    <row r="6" spans="1:15">
      <c r="A6" s="50">
        <v>3</v>
      </c>
      <c r="B6" s="234" t="s">
        <v>156</v>
      </c>
      <c r="C6" s="6"/>
      <c r="D6" s="6"/>
      <c r="E6" s="350">
        <v>43.8</v>
      </c>
      <c r="F6" s="350">
        <v>91.33</v>
      </c>
      <c r="G6" s="72">
        <f>E6*F6</f>
        <v>4000.2539999999995</v>
      </c>
      <c r="H6" s="71">
        <v>5</v>
      </c>
      <c r="I6" s="6">
        <v>103.26</v>
      </c>
      <c r="J6" s="72">
        <f t="shared" si="0"/>
        <v>516.30000000000007</v>
      </c>
      <c r="K6" s="72">
        <f t="shared" si="1"/>
        <v>4516.5539999999992</v>
      </c>
      <c r="L6" s="170">
        <v>0</v>
      </c>
      <c r="M6" s="328">
        <f t="shared" si="2"/>
        <v>19388.754699999998</v>
      </c>
      <c r="N6" s="50" t="s">
        <v>152</v>
      </c>
      <c r="O6" s="5"/>
    </row>
    <row r="7" spans="1:15">
      <c r="A7" s="50">
        <v>4</v>
      </c>
      <c r="B7" s="234" t="s">
        <v>158</v>
      </c>
      <c r="C7" s="6"/>
      <c r="D7" s="6"/>
      <c r="E7" s="71">
        <v>0</v>
      </c>
      <c r="F7" s="6">
        <v>0</v>
      </c>
      <c r="G7" s="72">
        <f t="shared" ref="G7:G17" si="3">E7*F7</f>
        <v>0</v>
      </c>
      <c r="H7" s="71">
        <v>8</v>
      </c>
      <c r="I7" s="6">
        <v>103.26</v>
      </c>
      <c r="J7" s="72">
        <f t="shared" si="0"/>
        <v>826.08</v>
      </c>
      <c r="K7" s="72">
        <f t="shared" si="1"/>
        <v>826.08</v>
      </c>
      <c r="L7" s="170">
        <v>0</v>
      </c>
      <c r="M7" s="328">
        <f t="shared" si="2"/>
        <v>20214.834699999999</v>
      </c>
      <c r="N7" s="50" t="s">
        <v>152</v>
      </c>
      <c r="O7" s="5"/>
    </row>
    <row r="8" spans="1:15">
      <c r="A8" s="50">
        <v>5</v>
      </c>
      <c r="B8" s="234" t="s">
        <v>159</v>
      </c>
      <c r="C8" s="6"/>
      <c r="D8" s="6"/>
      <c r="E8" s="71">
        <v>0</v>
      </c>
      <c r="F8" s="6">
        <v>0</v>
      </c>
      <c r="G8" s="72">
        <f t="shared" si="3"/>
        <v>0</v>
      </c>
      <c r="H8" s="71">
        <v>9.06</v>
      </c>
      <c r="I8" s="6">
        <v>103.26</v>
      </c>
      <c r="J8" s="72">
        <f t="shared" si="0"/>
        <v>935.53560000000004</v>
      </c>
      <c r="K8" s="72">
        <f t="shared" si="1"/>
        <v>935.53560000000004</v>
      </c>
      <c r="L8" s="170">
        <v>0</v>
      </c>
      <c r="M8" s="328">
        <f t="shared" si="2"/>
        <v>21150.370299999999</v>
      </c>
      <c r="N8" s="50" t="s">
        <v>152</v>
      </c>
      <c r="O8" s="5"/>
    </row>
    <row r="9" spans="1:15">
      <c r="A9" s="50">
        <v>6</v>
      </c>
      <c r="B9" s="234" t="s">
        <v>160</v>
      </c>
      <c r="C9" s="6"/>
      <c r="D9" s="6"/>
      <c r="E9" s="71">
        <v>200</v>
      </c>
      <c r="F9" s="350">
        <v>91.33</v>
      </c>
      <c r="G9" s="72">
        <f t="shared" si="3"/>
        <v>18266</v>
      </c>
      <c r="H9" s="71">
        <v>3</v>
      </c>
      <c r="I9" s="6">
        <v>103.26</v>
      </c>
      <c r="J9" s="72">
        <f t="shared" si="0"/>
        <v>309.78000000000003</v>
      </c>
      <c r="K9" s="72">
        <f t="shared" si="1"/>
        <v>18575.78</v>
      </c>
      <c r="L9" s="170">
        <v>0</v>
      </c>
      <c r="M9" s="328">
        <f>M8+K9-L9</f>
        <v>39726.150299999994</v>
      </c>
      <c r="N9" s="50" t="s">
        <v>152</v>
      </c>
      <c r="O9" s="5"/>
    </row>
    <row r="10" spans="1:15">
      <c r="A10" s="50">
        <v>7</v>
      </c>
      <c r="B10" s="234" t="s">
        <v>161</v>
      </c>
      <c r="C10" s="6"/>
      <c r="D10" s="6"/>
      <c r="E10" s="71">
        <v>100</v>
      </c>
      <c r="F10" s="350">
        <v>91.33</v>
      </c>
      <c r="G10" s="72">
        <f t="shared" si="3"/>
        <v>9133</v>
      </c>
      <c r="H10" s="71">
        <v>4</v>
      </c>
      <c r="I10" s="6">
        <v>103.26</v>
      </c>
      <c r="J10" s="72">
        <f t="shared" si="0"/>
        <v>413.04</v>
      </c>
      <c r="K10" s="72">
        <f t="shared" si="1"/>
        <v>9546.0400000000009</v>
      </c>
      <c r="L10" s="170">
        <v>0</v>
      </c>
      <c r="M10" s="328">
        <f t="shared" si="2"/>
        <v>49272.190299999995</v>
      </c>
      <c r="N10" s="50" t="s">
        <v>152</v>
      </c>
      <c r="O10" s="5"/>
    </row>
    <row r="11" spans="1:15">
      <c r="A11" s="50">
        <v>8</v>
      </c>
      <c r="B11" s="234" t="s">
        <v>164</v>
      </c>
      <c r="C11" s="6"/>
      <c r="D11" s="6"/>
      <c r="E11" s="71">
        <v>40</v>
      </c>
      <c r="F11" s="350">
        <v>91.33</v>
      </c>
      <c r="G11" s="72">
        <f t="shared" si="3"/>
        <v>3653.2</v>
      </c>
      <c r="H11" s="71">
        <v>0</v>
      </c>
      <c r="I11" s="6">
        <v>0</v>
      </c>
      <c r="J11" s="72">
        <f t="shared" si="0"/>
        <v>0</v>
      </c>
      <c r="K11" s="72">
        <f>G11+J11</f>
        <v>3653.2</v>
      </c>
      <c r="L11" s="170">
        <v>0</v>
      </c>
      <c r="M11" s="328">
        <f t="shared" si="2"/>
        <v>52925.390299999992</v>
      </c>
      <c r="N11" s="50" t="s">
        <v>152</v>
      </c>
      <c r="O11" s="5"/>
    </row>
    <row r="12" spans="1:15">
      <c r="A12" s="236">
        <v>9</v>
      </c>
      <c r="B12" s="234" t="s">
        <v>165</v>
      </c>
      <c r="C12" s="186"/>
      <c r="D12" s="6"/>
      <c r="E12" s="71">
        <v>31.9</v>
      </c>
      <c r="F12" s="350">
        <v>91.33</v>
      </c>
      <c r="G12" s="72">
        <f t="shared" si="3"/>
        <v>2913.4269999999997</v>
      </c>
      <c r="H12" s="71">
        <v>0</v>
      </c>
      <c r="I12" s="6">
        <v>0</v>
      </c>
      <c r="J12" s="72">
        <f t="shared" si="0"/>
        <v>0</v>
      </c>
      <c r="K12" s="72">
        <f>G12+J12</f>
        <v>2913.4269999999997</v>
      </c>
      <c r="L12" s="170">
        <v>0</v>
      </c>
      <c r="M12" s="328">
        <f t="shared" si="2"/>
        <v>55838.817299999995</v>
      </c>
      <c r="N12" s="50" t="s">
        <v>152</v>
      </c>
      <c r="O12" s="5"/>
    </row>
    <row r="13" spans="1:15">
      <c r="A13" s="236">
        <v>10</v>
      </c>
      <c r="B13" s="234" t="s">
        <v>166</v>
      </c>
      <c r="C13" s="186"/>
      <c r="D13" s="6"/>
      <c r="E13" s="71">
        <v>411.29</v>
      </c>
      <c r="F13" s="350">
        <v>91.33</v>
      </c>
      <c r="G13" s="72">
        <f t="shared" si="3"/>
        <v>37563.115700000002</v>
      </c>
      <c r="H13" s="71">
        <v>22.81</v>
      </c>
      <c r="I13" s="6">
        <v>103.26</v>
      </c>
      <c r="J13" s="72">
        <f t="shared" si="0"/>
        <v>2355.3606</v>
      </c>
      <c r="K13" s="72">
        <f>G13+J13</f>
        <v>39918.476300000002</v>
      </c>
      <c r="L13" s="170">
        <v>52000</v>
      </c>
      <c r="M13" s="328">
        <f t="shared" si="2"/>
        <v>43757.293600000005</v>
      </c>
      <c r="N13" s="50" t="s">
        <v>152</v>
      </c>
      <c r="O13" s="5"/>
    </row>
    <row r="14" spans="1:15">
      <c r="A14" s="50">
        <v>11</v>
      </c>
      <c r="B14" s="234" t="s">
        <v>167</v>
      </c>
      <c r="C14" s="6"/>
      <c r="D14" s="6"/>
      <c r="E14" s="71">
        <v>0</v>
      </c>
      <c r="F14" s="6">
        <v>0</v>
      </c>
      <c r="G14" s="72">
        <f t="shared" si="3"/>
        <v>0</v>
      </c>
      <c r="H14" s="71">
        <v>0</v>
      </c>
      <c r="I14" s="6">
        <v>0</v>
      </c>
      <c r="J14" s="72">
        <f t="shared" si="0"/>
        <v>0</v>
      </c>
      <c r="K14" s="72">
        <f t="shared" si="1"/>
        <v>0</v>
      </c>
      <c r="L14" s="170">
        <v>0</v>
      </c>
      <c r="M14" s="328">
        <f t="shared" si="2"/>
        <v>43757.293600000005</v>
      </c>
      <c r="N14" s="50" t="s">
        <v>152</v>
      </c>
      <c r="O14" s="5"/>
    </row>
    <row r="15" spans="1:15">
      <c r="A15" s="50">
        <v>12</v>
      </c>
      <c r="B15" s="357" t="s">
        <v>172</v>
      </c>
      <c r="C15" s="6"/>
      <c r="D15" s="6"/>
      <c r="E15" s="71">
        <v>80</v>
      </c>
      <c r="F15" s="6">
        <v>91.33</v>
      </c>
      <c r="G15" s="72">
        <f t="shared" si="3"/>
        <v>7306.4</v>
      </c>
      <c r="H15" s="71">
        <v>0</v>
      </c>
      <c r="I15" s="6">
        <v>0</v>
      </c>
      <c r="J15" s="72">
        <f t="shared" si="0"/>
        <v>0</v>
      </c>
      <c r="K15" s="72">
        <f t="shared" si="1"/>
        <v>7306.4</v>
      </c>
      <c r="L15" s="170">
        <v>0</v>
      </c>
      <c r="M15" s="329">
        <f t="shared" ref="M15:M42" si="4">M14+K15-L15</f>
        <v>51063.693600000006</v>
      </c>
      <c r="N15" s="50" t="s">
        <v>152</v>
      </c>
      <c r="O15" s="5"/>
    </row>
    <row r="16" spans="1:15">
      <c r="A16" s="50">
        <v>13</v>
      </c>
      <c r="B16" s="357" t="s">
        <v>173</v>
      </c>
      <c r="C16" s="6"/>
      <c r="D16" s="6"/>
      <c r="E16" s="71">
        <v>0</v>
      </c>
      <c r="F16" s="6">
        <v>0</v>
      </c>
      <c r="G16" s="72">
        <f t="shared" si="3"/>
        <v>0</v>
      </c>
      <c r="H16" s="71">
        <v>2</v>
      </c>
      <c r="I16" s="6">
        <v>103.26</v>
      </c>
      <c r="J16" s="72">
        <f t="shared" si="0"/>
        <v>206.52</v>
      </c>
      <c r="K16" s="72">
        <f t="shared" si="1"/>
        <v>206.52</v>
      </c>
      <c r="L16" s="170">
        <v>0</v>
      </c>
      <c r="M16" s="329">
        <f t="shared" si="4"/>
        <v>51270.213600000003</v>
      </c>
      <c r="N16" s="50" t="s">
        <v>152</v>
      </c>
      <c r="O16" s="5"/>
    </row>
    <row r="17" spans="1:15">
      <c r="A17" s="50">
        <v>14</v>
      </c>
      <c r="B17" s="357" t="s">
        <v>174</v>
      </c>
      <c r="C17" s="6"/>
      <c r="D17" s="6"/>
      <c r="E17" s="71">
        <v>37.67</v>
      </c>
      <c r="F17" s="6">
        <v>91.33</v>
      </c>
      <c r="G17" s="72">
        <f>E17*F17</f>
        <v>3440.4011</v>
      </c>
      <c r="H17" s="71">
        <v>0</v>
      </c>
      <c r="I17" s="6">
        <v>0</v>
      </c>
      <c r="J17" s="72">
        <f t="shared" si="0"/>
        <v>0</v>
      </c>
      <c r="K17" s="72">
        <f>G17+J17</f>
        <v>3440.4011</v>
      </c>
      <c r="L17" s="170">
        <v>0</v>
      </c>
      <c r="M17" s="329">
        <f>M16+K17-L17</f>
        <v>54710.614700000006</v>
      </c>
      <c r="N17" s="50" t="s">
        <v>152</v>
      </c>
      <c r="O17" s="5"/>
    </row>
    <row r="18" spans="1:15">
      <c r="A18" s="50">
        <v>15</v>
      </c>
      <c r="B18" s="357" t="s">
        <v>176</v>
      </c>
      <c r="C18" s="6"/>
      <c r="D18" s="6"/>
      <c r="E18" s="71">
        <v>0</v>
      </c>
      <c r="F18" s="6">
        <v>0</v>
      </c>
      <c r="G18" s="72">
        <v>0</v>
      </c>
      <c r="H18" s="71">
        <v>5</v>
      </c>
      <c r="I18" s="6">
        <v>103.26</v>
      </c>
      <c r="J18" s="72">
        <f t="shared" si="0"/>
        <v>516.30000000000007</v>
      </c>
      <c r="K18" s="72">
        <f t="shared" si="1"/>
        <v>516.30000000000007</v>
      </c>
      <c r="L18" s="170">
        <v>0</v>
      </c>
      <c r="M18" s="329">
        <f t="shared" si="4"/>
        <v>55226.914700000008</v>
      </c>
      <c r="N18" s="50" t="s">
        <v>152</v>
      </c>
      <c r="O18" s="5"/>
    </row>
    <row r="19" spans="1:15">
      <c r="A19" s="50">
        <v>16</v>
      </c>
      <c r="B19" s="357" t="s">
        <v>177</v>
      </c>
      <c r="C19" s="6"/>
      <c r="D19" s="6"/>
      <c r="E19" s="71">
        <v>0</v>
      </c>
      <c r="F19" s="6">
        <v>0</v>
      </c>
      <c r="G19" s="72">
        <v>0</v>
      </c>
      <c r="H19" s="71">
        <v>11</v>
      </c>
      <c r="I19" s="6">
        <v>103.26</v>
      </c>
      <c r="J19" s="72">
        <f t="shared" si="0"/>
        <v>1135.8600000000001</v>
      </c>
      <c r="K19" s="72">
        <f t="shared" si="1"/>
        <v>1135.8600000000001</v>
      </c>
      <c r="L19" s="170">
        <v>0</v>
      </c>
      <c r="M19" s="329">
        <f t="shared" si="4"/>
        <v>56362.774700000009</v>
      </c>
      <c r="N19" s="50" t="s">
        <v>152</v>
      </c>
      <c r="O19" s="5"/>
    </row>
    <row r="20" spans="1:15">
      <c r="A20" s="50">
        <v>17</v>
      </c>
      <c r="B20" s="234"/>
      <c r="C20" s="6"/>
      <c r="D20" s="6"/>
      <c r="E20" s="71">
        <v>0</v>
      </c>
      <c r="F20" s="6">
        <v>0</v>
      </c>
      <c r="G20" s="72">
        <v>0</v>
      </c>
      <c r="H20" s="71">
        <v>0</v>
      </c>
      <c r="I20" s="6">
        <v>0</v>
      </c>
      <c r="J20" s="72">
        <f t="shared" si="0"/>
        <v>0</v>
      </c>
      <c r="K20" s="72">
        <f t="shared" si="1"/>
        <v>0</v>
      </c>
      <c r="L20" s="170">
        <v>0</v>
      </c>
      <c r="M20" s="329">
        <f t="shared" si="4"/>
        <v>56362.774700000009</v>
      </c>
      <c r="N20" s="50" t="s">
        <v>152</v>
      </c>
      <c r="O20" s="5"/>
    </row>
    <row r="21" spans="1:15">
      <c r="A21" s="50">
        <v>18</v>
      </c>
      <c r="B21" s="234"/>
      <c r="C21" s="6"/>
      <c r="D21" s="6"/>
      <c r="E21" s="71">
        <v>0</v>
      </c>
      <c r="F21" s="6">
        <v>0</v>
      </c>
      <c r="G21" s="72">
        <v>0</v>
      </c>
      <c r="H21" s="71">
        <v>0</v>
      </c>
      <c r="I21" s="6">
        <v>0</v>
      </c>
      <c r="J21" s="72">
        <f t="shared" si="0"/>
        <v>0</v>
      </c>
      <c r="K21" s="72">
        <f t="shared" si="1"/>
        <v>0</v>
      </c>
      <c r="L21" s="170">
        <v>0</v>
      </c>
      <c r="M21" s="329">
        <f t="shared" si="4"/>
        <v>56362.774700000009</v>
      </c>
      <c r="N21" s="50" t="s">
        <v>152</v>
      </c>
      <c r="O21" s="5"/>
    </row>
    <row r="22" spans="1:15">
      <c r="A22" s="50">
        <v>19</v>
      </c>
      <c r="B22" s="234"/>
      <c r="C22" s="6"/>
      <c r="D22" s="6"/>
      <c r="E22" s="71">
        <v>0</v>
      </c>
      <c r="F22" s="6">
        <v>0</v>
      </c>
      <c r="G22" s="72">
        <v>0</v>
      </c>
      <c r="H22" s="71">
        <v>0</v>
      </c>
      <c r="I22" s="6">
        <v>0</v>
      </c>
      <c r="J22" s="72">
        <f t="shared" si="0"/>
        <v>0</v>
      </c>
      <c r="K22" s="72">
        <f t="shared" si="1"/>
        <v>0</v>
      </c>
      <c r="L22" s="170">
        <v>0</v>
      </c>
      <c r="M22" s="329">
        <f t="shared" si="4"/>
        <v>56362.774700000009</v>
      </c>
      <c r="N22" s="50" t="s">
        <v>152</v>
      </c>
      <c r="O22" s="5"/>
    </row>
    <row r="23" spans="1:15">
      <c r="A23" s="50">
        <v>20</v>
      </c>
      <c r="B23" s="234"/>
      <c r="C23" s="6"/>
      <c r="D23" s="6"/>
      <c r="E23" s="71">
        <v>0</v>
      </c>
      <c r="F23" s="6">
        <v>0</v>
      </c>
      <c r="G23" s="72">
        <v>0</v>
      </c>
      <c r="H23" s="71">
        <v>0</v>
      </c>
      <c r="I23" s="6">
        <v>0</v>
      </c>
      <c r="J23" s="72">
        <f t="shared" si="0"/>
        <v>0</v>
      </c>
      <c r="K23" s="72">
        <f t="shared" si="1"/>
        <v>0</v>
      </c>
      <c r="L23" s="170">
        <v>0</v>
      </c>
      <c r="M23" s="329">
        <f t="shared" si="4"/>
        <v>56362.774700000009</v>
      </c>
      <c r="N23" s="50"/>
      <c r="O23" s="5"/>
    </row>
    <row r="24" spans="1:15">
      <c r="A24" s="50">
        <v>21</v>
      </c>
      <c r="B24" s="234"/>
      <c r="C24" s="6"/>
      <c r="D24" s="6"/>
      <c r="E24" s="71">
        <v>0</v>
      </c>
      <c r="F24" s="6">
        <v>0</v>
      </c>
      <c r="G24" s="72">
        <v>0</v>
      </c>
      <c r="H24" s="71">
        <v>0</v>
      </c>
      <c r="I24" s="6">
        <v>0</v>
      </c>
      <c r="J24" s="72">
        <f t="shared" si="0"/>
        <v>0</v>
      </c>
      <c r="K24" s="72">
        <f t="shared" si="1"/>
        <v>0</v>
      </c>
      <c r="L24" s="170">
        <v>0</v>
      </c>
      <c r="M24" s="329">
        <f t="shared" si="4"/>
        <v>56362.774700000009</v>
      </c>
      <c r="N24" s="50"/>
      <c r="O24" s="5"/>
    </row>
    <row r="25" spans="1:15">
      <c r="A25" s="50">
        <v>22</v>
      </c>
      <c r="B25" s="234"/>
      <c r="C25" s="6"/>
      <c r="D25" s="6"/>
      <c r="E25" s="71">
        <v>0</v>
      </c>
      <c r="F25" s="6">
        <v>0</v>
      </c>
      <c r="G25" s="72">
        <v>0</v>
      </c>
      <c r="H25" s="71">
        <v>0</v>
      </c>
      <c r="I25" s="6">
        <v>0</v>
      </c>
      <c r="J25" s="72">
        <f t="shared" si="0"/>
        <v>0</v>
      </c>
      <c r="K25" s="72">
        <f t="shared" si="1"/>
        <v>0</v>
      </c>
      <c r="L25" s="170">
        <v>0</v>
      </c>
      <c r="M25" s="279">
        <f t="shared" si="4"/>
        <v>56362.774700000009</v>
      </c>
      <c r="N25" s="50"/>
      <c r="O25" s="5"/>
    </row>
    <row r="26" spans="1:15">
      <c r="A26" s="50">
        <v>23</v>
      </c>
      <c r="B26" s="234"/>
      <c r="C26" s="6"/>
      <c r="D26" s="6"/>
      <c r="E26" s="71">
        <v>0</v>
      </c>
      <c r="F26" s="6">
        <v>0</v>
      </c>
      <c r="G26" s="72">
        <v>0</v>
      </c>
      <c r="H26" s="71">
        <v>0</v>
      </c>
      <c r="I26" s="6">
        <v>0</v>
      </c>
      <c r="J26" s="72">
        <f t="shared" si="0"/>
        <v>0</v>
      </c>
      <c r="K26" s="72">
        <f t="shared" si="1"/>
        <v>0</v>
      </c>
      <c r="L26" s="170">
        <v>0</v>
      </c>
      <c r="M26" s="279">
        <f t="shared" si="4"/>
        <v>56362.774700000009</v>
      </c>
      <c r="N26" s="6"/>
      <c r="O26" s="5"/>
    </row>
    <row r="27" spans="1:15">
      <c r="A27" s="50">
        <v>24</v>
      </c>
      <c r="B27" s="234"/>
      <c r="C27" s="6"/>
      <c r="D27" s="6"/>
      <c r="E27" s="71">
        <v>0</v>
      </c>
      <c r="F27" s="6">
        <v>0</v>
      </c>
      <c r="G27" s="72">
        <v>0</v>
      </c>
      <c r="H27" s="71">
        <v>0</v>
      </c>
      <c r="I27" s="6">
        <v>0</v>
      </c>
      <c r="J27" s="72">
        <f t="shared" si="0"/>
        <v>0</v>
      </c>
      <c r="K27" s="72">
        <f t="shared" si="1"/>
        <v>0</v>
      </c>
      <c r="L27" s="170">
        <v>0</v>
      </c>
      <c r="M27" s="279">
        <f t="shared" si="4"/>
        <v>56362.774700000009</v>
      </c>
      <c r="N27" s="6"/>
      <c r="O27" s="5"/>
    </row>
    <row r="28" spans="1:15">
      <c r="A28" s="236">
        <v>25</v>
      </c>
      <c r="B28" s="234"/>
      <c r="C28" s="6"/>
      <c r="D28" s="6"/>
      <c r="E28" s="71">
        <v>0</v>
      </c>
      <c r="F28" s="6">
        <v>0</v>
      </c>
      <c r="G28" s="72">
        <v>0</v>
      </c>
      <c r="H28" s="71">
        <v>0</v>
      </c>
      <c r="I28" s="6">
        <v>0</v>
      </c>
      <c r="J28" s="72">
        <f t="shared" si="0"/>
        <v>0</v>
      </c>
      <c r="K28" s="72">
        <f t="shared" si="1"/>
        <v>0</v>
      </c>
      <c r="L28" s="170">
        <v>0</v>
      </c>
      <c r="M28" s="279">
        <f t="shared" si="4"/>
        <v>56362.774700000009</v>
      </c>
      <c r="N28" s="6"/>
      <c r="O28" s="5"/>
    </row>
    <row r="29" spans="1:15">
      <c r="A29" s="236">
        <v>26</v>
      </c>
      <c r="B29" s="234"/>
      <c r="C29" s="6"/>
      <c r="D29" s="6"/>
      <c r="E29" s="71">
        <v>0</v>
      </c>
      <c r="F29" s="6">
        <v>0</v>
      </c>
      <c r="G29" s="72">
        <v>0</v>
      </c>
      <c r="H29" s="71">
        <v>0</v>
      </c>
      <c r="I29" s="6">
        <v>0</v>
      </c>
      <c r="J29" s="72">
        <f t="shared" si="0"/>
        <v>0</v>
      </c>
      <c r="K29" s="72">
        <f t="shared" si="1"/>
        <v>0</v>
      </c>
      <c r="L29" s="170">
        <v>0</v>
      </c>
      <c r="M29" s="279">
        <f t="shared" si="4"/>
        <v>56362.774700000009</v>
      </c>
      <c r="N29" s="6"/>
      <c r="O29" s="5"/>
    </row>
    <row r="30" spans="1:15">
      <c r="A30" s="236">
        <v>27</v>
      </c>
      <c r="B30" s="234"/>
      <c r="C30" s="6"/>
      <c r="D30" s="6"/>
      <c r="E30" s="71">
        <v>0</v>
      </c>
      <c r="F30" s="6">
        <v>0</v>
      </c>
      <c r="G30" s="72">
        <v>0</v>
      </c>
      <c r="H30" s="71">
        <v>0</v>
      </c>
      <c r="I30" s="6">
        <v>0</v>
      </c>
      <c r="J30" s="72">
        <f t="shared" si="0"/>
        <v>0</v>
      </c>
      <c r="K30" s="72">
        <f t="shared" si="1"/>
        <v>0</v>
      </c>
      <c r="L30" s="170">
        <v>0</v>
      </c>
      <c r="M30" s="279">
        <f t="shared" si="4"/>
        <v>56362.774700000009</v>
      </c>
      <c r="N30" s="6"/>
      <c r="O30" s="5"/>
    </row>
    <row r="31" spans="1:15">
      <c r="A31" s="236">
        <v>28</v>
      </c>
      <c r="B31" s="234"/>
      <c r="C31" s="6"/>
      <c r="D31" s="6"/>
      <c r="E31" s="71">
        <v>0</v>
      </c>
      <c r="F31" s="6">
        <v>0</v>
      </c>
      <c r="G31" s="72">
        <v>0</v>
      </c>
      <c r="H31" s="71">
        <v>0</v>
      </c>
      <c r="I31" s="6">
        <v>0</v>
      </c>
      <c r="J31" s="72">
        <f t="shared" si="0"/>
        <v>0</v>
      </c>
      <c r="K31" s="72">
        <f t="shared" si="1"/>
        <v>0</v>
      </c>
      <c r="L31" s="170">
        <v>0</v>
      </c>
      <c r="M31" s="279">
        <f t="shared" si="4"/>
        <v>56362.774700000009</v>
      </c>
      <c r="N31" s="6"/>
      <c r="O31" s="5"/>
    </row>
    <row r="32" spans="1:15">
      <c r="A32" s="237">
        <v>29</v>
      </c>
      <c r="B32" s="234"/>
      <c r="C32" s="6"/>
      <c r="D32" s="6"/>
      <c r="E32" s="71">
        <v>0</v>
      </c>
      <c r="F32" s="6">
        <v>0</v>
      </c>
      <c r="G32" s="72">
        <v>0</v>
      </c>
      <c r="H32" s="71">
        <v>0</v>
      </c>
      <c r="I32" s="6">
        <v>0</v>
      </c>
      <c r="J32" s="72">
        <f t="shared" si="0"/>
        <v>0</v>
      </c>
      <c r="K32" s="72">
        <f t="shared" si="1"/>
        <v>0</v>
      </c>
      <c r="L32" s="170">
        <v>0</v>
      </c>
      <c r="M32" s="279">
        <f t="shared" si="4"/>
        <v>56362.774700000009</v>
      </c>
      <c r="N32" s="6"/>
      <c r="O32" s="5"/>
    </row>
    <row r="33" spans="1:15">
      <c r="A33" s="237">
        <v>30</v>
      </c>
      <c r="B33" s="234"/>
      <c r="C33" s="6"/>
      <c r="D33" s="6"/>
      <c r="E33" s="71">
        <v>0</v>
      </c>
      <c r="F33" s="6">
        <v>0</v>
      </c>
      <c r="G33" s="72">
        <v>0</v>
      </c>
      <c r="H33" s="71">
        <v>0</v>
      </c>
      <c r="I33" s="6">
        <v>0</v>
      </c>
      <c r="J33" s="72">
        <f t="shared" si="0"/>
        <v>0</v>
      </c>
      <c r="K33" s="72">
        <f t="shared" si="1"/>
        <v>0</v>
      </c>
      <c r="L33" s="170">
        <v>0</v>
      </c>
      <c r="M33" s="279">
        <f t="shared" si="4"/>
        <v>56362.774700000009</v>
      </c>
      <c r="N33" s="6"/>
      <c r="O33" s="5"/>
    </row>
    <row r="34" spans="1:15">
      <c r="A34" s="237">
        <v>31</v>
      </c>
      <c r="B34" s="234"/>
      <c r="C34" s="6"/>
      <c r="D34" s="6"/>
      <c r="E34" s="71">
        <v>0</v>
      </c>
      <c r="F34" s="6">
        <v>0</v>
      </c>
      <c r="G34" s="72">
        <v>0</v>
      </c>
      <c r="H34" s="71">
        <v>0</v>
      </c>
      <c r="I34" s="6">
        <v>0</v>
      </c>
      <c r="J34" s="72">
        <f t="shared" si="0"/>
        <v>0</v>
      </c>
      <c r="K34" s="72">
        <f t="shared" si="1"/>
        <v>0</v>
      </c>
      <c r="L34" s="170">
        <v>0</v>
      </c>
      <c r="M34" s="279">
        <f t="shared" si="4"/>
        <v>56362.774700000009</v>
      </c>
      <c r="N34" s="6"/>
      <c r="O34" s="5"/>
    </row>
    <row r="35" spans="1:15">
      <c r="A35" s="6">
        <v>35</v>
      </c>
      <c r="B35" s="84"/>
      <c r="C35" s="6"/>
      <c r="D35" s="6"/>
      <c r="E35" s="71">
        <v>0</v>
      </c>
      <c r="F35" s="6">
        <v>0</v>
      </c>
      <c r="G35" s="72">
        <v>0</v>
      </c>
      <c r="H35" s="71">
        <v>0</v>
      </c>
      <c r="I35" s="6">
        <v>0</v>
      </c>
      <c r="J35" s="72">
        <f t="shared" si="0"/>
        <v>0</v>
      </c>
      <c r="K35" s="72">
        <f t="shared" si="1"/>
        <v>0</v>
      </c>
      <c r="L35" s="170">
        <v>0</v>
      </c>
      <c r="M35" s="279">
        <f t="shared" si="4"/>
        <v>56362.774700000009</v>
      </c>
      <c r="N35" s="6"/>
      <c r="O35" s="5"/>
    </row>
    <row r="36" spans="1:15">
      <c r="A36" s="6">
        <v>36</v>
      </c>
      <c r="B36" s="84"/>
      <c r="C36" s="6"/>
      <c r="D36" s="6"/>
      <c r="E36" s="71">
        <v>0</v>
      </c>
      <c r="F36" s="6">
        <v>0</v>
      </c>
      <c r="G36" s="72">
        <v>0</v>
      </c>
      <c r="H36" s="71">
        <v>0</v>
      </c>
      <c r="I36" s="6">
        <v>0</v>
      </c>
      <c r="J36" s="72">
        <f t="shared" si="0"/>
        <v>0</v>
      </c>
      <c r="K36" s="72">
        <f t="shared" si="1"/>
        <v>0</v>
      </c>
      <c r="L36" s="170">
        <v>0</v>
      </c>
      <c r="M36" s="279">
        <f t="shared" si="4"/>
        <v>56362.774700000009</v>
      </c>
      <c r="N36" s="6"/>
      <c r="O36" s="5"/>
    </row>
    <row r="37" spans="1:15">
      <c r="A37" s="6">
        <v>37</v>
      </c>
      <c r="B37" s="84"/>
      <c r="C37" s="6"/>
      <c r="D37" s="6"/>
      <c r="E37" s="71">
        <v>0</v>
      </c>
      <c r="F37" s="6">
        <v>0</v>
      </c>
      <c r="G37" s="72">
        <v>0</v>
      </c>
      <c r="H37" s="71">
        <v>0</v>
      </c>
      <c r="I37" s="6">
        <v>0</v>
      </c>
      <c r="J37" s="72">
        <f t="shared" si="0"/>
        <v>0</v>
      </c>
      <c r="K37" s="72">
        <f t="shared" si="1"/>
        <v>0</v>
      </c>
      <c r="L37" s="170">
        <v>0</v>
      </c>
      <c r="M37" s="279">
        <f t="shared" si="4"/>
        <v>56362.774700000009</v>
      </c>
      <c r="N37" s="6"/>
      <c r="O37" s="5"/>
    </row>
    <row r="38" spans="1:15">
      <c r="A38" s="6">
        <v>38</v>
      </c>
      <c r="B38" s="84"/>
      <c r="C38" s="6"/>
      <c r="D38" s="6"/>
      <c r="E38" s="71">
        <v>0</v>
      </c>
      <c r="F38" s="6">
        <v>0</v>
      </c>
      <c r="G38" s="72">
        <v>0</v>
      </c>
      <c r="H38" s="71">
        <v>0</v>
      </c>
      <c r="I38" s="6">
        <v>0</v>
      </c>
      <c r="J38" s="72">
        <f t="shared" si="0"/>
        <v>0</v>
      </c>
      <c r="K38" s="72">
        <f t="shared" si="1"/>
        <v>0</v>
      </c>
      <c r="L38" s="170">
        <v>0</v>
      </c>
      <c r="M38" s="279">
        <f t="shared" si="4"/>
        <v>56362.774700000009</v>
      </c>
      <c r="N38" s="6"/>
      <c r="O38" s="5"/>
    </row>
    <row r="39" spans="1:15">
      <c r="A39" s="178">
        <v>39</v>
      </c>
      <c r="B39" s="179"/>
      <c r="C39" s="178"/>
      <c r="D39" s="6"/>
      <c r="E39" s="71">
        <v>0</v>
      </c>
      <c r="F39" s="6">
        <v>0</v>
      </c>
      <c r="G39" s="72">
        <v>0</v>
      </c>
      <c r="H39" s="71">
        <v>0</v>
      </c>
      <c r="I39" s="6">
        <v>0</v>
      </c>
      <c r="J39" s="72">
        <f t="shared" si="0"/>
        <v>0</v>
      </c>
      <c r="K39" s="72">
        <f t="shared" si="1"/>
        <v>0</v>
      </c>
      <c r="L39" s="170">
        <v>0</v>
      </c>
      <c r="M39" s="279">
        <f t="shared" si="4"/>
        <v>56362.774700000009</v>
      </c>
      <c r="N39" s="178"/>
      <c r="O39" s="5"/>
    </row>
    <row r="40" spans="1:15">
      <c r="A40" s="6">
        <v>40</v>
      </c>
      <c r="B40" s="6"/>
      <c r="C40" s="6"/>
      <c r="D40" s="6"/>
      <c r="E40" s="71">
        <v>0</v>
      </c>
      <c r="F40" s="6">
        <v>0</v>
      </c>
      <c r="G40" s="72">
        <v>0</v>
      </c>
      <c r="H40" s="71">
        <v>0</v>
      </c>
      <c r="I40" s="6">
        <v>0</v>
      </c>
      <c r="J40" s="72">
        <f t="shared" si="0"/>
        <v>0</v>
      </c>
      <c r="K40" s="72">
        <f t="shared" si="1"/>
        <v>0</v>
      </c>
      <c r="L40" s="170">
        <v>0</v>
      </c>
      <c r="M40" s="279">
        <f t="shared" si="4"/>
        <v>56362.774700000009</v>
      </c>
      <c r="N40" s="6"/>
      <c r="O40" s="5"/>
    </row>
    <row r="41" spans="1:15">
      <c r="A41" s="178">
        <v>41</v>
      </c>
      <c r="B41" s="178"/>
      <c r="C41" s="178"/>
      <c r="D41" s="6"/>
      <c r="E41" s="71">
        <v>0</v>
      </c>
      <c r="F41" s="6">
        <v>0</v>
      </c>
      <c r="G41" s="72">
        <v>0</v>
      </c>
      <c r="H41" s="71">
        <v>0</v>
      </c>
      <c r="I41" s="6">
        <v>0</v>
      </c>
      <c r="J41" s="72">
        <f t="shared" si="0"/>
        <v>0</v>
      </c>
      <c r="K41" s="72">
        <f t="shared" si="1"/>
        <v>0</v>
      </c>
      <c r="L41" s="170">
        <v>0</v>
      </c>
      <c r="M41" s="279">
        <f t="shared" si="4"/>
        <v>56362.774700000009</v>
      </c>
      <c r="N41" s="178"/>
      <c r="O41" s="5"/>
    </row>
    <row r="42" spans="1:15">
      <c r="A42" s="178">
        <v>42</v>
      </c>
      <c r="B42" s="178"/>
      <c r="C42" s="178"/>
      <c r="D42" s="6"/>
      <c r="E42" s="71">
        <v>0</v>
      </c>
      <c r="F42" s="6">
        <v>0</v>
      </c>
      <c r="G42" s="72">
        <f t="shared" ref="G42" si="5">E42*F42</f>
        <v>0</v>
      </c>
      <c r="H42" s="71"/>
      <c r="I42" s="6"/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279">
        <f t="shared" si="4"/>
        <v>56362.774700000009</v>
      </c>
      <c r="N42" s="178"/>
      <c r="O42" s="5"/>
    </row>
    <row r="43" spans="1:15">
      <c r="A43" s="68"/>
      <c r="B43" s="68"/>
      <c r="C43" s="68"/>
      <c r="D43" s="68"/>
      <c r="E43" s="69">
        <f>SUM(E4:E42)</f>
        <v>1044.6600000000001</v>
      </c>
      <c r="F43" s="69"/>
      <c r="G43" s="69">
        <f>SUM(G4:G42)</f>
        <v>95408.797799999986</v>
      </c>
      <c r="H43" s="69">
        <f>SUM(H4:H42)</f>
        <v>82.87</v>
      </c>
      <c r="I43" s="69"/>
      <c r="J43" s="69">
        <f>SUM(J4:J42)</f>
        <v>8557.1562000000013</v>
      </c>
      <c r="K43" s="69">
        <f>SUM(K4:K42)</f>
        <v>103965.954</v>
      </c>
      <c r="L43" s="69">
        <f>SUM(L4:L42)</f>
        <v>52000</v>
      </c>
      <c r="M43" s="69"/>
      <c r="N43" s="69"/>
      <c r="O43" s="65"/>
    </row>
    <row r="44" spans="1:15">
      <c r="A44" s="5"/>
      <c r="B44" s="5"/>
      <c r="C44" s="5"/>
      <c r="D44" s="5"/>
      <c r="E44" s="5"/>
      <c r="F44" s="5"/>
      <c r="G44" s="108"/>
      <c r="H44" s="5"/>
      <c r="I44" s="5"/>
      <c r="J44" s="108"/>
      <c r="K44" s="5"/>
      <c r="L44" s="108"/>
      <c r="M44" s="108"/>
      <c r="N44" s="5"/>
      <c r="O44" s="5"/>
    </row>
    <row r="45" spans="1:15">
      <c r="A45" s="5"/>
      <c r="B45" s="5"/>
      <c r="C45" s="5"/>
      <c r="D45" s="5"/>
      <c r="E45" s="5"/>
      <c r="F45" s="5"/>
      <c r="G45" s="108"/>
      <c r="H45" s="5"/>
      <c r="I45" s="5"/>
      <c r="J45" s="108"/>
      <c r="K45" s="5"/>
      <c r="L45" s="108"/>
      <c r="M45" s="108"/>
      <c r="N45" s="5"/>
      <c r="O45" s="5"/>
    </row>
    <row r="46" spans="1:15">
      <c r="L46">
        <v>41648.541499999999</v>
      </c>
    </row>
    <row r="47" spans="1:15">
      <c r="L47" s="183">
        <f>L43+L46</f>
        <v>93648.541499999992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4" workbookViewId="0">
      <selection activeCell="P50" sqref="P50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36" t="s">
        <v>92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8" ht="45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91" t="s">
        <v>110</v>
      </c>
      <c r="N2" s="89" t="s">
        <v>107</v>
      </c>
    </row>
    <row r="3" spans="1:18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2"/>
      <c r="M3" s="453">
        <v>19544.637400000021</v>
      </c>
      <c r="N3" s="454"/>
    </row>
    <row r="4" spans="1:18">
      <c r="A4" s="208">
        <v>1</v>
      </c>
      <c r="B4" s="234">
        <v>45931</v>
      </c>
      <c r="C4" s="6"/>
      <c r="D4" s="6"/>
      <c r="E4" s="71">
        <v>0</v>
      </c>
      <c r="F4" s="350">
        <v>0</v>
      </c>
      <c r="G4" s="72">
        <f>E4*F4</f>
        <v>0</v>
      </c>
      <c r="H4" s="71">
        <v>0</v>
      </c>
      <c r="I4" s="6">
        <v>0</v>
      </c>
      <c r="J4" s="72">
        <f>H4*I4</f>
        <v>0</v>
      </c>
      <c r="K4" s="72">
        <f>G4+J4</f>
        <v>0</v>
      </c>
      <c r="L4" s="170">
        <v>0</v>
      </c>
      <c r="M4" s="156">
        <f>M3+K4-L4</f>
        <v>19544.637400000021</v>
      </c>
      <c r="N4" s="50" t="s">
        <v>152</v>
      </c>
    </row>
    <row r="5" spans="1:18">
      <c r="A5" s="50">
        <v>2</v>
      </c>
      <c r="B5" s="234">
        <v>45932</v>
      </c>
      <c r="C5" s="6"/>
      <c r="D5" s="6"/>
      <c r="E5" s="71">
        <v>0</v>
      </c>
      <c r="F5" s="350">
        <v>0</v>
      </c>
      <c r="G5" s="72">
        <f t="shared" ref="G5:G41" si="0">E5*F5</f>
        <v>0</v>
      </c>
      <c r="H5" s="71">
        <v>0</v>
      </c>
      <c r="I5" s="6">
        <v>0</v>
      </c>
      <c r="J5" s="72">
        <f t="shared" ref="J5:J41" si="1">H5*I5</f>
        <v>0</v>
      </c>
      <c r="K5" s="72">
        <f t="shared" ref="K5:K41" si="2">G5+J5</f>
        <v>0</v>
      </c>
      <c r="L5" s="170">
        <v>0</v>
      </c>
      <c r="M5" s="156">
        <f t="shared" ref="M5:M33" si="3">M4+K5-L5</f>
        <v>19544.637400000021</v>
      </c>
      <c r="N5" s="50" t="s">
        <v>152</v>
      </c>
    </row>
    <row r="6" spans="1:18">
      <c r="A6" s="50">
        <v>3</v>
      </c>
      <c r="B6" s="234">
        <v>45933</v>
      </c>
      <c r="C6" s="6"/>
      <c r="D6" s="6"/>
      <c r="E6" s="71">
        <v>0</v>
      </c>
      <c r="F6" s="350">
        <v>0</v>
      </c>
      <c r="G6" s="72">
        <f t="shared" si="0"/>
        <v>0</v>
      </c>
      <c r="H6" s="71">
        <v>5.98</v>
      </c>
      <c r="I6" s="6">
        <v>103.57</v>
      </c>
      <c r="J6" s="72">
        <f t="shared" si="1"/>
        <v>619.34860000000003</v>
      </c>
      <c r="K6" s="72">
        <f t="shared" si="2"/>
        <v>619.34860000000003</v>
      </c>
      <c r="L6" s="170">
        <v>0</v>
      </c>
      <c r="M6" s="156">
        <f t="shared" si="3"/>
        <v>20163.986000000023</v>
      </c>
      <c r="N6" s="50" t="s">
        <v>152</v>
      </c>
    </row>
    <row r="7" spans="1:18">
      <c r="A7" s="50">
        <v>4</v>
      </c>
      <c r="B7" s="234">
        <v>45934</v>
      </c>
      <c r="C7" s="6"/>
      <c r="D7" s="6"/>
      <c r="E7" s="71">
        <v>0</v>
      </c>
      <c r="F7" s="350">
        <v>0</v>
      </c>
      <c r="G7" s="72">
        <f t="shared" si="0"/>
        <v>0</v>
      </c>
      <c r="H7" s="71">
        <v>0</v>
      </c>
      <c r="I7" s="6">
        <v>0</v>
      </c>
      <c r="J7" s="72">
        <f t="shared" si="1"/>
        <v>0</v>
      </c>
      <c r="K7" s="72">
        <f t="shared" si="2"/>
        <v>0</v>
      </c>
      <c r="L7" s="170">
        <v>0</v>
      </c>
      <c r="M7" s="156">
        <f t="shared" si="3"/>
        <v>20163.986000000023</v>
      </c>
      <c r="N7" s="50" t="s">
        <v>152</v>
      </c>
    </row>
    <row r="8" spans="1:18">
      <c r="A8" s="50">
        <v>5</v>
      </c>
      <c r="B8" s="234">
        <v>45935</v>
      </c>
      <c r="C8" s="6"/>
      <c r="D8" s="6"/>
      <c r="E8" s="71">
        <v>43.66</v>
      </c>
      <c r="F8" s="350">
        <v>91.62</v>
      </c>
      <c r="G8" s="72">
        <f t="shared" si="0"/>
        <v>4000.1291999999999</v>
      </c>
      <c r="H8" s="71">
        <v>0</v>
      </c>
      <c r="I8" s="6">
        <v>0</v>
      </c>
      <c r="J8" s="72">
        <f t="shared" si="1"/>
        <v>0</v>
      </c>
      <c r="K8" s="72">
        <f t="shared" si="2"/>
        <v>4000.1291999999999</v>
      </c>
      <c r="L8" s="170">
        <v>0</v>
      </c>
      <c r="M8" s="156">
        <f t="shared" si="3"/>
        <v>24164.115200000022</v>
      </c>
      <c r="N8" s="50" t="s">
        <v>152</v>
      </c>
    </row>
    <row r="9" spans="1:18">
      <c r="A9" s="50">
        <v>6</v>
      </c>
      <c r="B9" s="234">
        <v>45936</v>
      </c>
      <c r="C9" s="6"/>
      <c r="D9" s="6"/>
      <c r="E9" s="71">
        <v>0</v>
      </c>
      <c r="F9" s="350">
        <v>0</v>
      </c>
      <c r="G9" s="72">
        <f t="shared" si="0"/>
        <v>0</v>
      </c>
      <c r="H9" s="71">
        <v>0</v>
      </c>
      <c r="I9" s="6">
        <v>0</v>
      </c>
      <c r="J9" s="72">
        <f t="shared" si="1"/>
        <v>0</v>
      </c>
      <c r="K9" s="72">
        <f t="shared" si="2"/>
        <v>0</v>
      </c>
      <c r="L9" s="170">
        <v>0</v>
      </c>
      <c r="M9" s="156">
        <f t="shared" si="3"/>
        <v>24164.115200000022</v>
      </c>
      <c r="N9" s="50" t="s">
        <v>152</v>
      </c>
    </row>
    <row r="10" spans="1:18">
      <c r="A10" s="50">
        <v>7</v>
      </c>
      <c r="B10" s="234">
        <v>45937</v>
      </c>
      <c r="C10" s="6"/>
      <c r="D10" s="6"/>
      <c r="E10" s="71">
        <v>70.949999999999989</v>
      </c>
      <c r="F10" s="350">
        <v>91.62</v>
      </c>
      <c r="G10" s="72">
        <f t="shared" si="0"/>
        <v>6500.4389999999994</v>
      </c>
      <c r="H10" s="71">
        <v>5</v>
      </c>
      <c r="I10" s="6">
        <v>103.57</v>
      </c>
      <c r="J10" s="72">
        <f t="shared" si="1"/>
        <v>517.84999999999991</v>
      </c>
      <c r="K10" s="72">
        <f t="shared" si="2"/>
        <v>7018.2889999999989</v>
      </c>
      <c r="L10" s="170">
        <v>0</v>
      </c>
      <c r="M10" s="156">
        <f t="shared" si="3"/>
        <v>31182.404200000019</v>
      </c>
      <c r="N10" s="50" t="s">
        <v>152</v>
      </c>
    </row>
    <row r="11" spans="1:18">
      <c r="A11" s="50">
        <v>8</v>
      </c>
      <c r="B11" s="234">
        <v>45938</v>
      </c>
      <c r="C11" s="6"/>
      <c r="D11" s="6"/>
      <c r="E11" s="71">
        <v>0</v>
      </c>
      <c r="F11" s="350">
        <v>0</v>
      </c>
      <c r="G11" s="72">
        <f t="shared" si="0"/>
        <v>0</v>
      </c>
      <c r="H11" s="71">
        <v>0</v>
      </c>
      <c r="I11" s="6">
        <v>0</v>
      </c>
      <c r="J11" s="72">
        <f t="shared" si="1"/>
        <v>0</v>
      </c>
      <c r="K11" s="72">
        <f t="shared" si="2"/>
        <v>0</v>
      </c>
      <c r="L11" s="170">
        <v>0</v>
      </c>
      <c r="M11" s="156">
        <f t="shared" si="3"/>
        <v>31182.404200000019</v>
      </c>
      <c r="N11" s="50" t="s">
        <v>152</v>
      </c>
    </row>
    <row r="12" spans="1:18">
      <c r="A12" s="50">
        <v>9</v>
      </c>
      <c r="B12" s="234">
        <v>45939</v>
      </c>
      <c r="C12" s="6"/>
      <c r="D12" s="6"/>
      <c r="E12" s="71">
        <v>21.83</v>
      </c>
      <c r="F12" s="350">
        <v>91.62</v>
      </c>
      <c r="G12" s="72">
        <f t="shared" si="0"/>
        <v>2000.0645999999999</v>
      </c>
      <c r="H12" s="71">
        <v>0</v>
      </c>
      <c r="I12" s="6">
        <v>0</v>
      </c>
      <c r="J12" s="72">
        <f t="shared" si="1"/>
        <v>0</v>
      </c>
      <c r="K12" s="72">
        <f t="shared" si="2"/>
        <v>2000.0645999999999</v>
      </c>
      <c r="L12" s="170">
        <v>0</v>
      </c>
      <c r="M12" s="156">
        <f t="shared" si="3"/>
        <v>33182.468800000017</v>
      </c>
      <c r="N12" s="50" t="s">
        <v>152</v>
      </c>
      <c r="R12" s="255"/>
    </row>
    <row r="13" spans="1:18">
      <c r="A13" s="50">
        <v>10</v>
      </c>
      <c r="B13" s="234">
        <v>45940</v>
      </c>
      <c r="C13" s="6"/>
      <c r="D13" s="6"/>
      <c r="E13" s="71">
        <v>49.11</v>
      </c>
      <c r="F13" s="350">
        <v>91.62</v>
      </c>
      <c r="G13" s="72">
        <f t="shared" si="0"/>
        <v>4499.4582</v>
      </c>
      <c r="H13" s="71">
        <v>5.25</v>
      </c>
      <c r="I13" s="6">
        <v>103.57</v>
      </c>
      <c r="J13" s="72">
        <f t="shared" si="1"/>
        <v>543.74249999999995</v>
      </c>
      <c r="K13" s="72">
        <f t="shared" si="2"/>
        <v>5043.2007000000003</v>
      </c>
      <c r="L13" s="170">
        <v>0</v>
      </c>
      <c r="M13" s="156">
        <f t="shared" si="3"/>
        <v>38225.669500000018</v>
      </c>
      <c r="N13" s="50" t="s">
        <v>152</v>
      </c>
    </row>
    <row r="14" spans="1:18">
      <c r="A14" s="50">
        <v>11</v>
      </c>
      <c r="B14" s="234">
        <v>45941</v>
      </c>
      <c r="C14" s="6"/>
      <c r="D14" s="6"/>
      <c r="E14" s="71">
        <v>0</v>
      </c>
      <c r="F14" s="350">
        <v>0</v>
      </c>
      <c r="G14" s="72">
        <f t="shared" si="0"/>
        <v>0</v>
      </c>
      <c r="H14" s="71">
        <v>0</v>
      </c>
      <c r="I14" s="6">
        <v>0</v>
      </c>
      <c r="J14" s="72">
        <f t="shared" si="1"/>
        <v>0</v>
      </c>
      <c r="K14" s="72">
        <f t="shared" si="2"/>
        <v>0</v>
      </c>
      <c r="L14" s="170">
        <v>0</v>
      </c>
      <c r="M14" s="156">
        <f t="shared" si="3"/>
        <v>38225.669500000018</v>
      </c>
      <c r="N14" s="50" t="s">
        <v>152</v>
      </c>
    </row>
    <row r="15" spans="1:18">
      <c r="A15" s="50">
        <v>12</v>
      </c>
      <c r="B15" s="234">
        <v>45942</v>
      </c>
      <c r="C15" s="6"/>
      <c r="D15" s="6"/>
      <c r="E15" s="71">
        <v>49.11</v>
      </c>
      <c r="F15" s="350">
        <v>91.62</v>
      </c>
      <c r="G15" s="72">
        <f t="shared" si="0"/>
        <v>4499.4582</v>
      </c>
      <c r="H15" s="71">
        <v>0</v>
      </c>
      <c r="I15" s="6">
        <v>0</v>
      </c>
      <c r="J15" s="72">
        <f t="shared" si="1"/>
        <v>0</v>
      </c>
      <c r="K15" s="72">
        <f t="shared" si="2"/>
        <v>4499.4582</v>
      </c>
      <c r="L15" s="170">
        <v>0</v>
      </c>
      <c r="M15" s="156">
        <f t="shared" si="3"/>
        <v>42725.127700000019</v>
      </c>
      <c r="N15" s="50" t="s">
        <v>152</v>
      </c>
    </row>
    <row r="16" spans="1:18">
      <c r="A16" s="50">
        <v>13</v>
      </c>
      <c r="B16" s="234">
        <v>45943</v>
      </c>
      <c r="C16" s="6"/>
      <c r="D16" s="6"/>
      <c r="E16" s="71">
        <v>87.32</v>
      </c>
      <c r="F16" s="350">
        <v>91.62</v>
      </c>
      <c r="G16" s="72">
        <f t="shared" si="0"/>
        <v>8000.2583999999997</v>
      </c>
      <c r="H16" s="71">
        <v>0</v>
      </c>
      <c r="I16" s="6">
        <v>0</v>
      </c>
      <c r="J16" s="72">
        <f t="shared" si="1"/>
        <v>0</v>
      </c>
      <c r="K16" s="72">
        <f t="shared" si="2"/>
        <v>8000.2583999999997</v>
      </c>
      <c r="L16" s="170">
        <v>0</v>
      </c>
      <c r="M16" s="156">
        <f t="shared" si="3"/>
        <v>50725.386100000018</v>
      </c>
      <c r="N16" s="50" t="s">
        <v>152</v>
      </c>
    </row>
    <row r="17" spans="1:14">
      <c r="A17" s="50">
        <v>14</v>
      </c>
      <c r="B17" s="234">
        <v>45944</v>
      </c>
      <c r="C17" s="6"/>
      <c r="D17" s="6"/>
      <c r="E17" s="71">
        <v>100</v>
      </c>
      <c r="F17" s="350">
        <v>91.62</v>
      </c>
      <c r="G17" s="72">
        <f t="shared" si="0"/>
        <v>9162</v>
      </c>
      <c r="H17" s="71">
        <v>0</v>
      </c>
      <c r="I17" s="6">
        <v>0</v>
      </c>
      <c r="J17" s="72">
        <f t="shared" si="1"/>
        <v>0</v>
      </c>
      <c r="K17" s="72">
        <f t="shared" si="2"/>
        <v>9162</v>
      </c>
      <c r="L17" s="170">
        <v>0</v>
      </c>
      <c r="M17" s="156">
        <f t="shared" si="3"/>
        <v>59887.386100000018</v>
      </c>
      <c r="N17" s="50" t="s">
        <v>152</v>
      </c>
    </row>
    <row r="18" spans="1:14">
      <c r="A18" s="50">
        <v>15</v>
      </c>
      <c r="B18" s="234">
        <v>45945</v>
      </c>
      <c r="C18" s="6"/>
      <c r="D18" s="6"/>
      <c r="E18" s="71">
        <v>27.29</v>
      </c>
      <c r="F18" s="350">
        <v>91.62</v>
      </c>
      <c r="G18" s="72">
        <f t="shared" si="0"/>
        <v>2500.3098</v>
      </c>
      <c r="H18" s="71">
        <v>4.83</v>
      </c>
      <c r="I18" s="6">
        <v>103.47</v>
      </c>
      <c r="J18" s="72">
        <f t="shared" si="1"/>
        <v>499.76010000000002</v>
      </c>
      <c r="K18" s="72">
        <f t="shared" si="2"/>
        <v>3000.0699</v>
      </c>
      <c r="L18" s="170">
        <v>0</v>
      </c>
      <c r="M18" s="156">
        <f t="shared" si="3"/>
        <v>62887.45600000002</v>
      </c>
      <c r="N18" s="50" t="s">
        <v>152</v>
      </c>
    </row>
    <row r="19" spans="1:14">
      <c r="A19" s="50">
        <v>16</v>
      </c>
      <c r="B19" s="234">
        <v>45946</v>
      </c>
      <c r="C19" s="6"/>
      <c r="D19" s="6"/>
      <c r="E19" s="71">
        <v>10.91</v>
      </c>
      <c r="F19" s="350">
        <v>91.62</v>
      </c>
      <c r="G19" s="72">
        <f t="shared" si="0"/>
        <v>999.57420000000002</v>
      </c>
      <c r="H19" s="71">
        <v>0</v>
      </c>
      <c r="I19" s="6">
        <v>0</v>
      </c>
      <c r="J19" s="72">
        <f t="shared" si="1"/>
        <v>0</v>
      </c>
      <c r="K19" s="72">
        <f t="shared" si="2"/>
        <v>999.57420000000002</v>
      </c>
      <c r="L19" s="170">
        <v>50000</v>
      </c>
      <c r="M19" s="156">
        <f t="shared" si="3"/>
        <v>13887.030200000023</v>
      </c>
      <c r="N19" s="50" t="s">
        <v>152</v>
      </c>
    </row>
    <row r="20" spans="1:14">
      <c r="A20" s="50">
        <v>17</v>
      </c>
      <c r="B20" s="234">
        <v>45947</v>
      </c>
      <c r="C20" s="6"/>
      <c r="D20" s="6"/>
      <c r="E20" s="71">
        <v>40</v>
      </c>
      <c r="F20" s="350">
        <v>91.62</v>
      </c>
      <c r="G20" s="72">
        <f t="shared" si="0"/>
        <v>3664.8</v>
      </c>
      <c r="H20" s="71">
        <v>0</v>
      </c>
      <c r="I20" s="6">
        <v>0</v>
      </c>
      <c r="J20" s="72">
        <f t="shared" si="1"/>
        <v>0</v>
      </c>
      <c r="K20" s="72">
        <f t="shared" si="2"/>
        <v>3664.8</v>
      </c>
      <c r="L20" s="170">
        <v>0</v>
      </c>
      <c r="M20" s="156">
        <f t="shared" si="3"/>
        <v>17551.830200000022</v>
      </c>
      <c r="N20" s="50" t="s">
        <v>152</v>
      </c>
    </row>
    <row r="21" spans="1:14">
      <c r="A21" s="50">
        <v>18</v>
      </c>
      <c r="B21" s="234">
        <v>45948</v>
      </c>
      <c r="C21" s="6"/>
      <c r="D21" s="6"/>
      <c r="E21" s="71">
        <v>0</v>
      </c>
      <c r="F21" s="350">
        <v>0</v>
      </c>
      <c r="G21" s="72">
        <f t="shared" si="0"/>
        <v>0</v>
      </c>
      <c r="H21" s="71">
        <v>0</v>
      </c>
      <c r="I21" s="6">
        <v>0</v>
      </c>
      <c r="J21" s="72">
        <f t="shared" si="1"/>
        <v>0</v>
      </c>
      <c r="K21" s="72">
        <f t="shared" si="2"/>
        <v>0</v>
      </c>
      <c r="L21" s="170">
        <v>0</v>
      </c>
      <c r="M21" s="156">
        <f t="shared" si="3"/>
        <v>17551.830200000022</v>
      </c>
      <c r="N21" s="50" t="s">
        <v>152</v>
      </c>
    </row>
    <row r="22" spans="1:14">
      <c r="A22" s="50">
        <v>19</v>
      </c>
      <c r="B22" s="234">
        <v>45949</v>
      </c>
      <c r="C22" s="6"/>
      <c r="D22" s="6"/>
      <c r="E22" s="71">
        <v>0</v>
      </c>
      <c r="F22" s="350">
        <v>0</v>
      </c>
      <c r="G22" s="72">
        <f t="shared" si="0"/>
        <v>0</v>
      </c>
      <c r="H22" s="71">
        <v>0</v>
      </c>
      <c r="I22" s="6">
        <v>0</v>
      </c>
      <c r="J22" s="72">
        <f t="shared" si="1"/>
        <v>0</v>
      </c>
      <c r="K22" s="72">
        <f t="shared" si="2"/>
        <v>0</v>
      </c>
      <c r="L22" s="170">
        <v>0</v>
      </c>
      <c r="M22" s="156">
        <f t="shared" si="3"/>
        <v>17551.830200000022</v>
      </c>
      <c r="N22" s="50" t="s">
        <v>152</v>
      </c>
    </row>
    <row r="23" spans="1:14">
      <c r="A23" s="50">
        <v>20</v>
      </c>
      <c r="B23" s="234">
        <v>45950</v>
      </c>
      <c r="C23" s="6"/>
      <c r="D23" s="6"/>
      <c r="E23" s="71">
        <v>0</v>
      </c>
      <c r="F23" s="350">
        <v>0</v>
      </c>
      <c r="G23" s="72">
        <f t="shared" si="0"/>
        <v>0</v>
      </c>
      <c r="H23" s="71">
        <v>0</v>
      </c>
      <c r="I23" s="6">
        <v>0</v>
      </c>
      <c r="J23" s="72">
        <f t="shared" si="1"/>
        <v>0</v>
      </c>
      <c r="K23" s="72">
        <f t="shared" si="2"/>
        <v>0</v>
      </c>
      <c r="L23" s="170">
        <v>0</v>
      </c>
      <c r="M23" s="156">
        <f t="shared" si="3"/>
        <v>17551.830200000022</v>
      </c>
      <c r="N23" s="50"/>
    </row>
    <row r="24" spans="1:14">
      <c r="A24" s="50">
        <v>21</v>
      </c>
      <c r="B24" s="234">
        <v>45951</v>
      </c>
      <c r="C24" s="6"/>
      <c r="D24" s="6"/>
      <c r="E24" s="71">
        <v>0</v>
      </c>
      <c r="F24" s="350">
        <v>0</v>
      </c>
      <c r="G24" s="72">
        <f t="shared" si="0"/>
        <v>0</v>
      </c>
      <c r="H24" s="71">
        <v>9.66</v>
      </c>
      <c r="I24" s="6">
        <v>103.47</v>
      </c>
      <c r="J24" s="72">
        <f t="shared" si="1"/>
        <v>999.52020000000005</v>
      </c>
      <c r="K24" s="72">
        <f t="shared" si="2"/>
        <v>999.52020000000005</v>
      </c>
      <c r="L24" s="170">
        <v>0</v>
      </c>
      <c r="M24" s="156">
        <f>M23+K24-L24</f>
        <v>18551.350400000021</v>
      </c>
      <c r="N24" s="50"/>
    </row>
    <row r="25" spans="1:14">
      <c r="A25" s="50">
        <v>22</v>
      </c>
      <c r="B25" s="234">
        <v>45952</v>
      </c>
      <c r="C25" s="6"/>
      <c r="D25" s="6"/>
      <c r="E25" s="71">
        <v>0</v>
      </c>
      <c r="F25" s="350">
        <v>0</v>
      </c>
      <c r="G25" s="72">
        <f t="shared" si="0"/>
        <v>0</v>
      </c>
      <c r="H25" s="71">
        <v>0</v>
      </c>
      <c r="I25" s="6">
        <v>0</v>
      </c>
      <c r="J25" s="72">
        <f t="shared" si="1"/>
        <v>0</v>
      </c>
      <c r="K25" s="72">
        <f t="shared" si="2"/>
        <v>0</v>
      </c>
      <c r="L25" s="170">
        <v>0</v>
      </c>
      <c r="M25" s="156">
        <f t="shared" si="3"/>
        <v>18551.350400000021</v>
      </c>
      <c r="N25" s="50"/>
    </row>
    <row r="26" spans="1:14">
      <c r="A26" s="50">
        <v>23</v>
      </c>
      <c r="B26" s="234">
        <v>45953</v>
      </c>
      <c r="C26" s="6"/>
      <c r="D26" s="6"/>
      <c r="E26" s="71">
        <v>0</v>
      </c>
      <c r="F26" s="350">
        <v>0</v>
      </c>
      <c r="G26" s="72">
        <f t="shared" si="0"/>
        <v>0</v>
      </c>
      <c r="H26" s="71">
        <v>0</v>
      </c>
      <c r="I26" s="6">
        <v>0</v>
      </c>
      <c r="J26" s="72">
        <f t="shared" si="1"/>
        <v>0</v>
      </c>
      <c r="K26" s="72">
        <f t="shared" si="2"/>
        <v>0</v>
      </c>
      <c r="L26" s="170">
        <v>0</v>
      </c>
      <c r="M26" s="156">
        <f t="shared" si="3"/>
        <v>18551.350400000021</v>
      </c>
      <c r="N26" s="6"/>
    </row>
    <row r="27" spans="1:14">
      <c r="A27" s="50">
        <v>24</v>
      </c>
      <c r="B27" s="234">
        <v>45954</v>
      </c>
      <c r="C27" s="6"/>
      <c r="D27" s="6"/>
      <c r="E27" s="71">
        <v>25</v>
      </c>
      <c r="F27" s="350">
        <v>91.62</v>
      </c>
      <c r="G27" s="72">
        <f t="shared" si="0"/>
        <v>2290.5</v>
      </c>
      <c r="H27" s="71">
        <v>0</v>
      </c>
      <c r="I27" s="6">
        <v>0</v>
      </c>
      <c r="J27" s="72">
        <f t="shared" si="1"/>
        <v>0</v>
      </c>
      <c r="K27" s="72">
        <f t="shared" si="2"/>
        <v>2290.5</v>
      </c>
      <c r="L27" s="170">
        <v>0</v>
      </c>
      <c r="M27" s="156">
        <f t="shared" si="3"/>
        <v>20841.850400000021</v>
      </c>
      <c r="N27" s="6"/>
    </row>
    <row r="28" spans="1:14">
      <c r="A28" s="236">
        <v>25</v>
      </c>
      <c r="B28" s="234">
        <v>45955</v>
      </c>
      <c r="C28" s="6"/>
      <c r="D28" s="6"/>
      <c r="E28" s="71">
        <v>0</v>
      </c>
      <c r="F28" s="350">
        <v>0</v>
      </c>
      <c r="G28" s="72">
        <f t="shared" si="0"/>
        <v>0</v>
      </c>
      <c r="H28" s="71">
        <v>0</v>
      </c>
      <c r="I28" s="6">
        <v>0</v>
      </c>
      <c r="J28" s="72">
        <f t="shared" si="1"/>
        <v>0</v>
      </c>
      <c r="K28" s="72">
        <f t="shared" si="2"/>
        <v>0</v>
      </c>
      <c r="L28" s="170">
        <v>0</v>
      </c>
      <c r="M28" s="156">
        <f t="shared" si="3"/>
        <v>20841.850400000021</v>
      </c>
      <c r="N28" s="6"/>
    </row>
    <row r="29" spans="1:14">
      <c r="A29" s="236">
        <v>26</v>
      </c>
      <c r="B29" s="234">
        <v>45956</v>
      </c>
      <c r="C29" s="6"/>
      <c r="D29" s="6"/>
      <c r="E29" s="71">
        <v>0</v>
      </c>
      <c r="F29" s="350">
        <v>0</v>
      </c>
      <c r="G29" s="72">
        <f t="shared" si="0"/>
        <v>0</v>
      </c>
      <c r="H29" s="71">
        <v>0</v>
      </c>
      <c r="I29" s="6">
        <v>0</v>
      </c>
      <c r="J29" s="72">
        <f t="shared" si="1"/>
        <v>0</v>
      </c>
      <c r="K29" s="72">
        <f t="shared" si="2"/>
        <v>0</v>
      </c>
      <c r="L29" s="170">
        <v>0</v>
      </c>
      <c r="M29" s="156">
        <f t="shared" si="3"/>
        <v>20841.850400000021</v>
      </c>
      <c r="N29" s="6"/>
    </row>
    <row r="30" spans="1:14">
      <c r="A30" s="236">
        <v>27</v>
      </c>
      <c r="B30" s="234">
        <v>45957</v>
      </c>
      <c r="C30" s="6"/>
      <c r="D30" s="6"/>
      <c r="E30" s="71">
        <v>16.37</v>
      </c>
      <c r="F30" s="350">
        <v>91.62</v>
      </c>
      <c r="G30" s="72">
        <f t="shared" si="0"/>
        <v>1499.8194000000001</v>
      </c>
      <c r="H30" s="71">
        <v>0</v>
      </c>
      <c r="I30" s="6">
        <v>0</v>
      </c>
      <c r="J30" s="72">
        <f t="shared" si="1"/>
        <v>0</v>
      </c>
      <c r="K30" s="72">
        <f t="shared" si="2"/>
        <v>1499.8194000000001</v>
      </c>
      <c r="L30" s="170">
        <v>0</v>
      </c>
      <c r="M30" s="156">
        <f t="shared" si="3"/>
        <v>22341.669800000021</v>
      </c>
      <c r="N30" s="6"/>
    </row>
    <row r="31" spans="1:14">
      <c r="A31" s="236">
        <v>28</v>
      </c>
      <c r="B31" s="234">
        <v>45958</v>
      </c>
      <c r="C31" s="6"/>
      <c r="D31" s="6"/>
      <c r="E31" s="71">
        <v>0</v>
      </c>
      <c r="F31" s="350">
        <v>0</v>
      </c>
      <c r="G31" s="72">
        <f t="shared" si="0"/>
        <v>0</v>
      </c>
      <c r="H31" s="71">
        <v>4.83</v>
      </c>
      <c r="I31" s="6">
        <v>103.47</v>
      </c>
      <c r="J31" s="72">
        <f t="shared" si="1"/>
        <v>499.76010000000002</v>
      </c>
      <c r="K31" s="72">
        <f t="shared" si="2"/>
        <v>499.76010000000002</v>
      </c>
      <c r="L31" s="170">
        <v>0</v>
      </c>
      <c r="M31" s="156">
        <f t="shared" si="3"/>
        <v>22841.429900000021</v>
      </c>
      <c r="N31" s="6"/>
    </row>
    <row r="32" spans="1:14">
      <c r="A32" s="237">
        <v>29</v>
      </c>
      <c r="B32" s="234">
        <v>45959</v>
      </c>
      <c r="C32" s="6"/>
      <c r="D32" s="6"/>
      <c r="E32" s="71">
        <v>0</v>
      </c>
      <c r="F32" s="350">
        <v>0</v>
      </c>
      <c r="G32" s="72">
        <f t="shared" si="0"/>
        <v>0</v>
      </c>
      <c r="H32" s="71">
        <v>0</v>
      </c>
      <c r="I32" s="6">
        <v>0</v>
      </c>
      <c r="J32" s="72">
        <f t="shared" si="1"/>
        <v>0</v>
      </c>
      <c r="K32" s="72">
        <f t="shared" si="2"/>
        <v>0</v>
      </c>
      <c r="L32" s="170">
        <v>0</v>
      </c>
      <c r="M32" s="156">
        <f t="shared" si="3"/>
        <v>22841.429900000021</v>
      </c>
      <c r="N32" s="6"/>
    </row>
    <row r="33" spans="1:17">
      <c r="A33" s="237">
        <v>30</v>
      </c>
      <c r="B33" s="234">
        <v>45960</v>
      </c>
      <c r="C33" s="6"/>
      <c r="D33" s="6"/>
      <c r="E33" s="71">
        <v>0</v>
      </c>
      <c r="F33" s="350">
        <v>0</v>
      </c>
      <c r="G33" s="72">
        <f t="shared" si="0"/>
        <v>0</v>
      </c>
      <c r="H33" s="71">
        <v>6.62</v>
      </c>
      <c r="I33" s="6">
        <v>103.47</v>
      </c>
      <c r="J33" s="72">
        <f t="shared" si="1"/>
        <v>684.97140000000002</v>
      </c>
      <c r="K33" s="72">
        <f t="shared" si="2"/>
        <v>684.97140000000002</v>
      </c>
      <c r="L33" s="170">
        <v>0</v>
      </c>
      <c r="M33" s="156">
        <f t="shared" si="3"/>
        <v>23526.40130000002</v>
      </c>
      <c r="N33" s="6"/>
    </row>
    <row r="34" spans="1:17">
      <c r="A34" s="237">
        <v>31</v>
      </c>
      <c r="B34" s="234"/>
      <c r="C34" s="6"/>
      <c r="D34" s="6"/>
      <c r="E34" s="71">
        <v>0</v>
      </c>
      <c r="F34" s="350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170">
        <v>0</v>
      </c>
      <c r="M34" s="156">
        <f t="shared" ref="M34:M39" si="4">M33+K34-L34</f>
        <v>23526.40130000002</v>
      </c>
      <c r="N34" s="6"/>
    </row>
    <row r="35" spans="1:17">
      <c r="A35" s="6">
        <v>35</v>
      </c>
      <c r="B35" s="84"/>
      <c r="C35" s="6"/>
      <c r="D35" s="6"/>
      <c r="E35" s="71">
        <v>0</v>
      </c>
      <c r="F35" s="350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170">
        <v>0</v>
      </c>
      <c r="M35" s="156">
        <f t="shared" si="4"/>
        <v>23526.40130000002</v>
      </c>
      <c r="N35" s="6"/>
    </row>
    <row r="36" spans="1:17">
      <c r="A36" s="6">
        <v>36</v>
      </c>
      <c r="B36" s="84"/>
      <c r="C36" s="6"/>
      <c r="D36" s="6"/>
      <c r="E36" s="71">
        <v>0</v>
      </c>
      <c r="F36" s="350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4"/>
        <v>23526.40130000002</v>
      </c>
      <c r="N36" s="6"/>
    </row>
    <row r="37" spans="1:17">
      <c r="A37" s="6">
        <v>37</v>
      </c>
      <c r="B37" s="84"/>
      <c r="C37" s="6"/>
      <c r="D37" s="6"/>
      <c r="E37" s="71">
        <v>0</v>
      </c>
      <c r="F37" s="350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4"/>
        <v>23526.40130000002</v>
      </c>
      <c r="N37" s="6"/>
    </row>
    <row r="38" spans="1:17">
      <c r="A38" s="6">
        <v>38</v>
      </c>
      <c r="B38" s="84"/>
      <c r="C38" s="6"/>
      <c r="D38" s="6"/>
      <c r="E38" s="71">
        <v>0</v>
      </c>
      <c r="F38" s="350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4"/>
        <v>23526.40130000002</v>
      </c>
      <c r="N38" s="6"/>
    </row>
    <row r="39" spans="1:17">
      <c r="A39" s="178">
        <v>39</v>
      </c>
      <c r="B39" s="179"/>
      <c r="C39" s="178"/>
      <c r="D39" s="6"/>
      <c r="E39" s="71">
        <v>0</v>
      </c>
      <c r="F39" s="350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4"/>
        <v>23526.40130000002</v>
      </c>
      <c r="N39" s="178"/>
    </row>
    <row r="40" spans="1:17">
      <c r="A40" s="6">
        <v>40</v>
      </c>
      <c r="B40" s="6"/>
      <c r="C40" s="6"/>
      <c r="D40" s="6"/>
      <c r="E40" s="71">
        <v>0</v>
      </c>
      <c r="F40" s="350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v>0</v>
      </c>
      <c r="N40" s="6"/>
    </row>
    <row r="41" spans="1:17">
      <c r="A41" s="178">
        <v>41</v>
      </c>
      <c r="B41" s="178"/>
      <c r="C41" s="178"/>
      <c r="D41" s="6"/>
      <c r="E41" s="71">
        <v>0</v>
      </c>
      <c r="F41" s="350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82">
        <v>0</v>
      </c>
      <c r="N41" s="178"/>
    </row>
    <row r="42" spans="1:17">
      <c r="A42" s="178">
        <v>42</v>
      </c>
      <c r="B42" s="178"/>
      <c r="C42" s="178"/>
      <c r="D42" s="6"/>
      <c r="E42" s="71">
        <v>0</v>
      </c>
      <c r="F42" s="6">
        <v>0</v>
      </c>
      <c r="G42" s="72">
        <f t="shared" ref="G42" si="5">E42*F42</f>
        <v>0</v>
      </c>
      <c r="H42" s="71"/>
      <c r="I42" s="6"/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182">
        <v>0</v>
      </c>
      <c r="N42" s="178"/>
    </row>
    <row r="43" spans="1:17">
      <c r="A43" s="68"/>
      <c r="B43" s="68"/>
      <c r="C43" s="68"/>
      <c r="D43" s="68"/>
      <c r="E43" s="69">
        <f>SUM(E4:E42)</f>
        <v>541.55000000000007</v>
      </c>
      <c r="F43" s="69"/>
      <c r="G43" s="69">
        <f>SUM(G4:G42)</f>
        <v>49616.811000000009</v>
      </c>
      <c r="H43" s="69">
        <f>SUM(H4:H42)</f>
        <v>42.17</v>
      </c>
      <c r="I43" s="69"/>
      <c r="J43" s="69">
        <f>SUM(J4:J42)</f>
        <v>4364.9529000000002</v>
      </c>
      <c r="K43" s="69">
        <f>SUM(K4:K42)</f>
        <v>53981.763900000005</v>
      </c>
      <c r="L43" s="69">
        <f>SUM(L4:L42)</f>
        <v>50000</v>
      </c>
      <c r="M43" s="69"/>
      <c r="N43" s="69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V49"/>
  <sheetViews>
    <sheetView topLeftCell="A5" workbookViewId="0">
      <selection activeCell="I55" sqref="I55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36" t="s">
        <v>86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"/>
    </row>
    <row r="2" spans="1:15" ht="30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91" t="s">
        <v>110</v>
      </c>
      <c r="N2" s="89" t="s">
        <v>107</v>
      </c>
      <c r="O2" s="5"/>
    </row>
    <row r="3" spans="1:15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2"/>
      <c r="M3" s="453">
        <v>30403.0242</v>
      </c>
      <c r="N3" s="454"/>
      <c r="O3" s="5"/>
    </row>
    <row r="4" spans="1:15">
      <c r="A4" s="208">
        <v>1</v>
      </c>
      <c r="B4" s="234" t="s">
        <v>179</v>
      </c>
      <c r="C4" s="6"/>
      <c r="D4" s="6"/>
      <c r="E4" s="71">
        <v>0</v>
      </c>
      <c r="F4" s="6">
        <v>0</v>
      </c>
      <c r="G4" s="72">
        <f>E4*F4</f>
        <v>0</v>
      </c>
      <c r="H4" s="71">
        <v>5</v>
      </c>
      <c r="I4" s="6">
        <v>103.39</v>
      </c>
      <c r="J4" s="72">
        <f>H4*I4</f>
        <v>516.95000000000005</v>
      </c>
      <c r="K4" s="72">
        <f>G4+J4</f>
        <v>516.95000000000005</v>
      </c>
      <c r="L4" s="325">
        <v>0</v>
      </c>
      <c r="M4" s="156">
        <f>M3+K4-L4</f>
        <v>30919.974200000001</v>
      </c>
      <c r="N4" s="50" t="s">
        <v>152</v>
      </c>
      <c r="O4" s="5"/>
    </row>
    <row r="5" spans="1:15">
      <c r="A5" s="50">
        <v>2</v>
      </c>
      <c r="B5" s="234" t="s">
        <v>178</v>
      </c>
      <c r="C5" s="6"/>
      <c r="D5" s="6"/>
      <c r="E5" s="71">
        <v>35</v>
      </c>
      <c r="F5" s="6">
        <v>91.45</v>
      </c>
      <c r="G5" s="72">
        <f>E5*F5</f>
        <v>3200.75</v>
      </c>
      <c r="H5" s="71">
        <v>0</v>
      </c>
      <c r="I5" s="6">
        <v>0</v>
      </c>
      <c r="J5" s="72">
        <f t="shared" ref="J5:J44" si="0">H5*I5</f>
        <v>0</v>
      </c>
      <c r="K5" s="72">
        <f t="shared" ref="K5:K44" si="1">G5+J5</f>
        <v>3200.75</v>
      </c>
      <c r="L5" s="325">
        <v>0</v>
      </c>
      <c r="M5" s="156">
        <f t="shared" ref="M5:M46" si="2">M4+K5-L5</f>
        <v>34120.724199999997</v>
      </c>
      <c r="N5" s="50" t="s">
        <v>152</v>
      </c>
      <c r="O5" s="5"/>
    </row>
    <row r="6" spans="1:15">
      <c r="A6" s="50">
        <v>3</v>
      </c>
      <c r="B6" s="234" t="s">
        <v>157</v>
      </c>
      <c r="C6" s="6"/>
      <c r="D6" s="6"/>
      <c r="E6" s="71">
        <v>54.67</v>
      </c>
      <c r="F6" s="6">
        <v>91.45</v>
      </c>
      <c r="G6" s="72">
        <f t="shared" ref="G6:G44" si="3">E6*F6</f>
        <v>4999.5715</v>
      </c>
      <c r="H6" s="71">
        <v>0</v>
      </c>
      <c r="I6" s="6">
        <v>0</v>
      </c>
      <c r="J6" s="72">
        <f t="shared" si="0"/>
        <v>0</v>
      </c>
      <c r="K6" s="72">
        <f t="shared" si="1"/>
        <v>4999.5715</v>
      </c>
      <c r="L6" s="325">
        <v>0</v>
      </c>
      <c r="M6" s="156">
        <f t="shared" si="2"/>
        <v>39120.295699999995</v>
      </c>
      <c r="N6" s="50" t="s">
        <v>152</v>
      </c>
      <c r="O6" s="5"/>
    </row>
    <row r="7" spans="1:15">
      <c r="A7" s="208">
        <v>4</v>
      </c>
      <c r="B7" s="234" t="s">
        <v>158</v>
      </c>
      <c r="C7" s="6"/>
      <c r="D7" s="6"/>
      <c r="E7" s="71">
        <v>113</v>
      </c>
      <c r="F7" s="6">
        <v>91.45</v>
      </c>
      <c r="G7" s="72">
        <f t="shared" si="3"/>
        <v>10333.85</v>
      </c>
      <c r="H7" s="71">
        <v>0</v>
      </c>
      <c r="I7" s="6">
        <v>0</v>
      </c>
      <c r="J7" s="72">
        <f t="shared" si="0"/>
        <v>0</v>
      </c>
      <c r="K7" s="72">
        <f t="shared" si="1"/>
        <v>10333.85</v>
      </c>
      <c r="L7" s="325">
        <v>40000</v>
      </c>
      <c r="M7" s="156">
        <f t="shared" si="2"/>
        <v>9454.1456999999937</v>
      </c>
      <c r="N7" s="50" t="s">
        <v>152</v>
      </c>
      <c r="O7" s="5"/>
    </row>
    <row r="8" spans="1:15">
      <c r="A8" s="50">
        <v>5</v>
      </c>
      <c r="B8" s="234" t="s">
        <v>159</v>
      </c>
      <c r="C8" s="6"/>
      <c r="D8" s="6"/>
      <c r="E8" s="71">
        <v>15</v>
      </c>
      <c r="F8" s="6">
        <v>91.45</v>
      </c>
      <c r="G8" s="72">
        <f t="shared" si="3"/>
        <v>1371.75</v>
      </c>
      <c r="H8" s="71">
        <v>9.84</v>
      </c>
      <c r="I8" s="6">
        <v>103.39</v>
      </c>
      <c r="J8" s="72">
        <f t="shared" si="0"/>
        <v>1017.3576</v>
      </c>
      <c r="K8" s="72">
        <f t="shared" si="1"/>
        <v>2389.1076000000003</v>
      </c>
      <c r="L8" s="325">
        <v>0</v>
      </c>
      <c r="M8" s="156">
        <f t="shared" si="2"/>
        <v>11843.253299999993</v>
      </c>
      <c r="N8" s="50" t="s">
        <v>152</v>
      </c>
      <c r="O8" s="5"/>
    </row>
    <row r="9" spans="1:15">
      <c r="A9" s="50">
        <v>6</v>
      </c>
      <c r="B9" s="234" t="s">
        <v>160</v>
      </c>
      <c r="C9" s="6"/>
      <c r="D9" s="6"/>
      <c r="E9" s="71">
        <v>70</v>
      </c>
      <c r="F9" s="6">
        <v>91.45</v>
      </c>
      <c r="G9" s="72">
        <f t="shared" si="3"/>
        <v>6401.5</v>
      </c>
      <c r="H9" s="71">
        <v>0</v>
      </c>
      <c r="I9" s="6">
        <v>0</v>
      </c>
      <c r="J9" s="72">
        <f t="shared" si="0"/>
        <v>0</v>
      </c>
      <c r="K9" s="72">
        <f t="shared" si="1"/>
        <v>6401.5</v>
      </c>
      <c r="L9" s="325">
        <v>0</v>
      </c>
      <c r="M9" s="156">
        <f t="shared" si="2"/>
        <v>18244.753299999993</v>
      </c>
      <c r="N9" s="50" t="s">
        <v>152</v>
      </c>
      <c r="O9" s="5"/>
    </row>
    <row r="10" spans="1:15">
      <c r="A10" s="208">
        <v>7</v>
      </c>
      <c r="B10" s="234" t="s">
        <v>161</v>
      </c>
      <c r="C10" s="6"/>
      <c r="D10" s="6"/>
      <c r="E10" s="71">
        <v>110</v>
      </c>
      <c r="F10" s="6">
        <v>91.45</v>
      </c>
      <c r="G10" s="72">
        <f t="shared" si="3"/>
        <v>10059.5</v>
      </c>
      <c r="H10" s="71">
        <v>0</v>
      </c>
      <c r="I10" s="6">
        <v>0</v>
      </c>
      <c r="J10" s="72">
        <f t="shared" si="0"/>
        <v>0</v>
      </c>
      <c r="K10" s="72">
        <f t="shared" si="1"/>
        <v>10059.5</v>
      </c>
      <c r="L10" s="325">
        <v>0</v>
      </c>
      <c r="M10" s="156">
        <f t="shared" si="2"/>
        <v>28304.253299999993</v>
      </c>
      <c r="N10" s="50" t="s">
        <v>152</v>
      </c>
      <c r="O10" s="5"/>
    </row>
    <row r="11" spans="1:15">
      <c r="A11" s="50">
        <v>8</v>
      </c>
      <c r="B11" s="234" t="s">
        <v>162</v>
      </c>
      <c r="C11" s="6"/>
      <c r="D11" s="6"/>
      <c r="E11" s="350">
        <f>35+35+54.67</f>
        <v>124.67</v>
      </c>
      <c r="F11" s="350">
        <v>91.45</v>
      </c>
      <c r="G11" s="72">
        <f t="shared" si="3"/>
        <v>11401.0715</v>
      </c>
      <c r="H11" s="71">
        <v>0</v>
      </c>
      <c r="I11" s="6">
        <v>0</v>
      </c>
      <c r="J11" s="72">
        <f t="shared" si="0"/>
        <v>0</v>
      </c>
      <c r="K11" s="72">
        <f t="shared" si="1"/>
        <v>11401.0715</v>
      </c>
      <c r="L11" s="325">
        <v>0</v>
      </c>
      <c r="M11" s="156">
        <f t="shared" si="2"/>
        <v>39705.324799999995</v>
      </c>
      <c r="N11" s="50" t="s">
        <v>152</v>
      </c>
      <c r="O11" s="5"/>
    </row>
    <row r="12" spans="1:15">
      <c r="A12" s="50">
        <v>9</v>
      </c>
      <c r="B12" s="234" t="s">
        <v>163</v>
      </c>
      <c r="C12" s="6"/>
      <c r="D12" s="6"/>
      <c r="E12" s="350">
        <v>25</v>
      </c>
      <c r="F12" s="350">
        <v>91.45</v>
      </c>
      <c r="G12" s="72">
        <f t="shared" si="3"/>
        <v>2286.25</v>
      </c>
      <c r="H12" s="71">
        <v>0</v>
      </c>
      <c r="I12" s="6">
        <v>0</v>
      </c>
      <c r="J12" s="72">
        <f t="shared" si="0"/>
        <v>0</v>
      </c>
      <c r="K12" s="72">
        <f t="shared" si="1"/>
        <v>2286.25</v>
      </c>
      <c r="L12" s="325">
        <v>0</v>
      </c>
      <c r="M12" s="156">
        <f t="shared" si="2"/>
        <v>41991.574799999995</v>
      </c>
      <c r="N12" s="50" t="s">
        <v>152</v>
      </c>
      <c r="O12" s="5"/>
    </row>
    <row r="13" spans="1:15">
      <c r="A13" s="208">
        <v>10</v>
      </c>
      <c r="B13" s="234" t="s">
        <v>164</v>
      </c>
      <c r="C13" s="6"/>
      <c r="D13" s="6"/>
      <c r="E13" s="71">
        <v>70</v>
      </c>
      <c r="F13" s="350">
        <v>91.45</v>
      </c>
      <c r="G13" s="72">
        <f t="shared" si="3"/>
        <v>6401.5</v>
      </c>
      <c r="H13" s="71">
        <v>0</v>
      </c>
      <c r="I13" s="6">
        <v>0</v>
      </c>
      <c r="J13" s="72">
        <f t="shared" si="0"/>
        <v>0</v>
      </c>
      <c r="K13" s="72">
        <f t="shared" si="1"/>
        <v>6401.5</v>
      </c>
      <c r="L13" s="325">
        <v>0</v>
      </c>
      <c r="M13" s="156">
        <f t="shared" si="2"/>
        <v>48393.074799999995</v>
      </c>
      <c r="N13" s="50" t="s">
        <v>152</v>
      </c>
      <c r="O13" s="5"/>
    </row>
    <row r="14" spans="1:15">
      <c r="A14" s="50">
        <v>11</v>
      </c>
      <c r="B14" s="234" t="s">
        <v>180</v>
      </c>
      <c r="C14" s="6"/>
      <c r="D14" s="6"/>
      <c r="E14" s="71">
        <v>0</v>
      </c>
      <c r="F14" s="350">
        <v>0</v>
      </c>
      <c r="G14" s="72">
        <f t="shared" si="3"/>
        <v>0</v>
      </c>
      <c r="H14" s="71">
        <v>0</v>
      </c>
      <c r="I14" s="6">
        <v>103.35</v>
      </c>
      <c r="J14" s="72">
        <f t="shared" si="0"/>
        <v>0</v>
      </c>
      <c r="K14" s="72">
        <f t="shared" si="1"/>
        <v>0</v>
      </c>
      <c r="L14" s="325">
        <v>0</v>
      </c>
      <c r="M14" s="156">
        <f t="shared" si="2"/>
        <v>48393.074799999995</v>
      </c>
      <c r="N14" s="50" t="s">
        <v>152</v>
      </c>
      <c r="O14" s="5"/>
    </row>
    <row r="15" spans="1:15">
      <c r="A15" s="50">
        <v>12</v>
      </c>
      <c r="B15" s="234" t="s">
        <v>166</v>
      </c>
      <c r="C15" s="6"/>
      <c r="D15" s="6"/>
      <c r="E15" s="71">
        <v>0</v>
      </c>
      <c r="F15" s="6">
        <v>0</v>
      </c>
      <c r="G15" s="72">
        <f t="shared" si="3"/>
        <v>0</v>
      </c>
      <c r="H15" s="71">
        <v>0</v>
      </c>
      <c r="I15" s="6">
        <v>0</v>
      </c>
      <c r="J15" s="72">
        <f t="shared" si="0"/>
        <v>0</v>
      </c>
      <c r="K15" s="72">
        <f t="shared" si="1"/>
        <v>0</v>
      </c>
      <c r="L15" s="325">
        <v>48000</v>
      </c>
      <c r="M15" s="156">
        <f t="shared" si="2"/>
        <v>393.07479999999487</v>
      </c>
      <c r="N15" s="50" t="s">
        <v>152</v>
      </c>
      <c r="O15" s="5"/>
    </row>
    <row r="16" spans="1:15">
      <c r="A16" s="208">
        <v>13</v>
      </c>
      <c r="B16" s="234" t="s">
        <v>177</v>
      </c>
      <c r="C16" s="6"/>
      <c r="D16" s="6"/>
      <c r="E16" s="71">
        <v>35</v>
      </c>
      <c r="F16" s="6">
        <v>91.45</v>
      </c>
      <c r="G16" s="72">
        <f t="shared" si="3"/>
        <v>3200.75</v>
      </c>
      <c r="H16" s="71">
        <v>0</v>
      </c>
      <c r="I16" s="6">
        <v>0</v>
      </c>
      <c r="J16" s="72">
        <f t="shared" si="0"/>
        <v>0</v>
      </c>
      <c r="K16" s="72">
        <f t="shared" si="1"/>
        <v>3200.75</v>
      </c>
      <c r="L16" s="325">
        <v>0</v>
      </c>
      <c r="M16" s="156">
        <f t="shared" si="2"/>
        <v>3593.8247999999949</v>
      </c>
      <c r="N16" s="50" t="s">
        <v>152</v>
      </c>
      <c r="O16" s="5"/>
    </row>
    <row r="17" spans="1:22">
      <c r="A17" s="50">
        <v>14</v>
      </c>
      <c r="B17" s="234"/>
      <c r="C17" s="6"/>
      <c r="D17" s="6"/>
      <c r="E17" s="71">
        <v>0</v>
      </c>
      <c r="F17" s="6">
        <v>0</v>
      </c>
      <c r="G17" s="72">
        <f t="shared" si="3"/>
        <v>0</v>
      </c>
      <c r="H17" s="71">
        <v>0</v>
      </c>
      <c r="I17" s="6">
        <v>103.35</v>
      </c>
      <c r="J17" s="72">
        <f t="shared" si="0"/>
        <v>0</v>
      </c>
      <c r="K17" s="72">
        <f t="shared" si="1"/>
        <v>0</v>
      </c>
      <c r="L17" s="325">
        <v>0</v>
      </c>
      <c r="M17" s="156">
        <f t="shared" si="2"/>
        <v>3593.8247999999949</v>
      </c>
      <c r="N17" s="50" t="s">
        <v>152</v>
      </c>
      <c r="O17" s="5"/>
    </row>
    <row r="18" spans="1:22">
      <c r="A18" s="50">
        <v>15</v>
      </c>
      <c r="B18" s="234"/>
      <c r="C18" s="6"/>
      <c r="D18" s="6"/>
      <c r="E18" s="71">
        <v>0</v>
      </c>
      <c r="F18" s="6">
        <v>0</v>
      </c>
      <c r="G18" s="72">
        <f t="shared" si="3"/>
        <v>0</v>
      </c>
      <c r="H18" s="71">
        <v>0</v>
      </c>
      <c r="I18" s="6">
        <v>0</v>
      </c>
      <c r="J18" s="72">
        <f t="shared" si="0"/>
        <v>0</v>
      </c>
      <c r="K18" s="72">
        <f t="shared" si="1"/>
        <v>0</v>
      </c>
      <c r="L18" s="325">
        <v>0</v>
      </c>
      <c r="M18" s="156">
        <f t="shared" si="2"/>
        <v>3593.8247999999949</v>
      </c>
      <c r="N18" s="50" t="s">
        <v>152</v>
      </c>
      <c r="O18" s="5"/>
    </row>
    <row r="19" spans="1:22">
      <c r="A19" s="208">
        <v>16</v>
      </c>
      <c r="B19" s="234"/>
      <c r="C19" s="6"/>
      <c r="D19" s="6"/>
      <c r="E19" s="71">
        <v>0</v>
      </c>
      <c r="F19" s="6">
        <v>0</v>
      </c>
      <c r="G19" s="72">
        <f t="shared" si="3"/>
        <v>0</v>
      </c>
      <c r="H19" s="71">
        <v>0</v>
      </c>
      <c r="I19" s="6">
        <v>0</v>
      </c>
      <c r="J19" s="72">
        <f t="shared" si="0"/>
        <v>0</v>
      </c>
      <c r="K19" s="72">
        <f t="shared" si="1"/>
        <v>0</v>
      </c>
      <c r="L19" s="325">
        <v>0</v>
      </c>
      <c r="M19" s="156">
        <f t="shared" si="2"/>
        <v>3593.8247999999949</v>
      </c>
      <c r="N19" s="50" t="s">
        <v>152</v>
      </c>
      <c r="O19" s="5"/>
    </row>
    <row r="20" spans="1:22">
      <c r="A20" s="50">
        <v>17</v>
      </c>
      <c r="B20" s="234"/>
      <c r="C20" s="6"/>
      <c r="D20" s="6"/>
      <c r="E20" s="71">
        <v>0</v>
      </c>
      <c r="F20" s="6">
        <v>0</v>
      </c>
      <c r="G20" s="72">
        <f t="shared" si="3"/>
        <v>0</v>
      </c>
      <c r="H20" s="71">
        <v>0</v>
      </c>
      <c r="I20" s="6">
        <v>0</v>
      </c>
      <c r="J20" s="72">
        <f t="shared" si="0"/>
        <v>0</v>
      </c>
      <c r="K20" s="72">
        <f t="shared" si="1"/>
        <v>0</v>
      </c>
      <c r="L20" s="325">
        <v>0</v>
      </c>
      <c r="M20" s="156">
        <f t="shared" si="2"/>
        <v>3593.8247999999949</v>
      </c>
      <c r="N20" s="50" t="s">
        <v>152</v>
      </c>
      <c r="O20" s="5"/>
    </row>
    <row r="21" spans="1:22">
      <c r="A21" s="50">
        <v>18</v>
      </c>
      <c r="B21" s="234"/>
      <c r="C21" s="6"/>
      <c r="D21" s="6"/>
      <c r="E21" s="71">
        <v>0</v>
      </c>
      <c r="F21" s="6">
        <v>0</v>
      </c>
      <c r="G21" s="72">
        <f t="shared" si="3"/>
        <v>0</v>
      </c>
      <c r="H21" s="71">
        <v>0</v>
      </c>
      <c r="I21" s="6">
        <v>0</v>
      </c>
      <c r="J21" s="72">
        <f t="shared" si="0"/>
        <v>0</v>
      </c>
      <c r="K21" s="72">
        <f t="shared" si="1"/>
        <v>0</v>
      </c>
      <c r="L21" s="325">
        <v>0</v>
      </c>
      <c r="M21" s="156">
        <f t="shared" si="2"/>
        <v>3593.8247999999949</v>
      </c>
      <c r="N21" s="50" t="s">
        <v>152</v>
      </c>
      <c r="O21" s="5"/>
      <c r="Q21">
        <f>76.54*91.45</f>
        <v>6999.5830000000005</v>
      </c>
      <c r="T21">
        <f>25*600</f>
        <v>15000</v>
      </c>
      <c r="U21">
        <f>T21*2</f>
        <v>30000</v>
      </c>
      <c r="V21">
        <f>250*600</f>
        <v>150000</v>
      </c>
    </row>
    <row r="22" spans="1:22">
      <c r="A22" s="208">
        <v>19</v>
      </c>
      <c r="B22" s="234"/>
      <c r="C22" s="6"/>
      <c r="D22" s="6"/>
      <c r="E22" s="71">
        <v>0</v>
      </c>
      <c r="F22" s="6">
        <v>0</v>
      </c>
      <c r="G22" s="72">
        <f t="shared" si="3"/>
        <v>0</v>
      </c>
      <c r="H22" s="71">
        <v>0</v>
      </c>
      <c r="I22" s="6">
        <v>0</v>
      </c>
      <c r="J22" s="72">
        <f t="shared" si="0"/>
        <v>0</v>
      </c>
      <c r="K22" s="72">
        <f t="shared" si="1"/>
        <v>0</v>
      </c>
      <c r="L22" s="325">
        <v>0</v>
      </c>
      <c r="M22" s="156">
        <f t="shared" si="2"/>
        <v>3593.8247999999949</v>
      </c>
      <c r="N22" s="50" t="s">
        <v>152</v>
      </c>
      <c r="O22" s="5"/>
      <c r="T22">
        <f>25*480</f>
        <v>12000</v>
      </c>
      <c r="U22">
        <f>T22*2</f>
        <v>24000</v>
      </c>
      <c r="V22">
        <f>250*480</f>
        <v>120000</v>
      </c>
    </row>
    <row r="23" spans="1:22">
      <c r="A23" s="50">
        <v>20</v>
      </c>
      <c r="B23" s="234"/>
      <c r="C23" s="6"/>
      <c r="D23" s="6"/>
      <c r="E23" s="71">
        <v>0</v>
      </c>
      <c r="F23" s="6">
        <v>0</v>
      </c>
      <c r="G23" s="72">
        <f t="shared" si="3"/>
        <v>0</v>
      </c>
      <c r="H23" s="71">
        <v>0</v>
      </c>
      <c r="I23" s="6">
        <v>0</v>
      </c>
      <c r="J23" s="72">
        <f t="shared" si="0"/>
        <v>0</v>
      </c>
      <c r="K23" s="72">
        <f t="shared" si="1"/>
        <v>0</v>
      </c>
      <c r="L23" s="325">
        <v>0</v>
      </c>
      <c r="M23" s="156">
        <f t="shared" si="2"/>
        <v>3593.8247999999949</v>
      </c>
      <c r="N23" s="50" t="s">
        <v>152</v>
      </c>
      <c r="O23" s="5"/>
    </row>
    <row r="24" spans="1:22">
      <c r="A24" s="50">
        <v>21</v>
      </c>
      <c r="B24" s="234"/>
      <c r="C24" s="6"/>
      <c r="D24" s="6"/>
      <c r="E24" s="71">
        <v>0</v>
      </c>
      <c r="F24" s="6">
        <v>0</v>
      </c>
      <c r="G24" s="72">
        <f t="shared" si="3"/>
        <v>0</v>
      </c>
      <c r="H24" s="71">
        <v>0</v>
      </c>
      <c r="I24" s="6">
        <v>0</v>
      </c>
      <c r="J24" s="72">
        <f t="shared" si="0"/>
        <v>0</v>
      </c>
      <c r="K24" s="72">
        <f t="shared" si="1"/>
        <v>0</v>
      </c>
      <c r="L24" s="325">
        <v>0</v>
      </c>
      <c r="M24" s="156">
        <f t="shared" si="2"/>
        <v>3593.8247999999949</v>
      </c>
      <c r="N24" s="50" t="s">
        <v>152</v>
      </c>
      <c r="O24" s="5"/>
    </row>
    <row r="25" spans="1:22">
      <c r="A25" s="208">
        <v>22</v>
      </c>
      <c r="B25" s="234"/>
      <c r="C25" s="6"/>
      <c r="D25" s="6"/>
      <c r="E25" s="71">
        <v>0</v>
      </c>
      <c r="F25" s="6">
        <v>0</v>
      </c>
      <c r="G25" s="72">
        <f t="shared" si="3"/>
        <v>0</v>
      </c>
      <c r="H25" s="71">
        <v>0</v>
      </c>
      <c r="I25" s="6">
        <v>0</v>
      </c>
      <c r="J25" s="72">
        <f t="shared" si="0"/>
        <v>0</v>
      </c>
      <c r="K25" s="72">
        <f t="shared" si="1"/>
        <v>0</v>
      </c>
      <c r="L25" s="325">
        <v>0</v>
      </c>
      <c r="M25" s="156">
        <f t="shared" si="2"/>
        <v>3593.8247999999949</v>
      </c>
      <c r="N25" s="50" t="s">
        <v>152</v>
      </c>
      <c r="O25" s="5"/>
    </row>
    <row r="26" spans="1:22">
      <c r="A26" s="50">
        <v>23</v>
      </c>
      <c r="B26" s="234"/>
      <c r="C26" s="6"/>
      <c r="D26" s="6"/>
      <c r="E26" s="71">
        <v>0</v>
      </c>
      <c r="F26" s="6">
        <v>0</v>
      </c>
      <c r="G26" s="72">
        <f t="shared" si="3"/>
        <v>0</v>
      </c>
      <c r="H26" s="71">
        <v>0</v>
      </c>
      <c r="I26" s="6">
        <v>0</v>
      </c>
      <c r="J26" s="72">
        <f t="shared" si="0"/>
        <v>0</v>
      </c>
      <c r="K26" s="72">
        <f t="shared" si="1"/>
        <v>0</v>
      </c>
      <c r="L26" s="325">
        <v>0</v>
      </c>
      <c r="M26" s="156">
        <f t="shared" si="2"/>
        <v>3593.8247999999949</v>
      </c>
      <c r="N26" s="50" t="s">
        <v>152</v>
      </c>
      <c r="O26" s="5">
        <v>14616</v>
      </c>
    </row>
    <row r="27" spans="1:22">
      <c r="A27" s="50">
        <v>24</v>
      </c>
      <c r="B27" s="234"/>
      <c r="C27" s="6"/>
      <c r="D27" s="6"/>
      <c r="E27" s="71">
        <v>0</v>
      </c>
      <c r="F27" s="6">
        <v>0</v>
      </c>
      <c r="G27" s="72">
        <f t="shared" si="3"/>
        <v>0</v>
      </c>
      <c r="H27" s="71">
        <v>0</v>
      </c>
      <c r="I27" s="6">
        <v>0</v>
      </c>
      <c r="J27" s="72">
        <f t="shared" si="0"/>
        <v>0</v>
      </c>
      <c r="K27" s="72">
        <f t="shared" si="1"/>
        <v>0</v>
      </c>
      <c r="L27" s="325">
        <v>0</v>
      </c>
      <c r="M27" s="156">
        <f t="shared" si="2"/>
        <v>3593.8247999999949</v>
      </c>
      <c r="N27" s="50" t="s">
        <v>152</v>
      </c>
      <c r="O27" s="5"/>
    </row>
    <row r="28" spans="1:22">
      <c r="A28" s="208">
        <v>25</v>
      </c>
      <c r="B28" s="234"/>
      <c r="C28" s="6"/>
      <c r="D28" s="6"/>
      <c r="E28" s="71">
        <v>0</v>
      </c>
      <c r="F28" s="6">
        <v>0</v>
      </c>
      <c r="G28" s="72">
        <f t="shared" si="3"/>
        <v>0</v>
      </c>
      <c r="H28" s="71">
        <v>0</v>
      </c>
      <c r="I28" s="6">
        <v>0</v>
      </c>
      <c r="J28" s="72">
        <f t="shared" si="0"/>
        <v>0</v>
      </c>
      <c r="K28" s="72">
        <f t="shared" si="1"/>
        <v>0</v>
      </c>
      <c r="L28" s="325">
        <v>0</v>
      </c>
      <c r="M28" s="156">
        <f t="shared" si="2"/>
        <v>3593.8247999999949</v>
      </c>
      <c r="N28" s="50" t="s">
        <v>152</v>
      </c>
      <c r="O28" s="5"/>
    </row>
    <row r="29" spans="1:22">
      <c r="A29" s="50">
        <v>26</v>
      </c>
      <c r="B29" s="234"/>
      <c r="C29" s="6"/>
      <c r="D29" s="6"/>
      <c r="E29" s="71">
        <v>0</v>
      </c>
      <c r="F29" s="6">
        <v>0</v>
      </c>
      <c r="G29" s="72">
        <f t="shared" si="3"/>
        <v>0</v>
      </c>
      <c r="H29" s="71">
        <v>0</v>
      </c>
      <c r="I29" s="6">
        <v>0</v>
      </c>
      <c r="J29" s="72">
        <f t="shared" si="0"/>
        <v>0</v>
      </c>
      <c r="K29" s="72">
        <f t="shared" si="1"/>
        <v>0</v>
      </c>
      <c r="L29" s="325">
        <v>0</v>
      </c>
      <c r="M29" s="156">
        <f t="shared" si="2"/>
        <v>3593.8247999999949</v>
      </c>
      <c r="N29" s="50" t="s">
        <v>152</v>
      </c>
      <c r="O29" s="5"/>
    </row>
    <row r="30" spans="1:22">
      <c r="A30" s="50">
        <v>27</v>
      </c>
      <c r="B30" s="234"/>
      <c r="C30" s="6"/>
      <c r="D30" s="6"/>
      <c r="E30" s="71">
        <v>0</v>
      </c>
      <c r="F30" s="6">
        <v>0</v>
      </c>
      <c r="G30" s="72">
        <f t="shared" si="3"/>
        <v>0</v>
      </c>
      <c r="H30" s="71">
        <v>0</v>
      </c>
      <c r="I30" s="6">
        <v>0</v>
      </c>
      <c r="J30" s="72">
        <f t="shared" si="0"/>
        <v>0</v>
      </c>
      <c r="K30" s="72">
        <f t="shared" si="1"/>
        <v>0</v>
      </c>
      <c r="L30" s="325">
        <v>0</v>
      </c>
      <c r="M30" s="156">
        <f t="shared" si="2"/>
        <v>3593.8247999999949</v>
      </c>
      <c r="N30" s="50" t="s">
        <v>152</v>
      </c>
      <c r="O30" s="5"/>
    </row>
    <row r="31" spans="1:22">
      <c r="A31" s="208">
        <v>28</v>
      </c>
      <c r="B31" s="234"/>
      <c r="C31" s="6"/>
      <c r="D31" s="6"/>
      <c r="E31" s="71">
        <v>0</v>
      </c>
      <c r="F31" s="6">
        <v>0</v>
      </c>
      <c r="G31" s="72">
        <f t="shared" si="3"/>
        <v>0</v>
      </c>
      <c r="H31" s="71">
        <v>0</v>
      </c>
      <c r="I31" s="6">
        <v>0</v>
      </c>
      <c r="J31" s="72">
        <f t="shared" si="0"/>
        <v>0</v>
      </c>
      <c r="K31" s="72">
        <f t="shared" si="1"/>
        <v>0</v>
      </c>
      <c r="L31" s="325">
        <v>0</v>
      </c>
      <c r="M31" s="156">
        <f t="shared" si="2"/>
        <v>3593.8247999999949</v>
      </c>
      <c r="N31" s="50" t="s">
        <v>152</v>
      </c>
      <c r="O31" s="5"/>
    </row>
    <row r="32" spans="1:22">
      <c r="A32" s="50">
        <v>29</v>
      </c>
      <c r="B32" s="234"/>
      <c r="C32" s="6"/>
      <c r="D32" s="6"/>
      <c r="E32" s="71">
        <v>0</v>
      </c>
      <c r="F32" s="6">
        <v>0</v>
      </c>
      <c r="G32" s="72">
        <f t="shared" si="3"/>
        <v>0</v>
      </c>
      <c r="H32" s="71">
        <v>0</v>
      </c>
      <c r="I32" s="6">
        <v>0</v>
      </c>
      <c r="J32" s="72">
        <f t="shared" si="0"/>
        <v>0</v>
      </c>
      <c r="K32" s="72">
        <f t="shared" si="1"/>
        <v>0</v>
      </c>
      <c r="L32" s="325">
        <v>0</v>
      </c>
      <c r="M32" s="156">
        <f t="shared" si="2"/>
        <v>3593.8247999999949</v>
      </c>
      <c r="N32" s="50" t="s">
        <v>152</v>
      </c>
      <c r="O32" s="5"/>
    </row>
    <row r="33" spans="1:15">
      <c r="A33" s="50">
        <v>30</v>
      </c>
      <c r="B33" s="234"/>
      <c r="C33" s="6"/>
      <c r="D33" s="6"/>
      <c r="E33" s="71">
        <v>0</v>
      </c>
      <c r="F33" s="6">
        <v>0</v>
      </c>
      <c r="G33" s="72">
        <f t="shared" si="3"/>
        <v>0</v>
      </c>
      <c r="H33" s="71">
        <v>0</v>
      </c>
      <c r="I33" s="6">
        <v>0</v>
      </c>
      <c r="J33" s="72">
        <f t="shared" si="0"/>
        <v>0</v>
      </c>
      <c r="K33" s="72">
        <f t="shared" si="1"/>
        <v>0</v>
      </c>
      <c r="L33" s="325">
        <v>0</v>
      </c>
      <c r="M33" s="156">
        <f t="shared" si="2"/>
        <v>3593.8247999999949</v>
      </c>
      <c r="N33" s="50" t="s">
        <v>152</v>
      </c>
      <c r="O33" s="5"/>
    </row>
    <row r="34" spans="1:15">
      <c r="A34" s="208">
        <v>31</v>
      </c>
      <c r="B34" s="234"/>
      <c r="C34" s="6"/>
      <c r="D34" s="6"/>
      <c r="E34" s="71">
        <v>0</v>
      </c>
      <c r="F34" s="6">
        <v>0</v>
      </c>
      <c r="G34" s="72">
        <f t="shared" si="3"/>
        <v>0</v>
      </c>
      <c r="H34" s="71">
        <v>0</v>
      </c>
      <c r="I34" s="6">
        <v>0</v>
      </c>
      <c r="J34" s="72">
        <f t="shared" si="0"/>
        <v>0</v>
      </c>
      <c r="K34" s="72">
        <f t="shared" si="1"/>
        <v>0</v>
      </c>
      <c r="L34" s="325">
        <v>0</v>
      </c>
      <c r="M34" s="156">
        <f t="shared" si="2"/>
        <v>3593.8247999999949</v>
      </c>
      <c r="N34" s="50" t="s">
        <v>152</v>
      </c>
      <c r="O34" s="5"/>
    </row>
    <row r="35" spans="1:15">
      <c r="A35" s="50">
        <v>32</v>
      </c>
      <c r="B35" s="234"/>
      <c r="C35" s="6"/>
      <c r="D35" s="6"/>
      <c r="E35" s="71">
        <v>0</v>
      </c>
      <c r="F35" s="6">
        <v>0</v>
      </c>
      <c r="G35" s="72">
        <f t="shared" si="3"/>
        <v>0</v>
      </c>
      <c r="H35" s="71">
        <v>0</v>
      </c>
      <c r="I35" s="6">
        <v>0</v>
      </c>
      <c r="J35" s="72">
        <f t="shared" si="0"/>
        <v>0</v>
      </c>
      <c r="K35" s="72">
        <f t="shared" si="1"/>
        <v>0</v>
      </c>
      <c r="L35" s="325">
        <v>0</v>
      </c>
      <c r="M35" s="156">
        <f t="shared" si="2"/>
        <v>3593.8247999999949</v>
      </c>
      <c r="N35" s="50" t="s">
        <v>152</v>
      </c>
      <c r="O35" s="5"/>
    </row>
    <row r="36" spans="1:15">
      <c r="A36" s="50">
        <v>33</v>
      </c>
      <c r="B36" s="234"/>
      <c r="C36" s="6"/>
      <c r="D36" s="6"/>
      <c r="E36" s="71">
        <v>0</v>
      </c>
      <c r="F36" s="6">
        <v>0</v>
      </c>
      <c r="G36" s="72">
        <f t="shared" si="3"/>
        <v>0</v>
      </c>
      <c r="H36" s="71">
        <v>0</v>
      </c>
      <c r="I36" s="6">
        <v>0</v>
      </c>
      <c r="J36" s="72">
        <f t="shared" si="0"/>
        <v>0</v>
      </c>
      <c r="K36" s="72">
        <f t="shared" si="1"/>
        <v>0</v>
      </c>
      <c r="L36" s="325">
        <v>0</v>
      </c>
      <c r="M36" s="156">
        <f t="shared" si="2"/>
        <v>3593.8247999999949</v>
      </c>
      <c r="N36" s="50" t="s">
        <v>152</v>
      </c>
      <c r="O36" s="5"/>
    </row>
    <row r="37" spans="1:15">
      <c r="A37" s="208">
        <v>34</v>
      </c>
      <c r="B37" s="234"/>
      <c r="C37" s="6"/>
      <c r="D37" s="6"/>
      <c r="E37" s="71">
        <v>0</v>
      </c>
      <c r="F37" s="6">
        <v>0</v>
      </c>
      <c r="G37" s="72">
        <f t="shared" si="3"/>
        <v>0</v>
      </c>
      <c r="H37" s="71">
        <v>0</v>
      </c>
      <c r="I37" s="6">
        <v>0</v>
      </c>
      <c r="J37" s="72">
        <f t="shared" si="0"/>
        <v>0</v>
      </c>
      <c r="K37" s="72">
        <f t="shared" si="1"/>
        <v>0</v>
      </c>
      <c r="L37" s="325">
        <v>0</v>
      </c>
      <c r="M37" s="156">
        <f t="shared" si="2"/>
        <v>3593.8247999999949</v>
      </c>
      <c r="N37" s="50" t="s">
        <v>152</v>
      </c>
      <c r="O37" s="5"/>
    </row>
    <row r="38" spans="1:15">
      <c r="A38" s="50">
        <v>35</v>
      </c>
      <c r="B38" s="234"/>
      <c r="C38" s="6"/>
      <c r="D38" s="6"/>
      <c r="E38" s="71">
        <v>0</v>
      </c>
      <c r="F38" s="6">
        <v>0</v>
      </c>
      <c r="G38" s="72">
        <f t="shared" si="3"/>
        <v>0</v>
      </c>
      <c r="H38" s="71">
        <v>0</v>
      </c>
      <c r="I38" s="6">
        <v>0</v>
      </c>
      <c r="J38" s="72">
        <f t="shared" si="0"/>
        <v>0</v>
      </c>
      <c r="K38" s="72">
        <f t="shared" si="1"/>
        <v>0</v>
      </c>
      <c r="L38" s="325">
        <v>0</v>
      </c>
      <c r="M38" s="156">
        <f t="shared" si="2"/>
        <v>3593.8247999999949</v>
      </c>
      <c r="N38" s="6"/>
      <c r="O38" s="5"/>
    </row>
    <row r="39" spans="1:15">
      <c r="A39" s="50">
        <v>36</v>
      </c>
      <c r="B39" s="234"/>
      <c r="C39" s="6"/>
      <c r="D39" s="6"/>
      <c r="E39" s="71">
        <v>0</v>
      </c>
      <c r="F39" s="6">
        <v>0</v>
      </c>
      <c r="G39" s="72">
        <f t="shared" si="3"/>
        <v>0</v>
      </c>
      <c r="H39" s="71">
        <v>0</v>
      </c>
      <c r="I39" s="6">
        <v>0</v>
      </c>
      <c r="J39" s="72">
        <f t="shared" si="0"/>
        <v>0</v>
      </c>
      <c r="K39" s="72">
        <f t="shared" si="1"/>
        <v>0</v>
      </c>
      <c r="L39" s="325">
        <v>0</v>
      </c>
      <c r="M39" s="156">
        <f t="shared" si="2"/>
        <v>3593.8247999999949</v>
      </c>
      <c r="N39" s="6"/>
      <c r="O39" s="5"/>
    </row>
    <row r="40" spans="1:15">
      <c r="A40" s="208">
        <v>37</v>
      </c>
      <c r="B40" s="234"/>
      <c r="C40" s="6"/>
      <c r="D40" s="6"/>
      <c r="E40" s="71">
        <v>0</v>
      </c>
      <c r="F40" s="6">
        <v>0</v>
      </c>
      <c r="G40" s="72">
        <f t="shared" si="3"/>
        <v>0</v>
      </c>
      <c r="H40" s="71">
        <v>0</v>
      </c>
      <c r="I40" s="6">
        <v>0</v>
      </c>
      <c r="J40" s="72">
        <f t="shared" si="0"/>
        <v>0</v>
      </c>
      <c r="K40" s="72">
        <f t="shared" si="1"/>
        <v>0</v>
      </c>
      <c r="L40" s="325">
        <v>0</v>
      </c>
      <c r="M40" s="156">
        <f t="shared" si="2"/>
        <v>3593.8247999999949</v>
      </c>
      <c r="N40" s="6"/>
      <c r="O40" s="5"/>
    </row>
    <row r="41" spans="1:15">
      <c r="A41" s="50">
        <v>38</v>
      </c>
      <c r="B41" s="234"/>
      <c r="C41" s="6"/>
      <c r="D41" s="6"/>
      <c r="E41" s="71">
        <v>0</v>
      </c>
      <c r="F41" s="6">
        <v>0</v>
      </c>
      <c r="G41" s="72">
        <f t="shared" si="3"/>
        <v>0</v>
      </c>
      <c r="H41" s="71">
        <v>0</v>
      </c>
      <c r="I41" s="6">
        <v>0</v>
      </c>
      <c r="J41" s="72">
        <f t="shared" si="0"/>
        <v>0</v>
      </c>
      <c r="K41" s="72">
        <f t="shared" si="1"/>
        <v>0</v>
      </c>
      <c r="L41" s="325">
        <v>0</v>
      </c>
      <c r="M41" s="156">
        <f t="shared" si="2"/>
        <v>3593.8247999999949</v>
      </c>
      <c r="N41" s="6"/>
      <c r="O41" s="5"/>
    </row>
    <row r="42" spans="1:15">
      <c r="A42" s="50">
        <v>39</v>
      </c>
      <c r="B42" s="234"/>
      <c r="C42" s="6"/>
      <c r="D42" s="6"/>
      <c r="E42" s="71">
        <v>0</v>
      </c>
      <c r="F42" s="6">
        <v>0</v>
      </c>
      <c r="G42" s="72">
        <f t="shared" si="3"/>
        <v>0</v>
      </c>
      <c r="H42" s="71">
        <v>0</v>
      </c>
      <c r="I42" s="6">
        <v>0</v>
      </c>
      <c r="J42" s="72">
        <f t="shared" si="0"/>
        <v>0</v>
      </c>
      <c r="K42" s="72">
        <f t="shared" si="1"/>
        <v>0</v>
      </c>
      <c r="L42" s="325">
        <v>0</v>
      </c>
      <c r="M42" s="156">
        <f t="shared" si="2"/>
        <v>3593.8247999999949</v>
      </c>
      <c r="N42" s="6"/>
      <c r="O42" s="5"/>
    </row>
    <row r="43" spans="1:15">
      <c r="A43" s="208">
        <v>40</v>
      </c>
      <c r="B43" s="179"/>
      <c r="C43" s="178"/>
      <c r="D43" s="6"/>
      <c r="E43" s="71">
        <v>0</v>
      </c>
      <c r="F43" s="6">
        <v>0</v>
      </c>
      <c r="G43" s="72">
        <f t="shared" si="3"/>
        <v>0</v>
      </c>
      <c r="H43" s="71">
        <v>0</v>
      </c>
      <c r="I43" s="6">
        <v>0</v>
      </c>
      <c r="J43" s="72">
        <f t="shared" si="0"/>
        <v>0</v>
      </c>
      <c r="K43" s="72">
        <f t="shared" si="1"/>
        <v>0</v>
      </c>
      <c r="L43" s="325">
        <v>0</v>
      </c>
      <c r="M43" s="156">
        <f t="shared" si="2"/>
        <v>3593.8247999999949</v>
      </c>
      <c r="N43" s="178"/>
      <c r="O43" s="5"/>
    </row>
    <row r="44" spans="1:15">
      <c r="A44" s="50">
        <v>41</v>
      </c>
      <c r="B44" s="6"/>
      <c r="C44" s="6"/>
      <c r="D44" s="6"/>
      <c r="E44" s="71">
        <v>0</v>
      </c>
      <c r="F44" s="6">
        <v>0</v>
      </c>
      <c r="G44" s="72">
        <f t="shared" si="3"/>
        <v>0</v>
      </c>
      <c r="H44" s="71">
        <v>0</v>
      </c>
      <c r="I44" s="6">
        <v>0</v>
      </c>
      <c r="J44" s="72">
        <f t="shared" si="0"/>
        <v>0</v>
      </c>
      <c r="K44" s="72">
        <f t="shared" si="1"/>
        <v>0</v>
      </c>
      <c r="L44" s="325">
        <v>0</v>
      </c>
      <c r="M44" s="156">
        <f t="shared" si="2"/>
        <v>3593.8247999999949</v>
      </c>
      <c r="N44" s="6"/>
      <c r="O44" s="5"/>
    </row>
    <row r="45" spans="1:15">
      <c r="A45" s="50">
        <v>42</v>
      </c>
      <c r="B45" s="178"/>
      <c r="C45" s="178"/>
      <c r="D45" s="6"/>
      <c r="E45" s="71">
        <v>0</v>
      </c>
      <c r="F45" s="6">
        <v>0</v>
      </c>
      <c r="G45" s="72">
        <f t="shared" ref="G45:G46" si="4">E45*F45</f>
        <v>0</v>
      </c>
      <c r="H45" s="71"/>
      <c r="I45" s="6"/>
      <c r="J45" s="72">
        <f t="shared" ref="J45:J46" si="5">H45*I45</f>
        <v>0</v>
      </c>
      <c r="K45" s="180">
        <f t="shared" ref="K45:K46" si="6">G45+J45</f>
        <v>0</v>
      </c>
      <c r="L45" s="170">
        <f t="shared" ref="L45:L46" si="7">+K45</f>
        <v>0</v>
      </c>
      <c r="M45" s="156">
        <f t="shared" si="2"/>
        <v>3593.8247999999949</v>
      </c>
      <c r="N45" s="178"/>
      <c r="O45" s="5"/>
    </row>
    <row r="46" spans="1:15">
      <c r="A46" s="50"/>
      <c r="B46" s="178"/>
      <c r="C46" s="178"/>
      <c r="D46" s="6"/>
      <c r="E46" s="71">
        <v>0</v>
      </c>
      <c r="F46" s="6">
        <v>0</v>
      </c>
      <c r="G46" s="72">
        <f t="shared" si="4"/>
        <v>0</v>
      </c>
      <c r="H46" s="71"/>
      <c r="I46" s="6"/>
      <c r="J46" s="72">
        <f t="shared" si="5"/>
        <v>0</v>
      </c>
      <c r="K46" s="180">
        <f t="shared" si="6"/>
        <v>0</v>
      </c>
      <c r="L46" s="181">
        <f t="shared" si="7"/>
        <v>0</v>
      </c>
      <c r="M46" s="156">
        <f t="shared" si="2"/>
        <v>3593.8247999999949</v>
      </c>
      <c r="N46" s="178"/>
      <c r="O46" s="5"/>
    </row>
    <row r="47" spans="1:15">
      <c r="A47" s="68"/>
      <c r="B47" s="68"/>
      <c r="C47" s="68"/>
      <c r="D47" s="68"/>
      <c r="E47" s="69">
        <f>SUM(E4:E46)</f>
        <v>652.34</v>
      </c>
      <c r="F47" s="69"/>
      <c r="G47" s="69">
        <f>SUM(G4:G46)</f>
        <v>59656.492999999995</v>
      </c>
      <c r="H47" s="69">
        <f>SUM(H4:H46)</f>
        <v>14.84</v>
      </c>
      <c r="I47" s="69"/>
      <c r="J47" s="69">
        <f>SUM(J4:J46)</f>
        <v>1534.3076000000001</v>
      </c>
      <c r="K47" s="69">
        <f>SUM(K4:K46)</f>
        <v>61190.800599999995</v>
      </c>
      <c r="L47" s="69">
        <f>SUM(L4:L46)</f>
        <v>88000</v>
      </c>
      <c r="M47" s="69"/>
      <c r="N47" s="69"/>
      <c r="O47" s="65"/>
    </row>
    <row r="48" spans="1:15">
      <c r="A48" s="5"/>
      <c r="B48" s="5"/>
      <c r="C48" s="5"/>
      <c r="D48" s="5"/>
      <c r="E48" s="5"/>
      <c r="F48" s="5"/>
      <c r="G48" s="108"/>
      <c r="H48" s="5"/>
      <c r="I48" s="5"/>
      <c r="J48" s="108"/>
      <c r="K48" s="5"/>
      <c r="L48" s="108"/>
      <c r="M48" s="108"/>
      <c r="N48" s="5"/>
      <c r="O48" s="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Q49"/>
  <sheetViews>
    <sheetView topLeftCell="A26" workbookViewId="0">
      <selection activeCell="Q11" sqref="Q11"/>
    </sheetView>
  </sheetViews>
  <sheetFormatPr defaultRowHeight="15"/>
  <cols>
    <col min="2" max="2" width="10.85546875" bestFit="1" customWidth="1"/>
    <col min="7" max="7" width="12.28515625" customWidth="1"/>
    <col min="11" max="11" width="12.7109375" customWidth="1"/>
    <col min="13" max="13" width="11.5703125" bestFit="1" customWidth="1"/>
  </cols>
  <sheetData>
    <row r="1" spans="1:15" ht="15.75">
      <c r="A1" s="436" t="s">
        <v>88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"/>
    </row>
    <row r="2" spans="1:15" ht="45">
      <c r="A2" s="70" t="s">
        <v>96</v>
      </c>
      <c r="B2" s="89" t="s">
        <v>97</v>
      </c>
      <c r="C2" s="89" t="s">
        <v>98</v>
      </c>
      <c r="D2" s="89" t="s">
        <v>111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105</v>
      </c>
      <c r="M2" s="91" t="s">
        <v>110</v>
      </c>
      <c r="N2" s="89" t="s">
        <v>107</v>
      </c>
      <c r="O2" s="5"/>
    </row>
    <row r="3" spans="1:15">
      <c r="A3" s="450" t="s">
        <v>108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2"/>
      <c r="M3" s="453"/>
      <c r="N3" s="454"/>
      <c r="O3" s="5"/>
    </row>
    <row r="4" spans="1:15">
      <c r="A4" s="208">
        <v>1</v>
      </c>
      <c r="B4" s="234" t="s">
        <v>179</v>
      </c>
      <c r="C4" s="6"/>
      <c r="D4" s="6"/>
      <c r="E4" s="71">
        <v>0</v>
      </c>
      <c r="F4" s="6">
        <v>0</v>
      </c>
      <c r="G4" s="72">
        <f>E4*F4</f>
        <v>0</v>
      </c>
      <c r="H4" s="71">
        <v>0</v>
      </c>
      <c r="I4" s="6">
        <v>0</v>
      </c>
      <c r="J4" s="72">
        <f>H4*I4</f>
        <v>0</v>
      </c>
      <c r="K4" s="72">
        <f>G4+J4</f>
        <v>0</v>
      </c>
      <c r="L4" s="325">
        <v>0</v>
      </c>
      <c r="M4" s="156">
        <f>M3+K4-L4</f>
        <v>0</v>
      </c>
      <c r="N4" s="50"/>
      <c r="O4" s="5"/>
    </row>
    <row r="5" spans="1:15">
      <c r="A5" s="50">
        <v>2</v>
      </c>
      <c r="B5" s="234" t="s">
        <v>178</v>
      </c>
      <c r="C5" s="6"/>
      <c r="D5" s="6"/>
      <c r="E5" s="71">
        <v>0</v>
      </c>
      <c r="F5" s="6">
        <v>0</v>
      </c>
      <c r="G5" s="72">
        <f t="shared" ref="G5:G21" si="0">E5*F5</f>
        <v>0</v>
      </c>
      <c r="H5" s="71">
        <v>0</v>
      </c>
      <c r="I5" s="6">
        <v>0</v>
      </c>
      <c r="J5" s="72">
        <f t="shared" ref="J5:J21" si="1">H5*I5</f>
        <v>0</v>
      </c>
      <c r="K5" s="72">
        <f t="shared" ref="K5:K46" si="2">G5+J5</f>
        <v>0</v>
      </c>
      <c r="L5" s="325">
        <v>0</v>
      </c>
      <c r="M5" s="156">
        <f t="shared" ref="M5:M46" si="3">M4+K5-L5</f>
        <v>0</v>
      </c>
      <c r="N5" s="50"/>
      <c r="O5" s="5"/>
    </row>
    <row r="6" spans="1:15">
      <c r="A6" s="50">
        <v>3</v>
      </c>
      <c r="B6" s="234" t="s">
        <v>157</v>
      </c>
      <c r="C6" s="6"/>
      <c r="D6" s="6"/>
      <c r="E6" s="71">
        <v>0</v>
      </c>
      <c r="F6" s="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325">
        <v>0</v>
      </c>
      <c r="M6" s="156">
        <f t="shared" si="3"/>
        <v>0</v>
      </c>
      <c r="N6" s="50"/>
      <c r="O6" s="5"/>
    </row>
    <row r="7" spans="1:15">
      <c r="A7" s="208">
        <v>4</v>
      </c>
      <c r="B7" s="234" t="s">
        <v>158</v>
      </c>
      <c r="C7" s="6"/>
      <c r="D7" s="6"/>
      <c r="E7" s="71">
        <v>0</v>
      </c>
      <c r="F7" s="6">
        <v>0</v>
      </c>
      <c r="G7" s="72">
        <f t="shared" si="0"/>
        <v>0</v>
      </c>
      <c r="H7" s="71">
        <v>0</v>
      </c>
      <c r="I7" s="6">
        <v>0</v>
      </c>
      <c r="J7" s="72">
        <f t="shared" si="1"/>
        <v>0</v>
      </c>
      <c r="K7" s="72">
        <f t="shared" si="2"/>
        <v>0</v>
      </c>
      <c r="L7" s="325">
        <v>0</v>
      </c>
      <c r="M7" s="156">
        <f t="shared" si="3"/>
        <v>0</v>
      </c>
      <c r="N7" s="50"/>
      <c r="O7" s="5"/>
    </row>
    <row r="8" spans="1:15">
      <c r="A8" s="50">
        <v>5</v>
      </c>
      <c r="B8" s="234" t="s">
        <v>159</v>
      </c>
      <c r="C8" s="6"/>
      <c r="D8" s="6"/>
      <c r="E8" s="71">
        <v>0</v>
      </c>
      <c r="F8" s="6">
        <v>0</v>
      </c>
      <c r="G8" s="72">
        <f t="shared" si="0"/>
        <v>0</v>
      </c>
      <c r="H8" s="71">
        <v>0</v>
      </c>
      <c r="I8" s="6">
        <v>0</v>
      </c>
      <c r="J8" s="72">
        <f t="shared" si="1"/>
        <v>0</v>
      </c>
      <c r="K8" s="72">
        <f t="shared" si="2"/>
        <v>0</v>
      </c>
      <c r="L8" s="325">
        <v>0</v>
      </c>
      <c r="M8" s="156">
        <f t="shared" si="3"/>
        <v>0</v>
      </c>
      <c r="N8" s="50"/>
      <c r="O8" s="5"/>
    </row>
    <row r="9" spans="1:15">
      <c r="A9" s="50">
        <v>6</v>
      </c>
      <c r="B9" s="234" t="s">
        <v>160</v>
      </c>
      <c r="C9" s="6"/>
      <c r="D9" s="6"/>
      <c r="E9" s="71">
        <v>0</v>
      </c>
      <c r="F9" s="6">
        <v>0</v>
      </c>
      <c r="G9" s="72">
        <f t="shared" si="0"/>
        <v>0</v>
      </c>
      <c r="H9" s="71">
        <v>0</v>
      </c>
      <c r="I9" s="6">
        <v>0</v>
      </c>
      <c r="J9" s="72">
        <f t="shared" si="1"/>
        <v>0</v>
      </c>
      <c r="K9" s="72">
        <f t="shared" si="2"/>
        <v>0</v>
      </c>
      <c r="L9" s="325">
        <v>0</v>
      </c>
      <c r="M9" s="156">
        <f t="shared" si="3"/>
        <v>0</v>
      </c>
      <c r="N9" s="50"/>
      <c r="O9" s="5"/>
    </row>
    <row r="10" spans="1:15">
      <c r="A10" s="208">
        <v>7</v>
      </c>
      <c r="B10" s="234" t="s">
        <v>161</v>
      </c>
      <c r="C10" s="6"/>
      <c r="D10" s="6"/>
      <c r="E10" s="71">
        <v>0</v>
      </c>
      <c r="F10" s="6">
        <v>0</v>
      </c>
      <c r="G10" s="72">
        <f t="shared" si="0"/>
        <v>0</v>
      </c>
      <c r="H10" s="71">
        <v>0</v>
      </c>
      <c r="I10" s="6">
        <v>0</v>
      </c>
      <c r="J10" s="72">
        <f t="shared" si="1"/>
        <v>0</v>
      </c>
      <c r="K10" s="72">
        <f t="shared" si="2"/>
        <v>0</v>
      </c>
      <c r="L10" s="325">
        <v>0</v>
      </c>
      <c r="M10" s="156">
        <f t="shared" si="3"/>
        <v>0</v>
      </c>
      <c r="N10" s="50"/>
      <c r="O10" s="5"/>
    </row>
    <row r="11" spans="1:15">
      <c r="A11" s="50">
        <v>8</v>
      </c>
      <c r="B11" s="234" t="s">
        <v>162</v>
      </c>
      <c r="C11" s="6"/>
      <c r="D11" s="6"/>
      <c r="E11" s="71">
        <v>0</v>
      </c>
      <c r="F11" s="6">
        <v>0</v>
      </c>
      <c r="G11" s="72">
        <f t="shared" si="0"/>
        <v>0</v>
      </c>
      <c r="H11" s="71">
        <v>0</v>
      </c>
      <c r="I11" s="6">
        <v>0</v>
      </c>
      <c r="J11" s="72">
        <f t="shared" si="1"/>
        <v>0</v>
      </c>
      <c r="K11" s="72">
        <f t="shared" si="2"/>
        <v>0</v>
      </c>
      <c r="L11" s="325">
        <v>0</v>
      </c>
      <c r="M11" s="156">
        <f t="shared" si="3"/>
        <v>0</v>
      </c>
      <c r="N11" s="50"/>
      <c r="O11" s="5"/>
    </row>
    <row r="12" spans="1:15">
      <c r="A12" s="50">
        <v>9</v>
      </c>
      <c r="B12" s="234" t="s">
        <v>163</v>
      </c>
      <c r="C12" s="6"/>
      <c r="D12" s="6"/>
      <c r="E12" s="71">
        <v>0</v>
      </c>
      <c r="F12" s="6">
        <v>0</v>
      </c>
      <c r="G12" s="72">
        <f t="shared" si="0"/>
        <v>0</v>
      </c>
      <c r="H12" s="71">
        <v>0</v>
      </c>
      <c r="I12" s="6">
        <v>0</v>
      </c>
      <c r="J12" s="72">
        <f t="shared" si="1"/>
        <v>0</v>
      </c>
      <c r="K12" s="72">
        <f t="shared" si="2"/>
        <v>0</v>
      </c>
      <c r="L12" s="325">
        <v>0</v>
      </c>
      <c r="M12" s="156">
        <f t="shared" si="3"/>
        <v>0</v>
      </c>
      <c r="N12" s="50"/>
      <c r="O12" s="5"/>
    </row>
    <row r="13" spans="1:15">
      <c r="A13" s="208">
        <v>10</v>
      </c>
      <c r="B13" s="234" t="s">
        <v>164</v>
      </c>
      <c r="C13" s="6"/>
      <c r="D13" s="6"/>
      <c r="E13" s="71">
        <v>0</v>
      </c>
      <c r="F13" s="6">
        <v>0</v>
      </c>
      <c r="G13" s="72">
        <f t="shared" si="0"/>
        <v>0</v>
      </c>
      <c r="H13" s="71">
        <v>0</v>
      </c>
      <c r="I13" s="6">
        <v>0</v>
      </c>
      <c r="J13" s="72">
        <f t="shared" si="1"/>
        <v>0</v>
      </c>
      <c r="K13" s="72">
        <f t="shared" si="2"/>
        <v>0</v>
      </c>
      <c r="L13" s="325">
        <v>0</v>
      </c>
      <c r="M13" s="156">
        <f t="shared" si="3"/>
        <v>0</v>
      </c>
      <c r="N13" s="50"/>
      <c r="O13" s="5"/>
    </row>
    <row r="14" spans="1:15">
      <c r="A14" s="50">
        <v>11</v>
      </c>
      <c r="B14" s="234" t="s">
        <v>180</v>
      </c>
      <c r="C14" s="6"/>
      <c r="D14" s="6"/>
      <c r="E14" s="350">
        <f>35+35</f>
        <v>70</v>
      </c>
      <c r="F14" s="350">
        <v>91.42</v>
      </c>
      <c r="G14" s="72">
        <f t="shared" si="0"/>
        <v>6399.4000000000005</v>
      </c>
      <c r="H14" s="71">
        <v>5</v>
      </c>
      <c r="I14" s="350">
        <v>103.35</v>
      </c>
      <c r="J14" s="72">
        <f t="shared" si="1"/>
        <v>516.75</v>
      </c>
      <c r="K14" s="72">
        <f t="shared" si="2"/>
        <v>6916.1500000000005</v>
      </c>
      <c r="L14" s="325">
        <v>0</v>
      </c>
      <c r="M14" s="156">
        <f t="shared" si="3"/>
        <v>6916.1500000000005</v>
      </c>
      <c r="N14" s="50"/>
      <c r="O14" s="5"/>
    </row>
    <row r="15" spans="1:15">
      <c r="A15" s="50">
        <v>12</v>
      </c>
      <c r="B15" s="234" t="s">
        <v>165</v>
      </c>
      <c r="C15" s="6"/>
      <c r="D15" s="6"/>
      <c r="E15" s="350">
        <f>8+37+130</f>
        <v>175</v>
      </c>
      <c r="F15" s="350">
        <v>91.42</v>
      </c>
      <c r="G15" s="72">
        <f t="shared" si="0"/>
        <v>15998.5</v>
      </c>
      <c r="H15" s="71">
        <v>5</v>
      </c>
      <c r="I15" s="350">
        <v>103.35</v>
      </c>
      <c r="J15" s="72">
        <f t="shared" si="1"/>
        <v>516.75</v>
      </c>
      <c r="K15" s="72">
        <f t="shared" si="2"/>
        <v>16515.25</v>
      </c>
      <c r="L15" s="325">
        <v>0</v>
      </c>
      <c r="M15" s="156">
        <f t="shared" si="3"/>
        <v>23431.4</v>
      </c>
      <c r="N15" s="50"/>
      <c r="O15" s="5"/>
    </row>
    <row r="16" spans="1:15">
      <c r="A16" s="208">
        <v>13</v>
      </c>
      <c r="B16" s="234" t="s">
        <v>181</v>
      </c>
      <c r="C16" s="6"/>
      <c r="D16" s="6"/>
      <c r="E16" s="350">
        <v>120</v>
      </c>
      <c r="F16" s="350">
        <v>91.42</v>
      </c>
      <c r="G16" s="72">
        <f t="shared" si="0"/>
        <v>10970.4</v>
      </c>
      <c r="H16" s="71">
        <v>0</v>
      </c>
      <c r="I16" s="6">
        <v>0</v>
      </c>
      <c r="J16" s="72">
        <f t="shared" si="1"/>
        <v>0</v>
      </c>
      <c r="K16" s="72">
        <f t="shared" si="2"/>
        <v>10970.4</v>
      </c>
      <c r="L16" s="325">
        <v>0</v>
      </c>
      <c r="M16" s="156">
        <f t="shared" si="3"/>
        <v>34401.800000000003</v>
      </c>
      <c r="N16" s="50"/>
      <c r="O16" s="5"/>
    </row>
    <row r="17" spans="1:17">
      <c r="A17" s="50">
        <v>14</v>
      </c>
      <c r="B17" s="234" t="s">
        <v>182</v>
      </c>
      <c r="C17" s="6"/>
      <c r="D17" s="6"/>
      <c r="E17" s="350">
        <v>25</v>
      </c>
      <c r="F17" s="350">
        <v>91.42</v>
      </c>
      <c r="G17" s="72">
        <f t="shared" si="0"/>
        <v>2285.5</v>
      </c>
      <c r="H17" s="71">
        <v>5</v>
      </c>
      <c r="I17" s="350">
        <v>103.35</v>
      </c>
      <c r="J17" s="72">
        <f t="shared" si="1"/>
        <v>516.75</v>
      </c>
      <c r="K17" s="72">
        <f t="shared" si="2"/>
        <v>2802.25</v>
      </c>
      <c r="L17" s="325">
        <v>0</v>
      </c>
      <c r="M17" s="156">
        <f t="shared" si="3"/>
        <v>37204.050000000003</v>
      </c>
      <c r="N17" s="50"/>
      <c r="O17" s="5"/>
    </row>
    <row r="18" spans="1:17">
      <c r="A18" s="50">
        <v>15</v>
      </c>
      <c r="B18" s="234" t="s">
        <v>174</v>
      </c>
      <c r="C18" s="6"/>
      <c r="D18" s="6"/>
      <c r="E18" s="71">
        <v>0</v>
      </c>
      <c r="F18" s="6">
        <v>0</v>
      </c>
      <c r="G18" s="72">
        <f t="shared" si="0"/>
        <v>0</v>
      </c>
      <c r="H18" s="71">
        <v>10</v>
      </c>
      <c r="I18" s="350">
        <v>103.35</v>
      </c>
      <c r="J18" s="72">
        <f t="shared" si="1"/>
        <v>1033.5</v>
      </c>
      <c r="K18" s="72">
        <f t="shared" si="2"/>
        <v>1033.5</v>
      </c>
      <c r="L18" s="325">
        <v>0</v>
      </c>
      <c r="M18" s="156">
        <f t="shared" si="3"/>
        <v>38237.550000000003</v>
      </c>
      <c r="N18" s="50"/>
      <c r="O18" s="5"/>
    </row>
    <row r="19" spans="1:17">
      <c r="A19" s="208">
        <v>16</v>
      </c>
      <c r="B19" s="234" t="s">
        <v>175</v>
      </c>
      <c r="C19" s="6"/>
      <c r="D19" s="6"/>
      <c r="E19" s="71">
        <v>50</v>
      </c>
      <c r="F19" s="350">
        <v>91.42</v>
      </c>
      <c r="G19" s="72">
        <f t="shared" si="0"/>
        <v>4571</v>
      </c>
      <c r="H19" s="71">
        <v>0</v>
      </c>
      <c r="I19" s="6">
        <v>0</v>
      </c>
      <c r="J19" s="72">
        <f t="shared" si="1"/>
        <v>0</v>
      </c>
      <c r="K19" s="72">
        <f t="shared" si="2"/>
        <v>4571</v>
      </c>
      <c r="L19" s="325">
        <v>0</v>
      </c>
      <c r="M19" s="156">
        <f t="shared" si="3"/>
        <v>42808.55</v>
      </c>
      <c r="N19" s="50"/>
      <c r="O19" s="5"/>
    </row>
    <row r="20" spans="1:17">
      <c r="A20" s="50">
        <v>17</v>
      </c>
      <c r="B20" s="234" t="s">
        <v>176</v>
      </c>
      <c r="C20" s="6"/>
      <c r="D20" s="6"/>
      <c r="E20" s="71">
        <v>8</v>
      </c>
      <c r="F20" s="6">
        <v>91.42</v>
      </c>
      <c r="G20" s="72">
        <f t="shared" si="0"/>
        <v>731.36</v>
      </c>
      <c r="H20" s="71">
        <v>0</v>
      </c>
      <c r="I20" s="6">
        <v>0</v>
      </c>
      <c r="J20" s="72">
        <f t="shared" si="1"/>
        <v>0</v>
      </c>
      <c r="K20" s="72">
        <f t="shared" si="2"/>
        <v>731.36</v>
      </c>
      <c r="L20" s="325">
        <v>0</v>
      </c>
      <c r="M20" s="156">
        <f t="shared" si="3"/>
        <v>43539.91</v>
      </c>
      <c r="N20" s="50"/>
      <c r="O20" s="5"/>
    </row>
    <row r="21" spans="1:17">
      <c r="A21" s="50">
        <v>18</v>
      </c>
      <c r="B21" s="234" t="s">
        <v>177</v>
      </c>
      <c r="C21" s="6"/>
      <c r="D21" s="6"/>
      <c r="E21" s="71">
        <v>33</v>
      </c>
      <c r="F21" s="6">
        <v>91.42</v>
      </c>
      <c r="G21" s="72">
        <f t="shared" si="0"/>
        <v>3016.86</v>
      </c>
      <c r="H21" s="71">
        <v>0</v>
      </c>
      <c r="I21" s="6">
        <v>0</v>
      </c>
      <c r="J21" s="72">
        <f t="shared" si="1"/>
        <v>0</v>
      </c>
      <c r="K21" s="72">
        <f t="shared" si="2"/>
        <v>3016.86</v>
      </c>
      <c r="L21" s="325">
        <v>0</v>
      </c>
      <c r="M21" s="156">
        <f t="shared" si="3"/>
        <v>46556.770000000004</v>
      </c>
      <c r="N21" s="50"/>
      <c r="O21" s="5"/>
      <c r="Q21">
        <f>76.54*91.45</f>
        <v>6999.5830000000005</v>
      </c>
    </row>
    <row r="22" spans="1:17">
      <c r="A22" s="208">
        <v>19</v>
      </c>
      <c r="B22" s="234"/>
      <c r="C22" s="6"/>
      <c r="D22" s="6"/>
      <c r="E22" s="71">
        <v>0</v>
      </c>
      <c r="F22" s="6">
        <v>0</v>
      </c>
      <c r="G22" s="72">
        <f t="shared" ref="G22:G46" si="4">E22*F22</f>
        <v>0</v>
      </c>
      <c r="H22" s="71">
        <v>0</v>
      </c>
      <c r="I22" s="6">
        <v>0</v>
      </c>
      <c r="J22" s="72">
        <f t="shared" ref="J22:J46" si="5">H22*I22</f>
        <v>0</v>
      </c>
      <c r="K22" s="72">
        <f t="shared" si="2"/>
        <v>0</v>
      </c>
      <c r="L22" s="325">
        <v>0</v>
      </c>
      <c r="M22" s="156">
        <f t="shared" si="3"/>
        <v>46556.770000000004</v>
      </c>
      <c r="N22" s="50"/>
      <c r="O22" s="5"/>
    </row>
    <row r="23" spans="1:17">
      <c r="A23" s="50">
        <v>20</v>
      </c>
      <c r="B23" s="234"/>
      <c r="C23" s="6"/>
      <c r="D23" s="6"/>
      <c r="E23" s="71">
        <v>0</v>
      </c>
      <c r="F23" s="6">
        <v>0</v>
      </c>
      <c r="G23" s="72">
        <f t="shared" si="4"/>
        <v>0</v>
      </c>
      <c r="H23" s="71">
        <v>0</v>
      </c>
      <c r="I23" s="6">
        <v>0</v>
      </c>
      <c r="J23" s="72">
        <f t="shared" si="5"/>
        <v>0</v>
      </c>
      <c r="K23" s="72">
        <f t="shared" si="2"/>
        <v>0</v>
      </c>
      <c r="L23" s="325">
        <v>0</v>
      </c>
      <c r="M23" s="156">
        <f t="shared" si="3"/>
        <v>46556.770000000004</v>
      </c>
      <c r="N23" s="50"/>
      <c r="O23" s="5"/>
    </row>
    <row r="24" spans="1:17">
      <c r="A24" s="50">
        <v>21</v>
      </c>
      <c r="B24" s="234"/>
      <c r="C24" s="6"/>
      <c r="D24" s="6"/>
      <c r="E24" s="71">
        <v>0</v>
      </c>
      <c r="F24" s="6">
        <v>0</v>
      </c>
      <c r="G24" s="72">
        <f t="shared" si="4"/>
        <v>0</v>
      </c>
      <c r="H24" s="71">
        <v>0</v>
      </c>
      <c r="I24" s="6">
        <v>0</v>
      </c>
      <c r="J24" s="72">
        <f t="shared" si="5"/>
        <v>0</v>
      </c>
      <c r="K24" s="72">
        <f t="shared" si="2"/>
        <v>0</v>
      </c>
      <c r="L24" s="325">
        <v>0</v>
      </c>
      <c r="M24" s="156">
        <f t="shared" si="3"/>
        <v>46556.770000000004</v>
      </c>
      <c r="N24" s="50"/>
      <c r="O24" s="5"/>
    </row>
    <row r="25" spans="1:17">
      <c r="A25" s="208">
        <v>22</v>
      </c>
      <c r="B25" s="234"/>
      <c r="C25" s="6"/>
      <c r="D25" s="6"/>
      <c r="E25" s="71">
        <v>0</v>
      </c>
      <c r="F25" s="6">
        <v>0</v>
      </c>
      <c r="G25" s="72">
        <f t="shared" si="4"/>
        <v>0</v>
      </c>
      <c r="H25" s="71">
        <v>0</v>
      </c>
      <c r="I25" s="6">
        <v>0</v>
      </c>
      <c r="J25" s="72">
        <f t="shared" si="5"/>
        <v>0</v>
      </c>
      <c r="K25" s="72">
        <f t="shared" si="2"/>
        <v>0</v>
      </c>
      <c r="L25" s="325">
        <v>0</v>
      </c>
      <c r="M25" s="156">
        <f t="shared" si="3"/>
        <v>46556.770000000004</v>
      </c>
      <c r="N25" s="50"/>
      <c r="O25" s="5"/>
    </row>
    <row r="26" spans="1:17">
      <c r="A26" s="50">
        <v>23</v>
      </c>
      <c r="B26" s="234"/>
      <c r="C26" s="6"/>
      <c r="D26" s="6"/>
      <c r="E26" s="71">
        <v>0</v>
      </c>
      <c r="F26" s="6">
        <v>0</v>
      </c>
      <c r="G26" s="72">
        <f t="shared" si="4"/>
        <v>0</v>
      </c>
      <c r="H26" s="71">
        <v>0</v>
      </c>
      <c r="I26" s="6">
        <v>0</v>
      </c>
      <c r="J26" s="72">
        <f t="shared" si="5"/>
        <v>0</v>
      </c>
      <c r="K26" s="72">
        <f t="shared" si="2"/>
        <v>0</v>
      </c>
      <c r="L26" s="325">
        <v>0</v>
      </c>
      <c r="M26" s="156">
        <f t="shared" si="3"/>
        <v>46556.770000000004</v>
      </c>
      <c r="N26" s="50"/>
      <c r="O26" s="5">
        <v>14616</v>
      </c>
    </row>
    <row r="27" spans="1:17">
      <c r="A27" s="50">
        <v>24</v>
      </c>
      <c r="B27" s="234"/>
      <c r="C27" s="6"/>
      <c r="D27" s="6"/>
      <c r="E27" s="71">
        <v>0</v>
      </c>
      <c r="F27" s="6">
        <v>0</v>
      </c>
      <c r="G27" s="72">
        <f t="shared" si="4"/>
        <v>0</v>
      </c>
      <c r="H27" s="71">
        <v>0</v>
      </c>
      <c r="I27" s="6">
        <v>0</v>
      </c>
      <c r="J27" s="72">
        <f t="shared" si="5"/>
        <v>0</v>
      </c>
      <c r="K27" s="72">
        <f t="shared" si="2"/>
        <v>0</v>
      </c>
      <c r="L27" s="325">
        <v>0</v>
      </c>
      <c r="M27" s="156">
        <f t="shared" si="3"/>
        <v>46556.770000000004</v>
      </c>
      <c r="N27" s="50"/>
      <c r="O27" s="5"/>
    </row>
    <row r="28" spans="1:17">
      <c r="A28" s="208">
        <v>25</v>
      </c>
      <c r="B28" s="234"/>
      <c r="C28" s="6"/>
      <c r="D28" s="6"/>
      <c r="E28" s="71">
        <v>0</v>
      </c>
      <c r="F28" s="6">
        <v>0</v>
      </c>
      <c r="G28" s="72">
        <f t="shared" si="4"/>
        <v>0</v>
      </c>
      <c r="H28" s="71">
        <v>0</v>
      </c>
      <c r="I28" s="6">
        <v>0</v>
      </c>
      <c r="J28" s="72">
        <f t="shared" si="5"/>
        <v>0</v>
      </c>
      <c r="K28" s="72">
        <f t="shared" si="2"/>
        <v>0</v>
      </c>
      <c r="L28" s="325">
        <v>0</v>
      </c>
      <c r="M28" s="156">
        <f t="shared" si="3"/>
        <v>46556.770000000004</v>
      </c>
      <c r="N28" s="50"/>
      <c r="O28" s="5"/>
    </row>
    <row r="29" spans="1:17">
      <c r="A29" s="50">
        <v>26</v>
      </c>
      <c r="B29" s="234"/>
      <c r="C29" s="6"/>
      <c r="D29" s="6"/>
      <c r="E29" s="71">
        <v>0</v>
      </c>
      <c r="F29" s="6">
        <v>0</v>
      </c>
      <c r="G29" s="72">
        <f t="shared" si="4"/>
        <v>0</v>
      </c>
      <c r="H29" s="71">
        <v>0</v>
      </c>
      <c r="I29" s="6">
        <v>0</v>
      </c>
      <c r="J29" s="72">
        <f t="shared" si="5"/>
        <v>0</v>
      </c>
      <c r="K29" s="72">
        <f t="shared" si="2"/>
        <v>0</v>
      </c>
      <c r="L29" s="325">
        <v>0</v>
      </c>
      <c r="M29" s="156">
        <f t="shared" si="3"/>
        <v>46556.770000000004</v>
      </c>
      <c r="N29" s="50"/>
      <c r="O29" s="5"/>
    </row>
    <row r="30" spans="1:17">
      <c r="A30" s="50">
        <v>27</v>
      </c>
      <c r="B30" s="234"/>
      <c r="C30" s="6"/>
      <c r="D30" s="6"/>
      <c r="E30" s="71">
        <v>0</v>
      </c>
      <c r="F30" s="6">
        <v>0</v>
      </c>
      <c r="G30" s="72">
        <f t="shared" si="4"/>
        <v>0</v>
      </c>
      <c r="H30" s="71">
        <v>0</v>
      </c>
      <c r="I30" s="6">
        <v>0</v>
      </c>
      <c r="J30" s="72">
        <f t="shared" si="5"/>
        <v>0</v>
      </c>
      <c r="K30" s="72">
        <f t="shared" si="2"/>
        <v>0</v>
      </c>
      <c r="L30" s="325">
        <v>0</v>
      </c>
      <c r="M30" s="156">
        <f t="shared" si="3"/>
        <v>46556.770000000004</v>
      </c>
      <c r="N30" s="50"/>
      <c r="O30" s="5"/>
    </row>
    <row r="31" spans="1:17">
      <c r="A31" s="208">
        <v>28</v>
      </c>
      <c r="B31" s="234"/>
      <c r="C31" s="6"/>
      <c r="D31" s="6"/>
      <c r="E31" s="71">
        <v>0</v>
      </c>
      <c r="F31" s="6">
        <v>0</v>
      </c>
      <c r="G31" s="72">
        <f t="shared" si="4"/>
        <v>0</v>
      </c>
      <c r="H31" s="71">
        <v>0</v>
      </c>
      <c r="I31" s="6">
        <v>0</v>
      </c>
      <c r="J31" s="72">
        <f t="shared" si="5"/>
        <v>0</v>
      </c>
      <c r="K31" s="72">
        <f t="shared" si="2"/>
        <v>0</v>
      </c>
      <c r="L31" s="325">
        <v>0</v>
      </c>
      <c r="M31" s="156">
        <f t="shared" si="3"/>
        <v>46556.770000000004</v>
      </c>
      <c r="N31" s="50"/>
      <c r="O31" s="5"/>
    </row>
    <row r="32" spans="1:17">
      <c r="A32" s="50">
        <v>29</v>
      </c>
      <c r="B32" s="234"/>
      <c r="C32" s="6"/>
      <c r="D32" s="6"/>
      <c r="E32" s="71">
        <v>0</v>
      </c>
      <c r="F32" s="6">
        <v>0</v>
      </c>
      <c r="G32" s="72">
        <f t="shared" si="4"/>
        <v>0</v>
      </c>
      <c r="H32" s="71">
        <v>0</v>
      </c>
      <c r="I32" s="6">
        <v>0</v>
      </c>
      <c r="J32" s="72">
        <f t="shared" si="5"/>
        <v>0</v>
      </c>
      <c r="K32" s="72">
        <f t="shared" si="2"/>
        <v>0</v>
      </c>
      <c r="L32" s="325">
        <v>0</v>
      </c>
      <c r="M32" s="156">
        <f t="shared" si="3"/>
        <v>46556.770000000004</v>
      </c>
      <c r="N32" s="50"/>
      <c r="O32" s="5"/>
    </row>
    <row r="33" spans="1:15">
      <c r="A33" s="50">
        <v>30</v>
      </c>
      <c r="B33" s="234"/>
      <c r="C33" s="6"/>
      <c r="D33" s="6"/>
      <c r="E33" s="71">
        <v>0</v>
      </c>
      <c r="F33" s="6">
        <v>0</v>
      </c>
      <c r="G33" s="72">
        <f t="shared" si="4"/>
        <v>0</v>
      </c>
      <c r="H33" s="71">
        <v>0</v>
      </c>
      <c r="I33" s="6">
        <v>0</v>
      </c>
      <c r="J33" s="72">
        <f t="shared" si="5"/>
        <v>0</v>
      </c>
      <c r="K33" s="72">
        <f t="shared" si="2"/>
        <v>0</v>
      </c>
      <c r="L33" s="325">
        <v>0</v>
      </c>
      <c r="M33" s="156">
        <f t="shared" si="3"/>
        <v>46556.770000000004</v>
      </c>
      <c r="N33" s="50"/>
      <c r="O33" s="5"/>
    </row>
    <row r="34" spans="1:15">
      <c r="A34" s="208">
        <v>31</v>
      </c>
      <c r="B34" s="234"/>
      <c r="C34" s="6"/>
      <c r="D34" s="6"/>
      <c r="E34" s="71">
        <v>0</v>
      </c>
      <c r="F34" s="6">
        <v>0</v>
      </c>
      <c r="G34" s="72">
        <f t="shared" si="4"/>
        <v>0</v>
      </c>
      <c r="H34" s="71">
        <v>0</v>
      </c>
      <c r="I34" s="6">
        <v>0</v>
      </c>
      <c r="J34" s="72">
        <f t="shared" si="5"/>
        <v>0</v>
      </c>
      <c r="K34" s="72">
        <f t="shared" si="2"/>
        <v>0</v>
      </c>
      <c r="L34" s="325">
        <v>0</v>
      </c>
      <c r="M34" s="156">
        <f t="shared" si="3"/>
        <v>46556.770000000004</v>
      </c>
      <c r="N34" s="50"/>
      <c r="O34" s="5"/>
    </row>
    <row r="35" spans="1:15">
      <c r="A35" s="50">
        <v>32</v>
      </c>
      <c r="B35" s="234"/>
      <c r="C35" s="6"/>
      <c r="D35" s="6"/>
      <c r="E35" s="71">
        <v>0</v>
      </c>
      <c r="F35" s="6">
        <v>0</v>
      </c>
      <c r="G35" s="72">
        <f t="shared" si="4"/>
        <v>0</v>
      </c>
      <c r="H35" s="71">
        <v>0</v>
      </c>
      <c r="I35" s="6">
        <v>0</v>
      </c>
      <c r="J35" s="72">
        <f t="shared" si="5"/>
        <v>0</v>
      </c>
      <c r="K35" s="72">
        <f t="shared" si="2"/>
        <v>0</v>
      </c>
      <c r="L35" s="325">
        <v>0</v>
      </c>
      <c r="M35" s="156">
        <f t="shared" si="3"/>
        <v>46556.770000000004</v>
      </c>
      <c r="N35" s="50"/>
      <c r="O35" s="5"/>
    </row>
    <row r="36" spans="1:15">
      <c r="A36" s="50">
        <v>33</v>
      </c>
      <c r="B36" s="234"/>
      <c r="C36" s="6"/>
      <c r="D36" s="6"/>
      <c r="E36" s="71">
        <v>0</v>
      </c>
      <c r="F36" s="6">
        <v>0</v>
      </c>
      <c r="G36" s="72">
        <f t="shared" si="4"/>
        <v>0</v>
      </c>
      <c r="H36" s="71">
        <v>0</v>
      </c>
      <c r="I36" s="6">
        <v>0</v>
      </c>
      <c r="J36" s="72">
        <f t="shared" si="5"/>
        <v>0</v>
      </c>
      <c r="K36" s="72">
        <f t="shared" si="2"/>
        <v>0</v>
      </c>
      <c r="L36" s="325">
        <v>0</v>
      </c>
      <c r="M36" s="156">
        <f t="shared" si="3"/>
        <v>46556.770000000004</v>
      </c>
      <c r="N36" s="50"/>
      <c r="O36" s="5"/>
    </row>
    <row r="37" spans="1:15">
      <c r="A37" s="208">
        <v>34</v>
      </c>
      <c r="B37" s="234"/>
      <c r="C37" s="6"/>
      <c r="D37" s="6"/>
      <c r="E37" s="71">
        <v>0</v>
      </c>
      <c r="F37" s="6">
        <v>0</v>
      </c>
      <c r="G37" s="72">
        <f t="shared" si="4"/>
        <v>0</v>
      </c>
      <c r="H37" s="71">
        <v>0</v>
      </c>
      <c r="I37" s="6">
        <v>0</v>
      </c>
      <c r="J37" s="72">
        <f t="shared" si="5"/>
        <v>0</v>
      </c>
      <c r="K37" s="72">
        <f t="shared" si="2"/>
        <v>0</v>
      </c>
      <c r="L37" s="325">
        <v>0</v>
      </c>
      <c r="M37" s="156">
        <f t="shared" si="3"/>
        <v>46556.770000000004</v>
      </c>
      <c r="N37" s="50"/>
      <c r="O37" s="5"/>
    </row>
    <row r="38" spans="1:15">
      <c r="A38" s="50">
        <v>35</v>
      </c>
      <c r="B38" s="234"/>
      <c r="C38" s="6"/>
      <c r="D38" s="6"/>
      <c r="E38" s="71">
        <v>0</v>
      </c>
      <c r="F38" s="6">
        <v>0</v>
      </c>
      <c r="G38" s="72">
        <f t="shared" si="4"/>
        <v>0</v>
      </c>
      <c r="H38" s="71">
        <v>0</v>
      </c>
      <c r="I38" s="6">
        <v>0</v>
      </c>
      <c r="J38" s="72">
        <f t="shared" si="5"/>
        <v>0</v>
      </c>
      <c r="K38" s="72">
        <f t="shared" si="2"/>
        <v>0</v>
      </c>
      <c r="L38" s="325">
        <v>0</v>
      </c>
      <c r="M38" s="156">
        <f t="shared" si="3"/>
        <v>46556.770000000004</v>
      </c>
      <c r="N38" s="6"/>
      <c r="O38" s="5"/>
    </row>
    <row r="39" spans="1:15">
      <c r="A39" s="50">
        <v>36</v>
      </c>
      <c r="B39" s="234"/>
      <c r="C39" s="6"/>
      <c r="D39" s="6"/>
      <c r="E39" s="71">
        <v>0</v>
      </c>
      <c r="F39" s="6">
        <v>0</v>
      </c>
      <c r="G39" s="72">
        <f t="shared" si="4"/>
        <v>0</v>
      </c>
      <c r="H39" s="71">
        <v>0</v>
      </c>
      <c r="I39" s="6">
        <v>0</v>
      </c>
      <c r="J39" s="72">
        <f t="shared" si="5"/>
        <v>0</v>
      </c>
      <c r="K39" s="72">
        <f t="shared" si="2"/>
        <v>0</v>
      </c>
      <c r="L39" s="325">
        <v>0</v>
      </c>
      <c r="M39" s="156">
        <f t="shared" si="3"/>
        <v>46556.770000000004</v>
      </c>
      <c r="N39" s="6"/>
      <c r="O39" s="5"/>
    </row>
    <row r="40" spans="1:15">
      <c r="A40" s="208">
        <v>37</v>
      </c>
      <c r="B40" s="234"/>
      <c r="C40" s="6"/>
      <c r="D40" s="6"/>
      <c r="E40" s="71">
        <v>0</v>
      </c>
      <c r="F40" s="6">
        <v>0</v>
      </c>
      <c r="G40" s="72">
        <f t="shared" si="4"/>
        <v>0</v>
      </c>
      <c r="H40" s="71">
        <v>0</v>
      </c>
      <c r="I40" s="6">
        <v>0</v>
      </c>
      <c r="J40" s="72">
        <f t="shared" si="5"/>
        <v>0</v>
      </c>
      <c r="K40" s="72">
        <f t="shared" si="2"/>
        <v>0</v>
      </c>
      <c r="L40" s="325">
        <v>0</v>
      </c>
      <c r="M40" s="156">
        <f t="shared" si="3"/>
        <v>46556.770000000004</v>
      </c>
      <c r="N40" s="6"/>
      <c r="O40" s="5"/>
    </row>
    <row r="41" spans="1:15">
      <c r="A41" s="50">
        <v>38</v>
      </c>
      <c r="B41" s="234"/>
      <c r="C41" s="6"/>
      <c r="D41" s="6"/>
      <c r="E41" s="71">
        <v>0</v>
      </c>
      <c r="F41" s="6">
        <v>0</v>
      </c>
      <c r="G41" s="72">
        <f t="shared" si="4"/>
        <v>0</v>
      </c>
      <c r="H41" s="71">
        <v>0</v>
      </c>
      <c r="I41" s="6">
        <v>0</v>
      </c>
      <c r="J41" s="72">
        <f t="shared" si="5"/>
        <v>0</v>
      </c>
      <c r="K41" s="72">
        <f t="shared" si="2"/>
        <v>0</v>
      </c>
      <c r="L41" s="325">
        <v>0</v>
      </c>
      <c r="M41" s="156">
        <f t="shared" si="3"/>
        <v>46556.770000000004</v>
      </c>
      <c r="N41" s="6"/>
      <c r="O41" s="5"/>
    </row>
    <row r="42" spans="1:15">
      <c r="A42" s="50">
        <v>39</v>
      </c>
      <c r="B42" s="234"/>
      <c r="C42" s="6"/>
      <c r="D42" s="6"/>
      <c r="E42" s="71">
        <v>0</v>
      </c>
      <c r="F42" s="6">
        <v>0</v>
      </c>
      <c r="G42" s="72">
        <f t="shared" si="4"/>
        <v>0</v>
      </c>
      <c r="H42" s="71">
        <v>0</v>
      </c>
      <c r="I42" s="6">
        <v>0</v>
      </c>
      <c r="J42" s="72">
        <f t="shared" si="5"/>
        <v>0</v>
      </c>
      <c r="K42" s="72">
        <f t="shared" si="2"/>
        <v>0</v>
      </c>
      <c r="L42" s="325">
        <v>0</v>
      </c>
      <c r="M42" s="156">
        <f t="shared" si="3"/>
        <v>46556.770000000004</v>
      </c>
      <c r="N42" s="6"/>
      <c r="O42" s="5"/>
    </row>
    <row r="43" spans="1:15">
      <c r="A43" s="208">
        <v>40</v>
      </c>
      <c r="B43" s="179"/>
      <c r="C43" s="178"/>
      <c r="D43" s="6"/>
      <c r="E43" s="71">
        <v>0</v>
      </c>
      <c r="F43" s="6">
        <v>0</v>
      </c>
      <c r="G43" s="72">
        <f t="shared" si="4"/>
        <v>0</v>
      </c>
      <c r="H43" s="71">
        <v>0</v>
      </c>
      <c r="I43" s="6">
        <v>0</v>
      </c>
      <c r="J43" s="72">
        <f t="shared" si="5"/>
        <v>0</v>
      </c>
      <c r="K43" s="72">
        <f t="shared" si="2"/>
        <v>0</v>
      </c>
      <c r="L43" s="325">
        <v>0</v>
      </c>
      <c r="M43" s="156">
        <f t="shared" si="3"/>
        <v>46556.770000000004</v>
      </c>
      <c r="N43" s="178"/>
      <c r="O43" s="5"/>
    </row>
    <row r="44" spans="1:15">
      <c r="A44" s="50">
        <v>41</v>
      </c>
      <c r="B44" s="6"/>
      <c r="C44" s="6"/>
      <c r="D44" s="6"/>
      <c r="E44" s="71">
        <v>0</v>
      </c>
      <c r="F44" s="6">
        <v>0</v>
      </c>
      <c r="G44" s="72">
        <f t="shared" si="4"/>
        <v>0</v>
      </c>
      <c r="H44" s="71">
        <v>0</v>
      </c>
      <c r="I44" s="6">
        <v>0</v>
      </c>
      <c r="J44" s="72">
        <f t="shared" si="5"/>
        <v>0</v>
      </c>
      <c r="K44" s="72">
        <f t="shared" si="2"/>
        <v>0</v>
      </c>
      <c r="L44" s="325">
        <v>0</v>
      </c>
      <c r="M44" s="156">
        <f t="shared" si="3"/>
        <v>46556.770000000004</v>
      </c>
      <c r="N44" s="6"/>
      <c r="O44" s="5"/>
    </row>
    <row r="45" spans="1:15">
      <c r="A45" s="50">
        <v>42</v>
      </c>
      <c r="B45" s="178"/>
      <c r="C45" s="178"/>
      <c r="D45" s="6"/>
      <c r="E45" s="71">
        <v>0</v>
      </c>
      <c r="F45" s="6">
        <v>0</v>
      </c>
      <c r="G45" s="72">
        <f t="shared" si="4"/>
        <v>0</v>
      </c>
      <c r="H45" s="71"/>
      <c r="I45" s="6"/>
      <c r="J45" s="72">
        <f t="shared" si="5"/>
        <v>0</v>
      </c>
      <c r="K45" s="180">
        <f t="shared" si="2"/>
        <v>0</v>
      </c>
      <c r="L45" s="170">
        <f t="shared" ref="L45:L46" si="6">+K45</f>
        <v>0</v>
      </c>
      <c r="M45" s="156">
        <f t="shared" si="3"/>
        <v>46556.770000000004</v>
      </c>
      <c r="N45" s="178"/>
      <c r="O45" s="5"/>
    </row>
    <row r="46" spans="1:15">
      <c r="A46" s="50"/>
      <c r="B46" s="178"/>
      <c r="C46" s="178"/>
      <c r="D46" s="6"/>
      <c r="E46" s="71">
        <v>0</v>
      </c>
      <c r="F46" s="6">
        <v>0</v>
      </c>
      <c r="G46" s="72">
        <f t="shared" si="4"/>
        <v>0</v>
      </c>
      <c r="H46" s="71"/>
      <c r="I46" s="6"/>
      <c r="J46" s="72">
        <f t="shared" si="5"/>
        <v>0</v>
      </c>
      <c r="K46" s="180">
        <f t="shared" si="2"/>
        <v>0</v>
      </c>
      <c r="L46" s="181">
        <f t="shared" si="6"/>
        <v>0</v>
      </c>
      <c r="M46" s="156">
        <f t="shared" si="3"/>
        <v>46556.770000000004</v>
      </c>
      <c r="N46" s="178"/>
      <c r="O46" s="5"/>
    </row>
    <row r="47" spans="1:15">
      <c r="A47" s="68"/>
      <c r="B47" s="68"/>
      <c r="C47" s="68"/>
      <c r="D47" s="68"/>
      <c r="E47" s="69">
        <f>SUM(E4:E46)</f>
        <v>481</v>
      </c>
      <c r="F47" s="69"/>
      <c r="G47" s="69">
        <f>SUM(G4:G46)</f>
        <v>43973.020000000004</v>
      </c>
      <c r="H47" s="69">
        <f>SUM(H4:H46)</f>
        <v>25</v>
      </c>
      <c r="I47" s="69"/>
      <c r="J47" s="69">
        <f>SUM(J4:J46)</f>
        <v>2583.75</v>
      </c>
      <c r="K47" s="69">
        <f>SUM(K4:K46)</f>
        <v>46556.770000000004</v>
      </c>
      <c r="L47" s="69">
        <f>SUM(L4:L46)</f>
        <v>0</v>
      </c>
      <c r="M47" s="69"/>
      <c r="N47" s="69"/>
      <c r="O47" s="65"/>
    </row>
    <row r="48" spans="1:15">
      <c r="A48" s="5"/>
      <c r="B48" s="5"/>
      <c r="C48" s="5"/>
      <c r="D48" s="5"/>
      <c r="E48" s="5"/>
      <c r="F48" s="5"/>
      <c r="G48" s="108"/>
      <c r="H48" s="5"/>
      <c r="I48" s="5"/>
      <c r="J48" s="108"/>
      <c r="K48" s="5"/>
      <c r="L48" s="108"/>
      <c r="M48" s="108"/>
      <c r="N48" s="5"/>
      <c r="O48" s="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8"/>
  <sheetViews>
    <sheetView workbookViewId="0">
      <selection activeCell="M33" sqref="M33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55" t="s">
        <v>50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20">
      <c r="A2" s="131" t="s">
        <v>96</v>
      </c>
      <c r="B2" s="131" t="s">
        <v>97</v>
      </c>
      <c r="C2" s="131" t="s">
        <v>98</v>
      </c>
      <c r="D2" s="131" t="s">
        <v>99</v>
      </c>
      <c r="E2" s="184" t="s">
        <v>100</v>
      </c>
      <c r="F2" s="184" t="s">
        <v>101</v>
      </c>
      <c r="G2" s="184" t="s">
        <v>102</v>
      </c>
      <c r="H2" s="184" t="s">
        <v>103</v>
      </c>
      <c r="I2" s="184" t="s">
        <v>101</v>
      </c>
      <c r="J2" s="184" t="s">
        <v>102</v>
      </c>
      <c r="K2" s="184" t="s">
        <v>104</v>
      </c>
      <c r="L2" s="131" t="s">
        <v>183</v>
      </c>
      <c r="M2" s="134" t="s">
        <v>105</v>
      </c>
      <c r="N2" s="131" t="s">
        <v>107</v>
      </c>
    </row>
    <row r="3" spans="1:20">
      <c r="A3" s="17"/>
      <c r="B3" s="17"/>
      <c r="C3" s="17"/>
      <c r="D3" s="17" t="s">
        <v>108</v>
      </c>
      <c r="E3" s="17"/>
      <c r="F3" s="17"/>
      <c r="G3" s="17"/>
      <c r="H3" s="17"/>
      <c r="I3" s="17"/>
      <c r="J3" s="17"/>
      <c r="K3" s="189">
        <v>10170.750000000002</v>
      </c>
      <c r="L3" s="17"/>
      <c r="M3" s="189">
        <v>10170.750000000002</v>
      </c>
      <c r="N3" s="17"/>
    </row>
    <row r="4" spans="1:20">
      <c r="A4" s="26">
        <v>1</v>
      </c>
      <c r="B4" s="27">
        <v>45931</v>
      </c>
      <c r="C4" s="144"/>
      <c r="D4" s="144"/>
      <c r="E4" s="99">
        <v>0</v>
      </c>
      <c r="F4" s="99">
        <v>0</v>
      </c>
      <c r="G4" s="189">
        <f>F4*E4</f>
        <v>0</v>
      </c>
      <c r="H4" s="99">
        <v>5</v>
      </c>
      <c r="I4" s="99">
        <v>102.77</v>
      </c>
      <c r="J4" s="189">
        <f t="shared" ref="J4" si="0">H4*I4</f>
        <v>513.85</v>
      </c>
      <c r="K4" s="189">
        <f>G4+J4</f>
        <v>513.85</v>
      </c>
      <c r="L4" s="189">
        <v>0</v>
      </c>
      <c r="M4" s="189">
        <f>M3+K4-L4</f>
        <v>10684.600000000002</v>
      </c>
      <c r="N4" s="144"/>
    </row>
    <row r="5" spans="1:20">
      <c r="A5" s="26">
        <v>2</v>
      </c>
      <c r="B5" s="27">
        <v>45932</v>
      </c>
      <c r="C5" s="17"/>
      <c r="D5" s="144"/>
      <c r="E5" s="99">
        <v>40</v>
      </c>
      <c r="F5" s="99">
        <v>90.88</v>
      </c>
      <c r="G5" s="189">
        <f t="shared" ref="G5:G33" si="1">F5*E5</f>
        <v>3635.2</v>
      </c>
      <c r="H5" s="99">
        <v>0</v>
      </c>
      <c r="I5" s="99">
        <v>0</v>
      </c>
      <c r="J5" s="189">
        <f t="shared" ref="J5:J33" si="2">H5*I5</f>
        <v>0</v>
      </c>
      <c r="K5" s="189">
        <f t="shared" ref="K5:K33" si="3">G5+J5</f>
        <v>3635.2</v>
      </c>
      <c r="L5" s="189">
        <v>0</v>
      </c>
      <c r="M5" s="189">
        <f t="shared" ref="M5:M33" si="4">M4+K5-L5</f>
        <v>14319.800000000003</v>
      </c>
      <c r="N5" s="17"/>
      <c r="S5">
        <v>90.88</v>
      </c>
      <c r="T5">
        <v>102.77</v>
      </c>
    </row>
    <row r="6" spans="1:20">
      <c r="A6" s="26">
        <v>3</v>
      </c>
      <c r="B6" s="27">
        <v>45933</v>
      </c>
      <c r="C6" s="17"/>
      <c r="D6" s="144"/>
      <c r="E6" s="99">
        <v>170</v>
      </c>
      <c r="F6" s="99">
        <v>90.88</v>
      </c>
      <c r="G6" s="189">
        <f t="shared" si="1"/>
        <v>15449.599999999999</v>
      </c>
      <c r="H6" s="99">
        <v>0</v>
      </c>
      <c r="I6" s="99">
        <v>0</v>
      </c>
      <c r="J6" s="189">
        <f t="shared" si="2"/>
        <v>0</v>
      </c>
      <c r="K6" s="189">
        <f t="shared" si="3"/>
        <v>15449.599999999999</v>
      </c>
      <c r="L6" s="189">
        <v>0</v>
      </c>
      <c r="M6" s="189">
        <f t="shared" si="4"/>
        <v>29769.4</v>
      </c>
      <c r="N6" s="17"/>
    </row>
    <row r="7" spans="1:20">
      <c r="A7" s="26">
        <v>4</v>
      </c>
      <c r="B7" s="27">
        <v>45934</v>
      </c>
      <c r="C7" s="17"/>
      <c r="D7" s="144"/>
      <c r="E7" s="99">
        <v>160</v>
      </c>
      <c r="F7" s="99">
        <v>90.88</v>
      </c>
      <c r="G7" s="189">
        <f t="shared" si="1"/>
        <v>14540.8</v>
      </c>
      <c r="H7" s="99">
        <v>0</v>
      </c>
      <c r="I7" s="99">
        <v>0</v>
      </c>
      <c r="J7" s="189">
        <f t="shared" si="2"/>
        <v>0</v>
      </c>
      <c r="K7" s="189">
        <f t="shared" si="3"/>
        <v>14540.8</v>
      </c>
      <c r="L7" s="189">
        <v>0</v>
      </c>
      <c r="M7" s="189">
        <f t="shared" si="4"/>
        <v>44310.2</v>
      </c>
      <c r="N7" s="17"/>
    </row>
    <row r="8" spans="1:20">
      <c r="A8" s="26">
        <v>5</v>
      </c>
      <c r="B8" s="27">
        <v>45935</v>
      </c>
      <c r="C8" s="17"/>
      <c r="D8" s="144"/>
      <c r="E8" s="99">
        <v>100</v>
      </c>
      <c r="F8" s="99">
        <v>90.88</v>
      </c>
      <c r="G8" s="189">
        <f t="shared" si="1"/>
        <v>9088</v>
      </c>
      <c r="H8" s="99">
        <v>0</v>
      </c>
      <c r="I8" s="99">
        <v>0</v>
      </c>
      <c r="J8" s="189">
        <f t="shared" si="2"/>
        <v>0</v>
      </c>
      <c r="K8" s="189">
        <f t="shared" si="3"/>
        <v>9088</v>
      </c>
      <c r="L8" s="189">
        <v>0</v>
      </c>
      <c r="M8" s="189">
        <f t="shared" si="4"/>
        <v>53398.2</v>
      </c>
      <c r="N8" s="17"/>
    </row>
    <row r="9" spans="1:20">
      <c r="A9" s="26">
        <v>6</v>
      </c>
      <c r="B9" s="27">
        <v>45936</v>
      </c>
      <c r="C9" s="17"/>
      <c r="D9" s="144"/>
      <c r="E9" s="99">
        <v>0</v>
      </c>
      <c r="F9" s="99">
        <v>0</v>
      </c>
      <c r="G9" s="189">
        <f t="shared" si="1"/>
        <v>0</v>
      </c>
      <c r="H9" s="99">
        <v>5</v>
      </c>
      <c r="I9" s="99">
        <v>102.77</v>
      </c>
      <c r="J9" s="189">
        <f t="shared" si="2"/>
        <v>513.85</v>
      </c>
      <c r="K9" s="189">
        <f t="shared" si="3"/>
        <v>513.85</v>
      </c>
      <c r="L9" s="189">
        <v>0</v>
      </c>
      <c r="M9" s="189">
        <f t="shared" si="4"/>
        <v>53912.049999999996</v>
      </c>
      <c r="N9" s="17"/>
    </row>
    <row r="10" spans="1:20">
      <c r="A10" s="26">
        <v>7</v>
      </c>
      <c r="B10" s="27">
        <v>45937</v>
      </c>
      <c r="C10" s="17"/>
      <c r="D10" s="144"/>
      <c r="E10" s="99">
        <v>88</v>
      </c>
      <c r="F10" s="99">
        <v>90.88</v>
      </c>
      <c r="G10" s="189">
        <f t="shared" si="1"/>
        <v>7997.44</v>
      </c>
      <c r="H10" s="99">
        <v>5</v>
      </c>
      <c r="I10" s="99">
        <v>102.77</v>
      </c>
      <c r="J10" s="189">
        <f t="shared" si="2"/>
        <v>513.85</v>
      </c>
      <c r="K10" s="189">
        <f t="shared" si="3"/>
        <v>8511.2899999999991</v>
      </c>
      <c r="L10" s="189">
        <v>0</v>
      </c>
      <c r="M10" s="189">
        <f t="shared" si="4"/>
        <v>62423.34</v>
      </c>
      <c r="N10" s="17"/>
    </row>
    <row r="11" spans="1:20">
      <c r="A11" s="26">
        <v>8</v>
      </c>
      <c r="B11" s="27">
        <v>45938</v>
      </c>
      <c r="C11" s="17"/>
      <c r="D11" s="144"/>
      <c r="E11" s="99">
        <v>35.14</v>
      </c>
      <c r="F11" s="99">
        <v>90.88</v>
      </c>
      <c r="G11" s="189">
        <f t="shared" si="1"/>
        <v>3193.5232000000001</v>
      </c>
      <c r="H11" s="99">
        <v>5</v>
      </c>
      <c r="I11" s="99">
        <v>102.77</v>
      </c>
      <c r="J11" s="189">
        <f t="shared" si="2"/>
        <v>513.85</v>
      </c>
      <c r="K11" s="189">
        <f t="shared" si="3"/>
        <v>3707.3732</v>
      </c>
      <c r="L11" s="189">
        <v>0</v>
      </c>
      <c r="M11" s="189">
        <f t="shared" si="4"/>
        <v>66130.713199999998</v>
      </c>
      <c r="N11" s="17"/>
    </row>
    <row r="12" spans="1:20">
      <c r="A12" s="26">
        <v>9</v>
      </c>
      <c r="B12" s="27">
        <v>45939</v>
      </c>
      <c r="C12" s="17"/>
      <c r="D12" s="144"/>
      <c r="E12" s="99">
        <v>40</v>
      </c>
      <c r="F12" s="99">
        <v>90.88</v>
      </c>
      <c r="G12" s="189">
        <f t="shared" si="1"/>
        <v>3635.2</v>
      </c>
      <c r="H12" s="99">
        <v>0</v>
      </c>
      <c r="I12" s="99">
        <v>0</v>
      </c>
      <c r="J12" s="189">
        <f t="shared" si="2"/>
        <v>0</v>
      </c>
      <c r="K12" s="189">
        <f t="shared" si="3"/>
        <v>3635.2</v>
      </c>
      <c r="L12" s="189">
        <v>0</v>
      </c>
      <c r="M12" s="189">
        <f t="shared" si="4"/>
        <v>69765.913199999995</v>
      </c>
      <c r="N12" s="17"/>
    </row>
    <row r="13" spans="1:20">
      <c r="A13" s="26">
        <v>10</v>
      </c>
      <c r="B13" s="27">
        <v>45940</v>
      </c>
      <c r="C13" s="17"/>
      <c r="D13" s="144"/>
      <c r="E13" s="99">
        <v>159.6</v>
      </c>
      <c r="F13" s="99">
        <v>90.88</v>
      </c>
      <c r="G13" s="189">
        <f t="shared" si="1"/>
        <v>14504.447999999999</v>
      </c>
      <c r="H13" s="99">
        <v>0</v>
      </c>
      <c r="I13" s="99">
        <v>0</v>
      </c>
      <c r="J13" s="189">
        <f t="shared" si="2"/>
        <v>0</v>
      </c>
      <c r="K13" s="189">
        <f t="shared" si="3"/>
        <v>14504.447999999999</v>
      </c>
      <c r="L13" s="189">
        <v>65000</v>
      </c>
      <c r="M13" s="189">
        <f t="shared" si="4"/>
        <v>19270.361199999999</v>
      </c>
      <c r="N13" s="17"/>
    </row>
    <row r="14" spans="1:20">
      <c r="A14" s="26">
        <v>11</v>
      </c>
      <c r="B14" s="27">
        <v>45941</v>
      </c>
      <c r="C14" s="17"/>
      <c r="D14" s="144"/>
      <c r="E14" s="99">
        <v>0</v>
      </c>
      <c r="F14" s="99">
        <v>0</v>
      </c>
      <c r="G14" s="189">
        <f t="shared" si="1"/>
        <v>0</v>
      </c>
      <c r="H14" s="99">
        <v>0</v>
      </c>
      <c r="I14" s="99">
        <v>0</v>
      </c>
      <c r="J14" s="189">
        <f t="shared" si="2"/>
        <v>0</v>
      </c>
      <c r="K14" s="189">
        <f t="shared" si="3"/>
        <v>0</v>
      </c>
      <c r="L14" s="189">
        <f t="shared" ref="L14:L33" si="5">+K14</f>
        <v>0</v>
      </c>
      <c r="M14" s="189">
        <f t="shared" si="4"/>
        <v>19270.361199999999</v>
      </c>
      <c r="N14" s="17"/>
    </row>
    <row r="15" spans="1:20">
      <c r="A15" s="26">
        <v>12</v>
      </c>
      <c r="B15" s="27">
        <v>45942</v>
      </c>
      <c r="C15" s="17"/>
      <c r="D15" s="144"/>
      <c r="E15" s="99">
        <v>0</v>
      </c>
      <c r="F15" s="99">
        <v>0</v>
      </c>
      <c r="G15" s="189">
        <f t="shared" si="1"/>
        <v>0</v>
      </c>
      <c r="H15" s="99">
        <v>0</v>
      </c>
      <c r="I15" s="99">
        <v>0</v>
      </c>
      <c r="J15" s="189">
        <f t="shared" si="2"/>
        <v>0</v>
      </c>
      <c r="K15" s="189">
        <f t="shared" si="3"/>
        <v>0</v>
      </c>
      <c r="L15" s="189">
        <f t="shared" si="5"/>
        <v>0</v>
      </c>
      <c r="M15" s="189">
        <f t="shared" si="4"/>
        <v>19270.361199999999</v>
      </c>
      <c r="N15" s="17"/>
    </row>
    <row r="16" spans="1:20">
      <c r="A16" s="26">
        <v>13</v>
      </c>
      <c r="B16" s="27">
        <v>45943</v>
      </c>
      <c r="C16" s="17"/>
      <c r="D16" s="144"/>
      <c r="E16" s="99">
        <v>86.01</v>
      </c>
      <c r="F16" s="99">
        <v>90.88</v>
      </c>
      <c r="G16" s="189">
        <f t="shared" si="1"/>
        <v>7816.5888000000004</v>
      </c>
      <c r="H16" s="99">
        <v>10</v>
      </c>
      <c r="I16" s="99">
        <v>102.77</v>
      </c>
      <c r="J16" s="189">
        <f t="shared" si="2"/>
        <v>1027.7</v>
      </c>
      <c r="K16" s="189">
        <f t="shared" si="3"/>
        <v>8844.2888000000003</v>
      </c>
      <c r="L16" s="189">
        <v>0</v>
      </c>
      <c r="M16" s="189">
        <f t="shared" si="4"/>
        <v>28114.65</v>
      </c>
      <c r="N16" s="17"/>
    </row>
    <row r="17" spans="1:15">
      <c r="A17" s="26">
        <v>14</v>
      </c>
      <c r="B17" s="27">
        <v>45944</v>
      </c>
      <c r="C17" s="17"/>
      <c r="D17" s="144"/>
      <c r="E17" s="99">
        <v>0</v>
      </c>
      <c r="F17" s="99">
        <v>0</v>
      </c>
      <c r="G17" s="189">
        <f t="shared" si="1"/>
        <v>0</v>
      </c>
      <c r="H17" s="99">
        <v>5</v>
      </c>
      <c r="I17" s="99">
        <v>102.77</v>
      </c>
      <c r="J17" s="189">
        <f t="shared" si="2"/>
        <v>513.85</v>
      </c>
      <c r="K17" s="189">
        <f t="shared" si="3"/>
        <v>513.85</v>
      </c>
      <c r="L17" s="189">
        <v>0</v>
      </c>
      <c r="M17" s="189">
        <f t="shared" si="4"/>
        <v>28628.5</v>
      </c>
      <c r="N17" s="17"/>
    </row>
    <row r="18" spans="1:15">
      <c r="A18" s="26">
        <v>15</v>
      </c>
      <c r="B18" s="27">
        <v>45945</v>
      </c>
      <c r="C18" s="17"/>
      <c r="D18" s="144"/>
      <c r="E18" s="99">
        <v>90</v>
      </c>
      <c r="F18" s="99">
        <v>90.88</v>
      </c>
      <c r="G18" s="189">
        <f t="shared" si="1"/>
        <v>8179.2</v>
      </c>
      <c r="H18" s="99">
        <v>10</v>
      </c>
      <c r="I18" s="99">
        <v>102.77</v>
      </c>
      <c r="J18" s="189">
        <f t="shared" si="2"/>
        <v>1027.7</v>
      </c>
      <c r="K18" s="189">
        <f t="shared" si="3"/>
        <v>9206.9</v>
      </c>
      <c r="L18" s="189">
        <v>0</v>
      </c>
      <c r="M18" s="189">
        <f t="shared" si="4"/>
        <v>37835.4</v>
      </c>
      <c r="N18" s="17"/>
    </row>
    <row r="19" spans="1:15">
      <c r="A19" s="26">
        <v>16</v>
      </c>
      <c r="B19" s="27">
        <v>45946</v>
      </c>
      <c r="C19" s="17"/>
      <c r="D19" s="144"/>
      <c r="E19" s="99">
        <v>0</v>
      </c>
      <c r="F19" s="99">
        <v>0</v>
      </c>
      <c r="G19" s="189">
        <f t="shared" si="1"/>
        <v>0</v>
      </c>
      <c r="H19" s="99">
        <v>0</v>
      </c>
      <c r="I19" s="99">
        <v>0</v>
      </c>
      <c r="J19" s="189">
        <f t="shared" si="2"/>
        <v>0</v>
      </c>
      <c r="K19" s="189">
        <f t="shared" si="3"/>
        <v>0</v>
      </c>
      <c r="L19" s="189">
        <f t="shared" si="5"/>
        <v>0</v>
      </c>
      <c r="M19" s="189">
        <f t="shared" si="4"/>
        <v>37835.4</v>
      </c>
      <c r="N19" s="17"/>
    </row>
    <row r="20" spans="1:15">
      <c r="A20" s="26">
        <v>17</v>
      </c>
      <c r="B20" s="27">
        <v>45947</v>
      </c>
      <c r="C20" s="17"/>
      <c r="D20" s="144"/>
      <c r="E20" s="99">
        <v>0</v>
      </c>
      <c r="F20" s="99">
        <v>0</v>
      </c>
      <c r="G20" s="189">
        <f t="shared" si="1"/>
        <v>0</v>
      </c>
      <c r="H20" s="99">
        <v>0</v>
      </c>
      <c r="I20" s="99">
        <v>0</v>
      </c>
      <c r="J20" s="189">
        <f t="shared" si="2"/>
        <v>0</v>
      </c>
      <c r="K20" s="189">
        <f t="shared" si="3"/>
        <v>0</v>
      </c>
      <c r="L20" s="189">
        <f t="shared" si="5"/>
        <v>0</v>
      </c>
      <c r="M20" s="189">
        <f t="shared" si="4"/>
        <v>37835.4</v>
      </c>
      <c r="N20" s="17"/>
      <c r="O20">
        <v>16.68</v>
      </c>
    </row>
    <row r="21" spans="1:15">
      <c r="A21" s="26">
        <v>18</v>
      </c>
      <c r="B21" s="27">
        <v>45948</v>
      </c>
      <c r="C21" s="17"/>
      <c r="D21" s="144"/>
      <c r="E21" s="99">
        <v>0</v>
      </c>
      <c r="F21" s="99">
        <v>0</v>
      </c>
      <c r="G21" s="189">
        <f t="shared" si="1"/>
        <v>0</v>
      </c>
      <c r="H21" s="99">
        <v>5</v>
      </c>
      <c r="I21" s="99">
        <v>102.77</v>
      </c>
      <c r="J21" s="189">
        <f t="shared" si="2"/>
        <v>513.85</v>
      </c>
      <c r="K21" s="189">
        <f t="shared" si="3"/>
        <v>513.85</v>
      </c>
      <c r="L21" s="189">
        <v>0</v>
      </c>
      <c r="M21" s="189">
        <f t="shared" si="4"/>
        <v>38349.25</v>
      </c>
      <c r="N21" s="17"/>
    </row>
    <row r="22" spans="1:15">
      <c r="A22" s="26">
        <v>19</v>
      </c>
      <c r="B22" s="27">
        <v>45949</v>
      </c>
      <c r="C22" s="17"/>
      <c r="D22" s="144"/>
      <c r="E22" s="99">
        <v>0</v>
      </c>
      <c r="F22" s="99">
        <v>0</v>
      </c>
      <c r="G22" s="189">
        <f t="shared" si="1"/>
        <v>0</v>
      </c>
      <c r="H22" s="99">
        <v>0</v>
      </c>
      <c r="I22" s="99">
        <v>0</v>
      </c>
      <c r="J22" s="189">
        <f t="shared" si="2"/>
        <v>0</v>
      </c>
      <c r="K22" s="189">
        <f t="shared" si="3"/>
        <v>0</v>
      </c>
      <c r="L22" s="189">
        <f t="shared" si="5"/>
        <v>0</v>
      </c>
      <c r="M22" s="189">
        <f t="shared" si="4"/>
        <v>38349.25</v>
      </c>
      <c r="N22" s="17"/>
    </row>
    <row r="23" spans="1:15">
      <c r="A23" s="26">
        <v>20</v>
      </c>
      <c r="B23" s="27">
        <v>45950</v>
      </c>
      <c r="C23" s="17"/>
      <c r="D23" s="144"/>
      <c r="E23" s="99">
        <v>0</v>
      </c>
      <c r="F23" s="99">
        <v>0</v>
      </c>
      <c r="G23" s="189">
        <f t="shared" si="1"/>
        <v>0</v>
      </c>
      <c r="H23" s="99">
        <v>0</v>
      </c>
      <c r="I23" s="99">
        <v>0</v>
      </c>
      <c r="J23" s="189">
        <f t="shared" si="2"/>
        <v>0</v>
      </c>
      <c r="K23" s="189">
        <f t="shared" si="3"/>
        <v>0</v>
      </c>
      <c r="L23" s="189">
        <f t="shared" si="5"/>
        <v>0</v>
      </c>
      <c r="M23" s="189">
        <f t="shared" si="4"/>
        <v>38349.25</v>
      </c>
      <c r="N23" s="17">
        <v>0</v>
      </c>
    </row>
    <row r="24" spans="1:15">
      <c r="A24" s="26">
        <v>21</v>
      </c>
      <c r="B24" s="27">
        <v>45951</v>
      </c>
      <c r="C24" s="17"/>
      <c r="D24" s="144"/>
      <c r="E24" s="99">
        <v>0</v>
      </c>
      <c r="F24" s="99">
        <v>0</v>
      </c>
      <c r="G24" s="189">
        <f t="shared" si="1"/>
        <v>0</v>
      </c>
      <c r="H24" s="99">
        <v>5</v>
      </c>
      <c r="I24" s="99">
        <v>102.77</v>
      </c>
      <c r="J24" s="189">
        <f t="shared" si="2"/>
        <v>513.85</v>
      </c>
      <c r="K24" s="189">
        <f t="shared" si="3"/>
        <v>513.85</v>
      </c>
      <c r="L24" s="189">
        <v>0</v>
      </c>
      <c r="M24" s="189">
        <f t="shared" si="4"/>
        <v>38863.1</v>
      </c>
      <c r="N24" s="17"/>
    </row>
    <row r="25" spans="1:15">
      <c r="A25" s="26">
        <v>22</v>
      </c>
      <c r="B25" s="27">
        <v>45952</v>
      </c>
      <c r="C25" s="17"/>
      <c r="D25" s="144"/>
      <c r="E25" s="99">
        <v>0</v>
      </c>
      <c r="F25" s="99">
        <v>0</v>
      </c>
      <c r="G25" s="189">
        <f t="shared" si="1"/>
        <v>0</v>
      </c>
      <c r="H25" s="99">
        <v>0</v>
      </c>
      <c r="I25" s="99">
        <v>0</v>
      </c>
      <c r="J25" s="189">
        <f t="shared" si="2"/>
        <v>0</v>
      </c>
      <c r="K25" s="189">
        <f t="shared" si="3"/>
        <v>0</v>
      </c>
      <c r="L25" s="189">
        <f t="shared" si="5"/>
        <v>0</v>
      </c>
      <c r="M25" s="189">
        <f t="shared" si="4"/>
        <v>38863.1</v>
      </c>
      <c r="N25" s="17"/>
    </row>
    <row r="26" spans="1:15">
      <c r="A26" s="26">
        <v>23</v>
      </c>
      <c r="B26" s="27">
        <v>45953</v>
      </c>
      <c r="C26" s="17"/>
      <c r="D26" s="144"/>
      <c r="E26" s="99">
        <v>0</v>
      </c>
      <c r="F26" s="99">
        <v>0</v>
      </c>
      <c r="G26" s="189">
        <f t="shared" si="1"/>
        <v>0</v>
      </c>
      <c r="H26" s="99">
        <v>5</v>
      </c>
      <c r="I26" s="99">
        <v>102.77</v>
      </c>
      <c r="J26" s="189">
        <f t="shared" si="2"/>
        <v>513.85</v>
      </c>
      <c r="K26" s="189">
        <f t="shared" si="3"/>
        <v>513.85</v>
      </c>
      <c r="L26" s="189">
        <v>0</v>
      </c>
      <c r="M26" s="189">
        <f t="shared" si="4"/>
        <v>39376.949999999997</v>
      </c>
      <c r="N26" s="17"/>
    </row>
    <row r="27" spans="1:15">
      <c r="A27" s="26">
        <v>24</v>
      </c>
      <c r="B27" s="27">
        <v>45954</v>
      </c>
      <c r="C27" s="17"/>
      <c r="D27" s="144"/>
      <c r="E27" s="99">
        <v>0</v>
      </c>
      <c r="F27" s="99">
        <v>0</v>
      </c>
      <c r="G27" s="189">
        <f t="shared" si="1"/>
        <v>0</v>
      </c>
      <c r="H27" s="99">
        <v>5</v>
      </c>
      <c r="I27" s="99">
        <v>102.77</v>
      </c>
      <c r="J27" s="189">
        <f t="shared" si="2"/>
        <v>513.85</v>
      </c>
      <c r="K27" s="189">
        <f t="shared" si="3"/>
        <v>513.85</v>
      </c>
      <c r="L27" s="189">
        <v>0</v>
      </c>
      <c r="M27" s="189">
        <f t="shared" si="4"/>
        <v>39890.799999999996</v>
      </c>
      <c r="N27" s="17"/>
    </row>
    <row r="28" spans="1:15">
      <c r="A28" s="26">
        <v>25</v>
      </c>
      <c r="B28" s="27">
        <v>45955</v>
      </c>
      <c r="C28" s="17"/>
      <c r="D28" s="144"/>
      <c r="E28" s="99">
        <v>0</v>
      </c>
      <c r="F28" s="99">
        <v>0</v>
      </c>
      <c r="G28" s="189">
        <f t="shared" si="1"/>
        <v>0</v>
      </c>
      <c r="H28" s="99">
        <v>5</v>
      </c>
      <c r="I28" s="99">
        <v>102.77</v>
      </c>
      <c r="J28" s="189">
        <f t="shared" si="2"/>
        <v>513.85</v>
      </c>
      <c r="K28" s="189">
        <f t="shared" si="3"/>
        <v>513.85</v>
      </c>
      <c r="L28" s="189">
        <v>0</v>
      </c>
      <c r="M28" s="189">
        <f t="shared" si="4"/>
        <v>40404.649999999994</v>
      </c>
      <c r="N28" s="17"/>
    </row>
    <row r="29" spans="1:15">
      <c r="A29" s="26">
        <v>26</v>
      </c>
      <c r="B29" s="27">
        <v>45956</v>
      </c>
      <c r="C29" s="17"/>
      <c r="D29" s="144"/>
      <c r="E29" s="99">
        <v>0</v>
      </c>
      <c r="F29" s="99">
        <v>0</v>
      </c>
      <c r="G29" s="189">
        <f t="shared" si="1"/>
        <v>0</v>
      </c>
      <c r="H29" s="99">
        <v>0</v>
      </c>
      <c r="I29" s="99">
        <v>0</v>
      </c>
      <c r="J29" s="189">
        <f t="shared" si="2"/>
        <v>0</v>
      </c>
      <c r="K29" s="189">
        <f t="shared" si="3"/>
        <v>0</v>
      </c>
      <c r="L29" s="189">
        <f t="shared" si="5"/>
        <v>0</v>
      </c>
      <c r="M29" s="189">
        <f t="shared" si="4"/>
        <v>40404.649999999994</v>
      </c>
      <c r="N29" s="17"/>
    </row>
    <row r="30" spans="1:15">
      <c r="A30" s="26">
        <v>27</v>
      </c>
      <c r="B30" s="27">
        <v>45957</v>
      </c>
      <c r="C30" s="17"/>
      <c r="D30" s="144"/>
      <c r="E30" s="99">
        <v>0</v>
      </c>
      <c r="F30" s="99">
        <v>0</v>
      </c>
      <c r="G30" s="189">
        <f t="shared" si="1"/>
        <v>0</v>
      </c>
      <c r="H30" s="99">
        <v>0</v>
      </c>
      <c r="I30" s="99">
        <v>0</v>
      </c>
      <c r="J30" s="189">
        <f t="shared" si="2"/>
        <v>0</v>
      </c>
      <c r="K30" s="189">
        <f t="shared" si="3"/>
        <v>0</v>
      </c>
      <c r="L30" s="189">
        <f t="shared" si="5"/>
        <v>0</v>
      </c>
      <c r="M30" s="189">
        <f t="shared" si="4"/>
        <v>40404.649999999994</v>
      </c>
      <c r="N30" s="17"/>
    </row>
    <row r="31" spans="1:15">
      <c r="A31" s="26">
        <v>28</v>
      </c>
      <c r="B31" s="27">
        <v>45958</v>
      </c>
      <c r="C31" s="17"/>
      <c r="D31" s="144"/>
      <c r="E31" s="99">
        <v>0</v>
      </c>
      <c r="F31" s="99">
        <v>0</v>
      </c>
      <c r="G31" s="189">
        <f t="shared" si="1"/>
        <v>0</v>
      </c>
      <c r="H31" s="99">
        <v>5</v>
      </c>
      <c r="I31" s="99">
        <v>102.77</v>
      </c>
      <c r="J31" s="189">
        <f t="shared" si="2"/>
        <v>513.85</v>
      </c>
      <c r="K31" s="189">
        <f t="shared" si="3"/>
        <v>513.85</v>
      </c>
      <c r="L31" s="189">
        <v>0</v>
      </c>
      <c r="M31" s="189">
        <f t="shared" si="4"/>
        <v>40918.499999999993</v>
      </c>
      <c r="N31" s="17"/>
    </row>
    <row r="32" spans="1:15">
      <c r="A32" s="26">
        <v>29</v>
      </c>
      <c r="B32" s="27">
        <v>45959</v>
      </c>
      <c r="C32" s="17"/>
      <c r="D32" s="144"/>
      <c r="E32" s="99">
        <v>0</v>
      </c>
      <c r="F32" s="99">
        <v>0</v>
      </c>
      <c r="G32" s="189">
        <f t="shared" si="1"/>
        <v>0</v>
      </c>
      <c r="H32" s="99">
        <v>0</v>
      </c>
      <c r="I32" s="99">
        <v>0</v>
      </c>
      <c r="J32" s="189">
        <f t="shared" si="2"/>
        <v>0</v>
      </c>
      <c r="K32" s="189">
        <f t="shared" si="3"/>
        <v>0</v>
      </c>
      <c r="L32" s="189">
        <f t="shared" si="5"/>
        <v>0</v>
      </c>
      <c r="M32" s="189">
        <f t="shared" si="4"/>
        <v>40918.499999999993</v>
      </c>
      <c r="N32" s="17"/>
    </row>
    <row r="33" spans="1:14">
      <c r="A33" s="26">
        <v>30</v>
      </c>
      <c r="B33" s="27">
        <v>45960</v>
      </c>
      <c r="C33" s="17"/>
      <c r="D33" s="144"/>
      <c r="E33" s="99">
        <v>95</v>
      </c>
      <c r="F33" s="99">
        <v>90.8</v>
      </c>
      <c r="G33" s="189">
        <f t="shared" si="1"/>
        <v>8626</v>
      </c>
      <c r="H33" s="99">
        <v>6</v>
      </c>
      <c r="I33" s="99">
        <v>102.77</v>
      </c>
      <c r="J33" s="189">
        <f t="shared" si="2"/>
        <v>616.62</v>
      </c>
      <c r="K33" s="189">
        <f t="shared" si="3"/>
        <v>9242.6200000000008</v>
      </c>
      <c r="L33" s="189">
        <v>0</v>
      </c>
      <c r="M33" s="189">
        <f t="shared" si="4"/>
        <v>50161.119999999995</v>
      </c>
      <c r="N33" s="17"/>
    </row>
    <row r="34" spans="1:14">
      <c r="A34" s="26">
        <v>31</v>
      </c>
      <c r="B34" s="27"/>
      <c r="C34" s="17"/>
      <c r="D34" s="17"/>
      <c r="E34" s="99"/>
      <c r="F34" s="99"/>
      <c r="G34" s="189"/>
      <c r="H34" s="99"/>
      <c r="I34" s="99"/>
      <c r="J34" s="189"/>
      <c r="K34" s="189"/>
      <c r="L34" s="144"/>
      <c r="M34" s="189"/>
      <c r="N34" s="17"/>
    </row>
    <row r="35" spans="1:14">
      <c r="A35" s="46"/>
      <c r="B35" s="46"/>
      <c r="C35" s="46"/>
      <c r="D35" s="46"/>
      <c r="E35" s="46">
        <f>SUM(E4:E34)</f>
        <v>1063.75</v>
      </c>
      <c r="F35" s="46"/>
      <c r="G35" s="46">
        <f>SUM(G4:G34)</f>
        <v>96666</v>
      </c>
      <c r="H35" s="46">
        <f>SUM(H4:H34)</f>
        <v>81</v>
      </c>
      <c r="I35" s="46"/>
      <c r="J35" s="46">
        <f>SUM(J4:J34)</f>
        <v>8324.3700000000026</v>
      </c>
      <c r="K35" s="46">
        <f>SUM(K4:K34)</f>
        <v>104990.37000000002</v>
      </c>
      <c r="L35" s="46">
        <f>SUM(L4:L34)</f>
        <v>65000</v>
      </c>
      <c r="M35" s="46">
        <f>SUM(M4:M34)</f>
        <v>1158028.42</v>
      </c>
      <c r="N35" s="46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workbookViewId="0">
      <selection activeCell="M34" sqref="M34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55" t="s">
        <v>52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98"/>
      <c r="P1" s="98"/>
      <c r="Q1" s="98"/>
    </row>
    <row r="2" spans="1:17">
      <c r="A2" s="70" t="s">
        <v>96</v>
      </c>
      <c r="B2" s="70" t="s">
        <v>97</v>
      </c>
      <c r="C2" s="70" t="s">
        <v>98</v>
      </c>
      <c r="D2" s="70" t="s">
        <v>99</v>
      </c>
      <c r="E2" s="97" t="s">
        <v>100</v>
      </c>
      <c r="F2" s="97" t="s">
        <v>101</v>
      </c>
      <c r="G2" s="97" t="s">
        <v>102</v>
      </c>
      <c r="H2" s="97" t="s">
        <v>103</v>
      </c>
      <c r="I2" s="97" t="s">
        <v>101</v>
      </c>
      <c r="J2" s="97" t="s">
        <v>102</v>
      </c>
      <c r="K2" s="97" t="s">
        <v>104</v>
      </c>
      <c r="L2" s="91" t="s">
        <v>105</v>
      </c>
      <c r="M2" s="91" t="s">
        <v>109</v>
      </c>
      <c r="N2" s="70" t="s">
        <v>107</v>
      </c>
    </row>
    <row r="3" spans="1:17">
      <c r="A3" s="17"/>
      <c r="B3" s="17"/>
      <c r="C3" s="17"/>
      <c r="D3" s="17" t="s">
        <v>108</v>
      </c>
      <c r="E3" s="17"/>
      <c r="F3" s="17"/>
      <c r="G3" s="17"/>
      <c r="H3" s="17"/>
      <c r="I3" s="17"/>
      <c r="J3" s="17"/>
      <c r="K3" s="42">
        <v>204851.02779999998</v>
      </c>
      <c r="L3" s="17"/>
      <c r="M3" s="42">
        <v>204851.02779999998</v>
      </c>
      <c r="N3" s="17"/>
      <c r="O3" s="42">
        <v>26506.399999999994</v>
      </c>
    </row>
    <row r="4" spans="1:17">
      <c r="A4" s="26">
        <v>1</v>
      </c>
      <c r="B4" s="27">
        <v>45931</v>
      </c>
      <c r="C4" s="17"/>
      <c r="D4" s="17"/>
      <c r="E4" s="99">
        <v>0</v>
      </c>
      <c r="F4" s="99">
        <v>0</v>
      </c>
      <c r="G4" s="42">
        <f>E4*F4</f>
        <v>0</v>
      </c>
      <c r="H4" s="48">
        <v>0</v>
      </c>
      <c r="I4" s="48">
        <v>0</v>
      </c>
      <c r="J4" s="42">
        <f>H4*I4</f>
        <v>0</v>
      </c>
      <c r="K4" s="42">
        <f>G4+J4</f>
        <v>0</v>
      </c>
      <c r="L4" s="42">
        <v>0</v>
      </c>
      <c r="M4" s="42">
        <f>M3+K4-L4</f>
        <v>204851.02779999998</v>
      </c>
      <c r="N4" s="17"/>
    </row>
    <row r="5" spans="1:17">
      <c r="A5" s="26">
        <v>2</v>
      </c>
      <c r="B5" s="27">
        <v>45932</v>
      </c>
      <c r="C5" s="17"/>
      <c r="D5" s="17"/>
      <c r="E5" s="99">
        <v>0</v>
      </c>
      <c r="F5" s="99">
        <v>0</v>
      </c>
      <c r="G5" s="42">
        <f t="shared" ref="G5:G36" si="0">E5*F5</f>
        <v>0</v>
      </c>
      <c r="H5" s="48">
        <v>0</v>
      </c>
      <c r="I5" s="48">
        <v>0</v>
      </c>
      <c r="J5" s="42">
        <f t="shared" ref="J5:J36" si="1">H5*I5</f>
        <v>0</v>
      </c>
      <c r="K5" s="42">
        <f t="shared" ref="K5:K36" si="2">G5+J5</f>
        <v>0</v>
      </c>
      <c r="L5" s="42">
        <v>0</v>
      </c>
      <c r="M5" s="42">
        <f>M4+K5-L5</f>
        <v>204851.02779999998</v>
      </c>
      <c r="N5" s="17"/>
    </row>
    <row r="6" spans="1:17">
      <c r="A6" s="26">
        <v>3</v>
      </c>
      <c r="B6" s="27">
        <v>45933</v>
      </c>
      <c r="C6" s="17"/>
      <c r="D6" s="17"/>
      <c r="E6" s="99">
        <v>530</v>
      </c>
      <c r="F6" s="99">
        <v>91.32</v>
      </c>
      <c r="G6" s="42">
        <f t="shared" si="0"/>
        <v>48399.6</v>
      </c>
      <c r="H6" s="48">
        <v>16</v>
      </c>
      <c r="I6" s="48">
        <v>103.24</v>
      </c>
      <c r="J6" s="42">
        <f t="shared" si="1"/>
        <v>1651.84</v>
      </c>
      <c r="K6" s="42">
        <f t="shared" si="2"/>
        <v>50051.439999999995</v>
      </c>
      <c r="L6" s="42">
        <v>0</v>
      </c>
      <c r="M6" s="42">
        <f>M5+K6-L6</f>
        <v>254902.46779999998</v>
      </c>
      <c r="N6" s="17"/>
    </row>
    <row r="7" spans="1:17">
      <c r="A7" s="26">
        <v>4</v>
      </c>
      <c r="B7" s="27">
        <v>45934</v>
      </c>
      <c r="C7" s="17"/>
      <c r="D7" s="17"/>
      <c r="E7" s="387">
        <v>400</v>
      </c>
      <c r="F7" s="387">
        <v>91.32</v>
      </c>
      <c r="G7" s="42">
        <f t="shared" si="0"/>
        <v>36528</v>
      </c>
      <c r="H7" s="48">
        <v>10</v>
      </c>
      <c r="I7" s="48">
        <v>103.24</v>
      </c>
      <c r="J7" s="42">
        <f t="shared" si="1"/>
        <v>1032.3999999999999</v>
      </c>
      <c r="K7" s="42">
        <f t="shared" si="2"/>
        <v>37560.400000000001</v>
      </c>
      <c r="L7" s="42">
        <v>0</v>
      </c>
      <c r="M7" s="42">
        <f>M6+K7-L7</f>
        <v>292462.86780000001</v>
      </c>
      <c r="N7" s="17"/>
    </row>
    <row r="8" spans="1:17">
      <c r="A8" s="26">
        <v>5</v>
      </c>
      <c r="B8" s="27">
        <v>45935</v>
      </c>
      <c r="C8" s="17"/>
      <c r="D8" s="17"/>
      <c r="E8" s="387">
        <v>200</v>
      </c>
      <c r="F8" s="387">
        <v>91.32</v>
      </c>
      <c r="G8" s="42">
        <f t="shared" si="0"/>
        <v>18264</v>
      </c>
      <c r="H8" s="48">
        <v>0</v>
      </c>
      <c r="I8" s="48">
        <v>0</v>
      </c>
      <c r="J8" s="42">
        <f t="shared" si="1"/>
        <v>0</v>
      </c>
      <c r="K8" s="42">
        <f t="shared" si="2"/>
        <v>18264</v>
      </c>
      <c r="L8" s="42">
        <v>0</v>
      </c>
      <c r="M8" s="42">
        <f>M7+K8-L8</f>
        <v>310726.86780000001</v>
      </c>
      <c r="N8" s="17"/>
    </row>
    <row r="9" spans="1:17">
      <c r="A9" s="26">
        <v>6</v>
      </c>
      <c r="B9" s="27">
        <v>45936</v>
      </c>
      <c r="C9" s="17"/>
      <c r="D9" s="17"/>
      <c r="E9" s="99">
        <v>400</v>
      </c>
      <c r="F9" s="387">
        <v>91.32</v>
      </c>
      <c r="G9" s="42">
        <f t="shared" si="0"/>
        <v>36528</v>
      </c>
      <c r="H9" s="48">
        <v>0</v>
      </c>
      <c r="I9" s="48">
        <v>0</v>
      </c>
      <c r="J9" s="42">
        <f t="shared" si="1"/>
        <v>0</v>
      </c>
      <c r="K9" s="42">
        <f t="shared" si="2"/>
        <v>36528</v>
      </c>
      <c r="L9" s="42">
        <v>0</v>
      </c>
      <c r="M9" s="42">
        <f t="shared" ref="M9:M36" si="3">M8+K9-L9</f>
        <v>347254.86780000001</v>
      </c>
      <c r="N9" s="17"/>
    </row>
    <row r="10" spans="1:17">
      <c r="A10" s="26">
        <v>7</v>
      </c>
      <c r="B10" s="27">
        <v>45937</v>
      </c>
      <c r="C10" s="17"/>
      <c r="D10" s="17"/>
      <c r="E10" s="99">
        <v>20</v>
      </c>
      <c r="F10" s="387">
        <v>91.32</v>
      </c>
      <c r="G10" s="42">
        <f t="shared" si="0"/>
        <v>1826.3999999999999</v>
      </c>
      <c r="H10" s="48">
        <v>0</v>
      </c>
      <c r="I10" s="48">
        <v>0</v>
      </c>
      <c r="J10" s="42">
        <f t="shared" si="1"/>
        <v>0</v>
      </c>
      <c r="K10" s="42">
        <f t="shared" si="2"/>
        <v>1826.3999999999999</v>
      </c>
      <c r="L10" s="42">
        <v>0</v>
      </c>
      <c r="M10" s="42">
        <f t="shared" si="3"/>
        <v>349081.26780000003</v>
      </c>
      <c r="N10" s="17"/>
    </row>
    <row r="11" spans="1:17">
      <c r="A11" s="26">
        <v>8</v>
      </c>
      <c r="B11" s="27">
        <v>45938</v>
      </c>
      <c r="C11" s="17"/>
      <c r="D11" s="17"/>
      <c r="E11" s="99">
        <v>643</v>
      </c>
      <c r="F11" s="387">
        <v>91.32</v>
      </c>
      <c r="G11" s="42">
        <f t="shared" si="0"/>
        <v>58718.759999999995</v>
      </c>
      <c r="H11" s="48">
        <v>20</v>
      </c>
      <c r="I11" s="48">
        <v>103.24</v>
      </c>
      <c r="J11" s="42">
        <f t="shared" si="1"/>
        <v>2064.7999999999997</v>
      </c>
      <c r="K11" s="42">
        <f t="shared" si="2"/>
        <v>60783.56</v>
      </c>
      <c r="L11" s="42">
        <v>0</v>
      </c>
      <c r="M11" s="42">
        <f t="shared" si="3"/>
        <v>409864.82780000003</v>
      </c>
      <c r="N11" s="17"/>
    </row>
    <row r="12" spans="1:17">
      <c r="A12" s="26">
        <v>9</v>
      </c>
      <c r="B12" s="27">
        <v>45939</v>
      </c>
      <c r="C12" s="17"/>
      <c r="D12" s="17"/>
      <c r="E12" s="99">
        <v>0</v>
      </c>
      <c r="F12" s="99">
        <v>0</v>
      </c>
      <c r="G12" s="42">
        <f t="shared" si="0"/>
        <v>0</v>
      </c>
      <c r="H12" s="48">
        <v>0</v>
      </c>
      <c r="I12" s="48">
        <v>0</v>
      </c>
      <c r="J12" s="42">
        <f t="shared" si="1"/>
        <v>0</v>
      </c>
      <c r="K12" s="42">
        <f t="shared" si="2"/>
        <v>0</v>
      </c>
      <c r="L12" s="42">
        <v>0</v>
      </c>
      <c r="M12" s="42">
        <f>M11+K12-L12</f>
        <v>409864.82780000003</v>
      </c>
      <c r="N12" s="17"/>
    </row>
    <row r="13" spans="1:17">
      <c r="A13" s="26">
        <v>10</v>
      </c>
      <c r="B13" s="27">
        <v>45940</v>
      </c>
      <c r="C13" s="17"/>
      <c r="D13" s="17"/>
      <c r="E13" s="99">
        <v>0</v>
      </c>
      <c r="F13" s="99">
        <v>0</v>
      </c>
      <c r="G13" s="42">
        <f t="shared" si="0"/>
        <v>0</v>
      </c>
      <c r="H13" s="48">
        <v>0</v>
      </c>
      <c r="I13" s="48">
        <v>0</v>
      </c>
      <c r="J13" s="42">
        <f t="shared" si="1"/>
        <v>0</v>
      </c>
      <c r="K13" s="42">
        <f t="shared" si="2"/>
        <v>0</v>
      </c>
      <c r="L13" s="42">
        <v>300000</v>
      </c>
      <c r="M13" s="42">
        <f t="shared" si="3"/>
        <v>109864.82780000003</v>
      </c>
      <c r="N13" s="17"/>
    </row>
    <row r="14" spans="1:17">
      <c r="A14" s="26">
        <v>11</v>
      </c>
      <c r="B14" s="27">
        <v>45941</v>
      </c>
      <c r="C14" s="17"/>
      <c r="D14" s="17"/>
      <c r="E14" s="99">
        <v>592.04</v>
      </c>
      <c r="F14" s="99">
        <v>91.32</v>
      </c>
      <c r="G14" s="42">
        <f t="shared" si="0"/>
        <v>54065.092799999991</v>
      </c>
      <c r="H14" s="48">
        <v>5</v>
      </c>
      <c r="I14" s="48">
        <v>103.24</v>
      </c>
      <c r="J14" s="42">
        <f t="shared" si="1"/>
        <v>516.19999999999993</v>
      </c>
      <c r="K14" s="42">
        <f t="shared" si="2"/>
        <v>54581.292799999988</v>
      </c>
      <c r="L14" s="42">
        <v>0</v>
      </c>
      <c r="M14" s="42">
        <f>M13+K14-L14</f>
        <v>164446.12060000002</v>
      </c>
      <c r="N14" s="17"/>
    </row>
    <row r="15" spans="1:17">
      <c r="A15" s="26">
        <v>12</v>
      </c>
      <c r="B15" s="27">
        <v>45942</v>
      </c>
      <c r="C15" s="17"/>
      <c r="D15" s="99"/>
      <c r="E15" s="99">
        <v>0</v>
      </c>
      <c r="F15" s="99">
        <v>0</v>
      </c>
      <c r="G15" s="42">
        <f t="shared" si="0"/>
        <v>0</v>
      </c>
      <c r="H15" s="48">
        <v>5</v>
      </c>
      <c r="I15" s="48">
        <v>103.24</v>
      </c>
      <c r="J15" s="42">
        <f t="shared" si="1"/>
        <v>516.19999999999993</v>
      </c>
      <c r="K15" s="42">
        <f t="shared" si="2"/>
        <v>516.19999999999993</v>
      </c>
      <c r="L15" s="42">
        <v>0</v>
      </c>
      <c r="M15" s="42">
        <f t="shared" si="3"/>
        <v>164962.32060000004</v>
      </c>
      <c r="N15" s="17"/>
    </row>
    <row r="16" spans="1:17">
      <c r="A16" s="26">
        <v>13</v>
      </c>
      <c r="B16" s="27">
        <v>45943</v>
      </c>
      <c r="C16" s="17"/>
      <c r="D16" s="17">
        <v>0</v>
      </c>
      <c r="E16" s="99">
        <v>532.79999999999995</v>
      </c>
      <c r="F16" s="99">
        <v>91.32</v>
      </c>
      <c r="G16" s="42">
        <f t="shared" si="0"/>
        <v>48655.295999999995</v>
      </c>
      <c r="H16" s="48">
        <v>10</v>
      </c>
      <c r="I16" s="48">
        <v>103.24</v>
      </c>
      <c r="J16" s="42">
        <f t="shared" si="1"/>
        <v>1032.3999999999999</v>
      </c>
      <c r="K16" s="42">
        <f t="shared" si="2"/>
        <v>49687.695999999996</v>
      </c>
      <c r="L16" s="42">
        <v>0</v>
      </c>
      <c r="M16" s="42">
        <f t="shared" si="3"/>
        <v>214650.01660000003</v>
      </c>
      <c r="N16" s="17"/>
    </row>
    <row r="17" spans="1:16">
      <c r="A17" s="26">
        <v>14</v>
      </c>
      <c r="B17" s="27">
        <v>45944</v>
      </c>
      <c r="C17" s="17"/>
      <c r="D17" s="17"/>
      <c r="E17" s="99">
        <v>515</v>
      </c>
      <c r="F17" s="99">
        <v>91.32</v>
      </c>
      <c r="G17" s="42">
        <f t="shared" si="0"/>
        <v>47029.799999999996</v>
      </c>
      <c r="H17" s="48">
        <v>10</v>
      </c>
      <c r="I17" s="48">
        <v>103.24</v>
      </c>
      <c r="J17" s="42">
        <f t="shared" si="1"/>
        <v>1032.3999999999999</v>
      </c>
      <c r="K17" s="42">
        <f t="shared" si="2"/>
        <v>48062.2</v>
      </c>
      <c r="L17" s="42">
        <v>0</v>
      </c>
      <c r="M17" s="42">
        <f t="shared" si="3"/>
        <v>262712.21660000004</v>
      </c>
      <c r="N17" s="17"/>
    </row>
    <row r="18" spans="1:16">
      <c r="A18" s="26">
        <v>15</v>
      </c>
      <c r="B18" s="27">
        <v>45945</v>
      </c>
      <c r="C18" s="17"/>
      <c r="D18" s="17"/>
      <c r="E18" s="99">
        <v>35.520000000000003</v>
      </c>
      <c r="F18" s="99">
        <v>91.32</v>
      </c>
      <c r="G18" s="42">
        <f t="shared" si="0"/>
        <v>3243.6864</v>
      </c>
      <c r="H18" s="48">
        <v>0</v>
      </c>
      <c r="I18" s="48">
        <v>0</v>
      </c>
      <c r="J18" s="42">
        <f t="shared" si="1"/>
        <v>0</v>
      </c>
      <c r="K18" s="42">
        <f t="shared" si="2"/>
        <v>3243.6864</v>
      </c>
      <c r="L18" s="42">
        <v>150000</v>
      </c>
      <c r="M18" s="42">
        <f t="shared" si="3"/>
        <v>115955.90300000005</v>
      </c>
      <c r="N18" s="17"/>
    </row>
    <row r="19" spans="1:16">
      <c r="A19" s="26">
        <v>16</v>
      </c>
      <c r="B19" s="27">
        <v>45946</v>
      </c>
      <c r="C19" s="17"/>
      <c r="D19" s="17"/>
      <c r="E19" s="99">
        <v>539.99</v>
      </c>
      <c r="F19" s="99">
        <v>91.32</v>
      </c>
      <c r="G19" s="42">
        <f t="shared" si="0"/>
        <v>49311.8868</v>
      </c>
      <c r="H19" s="48">
        <v>8</v>
      </c>
      <c r="I19" s="48">
        <v>103.24</v>
      </c>
      <c r="J19" s="42">
        <f t="shared" si="1"/>
        <v>825.92</v>
      </c>
      <c r="K19" s="42">
        <f t="shared" si="2"/>
        <v>50137.806799999998</v>
      </c>
      <c r="L19" s="42">
        <v>0</v>
      </c>
      <c r="M19" s="42">
        <f t="shared" si="3"/>
        <v>166093.70980000004</v>
      </c>
      <c r="N19" s="17"/>
    </row>
    <row r="20" spans="1:16">
      <c r="A20" s="26">
        <v>17</v>
      </c>
      <c r="B20" s="27">
        <v>45947</v>
      </c>
      <c r="C20" s="17"/>
      <c r="D20" s="17"/>
      <c r="E20" s="99">
        <v>0</v>
      </c>
      <c r="F20" s="99">
        <v>0</v>
      </c>
      <c r="G20" s="42">
        <f t="shared" si="0"/>
        <v>0</v>
      </c>
      <c r="H20" s="48">
        <v>5</v>
      </c>
      <c r="I20" s="48">
        <v>103.24</v>
      </c>
      <c r="J20" s="42">
        <f t="shared" si="1"/>
        <v>516.19999999999993</v>
      </c>
      <c r="K20" s="42">
        <f t="shared" si="2"/>
        <v>516.19999999999993</v>
      </c>
      <c r="L20" s="42">
        <v>0</v>
      </c>
      <c r="M20" s="42">
        <f t="shared" si="3"/>
        <v>166609.90980000005</v>
      </c>
      <c r="N20" s="17"/>
    </row>
    <row r="21" spans="1:16">
      <c r="A21" s="26">
        <v>18</v>
      </c>
      <c r="B21" s="27">
        <v>45948</v>
      </c>
      <c r="C21" s="17"/>
      <c r="D21" s="17"/>
      <c r="E21" s="387">
        <v>598.25</v>
      </c>
      <c r="F21" s="387">
        <v>91.32</v>
      </c>
      <c r="G21" s="42">
        <f t="shared" si="0"/>
        <v>54632.189999999995</v>
      </c>
      <c r="H21" s="48">
        <v>10</v>
      </c>
      <c r="I21" s="48">
        <v>103.24</v>
      </c>
      <c r="J21" s="42">
        <f t="shared" si="1"/>
        <v>1032.3999999999999</v>
      </c>
      <c r="K21" s="42">
        <f t="shared" si="2"/>
        <v>55664.59</v>
      </c>
      <c r="L21" s="42">
        <v>0</v>
      </c>
      <c r="M21" s="42">
        <f t="shared" si="3"/>
        <v>222274.49980000005</v>
      </c>
      <c r="N21" s="17"/>
    </row>
    <row r="22" spans="1:16">
      <c r="A22" s="26">
        <v>19</v>
      </c>
      <c r="B22" s="27">
        <v>45949</v>
      </c>
      <c r="C22" s="17"/>
      <c r="D22" s="17"/>
      <c r="E22" s="387">
        <v>550</v>
      </c>
      <c r="F22" s="387">
        <v>91.32</v>
      </c>
      <c r="G22" s="42">
        <f t="shared" si="0"/>
        <v>50225.999999999993</v>
      </c>
      <c r="H22" s="48">
        <v>0</v>
      </c>
      <c r="I22" s="48">
        <v>0</v>
      </c>
      <c r="J22" s="42">
        <f t="shared" si="1"/>
        <v>0</v>
      </c>
      <c r="K22" s="42">
        <f t="shared" si="2"/>
        <v>50225.999999999993</v>
      </c>
      <c r="L22" s="42">
        <v>0</v>
      </c>
      <c r="M22" s="42">
        <f t="shared" si="3"/>
        <v>272500.49980000005</v>
      </c>
      <c r="N22" s="17"/>
    </row>
    <row r="23" spans="1:16">
      <c r="A23" s="26">
        <v>20</v>
      </c>
      <c r="B23" s="27">
        <v>45950</v>
      </c>
      <c r="C23" s="17"/>
      <c r="D23" s="17"/>
      <c r="E23" s="99">
        <v>0</v>
      </c>
      <c r="F23" s="99">
        <v>0</v>
      </c>
      <c r="G23" s="42">
        <f t="shared" si="0"/>
        <v>0</v>
      </c>
      <c r="H23" s="48">
        <v>0</v>
      </c>
      <c r="I23" s="48">
        <v>0</v>
      </c>
      <c r="J23" s="42">
        <f t="shared" si="1"/>
        <v>0</v>
      </c>
      <c r="K23" s="42">
        <f t="shared" si="2"/>
        <v>0</v>
      </c>
      <c r="L23" s="42">
        <v>0</v>
      </c>
      <c r="M23" s="42">
        <f t="shared" si="3"/>
        <v>272500.49980000005</v>
      </c>
      <c r="N23" s="17"/>
    </row>
    <row r="24" spans="1:16">
      <c r="A24" s="26">
        <v>21</v>
      </c>
      <c r="B24" s="27">
        <v>45951</v>
      </c>
      <c r="C24" s="17"/>
      <c r="D24" s="17"/>
      <c r="E24" s="99">
        <v>600</v>
      </c>
      <c r="F24" s="99">
        <v>91.32</v>
      </c>
      <c r="G24" s="42">
        <f t="shared" si="0"/>
        <v>54791.999999999993</v>
      </c>
      <c r="H24" s="48">
        <v>0</v>
      </c>
      <c r="I24" s="48">
        <v>0</v>
      </c>
      <c r="J24" s="42">
        <f t="shared" si="1"/>
        <v>0</v>
      </c>
      <c r="K24" s="42">
        <f t="shared" si="2"/>
        <v>54791.999999999993</v>
      </c>
      <c r="L24" s="42">
        <v>0</v>
      </c>
      <c r="M24" s="42">
        <f t="shared" si="3"/>
        <v>327292.49980000005</v>
      </c>
      <c r="N24" s="17"/>
    </row>
    <row r="25" spans="1:16">
      <c r="A25" s="26">
        <v>22</v>
      </c>
      <c r="B25" s="27">
        <v>45952</v>
      </c>
      <c r="C25" s="17"/>
      <c r="D25" s="17"/>
      <c r="E25" s="99">
        <v>435.26</v>
      </c>
      <c r="F25" s="99">
        <v>91.32</v>
      </c>
      <c r="G25" s="42">
        <f t="shared" si="0"/>
        <v>39747.943199999994</v>
      </c>
      <c r="H25" s="48">
        <v>16</v>
      </c>
      <c r="I25" s="48">
        <v>103.24</v>
      </c>
      <c r="J25" s="42">
        <f t="shared" si="1"/>
        <v>1651.84</v>
      </c>
      <c r="K25" s="42">
        <f t="shared" si="2"/>
        <v>41399.783199999991</v>
      </c>
      <c r="L25" s="42">
        <v>0</v>
      </c>
      <c r="M25" s="42">
        <f t="shared" si="3"/>
        <v>368692.28300000005</v>
      </c>
      <c r="N25" s="17"/>
    </row>
    <row r="26" spans="1:16">
      <c r="A26" s="26">
        <v>23</v>
      </c>
      <c r="B26" s="27">
        <v>45953</v>
      </c>
      <c r="C26" s="17"/>
      <c r="D26" s="17"/>
      <c r="E26" s="99">
        <v>533.13</v>
      </c>
      <c r="F26" s="99">
        <v>91.32</v>
      </c>
      <c r="G26" s="42">
        <f t="shared" si="0"/>
        <v>48685.431599999996</v>
      </c>
      <c r="H26" s="48">
        <v>0</v>
      </c>
      <c r="I26" s="48">
        <v>0</v>
      </c>
      <c r="J26" s="42">
        <f t="shared" si="1"/>
        <v>0</v>
      </c>
      <c r="K26" s="42">
        <f t="shared" si="2"/>
        <v>48685.431599999996</v>
      </c>
      <c r="L26" s="42">
        <v>0</v>
      </c>
      <c r="M26" s="42">
        <f t="shared" si="3"/>
        <v>417377.71460000006</v>
      </c>
      <c r="N26" s="17"/>
    </row>
    <row r="27" spans="1:16">
      <c r="A27" s="26">
        <v>24</v>
      </c>
      <c r="B27" s="27">
        <v>45954</v>
      </c>
      <c r="C27" s="17"/>
      <c r="D27" s="17"/>
      <c r="E27" s="99">
        <v>400</v>
      </c>
      <c r="F27" s="99">
        <v>91.32</v>
      </c>
      <c r="G27" s="42">
        <f t="shared" si="0"/>
        <v>36528</v>
      </c>
      <c r="H27" s="48">
        <v>0</v>
      </c>
      <c r="I27" s="48">
        <v>0</v>
      </c>
      <c r="J27" s="42">
        <f t="shared" si="1"/>
        <v>0</v>
      </c>
      <c r="K27" s="42">
        <f t="shared" si="2"/>
        <v>36528</v>
      </c>
      <c r="L27" s="42">
        <v>0</v>
      </c>
      <c r="M27" s="42">
        <f t="shared" si="3"/>
        <v>453905.71460000006</v>
      </c>
      <c r="N27" s="17"/>
      <c r="P27" s="22"/>
    </row>
    <row r="28" spans="1:16">
      <c r="A28" s="26">
        <v>25</v>
      </c>
      <c r="B28" s="27">
        <v>45955</v>
      </c>
      <c r="C28" s="17"/>
      <c r="D28" s="17"/>
      <c r="E28" s="99">
        <v>455</v>
      </c>
      <c r="F28" s="99">
        <v>91.32</v>
      </c>
      <c r="G28" s="42">
        <f t="shared" si="0"/>
        <v>41550.6</v>
      </c>
      <c r="H28" s="48">
        <v>6</v>
      </c>
      <c r="I28" s="48">
        <v>103.24</v>
      </c>
      <c r="J28" s="42">
        <f t="shared" si="1"/>
        <v>619.43999999999994</v>
      </c>
      <c r="K28" s="42">
        <f t="shared" si="2"/>
        <v>42170.04</v>
      </c>
      <c r="L28" s="42">
        <v>0</v>
      </c>
      <c r="M28" s="42">
        <f t="shared" si="3"/>
        <v>496075.75460000004</v>
      </c>
      <c r="N28" s="17"/>
    </row>
    <row r="29" spans="1:16">
      <c r="A29" s="26">
        <v>26</v>
      </c>
      <c r="B29" s="27">
        <v>45956</v>
      </c>
      <c r="C29" s="17"/>
      <c r="D29" s="247"/>
      <c r="E29" s="99">
        <v>560</v>
      </c>
      <c r="F29" s="99">
        <v>91.32</v>
      </c>
      <c r="G29" s="42">
        <f t="shared" si="0"/>
        <v>51139.199999999997</v>
      </c>
      <c r="H29" s="48">
        <v>5</v>
      </c>
      <c r="I29" s="48">
        <v>103.24</v>
      </c>
      <c r="J29" s="42">
        <f t="shared" si="1"/>
        <v>516.19999999999993</v>
      </c>
      <c r="K29" s="42">
        <f t="shared" si="2"/>
        <v>51655.399999999994</v>
      </c>
      <c r="L29" s="42">
        <v>0</v>
      </c>
      <c r="M29" s="42">
        <f t="shared" si="3"/>
        <v>547731.15460000001</v>
      </c>
      <c r="N29" s="17"/>
    </row>
    <row r="30" spans="1:16">
      <c r="A30" s="26">
        <v>27</v>
      </c>
      <c r="B30" s="27">
        <v>45957</v>
      </c>
      <c r="C30" s="17"/>
      <c r="D30" s="17"/>
      <c r="E30" s="99">
        <v>450</v>
      </c>
      <c r="F30" s="99">
        <v>91.32</v>
      </c>
      <c r="G30" s="42">
        <f t="shared" si="0"/>
        <v>41094</v>
      </c>
      <c r="H30" s="48">
        <v>13</v>
      </c>
      <c r="I30" s="48">
        <v>103.24</v>
      </c>
      <c r="J30" s="42">
        <f t="shared" si="1"/>
        <v>1342.12</v>
      </c>
      <c r="K30" s="42">
        <f t="shared" si="2"/>
        <v>42436.12</v>
      </c>
      <c r="L30" s="42">
        <v>0</v>
      </c>
      <c r="M30" s="42">
        <f t="shared" si="3"/>
        <v>590167.2746</v>
      </c>
      <c r="N30" s="17"/>
    </row>
    <row r="31" spans="1:16">
      <c r="A31" s="26">
        <v>28</v>
      </c>
      <c r="B31" s="27">
        <v>45958</v>
      </c>
      <c r="C31" s="17"/>
      <c r="D31" s="17"/>
      <c r="E31" s="99">
        <v>0</v>
      </c>
      <c r="F31" s="99">
        <v>0</v>
      </c>
      <c r="G31" s="42">
        <f t="shared" si="0"/>
        <v>0</v>
      </c>
      <c r="H31" s="48">
        <v>0</v>
      </c>
      <c r="I31" s="48">
        <v>0</v>
      </c>
      <c r="J31" s="42">
        <f t="shared" si="1"/>
        <v>0</v>
      </c>
      <c r="K31" s="42">
        <f t="shared" si="2"/>
        <v>0</v>
      </c>
      <c r="L31" s="42">
        <v>0</v>
      </c>
      <c r="M31" s="42">
        <f t="shared" si="3"/>
        <v>590167.2746</v>
      </c>
      <c r="N31" s="17"/>
    </row>
    <row r="32" spans="1:16">
      <c r="A32" s="26">
        <v>29</v>
      </c>
      <c r="B32" s="27">
        <v>45959</v>
      </c>
      <c r="C32" s="17"/>
      <c r="D32" s="17" t="s">
        <v>184</v>
      </c>
      <c r="E32" s="99">
        <v>30</v>
      </c>
      <c r="F32" s="99">
        <v>91.32</v>
      </c>
      <c r="G32" s="42">
        <f t="shared" si="0"/>
        <v>2739.6</v>
      </c>
      <c r="H32" s="48">
        <v>15</v>
      </c>
      <c r="I32" s="48">
        <v>103.24</v>
      </c>
      <c r="J32" s="42">
        <f t="shared" si="1"/>
        <v>1548.6</v>
      </c>
      <c r="K32" s="42">
        <f t="shared" si="2"/>
        <v>4288.2</v>
      </c>
      <c r="L32" s="42">
        <v>0</v>
      </c>
      <c r="M32" s="42">
        <f t="shared" si="3"/>
        <v>594455.47459999996</v>
      </c>
      <c r="N32" s="17"/>
    </row>
    <row r="33" spans="1:17">
      <c r="A33" s="26">
        <v>30</v>
      </c>
      <c r="B33" s="27">
        <v>45960</v>
      </c>
      <c r="C33" s="17"/>
      <c r="D33" s="17"/>
      <c r="E33" s="99">
        <v>703.28</v>
      </c>
      <c r="F33" s="99">
        <v>91.32</v>
      </c>
      <c r="G33" s="42">
        <f t="shared" si="0"/>
        <v>64223.529599999994</v>
      </c>
      <c r="H33" s="48">
        <v>5</v>
      </c>
      <c r="I33" s="48">
        <v>103.24</v>
      </c>
      <c r="J33" s="42">
        <f t="shared" si="1"/>
        <v>516.19999999999993</v>
      </c>
      <c r="K33" s="42">
        <f t="shared" si="2"/>
        <v>64739.729599999991</v>
      </c>
      <c r="L33" s="42">
        <v>0</v>
      </c>
      <c r="M33" s="42">
        <f t="shared" si="3"/>
        <v>659195.20419999992</v>
      </c>
      <c r="N33" s="17"/>
    </row>
    <row r="34" spans="1:17">
      <c r="A34" s="26">
        <v>31</v>
      </c>
      <c r="B34" s="27"/>
      <c r="C34" s="17"/>
      <c r="D34" s="17"/>
      <c r="E34" s="99">
        <v>0</v>
      </c>
      <c r="F34" s="99">
        <v>0</v>
      </c>
      <c r="G34" s="42">
        <f t="shared" si="0"/>
        <v>0</v>
      </c>
      <c r="H34" s="48">
        <v>0</v>
      </c>
      <c r="I34" s="48">
        <v>0</v>
      </c>
      <c r="J34" s="42">
        <f t="shared" si="1"/>
        <v>0</v>
      </c>
      <c r="K34" s="42">
        <f t="shared" si="2"/>
        <v>0</v>
      </c>
      <c r="L34" s="42">
        <v>0</v>
      </c>
      <c r="M34" s="42">
        <f>M33+K34-L34</f>
        <v>659195.20419999992</v>
      </c>
      <c r="N34" s="17"/>
      <c r="Q34" s="258"/>
    </row>
    <row r="35" spans="1:17">
      <c r="A35" s="26">
        <v>32</v>
      </c>
      <c r="B35" s="27"/>
      <c r="C35" s="17"/>
      <c r="D35" s="17"/>
      <c r="E35" s="99">
        <v>0</v>
      </c>
      <c r="F35" s="99">
        <v>0</v>
      </c>
      <c r="G35" s="42">
        <f t="shared" si="0"/>
        <v>0</v>
      </c>
      <c r="H35" s="48">
        <v>0</v>
      </c>
      <c r="I35" s="48">
        <v>0</v>
      </c>
      <c r="J35" s="42">
        <f t="shared" si="1"/>
        <v>0</v>
      </c>
      <c r="K35" s="42">
        <f t="shared" si="2"/>
        <v>0</v>
      </c>
      <c r="L35" s="42">
        <v>0</v>
      </c>
      <c r="M35" s="42">
        <f t="shared" si="3"/>
        <v>659195.20419999992</v>
      </c>
      <c r="N35" s="17"/>
      <c r="Q35" s="258"/>
    </row>
    <row r="36" spans="1:17">
      <c r="A36" s="26">
        <v>33</v>
      </c>
      <c r="B36" s="27"/>
      <c r="C36" s="17"/>
      <c r="D36" s="17"/>
      <c r="E36" s="99">
        <v>0</v>
      </c>
      <c r="F36" s="99">
        <v>0</v>
      </c>
      <c r="G36" s="42">
        <f t="shared" si="0"/>
        <v>0</v>
      </c>
      <c r="H36" s="48">
        <v>0</v>
      </c>
      <c r="I36" s="48">
        <v>0</v>
      </c>
      <c r="J36" s="42">
        <f t="shared" si="1"/>
        <v>0</v>
      </c>
      <c r="K36" s="42">
        <f t="shared" si="2"/>
        <v>0</v>
      </c>
      <c r="L36" s="42">
        <v>0</v>
      </c>
      <c r="M36" s="42">
        <f t="shared" si="3"/>
        <v>659195.20419999992</v>
      </c>
      <c r="N36" s="17"/>
      <c r="Q36" s="258"/>
    </row>
    <row r="37" spans="1:17">
      <c r="A37" s="46"/>
      <c r="B37" s="46"/>
      <c r="C37" s="46"/>
      <c r="D37" s="46"/>
      <c r="E37" s="46">
        <f>SUM(E4:E36)</f>
        <v>9723.2700000000023</v>
      </c>
      <c r="F37" s="46"/>
      <c r="G37" s="46">
        <f>SUM(G4:G36)</f>
        <v>887929.01639999985</v>
      </c>
      <c r="H37" s="46">
        <f>SUM(H4:H36)</f>
        <v>159</v>
      </c>
      <c r="I37" s="46"/>
      <c r="J37" s="46">
        <f>SUM(J4:J36)</f>
        <v>16415.16</v>
      </c>
      <c r="K37" s="46">
        <f>SUM(K4:K36)</f>
        <v>904344.1764</v>
      </c>
      <c r="L37" s="46">
        <f>SUM(L4:L36)</f>
        <v>450000</v>
      </c>
      <c r="M37" s="46"/>
      <c r="N37" s="46"/>
    </row>
  </sheetData>
  <mergeCells count="1"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9" activePane="bottomLeft" state="frozen"/>
      <selection pane="bottomLeft" activeCell="M34" sqref="M34"/>
    </sheetView>
  </sheetViews>
  <sheetFormatPr defaultRowHeight="15"/>
  <cols>
    <col min="1" max="1" width="5.140625" style="75" bestFit="1" customWidth="1"/>
    <col min="2" max="2" width="10.85546875" style="75" bestFit="1" customWidth="1"/>
    <col min="3" max="3" width="8" style="75" bestFit="1" customWidth="1"/>
    <col min="4" max="4" width="16" style="75" bestFit="1" customWidth="1"/>
    <col min="5" max="5" width="10.7109375" style="75" bestFit="1" customWidth="1"/>
    <col min="6" max="6" width="14.5703125" style="75" bestFit="1" customWidth="1"/>
    <col min="7" max="7" width="11.85546875" style="75" bestFit="1" customWidth="1"/>
    <col min="8" max="8" width="10.7109375" style="75" bestFit="1" customWidth="1"/>
    <col min="9" max="9" width="7.140625" style="75" bestFit="1" customWidth="1"/>
    <col min="10" max="10" width="10.85546875" style="75" bestFit="1" customWidth="1"/>
    <col min="11" max="11" width="14.5703125" style="75" bestFit="1" customWidth="1"/>
    <col min="12" max="12" width="13.5703125" style="75" bestFit="1" customWidth="1"/>
    <col min="13" max="13" width="13.5703125" style="75" customWidth="1"/>
    <col min="14" max="14" width="14.140625" style="75" bestFit="1" customWidth="1"/>
    <col min="15" max="15" width="11.28515625" style="75" customWidth="1"/>
    <col min="16" max="16" width="9.140625" style="75" customWidth="1"/>
    <col min="17" max="16384" width="9.140625" style="75"/>
  </cols>
  <sheetData>
    <row r="1" spans="1:17" ht="15.75">
      <c r="A1" s="436" t="s">
        <v>56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88"/>
    </row>
    <row r="2" spans="1:17" ht="30">
      <c r="A2" s="70" t="s">
        <v>96</v>
      </c>
      <c r="B2" s="89" t="s">
        <v>97</v>
      </c>
      <c r="C2" s="89" t="s">
        <v>98</v>
      </c>
      <c r="D2" s="89" t="s">
        <v>99</v>
      </c>
      <c r="E2" s="89" t="s">
        <v>100</v>
      </c>
      <c r="F2" s="89" t="s">
        <v>101</v>
      </c>
      <c r="G2" s="89" t="s">
        <v>102</v>
      </c>
      <c r="H2" s="89" t="s">
        <v>103</v>
      </c>
      <c r="I2" s="89" t="s">
        <v>101</v>
      </c>
      <c r="J2" s="90" t="s">
        <v>102</v>
      </c>
      <c r="K2" s="70" t="s">
        <v>104</v>
      </c>
      <c r="L2" s="91" t="s">
        <v>105</v>
      </c>
      <c r="M2" s="91" t="s">
        <v>110</v>
      </c>
      <c r="N2" s="89" t="s">
        <v>107</v>
      </c>
      <c r="O2" s="65"/>
    </row>
    <row r="3" spans="1:17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9"/>
      <c r="K3" s="171">
        <v>230919.2364000002</v>
      </c>
      <c r="L3" s="73"/>
      <c r="M3" s="171">
        <v>230919.2364000002</v>
      </c>
      <c r="N3" s="73"/>
      <c r="O3" s="65"/>
    </row>
    <row r="4" spans="1:17">
      <c r="A4" s="26">
        <v>1</v>
      </c>
      <c r="B4" s="27">
        <v>45931</v>
      </c>
      <c r="C4" s="73"/>
      <c r="D4" s="167"/>
      <c r="E4" s="172"/>
      <c r="F4" s="172"/>
      <c r="G4" s="8">
        <f>E4*F4</f>
        <v>0</v>
      </c>
      <c r="H4" s="172"/>
      <c r="I4" s="172"/>
      <c r="J4" s="8">
        <f>H4*I4</f>
        <v>0</v>
      </c>
      <c r="K4" s="8">
        <f>G4+J4</f>
        <v>0</v>
      </c>
      <c r="L4" s="173">
        <v>0</v>
      </c>
      <c r="M4" s="173">
        <f t="shared" ref="M4:M20" si="0">M3+K4-L4</f>
        <v>230919.2364000002</v>
      </c>
      <c r="N4" s="43"/>
    </row>
    <row r="5" spans="1:17">
      <c r="A5" s="26">
        <v>2</v>
      </c>
      <c r="B5" s="27">
        <v>45932</v>
      </c>
      <c r="C5" s="73"/>
      <c r="D5" s="167"/>
      <c r="E5" s="172"/>
      <c r="F5" s="172"/>
      <c r="G5" s="8">
        <f t="shared" ref="G5:G34" si="1">E5*F5</f>
        <v>0</v>
      </c>
      <c r="H5" s="172"/>
      <c r="I5" s="172"/>
      <c r="J5" s="8">
        <f t="shared" ref="J5:J34" si="2">H5*I5</f>
        <v>0</v>
      </c>
      <c r="K5" s="8">
        <f t="shared" ref="K5:K34" si="3">G5+J5</f>
        <v>0</v>
      </c>
      <c r="L5" s="173">
        <v>0</v>
      </c>
      <c r="M5" s="173">
        <f t="shared" si="0"/>
        <v>230919.2364000002</v>
      </c>
      <c r="N5" s="43"/>
    </row>
    <row r="6" spans="1:17">
      <c r="A6" s="26">
        <v>3</v>
      </c>
      <c r="B6" s="27">
        <v>45933</v>
      </c>
      <c r="C6" s="73"/>
      <c r="D6" s="167"/>
      <c r="E6" s="172"/>
      <c r="F6" s="172"/>
      <c r="G6" s="8">
        <f t="shared" si="1"/>
        <v>0</v>
      </c>
      <c r="H6" s="172"/>
      <c r="I6" s="172"/>
      <c r="J6" s="8">
        <f t="shared" si="2"/>
        <v>0</v>
      </c>
      <c r="K6" s="8">
        <f t="shared" si="3"/>
        <v>0</v>
      </c>
      <c r="L6" s="173">
        <v>0</v>
      </c>
      <c r="M6" s="173">
        <f t="shared" si="0"/>
        <v>230919.2364000002</v>
      </c>
      <c r="N6" s="43"/>
    </row>
    <row r="7" spans="1:17">
      <c r="A7" s="26">
        <v>4</v>
      </c>
      <c r="B7" s="27">
        <v>45934</v>
      </c>
      <c r="C7" s="73"/>
      <c r="D7" s="167"/>
      <c r="E7" s="172">
        <v>300.24</v>
      </c>
      <c r="F7" s="172">
        <v>91.93</v>
      </c>
      <c r="G7" s="8">
        <f t="shared" si="1"/>
        <v>27601.063200000004</v>
      </c>
      <c r="H7" s="172">
        <v>30</v>
      </c>
      <c r="I7" s="376">
        <v>103.89</v>
      </c>
      <c r="J7" s="8">
        <f t="shared" si="2"/>
        <v>3116.7</v>
      </c>
      <c r="K7" s="8">
        <f t="shared" si="3"/>
        <v>30717.763200000005</v>
      </c>
      <c r="L7" s="173">
        <v>0</v>
      </c>
      <c r="M7" s="173">
        <f t="shared" si="0"/>
        <v>261636.99960000021</v>
      </c>
      <c r="N7" s="43"/>
    </row>
    <row r="8" spans="1:17">
      <c r="A8" s="26">
        <v>5</v>
      </c>
      <c r="B8" s="27">
        <v>45935</v>
      </c>
      <c r="C8" s="73"/>
      <c r="D8" s="167"/>
      <c r="E8" s="172"/>
      <c r="F8" s="172"/>
      <c r="G8" s="8">
        <f t="shared" si="1"/>
        <v>0</v>
      </c>
      <c r="H8" s="172">
        <v>6</v>
      </c>
      <c r="I8" s="376">
        <v>103.89</v>
      </c>
      <c r="J8" s="8">
        <f t="shared" si="2"/>
        <v>623.34</v>
      </c>
      <c r="K8" s="8">
        <f t="shared" si="3"/>
        <v>623.34</v>
      </c>
      <c r="L8" s="173">
        <v>0</v>
      </c>
      <c r="M8" s="173">
        <f t="shared" si="0"/>
        <v>262260.33960000024</v>
      </c>
      <c r="N8" s="43"/>
    </row>
    <row r="9" spans="1:17">
      <c r="A9" s="26">
        <v>6</v>
      </c>
      <c r="B9" s="27">
        <v>45936</v>
      </c>
      <c r="C9" s="73"/>
      <c r="D9" s="167"/>
      <c r="E9" s="172">
        <v>30</v>
      </c>
      <c r="F9" s="172">
        <v>91.93</v>
      </c>
      <c r="G9" s="8">
        <f t="shared" si="1"/>
        <v>2757.9</v>
      </c>
      <c r="H9" s="172">
        <v>5</v>
      </c>
      <c r="I9" s="376">
        <v>103.89</v>
      </c>
      <c r="J9" s="8">
        <f t="shared" si="2"/>
        <v>519.45000000000005</v>
      </c>
      <c r="K9" s="8">
        <f t="shared" si="3"/>
        <v>3277.3500000000004</v>
      </c>
      <c r="L9" s="173">
        <v>0</v>
      </c>
      <c r="M9" s="173">
        <f t="shared" si="0"/>
        <v>265537.68960000022</v>
      </c>
      <c r="N9" s="43"/>
    </row>
    <row r="10" spans="1:17">
      <c r="A10" s="26">
        <v>7</v>
      </c>
      <c r="B10" s="27">
        <v>45937</v>
      </c>
      <c r="C10" s="73"/>
      <c r="D10" s="167"/>
      <c r="E10" s="172">
        <v>75</v>
      </c>
      <c r="F10" s="172">
        <v>91.93</v>
      </c>
      <c r="G10" s="8">
        <f t="shared" si="1"/>
        <v>6894.7500000000009</v>
      </c>
      <c r="H10" s="172">
        <v>40</v>
      </c>
      <c r="I10" s="376">
        <v>103.89</v>
      </c>
      <c r="J10" s="8">
        <f t="shared" si="2"/>
        <v>4155.6000000000004</v>
      </c>
      <c r="K10" s="8">
        <f t="shared" si="3"/>
        <v>11050.350000000002</v>
      </c>
      <c r="L10" s="173"/>
      <c r="M10" s="173">
        <f t="shared" si="0"/>
        <v>276588.03960000019</v>
      </c>
      <c r="N10" s="43"/>
    </row>
    <row r="11" spans="1:17">
      <c r="A11" s="26">
        <v>8</v>
      </c>
      <c r="B11" s="27">
        <v>45938</v>
      </c>
      <c r="C11" s="73"/>
      <c r="D11" s="167"/>
      <c r="E11" s="172"/>
      <c r="F11" s="172"/>
      <c r="G11" s="8">
        <f t="shared" si="1"/>
        <v>0</v>
      </c>
      <c r="H11" s="172"/>
      <c r="I11" s="172"/>
      <c r="J11" s="8">
        <f t="shared" si="2"/>
        <v>0</v>
      </c>
      <c r="K11" s="8">
        <f t="shared" si="3"/>
        <v>0</v>
      </c>
      <c r="L11" s="173">
        <v>200000</v>
      </c>
      <c r="M11" s="173">
        <f t="shared" si="0"/>
        <v>76588.039600000193</v>
      </c>
      <c r="N11" s="43" t="s">
        <v>138</v>
      </c>
      <c r="P11" s="256"/>
      <c r="Q11" s="257"/>
    </row>
    <row r="12" spans="1:17">
      <c r="A12" s="26">
        <v>9</v>
      </c>
      <c r="B12" s="27">
        <v>45939</v>
      </c>
      <c r="C12" s="73"/>
      <c r="D12" s="167"/>
      <c r="E12" s="172">
        <v>30</v>
      </c>
      <c r="F12" s="172">
        <v>91.93</v>
      </c>
      <c r="G12" s="8">
        <f t="shared" si="1"/>
        <v>2757.9</v>
      </c>
      <c r="H12" s="172"/>
      <c r="I12" s="172"/>
      <c r="J12" s="8">
        <f t="shared" si="2"/>
        <v>0</v>
      </c>
      <c r="K12" s="8">
        <f t="shared" si="3"/>
        <v>2757.9</v>
      </c>
      <c r="L12" s="173"/>
      <c r="M12" s="173">
        <f t="shared" si="0"/>
        <v>79345.939600000187</v>
      </c>
      <c r="N12" s="43"/>
    </row>
    <row r="13" spans="1:17">
      <c r="A13" s="26">
        <v>10</v>
      </c>
      <c r="B13" s="27">
        <v>45940</v>
      </c>
      <c r="C13" s="73"/>
      <c r="D13" s="167"/>
      <c r="E13" s="172">
        <v>35</v>
      </c>
      <c r="F13" s="172">
        <v>91.93</v>
      </c>
      <c r="G13" s="8">
        <f t="shared" si="1"/>
        <v>3217.55</v>
      </c>
      <c r="H13" s="172"/>
      <c r="I13" s="172"/>
      <c r="J13" s="8">
        <f t="shared" si="2"/>
        <v>0</v>
      </c>
      <c r="K13" s="8">
        <f t="shared" si="3"/>
        <v>3217.55</v>
      </c>
      <c r="L13" s="173"/>
      <c r="M13" s="173">
        <f t="shared" si="0"/>
        <v>82563.48960000019</v>
      </c>
      <c r="N13" s="43"/>
    </row>
    <row r="14" spans="1:17">
      <c r="A14" s="26">
        <v>11</v>
      </c>
      <c r="B14" s="27">
        <v>45941</v>
      </c>
      <c r="C14" s="73"/>
      <c r="D14" s="167"/>
      <c r="E14" s="172">
        <v>70</v>
      </c>
      <c r="F14" s="172">
        <v>91.93</v>
      </c>
      <c r="G14" s="8">
        <f t="shared" si="1"/>
        <v>6435.1</v>
      </c>
      <c r="H14" s="172"/>
      <c r="I14" s="172"/>
      <c r="J14" s="8">
        <f t="shared" si="2"/>
        <v>0</v>
      </c>
      <c r="K14" s="8">
        <f t="shared" si="3"/>
        <v>6435.1</v>
      </c>
      <c r="L14" s="173"/>
      <c r="M14" s="173">
        <f t="shared" si="0"/>
        <v>88998.589600000196</v>
      </c>
      <c r="N14" s="43"/>
    </row>
    <row r="15" spans="1:17">
      <c r="A15" s="26">
        <v>12</v>
      </c>
      <c r="B15" s="27">
        <v>45942</v>
      </c>
      <c r="C15" s="73"/>
      <c r="D15" s="167"/>
      <c r="E15" s="172"/>
      <c r="F15" s="172"/>
      <c r="G15" s="8">
        <f t="shared" si="1"/>
        <v>0</v>
      </c>
      <c r="H15" s="172"/>
      <c r="I15" s="172"/>
      <c r="J15" s="8">
        <f t="shared" si="2"/>
        <v>0</v>
      </c>
      <c r="K15" s="8">
        <f t="shared" si="3"/>
        <v>0</v>
      </c>
      <c r="L15" s="173">
        <v>0</v>
      </c>
      <c r="M15" s="173">
        <f t="shared" si="0"/>
        <v>88998.589600000196</v>
      </c>
      <c r="N15" s="43"/>
    </row>
    <row r="16" spans="1:17">
      <c r="A16" s="26">
        <v>13</v>
      </c>
      <c r="B16" s="27">
        <v>45943</v>
      </c>
      <c r="C16" s="73"/>
      <c r="D16" s="167"/>
      <c r="E16" s="172">
        <v>305</v>
      </c>
      <c r="F16" s="376">
        <v>91.93</v>
      </c>
      <c r="G16" s="8">
        <f t="shared" si="1"/>
        <v>28038.65</v>
      </c>
      <c r="H16" s="382">
        <v>60</v>
      </c>
      <c r="I16" s="172">
        <v>111.13</v>
      </c>
      <c r="J16" s="8">
        <f t="shared" si="2"/>
        <v>6667.7999999999993</v>
      </c>
      <c r="K16" s="8">
        <f t="shared" si="3"/>
        <v>34706.449999999997</v>
      </c>
      <c r="L16" s="173">
        <v>0</v>
      </c>
      <c r="M16" s="173">
        <f t="shared" si="0"/>
        <v>123705.03960000019</v>
      </c>
      <c r="N16" s="43"/>
    </row>
    <row r="17" spans="1:14">
      <c r="A17" s="26">
        <v>14</v>
      </c>
      <c r="B17" s="27">
        <v>45944</v>
      </c>
      <c r="C17" s="73"/>
      <c r="D17" s="167"/>
      <c r="E17" s="172">
        <v>50</v>
      </c>
      <c r="F17" s="376">
        <v>91.93</v>
      </c>
      <c r="G17" s="8">
        <f t="shared" si="1"/>
        <v>4596.5</v>
      </c>
      <c r="H17" s="172">
        <v>5</v>
      </c>
      <c r="I17" s="172">
        <v>111.13</v>
      </c>
      <c r="J17" s="8">
        <f t="shared" si="2"/>
        <v>555.65</v>
      </c>
      <c r="K17" s="8">
        <f t="shared" si="3"/>
        <v>5152.1499999999996</v>
      </c>
      <c r="L17" s="173">
        <v>0</v>
      </c>
      <c r="M17" s="173">
        <f t="shared" si="0"/>
        <v>128857.18960000019</v>
      </c>
      <c r="N17" s="43"/>
    </row>
    <row r="18" spans="1:14">
      <c r="A18" s="26">
        <v>15</v>
      </c>
      <c r="B18" s="27">
        <v>45945</v>
      </c>
      <c r="C18" s="73"/>
      <c r="D18" s="167"/>
      <c r="E18" s="172"/>
      <c r="F18" s="172"/>
      <c r="G18" s="8">
        <f t="shared" si="1"/>
        <v>0</v>
      </c>
      <c r="H18" s="172"/>
      <c r="I18" s="172"/>
      <c r="J18" s="8">
        <f t="shared" si="2"/>
        <v>0</v>
      </c>
      <c r="K18" s="8">
        <f t="shared" si="3"/>
        <v>0</v>
      </c>
      <c r="L18" s="173">
        <v>0</v>
      </c>
      <c r="M18" s="173">
        <f t="shared" si="0"/>
        <v>128857.18960000019</v>
      </c>
      <c r="N18" s="43"/>
    </row>
    <row r="19" spans="1:14">
      <c r="A19" s="26">
        <v>16</v>
      </c>
      <c r="B19" s="27">
        <v>45946</v>
      </c>
      <c r="C19" s="73"/>
      <c r="D19" s="167"/>
      <c r="E19" s="172">
        <v>35</v>
      </c>
      <c r="F19" s="376">
        <v>91.93</v>
      </c>
      <c r="G19" s="8">
        <f t="shared" si="1"/>
        <v>3217.55</v>
      </c>
      <c r="H19" s="172"/>
      <c r="I19" s="172"/>
      <c r="J19" s="8">
        <f t="shared" si="2"/>
        <v>0</v>
      </c>
      <c r="K19" s="8">
        <f t="shared" si="3"/>
        <v>3217.55</v>
      </c>
      <c r="L19" s="173">
        <v>31041</v>
      </c>
      <c r="M19" s="173">
        <f t="shared" si="0"/>
        <v>101033.73960000018</v>
      </c>
      <c r="N19" s="43"/>
    </row>
    <row r="20" spans="1:14">
      <c r="A20" s="26">
        <v>17</v>
      </c>
      <c r="B20" s="27">
        <v>45947</v>
      </c>
      <c r="C20" s="73"/>
      <c r="D20" s="167"/>
      <c r="E20" s="172">
        <v>81</v>
      </c>
      <c r="F20" s="376">
        <v>91.93</v>
      </c>
      <c r="G20" s="8">
        <f t="shared" si="1"/>
        <v>7446.3300000000008</v>
      </c>
      <c r="H20" s="172"/>
      <c r="I20" s="172"/>
      <c r="J20" s="8">
        <f t="shared" si="2"/>
        <v>0</v>
      </c>
      <c r="K20" s="8">
        <f t="shared" si="3"/>
        <v>7446.3300000000008</v>
      </c>
      <c r="L20" s="173">
        <v>0</v>
      </c>
      <c r="M20" s="173">
        <f t="shared" si="0"/>
        <v>108480.06960000018</v>
      </c>
      <c r="N20" s="43"/>
    </row>
    <row r="21" spans="1:14">
      <c r="A21" s="26">
        <v>18</v>
      </c>
      <c r="B21" s="27">
        <v>45948</v>
      </c>
      <c r="C21" s="73"/>
      <c r="D21" s="167"/>
      <c r="E21" s="172">
        <v>233</v>
      </c>
      <c r="F21" s="376">
        <v>91.93</v>
      </c>
      <c r="G21" s="8">
        <f t="shared" si="1"/>
        <v>21419.690000000002</v>
      </c>
      <c r="H21" s="172">
        <v>45</v>
      </c>
      <c r="I21" s="376">
        <v>103.89</v>
      </c>
      <c r="J21" s="8">
        <f t="shared" si="2"/>
        <v>4675.05</v>
      </c>
      <c r="K21" s="8">
        <f t="shared" si="3"/>
        <v>26094.74</v>
      </c>
      <c r="L21" s="173">
        <v>0</v>
      </c>
      <c r="M21" s="173">
        <f t="shared" ref="M21:M34" si="4">M20+K21-L21</f>
        <v>134574.80960000018</v>
      </c>
      <c r="N21" s="43"/>
    </row>
    <row r="22" spans="1:14">
      <c r="A22" s="26">
        <v>19</v>
      </c>
      <c r="B22" s="27">
        <v>45949</v>
      </c>
      <c r="C22" s="73"/>
      <c r="D22" s="167"/>
      <c r="E22" s="172"/>
      <c r="F22" s="172"/>
      <c r="G22" s="8">
        <f t="shared" si="1"/>
        <v>0</v>
      </c>
      <c r="H22" s="172"/>
      <c r="I22" s="172"/>
      <c r="J22" s="8">
        <f t="shared" si="2"/>
        <v>0</v>
      </c>
      <c r="K22" s="8">
        <f t="shared" si="3"/>
        <v>0</v>
      </c>
      <c r="L22" s="173">
        <v>0</v>
      </c>
      <c r="M22" s="173">
        <f t="shared" si="4"/>
        <v>134574.80960000018</v>
      </c>
      <c r="N22" s="43"/>
    </row>
    <row r="23" spans="1:14">
      <c r="A23" s="26">
        <v>20</v>
      </c>
      <c r="B23" s="27">
        <v>45950</v>
      </c>
      <c r="C23" s="73"/>
      <c r="D23" s="167"/>
      <c r="E23" s="172"/>
      <c r="F23" s="172"/>
      <c r="G23" s="8">
        <f t="shared" si="1"/>
        <v>0</v>
      </c>
      <c r="H23" s="172"/>
      <c r="I23" s="172"/>
      <c r="J23" s="8">
        <f t="shared" si="2"/>
        <v>0</v>
      </c>
      <c r="K23" s="8">
        <f t="shared" si="3"/>
        <v>0</v>
      </c>
      <c r="L23" s="173">
        <v>0</v>
      </c>
      <c r="M23" s="173">
        <f t="shared" si="4"/>
        <v>134574.80960000018</v>
      </c>
      <c r="N23" s="43"/>
    </row>
    <row r="24" spans="1:14">
      <c r="A24" s="26">
        <v>21</v>
      </c>
      <c r="B24" s="27">
        <v>45951</v>
      </c>
      <c r="C24" s="73"/>
      <c r="D24" s="167"/>
      <c r="E24" s="172"/>
      <c r="F24" s="172"/>
      <c r="G24" s="8">
        <f t="shared" si="1"/>
        <v>0</v>
      </c>
      <c r="H24" s="172"/>
      <c r="I24" s="172"/>
      <c r="J24" s="8">
        <f t="shared" si="2"/>
        <v>0</v>
      </c>
      <c r="K24" s="8">
        <f t="shared" si="3"/>
        <v>0</v>
      </c>
      <c r="L24" s="173">
        <v>0</v>
      </c>
      <c r="M24" s="173">
        <f t="shared" si="4"/>
        <v>134574.80960000018</v>
      </c>
      <c r="N24" s="43"/>
    </row>
    <row r="25" spans="1:14">
      <c r="A25" s="26">
        <v>22</v>
      </c>
      <c r="B25" s="27">
        <v>45952</v>
      </c>
      <c r="C25" s="73"/>
      <c r="D25" s="167"/>
      <c r="E25" s="172"/>
      <c r="F25" s="172"/>
      <c r="G25" s="8">
        <f t="shared" si="1"/>
        <v>0</v>
      </c>
      <c r="H25" s="172"/>
      <c r="I25" s="172"/>
      <c r="J25" s="8">
        <f t="shared" si="2"/>
        <v>0</v>
      </c>
      <c r="K25" s="8">
        <f t="shared" si="3"/>
        <v>0</v>
      </c>
      <c r="L25" s="173">
        <v>0</v>
      </c>
      <c r="M25" s="173">
        <f t="shared" si="4"/>
        <v>134574.80960000018</v>
      </c>
      <c r="N25" s="43"/>
    </row>
    <row r="26" spans="1:14">
      <c r="A26" s="26">
        <v>23</v>
      </c>
      <c r="B26" s="27">
        <v>45953</v>
      </c>
      <c r="C26" s="73"/>
      <c r="D26" s="167"/>
      <c r="E26" s="172">
        <v>0</v>
      </c>
      <c r="F26" s="172">
        <v>0</v>
      </c>
      <c r="G26" s="8">
        <f t="shared" si="1"/>
        <v>0</v>
      </c>
      <c r="H26" s="172">
        <v>55</v>
      </c>
      <c r="I26" s="172">
        <v>111.13</v>
      </c>
      <c r="J26" s="8">
        <f t="shared" si="2"/>
        <v>6112.15</v>
      </c>
      <c r="K26" s="8">
        <f t="shared" si="3"/>
        <v>6112.15</v>
      </c>
      <c r="L26" s="173">
        <v>0</v>
      </c>
      <c r="M26" s="173">
        <f t="shared" si="4"/>
        <v>140686.95960000018</v>
      </c>
      <c r="N26" s="43"/>
    </row>
    <row r="27" spans="1:14">
      <c r="A27" s="26">
        <v>24</v>
      </c>
      <c r="B27" s="27">
        <v>45954</v>
      </c>
      <c r="C27" s="73"/>
      <c r="D27" s="167"/>
      <c r="E27" s="172"/>
      <c r="F27" s="172"/>
      <c r="G27" s="8">
        <f t="shared" si="1"/>
        <v>0</v>
      </c>
      <c r="H27" s="172"/>
      <c r="I27" s="172"/>
      <c r="J27" s="8">
        <f t="shared" si="2"/>
        <v>0</v>
      </c>
      <c r="K27" s="8">
        <f t="shared" si="3"/>
        <v>0</v>
      </c>
      <c r="L27" s="173">
        <v>0</v>
      </c>
      <c r="M27" s="173">
        <f t="shared" si="4"/>
        <v>140686.95960000018</v>
      </c>
      <c r="N27" s="43"/>
    </row>
    <row r="28" spans="1:14">
      <c r="A28" s="26">
        <v>25</v>
      </c>
      <c r="B28" s="27">
        <v>45955</v>
      </c>
      <c r="C28" s="73"/>
      <c r="D28" s="167"/>
      <c r="E28" s="172"/>
      <c r="F28" s="172"/>
      <c r="G28" s="8">
        <f t="shared" si="1"/>
        <v>0</v>
      </c>
      <c r="H28" s="172"/>
      <c r="I28" s="172"/>
      <c r="J28" s="8">
        <f t="shared" si="2"/>
        <v>0</v>
      </c>
      <c r="K28" s="8">
        <f t="shared" si="3"/>
        <v>0</v>
      </c>
      <c r="L28" s="173">
        <v>0</v>
      </c>
      <c r="M28" s="173">
        <f t="shared" si="4"/>
        <v>140686.95960000018</v>
      </c>
      <c r="N28" s="43"/>
    </row>
    <row r="29" spans="1:14">
      <c r="A29" s="26">
        <v>26</v>
      </c>
      <c r="B29" s="27">
        <v>45956</v>
      </c>
      <c r="C29" s="207"/>
      <c r="D29" s="167"/>
      <c r="E29" s="172"/>
      <c r="F29" s="172"/>
      <c r="G29" s="8">
        <f t="shared" si="1"/>
        <v>0</v>
      </c>
      <c r="H29" s="172"/>
      <c r="I29" s="172"/>
      <c r="J29" s="8">
        <f t="shared" si="2"/>
        <v>0</v>
      </c>
      <c r="K29" s="8">
        <f t="shared" si="3"/>
        <v>0</v>
      </c>
      <c r="L29" s="173">
        <v>0</v>
      </c>
      <c r="M29" s="173">
        <f t="shared" si="4"/>
        <v>140686.95960000018</v>
      </c>
      <c r="N29" s="43"/>
    </row>
    <row r="30" spans="1:14">
      <c r="A30" s="26">
        <v>27</v>
      </c>
      <c r="B30" s="27">
        <v>45957</v>
      </c>
      <c r="C30" s="73"/>
      <c r="D30" s="167"/>
      <c r="E30" s="172">
        <v>40</v>
      </c>
      <c r="F30" s="172">
        <v>91.93</v>
      </c>
      <c r="G30" s="8">
        <f t="shared" si="1"/>
        <v>3677.2000000000003</v>
      </c>
      <c r="H30" s="172"/>
      <c r="I30" s="172"/>
      <c r="J30" s="8">
        <f t="shared" si="2"/>
        <v>0</v>
      </c>
      <c r="K30" s="8">
        <f t="shared" si="3"/>
        <v>3677.2000000000003</v>
      </c>
      <c r="L30" s="173">
        <v>0</v>
      </c>
      <c r="M30" s="173">
        <f t="shared" si="4"/>
        <v>144364.15960000019</v>
      </c>
      <c r="N30" s="43"/>
    </row>
    <row r="31" spans="1:14">
      <c r="A31" s="26">
        <v>28</v>
      </c>
      <c r="B31" s="27">
        <v>45958</v>
      </c>
      <c r="C31" s="73"/>
      <c r="D31" s="167"/>
      <c r="E31" s="172"/>
      <c r="F31" s="172"/>
      <c r="G31" s="8">
        <f t="shared" si="1"/>
        <v>0</v>
      </c>
      <c r="H31" s="172"/>
      <c r="I31" s="172"/>
      <c r="J31" s="8">
        <f t="shared" si="2"/>
        <v>0</v>
      </c>
      <c r="K31" s="8">
        <f t="shared" si="3"/>
        <v>0</v>
      </c>
      <c r="L31" s="173">
        <v>0</v>
      </c>
      <c r="M31" s="173">
        <f t="shared" si="4"/>
        <v>144364.15960000019</v>
      </c>
      <c r="N31" s="43"/>
    </row>
    <row r="32" spans="1:14">
      <c r="A32" s="26">
        <v>29</v>
      </c>
      <c r="B32" s="27">
        <v>45959</v>
      </c>
      <c r="C32" s="73"/>
      <c r="D32" s="167"/>
      <c r="E32" s="172">
        <v>685</v>
      </c>
      <c r="F32" s="172">
        <v>91.93</v>
      </c>
      <c r="G32" s="8">
        <f t="shared" si="1"/>
        <v>62972.05</v>
      </c>
      <c r="H32" s="172">
        <v>5</v>
      </c>
      <c r="I32" s="172">
        <v>103.9</v>
      </c>
      <c r="J32" s="8">
        <f t="shared" si="2"/>
        <v>519.5</v>
      </c>
      <c r="K32" s="8">
        <f t="shared" si="3"/>
        <v>63491.55</v>
      </c>
      <c r="L32" s="173">
        <v>0</v>
      </c>
      <c r="M32" s="173">
        <f t="shared" si="4"/>
        <v>207855.70960000018</v>
      </c>
      <c r="N32" s="43"/>
    </row>
    <row r="33" spans="1:15">
      <c r="A33" s="26">
        <v>30</v>
      </c>
      <c r="B33" s="27">
        <v>45960</v>
      </c>
      <c r="C33" s="73"/>
      <c r="D33" s="167"/>
      <c r="E33" s="172">
        <v>235</v>
      </c>
      <c r="F33" s="172">
        <v>91.93</v>
      </c>
      <c r="G33" s="8">
        <f t="shared" si="1"/>
        <v>21603.550000000003</v>
      </c>
      <c r="H33" s="172">
        <v>50</v>
      </c>
      <c r="I33" s="172">
        <v>111.13</v>
      </c>
      <c r="J33" s="8">
        <f t="shared" si="2"/>
        <v>5556.5</v>
      </c>
      <c r="K33" s="8">
        <f t="shared" si="3"/>
        <v>27160.050000000003</v>
      </c>
      <c r="L33" s="173">
        <v>0</v>
      </c>
      <c r="M33" s="173">
        <f>M32+K33-L33</f>
        <v>235015.75960000016</v>
      </c>
      <c r="N33" s="43"/>
    </row>
    <row r="34" spans="1:15">
      <c r="A34" s="26">
        <v>31</v>
      </c>
      <c r="B34" s="27"/>
      <c r="C34" s="73"/>
      <c r="D34" s="167"/>
      <c r="E34" s="172"/>
      <c r="F34" s="172">
        <v>0</v>
      </c>
      <c r="G34" s="8">
        <f t="shared" si="1"/>
        <v>0</v>
      </c>
      <c r="H34" s="172"/>
      <c r="I34" s="172"/>
      <c r="J34" s="8">
        <f t="shared" si="2"/>
        <v>0</v>
      </c>
      <c r="K34" s="8">
        <f t="shared" si="3"/>
        <v>0</v>
      </c>
      <c r="L34" s="173">
        <v>0</v>
      </c>
      <c r="M34" s="173">
        <f t="shared" si="4"/>
        <v>235015.75960000016</v>
      </c>
      <c r="N34" s="43"/>
    </row>
    <row r="35" spans="1:15">
      <c r="A35" s="168"/>
      <c r="B35" s="168"/>
      <c r="C35" s="168"/>
      <c r="D35" s="168"/>
      <c r="E35" s="169">
        <f>SUM(E4:E34)</f>
        <v>2204.2399999999998</v>
      </c>
      <c r="F35" s="169"/>
      <c r="G35" s="169">
        <f>SUM(G4:G34)</f>
        <v>202635.78320000001</v>
      </c>
      <c r="H35" s="169">
        <f>SUM(H4:H34)</f>
        <v>301</v>
      </c>
      <c r="I35" s="69"/>
      <c r="J35" s="169">
        <f>SUM(J4:J34)</f>
        <v>32501.739999999998</v>
      </c>
      <c r="K35" s="169">
        <f>SUM(K4:K34)</f>
        <v>235137.5232</v>
      </c>
      <c r="L35" s="169">
        <f>SUM(L4:L34)</f>
        <v>231041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</row>
    <row r="42" spans="1:15">
      <c r="B42" s="65"/>
      <c r="G42" s="82"/>
      <c r="J42" s="65"/>
      <c r="K42" s="65"/>
      <c r="L42" s="65"/>
      <c r="M42" s="65"/>
      <c r="O42" s="80"/>
    </row>
    <row r="43" spans="1:15">
      <c r="B43" s="440"/>
      <c r="C43" s="440"/>
      <c r="D43" s="440"/>
      <c r="E43" s="440"/>
      <c r="I43" s="440"/>
      <c r="J43" s="440"/>
      <c r="K43" s="440"/>
      <c r="L43" s="440"/>
      <c r="M43" s="440"/>
      <c r="N43" s="440"/>
      <c r="O43" s="80"/>
    </row>
    <row r="44" spans="1:15">
      <c r="B44" s="65"/>
      <c r="J44" s="65"/>
      <c r="K44" s="65"/>
      <c r="L44" s="65"/>
      <c r="M44" s="6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6"/>
  <sheetViews>
    <sheetView workbookViewId="0">
      <pane ySplit="2" topLeftCell="A3" activePane="bottomLeft" state="frozen"/>
      <selection pane="bottomLeft" activeCell="I28" sqref="I28"/>
    </sheetView>
  </sheetViews>
  <sheetFormatPr defaultRowHeight="15"/>
  <cols>
    <col min="1" max="1" width="5.140625" style="83" bestFit="1" customWidth="1"/>
    <col min="2" max="2" width="10.85546875" style="83" bestFit="1" customWidth="1"/>
    <col min="3" max="3" width="16" style="83" bestFit="1" customWidth="1"/>
    <col min="4" max="4" width="13.28515625" style="83" bestFit="1" customWidth="1"/>
    <col min="5" max="6" width="10.7109375" style="83" bestFit="1" customWidth="1"/>
    <col min="7" max="7" width="11.5703125" style="83" bestFit="1" customWidth="1"/>
    <col min="8" max="8" width="10.7109375" style="83" bestFit="1" customWidth="1"/>
    <col min="9" max="9" width="7.140625" style="83" bestFit="1" customWidth="1"/>
    <col min="10" max="10" width="9.7109375" style="83" bestFit="1" customWidth="1"/>
    <col min="11" max="11" width="13.5703125" style="83" bestFit="1" customWidth="1"/>
    <col min="12" max="12" width="13.5703125" style="269" bestFit="1" customWidth="1"/>
    <col min="13" max="13" width="15" style="83" customWidth="1"/>
    <col min="14" max="14" width="14.28515625" style="83" bestFit="1" customWidth="1"/>
    <col min="15" max="16384" width="9.140625" style="83"/>
  </cols>
  <sheetData>
    <row r="1" spans="1:15" ht="15.75">
      <c r="A1" s="427" t="s">
        <v>54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59"/>
    </row>
    <row r="2" spans="1:15" ht="30">
      <c r="A2" s="104" t="s">
        <v>96</v>
      </c>
      <c r="B2" s="105" t="s">
        <v>97</v>
      </c>
      <c r="C2" s="105" t="s">
        <v>98</v>
      </c>
      <c r="D2" s="105" t="s">
        <v>111</v>
      </c>
      <c r="E2" s="105" t="s">
        <v>100</v>
      </c>
      <c r="F2" s="105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243" t="s">
        <v>105</v>
      </c>
      <c r="M2" s="150" t="s">
        <v>110</v>
      </c>
      <c r="N2" s="107" t="s">
        <v>107</v>
      </c>
      <c r="O2" s="65"/>
    </row>
    <row r="3" spans="1:15">
      <c r="A3" s="457" t="s">
        <v>108</v>
      </c>
      <c r="B3" s="458"/>
      <c r="C3" s="458"/>
      <c r="D3" s="458"/>
      <c r="E3" s="458"/>
      <c r="F3" s="458"/>
      <c r="G3" s="458"/>
      <c r="H3" s="458"/>
      <c r="I3" s="458"/>
      <c r="J3" s="459"/>
      <c r="K3" s="222">
        <v>41597.607399999972</v>
      </c>
      <c r="L3" s="222"/>
      <c r="M3" s="222">
        <v>41597.607399999972</v>
      </c>
      <c r="N3" s="164"/>
      <c r="O3" s="8"/>
    </row>
    <row r="4" spans="1:15">
      <c r="A4" s="26">
        <v>1</v>
      </c>
      <c r="B4" s="27">
        <v>45931</v>
      </c>
      <c r="C4" s="25"/>
      <c r="D4" s="18"/>
      <c r="E4" s="51">
        <v>0</v>
      </c>
      <c r="F4" s="51">
        <v>0</v>
      </c>
      <c r="G4" s="8">
        <f>E4*F4</f>
        <v>0</v>
      </c>
      <c r="H4" s="51">
        <v>0</v>
      </c>
      <c r="I4" s="51">
        <v>0</v>
      </c>
      <c r="J4" s="8">
        <f>H4*I4</f>
        <v>0</v>
      </c>
      <c r="K4" s="8">
        <f>G4+J4</f>
        <v>0</v>
      </c>
      <c r="L4" s="267">
        <v>0</v>
      </c>
      <c r="M4" s="8">
        <f>M3+K4-L4</f>
        <v>41597.607399999972</v>
      </c>
      <c r="N4" s="8"/>
      <c r="O4" s="65"/>
    </row>
    <row r="5" spans="1:15">
      <c r="A5" s="26">
        <v>2</v>
      </c>
      <c r="B5" s="27">
        <v>45932</v>
      </c>
      <c r="C5" s="25"/>
      <c r="D5" s="18"/>
      <c r="E5" s="51">
        <v>0</v>
      </c>
      <c r="F5" s="51">
        <v>0</v>
      </c>
      <c r="G5" s="8">
        <f t="shared" ref="G5:G34" si="0">E5*F5</f>
        <v>0</v>
      </c>
      <c r="H5" s="51">
        <v>0</v>
      </c>
      <c r="I5" s="51">
        <v>0</v>
      </c>
      <c r="J5" s="8">
        <f t="shared" ref="J5:J34" si="1">H5*I5</f>
        <v>0</v>
      </c>
      <c r="K5" s="8">
        <f t="shared" ref="K5:K34" si="2">G5+J5</f>
        <v>0</v>
      </c>
      <c r="L5" s="267">
        <v>0</v>
      </c>
      <c r="M5" s="8">
        <f t="shared" ref="M5:M15" si="3">M4+K5-L5</f>
        <v>41597.607399999972</v>
      </c>
      <c r="N5" s="8"/>
      <c r="O5" s="65"/>
    </row>
    <row r="6" spans="1:15">
      <c r="A6" s="26">
        <v>3</v>
      </c>
      <c r="B6" s="27">
        <v>45933</v>
      </c>
      <c r="C6" s="25"/>
      <c r="D6" s="18"/>
      <c r="E6" s="51">
        <v>5</v>
      </c>
      <c r="F6" s="51">
        <v>91.77</v>
      </c>
      <c r="G6" s="8">
        <f t="shared" ref="G6:G36" si="4">E6*F6</f>
        <v>458.84999999999997</v>
      </c>
      <c r="H6" s="51">
        <v>5</v>
      </c>
      <c r="I6" s="51">
        <v>103.73</v>
      </c>
      <c r="J6" s="8">
        <f t="shared" ref="J6:J33" si="5">H6*I6</f>
        <v>518.65</v>
      </c>
      <c r="K6" s="8">
        <f t="shared" ref="K6:K36" si="6">G6+J6</f>
        <v>977.5</v>
      </c>
      <c r="L6" s="267">
        <v>0</v>
      </c>
      <c r="M6" s="8">
        <f t="shared" si="3"/>
        <v>42575.107399999972</v>
      </c>
      <c r="N6" s="8"/>
      <c r="O6" s="65"/>
    </row>
    <row r="7" spans="1:15">
      <c r="A7" s="26">
        <v>4</v>
      </c>
      <c r="B7" s="27">
        <v>45934</v>
      </c>
      <c r="C7" s="25"/>
      <c r="D7" s="18"/>
      <c r="E7" s="51">
        <v>0</v>
      </c>
      <c r="F7" s="51">
        <v>0</v>
      </c>
      <c r="G7" s="8">
        <f t="shared" si="4"/>
        <v>0</v>
      </c>
      <c r="H7" s="51">
        <v>5</v>
      </c>
      <c r="I7" s="51">
        <v>103.73</v>
      </c>
      <c r="J7" s="8">
        <f t="shared" si="5"/>
        <v>518.65</v>
      </c>
      <c r="K7" s="8">
        <f t="shared" si="6"/>
        <v>518.65</v>
      </c>
      <c r="L7" s="267">
        <v>0</v>
      </c>
      <c r="M7" s="8">
        <f t="shared" si="3"/>
        <v>43093.757399999973</v>
      </c>
      <c r="N7" s="8"/>
      <c r="O7" s="65"/>
    </row>
    <row r="8" spans="1:15">
      <c r="A8" s="26">
        <v>5</v>
      </c>
      <c r="B8" s="27">
        <v>45935</v>
      </c>
      <c r="C8" s="25"/>
      <c r="D8" s="18"/>
      <c r="E8" s="51">
        <v>0</v>
      </c>
      <c r="F8" s="51">
        <v>0</v>
      </c>
      <c r="G8" s="8">
        <f t="shared" si="4"/>
        <v>0</v>
      </c>
      <c r="H8" s="51">
        <v>0</v>
      </c>
      <c r="I8" s="51">
        <v>0</v>
      </c>
      <c r="J8" s="8">
        <f t="shared" si="5"/>
        <v>0</v>
      </c>
      <c r="K8" s="8">
        <f t="shared" si="6"/>
        <v>0</v>
      </c>
      <c r="L8" s="267">
        <v>0</v>
      </c>
      <c r="M8" s="8">
        <f t="shared" si="3"/>
        <v>43093.757399999973</v>
      </c>
      <c r="N8" s="8"/>
      <c r="O8" s="65"/>
    </row>
    <row r="9" spans="1:15">
      <c r="A9" s="26">
        <v>6</v>
      </c>
      <c r="B9" s="27">
        <v>45936</v>
      </c>
      <c r="C9" s="25"/>
      <c r="D9" s="18"/>
      <c r="E9" s="51">
        <v>50</v>
      </c>
      <c r="F9" s="51">
        <v>91.77</v>
      </c>
      <c r="G9" s="8">
        <f t="shared" si="4"/>
        <v>4588.5</v>
      </c>
      <c r="H9" s="51">
        <v>5</v>
      </c>
      <c r="I9" s="51">
        <v>103.73</v>
      </c>
      <c r="J9" s="8">
        <f t="shared" si="5"/>
        <v>518.65</v>
      </c>
      <c r="K9" s="8">
        <f t="shared" si="6"/>
        <v>5107.1499999999996</v>
      </c>
      <c r="L9" s="267">
        <v>0</v>
      </c>
      <c r="M9" s="8">
        <f t="shared" si="3"/>
        <v>48200.907399999975</v>
      </c>
      <c r="N9" s="8"/>
      <c r="O9" s="65"/>
    </row>
    <row r="10" spans="1:15">
      <c r="A10" s="26">
        <v>7</v>
      </c>
      <c r="B10" s="27">
        <v>45937</v>
      </c>
      <c r="C10" s="25"/>
      <c r="D10" s="18"/>
      <c r="E10" s="51">
        <v>0</v>
      </c>
      <c r="F10" s="51">
        <v>0</v>
      </c>
      <c r="G10" s="8">
        <f t="shared" si="4"/>
        <v>0</v>
      </c>
      <c r="H10" s="51">
        <v>0</v>
      </c>
      <c r="I10" s="51">
        <v>0</v>
      </c>
      <c r="J10" s="8">
        <f t="shared" si="5"/>
        <v>0</v>
      </c>
      <c r="K10" s="8">
        <f t="shared" si="6"/>
        <v>0</v>
      </c>
      <c r="L10" s="267">
        <v>0</v>
      </c>
      <c r="M10" s="8">
        <f t="shared" si="3"/>
        <v>48200.907399999975</v>
      </c>
      <c r="N10" s="8"/>
      <c r="O10" s="65"/>
    </row>
    <row r="11" spans="1:15">
      <c r="A11" s="26">
        <v>8</v>
      </c>
      <c r="B11" s="27">
        <v>45938</v>
      </c>
      <c r="C11" s="25"/>
      <c r="D11" s="18"/>
      <c r="E11" s="51">
        <v>20</v>
      </c>
      <c r="F11" s="51">
        <v>91.77</v>
      </c>
      <c r="G11" s="8">
        <f t="shared" si="4"/>
        <v>1835.3999999999999</v>
      </c>
      <c r="H11" s="51">
        <v>11</v>
      </c>
      <c r="I11" s="51">
        <v>103.73</v>
      </c>
      <c r="J11" s="8">
        <f t="shared" si="5"/>
        <v>1141.03</v>
      </c>
      <c r="K11" s="8">
        <f t="shared" si="6"/>
        <v>2976.43</v>
      </c>
      <c r="L11" s="267">
        <v>43000</v>
      </c>
      <c r="M11" s="8">
        <f t="shared" si="3"/>
        <v>8177.3373999999749</v>
      </c>
      <c r="N11" s="8"/>
      <c r="O11" s="65"/>
    </row>
    <row r="12" spans="1:15">
      <c r="A12" s="26">
        <v>9</v>
      </c>
      <c r="B12" s="27">
        <v>45939</v>
      </c>
      <c r="C12" s="25"/>
      <c r="D12" s="18"/>
      <c r="E12" s="51">
        <v>0</v>
      </c>
      <c r="F12" s="51">
        <v>0</v>
      </c>
      <c r="G12" s="8">
        <f t="shared" si="4"/>
        <v>0</v>
      </c>
      <c r="H12" s="51">
        <v>0</v>
      </c>
      <c r="I12" s="51">
        <v>0</v>
      </c>
      <c r="J12" s="8">
        <f t="shared" si="5"/>
        <v>0</v>
      </c>
      <c r="K12" s="8">
        <f t="shared" si="6"/>
        <v>0</v>
      </c>
      <c r="L12" s="267">
        <v>0</v>
      </c>
      <c r="M12" s="8">
        <f t="shared" si="3"/>
        <v>8177.3373999999749</v>
      </c>
      <c r="N12" s="8"/>
      <c r="O12" s="65"/>
    </row>
    <row r="13" spans="1:15">
      <c r="A13" s="26">
        <v>10</v>
      </c>
      <c r="B13" s="27">
        <v>45940</v>
      </c>
      <c r="C13" s="25"/>
      <c r="D13" s="18"/>
      <c r="E13" s="51">
        <v>50</v>
      </c>
      <c r="F13" s="51">
        <v>91.77</v>
      </c>
      <c r="G13" s="8">
        <f t="shared" si="4"/>
        <v>4588.5</v>
      </c>
      <c r="H13" s="51">
        <v>0</v>
      </c>
      <c r="I13" s="51">
        <v>0</v>
      </c>
      <c r="J13" s="8">
        <f t="shared" si="5"/>
        <v>0</v>
      </c>
      <c r="K13" s="8">
        <f t="shared" si="6"/>
        <v>4588.5</v>
      </c>
      <c r="L13" s="267">
        <v>0</v>
      </c>
      <c r="M13" s="8">
        <f t="shared" si="3"/>
        <v>12765.837399999975</v>
      </c>
      <c r="N13" s="19"/>
      <c r="O13" s="65"/>
    </row>
    <row r="14" spans="1:15">
      <c r="A14" s="26">
        <v>11</v>
      </c>
      <c r="B14" s="27">
        <v>45941</v>
      </c>
      <c r="C14" s="25"/>
      <c r="D14" s="18"/>
      <c r="E14" s="51">
        <v>100</v>
      </c>
      <c r="F14" s="51">
        <v>91.77</v>
      </c>
      <c r="G14" s="8">
        <f t="shared" si="4"/>
        <v>9177</v>
      </c>
      <c r="H14" s="51">
        <v>0</v>
      </c>
      <c r="I14" s="51">
        <v>0</v>
      </c>
      <c r="J14" s="8">
        <f t="shared" si="5"/>
        <v>0</v>
      </c>
      <c r="K14" s="8">
        <f t="shared" si="6"/>
        <v>9177</v>
      </c>
      <c r="L14" s="267">
        <v>0</v>
      </c>
      <c r="M14" s="8">
        <f t="shared" si="3"/>
        <v>21942.837399999975</v>
      </c>
      <c r="N14" s="19"/>
      <c r="O14" s="65"/>
    </row>
    <row r="15" spans="1:15">
      <c r="A15" s="26">
        <v>12</v>
      </c>
      <c r="B15" s="27">
        <v>45942</v>
      </c>
      <c r="C15" s="25"/>
      <c r="D15" s="18"/>
      <c r="E15" s="51">
        <v>0</v>
      </c>
      <c r="F15" s="51">
        <v>0</v>
      </c>
      <c r="G15" s="8">
        <f t="shared" si="4"/>
        <v>0</v>
      </c>
      <c r="H15" s="51">
        <v>0</v>
      </c>
      <c r="I15" s="51">
        <v>0</v>
      </c>
      <c r="J15" s="8">
        <f t="shared" si="5"/>
        <v>0</v>
      </c>
      <c r="K15" s="8">
        <f t="shared" si="6"/>
        <v>0</v>
      </c>
      <c r="L15" s="267">
        <v>0</v>
      </c>
      <c r="M15" s="8">
        <f t="shared" si="3"/>
        <v>21942.837399999975</v>
      </c>
      <c r="N15" s="19"/>
      <c r="O15" s="65"/>
    </row>
    <row r="16" spans="1:15">
      <c r="A16" s="26">
        <v>13</v>
      </c>
      <c r="B16" s="27">
        <v>45943</v>
      </c>
      <c r="C16" s="25"/>
      <c r="D16" s="18"/>
      <c r="E16" s="51">
        <v>140</v>
      </c>
      <c r="F16" s="51">
        <v>91.77</v>
      </c>
      <c r="G16" s="8">
        <f t="shared" si="4"/>
        <v>12847.8</v>
      </c>
      <c r="H16" s="51">
        <v>5</v>
      </c>
      <c r="I16" s="51">
        <v>111.04</v>
      </c>
      <c r="J16" s="8">
        <f t="shared" si="5"/>
        <v>555.20000000000005</v>
      </c>
      <c r="K16" s="8">
        <f t="shared" si="6"/>
        <v>13403</v>
      </c>
      <c r="L16" s="267">
        <v>0</v>
      </c>
      <c r="M16" s="8">
        <f t="shared" ref="M16:M24" si="7">M15+K16-L16</f>
        <v>35345.837399999975</v>
      </c>
      <c r="N16" s="19"/>
      <c r="O16" s="65"/>
    </row>
    <row r="17" spans="1:18">
      <c r="A17" s="26">
        <v>14</v>
      </c>
      <c r="B17" s="27">
        <v>45944</v>
      </c>
      <c r="C17" s="25"/>
      <c r="D17" s="18"/>
      <c r="E17" s="51">
        <v>70</v>
      </c>
      <c r="F17" s="51">
        <v>91.77</v>
      </c>
      <c r="G17" s="8">
        <f t="shared" si="4"/>
        <v>6423.9</v>
      </c>
      <c r="H17" s="51">
        <v>0</v>
      </c>
      <c r="I17" s="51">
        <v>0</v>
      </c>
      <c r="J17" s="8">
        <f t="shared" si="5"/>
        <v>0</v>
      </c>
      <c r="K17" s="8">
        <f t="shared" si="6"/>
        <v>6423.9</v>
      </c>
      <c r="L17" s="267">
        <v>0</v>
      </c>
      <c r="M17" s="8">
        <f t="shared" si="7"/>
        <v>41769.737399999976</v>
      </c>
      <c r="N17" s="19"/>
      <c r="O17" s="65"/>
    </row>
    <row r="18" spans="1:18">
      <c r="A18" s="26">
        <v>15</v>
      </c>
      <c r="B18" s="27">
        <v>45945</v>
      </c>
      <c r="C18" s="25"/>
      <c r="D18" s="18"/>
      <c r="E18" s="51">
        <v>0</v>
      </c>
      <c r="F18" s="51">
        <v>0</v>
      </c>
      <c r="G18" s="8">
        <f t="shared" si="4"/>
        <v>0</v>
      </c>
      <c r="H18" s="51">
        <v>0</v>
      </c>
      <c r="I18" s="51">
        <v>0</v>
      </c>
      <c r="J18" s="8">
        <f t="shared" si="5"/>
        <v>0</v>
      </c>
      <c r="K18" s="8">
        <f t="shared" si="6"/>
        <v>0</v>
      </c>
      <c r="L18" s="267">
        <v>39597</v>
      </c>
      <c r="M18" s="8">
        <f t="shared" si="7"/>
        <v>2172.7373999999763</v>
      </c>
      <c r="N18" s="19"/>
      <c r="O18" s="65"/>
    </row>
    <row r="19" spans="1:18">
      <c r="A19" s="26">
        <v>16</v>
      </c>
      <c r="B19" s="27">
        <v>45946</v>
      </c>
      <c r="C19" s="25"/>
      <c r="D19" s="18"/>
      <c r="E19" s="51">
        <v>20</v>
      </c>
      <c r="F19" s="51">
        <v>91.77</v>
      </c>
      <c r="G19" s="8">
        <f t="shared" si="4"/>
        <v>1835.3999999999999</v>
      </c>
      <c r="H19" s="51">
        <v>5</v>
      </c>
      <c r="I19" s="51">
        <v>103.73</v>
      </c>
      <c r="J19" s="8">
        <f t="shared" si="5"/>
        <v>518.65</v>
      </c>
      <c r="K19" s="8">
        <f t="shared" si="6"/>
        <v>2354.0499999999997</v>
      </c>
      <c r="L19" s="267">
        <v>0</v>
      </c>
      <c r="M19" s="8">
        <f t="shared" si="7"/>
        <v>4526.7873999999756</v>
      </c>
      <c r="N19" s="19"/>
      <c r="O19" s="65"/>
    </row>
    <row r="20" spans="1:18">
      <c r="A20" s="26">
        <v>17</v>
      </c>
      <c r="B20" s="27">
        <v>45947</v>
      </c>
      <c r="C20" s="25"/>
      <c r="D20" s="18"/>
      <c r="E20" s="51">
        <v>100</v>
      </c>
      <c r="F20" s="51">
        <v>91.77</v>
      </c>
      <c r="G20" s="8">
        <f t="shared" si="4"/>
        <v>9177</v>
      </c>
      <c r="H20" s="51">
        <v>5</v>
      </c>
      <c r="I20" s="51">
        <v>103.73</v>
      </c>
      <c r="J20" s="8">
        <f t="shared" si="5"/>
        <v>518.65</v>
      </c>
      <c r="K20" s="8">
        <f t="shared" si="6"/>
        <v>9695.65</v>
      </c>
      <c r="L20" s="267">
        <v>0</v>
      </c>
      <c r="M20" s="8">
        <f t="shared" si="7"/>
        <v>14222.437399999975</v>
      </c>
      <c r="N20" s="19"/>
      <c r="O20" s="65"/>
    </row>
    <row r="21" spans="1:18">
      <c r="A21" s="26">
        <v>18</v>
      </c>
      <c r="B21" s="27">
        <v>45948</v>
      </c>
      <c r="C21" s="25"/>
      <c r="D21" s="18"/>
      <c r="E21" s="51">
        <v>150</v>
      </c>
      <c r="F21" s="51">
        <v>91.77</v>
      </c>
      <c r="G21" s="8">
        <f t="shared" si="4"/>
        <v>13765.5</v>
      </c>
      <c r="H21" s="51">
        <v>5</v>
      </c>
      <c r="I21" s="51">
        <v>103.73</v>
      </c>
      <c r="J21" s="8">
        <f t="shared" si="5"/>
        <v>518.65</v>
      </c>
      <c r="K21" s="8">
        <f t="shared" si="6"/>
        <v>14284.15</v>
      </c>
      <c r="L21" s="267">
        <v>0</v>
      </c>
      <c r="M21" s="8">
        <f t="shared" si="7"/>
        <v>28506.587399999975</v>
      </c>
      <c r="N21" s="19"/>
      <c r="O21" s="65"/>
    </row>
    <row r="22" spans="1:18">
      <c r="A22" s="26">
        <v>19</v>
      </c>
      <c r="B22" s="27">
        <v>45949</v>
      </c>
      <c r="C22" s="25"/>
      <c r="D22" s="18"/>
      <c r="E22" s="51">
        <v>0</v>
      </c>
      <c r="F22" s="51">
        <v>0</v>
      </c>
      <c r="G22" s="8">
        <f t="shared" si="4"/>
        <v>0</v>
      </c>
      <c r="H22" s="51">
        <v>0</v>
      </c>
      <c r="I22" s="51">
        <v>0</v>
      </c>
      <c r="J22" s="8">
        <f t="shared" si="5"/>
        <v>0</v>
      </c>
      <c r="K22" s="8">
        <f t="shared" si="6"/>
        <v>0</v>
      </c>
      <c r="L22" s="267">
        <v>0</v>
      </c>
      <c r="M22" s="8">
        <f t="shared" si="7"/>
        <v>28506.587399999975</v>
      </c>
      <c r="N22" s="19"/>
      <c r="O22" s="65"/>
    </row>
    <row r="23" spans="1:18">
      <c r="A23" s="26">
        <v>20</v>
      </c>
      <c r="B23" s="27">
        <v>45950</v>
      </c>
      <c r="C23" s="25"/>
      <c r="D23" s="18"/>
      <c r="E23" s="51">
        <v>0</v>
      </c>
      <c r="F23" s="51">
        <v>0</v>
      </c>
      <c r="G23" s="8">
        <f t="shared" si="4"/>
        <v>0</v>
      </c>
      <c r="H23" s="51">
        <v>0</v>
      </c>
      <c r="I23" s="51">
        <v>0</v>
      </c>
      <c r="J23" s="8">
        <f t="shared" si="5"/>
        <v>0</v>
      </c>
      <c r="K23" s="8">
        <f t="shared" si="6"/>
        <v>0</v>
      </c>
      <c r="L23" s="267">
        <v>0</v>
      </c>
      <c r="M23" s="8">
        <f t="shared" si="7"/>
        <v>28506.587399999975</v>
      </c>
      <c r="N23" s="19"/>
      <c r="O23" s="65"/>
    </row>
    <row r="24" spans="1:18">
      <c r="A24" s="26">
        <v>21</v>
      </c>
      <c r="B24" s="27">
        <v>45951</v>
      </c>
      <c r="C24" s="25"/>
      <c r="D24" s="18"/>
      <c r="E24" s="51">
        <v>0</v>
      </c>
      <c r="F24" s="51">
        <v>0</v>
      </c>
      <c r="G24" s="8">
        <f t="shared" si="4"/>
        <v>0</v>
      </c>
      <c r="H24" s="51">
        <v>0</v>
      </c>
      <c r="I24" s="51">
        <v>0</v>
      </c>
      <c r="J24" s="8">
        <f t="shared" si="5"/>
        <v>0</v>
      </c>
      <c r="K24" s="8">
        <f t="shared" si="6"/>
        <v>0</v>
      </c>
      <c r="L24" s="267">
        <v>0</v>
      </c>
      <c r="M24" s="8">
        <f t="shared" si="7"/>
        <v>28506.587399999975</v>
      </c>
      <c r="N24" s="19"/>
      <c r="O24" s="65"/>
    </row>
    <row r="25" spans="1:18">
      <c r="A25" s="26">
        <v>22</v>
      </c>
      <c r="B25" s="27">
        <v>45952</v>
      </c>
      <c r="C25" s="25"/>
      <c r="D25" s="18"/>
      <c r="E25" s="51">
        <v>75</v>
      </c>
      <c r="F25" s="51">
        <v>91.77</v>
      </c>
      <c r="G25" s="8">
        <f t="shared" si="4"/>
        <v>6882.75</v>
      </c>
      <c r="H25" s="51">
        <v>0</v>
      </c>
      <c r="I25" s="51">
        <v>0</v>
      </c>
      <c r="J25" s="8">
        <f t="shared" si="5"/>
        <v>0</v>
      </c>
      <c r="K25" s="8">
        <f t="shared" si="6"/>
        <v>6882.75</v>
      </c>
      <c r="L25" s="267">
        <v>0</v>
      </c>
      <c r="M25" s="8">
        <f t="shared" ref="M25:M36" si="8">M24+K25-L25</f>
        <v>35389.337399999975</v>
      </c>
      <c r="N25" s="19"/>
      <c r="O25" s="65"/>
    </row>
    <row r="26" spans="1:18">
      <c r="A26" s="26">
        <v>23</v>
      </c>
      <c r="B26" s="27">
        <v>45953</v>
      </c>
      <c r="C26" s="25"/>
      <c r="D26" s="18"/>
      <c r="E26" s="51">
        <v>4.33</v>
      </c>
      <c r="F26" s="51">
        <v>91.77</v>
      </c>
      <c r="G26" s="8">
        <f t="shared" si="4"/>
        <v>397.36410000000001</v>
      </c>
      <c r="H26" s="51">
        <v>0</v>
      </c>
      <c r="I26" s="51">
        <v>103.73</v>
      </c>
      <c r="J26" s="8">
        <f t="shared" si="5"/>
        <v>0</v>
      </c>
      <c r="K26" s="8">
        <f t="shared" si="6"/>
        <v>397.36410000000001</v>
      </c>
      <c r="L26" s="267">
        <v>0</v>
      </c>
      <c r="M26" s="8">
        <f t="shared" si="8"/>
        <v>35786.701499999974</v>
      </c>
      <c r="N26" s="19"/>
      <c r="O26" s="65"/>
      <c r="Q26" s="83" t="s">
        <v>185</v>
      </c>
    </row>
    <row r="27" spans="1:18">
      <c r="A27" s="26">
        <v>24</v>
      </c>
      <c r="B27" s="27">
        <v>45954</v>
      </c>
      <c r="C27" s="25"/>
      <c r="D27" s="18"/>
      <c r="E27" s="51">
        <v>120</v>
      </c>
      <c r="F27" s="51">
        <v>91.77</v>
      </c>
      <c r="G27" s="8">
        <f t="shared" si="4"/>
        <v>11012.4</v>
      </c>
      <c r="H27" s="51">
        <v>0</v>
      </c>
      <c r="I27" s="51">
        <v>0</v>
      </c>
      <c r="J27" s="8">
        <f t="shared" si="5"/>
        <v>0</v>
      </c>
      <c r="K27" s="8">
        <f t="shared" si="6"/>
        <v>11012.4</v>
      </c>
      <c r="L27" s="267">
        <v>0</v>
      </c>
      <c r="M27" s="8">
        <f t="shared" si="8"/>
        <v>46799.101499999975</v>
      </c>
      <c r="N27" s="19"/>
      <c r="O27" s="65"/>
      <c r="Q27" s="83">
        <v>30</v>
      </c>
      <c r="R27" s="83">
        <v>50</v>
      </c>
    </row>
    <row r="28" spans="1:18">
      <c r="A28" s="26">
        <v>25</v>
      </c>
      <c r="B28" s="27">
        <v>45955</v>
      </c>
      <c r="C28" s="25"/>
      <c r="D28" s="18"/>
      <c r="E28" s="51">
        <v>55</v>
      </c>
      <c r="F28" s="51">
        <v>91.77</v>
      </c>
      <c r="G28" s="8">
        <f t="shared" si="4"/>
        <v>5047.3499999999995</v>
      </c>
      <c r="H28" s="51">
        <v>0</v>
      </c>
      <c r="I28" s="51">
        <v>103.73</v>
      </c>
      <c r="J28" s="8">
        <f t="shared" si="5"/>
        <v>0</v>
      </c>
      <c r="K28" s="8">
        <f t="shared" si="6"/>
        <v>5047.3499999999995</v>
      </c>
      <c r="L28" s="267">
        <v>0</v>
      </c>
      <c r="M28" s="8">
        <f t="shared" si="8"/>
        <v>51846.451499999974</v>
      </c>
      <c r="N28" s="19"/>
      <c r="O28" s="65"/>
      <c r="Q28" s="83">
        <v>50</v>
      </c>
      <c r="R28" s="83">
        <v>4.51</v>
      </c>
    </row>
    <row r="29" spans="1:18">
      <c r="A29" s="26">
        <v>26</v>
      </c>
      <c r="B29" s="27">
        <v>45956</v>
      </c>
      <c r="C29" s="25"/>
      <c r="D29" s="18"/>
      <c r="E29" s="51">
        <v>70</v>
      </c>
      <c r="F29" s="51">
        <v>91.77</v>
      </c>
      <c r="G29" s="8">
        <f t="shared" si="4"/>
        <v>6423.9</v>
      </c>
      <c r="H29" s="51">
        <v>0</v>
      </c>
      <c r="I29" s="51">
        <v>0</v>
      </c>
      <c r="J29" s="8">
        <f t="shared" si="5"/>
        <v>0</v>
      </c>
      <c r="K29" s="8">
        <f t="shared" si="6"/>
        <v>6423.9</v>
      </c>
      <c r="L29" s="267">
        <v>0</v>
      </c>
      <c r="M29" s="8">
        <f t="shared" si="8"/>
        <v>58270.351499999975</v>
      </c>
      <c r="N29" s="19"/>
      <c r="O29" s="65"/>
    </row>
    <row r="30" spans="1:18">
      <c r="A30" s="26">
        <v>27</v>
      </c>
      <c r="B30" s="27">
        <v>45957</v>
      </c>
      <c r="C30" s="25"/>
      <c r="D30" s="18"/>
      <c r="E30" s="51">
        <v>0</v>
      </c>
      <c r="F30" s="51">
        <v>0</v>
      </c>
      <c r="G30" s="8">
        <f t="shared" si="4"/>
        <v>0</v>
      </c>
      <c r="H30" s="51">
        <v>5</v>
      </c>
      <c r="I30" s="51">
        <v>103.73</v>
      </c>
      <c r="J30" s="8">
        <f t="shared" si="5"/>
        <v>518.65</v>
      </c>
      <c r="K30" s="8">
        <f t="shared" si="6"/>
        <v>518.65</v>
      </c>
      <c r="L30" s="267">
        <v>0</v>
      </c>
      <c r="M30" s="8">
        <f t="shared" si="8"/>
        <v>58789.001499999977</v>
      </c>
      <c r="N30" s="19"/>
      <c r="O30" s="65"/>
    </row>
    <row r="31" spans="1:18">
      <c r="A31" s="232">
        <v>28</v>
      </c>
      <c r="B31" s="27">
        <v>45958</v>
      </c>
      <c r="C31" s="25"/>
      <c r="D31" s="18"/>
      <c r="E31" s="51">
        <v>0</v>
      </c>
      <c r="F31" s="51">
        <v>0</v>
      </c>
      <c r="G31" s="8">
        <f t="shared" si="4"/>
        <v>0</v>
      </c>
      <c r="H31" s="51">
        <v>0</v>
      </c>
      <c r="I31" s="51">
        <v>0</v>
      </c>
      <c r="J31" s="8">
        <f t="shared" si="5"/>
        <v>0</v>
      </c>
      <c r="K31" s="8">
        <f t="shared" si="6"/>
        <v>0</v>
      </c>
      <c r="L31" s="267">
        <v>0</v>
      </c>
      <c r="M31" s="8">
        <f t="shared" si="8"/>
        <v>58789.001499999977</v>
      </c>
      <c r="N31" s="19"/>
      <c r="O31" s="65"/>
    </row>
    <row r="32" spans="1:18">
      <c r="A32" s="26">
        <v>29</v>
      </c>
      <c r="B32" s="27">
        <v>45959</v>
      </c>
      <c r="C32" s="25"/>
      <c r="D32" s="18"/>
      <c r="E32" s="51">
        <v>20</v>
      </c>
      <c r="F32" s="51">
        <v>91.77</v>
      </c>
      <c r="G32" s="8">
        <f t="shared" si="4"/>
        <v>1835.3999999999999</v>
      </c>
      <c r="H32" s="51">
        <v>10</v>
      </c>
      <c r="I32" s="51">
        <v>103.73</v>
      </c>
      <c r="J32" s="8">
        <f t="shared" si="5"/>
        <v>1037.3</v>
      </c>
      <c r="K32" s="8">
        <f t="shared" si="6"/>
        <v>2872.7</v>
      </c>
      <c r="L32" s="267">
        <v>0</v>
      </c>
      <c r="M32" s="8">
        <f t="shared" si="8"/>
        <v>61661.701499999974</v>
      </c>
      <c r="N32" s="19"/>
      <c r="O32" s="65"/>
    </row>
    <row r="33" spans="1:15">
      <c r="A33" s="26">
        <v>30</v>
      </c>
      <c r="B33" s="27">
        <v>45960</v>
      </c>
      <c r="C33" s="25"/>
      <c r="D33" s="18"/>
      <c r="E33" s="51">
        <v>0</v>
      </c>
      <c r="F33" s="51">
        <v>0</v>
      </c>
      <c r="G33" s="8">
        <f t="shared" si="4"/>
        <v>0</v>
      </c>
      <c r="H33" s="51">
        <v>0</v>
      </c>
      <c r="I33" s="51">
        <v>0</v>
      </c>
      <c r="J33" s="8">
        <f t="shared" si="5"/>
        <v>0</v>
      </c>
      <c r="K33" s="8">
        <f t="shared" si="6"/>
        <v>0</v>
      </c>
      <c r="L33" s="267">
        <v>0</v>
      </c>
      <c r="M33" s="8">
        <f t="shared" si="8"/>
        <v>61661.701499999974</v>
      </c>
      <c r="N33" s="19"/>
      <c r="O33" s="65"/>
    </row>
    <row r="34" spans="1:15">
      <c r="A34" s="26">
        <v>31</v>
      </c>
      <c r="B34" s="27">
        <v>45961</v>
      </c>
      <c r="C34" s="25"/>
      <c r="D34" s="18"/>
      <c r="E34" s="51">
        <v>0</v>
      </c>
      <c r="F34" s="51">
        <v>0</v>
      </c>
      <c r="G34" s="8">
        <f t="shared" si="4"/>
        <v>0</v>
      </c>
      <c r="H34" s="51">
        <v>0</v>
      </c>
      <c r="I34" s="51">
        <v>0</v>
      </c>
      <c r="J34" s="8">
        <f t="shared" si="1"/>
        <v>0</v>
      </c>
      <c r="K34" s="8">
        <f t="shared" si="2"/>
        <v>0</v>
      </c>
      <c r="L34" s="267">
        <v>0</v>
      </c>
      <c r="M34" s="8">
        <f t="shared" si="8"/>
        <v>61661.701499999974</v>
      </c>
      <c r="N34" s="19"/>
      <c r="O34" s="65"/>
    </row>
    <row r="35" spans="1:15">
      <c r="A35" s="406"/>
      <c r="B35" s="407"/>
      <c r="C35" s="408"/>
      <c r="D35" s="409"/>
      <c r="E35" s="85"/>
      <c r="F35" s="85"/>
      <c r="G35" s="8">
        <f t="shared" si="4"/>
        <v>0</v>
      </c>
      <c r="H35" s="85"/>
      <c r="I35" s="85"/>
      <c r="J35" s="19"/>
      <c r="K35" s="19"/>
      <c r="L35" s="410"/>
      <c r="M35" s="8">
        <f t="shared" si="8"/>
        <v>61661.701499999974</v>
      </c>
      <c r="N35" s="19"/>
      <c r="O35" s="65"/>
    </row>
    <row r="36" spans="1:15">
      <c r="A36" s="406"/>
      <c r="B36" s="407" t="s">
        <v>186</v>
      </c>
      <c r="C36" s="408"/>
      <c r="D36" s="409"/>
      <c r="E36" s="85">
        <v>50</v>
      </c>
      <c r="F36" s="85">
        <v>91.77</v>
      </c>
      <c r="G36" s="8">
        <f t="shared" si="4"/>
        <v>4588.5</v>
      </c>
      <c r="H36" s="85"/>
      <c r="I36" s="85"/>
      <c r="J36" s="19"/>
      <c r="K36" s="19"/>
      <c r="L36" s="410"/>
      <c r="M36" s="8">
        <f t="shared" si="8"/>
        <v>61661.701499999974</v>
      </c>
      <c r="N36" s="19"/>
      <c r="O36" s="65"/>
    </row>
    <row r="37" spans="1:15">
      <c r="A37" s="168"/>
      <c r="B37" s="168"/>
      <c r="C37" s="168"/>
      <c r="D37" s="168"/>
      <c r="E37" s="169">
        <f>SUM(E4:E34)</f>
        <v>1049.33</v>
      </c>
      <c r="F37" s="169"/>
      <c r="G37" s="169">
        <f>SUM(G4:G34)</f>
        <v>96297.0141</v>
      </c>
      <c r="H37" s="169">
        <f>SUM(H4:H34)</f>
        <v>61</v>
      </c>
      <c r="I37" s="169"/>
      <c r="J37" s="169">
        <f>SUM(J4:J34)</f>
        <v>6364.079999999999</v>
      </c>
      <c r="K37" s="169">
        <f>SUM(K4:K34)</f>
        <v>102661.09409999999</v>
      </c>
      <c r="L37" s="169">
        <f>SUM(L4:L34)</f>
        <v>82597</v>
      </c>
      <c r="M37" s="169"/>
      <c r="N37" s="169"/>
      <c r="O37" s="65"/>
    </row>
    <row r="38" spans="1:15">
      <c r="A38" s="79"/>
      <c r="B38" s="79"/>
      <c r="C38" s="79"/>
      <c r="D38" s="79"/>
      <c r="E38" s="81"/>
      <c r="F38" s="81"/>
      <c r="G38" s="81"/>
      <c r="H38" s="81"/>
      <c r="I38" s="81"/>
      <c r="J38" s="81"/>
      <c r="K38" s="81"/>
      <c r="L38" s="268"/>
      <c r="M38" s="81"/>
      <c r="N38" s="81"/>
      <c r="O38" s="65"/>
    </row>
    <row r="39" spans="1:15">
      <c r="E39" s="273"/>
      <c r="F39" s="273"/>
      <c r="G39" s="273"/>
      <c r="H39" s="273"/>
      <c r="I39" s="273"/>
      <c r="J39" s="273"/>
      <c r="K39" s="273"/>
      <c r="L39" s="273"/>
      <c r="O39" s="65"/>
    </row>
    <row r="40" spans="1:15">
      <c r="O40" s="65"/>
    </row>
    <row r="41" spans="1:15">
      <c r="O41" s="65"/>
    </row>
    <row r="42" spans="1:15">
      <c r="O42" s="65"/>
    </row>
    <row r="43" spans="1:15">
      <c r="O43" s="65"/>
    </row>
    <row r="44" spans="1:15">
      <c r="A44" s="65"/>
      <c r="B44" s="65"/>
      <c r="C44" s="65"/>
      <c r="D44" s="65"/>
      <c r="E44" s="65"/>
      <c r="F44" s="65"/>
      <c r="G44" s="87"/>
      <c r="H44" s="65"/>
      <c r="I44" s="65"/>
      <c r="J44" s="65"/>
      <c r="K44" s="65"/>
      <c r="L44" s="79"/>
      <c r="M44" s="65"/>
      <c r="N44" s="65"/>
      <c r="O44" s="81"/>
    </row>
    <row r="45" spans="1:15">
      <c r="A45" s="65"/>
      <c r="B45" s="456"/>
      <c r="C45" s="456"/>
      <c r="D45" s="456"/>
      <c r="E45" s="456"/>
      <c r="F45" s="65"/>
      <c r="G45" s="65"/>
      <c r="H45" s="65"/>
      <c r="I45" s="456"/>
      <c r="J45" s="456"/>
      <c r="K45" s="456"/>
      <c r="L45" s="456"/>
      <c r="M45" s="456"/>
      <c r="N45" s="456"/>
      <c r="O45" s="81"/>
    </row>
    <row r="46" spans="1:1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79"/>
      <c r="M46" s="65"/>
      <c r="N46" s="65"/>
      <c r="O46" s="8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E38" sqref="E38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27" t="s">
        <v>58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4">
      <c r="A2" s="104" t="s">
        <v>96</v>
      </c>
      <c r="B2" s="105" t="s">
        <v>97</v>
      </c>
      <c r="C2" s="105" t="s">
        <v>98</v>
      </c>
      <c r="D2" s="105" t="s">
        <v>111</v>
      </c>
      <c r="E2" s="105" t="s">
        <v>100</v>
      </c>
      <c r="F2" s="105" t="s">
        <v>101</v>
      </c>
      <c r="G2" s="242" t="s">
        <v>102</v>
      </c>
      <c r="H2" s="242" t="s">
        <v>103</v>
      </c>
      <c r="I2" s="242" t="s">
        <v>101</v>
      </c>
      <c r="J2" s="242" t="s">
        <v>102</v>
      </c>
      <c r="K2" s="243" t="s">
        <v>104</v>
      </c>
      <c r="L2" s="243" t="s">
        <v>105</v>
      </c>
      <c r="M2" s="150" t="s">
        <v>110</v>
      </c>
      <c r="N2" s="107" t="s">
        <v>107</v>
      </c>
    </row>
    <row r="3" spans="1:14">
      <c r="A3" s="460" t="s">
        <v>108</v>
      </c>
      <c r="B3" s="461"/>
      <c r="C3" s="461"/>
      <c r="D3" s="461"/>
      <c r="E3" s="461"/>
      <c r="F3" s="461"/>
      <c r="G3" s="461"/>
      <c r="H3" s="461"/>
      <c r="I3" s="461"/>
      <c r="J3" s="462"/>
      <c r="K3" s="227">
        <v>0</v>
      </c>
      <c r="L3" s="227"/>
      <c r="M3" s="182">
        <f>+K3</f>
        <v>0</v>
      </c>
      <c r="N3" s="228"/>
    </row>
    <row r="4" spans="1:14">
      <c r="A4" s="26">
        <v>1</v>
      </c>
      <c r="B4" s="27">
        <v>45931</v>
      </c>
      <c r="C4" s="17"/>
      <c r="D4" s="17"/>
      <c r="E4" s="204">
        <v>0</v>
      </c>
      <c r="F4" s="204">
        <v>0</v>
      </c>
      <c r="G4" s="222">
        <f>E4*F4</f>
        <v>0</v>
      </c>
      <c r="H4" s="222"/>
      <c r="I4" s="222"/>
      <c r="J4" s="222"/>
      <c r="K4" s="222">
        <f>G4+J4</f>
        <v>0</v>
      </c>
      <c r="L4" s="222">
        <f>+K4</f>
        <v>0</v>
      </c>
      <c r="M4" s="204"/>
      <c r="N4" s="17"/>
    </row>
    <row r="5" spans="1:14">
      <c r="A5" s="26">
        <v>2</v>
      </c>
      <c r="B5" s="27">
        <v>45932</v>
      </c>
      <c r="C5" s="17"/>
      <c r="D5" s="17"/>
      <c r="E5" s="204">
        <v>0</v>
      </c>
      <c r="F5" s="204">
        <v>0</v>
      </c>
      <c r="G5" s="222">
        <f t="shared" ref="G5:G32" si="0">E5*F5</f>
        <v>0</v>
      </c>
      <c r="H5" s="222"/>
      <c r="I5" s="222"/>
      <c r="J5" s="222"/>
      <c r="K5" s="222">
        <f t="shared" ref="K5:K34" si="1">G5+J5</f>
        <v>0</v>
      </c>
      <c r="L5" s="222">
        <f t="shared" ref="L5:L33" si="2">+K5</f>
        <v>0</v>
      </c>
      <c r="M5" s="204"/>
      <c r="N5" s="17"/>
    </row>
    <row r="6" spans="1:14">
      <c r="A6" s="26">
        <v>3</v>
      </c>
      <c r="B6" s="27">
        <v>45933</v>
      </c>
      <c r="C6" s="17"/>
      <c r="D6" s="17"/>
      <c r="E6" s="204">
        <v>0</v>
      </c>
      <c r="F6" s="204">
        <v>0</v>
      </c>
      <c r="G6" s="222">
        <f t="shared" si="0"/>
        <v>0</v>
      </c>
      <c r="H6" s="222"/>
      <c r="I6" s="222"/>
      <c r="J6" s="222"/>
      <c r="K6" s="222">
        <f t="shared" si="1"/>
        <v>0</v>
      </c>
      <c r="L6" s="222">
        <f t="shared" si="2"/>
        <v>0</v>
      </c>
      <c r="M6" s="204"/>
      <c r="N6" s="17"/>
    </row>
    <row r="7" spans="1:14">
      <c r="A7" s="26">
        <v>4</v>
      </c>
      <c r="B7" s="27">
        <v>45934</v>
      </c>
      <c r="C7" s="17"/>
      <c r="D7" s="17"/>
      <c r="E7" s="204">
        <v>0</v>
      </c>
      <c r="F7" s="204">
        <v>0</v>
      </c>
      <c r="G7" s="222">
        <f t="shared" si="0"/>
        <v>0</v>
      </c>
      <c r="H7" s="222"/>
      <c r="I7" s="222"/>
      <c r="J7" s="222"/>
      <c r="K7" s="222">
        <f t="shared" si="1"/>
        <v>0</v>
      </c>
      <c r="L7" s="222">
        <f t="shared" si="2"/>
        <v>0</v>
      </c>
      <c r="M7" s="204"/>
      <c r="N7" s="17"/>
    </row>
    <row r="8" spans="1:14">
      <c r="A8" s="26">
        <v>5</v>
      </c>
      <c r="B8" s="27">
        <v>45935</v>
      </c>
      <c r="C8" s="17"/>
      <c r="D8" s="17"/>
      <c r="E8" s="204">
        <v>0</v>
      </c>
      <c r="F8" s="204">
        <v>0</v>
      </c>
      <c r="G8" s="222">
        <f t="shared" si="0"/>
        <v>0</v>
      </c>
      <c r="H8" s="222"/>
      <c r="I8" s="222"/>
      <c r="J8" s="222"/>
      <c r="K8" s="222">
        <f t="shared" si="1"/>
        <v>0</v>
      </c>
      <c r="L8" s="222">
        <f t="shared" si="2"/>
        <v>0</v>
      </c>
      <c r="M8" s="204"/>
      <c r="N8" s="17"/>
    </row>
    <row r="9" spans="1:14">
      <c r="A9" s="26">
        <v>6</v>
      </c>
      <c r="B9" s="27">
        <v>45936</v>
      </c>
      <c r="C9" s="17"/>
      <c r="D9" s="17"/>
      <c r="E9" s="204">
        <v>0</v>
      </c>
      <c r="F9" s="204">
        <v>0</v>
      </c>
      <c r="G9" s="222">
        <f t="shared" si="0"/>
        <v>0</v>
      </c>
      <c r="H9" s="222"/>
      <c r="I9" s="222"/>
      <c r="J9" s="222"/>
      <c r="K9" s="222">
        <f t="shared" si="1"/>
        <v>0</v>
      </c>
      <c r="L9" s="222">
        <f t="shared" si="2"/>
        <v>0</v>
      </c>
      <c r="M9" s="204"/>
      <c r="N9" s="17"/>
    </row>
    <row r="10" spans="1:14">
      <c r="A10" s="26">
        <v>7</v>
      </c>
      <c r="B10" s="27">
        <v>45937</v>
      </c>
      <c r="C10" s="17"/>
      <c r="D10" s="17"/>
      <c r="E10" s="204">
        <v>120</v>
      </c>
      <c r="F10" s="204">
        <v>91.59</v>
      </c>
      <c r="G10" s="222">
        <f t="shared" si="0"/>
        <v>10990.800000000001</v>
      </c>
      <c r="H10" s="222">
        <v>15.76</v>
      </c>
      <c r="I10" s="222">
        <v>103.53</v>
      </c>
      <c r="J10" s="222">
        <f>H10*I10</f>
        <v>1631.6328000000001</v>
      </c>
      <c r="K10" s="222">
        <f t="shared" si="1"/>
        <v>12622.4328</v>
      </c>
      <c r="L10" s="222">
        <f t="shared" si="2"/>
        <v>12622.4328</v>
      </c>
      <c r="M10" s="204"/>
      <c r="N10" s="17"/>
    </row>
    <row r="11" spans="1:14">
      <c r="A11" s="26">
        <v>8</v>
      </c>
      <c r="B11" s="27">
        <v>45938</v>
      </c>
      <c r="C11" s="17"/>
      <c r="D11" s="17"/>
      <c r="E11" s="204">
        <v>0</v>
      </c>
      <c r="F11" s="204">
        <v>0</v>
      </c>
      <c r="G11" s="222">
        <f t="shared" si="0"/>
        <v>0</v>
      </c>
      <c r="H11" s="222"/>
      <c r="I11" s="222"/>
      <c r="J11" s="222"/>
      <c r="K11" s="222">
        <f t="shared" si="1"/>
        <v>0</v>
      </c>
      <c r="L11" s="222">
        <f t="shared" si="2"/>
        <v>0</v>
      </c>
      <c r="M11" s="204"/>
      <c r="N11" s="17"/>
    </row>
    <row r="12" spans="1:14">
      <c r="A12" s="26">
        <v>9</v>
      </c>
      <c r="B12" s="27">
        <v>45939</v>
      </c>
      <c r="C12" s="17"/>
      <c r="D12" s="17"/>
      <c r="E12" s="204">
        <v>0</v>
      </c>
      <c r="F12" s="204">
        <v>0</v>
      </c>
      <c r="G12" s="222">
        <f t="shared" si="0"/>
        <v>0</v>
      </c>
      <c r="H12" s="222"/>
      <c r="I12" s="222"/>
      <c r="J12" s="222">
        <f>H12*I12</f>
        <v>0</v>
      </c>
      <c r="K12" s="222">
        <f t="shared" si="1"/>
        <v>0</v>
      </c>
      <c r="L12" s="222">
        <f t="shared" si="2"/>
        <v>0</v>
      </c>
      <c r="M12" s="204"/>
      <c r="N12" s="17"/>
    </row>
    <row r="13" spans="1:14">
      <c r="A13" s="26">
        <v>10</v>
      </c>
      <c r="B13" s="27">
        <v>45940</v>
      </c>
      <c r="C13" s="17"/>
      <c r="D13" s="17"/>
      <c r="E13" s="204">
        <v>100</v>
      </c>
      <c r="F13" s="204">
        <v>91.59</v>
      </c>
      <c r="G13" s="222">
        <f t="shared" si="0"/>
        <v>9159</v>
      </c>
      <c r="H13" s="222"/>
      <c r="I13" s="222"/>
      <c r="J13" s="222">
        <f t="shared" ref="J13:J26" si="3">H13*I13</f>
        <v>0</v>
      </c>
      <c r="K13" s="222">
        <f t="shared" si="1"/>
        <v>9159</v>
      </c>
      <c r="L13" s="222">
        <f t="shared" si="2"/>
        <v>9159</v>
      </c>
      <c r="M13" s="204"/>
      <c r="N13" s="17"/>
    </row>
    <row r="14" spans="1:14">
      <c r="A14" s="26">
        <v>11</v>
      </c>
      <c r="B14" s="27">
        <v>45941</v>
      </c>
      <c r="C14" s="17"/>
      <c r="D14" s="17"/>
      <c r="E14" s="204">
        <v>0</v>
      </c>
      <c r="F14" s="204">
        <v>0</v>
      </c>
      <c r="G14" s="222">
        <f t="shared" si="0"/>
        <v>0</v>
      </c>
      <c r="H14" s="222"/>
      <c r="I14" s="222"/>
      <c r="J14" s="222">
        <f t="shared" si="3"/>
        <v>0</v>
      </c>
      <c r="K14" s="222">
        <f t="shared" si="1"/>
        <v>0</v>
      </c>
      <c r="L14" s="222">
        <f t="shared" si="2"/>
        <v>0</v>
      </c>
      <c r="M14" s="204"/>
      <c r="N14" s="17"/>
    </row>
    <row r="15" spans="1:14">
      <c r="A15" s="26">
        <v>12</v>
      </c>
      <c r="B15" s="27">
        <v>45942</v>
      </c>
      <c r="C15" s="17"/>
      <c r="D15" s="17"/>
      <c r="E15" s="204">
        <v>0</v>
      </c>
      <c r="F15" s="204">
        <v>0</v>
      </c>
      <c r="G15" s="222">
        <f t="shared" si="0"/>
        <v>0</v>
      </c>
      <c r="H15" s="222"/>
      <c r="I15" s="222"/>
      <c r="J15" s="222">
        <f t="shared" si="3"/>
        <v>0</v>
      </c>
      <c r="K15" s="222">
        <f t="shared" si="1"/>
        <v>0</v>
      </c>
      <c r="L15" s="222">
        <f t="shared" si="2"/>
        <v>0</v>
      </c>
      <c r="M15" s="204"/>
      <c r="N15" s="17"/>
    </row>
    <row r="16" spans="1:14">
      <c r="A16" s="26">
        <v>13</v>
      </c>
      <c r="B16" s="27">
        <v>45943</v>
      </c>
      <c r="C16" s="17"/>
      <c r="D16" s="17"/>
      <c r="E16" s="204">
        <v>100</v>
      </c>
      <c r="F16" s="204">
        <v>91.59</v>
      </c>
      <c r="G16" s="222">
        <f t="shared" si="0"/>
        <v>9159</v>
      </c>
      <c r="H16" s="222"/>
      <c r="I16" s="222"/>
      <c r="J16" s="222">
        <f t="shared" si="3"/>
        <v>0</v>
      </c>
      <c r="K16" s="222">
        <f t="shared" si="1"/>
        <v>9159</v>
      </c>
      <c r="L16" s="222">
        <f t="shared" si="2"/>
        <v>9159</v>
      </c>
      <c r="M16" s="204"/>
      <c r="N16" s="17"/>
    </row>
    <row r="17" spans="1:15">
      <c r="A17" s="26">
        <v>14</v>
      </c>
      <c r="B17" s="27">
        <v>45944</v>
      </c>
      <c r="C17" s="17"/>
      <c r="D17" s="17"/>
      <c r="E17" s="204">
        <v>0</v>
      </c>
      <c r="F17" s="204">
        <v>0</v>
      </c>
      <c r="G17" s="222">
        <f t="shared" si="0"/>
        <v>0</v>
      </c>
      <c r="H17" s="222">
        <v>5</v>
      </c>
      <c r="I17" s="222">
        <v>103.53</v>
      </c>
      <c r="J17" s="222">
        <f t="shared" si="3"/>
        <v>517.65</v>
      </c>
      <c r="K17" s="222">
        <f t="shared" si="1"/>
        <v>517.65</v>
      </c>
      <c r="L17" s="222">
        <f t="shared" si="2"/>
        <v>517.65</v>
      </c>
      <c r="M17" s="204"/>
      <c r="N17" s="17"/>
    </row>
    <row r="18" spans="1:15">
      <c r="A18" s="26">
        <v>15</v>
      </c>
      <c r="B18" s="27">
        <v>45945</v>
      </c>
      <c r="C18" s="17"/>
      <c r="D18" s="17"/>
      <c r="E18" s="204">
        <v>100</v>
      </c>
      <c r="F18" s="204">
        <v>91.59</v>
      </c>
      <c r="G18" s="222">
        <f t="shared" si="0"/>
        <v>9159</v>
      </c>
      <c r="H18" s="222"/>
      <c r="I18" s="222"/>
      <c r="J18" s="222">
        <f t="shared" si="3"/>
        <v>0</v>
      </c>
      <c r="K18" s="222">
        <f t="shared" si="1"/>
        <v>9159</v>
      </c>
      <c r="L18" s="222">
        <f t="shared" si="2"/>
        <v>9159</v>
      </c>
      <c r="M18" s="204"/>
      <c r="N18" s="17"/>
    </row>
    <row r="19" spans="1:15">
      <c r="A19" s="26">
        <v>16</v>
      </c>
      <c r="B19" s="27">
        <v>45946</v>
      </c>
      <c r="C19" s="17"/>
      <c r="D19" s="17"/>
      <c r="E19" s="204">
        <v>5.65</v>
      </c>
      <c r="F19" s="204">
        <v>91.59</v>
      </c>
      <c r="G19" s="222">
        <f t="shared" si="0"/>
        <v>517.48350000000005</v>
      </c>
      <c r="H19" s="222"/>
      <c r="I19" s="222"/>
      <c r="J19" s="222">
        <f t="shared" si="3"/>
        <v>0</v>
      </c>
      <c r="K19" s="222">
        <f t="shared" si="1"/>
        <v>517.48350000000005</v>
      </c>
      <c r="L19" s="222">
        <f t="shared" si="2"/>
        <v>517.48350000000005</v>
      </c>
      <c r="M19" s="204"/>
      <c r="N19" s="17"/>
    </row>
    <row r="20" spans="1:15">
      <c r="A20" s="26">
        <v>17</v>
      </c>
      <c r="B20" s="27">
        <v>45947</v>
      </c>
      <c r="C20" s="17"/>
      <c r="D20" s="17"/>
      <c r="E20" s="204">
        <v>0</v>
      </c>
      <c r="F20" s="204">
        <v>0</v>
      </c>
      <c r="G20" s="222">
        <f t="shared" si="0"/>
        <v>0</v>
      </c>
      <c r="H20" s="222">
        <v>5</v>
      </c>
      <c r="I20" s="222">
        <v>103.53</v>
      </c>
      <c r="J20" s="222">
        <f t="shared" si="3"/>
        <v>517.65</v>
      </c>
      <c r="K20" s="222">
        <f t="shared" si="1"/>
        <v>517.65</v>
      </c>
      <c r="L20" s="222">
        <f t="shared" si="2"/>
        <v>517.65</v>
      </c>
      <c r="M20" s="204"/>
      <c r="N20" s="17"/>
    </row>
    <row r="21" spans="1:15">
      <c r="A21" s="26">
        <v>18</v>
      </c>
      <c r="B21" s="27">
        <v>45948</v>
      </c>
      <c r="C21" s="17"/>
      <c r="D21" s="17"/>
      <c r="E21" s="204">
        <v>0</v>
      </c>
      <c r="F21" s="204">
        <v>0</v>
      </c>
      <c r="G21" s="222">
        <f t="shared" si="0"/>
        <v>0</v>
      </c>
      <c r="H21" s="222"/>
      <c r="I21" s="222"/>
      <c r="J21" s="222">
        <f t="shared" si="3"/>
        <v>0</v>
      </c>
      <c r="K21" s="222">
        <f t="shared" si="1"/>
        <v>0</v>
      </c>
      <c r="L21" s="222">
        <f t="shared" si="2"/>
        <v>0</v>
      </c>
      <c r="M21" s="204"/>
    </row>
    <row r="22" spans="1:15">
      <c r="A22" s="26">
        <v>19</v>
      </c>
      <c r="B22" s="27">
        <v>45949</v>
      </c>
      <c r="C22" s="17"/>
      <c r="D22" s="17"/>
      <c r="E22" s="204">
        <v>0</v>
      </c>
      <c r="F22" s="204">
        <v>0</v>
      </c>
      <c r="G22" s="222">
        <f t="shared" si="0"/>
        <v>0</v>
      </c>
      <c r="H22" s="222"/>
      <c r="I22" s="222"/>
      <c r="J22" s="222">
        <f t="shared" si="3"/>
        <v>0</v>
      </c>
      <c r="K22" s="222">
        <f t="shared" si="1"/>
        <v>0</v>
      </c>
      <c r="L22" s="222">
        <f t="shared" si="2"/>
        <v>0</v>
      </c>
      <c r="M22" s="204"/>
      <c r="N22" s="17"/>
    </row>
    <row r="23" spans="1:15">
      <c r="A23" s="26">
        <v>20</v>
      </c>
      <c r="B23" s="27">
        <v>45950</v>
      </c>
      <c r="C23" s="17"/>
      <c r="D23" s="17"/>
      <c r="E23" s="204">
        <v>0</v>
      </c>
      <c r="F23" s="204">
        <v>0</v>
      </c>
      <c r="G23" s="222">
        <f t="shared" si="0"/>
        <v>0</v>
      </c>
      <c r="H23" s="222"/>
      <c r="I23" s="222"/>
      <c r="J23" s="222">
        <f t="shared" si="3"/>
        <v>0</v>
      </c>
      <c r="K23" s="222">
        <f t="shared" si="1"/>
        <v>0</v>
      </c>
      <c r="L23" s="222">
        <f t="shared" si="2"/>
        <v>0</v>
      </c>
      <c r="M23" s="204"/>
      <c r="N23" s="17"/>
    </row>
    <row r="24" spans="1:15">
      <c r="A24" s="26">
        <v>21</v>
      </c>
      <c r="B24" s="27">
        <v>45951</v>
      </c>
      <c r="C24" s="17"/>
      <c r="D24" s="17"/>
      <c r="E24" s="204">
        <v>100</v>
      </c>
      <c r="F24" s="204">
        <v>91.59</v>
      </c>
      <c r="G24" s="222">
        <f t="shared" si="0"/>
        <v>9159</v>
      </c>
      <c r="H24" s="222">
        <v>7</v>
      </c>
      <c r="I24" s="222">
        <v>103.53</v>
      </c>
      <c r="J24" s="222">
        <f t="shared" si="3"/>
        <v>724.71</v>
      </c>
      <c r="K24" s="222">
        <f t="shared" si="1"/>
        <v>9883.7099999999991</v>
      </c>
      <c r="L24" s="222">
        <f t="shared" si="2"/>
        <v>9883.7099999999991</v>
      </c>
      <c r="M24" s="204"/>
      <c r="N24" s="17"/>
    </row>
    <row r="25" spans="1:15">
      <c r="A25" s="26">
        <v>22</v>
      </c>
      <c r="B25" s="27">
        <v>45952</v>
      </c>
      <c r="C25" s="17"/>
      <c r="D25" s="17"/>
      <c r="E25" s="204">
        <v>0</v>
      </c>
      <c r="F25" s="204">
        <v>0</v>
      </c>
      <c r="G25" s="222">
        <f t="shared" si="0"/>
        <v>0</v>
      </c>
      <c r="H25" s="222">
        <v>6.57</v>
      </c>
      <c r="I25" s="222">
        <v>103.53</v>
      </c>
      <c r="J25" s="222">
        <f t="shared" si="3"/>
        <v>680.19209999999998</v>
      </c>
      <c r="K25" s="222">
        <f t="shared" si="1"/>
        <v>680.19209999999998</v>
      </c>
      <c r="L25" s="222">
        <f t="shared" si="2"/>
        <v>680.19209999999998</v>
      </c>
      <c r="M25" s="204"/>
      <c r="N25" s="17"/>
    </row>
    <row r="26" spans="1:15">
      <c r="A26" s="26">
        <v>23</v>
      </c>
      <c r="B26" s="27">
        <v>45953</v>
      </c>
      <c r="C26" s="17"/>
      <c r="D26" s="17"/>
      <c r="E26" s="204">
        <v>0</v>
      </c>
      <c r="F26" s="204">
        <v>0</v>
      </c>
      <c r="G26" s="222">
        <f t="shared" si="0"/>
        <v>0</v>
      </c>
      <c r="H26" s="222"/>
      <c r="I26" s="222"/>
      <c r="J26" s="222">
        <f t="shared" si="3"/>
        <v>0</v>
      </c>
      <c r="K26" s="222">
        <f t="shared" si="1"/>
        <v>0</v>
      </c>
      <c r="L26" s="222">
        <f t="shared" si="2"/>
        <v>0</v>
      </c>
      <c r="M26" s="204"/>
      <c r="N26" s="17"/>
    </row>
    <row r="27" spans="1:15">
      <c r="A27" s="26">
        <v>24</v>
      </c>
      <c r="B27" s="27">
        <v>45954</v>
      </c>
      <c r="C27" s="17"/>
      <c r="D27" s="17"/>
      <c r="E27" s="204">
        <v>0</v>
      </c>
      <c r="F27" s="204">
        <v>0</v>
      </c>
      <c r="G27" s="222">
        <f t="shared" si="0"/>
        <v>0</v>
      </c>
      <c r="H27" s="222"/>
      <c r="I27" s="222"/>
      <c r="J27" s="222">
        <f t="shared" ref="J27:J33" si="4">H27*I27</f>
        <v>0</v>
      </c>
      <c r="K27" s="222">
        <f t="shared" ref="K27:K33" si="5">G27+J27</f>
        <v>0</v>
      </c>
      <c r="L27" s="222">
        <f t="shared" si="2"/>
        <v>0</v>
      </c>
      <c r="M27" s="204"/>
      <c r="N27" s="17"/>
      <c r="O27">
        <v>0</v>
      </c>
    </row>
    <row r="28" spans="1:15">
      <c r="A28" s="26">
        <v>25</v>
      </c>
      <c r="B28" s="27">
        <v>45955</v>
      </c>
      <c r="C28" s="17"/>
      <c r="D28" s="17"/>
      <c r="E28" s="204">
        <v>0</v>
      </c>
      <c r="F28" s="204">
        <v>0</v>
      </c>
      <c r="G28" s="222">
        <f t="shared" si="0"/>
        <v>0</v>
      </c>
      <c r="H28" s="222"/>
      <c r="I28" s="222"/>
      <c r="J28" s="222">
        <f t="shared" si="4"/>
        <v>0</v>
      </c>
      <c r="K28" s="222">
        <f t="shared" si="5"/>
        <v>0</v>
      </c>
      <c r="L28" s="222">
        <f t="shared" si="2"/>
        <v>0</v>
      </c>
      <c r="M28" s="204"/>
      <c r="N28" s="17"/>
    </row>
    <row r="29" spans="1:15">
      <c r="A29" s="26">
        <v>26</v>
      </c>
      <c r="B29" s="27">
        <v>45956</v>
      </c>
      <c r="C29" s="17"/>
      <c r="D29" s="17"/>
      <c r="E29" s="204">
        <v>0</v>
      </c>
      <c r="F29" s="204">
        <v>0</v>
      </c>
      <c r="G29" s="222">
        <f t="shared" si="0"/>
        <v>0</v>
      </c>
      <c r="H29" s="222"/>
      <c r="I29" s="222"/>
      <c r="J29" s="222">
        <f t="shared" si="4"/>
        <v>0</v>
      </c>
      <c r="K29" s="222">
        <f t="shared" si="5"/>
        <v>0</v>
      </c>
      <c r="L29" s="222">
        <f t="shared" si="2"/>
        <v>0</v>
      </c>
      <c r="M29" s="204"/>
      <c r="N29" s="17"/>
    </row>
    <row r="30" spans="1:15">
      <c r="A30" s="26">
        <v>27</v>
      </c>
      <c r="B30" s="27">
        <v>45957</v>
      </c>
      <c r="C30" s="17"/>
      <c r="D30" s="17"/>
      <c r="E30" s="204">
        <v>25</v>
      </c>
      <c r="F30" s="204">
        <v>91.59</v>
      </c>
      <c r="G30" s="222">
        <f t="shared" si="0"/>
        <v>2289.75</v>
      </c>
      <c r="H30" s="222"/>
      <c r="I30" s="222"/>
      <c r="J30" s="222">
        <f t="shared" si="4"/>
        <v>0</v>
      </c>
      <c r="K30" s="222">
        <f t="shared" si="5"/>
        <v>2289.75</v>
      </c>
      <c r="L30" s="222">
        <f t="shared" si="2"/>
        <v>2289.75</v>
      </c>
      <c r="M30" s="204"/>
      <c r="N30" s="17"/>
    </row>
    <row r="31" spans="1:15">
      <c r="A31" s="232">
        <v>28</v>
      </c>
      <c r="B31" s="27">
        <v>45958</v>
      </c>
      <c r="C31" s="17"/>
      <c r="D31" s="17"/>
      <c r="E31" s="204">
        <v>0</v>
      </c>
      <c r="F31" s="204">
        <v>0</v>
      </c>
      <c r="G31" s="222">
        <f t="shared" si="0"/>
        <v>0</v>
      </c>
      <c r="H31" s="222"/>
      <c r="I31" s="222"/>
      <c r="J31" s="222">
        <f t="shared" si="4"/>
        <v>0</v>
      </c>
      <c r="K31" s="222">
        <f t="shared" si="5"/>
        <v>0</v>
      </c>
      <c r="L31" s="222">
        <f t="shared" si="2"/>
        <v>0</v>
      </c>
      <c r="M31" s="204"/>
      <c r="N31" s="100"/>
    </row>
    <row r="32" spans="1:15">
      <c r="A32" s="26">
        <v>29</v>
      </c>
      <c r="B32" s="27">
        <v>45959</v>
      </c>
      <c r="C32" s="17"/>
      <c r="D32" s="17"/>
      <c r="E32" s="204">
        <v>0</v>
      </c>
      <c r="F32" s="204">
        <v>0</v>
      </c>
      <c r="G32" s="222">
        <f t="shared" si="0"/>
        <v>0</v>
      </c>
      <c r="H32" s="222"/>
      <c r="I32" s="222"/>
      <c r="J32" s="222">
        <f t="shared" si="4"/>
        <v>0</v>
      </c>
      <c r="K32" s="222">
        <f t="shared" si="5"/>
        <v>0</v>
      </c>
      <c r="L32" s="222">
        <f t="shared" si="2"/>
        <v>0</v>
      </c>
      <c r="M32" s="204"/>
      <c r="N32" s="17"/>
    </row>
    <row r="33" spans="1:14">
      <c r="A33" s="26">
        <v>30</v>
      </c>
      <c r="B33" s="27">
        <v>45960</v>
      </c>
      <c r="C33" s="17"/>
      <c r="D33" s="17"/>
      <c r="E33" s="204">
        <v>0</v>
      </c>
      <c r="F33" s="204">
        <v>0</v>
      </c>
      <c r="G33" s="222">
        <f t="shared" ref="G33:G34" si="6">E33*F33</f>
        <v>0</v>
      </c>
      <c r="H33" s="222">
        <v>2</v>
      </c>
      <c r="I33" s="222">
        <v>103.53</v>
      </c>
      <c r="J33" s="222">
        <f t="shared" si="4"/>
        <v>207.06</v>
      </c>
      <c r="K33" s="222">
        <f t="shared" si="5"/>
        <v>207.06</v>
      </c>
      <c r="L33" s="222">
        <f t="shared" si="2"/>
        <v>207.06</v>
      </c>
      <c r="M33" s="204"/>
      <c r="N33" s="17"/>
    </row>
    <row r="34" spans="1:14">
      <c r="A34" s="26">
        <v>31</v>
      </c>
      <c r="B34" s="27"/>
      <c r="C34" s="17"/>
      <c r="D34" s="17"/>
      <c r="E34" s="204">
        <v>0</v>
      </c>
      <c r="F34" s="204">
        <v>0</v>
      </c>
      <c r="G34" s="222">
        <f t="shared" si="6"/>
        <v>0</v>
      </c>
      <c r="H34" s="222"/>
      <c r="I34" s="222"/>
      <c r="J34" s="222"/>
      <c r="K34" s="222">
        <f t="shared" si="1"/>
        <v>0</v>
      </c>
      <c r="L34" s="222"/>
      <c r="M34" s="204"/>
      <c r="N34" s="17"/>
    </row>
    <row r="35" spans="1:14">
      <c r="A35" s="191"/>
      <c r="B35" s="191"/>
      <c r="C35" s="191"/>
      <c r="D35" s="191"/>
      <c r="E35" s="191">
        <f>SUM(E4:E34)</f>
        <v>550.65</v>
      </c>
      <c r="F35" s="191"/>
      <c r="G35" s="191">
        <f>SUM(G4:G34)</f>
        <v>50434.033500000005</v>
      </c>
      <c r="H35" s="191">
        <f>SUM(H4:H34)</f>
        <v>41.33</v>
      </c>
      <c r="I35" s="191"/>
      <c r="J35" s="191">
        <f>SUM(J4:J34)</f>
        <v>4278.8949000000002</v>
      </c>
      <c r="K35" s="191">
        <f>SUM(K4:K34)</f>
        <v>54712.928400000004</v>
      </c>
      <c r="L35" s="191">
        <f>SUM(L4:L34)</f>
        <v>54712.928400000004</v>
      </c>
      <c r="M35" s="191"/>
      <c r="N35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workbookViewId="0">
      <pane ySplit="2" topLeftCell="A3" activePane="bottomLeft" state="frozen"/>
      <selection pane="bottomLeft" activeCell="S16" sqref="S16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63" t="s">
        <v>60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</row>
    <row r="2" spans="1:18">
      <c r="A2" s="70" t="s">
        <v>96</v>
      </c>
      <c r="B2" s="70" t="s">
        <v>97</v>
      </c>
      <c r="C2" s="70" t="s">
        <v>98</v>
      </c>
      <c r="D2" s="70" t="s">
        <v>99</v>
      </c>
      <c r="E2" s="97" t="s">
        <v>100</v>
      </c>
      <c r="F2" s="97" t="s">
        <v>101</v>
      </c>
      <c r="G2" s="97" t="s">
        <v>102</v>
      </c>
      <c r="H2" s="97" t="s">
        <v>103</v>
      </c>
      <c r="I2" s="97" t="s">
        <v>101</v>
      </c>
      <c r="J2" s="97" t="s">
        <v>102</v>
      </c>
      <c r="K2" s="97" t="s">
        <v>104</v>
      </c>
      <c r="L2" s="91" t="s">
        <v>105</v>
      </c>
      <c r="M2" s="91" t="s">
        <v>110</v>
      </c>
      <c r="N2" s="70" t="s">
        <v>107</v>
      </c>
    </row>
    <row r="3" spans="1:18">
      <c r="A3" s="464" t="s">
        <v>108</v>
      </c>
      <c r="B3" s="464"/>
      <c r="C3" s="464"/>
      <c r="D3" s="464"/>
      <c r="E3" s="464"/>
      <c r="F3" s="464"/>
      <c r="G3" s="464"/>
      <c r="H3" s="464"/>
      <c r="I3" s="464"/>
      <c r="J3" s="464"/>
      <c r="K3" s="187">
        <v>0</v>
      </c>
      <c r="L3" s="108"/>
      <c r="M3" s="108">
        <f>+K3</f>
        <v>0</v>
      </c>
    </row>
    <row r="4" spans="1:18">
      <c r="A4" s="26">
        <v>1</v>
      </c>
      <c r="B4" s="27">
        <v>45931</v>
      </c>
      <c r="C4" s="6"/>
      <c r="D4" s="6"/>
      <c r="E4" s="287">
        <v>0</v>
      </c>
      <c r="F4" s="48">
        <v>0</v>
      </c>
      <c r="G4" s="72">
        <f>E4*F4</f>
        <v>0</v>
      </c>
      <c r="H4" s="48">
        <v>0</v>
      </c>
      <c r="I4" s="48">
        <v>0</v>
      </c>
      <c r="J4" s="72">
        <f>H4*I4</f>
        <v>0</v>
      </c>
      <c r="K4" s="72">
        <f>G4+J4</f>
        <v>0</v>
      </c>
      <c r="L4" s="72">
        <f>+K4</f>
        <v>0</v>
      </c>
      <c r="M4" s="72">
        <f>M3+K4-L4</f>
        <v>0</v>
      </c>
      <c r="N4" s="6" t="s">
        <v>152</v>
      </c>
    </row>
    <row r="5" spans="1:18">
      <c r="A5" s="26">
        <v>2</v>
      </c>
      <c r="B5" s="27">
        <v>45932</v>
      </c>
      <c r="C5" s="6"/>
      <c r="D5" s="6"/>
      <c r="E5" s="287">
        <v>0</v>
      </c>
      <c r="F5" s="48">
        <v>0</v>
      </c>
      <c r="G5" s="72">
        <f t="shared" ref="G5:G33" si="0">E5*F5</f>
        <v>0</v>
      </c>
      <c r="H5" s="48">
        <v>0</v>
      </c>
      <c r="I5" s="48">
        <v>0</v>
      </c>
      <c r="J5" s="72">
        <f t="shared" ref="J5:J33" si="1">H5*I5</f>
        <v>0</v>
      </c>
      <c r="K5" s="72">
        <f t="shared" ref="K5:K33" si="2">G5+J5</f>
        <v>0</v>
      </c>
      <c r="L5" s="72">
        <f t="shared" ref="L5:L33" si="3">+K5</f>
        <v>0</v>
      </c>
      <c r="M5" s="72">
        <f t="shared" ref="M5:M30" si="4">M4+K5-L5</f>
        <v>0</v>
      </c>
      <c r="N5" s="6"/>
    </row>
    <row r="6" spans="1:18">
      <c r="A6" s="26">
        <v>3</v>
      </c>
      <c r="B6" s="27">
        <v>45933</v>
      </c>
      <c r="C6" s="6"/>
      <c r="D6" s="6"/>
      <c r="E6" s="287">
        <v>100</v>
      </c>
      <c r="F6" s="48">
        <v>91.92</v>
      </c>
      <c r="G6" s="72">
        <f t="shared" si="0"/>
        <v>9192</v>
      </c>
      <c r="H6" s="48">
        <v>0</v>
      </c>
      <c r="I6" s="48">
        <v>0</v>
      </c>
      <c r="J6" s="72">
        <f t="shared" si="1"/>
        <v>0</v>
      </c>
      <c r="K6" s="72">
        <f t="shared" si="2"/>
        <v>9192</v>
      </c>
      <c r="L6" s="72">
        <f t="shared" si="3"/>
        <v>9192</v>
      </c>
      <c r="M6" s="72">
        <f t="shared" si="4"/>
        <v>0</v>
      </c>
      <c r="N6" s="6"/>
    </row>
    <row r="7" spans="1:18">
      <c r="A7" s="26">
        <v>4</v>
      </c>
      <c r="B7" s="27">
        <v>45934</v>
      </c>
      <c r="C7" s="6"/>
      <c r="D7" s="6"/>
      <c r="E7" s="287">
        <v>80</v>
      </c>
      <c r="F7" s="48">
        <v>91.92</v>
      </c>
      <c r="G7" s="72">
        <f t="shared" si="0"/>
        <v>7353.6</v>
      </c>
      <c r="H7" s="48">
        <v>0</v>
      </c>
      <c r="I7" s="48">
        <v>0</v>
      </c>
      <c r="J7" s="72">
        <f t="shared" si="1"/>
        <v>0</v>
      </c>
      <c r="K7" s="72">
        <f t="shared" si="2"/>
        <v>7353.6</v>
      </c>
      <c r="L7" s="72">
        <f t="shared" si="3"/>
        <v>7353.6</v>
      </c>
      <c r="M7" s="72">
        <f t="shared" si="4"/>
        <v>0</v>
      </c>
      <c r="N7" s="6"/>
    </row>
    <row r="8" spans="1:18">
      <c r="A8" s="26">
        <v>5</v>
      </c>
      <c r="B8" s="27">
        <v>45935</v>
      </c>
      <c r="C8" s="6"/>
      <c r="D8" s="6"/>
      <c r="E8" s="287">
        <v>0</v>
      </c>
      <c r="F8" s="48">
        <v>0</v>
      </c>
      <c r="G8" s="72">
        <f t="shared" si="0"/>
        <v>0</v>
      </c>
      <c r="H8" s="48">
        <v>6.71</v>
      </c>
      <c r="I8" s="48">
        <v>103.96</v>
      </c>
      <c r="J8" s="72">
        <f t="shared" si="1"/>
        <v>697.57159999999999</v>
      </c>
      <c r="K8" s="72">
        <f t="shared" si="2"/>
        <v>697.57159999999999</v>
      </c>
      <c r="L8" s="72">
        <f t="shared" si="3"/>
        <v>697.57159999999999</v>
      </c>
      <c r="M8" s="72">
        <f t="shared" si="4"/>
        <v>0</v>
      </c>
      <c r="N8" s="6"/>
    </row>
    <row r="9" spans="1:18">
      <c r="A9" s="26">
        <v>6</v>
      </c>
      <c r="B9" s="27">
        <v>45936</v>
      </c>
      <c r="C9" s="6"/>
      <c r="D9" s="6"/>
      <c r="E9" s="287">
        <v>0</v>
      </c>
      <c r="F9" s="48">
        <v>0</v>
      </c>
      <c r="G9" s="72">
        <f t="shared" si="0"/>
        <v>0</v>
      </c>
      <c r="H9" s="48">
        <v>6.5</v>
      </c>
      <c r="I9" s="48">
        <v>103.96</v>
      </c>
      <c r="J9" s="72">
        <f t="shared" si="1"/>
        <v>675.74</v>
      </c>
      <c r="K9" s="72">
        <f t="shared" si="2"/>
        <v>675.74</v>
      </c>
      <c r="L9" s="72">
        <f t="shared" si="3"/>
        <v>675.74</v>
      </c>
      <c r="M9" s="72">
        <f t="shared" si="4"/>
        <v>0</v>
      </c>
      <c r="N9" s="6"/>
      <c r="R9" s="48">
        <v>91.92</v>
      </c>
    </row>
    <row r="10" spans="1:18">
      <c r="A10" s="26">
        <v>7</v>
      </c>
      <c r="B10" s="27">
        <v>45937</v>
      </c>
      <c r="C10" s="6"/>
      <c r="D10" s="6"/>
      <c r="E10" s="287">
        <v>165</v>
      </c>
      <c r="F10" s="48">
        <v>91.92</v>
      </c>
      <c r="G10" s="72">
        <f t="shared" si="0"/>
        <v>15166.800000000001</v>
      </c>
      <c r="H10" s="48">
        <v>0</v>
      </c>
      <c r="I10" s="48">
        <v>0</v>
      </c>
      <c r="J10" s="72">
        <f t="shared" si="1"/>
        <v>0</v>
      </c>
      <c r="K10" s="72">
        <f t="shared" si="2"/>
        <v>15166.800000000001</v>
      </c>
      <c r="L10" s="72">
        <f t="shared" si="3"/>
        <v>15166.800000000001</v>
      </c>
      <c r="M10" s="72">
        <f t="shared" si="4"/>
        <v>0</v>
      </c>
      <c r="N10" s="6"/>
    </row>
    <row r="11" spans="1:18">
      <c r="A11" s="26">
        <v>8</v>
      </c>
      <c r="B11" s="27">
        <v>45938</v>
      </c>
      <c r="C11" s="6"/>
      <c r="D11" s="6"/>
      <c r="E11" s="287">
        <v>100</v>
      </c>
      <c r="F11" s="48">
        <v>91.92</v>
      </c>
      <c r="G11" s="72">
        <f t="shared" si="0"/>
        <v>9192</v>
      </c>
      <c r="H11" s="48">
        <v>0</v>
      </c>
      <c r="I11" s="48">
        <v>0</v>
      </c>
      <c r="J11" s="72">
        <f t="shared" si="1"/>
        <v>0</v>
      </c>
      <c r="K11" s="72">
        <f t="shared" si="2"/>
        <v>9192</v>
      </c>
      <c r="L11" s="72">
        <f t="shared" si="3"/>
        <v>9192</v>
      </c>
      <c r="M11" s="72">
        <f t="shared" si="4"/>
        <v>0</v>
      </c>
      <c r="N11" s="6"/>
      <c r="R11" s="5">
        <f>6.5/675.74</f>
        <v>9.6190842631781459E-3</v>
      </c>
    </row>
    <row r="12" spans="1:18">
      <c r="A12" s="26">
        <v>9</v>
      </c>
      <c r="B12" s="27">
        <v>45939</v>
      </c>
      <c r="C12" s="6"/>
      <c r="D12" s="6"/>
      <c r="E12" s="287">
        <v>80</v>
      </c>
      <c r="F12" s="48">
        <v>91.92</v>
      </c>
      <c r="G12" s="72">
        <f t="shared" si="0"/>
        <v>7353.6</v>
      </c>
      <c r="H12" s="48">
        <v>6.5</v>
      </c>
      <c r="I12" s="48">
        <v>103.96</v>
      </c>
      <c r="J12" s="72">
        <f t="shared" si="1"/>
        <v>675.74</v>
      </c>
      <c r="K12" s="72">
        <f t="shared" si="2"/>
        <v>8029.34</v>
      </c>
      <c r="L12" s="72">
        <f t="shared" si="3"/>
        <v>8029.34</v>
      </c>
      <c r="M12" s="72">
        <f t="shared" si="4"/>
        <v>0</v>
      </c>
      <c r="N12" s="6"/>
    </row>
    <row r="13" spans="1:18">
      <c r="A13" s="26">
        <v>10</v>
      </c>
      <c r="B13" s="27">
        <v>45940</v>
      </c>
      <c r="C13" s="6"/>
      <c r="D13" s="6"/>
      <c r="E13" s="287">
        <v>100</v>
      </c>
      <c r="F13" s="48">
        <v>91.92</v>
      </c>
      <c r="G13" s="72">
        <f t="shared" si="0"/>
        <v>9192</v>
      </c>
      <c r="H13" s="48">
        <v>0</v>
      </c>
      <c r="I13" s="48">
        <v>0</v>
      </c>
      <c r="J13" s="72">
        <f t="shared" si="1"/>
        <v>0</v>
      </c>
      <c r="K13" s="72">
        <f t="shared" si="2"/>
        <v>9192</v>
      </c>
      <c r="L13" s="72">
        <f t="shared" si="3"/>
        <v>9192</v>
      </c>
      <c r="M13" s="72">
        <f t="shared" si="4"/>
        <v>0</v>
      </c>
      <c r="N13" s="6"/>
      <c r="R13" s="5">
        <f>675.74/6.5</f>
        <v>103.96000000000001</v>
      </c>
    </row>
    <row r="14" spans="1:18">
      <c r="A14" s="26">
        <v>11</v>
      </c>
      <c r="B14" s="27">
        <v>45941</v>
      </c>
      <c r="C14" s="6"/>
      <c r="D14" s="6"/>
      <c r="E14" s="287">
        <v>80</v>
      </c>
      <c r="F14" s="48">
        <v>91.92</v>
      </c>
      <c r="G14" s="72">
        <f t="shared" si="0"/>
        <v>7353.6</v>
      </c>
      <c r="H14" s="48">
        <v>6.41</v>
      </c>
      <c r="I14" s="48">
        <v>103.9</v>
      </c>
      <c r="J14" s="72">
        <f t="shared" si="1"/>
        <v>665.99900000000002</v>
      </c>
      <c r="K14" s="72">
        <f t="shared" si="2"/>
        <v>8019.5990000000002</v>
      </c>
      <c r="L14" s="72">
        <f t="shared" si="3"/>
        <v>8019.5990000000002</v>
      </c>
      <c r="M14" s="72">
        <f t="shared" si="4"/>
        <v>0</v>
      </c>
      <c r="N14" s="6"/>
    </row>
    <row r="15" spans="1:18">
      <c r="A15" s="26">
        <v>12</v>
      </c>
      <c r="B15" s="27">
        <v>45942</v>
      </c>
      <c r="C15" s="6"/>
      <c r="D15" s="6"/>
      <c r="E15" s="287">
        <v>0</v>
      </c>
      <c r="F15" s="48">
        <v>0</v>
      </c>
      <c r="G15" s="72">
        <f t="shared" si="0"/>
        <v>0</v>
      </c>
      <c r="H15" s="48">
        <v>0</v>
      </c>
      <c r="I15" s="48">
        <v>0</v>
      </c>
      <c r="J15" s="72">
        <f t="shared" si="1"/>
        <v>0</v>
      </c>
      <c r="K15" s="72">
        <f t="shared" si="2"/>
        <v>0</v>
      </c>
      <c r="L15" s="72">
        <f t="shared" si="3"/>
        <v>0</v>
      </c>
      <c r="M15" s="72">
        <f t="shared" si="4"/>
        <v>0</v>
      </c>
      <c r="N15" s="6"/>
    </row>
    <row r="16" spans="1:18">
      <c r="A16" s="26">
        <v>13</v>
      </c>
      <c r="B16" s="27">
        <v>45943</v>
      </c>
      <c r="C16" s="6"/>
      <c r="D16" s="6"/>
      <c r="E16" s="287">
        <v>0</v>
      </c>
      <c r="F16" s="48">
        <v>0</v>
      </c>
      <c r="G16" s="72">
        <f t="shared" si="0"/>
        <v>0</v>
      </c>
      <c r="H16" s="48">
        <v>0</v>
      </c>
      <c r="I16" s="48">
        <v>0</v>
      </c>
      <c r="J16" s="72">
        <f t="shared" si="1"/>
        <v>0</v>
      </c>
      <c r="K16" s="72">
        <f t="shared" si="2"/>
        <v>0</v>
      </c>
      <c r="L16" s="72">
        <f t="shared" si="3"/>
        <v>0</v>
      </c>
      <c r="M16" s="72">
        <f t="shared" si="4"/>
        <v>0</v>
      </c>
      <c r="N16" s="6"/>
    </row>
    <row r="17" spans="1:14">
      <c r="A17" s="26">
        <v>14</v>
      </c>
      <c r="B17" s="27">
        <v>45944</v>
      </c>
      <c r="C17" s="186"/>
      <c r="D17" s="6"/>
      <c r="E17" s="287">
        <v>0</v>
      </c>
      <c r="F17" s="48">
        <v>0</v>
      </c>
      <c r="G17" s="72">
        <f t="shared" si="0"/>
        <v>0</v>
      </c>
      <c r="H17" s="48">
        <v>0</v>
      </c>
      <c r="I17" s="48">
        <v>0</v>
      </c>
      <c r="J17" s="72">
        <f t="shared" si="1"/>
        <v>0</v>
      </c>
      <c r="K17" s="72">
        <f t="shared" si="2"/>
        <v>0</v>
      </c>
      <c r="L17" s="72">
        <f t="shared" si="3"/>
        <v>0</v>
      </c>
      <c r="M17" s="72">
        <f t="shared" si="4"/>
        <v>0</v>
      </c>
      <c r="N17" s="6"/>
    </row>
    <row r="18" spans="1:14">
      <c r="A18" s="26">
        <v>15</v>
      </c>
      <c r="B18" s="27">
        <v>45945</v>
      </c>
      <c r="C18" s="186"/>
      <c r="D18" s="6"/>
      <c r="E18" s="287">
        <v>0</v>
      </c>
      <c r="F18" s="48">
        <v>0</v>
      </c>
      <c r="G18" s="72">
        <f t="shared" si="0"/>
        <v>0</v>
      </c>
      <c r="H18" s="48">
        <v>6</v>
      </c>
      <c r="I18" s="48">
        <v>103.9</v>
      </c>
      <c r="J18" s="72">
        <f t="shared" si="1"/>
        <v>623.40000000000009</v>
      </c>
      <c r="K18" s="72">
        <f t="shared" si="2"/>
        <v>623.40000000000009</v>
      </c>
      <c r="L18" s="72">
        <f t="shared" si="3"/>
        <v>623.40000000000009</v>
      </c>
      <c r="M18" s="72">
        <f t="shared" si="4"/>
        <v>0</v>
      </c>
      <c r="N18" s="6"/>
    </row>
    <row r="19" spans="1:14">
      <c r="A19" s="26">
        <v>16</v>
      </c>
      <c r="B19" s="27">
        <v>45946</v>
      </c>
      <c r="C19" s="186"/>
      <c r="D19" s="6"/>
      <c r="E19" s="287">
        <v>70.98</v>
      </c>
      <c r="F19" s="48">
        <v>91.92</v>
      </c>
      <c r="G19" s="72">
        <f t="shared" si="0"/>
        <v>6524.4816000000001</v>
      </c>
      <c r="H19" s="48">
        <v>0</v>
      </c>
      <c r="I19" s="48">
        <v>0</v>
      </c>
      <c r="J19" s="72">
        <f t="shared" si="1"/>
        <v>0</v>
      </c>
      <c r="K19" s="72">
        <f t="shared" si="2"/>
        <v>6524.4816000000001</v>
      </c>
      <c r="L19" s="72">
        <f t="shared" si="3"/>
        <v>6524.4816000000001</v>
      </c>
      <c r="M19" s="72">
        <f t="shared" si="4"/>
        <v>0</v>
      </c>
      <c r="N19" s="6"/>
    </row>
    <row r="20" spans="1:14">
      <c r="A20" s="26">
        <v>17</v>
      </c>
      <c r="B20" s="27">
        <v>45947</v>
      </c>
      <c r="C20" s="186"/>
      <c r="D20" s="6"/>
      <c r="E20" s="287">
        <v>103.06</v>
      </c>
      <c r="F20" s="48">
        <v>91.92</v>
      </c>
      <c r="G20" s="72">
        <f t="shared" si="0"/>
        <v>9473.2752</v>
      </c>
      <c r="H20" s="48">
        <v>0</v>
      </c>
      <c r="I20" s="48">
        <v>0</v>
      </c>
      <c r="J20" s="72">
        <f t="shared" si="1"/>
        <v>0</v>
      </c>
      <c r="K20" s="72">
        <f t="shared" si="2"/>
        <v>9473.2752</v>
      </c>
      <c r="L20" s="72">
        <f t="shared" si="3"/>
        <v>9473.2752</v>
      </c>
      <c r="M20" s="72">
        <f t="shared" si="4"/>
        <v>0</v>
      </c>
      <c r="N20" s="6"/>
    </row>
    <row r="21" spans="1:14">
      <c r="A21" s="26">
        <v>18</v>
      </c>
      <c r="B21" s="27">
        <v>45948</v>
      </c>
      <c r="C21" s="186"/>
      <c r="D21" s="6"/>
      <c r="E21" s="287">
        <v>60</v>
      </c>
      <c r="F21" s="48">
        <v>91.92</v>
      </c>
      <c r="G21" s="72">
        <f t="shared" si="0"/>
        <v>5515.2</v>
      </c>
      <c r="H21" s="48">
        <v>0</v>
      </c>
      <c r="I21" s="48">
        <v>0</v>
      </c>
      <c r="J21" s="72">
        <f t="shared" si="1"/>
        <v>0</v>
      </c>
      <c r="K21" s="72">
        <f t="shared" si="2"/>
        <v>5515.2</v>
      </c>
      <c r="L21" s="72">
        <f t="shared" si="3"/>
        <v>5515.2</v>
      </c>
      <c r="M21" s="72">
        <f t="shared" si="4"/>
        <v>0</v>
      </c>
      <c r="N21" s="6"/>
    </row>
    <row r="22" spans="1:14">
      <c r="A22" s="26">
        <v>19</v>
      </c>
      <c r="B22" s="27">
        <v>45949</v>
      </c>
      <c r="C22" s="186"/>
      <c r="D22" s="6"/>
      <c r="E22" s="287">
        <v>70</v>
      </c>
      <c r="F22" s="48">
        <v>91.92</v>
      </c>
      <c r="G22" s="72">
        <f t="shared" si="0"/>
        <v>6434.4000000000005</v>
      </c>
      <c r="H22" s="48">
        <v>6.35</v>
      </c>
      <c r="I22" s="48">
        <v>103.9</v>
      </c>
      <c r="J22" s="72">
        <f t="shared" si="1"/>
        <v>659.76499999999999</v>
      </c>
      <c r="K22" s="72">
        <f t="shared" si="2"/>
        <v>7094.1650000000009</v>
      </c>
      <c r="L22" s="72">
        <f t="shared" si="3"/>
        <v>7094.1650000000009</v>
      </c>
      <c r="M22" s="72">
        <f t="shared" si="4"/>
        <v>0</v>
      </c>
      <c r="N22" s="6"/>
    </row>
    <row r="23" spans="1:14">
      <c r="A23" s="26">
        <v>20</v>
      </c>
      <c r="B23" s="27">
        <v>45950</v>
      </c>
      <c r="C23" s="186"/>
      <c r="D23" s="6"/>
      <c r="E23" s="287">
        <v>0</v>
      </c>
      <c r="F23" s="48">
        <v>0</v>
      </c>
      <c r="G23" s="72">
        <f t="shared" si="0"/>
        <v>0</v>
      </c>
      <c r="H23" s="48">
        <v>0</v>
      </c>
      <c r="I23" s="48">
        <v>0</v>
      </c>
      <c r="J23" s="72">
        <f t="shared" si="1"/>
        <v>0</v>
      </c>
      <c r="K23" s="72">
        <f t="shared" si="2"/>
        <v>0</v>
      </c>
      <c r="L23" s="72">
        <f t="shared" si="3"/>
        <v>0</v>
      </c>
      <c r="M23" s="72">
        <f t="shared" si="4"/>
        <v>0</v>
      </c>
      <c r="N23" s="6"/>
    </row>
    <row r="24" spans="1:14">
      <c r="A24" s="26">
        <v>21</v>
      </c>
      <c r="B24" s="27">
        <v>45951</v>
      </c>
      <c r="C24" s="186"/>
      <c r="D24" s="6"/>
      <c r="E24" s="287">
        <v>0</v>
      </c>
      <c r="F24" s="48">
        <v>0</v>
      </c>
      <c r="G24" s="72">
        <f t="shared" si="0"/>
        <v>0</v>
      </c>
      <c r="H24" s="48">
        <v>0</v>
      </c>
      <c r="I24" s="48">
        <v>0</v>
      </c>
      <c r="J24" s="72">
        <f t="shared" si="1"/>
        <v>0</v>
      </c>
      <c r="K24" s="72">
        <f t="shared" si="2"/>
        <v>0</v>
      </c>
      <c r="L24" s="72">
        <f t="shared" si="3"/>
        <v>0</v>
      </c>
      <c r="M24" s="72">
        <f t="shared" si="4"/>
        <v>0</v>
      </c>
      <c r="N24" s="6"/>
    </row>
    <row r="25" spans="1:14">
      <c r="A25" s="26">
        <v>22</v>
      </c>
      <c r="B25" s="27">
        <v>45952</v>
      </c>
      <c r="C25" s="186"/>
      <c r="D25" s="6"/>
      <c r="E25" s="287">
        <v>100</v>
      </c>
      <c r="F25" s="48">
        <v>91.92</v>
      </c>
      <c r="G25" s="72">
        <f t="shared" si="0"/>
        <v>9192</v>
      </c>
      <c r="H25" s="48">
        <v>0</v>
      </c>
      <c r="I25" s="48">
        <v>0</v>
      </c>
      <c r="J25" s="72">
        <f t="shared" si="1"/>
        <v>0</v>
      </c>
      <c r="K25" s="72">
        <f t="shared" si="2"/>
        <v>9192</v>
      </c>
      <c r="L25" s="72">
        <f t="shared" si="3"/>
        <v>9192</v>
      </c>
      <c r="M25" s="72">
        <f t="shared" si="4"/>
        <v>0</v>
      </c>
      <c r="N25" s="6"/>
    </row>
    <row r="26" spans="1:14">
      <c r="A26" s="26">
        <v>23</v>
      </c>
      <c r="B26" s="27">
        <v>45953</v>
      </c>
      <c r="C26" s="186"/>
      <c r="D26" s="6"/>
      <c r="E26" s="287">
        <v>73</v>
      </c>
      <c r="F26" s="48">
        <v>91.92</v>
      </c>
      <c r="G26" s="72">
        <f t="shared" si="0"/>
        <v>6710.16</v>
      </c>
      <c r="H26" s="48">
        <v>0</v>
      </c>
      <c r="I26" s="48">
        <v>0</v>
      </c>
      <c r="J26" s="72">
        <f t="shared" si="1"/>
        <v>0</v>
      </c>
      <c r="K26" s="72">
        <f t="shared" si="2"/>
        <v>6710.16</v>
      </c>
      <c r="L26" s="72">
        <f t="shared" si="3"/>
        <v>6710.16</v>
      </c>
      <c r="M26" s="72">
        <f t="shared" si="4"/>
        <v>0</v>
      </c>
      <c r="N26" s="6"/>
    </row>
    <row r="27" spans="1:14">
      <c r="A27" s="26">
        <v>24</v>
      </c>
      <c r="B27" s="27">
        <v>45954</v>
      </c>
      <c r="C27" s="186"/>
      <c r="D27" s="6"/>
      <c r="E27" s="287">
        <v>70</v>
      </c>
      <c r="F27" s="48">
        <v>91.92</v>
      </c>
      <c r="G27" s="72">
        <f t="shared" si="0"/>
        <v>6434.4000000000005</v>
      </c>
      <c r="H27" s="48">
        <v>0</v>
      </c>
      <c r="I27" s="48">
        <v>0</v>
      </c>
      <c r="J27" s="72">
        <f t="shared" si="1"/>
        <v>0</v>
      </c>
      <c r="K27" s="72">
        <f t="shared" si="2"/>
        <v>6434.4000000000005</v>
      </c>
      <c r="L27" s="72">
        <f t="shared" si="3"/>
        <v>6434.4000000000005</v>
      </c>
      <c r="M27" s="72">
        <f t="shared" si="4"/>
        <v>0</v>
      </c>
      <c r="N27" s="6"/>
    </row>
    <row r="28" spans="1:14">
      <c r="A28" s="26">
        <v>25</v>
      </c>
      <c r="B28" s="27">
        <v>45955</v>
      </c>
      <c r="C28" s="186"/>
      <c r="D28" s="6"/>
      <c r="E28" s="287">
        <v>0</v>
      </c>
      <c r="F28" s="48">
        <v>0</v>
      </c>
      <c r="G28" s="72">
        <f t="shared" si="0"/>
        <v>0</v>
      </c>
      <c r="H28" s="48">
        <v>0</v>
      </c>
      <c r="I28" s="48">
        <v>0</v>
      </c>
      <c r="J28" s="72">
        <f t="shared" si="1"/>
        <v>0</v>
      </c>
      <c r="K28" s="72">
        <f t="shared" si="2"/>
        <v>0</v>
      </c>
      <c r="L28" s="72">
        <f t="shared" si="3"/>
        <v>0</v>
      </c>
      <c r="M28" s="72">
        <f t="shared" si="4"/>
        <v>0</v>
      </c>
      <c r="N28" s="6"/>
    </row>
    <row r="29" spans="1:14">
      <c r="A29" s="26">
        <v>26</v>
      </c>
      <c r="B29" s="27">
        <v>45956</v>
      </c>
      <c r="C29" s="186"/>
      <c r="D29" s="6"/>
      <c r="E29" s="287">
        <v>0</v>
      </c>
      <c r="F29" s="48">
        <v>0</v>
      </c>
      <c r="G29" s="72">
        <f t="shared" si="0"/>
        <v>0</v>
      </c>
      <c r="H29" s="48">
        <v>0</v>
      </c>
      <c r="I29" s="48">
        <v>0</v>
      </c>
      <c r="J29" s="72">
        <f t="shared" si="1"/>
        <v>0</v>
      </c>
      <c r="K29" s="72">
        <f t="shared" si="2"/>
        <v>0</v>
      </c>
      <c r="L29" s="72">
        <f t="shared" si="3"/>
        <v>0</v>
      </c>
      <c r="M29" s="72">
        <f t="shared" si="4"/>
        <v>0</v>
      </c>
      <c r="N29" s="6"/>
    </row>
    <row r="30" spans="1:14">
      <c r="A30" s="26">
        <v>27</v>
      </c>
      <c r="B30" s="27">
        <v>45957</v>
      </c>
      <c r="C30" s="186"/>
      <c r="D30" s="6"/>
      <c r="E30" s="287">
        <v>0</v>
      </c>
      <c r="F30" s="48">
        <v>0</v>
      </c>
      <c r="G30" s="72">
        <f t="shared" si="0"/>
        <v>0</v>
      </c>
      <c r="H30" s="48">
        <v>6.4</v>
      </c>
      <c r="I30" s="48">
        <v>103.9</v>
      </c>
      <c r="J30" s="72">
        <f t="shared" si="1"/>
        <v>664.96</v>
      </c>
      <c r="K30" s="72">
        <f t="shared" si="2"/>
        <v>664.96</v>
      </c>
      <c r="L30" s="72">
        <f t="shared" si="3"/>
        <v>664.96</v>
      </c>
      <c r="M30" s="72">
        <f t="shared" si="4"/>
        <v>0</v>
      </c>
      <c r="N30" s="6"/>
    </row>
    <row r="31" spans="1:14">
      <c r="A31" s="232">
        <v>28</v>
      </c>
      <c r="B31" s="27">
        <v>45958</v>
      </c>
      <c r="C31" s="186"/>
      <c r="D31" s="6"/>
      <c r="E31" s="287">
        <v>0</v>
      </c>
      <c r="F31" s="48">
        <v>0</v>
      </c>
      <c r="G31" s="72">
        <f t="shared" si="0"/>
        <v>0</v>
      </c>
      <c r="H31" s="48">
        <v>0</v>
      </c>
      <c r="I31" s="48">
        <v>0</v>
      </c>
      <c r="J31" s="72">
        <f t="shared" si="1"/>
        <v>0</v>
      </c>
      <c r="K31" s="72">
        <f t="shared" si="2"/>
        <v>0</v>
      </c>
      <c r="L31" s="72">
        <f t="shared" si="3"/>
        <v>0</v>
      </c>
      <c r="M31" s="72">
        <f t="shared" ref="M31:M32" si="5">M30+K31-L31</f>
        <v>0</v>
      </c>
      <c r="N31" s="6"/>
    </row>
    <row r="32" spans="1:14">
      <c r="A32" s="26">
        <v>29</v>
      </c>
      <c r="B32" s="27">
        <v>45959</v>
      </c>
      <c r="C32" s="186"/>
      <c r="D32" s="6"/>
      <c r="E32" s="287">
        <v>15</v>
      </c>
      <c r="F32" s="48">
        <v>91.92</v>
      </c>
      <c r="G32" s="72">
        <f t="shared" si="0"/>
        <v>1378.8</v>
      </c>
      <c r="H32" s="48">
        <v>4.8099999999999996</v>
      </c>
      <c r="I32" s="48">
        <v>103.9</v>
      </c>
      <c r="J32" s="72">
        <f t="shared" si="1"/>
        <v>499.75900000000001</v>
      </c>
      <c r="K32" s="72">
        <f t="shared" si="2"/>
        <v>1878.559</v>
      </c>
      <c r="L32" s="72">
        <f t="shared" si="3"/>
        <v>1878.559</v>
      </c>
      <c r="M32" s="72">
        <f t="shared" si="5"/>
        <v>0</v>
      </c>
      <c r="N32" s="6"/>
    </row>
    <row r="33" spans="1:14">
      <c r="A33" s="26">
        <v>30</v>
      </c>
      <c r="B33" s="27">
        <v>45960</v>
      </c>
      <c r="C33" s="186"/>
      <c r="D33" s="6"/>
      <c r="E33" s="287">
        <v>0</v>
      </c>
      <c r="F33" s="48">
        <v>0</v>
      </c>
      <c r="G33" s="72">
        <f t="shared" si="0"/>
        <v>0</v>
      </c>
      <c r="H33" s="48">
        <v>0</v>
      </c>
      <c r="I33" s="48">
        <v>0</v>
      </c>
      <c r="J33" s="72">
        <f t="shared" si="1"/>
        <v>0</v>
      </c>
      <c r="K33" s="72">
        <f t="shared" si="2"/>
        <v>0</v>
      </c>
      <c r="L33" s="72">
        <f t="shared" si="3"/>
        <v>0</v>
      </c>
      <c r="M33" s="72">
        <f t="shared" ref="M33:M34" si="6">M32+K33-L33</f>
        <v>0</v>
      </c>
      <c r="N33" s="6"/>
    </row>
    <row r="34" spans="1:14">
      <c r="A34" s="26">
        <v>31</v>
      </c>
      <c r="B34" s="27">
        <v>45961</v>
      </c>
      <c r="C34" s="186"/>
      <c r="D34" s="6"/>
      <c r="E34" s="287">
        <v>97.46</v>
      </c>
      <c r="F34" s="48">
        <v>91.92</v>
      </c>
      <c r="G34" s="72">
        <f t="shared" ref="G34" si="7">E34*F34</f>
        <v>8958.5231999999996</v>
      </c>
      <c r="H34" s="48">
        <v>0</v>
      </c>
      <c r="I34" s="48">
        <v>0</v>
      </c>
      <c r="J34" s="72">
        <f t="shared" ref="J34" si="8">H34*I34</f>
        <v>0</v>
      </c>
      <c r="K34" s="72">
        <f t="shared" ref="K34" si="9">G34+J34</f>
        <v>8958.5231999999996</v>
      </c>
      <c r="L34" s="72">
        <f t="shared" ref="L34" si="10">+K34</f>
        <v>8958.5231999999996</v>
      </c>
      <c r="M34" s="72">
        <f t="shared" si="6"/>
        <v>0</v>
      </c>
      <c r="N34" s="6"/>
    </row>
    <row r="35" spans="1:14">
      <c r="A35" s="46"/>
      <c r="B35" s="46"/>
      <c r="C35" s="46"/>
      <c r="D35" s="46"/>
      <c r="E35" s="46">
        <f>SUM(E4:E34)</f>
        <v>1364.5</v>
      </c>
      <c r="F35" s="46"/>
      <c r="G35" s="46">
        <f>SUM(G4:G34)</f>
        <v>125424.84</v>
      </c>
      <c r="H35" s="46">
        <f>SUM(H4:H34)</f>
        <v>49.680000000000007</v>
      </c>
      <c r="I35" s="46"/>
      <c r="J35" s="46">
        <f>SUM(J4:J34)</f>
        <v>5162.9345999999996</v>
      </c>
      <c r="K35" s="46">
        <f>SUM(K4:K34)</f>
        <v>130587.7746</v>
      </c>
      <c r="L35" s="46">
        <f>SUM(L4:L34)</f>
        <v>130587.7746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48"/>
  <sheetViews>
    <sheetView workbookViewId="0">
      <pane ySplit="2" topLeftCell="A3" activePane="bottomLeft" state="frozen"/>
      <selection pane="bottomLeft" activeCell="R14" sqref="R14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9.285156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65" t="s">
        <v>62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</row>
    <row r="2" spans="1:16" ht="30">
      <c r="A2" s="70" t="s">
        <v>96</v>
      </c>
      <c r="B2" s="89" t="s">
        <v>97</v>
      </c>
      <c r="C2" s="89" t="s">
        <v>98</v>
      </c>
      <c r="D2" s="89" t="s">
        <v>99</v>
      </c>
      <c r="E2" s="96" t="s">
        <v>100</v>
      </c>
      <c r="F2" s="96" t="s">
        <v>101</v>
      </c>
      <c r="G2" s="96" t="s">
        <v>102</v>
      </c>
      <c r="H2" s="96" t="s">
        <v>103</v>
      </c>
      <c r="I2" s="96" t="s">
        <v>101</v>
      </c>
      <c r="J2" s="96" t="s">
        <v>102</v>
      </c>
      <c r="K2" s="97" t="s">
        <v>104</v>
      </c>
      <c r="L2" s="91" t="s">
        <v>105</v>
      </c>
      <c r="M2" s="91" t="s">
        <v>110</v>
      </c>
      <c r="N2" s="132" t="s">
        <v>107</v>
      </c>
    </row>
    <row r="3" spans="1:16">
      <c r="A3" s="432" t="s">
        <v>108</v>
      </c>
      <c r="B3" s="432"/>
      <c r="C3" s="432"/>
      <c r="D3" s="432"/>
      <c r="E3" s="432"/>
      <c r="F3" s="432"/>
      <c r="G3" s="432"/>
      <c r="H3" s="432"/>
      <c r="I3" s="432"/>
      <c r="J3" s="442"/>
      <c r="K3" s="214">
        <v>509588.32409999997</v>
      </c>
      <c r="M3" s="142">
        <f>+K3</f>
        <v>509588.32409999997</v>
      </c>
      <c r="N3" s="100"/>
    </row>
    <row r="4" spans="1:16">
      <c r="A4" s="26">
        <v>1</v>
      </c>
      <c r="B4" s="27">
        <v>45931</v>
      </c>
      <c r="C4" s="17"/>
      <c r="D4" s="17"/>
      <c r="E4" s="42">
        <v>400</v>
      </c>
      <c r="F4" s="42">
        <v>91.71</v>
      </c>
      <c r="G4" s="42">
        <f>E4*F4</f>
        <v>36684</v>
      </c>
      <c r="H4" s="42">
        <v>0</v>
      </c>
      <c r="I4" s="42">
        <v>0</v>
      </c>
      <c r="J4" s="42">
        <f>H4*I4</f>
        <v>0</v>
      </c>
      <c r="K4" s="42">
        <f>G4+J4</f>
        <v>36684</v>
      </c>
      <c r="L4" s="42">
        <v>0</v>
      </c>
      <c r="M4" s="143">
        <f>M3+K4-L4</f>
        <v>546272.32409999997</v>
      </c>
      <c r="N4" s="17"/>
    </row>
    <row r="5" spans="1:16">
      <c r="A5" s="26">
        <v>2</v>
      </c>
      <c r="B5" s="27">
        <v>45932</v>
      </c>
      <c r="C5" s="17"/>
      <c r="D5" s="17"/>
      <c r="E5" s="42">
        <v>0</v>
      </c>
      <c r="F5" s="42">
        <v>0</v>
      </c>
      <c r="G5" s="42">
        <f t="shared" ref="G5:G46" si="0">E5*F5</f>
        <v>0</v>
      </c>
      <c r="H5" s="42">
        <v>0</v>
      </c>
      <c r="I5" s="42">
        <v>0</v>
      </c>
      <c r="J5" s="42">
        <f t="shared" ref="J5:J46" si="1">H5*I5</f>
        <v>0</v>
      </c>
      <c r="K5" s="42">
        <f t="shared" ref="K5:K46" si="2">G5+J5</f>
        <v>0</v>
      </c>
      <c r="L5" s="42">
        <v>0</v>
      </c>
      <c r="M5" s="143">
        <f t="shared" ref="M5" si="3">M4+K5-L5</f>
        <v>546272.32409999997</v>
      </c>
      <c r="N5" s="17"/>
    </row>
    <row r="6" spans="1:16">
      <c r="A6" s="26">
        <v>3</v>
      </c>
      <c r="B6" s="27">
        <v>45933</v>
      </c>
      <c r="C6" s="17"/>
      <c r="D6" s="17"/>
      <c r="E6" s="42">
        <v>430</v>
      </c>
      <c r="F6" s="42">
        <v>91.71</v>
      </c>
      <c r="G6" s="42">
        <f t="shared" si="0"/>
        <v>39435.299999999996</v>
      </c>
      <c r="H6" s="42">
        <v>5</v>
      </c>
      <c r="I6" s="42">
        <v>105.19</v>
      </c>
      <c r="J6" s="42">
        <f t="shared" si="1"/>
        <v>525.95000000000005</v>
      </c>
      <c r="K6" s="42">
        <f t="shared" si="2"/>
        <v>39961.249999999993</v>
      </c>
      <c r="L6" s="42">
        <v>0</v>
      </c>
      <c r="M6" s="143">
        <f>M5+K6-L6</f>
        <v>586233.57409999997</v>
      </c>
      <c r="N6" s="17"/>
    </row>
    <row r="7" spans="1:16">
      <c r="A7" s="26">
        <v>4</v>
      </c>
      <c r="B7" s="27">
        <v>45934</v>
      </c>
      <c r="C7" s="17"/>
      <c r="D7" s="17"/>
      <c r="E7" s="42">
        <v>400</v>
      </c>
      <c r="F7" s="42">
        <v>91.71</v>
      </c>
      <c r="G7" s="42">
        <f t="shared" si="0"/>
        <v>36684</v>
      </c>
      <c r="H7" s="42">
        <v>0</v>
      </c>
      <c r="I7" s="42">
        <v>0</v>
      </c>
      <c r="J7" s="42">
        <f t="shared" si="1"/>
        <v>0</v>
      </c>
      <c r="K7" s="42">
        <f t="shared" si="2"/>
        <v>36684</v>
      </c>
      <c r="L7" s="42">
        <v>0</v>
      </c>
      <c r="M7" s="143">
        <f t="shared" ref="M7:M47" si="4">M6+K7-L7</f>
        <v>622917.57409999997</v>
      </c>
      <c r="N7" s="17"/>
    </row>
    <row r="8" spans="1:16">
      <c r="A8" s="26">
        <v>5</v>
      </c>
      <c r="B8" s="27">
        <v>45935</v>
      </c>
      <c r="C8" s="17"/>
      <c r="D8" s="17"/>
      <c r="E8" s="42">
        <v>0</v>
      </c>
      <c r="F8" s="42">
        <v>0</v>
      </c>
      <c r="G8" s="42">
        <f t="shared" si="0"/>
        <v>0</v>
      </c>
      <c r="H8" s="42">
        <v>8</v>
      </c>
      <c r="I8" s="42">
        <v>105.19</v>
      </c>
      <c r="J8" s="42">
        <f t="shared" si="1"/>
        <v>841.52</v>
      </c>
      <c r="K8" s="42">
        <f t="shared" si="2"/>
        <v>841.52</v>
      </c>
      <c r="L8" s="42">
        <v>0</v>
      </c>
      <c r="M8" s="143">
        <f t="shared" si="4"/>
        <v>623759.09409999999</v>
      </c>
      <c r="N8" s="17"/>
    </row>
    <row r="9" spans="1:16">
      <c r="A9" s="26">
        <v>6</v>
      </c>
      <c r="B9" s="27">
        <v>45936</v>
      </c>
      <c r="C9" s="17"/>
      <c r="D9" s="17"/>
      <c r="E9" s="42">
        <v>490</v>
      </c>
      <c r="F9" s="42">
        <v>91.71</v>
      </c>
      <c r="G9" s="42">
        <f t="shared" si="0"/>
        <v>44937.899999999994</v>
      </c>
      <c r="H9" s="42">
        <v>0</v>
      </c>
      <c r="I9" s="42">
        <v>0</v>
      </c>
      <c r="J9" s="42">
        <f t="shared" si="1"/>
        <v>0</v>
      </c>
      <c r="K9" s="42">
        <f t="shared" si="2"/>
        <v>44937.899999999994</v>
      </c>
      <c r="L9" s="42">
        <v>0</v>
      </c>
      <c r="M9" s="143">
        <f t="shared" si="4"/>
        <v>668696.99410000001</v>
      </c>
      <c r="N9" s="17"/>
    </row>
    <row r="10" spans="1:16">
      <c r="A10" s="26">
        <v>7</v>
      </c>
      <c r="B10" s="27">
        <v>45937</v>
      </c>
      <c r="C10" s="17"/>
      <c r="D10" s="17"/>
      <c r="E10" s="42">
        <v>470</v>
      </c>
      <c r="F10" s="42">
        <v>91.71</v>
      </c>
      <c r="G10" s="42">
        <f t="shared" si="0"/>
        <v>43103.7</v>
      </c>
      <c r="H10" s="42">
        <v>0</v>
      </c>
      <c r="I10" s="42">
        <v>0</v>
      </c>
      <c r="J10" s="42">
        <f t="shared" si="1"/>
        <v>0</v>
      </c>
      <c r="K10" s="42">
        <f t="shared" si="2"/>
        <v>43103.7</v>
      </c>
      <c r="L10" s="42">
        <v>0</v>
      </c>
      <c r="M10" s="143">
        <f t="shared" si="4"/>
        <v>711800.69409999996</v>
      </c>
      <c r="N10" s="17"/>
    </row>
    <row r="11" spans="1:16">
      <c r="A11" s="26">
        <v>8</v>
      </c>
      <c r="B11" s="27">
        <v>45938</v>
      </c>
      <c r="C11" s="17"/>
      <c r="D11" s="17"/>
      <c r="E11" s="42">
        <v>495</v>
      </c>
      <c r="F11" s="42">
        <v>91.71</v>
      </c>
      <c r="G11" s="42">
        <f t="shared" si="0"/>
        <v>45396.45</v>
      </c>
      <c r="H11" s="42">
        <v>0</v>
      </c>
      <c r="I11" s="42">
        <v>0</v>
      </c>
      <c r="J11" s="42">
        <f t="shared" si="1"/>
        <v>0</v>
      </c>
      <c r="K11" s="42">
        <f t="shared" si="2"/>
        <v>45396.45</v>
      </c>
      <c r="L11" s="42">
        <v>0</v>
      </c>
      <c r="M11" s="143">
        <f>M10+K11-L11</f>
        <v>757197.14409999992</v>
      </c>
      <c r="N11" s="17"/>
    </row>
    <row r="12" spans="1:16">
      <c r="A12" s="26">
        <v>9</v>
      </c>
      <c r="B12" s="27">
        <v>45939</v>
      </c>
      <c r="C12" s="17"/>
      <c r="D12" s="17"/>
      <c r="E12" s="377">
        <v>50</v>
      </c>
      <c r="F12" s="377">
        <v>91.71</v>
      </c>
      <c r="G12" s="42">
        <f t="shared" si="0"/>
        <v>4585.5</v>
      </c>
      <c r="H12" s="42">
        <v>5</v>
      </c>
      <c r="I12" s="42">
        <v>105.19</v>
      </c>
      <c r="J12" s="42">
        <f t="shared" si="1"/>
        <v>525.95000000000005</v>
      </c>
      <c r="K12" s="42">
        <f t="shared" si="2"/>
        <v>5111.45</v>
      </c>
      <c r="L12" s="42">
        <v>0</v>
      </c>
      <c r="M12" s="143">
        <f t="shared" si="4"/>
        <v>762308.59409999987</v>
      </c>
      <c r="N12" s="48"/>
    </row>
    <row r="13" spans="1:16">
      <c r="A13" s="26">
        <v>10</v>
      </c>
      <c r="B13" s="27">
        <v>45939</v>
      </c>
      <c r="C13" s="17"/>
      <c r="D13" s="17"/>
      <c r="E13" s="377">
        <v>38.03</v>
      </c>
      <c r="F13" s="377">
        <v>92.03</v>
      </c>
      <c r="G13" s="42">
        <f t="shared" si="0"/>
        <v>3499.9009000000001</v>
      </c>
      <c r="H13" s="42">
        <v>0</v>
      </c>
      <c r="I13" s="42">
        <v>0</v>
      </c>
      <c r="J13" s="42">
        <v>0</v>
      </c>
      <c r="K13" s="42">
        <f t="shared" si="2"/>
        <v>3499.9009000000001</v>
      </c>
      <c r="L13" s="42">
        <v>3499.9</v>
      </c>
      <c r="M13" s="143">
        <f t="shared" si="4"/>
        <v>762308.59499999986</v>
      </c>
      <c r="N13" s="48"/>
    </row>
    <row r="14" spans="1:16">
      <c r="A14" s="26">
        <v>11</v>
      </c>
      <c r="B14" s="27">
        <v>45940</v>
      </c>
      <c r="C14" s="17"/>
      <c r="D14" s="17"/>
      <c r="E14" s="42">
        <v>450</v>
      </c>
      <c r="F14" s="377">
        <v>91.71</v>
      </c>
      <c r="G14" s="42">
        <f t="shared" si="0"/>
        <v>41269.5</v>
      </c>
      <c r="H14" s="42">
        <v>4</v>
      </c>
      <c r="I14" s="42">
        <v>105.19</v>
      </c>
      <c r="J14" s="42">
        <f t="shared" si="1"/>
        <v>420.76</v>
      </c>
      <c r="K14" s="42">
        <f t="shared" si="2"/>
        <v>41690.26</v>
      </c>
      <c r="L14" s="42">
        <v>0</v>
      </c>
      <c r="M14" s="143">
        <f t="shared" si="4"/>
        <v>803998.85499999986</v>
      </c>
      <c r="N14" s="48"/>
    </row>
    <row r="15" spans="1:16">
      <c r="A15" s="26">
        <v>12</v>
      </c>
      <c r="B15" s="27">
        <v>45941</v>
      </c>
      <c r="C15" s="17"/>
      <c r="D15" s="17"/>
      <c r="E15" s="42">
        <v>382.98</v>
      </c>
      <c r="F15" s="377">
        <v>91.71</v>
      </c>
      <c r="G15" s="42">
        <f t="shared" si="0"/>
        <v>35123.095800000003</v>
      </c>
      <c r="H15" s="42">
        <v>0</v>
      </c>
      <c r="I15" s="42">
        <v>0</v>
      </c>
      <c r="J15" s="42">
        <f t="shared" si="1"/>
        <v>0</v>
      </c>
      <c r="K15" s="42">
        <f t="shared" si="2"/>
        <v>35123.095800000003</v>
      </c>
      <c r="L15" s="42">
        <v>0</v>
      </c>
      <c r="M15" s="143">
        <f t="shared" si="4"/>
        <v>839121.95079999988</v>
      </c>
      <c r="N15" s="48"/>
    </row>
    <row r="16" spans="1:16">
      <c r="A16" s="26">
        <v>13</v>
      </c>
      <c r="B16" s="27">
        <v>45942</v>
      </c>
      <c r="C16" s="17"/>
      <c r="D16" s="17"/>
      <c r="E16" s="42">
        <v>464.83</v>
      </c>
      <c r="F16" s="377">
        <v>91.71</v>
      </c>
      <c r="G16" s="42">
        <f t="shared" si="0"/>
        <v>42629.559299999994</v>
      </c>
      <c r="H16" s="42">
        <v>5</v>
      </c>
      <c r="I16" s="42">
        <v>105.19</v>
      </c>
      <c r="J16" s="42">
        <f t="shared" si="1"/>
        <v>525.95000000000005</v>
      </c>
      <c r="K16" s="42">
        <f t="shared" si="2"/>
        <v>43155.509299999991</v>
      </c>
      <c r="L16" s="42">
        <v>0</v>
      </c>
      <c r="M16" s="143">
        <f t="shared" si="4"/>
        <v>882277.46009999991</v>
      </c>
      <c r="N16" s="48"/>
      <c r="P16" s="22"/>
    </row>
    <row r="17" spans="1:17">
      <c r="A17" s="26">
        <v>14</v>
      </c>
      <c r="B17" s="27">
        <v>45943</v>
      </c>
      <c r="C17" s="17"/>
      <c r="D17" s="17"/>
      <c r="E17" s="42">
        <v>400</v>
      </c>
      <c r="F17" s="377">
        <v>91.71</v>
      </c>
      <c r="G17" s="42">
        <f t="shared" si="0"/>
        <v>36684</v>
      </c>
      <c r="H17" s="42">
        <v>10</v>
      </c>
      <c r="I17" s="42">
        <v>105.19</v>
      </c>
      <c r="J17" s="42">
        <f t="shared" si="1"/>
        <v>1051.9000000000001</v>
      </c>
      <c r="K17" s="42">
        <f t="shared" si="2"/>
        <v>37735.9</v>
      </c>
      <c r="L17" s="42">
        <v>0</v>
      </c>
      <c r="M17" s="143">
        <f t="shared" si="4"/>
        <v>920013.36009999993</v>
      </c>
      <c r="N17" s="48"/>
      <c r="P17" s="22"/>
    </row>
    <row r="18" spans="1:17">
      <c r="A18" s="26">
        <v>15</v>
      </c>
      <c r="B18" s="27">
        <v>45944</v>
      </c>
      <c r="C18" s="17"/>
      <c r="D18" s="17"/>
      <c r="E18" s="42">
        <v>80</v>
      </c>
      <c r="F18" s="377">
        <v>91.71</v>
      </c>
      <c r="G18" s="42">
        <f t="shared" si="0"/>
        <v>7336.7999999999993</v>
      </c>
      <c r="H18" s="42">
        <v>0</v>
      </c>
      <c r="I18" s="42">
        <v>0</v>
      </c>
      <c r="J18" s="42">
        <f t="shared" si="1"/>
        <v>0</v>
      </c>
      <c r="K18" s="42">
        <f t="shared" si="2"/>
        <v>7336.7999999999993</v>
      </c>
      <c r="L18" s="42">
        <v>0</v>
      </c>
      <c r="M18" s="143">
        <f t="shared" si="4"/>
        <v>927350.16009999998</v>
      </c>
      <c r="N18" s="48"/>
      <c r="P18" s="22"/>
    </row>
    <row r="19" spans="1:17">
      <c r="A19" s="26">
        <v>16</v>
      </c>
      <c r="B19" s="27">
        <v>45944</v>
      </c>
      <c r="C19" s="17"/>
      <c r="D19" s="17"/>
      <c r="E19" s="42">
        <v>37.29</v>
      </c>
      <c r="F19" s="42">
        <v>91.27</v>
      </c>
      <c r="G19" s="42">
        <f t="shared" si="0"/>
        <v>3403.4582999999998</v>
      </c>
      <c r="H19" s="42">
        <v>0</v>
      </c>
      <c r="I19" s="42">
        <v>0</v>
      </c>
      <c r="J19" s="42">
        <f t="shared" si="1"/>
        <v>0</v>
      </c>
      <c r="K19" s="42">
        <f t="shared" si="2"/>
        <v>3403.4582999999998</v>
      </c>
      <c r="L19" s="42">
        <v>3403.46</v>
      </c>
      <c r="M19" s="143">
        <f t="shared" si="4"/>
        <v>927350.15840000007</v>
      </c>
      <c r="N19" s="48"/>
      <c r="P19" s="22"/>
    </row>
    <row r="20" spans="1:17">
      <c r="A20" s="26">
        <v>17</v>
      </c>
      <c r="B20" s="27">
        <v>45945</v>
      </c>
      <c r="C20" s="17"/>
      <c r="D20" s="17"/>
      <c r="E20" s="42">
        <v>485</v>
      </c>
      <c r="F20" s="377">
        <v>91.71</v>
      </c>
      <c r="G20" s="42">
        <f t="shared" si="0"/>
        <v>44479.35</v>
      </c>
      <c r="H20" s="42">
        <v>0</v>
      </c>
      <c r="I20" s="42">
        <v>0</v>
      </c>
      <c r="J20" s="42">
        <f t="shared" si="1"/>
        <v>0</v>
      </c>
      <c r="K20" s="42">
        <f t="shared" si="2"/>
        <v>44479.35</v>
      </c>
      <c r="L20" s="42"/>
      <c r="M20" s="143">
        <f t="shared" si="4"/>
        <v>971829.50840000005</v>
      </c>
      <c r="N20" s="48"/>
      <c r="P20" s="22"/>
    </row>
    <row r="21" spans="1:17">
      <c r="A21" s="26">
        <v>18</v>
      </c>
      <c r="B21" s="27">
        <v>45946</v>
      </c>
      <c r="C21" s="17"/>
      <c r="D21" s="17"/>
      <c r="E21" s="42">
        <v>400</v>
      </c>
      <c r="F21" s="377">
        <v>91.71</v>
      </c>
      <c r="G21" s="42">
        <f t="shared" si="0"/>
        <v>36684</v>
      </c>
      <c r="H21" s="42">
        <v>14</v>
      </c>
      <c r="I21" s="42">
        <v>105.19</v>
      </c>
      <c r="J21" s="42">
        <f t="shared" si="1"/>
        <v>1472.6599999999999</v>
      </c>
      <c r="K21" s="42">
        <f t="shared" si="2"/>
        <v>38156.660000000003</v>
      </c>
      <c r="L21" s="42">
        <v>0</v>
      </c>
      <c r="M21" s="143">
        <f t="shared" si="4"/>
        <v>1009986.1684000001</v>
      </c>
      <c r="N21" s="48"/>
      <c r="P21" s="22"/>
    </row>
    <row r="22" spans="1:17">
      <c r="A22" s="26">
        <v>19</v>
      </c>
      <c r="B22" s="27">
        <v>45947</v>
      </c>
      <c r="C22" s="17"/>
      <c r="D22" s="17"/>
      <c r="E22" s="42">
        <v>65</v>
      </c>
      <c r="F22" s="377">
        <v>91.71</v>
      </c>
      <c r="G22" s="42">
        <f t="shared" si="0"/>
        <v>5961.15</v>
      </c>
      <c r="H22" s="42">
        <v>0</v>
      </c>
      <c r="I22" s="42">
        <v>0</v>
      </c>
      <c r="J22" s="42">
        <f t="shared" si="1"/>
        <v>0</v>
      </c>
      <c r="K22" s="42">
        <f t="shared" si="2"/>
        <v>5961.15</v>
      </c>
      <c r="L22" s="42">
        <v>0</v>
      </c>
      <c r="M22" s="143">
        <f t="shared" si="4"/>
        <v>1015947.3184000001</v>
      </c>
      <c r="N22" s="48"/>
    </row>
    <row r="23" spans="1:17">
      <c r="A23" s="26">
        <v>20</v>
      </c>
      <c r="B23" s="27">
        <v>45948</v>
      </c>
      <c r="C23" s="17"/>
      <c r="D23" s="17"/>
      <c r="E23" s="42">
        <v>465</v>
      </c>
      <c r="F23" s="377">
        <v>91.71</v>
      </c>
      <c r="G23" s="42">
        <f t="shared" si="0"/>
        <v>42645.149999999994</v>
      </c>
      <c r="H23" s="42">
        <v>0</v>
      </c>
      <c r="I23" s="42">
        <v>0</v>
      </c>
      <c r="J23" s="42">
        <f t="shared" si="1"/>
        <v>0</v>
      </c>
      <c r="K23" s="42">
        <f t="shared" si="2"/>
        <v>42645.149999999994</v>
      </c>
      <c r="L23" s="42">
        <v>0</v>
      </c>
      <c r="M23" s="143">
        <f t="shared" si="4"/>
        <v>1058592.4684000001</v>
      </c>
      <c r="N23" s="48"/>
    </row>
    <row r="24" spans="1:17">
      <c r="A24" s="26">
        <v>21</v>
      </c>
      <c r="B24" s="27">
        <v>45949</v>
      </c>
      <c r="C24" s="17"/>
      <c r="D24" s="17"/>
      <c r="E24" s="42">
        <v>20</v>
      </c>
      <c r="F24" s="377">
        <v>91.71</v>
      </c>
      <c r="G24" s="42">
        <f t="shared" si="0"/>
        <v>1834.1999999999998</v>
      </c>
      <c r="H24" s="42">
        <v>5</v>
      </c>
      <c r="I24" s="42">
        <v>105.19</v>
      </c>
      <c r="J24" s="42">
        <f t="shared" si="1"/>
        <v>525.95000000000005</v>
      </c>
      <c r="K24" s="42">
        <f t="shared" si="2"/>
        <v>2360.1499999999996</v>
      </c>
      <c r="L24" s="42">
        <v>0</v>
      </c>
      <c r="M24" s="143">
        <f t="shared" si="4"/>
        <v>1060952.6184</v>
      </c>
      <c r="N24" s="48"/>
    </row>
    <row r="25" spans="1:17">
      <c r="A25" s="26">
        <v>22</v>
      </c>
      <c r="B25" s="27">
        <v>45950</v>
      </c>
      <c r="C25" s="17"/>
      <c r="D25" s="17"/>
      <c r="E25" s="42">
        <v>0</v>
      </c>
      <c r="F25" s="42">
        <v>0</v>
      </c>
      <c r="G25" s="42">
        <f t="shared" si="0"/>
        <v>0</v>
      </c>
      <c r="H25" s="42">
        <v>0</v>
      </c>
      <c r="I25" s="42">
        <v>0</v>
      </c>
      <c r="J25" s="42">
        <f t="shared" si="1"/>
        <v>0</v>
      </c>
      <c r="K25" s="42">
        <f t="shared" si="2"/>
        <v>0</v>
      </c>
      <c r="L25" s="42">
        <v>0</v>
      </c>
      <c r="M25" s="143">
        <f t="shared" si="4"/>
        <v>1060952.6184</v>
      </c>
      <c r="N25" s="48"/>
    </row>
    <row r="26" spans="1:17">
      <c r="A26" s="26">
        <v>23</v>
      </c>
      <c r="B26" s="27">
        <v>45951</v>
      </c>
      <c r="C26" s="17"/>
      <c r="D26" s="17"/>
      <c r="E26" s="42">
        <v>0</v>
      </c>
      <c r="F26" s="42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v>0</v>
      </c>
      <c r="M26" s="143">
        <f t="shared" si="4"/>
        <v>1060952.6184</v>
      </c>
      <c r="N26" s="48"/>
    </row>
    <row r="27" spans="1:17">
      <c r="A27" s="26">
        <v>24</v>
      </c>
      <c r="B27" s="27">
        <v>45952</v>
      </c>
      <c r="C27" s="17"/>
      <c r="D27" s="17"/>
      <c r="E27" s="42">
        <v>400</v>
      </c>
      <c r="F27" s="377">
        <v>91.71</v>
      </c>
      <c r="G27" s="42">
        <f t="shared" si="0"/>
        <v>36684</v>
      </c>
      <c r="H27" s="42">
        <v>10</v>
      </c>
      <c r="I27" s="42">
        <v>105.19</v>
      </c>
      <c r="J27" s="42">
        <f t="shared" si="1"/>
        <v>1051.9000000000001</v>
      </c>
      <c r="K27" s="42">
        <f t="shared" si="2"/>
        <v>37735.9</v>
      </c>
      <c r="L27" s="42">
        <v>0</v>
      </c>
      <c r="M27" s="143">
        <f t="shared" si="4"/>
        <v>1098688.5183999999</v>
      </c>
      <c r="N27" s="48"/>
    </row>
    <row r="28" spans="1:17">
      <c r="A28" s="26">
        <v>25</v>
      </c>
      <c r="B28" s="27">
        <v>45953</v>
      </c>
      <c r="C28" s="17"/>
      <c r="D28" s="17"/>
      <c r="E28" s="42">
        <v>481</v>
      </c>
      <c r="F28" s="377">
        <v>91.71</v>
      </c>
      <c r="G28" s="42">
        <f t="shared" si="0"/>
        <v>44112.509999999995</v>
      </c>
      <c r="H28" s="42">
        <v>0</v>
      </c>
      <c r="I28" s="42">
        <v>0</v>
      </c>
      <c r="J28" s="42">
        <f t="shared" si="1"/>
        <v>0</v>
      </c>
      <c r="K28" s="42">
        <f t="shared" si="2"/>
        <v>44112.509999999995</v>
      </c>
      <c r="L28" s="42">
        <v>0</v>
      </c>
      <c r="M28" s="143">
        <f t="shared" si="4"/>
        <v>1142801.0284</v>
      </c>
      <c r="N28" s="48"/>
    </row>
    <row r="29" spans="1:17">
      <c r="A29" s="26">
        <v>26</v>
      </c>
      <c r="B29" s="27">
        <v>45954</v>
      </c>
      <c r="C29" s="17"/>
      <c r="D29" s="17"/>
      <c r="E29" s="42">
        <v>430</v>
      </c>
      <c r="F29" s="377">
        <v>91.71</v>
      </c>
      <c r="G29" s="42">
        <f t="shared" si="0"/>
        <v>39435.299999999996</v>
      </c>
      <c r="H29" s="42">
        <v>0</v>
      </c>
      <c r="I29" s="42">
        <v>0</v>
      </c>
      <c r="J29" s="42">
        <f t="shared" si="1"/>
        <v>0</v>
      </c>
      <c r="K29" s="42">
        <f t="shared" si="2"/>
        <v>39435.299999999996</v>
      </c>
      <c r="L29" s="42">
        <v>0</v>
      </c>
      <c r="M29" s="143">
        <f t="shared" si="4"/>
        <v>1182236.3284</v>
      </c>
      <c r="N29" s="48"/>
    </row>
    <row r="30" spans="1:17">
      <c r="A30" s="26"/>
      <c r="B30" s="27">
        <v>45954</v>
      </c>
      <c r="C30" s="17"/>
      <c r="D30" s="17"/>
      <c r="E30" s="42">
        <v>38.56</v>
      </c>
      <c r="F30" s="377">
        <v>90.77</v>
      </c>
      <c r="G30" s="42">
        <f t="shared" si="0"/>
        <v>3500.0911999999998</v>
      </c>
      <c r="H30" s="42">
        <v>0</v>
      </c>
      <c r="I30" s="42">
        <v>0</v>
      </c>
      <c r="J30" s="42">
        <f t="shared" si="1"/>
        <v>0</v>
      </c>
      <c r="K30" s="42">
        <f t="shared" si="2"/>
        <v>3500.0911999999998</v>
      </c>
      <c r="L30" s="42">
        <v>3500</v>
      </c>
      <c r="M30" s="143">
        <f t="shared" si="4"/>
        <v>1182236.4195999999</v>
      </c>
      <c r="N30" s="48"/>
    </row>
    <row r="31" spans="1:17">
      <c r="A31" s="26">
        <v>27</v>
      </c>
      <c r="B31" s="27">
        <v>45955</v>
      </c>
      <c r="C31" s="17"/>
      <c r="D31" s="17"/>
      <c r="E31" s="42">
        <v>450</v>
      </c>
      <c r="F31" s="377">
        <v>91.71</v>
      </c>
      <c r="G31" s="42">
        <f t="shared" si="0"/>
        <v>41269.5</v>
      </c>
      <c r="H31" s="42">
        <v>10</v>
      </c>
      <c r="I31" s="42">
        <v>105.19</v>
      </c>
      <c r="J31" s="42">
        <f t="shared" si="1"/>
        <v>1051.9000000000001</v>
      </c>
      <c r="K31" s="42">
        <f t="shared" si="2"/>
        <v>42321.4</v>
      </c>
      <c r="L31" s="42">
        <v>0</v>
      </c>
      <c r="M31" s="143">
        <f t="shared" si="4"/>
        <v>1224557.8195999998</v>
      </c>
      <c r="N31" s="48"/>
      <c r="P31">
        <v>41</v>
      </c>
    </row>
    <row r="32" spans="1:17">
      <c r="A32" s="26">
        <v>28</v>
      </c>
      <c r="B32" s="27">
        <v>45956</v>
      </c>
      <c r="C32" s="17"/>
      <c r="D32" s="17"/>
      <c r="E32" s="42">
        <v>30</v>
      </c>
      <c r="F32" s="377">
        <v>91.71</v>
      </c>
      <c r="G32" s="42">
        <f t="shared" si="0"/>
        <v>2751.2999999999997</v>
      </c>
      <c r="H32" s="42">
        <v>0</v>
      </c>
      <c r="I32" s="42">
        <v>0</v>
      </c>
      <c r="J32" s="42">
        <f t="shared" si="1"/>
        <v>0</v>
      </c>
      <c r="K32" s="42">
        <f t="shared" si="2"/>
        <v>2751.2999999999997</v>
      </c>
      <c r="L32" s="42">
        <v>0</v>
      </c>
      <c r="M32" s="143">
        <f t="shared" si="4"/>
        <v>1227309.1195999999</v>
      </c>
      <c r="N32" s="48"/>
      <c r="P32">
        <v>40</v>
      </c>
      <c r="Q32">
        <v>5</v>
      </c>
    </row>
    <row r="33" spans="1:14">
      <c r="A33" s="26">
        <v>29</v>
      </c>
      <c r="B33" s="27">
        <v>45957</v>
      </c>
      <c r="C33" s="17"/>
      <c r="D33" s="17"/>
      <c r="E33" s="42">
        <v>455</v>
      </c>
      <c r="F33" s="377">
        <v>91.71</v>
      </c>
      <c r="G33" s="42">
        <f t="shared" si="0"/>
        <v>41728.049999999996</v>
      </c>
      <c r="H33" s="42">
        <v>5</v>
      </c>
      <c r="I33" s="42">
        <v>105.19</v>
      </c>
      <c r="J33" s="42">
        <f t="shared" si="1"/>
        <v>525.95000000000005</v>
      </c>
      <c r="K33" s="42">
        <f t="shared" si="2"/>
        <v>42253.999999999993</v>
      </c>
      <c r="L33" s="42">
        <v>0</v>
      </c>
      <c r="M33" s="143">
        <f t="shared" si="4"/>
        <v>1269563.1195999999</v>
      </c>
      <c r="N33" s="48"/>
    </row>
    <row r="34" spans="1:14">
      <c r="A34" s="26">
        <v>30</v>
      </c>
      <c r="B34" s="27">
        <v>45958</v>
      </c>
      <c r="C34" s="17"/>
      <c r="D34" s="17"/>
      <c r="E34" s="42">
        <v>110</v>
      </c>
      <c r="F34" s="377">
        <v>91.71</v>
      </c>
      <c r="G34" s="42">
        <f t="shared" si="0"/>
        <v>10088.099999999999</v>
      </c>
      <c r="H34" s="42">
        <v>10</v>
      </c>
      <c r="I34" s="42">
        <v>105.19</v>
      </c>
      <c r="J34" s="42">
        <f t="shared" si="1"/>
        <v>1051.9000000000001</v>
      </c>
      <c r="K34" s="42">
        <f t="shared" si="2"/>
        <v>11139.999999999998</v>
      </c>
      <c r="L34" s="42">
        <v>0</v>
      </c>
      <c r="M34" s="143">
        <f t="shared" si="4"/>
        <v>1280703.1195999999</v>
      </c>
      <c r="N34" s="48"/>
    </row>
    <row r="35" spans="1:14">
      <c r="A35" s="26">
        <v>31</v>
      </c>
      <c r="B35" s="27">
        <v>45959</v>
      </c>
      <c r="C35" s="17"/>
      <c r="D35" s="17"/>
      <c r="E35" s="42">
        <v>400</v>
      </c>
      <c r="F35" s="377">
        <v>91.71</v>
      </c>
      <c r="G35" s="42">
        <f t="shared" si="0"/>
        <v>36684</v>
      </c>
      <c r="H35" s="42">
        <v>0</v>
      </c>
      <c r="I35" s="42">
        <v>0</v>
      </c>
      <c r="J35" s="42">
        <f t="shared" si="1"/>
        <v>0</v>
      </c>
      <c r="K35" s="42">
        <f t="shared" si="2"/>
        <v>36684</v>
      </c>
      <c r="L35" s="42">
        <v>0</v>
      </c>
      <c r="M35" s="143">
        <f t="shared" si="4"/>
        <v>1317387.1195999999</v>
      </c>
      <c r="N35" s="48"/>
    </row>
    <row r="36" spans="1:14">
      <c r="A36" s="26">
        <v>32</v>
      </c>
      <c r="B36" s="27">
        <v>45960</v>
      </c>
      <c r="C36" s="17"/>
      <c r="D36" s="17"/>
      <c r="E36" s="42">
        <v>435</v>
      </c>
      <c r="F36" s="377">
        <v>91.71</v>
      </c>
      <c r="G36" s="42">
        <f t="shared" si="0"/>
        <v>39893.85</v>
      </c>
      <c r="H36" s="42">
        <v>0</v>
      </c>
      <c r="I36" s="42">
        <v>0</v>
      </c>
      <c r="J36" s="42">
        <f t="shared" si="1"/>
        <v>0</v>
      </c>
      <c r="K36" s="42">
        <f t="shared" si="2"/>
        <v>39893.85</v>
      </c>
      <c r="L36" s="42">
        <v>700000</v>
      </c>
      <c r="M36" s="143">
        <f t="shared" si="4"/>
        <v>657280.96959999995</v>
      </c>
      <c r="N36" s="48"/>
    </row>
    <row r="37" spans="1:14">
      <c r="A37" s="26">
        <v>33</v>
      </c>
      <c r="B37" s="27">
        <v>45961</v>
      </c>
      <c r="C37" s="17"/>
      <c r="D37" s="17"/>
      <c r="E37" s="42">
        <v>520</v>
      </c>
      <c r="F37" s="377">
        <v>91.71</v>
      </c>
      <c r="G37" s="42">
        <f t="shared" si="0"/>
        <v>47689.2</v>
      </c>
      <c r="H37" s="42">
        <v>6</v>
      </c>
      <c r="I37" s="42">
        <v>105.19</v>
      </c>
      <c r="J37" s="42">
        <f t="shared" si="1"/>
        <v>631.14</v>
      </c>
      <c r="K37" s="42">
        <f t="shared" si="2"/>
        <v>48320.34</v>
      </c>
      <c r="L37" s="42">
        <v>0</v>
      </c>
      <c r="M37" s="143">
        <f t="shared" si="4"/>
        <v>705601.30959999992</v>
      </c>
      <c r="N37" s="48"/>
    </row>
    <row r="38" spans="1:14">
      <c r="A38" s="26">
        <v>34</v>
      </c>
      <c r="B38" s="27"/>
      <c r="C38" s="17"/>
      <c r="D38" s="17"/>
      <c r="E38" s="42">
        <v>0</v>
      </c>
      <c r="F38" s="42">
        <v>0</v>
      </c>
      <c r="G38" s="42">
        <f t="shared" si="0"/>
        <v>0</v>
      </c>
      <c r="H38" s="42">
        <v>0</v>
      </c>
      <c r="I38" s="42">
        <v>0</v>
      </c>
      <c r="J38" s="42">
        <f t="shared" si="1"/>
        <v>0</v>
      </c>
      <c r="K38" s="42">
        <f t="shared" si="2"/>
        <v>0</v>
      </c>
      <c r="L38" s="42">
        <v>0</v>
      </c>
      <c r="M38" s="143">
        <f t="shared" si="4"/>
        <v>705601.30959999992</v>
      </c>
      <c r="N38" s="48"/>
    </row>
    <row r="39" spans="1:14">
      <c r="A39" s="26">
        <v>35</v>
      </c>
      <c r="B39" s="27"/>
      <c r="C39" s="17"/>
      <c r="D39" s="17"/>
      <c r="E39" s="42">
        <v>0</v>
      </c>
      <c r="F39" s="42">
        <v>0</v>
      </c>
      <c r="G39" s="42">
        <f t="shared" si="0"/>
        <v>0</v>
      </c>
      <c r="H39" s="42">
        <v>0</v>
      </c>
      <c r="I39" s="42">
        <v>0</v>
      </c>
      <c r="J39" s="42">
        <f t="shared" si="1"/>
        <v>0</v>
      </c>
      <c r="K39" s="42">
        <f t="shared" si="2"/>
        <v>0</v>
      </c>
      <c r="L39" s="42">
        <v>0</v>
      </c>
      <c r="M39" s="143">
        <f t="shared" si="4"/>
        <v>705601.30959999992</v>
      </c>
      <c r="N39" s="48"/>
    </row>
    <row r="40" spans="1:14">
      <c r="A40" s="26">
        <v>36</v>
      </c>
      <c r="B40" s="27"/>
      <c r="C40" s="17"/>
      <c r="D40" s="17"/>
      <c r="E40" s="42">
        <v>0</v>
      </c>
      <c r="F40" s="42">
        <v>0</v>
      </c>
      <c r="G40" s="42">
        <f t="shared" si="0"/>
        <v>0</v>
      </c>
      <c r="H40" s="42">
        <v>0</v>
      </c>
      <c r="I40" s="42">
        <v>0</v>
      </c>
      <c r="J40" s="42">
        <f t="shared" si="1"/>
        <v>0</v>
      </c>
      <c r="K40" s="42">
        <f t="shared" si="2"/>
        <v>0</v>
      </c>
      <c r="L40" s="42">
        <v>0</v>
      </c>
      <c r="M40" s="143">
        <f t="shared" si="4"/>
        <v>705601.30959999992</v>
      </c>
      <c r="N40" s="48"/>
    </row>
    <row r="41" spans="1:14">
      <c r="A41" s="26">
        <v>37</v>
      </c>
      <c r="B41" s="27"/>
      <c r="C41" s="17"/>
      <c r="D41" s="17"/>
      <c r="E41" s="42">
        <v>0</v>
      </c>
      <c r="F41" s="42">
        <v>0</v>
      </c>
      <c r="G41" s="42">
        <f t="shared" si="0"/>
        <v>0</v>
      </c>
      <c r="H41" s="42">
        <v>0</v>
      </c>
      <c r="I41" s="42">
        <v>0</v>
      </c>
      <c r="J41" s="42">
        <f t="shared" si="1"/>
        <v>0</v>
      </c>
      <c r="K41" s="42">
        <f t="shared" si="2"/>
        <v>0</v>
      </c>
      <c r="L41" s="42">
        <v>0</v>
      </c>
      <c r="M41" s="143">
        <f t="shared" si="4"/>
        <v>705601.30959999992</v>
      </c>
      <c r="N41" s="48"/>
    </row>
    <row r="42" spans="1:14">
      <c r="A42" s="26">
        <v>38</v>
      </c>
      <c r="B42" s="27"/>
      <c r="C42" s="17"/>
      <c r="D42" s="17"/>
      <c r="E42" s="42">
        <v>0</v>
      </c>
      <c r="F42" s="42">
        <v>0</v>
      </c>
      <c r="G42" s="42">
        <f t="shared" si="0"/>
        <v>0</v>
      </c>
      <c r="H42" s="42">
        <v>0</v>
      </c>
      <c r="I42" s="42">
        <v>0</v>
      </c>
      <c r="J42" s="42">
        <f t="shared" si="1"/>
        <v>0</v>
      </c>
      <c r="K42" s="42">
        <f t="shared" si="2"/>
        <v>0</v>
      </c>
      <c r="L42" s="42">
        <v>0</v>
      </c>
      <c r="M42" s="143">
        <f t="shared" si="4"/>
        <v>705601.30959999992</v>
      </c>
      <c r="N42" s="48"/>
    </row>
    <row r="43" spans="1:14">
      <c r="A43" s="26">
        <v>39</v>
      </c>
      <c r="B43" s="27"/>
      <c r="C43" s="17"/>
      <c r="D43" s="17"/>
      <c r="E43" s="42">
        <v>0</v>
      </c>
      <c r="F43" s="42">
        <v>0</v>
      </c>
      <c r="G43" s="42">
        <f t="shared" si="0"/>
        <v>0</v>
      </c>
      <c r="H43" s="42">
        <v>0</v>
      </c>
      <c r="I43" s="42">
        <v>0</v>
      </c>
      <c r="J43" s="42">
        <f t="shared" si="1"/>
        <v>0</v>
      </c>
      <c r="K43" s="42">
        <f t="shared" si="2"/>
        <v>0</v>
      </c>
      <c r="L43" s="42">
        <v>0</v>
      </c>
      <c r="M43" s="143">
        <f t="shared" si="4"/>
        <v>705601.30959999992</v>
      </c>
      <c r="N43" s="48"/>
    </row>
    <row r="44" spans="1:14">
      <c r="A44" s="26">
        <v>40</v>
      </c>
      <c r="B44" s="27"/>
      <c r="C44" s="17"/>
      <c r="D44" s="17"/>
      <c r="E44" s="42">
        <v>0</v>
      </c>
      <c r="F44" s="42">
        <v>0</v>
      </c>
      <c r="G44" s="42">
        <f t="shared" si="0"/>
        <v>0</v>
      </c>
      <c r="H44" s="42">
        <v>0</v>
      </c>
      <c r="I44" s="42">
        <v>0</v>
      </c>
      <c r="J44" s="42">
        <f t="shared" si="1"/>
        <v>0</v>
      </c>
      <c r="K44" s="42">
        <f t="shared" si="2"/>
        <v>0</v>
      </c>
      <c r="L44" s="42">
        <v>0</v>
      </c>
      <c r="M44" s="143">
        <f t="shared" si="4"/>
        <v>705601.30959999992</v>
      </c>
      <c r="N44" s="48"/>
    </row>
    <row r="45" spans="1:14">
      <c r="A45" s="26">
        <v>41</v>
      </c>
      <c r="B45" s="27"/>
      <c r="C45" s="100"/>
      <c r="D45" s="100"/>
      <c r="E45" s="42">
        <v>0</v>
      </c>
      <c r="F45" s="42">
        <v>0</v>
      </c>
      <c r="G45" s="42">
        <f t="shared" si="0"/>
        <v>0</v>
      </c>
      <c r="H45" s="42">
        <v>0</v>
      </c>
      <c r="I45" s="42">
        <v>0</v>
      </c>
      <c r="J45" s="42">
        <f t="shared" si="1"/>
        <v>0</v>
      </c>
      <c r="K45" s="42">
        <f t="shared" si="2"/>
        <v>0</v>
      </c>
      <c r="L45" s="42">
        <v>0</v>
      </c>
      <c r="M45" s="143">
        <f t="shared" si="4"/>
        <v>705601.30959999992</v>
      </c>
      <c r="N45" s="240"/>
    </row>
    <row r="46" spans="1:14">
      <c r="A46" s="26">
        <v>42</v>
      </c>
      <c r="B46" s="27"/>
      <c r="C46" s="17"/>
      <c r="D46" s="17"/>
      <c r="E46" s="42">
        <v>0</v>
      </c>
      <c r="F46" s="42">
        <v>0</v>
      </c>
      <c r="G46" s="42">
        <f t="shared" si="0"/>
        <v>0</v>
      </c>
      <c r="H46" s="42">
        <v>0</v>
      </c>
      <c r="I46" s="42">
        <v>0</v>
      </c>
      <c r="J46" s="42">
        <f t="shared" si="1"/>
        <v>0</v>
      </c>
      <c r="K46" s="42">
        <f t="shared" si="2"/>
        <v>0</v>
      </c>
      <c r="L46" s="42">
        <v>0</v>
      </c>
      <c r="M46" s="143">
        <f t="shared" si="4"/>
        <v>705601.30959999992</v>
      </c>
      <c r="N46" s="48"/>
    </row>
    <row r="47" spans="1:14">
      <c r="A47" s="26">
        <v>43</v>
      </c>
      <c r="B47" s="27"/>
      <c r="C47" s="17"/>
      <c r="D47" s="17"/>
      <c r="E47" s="42">
        <v>0</v>
      </c>
      <c r="F47" s="42">
        <v>0</v>
      </c>
      <c r="G47" s="42">
        <f t="shared" ref="G47" si="5">E47*F47</f>
        <v>0</v>
      </c>
      <c r="H47" s="42">
        <v>0</v>
      </c>
      <c r="I47" s="42">
        <v>0</v>
      </c>
      <c r="J47" s="42">
        <f t="shared" ref="J47" si="6">H47*I47</f>
        <v>0</v>
      </c>
      <c r="K47" s="42">
        <f t="shared" ref="K47" si="7">G47+J47</f>
        <v>0</v>
      </c>
      <c r="L47" s="42">
        <v>0</v>
      </c>
      <c r="M47" s="143">
        <f t="shared" si="4"/>
        <v>705601.30959999992</v>
      </c>
      <c r="N47" s="48"/>
    </row>
    <row r="48" spans="1:14">
      <c r="A48" s="191"/>
      <c r="B48" s="191"/>
      <c r="C48" s="191"/>
      <c r="D48" s="191"/>
      <c r="E48" s="191">
        <f>SUM(E4:E47)</f>
        <v>9772.69</v>
      </c>
      <c r="F48" s="191"/>
      <c r="G48" s="191">
        <f>SUM(G4:G47)</f>
        <v>896212.9155</v>
      </c>
      <c r="H48" s="191">
        <f>SUM(H4:H47)</f>
        <v>97</v>
      </c>
      <c r="I48" s="191"/>
      <c r="J48" s="191">
        <f>SUM(J4:J47)</f>
        <v>10203.43</v>
      </c>
      <c r="K48" s="191">
        <f>SUM(K4:K47)</f>
        <v>906416.34550000017</v>
      </c>
      <c r="L48" s="191">
        <f>SUM(L4:L47)</f>
        <v>710403.36</v>
      </c>
      <c r="M48" s="191"/>
      <c r="N48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39"/>
  <sheetViews>
    <sheetView tabSelected="1" workbookViewId="0">
      <pane ySplit="2" topLeftCell="A15" activePane="bottomLeft" state="frozen"/>
      <selection pane="bottomLeft" activeCell="M35" sqref="M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2.5703125" bestFit="1" customWidth="1"/>
  </cols>
  <sheetData>
    <row r="1" spans="1:15" ht="15.75" customHeight="1">
      <c r="A1" s="427" t="s">
        <v>64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59"/>
    </row>
    <row r="2" spans="1:15" ht="30">
      <c r="A2" s="60" t="s">
        <v>96</v>
      </c>
      <c r="B2" s="61" t="s">
        <v>97</v>
      </c>
      <c r="C2" s="61" t="s">
        <v>98</v>
      </c>
      <c r="D2" s="61" t="s">
        <v>99</v>
      </c>
      <c r="E2" s="61" t="s">
        <v>100</v>
      </c>
      <c r="F2" s="61" t="s">
        <v>101</v>
      </c>
      <c r="G2" s="61" t="s">
        <v>102</v>
      </c>
      <c r="H2" s="61" t="s">
        <v>103</v>
      </c>
      <c r="I2" s="61" t="s">
        <v>101</v>
      </c>
      <c r="J2" s="62" t="s">
        <v>102</v>
      </c>
      <c r="K2" s="63" t="s">
        <v>104</v>
      </c>
      <c r="L2" s="64" t="s">
        <v>105</v>
      </c>
      <c r="M2" s="123" t="s">
        <v>110</v>
      </c>
      <c r="N2" s="107" t="s">
        <v>107</v>
      </c>
      <c r="O2" s="65"/>
    </row>
    <row r="3" spans="1:15">
      <c r="A3" s="139" t="s">
        <v>108</v>
      </c>
      <c r="B3" s="140"/>
      <c r="C3" s="140"/>
      <c r="D3" s="140"/>
      <c r="E3" s="140"/>
      <c r="F3" s="140"/>
      <c r="G3" s="140"/>
      <c r="H3" s="140"/>
      <c r="I3" s="140"/>
      <c r="J3" s="140"/>
      <c r="K3" s="283">
        <v>108480.64999999991</v>
      </c>
      <c r="L3" s="141"/>
      <c r="M3" s="284">
        <v>108480.64999999991</v>
      </c>
      <c r="N3" s="17"/>
      <c r="O3" s="65">
        <v>1194596.9738</v>
      </c>
    </row>
    <row r="4" spans="1:15">
      <c r="A4" s="50">
        <v>1</v>
      </c>
      <c r="B4" s="213">
        <v>45931</v>
      </c>
      <c r="C4" s="10">
        <v>0</v>
      </c>
      <c r="D4" s="18"/>
      <c r="E4" s="8">
        <v>0</v>
      </c>
      <c r="F4" s="8">
        <v>0</v>
      </c>
      <c r="G4" s="16">
        <f>E4*F4</f>
        <v>0</v>
      </c>
      <c r="H4" s="7">
        <v>0</v>
      </c>
      <c r="I4" s="7">
        <v>0</v>
      </c>
      <c r="J4" s="21">
        <f>H4*I4</f>
        <v>0</v>
      </c>
      <c r="K4" s="8">
        <f>G4+J4</f>
        <v>0</v>
      </c>
      <c r="L4" s="8"/>
      <c r="M4" s="8">
        <f t="shared" ref="M4:M16" si="0">M3+K4-L4</f>
        <v>108480.64999999991</v>
      </c>
      <c r="N4" s="19"/>
      <c r="O4" s="1"/>
    </row>
    <row r="5" spans="1:15">
      <c r="A5" s="50">
        <v>2</v>
      </c>
      <c r="B5" s="213">
        <v>45932</v>
      </c>
      <c r="C5" s="10">
        <v>0</v>
      </c>
      <c r="D5" s="18"/>
      <c r="E5" s="8">
        <v>0</v>
      </c>
      <c r="F5" s="8">
        <v>0</v>
      </c>
      <c r="G5" s="16">
        <f t="shared" ref="G5" si="1">E5*F5</f>
        <v>0</v>
      </c>
      <c r="H5" s="7">
        <v>0</v>
      </c>
      <c r="I5" s="7">
        <v>0</v>
      </c>
      <c r="J5" s="21">
        <f t="shared" ref="J5" si="2">H5*I5</f>
        <v>0</v>
      </c>
      <c r="K5" s="8">
        <f t="shared" ref="K5" si="3">G5+J5</f>
        <v>0</v>
      </c>
      <c r="L5" s="8"/>
      <c r="M5" s="8">
        <f t="shared" si="0"/>
        <v>108480.64999999991</v>
      </c>
      <c r="N5" s="8"/>
      <c r="O5" s="1"/>
    </row>
    <row r="6" spans="1:15">
      <c r="A6" s="50">
        <v>3</v>
      </c>
      <c r="B6" s="213">
        <v>45933</v>
      </c>
      <c r="C6" s="10">
        <v>0</v>
      </c>
      <c r="D6" s="18"/>
      <c r="E6" s="8">
        <v>0</v>
      </c>
      <c r="F6" s="8">
        <v>0</v>
      </c>
      <c r="G6" s="16">
        <f t="shared" ref="G6:G7" si="4">E6*F6</f>
        <v>0</v>
      </c>
      <c r="H6" s="7">
        <v>0</v>
      </c>
      <c r="I6" s="7">
        <v>0</v>
      </c>
      <c r="J6" s="21">
        <f t="shared" ref="J6:J7" si="5">H6*I6</f>
        <v>0</v>
      </c>
      <c r="K6" s="8">
        <f t="shared" ref="K6:K7" si="6">G6+J6</f>
        <v>0</v>
      </c>
      <c r="L6" s="8"/>
      <c r="M6" s="8">
        <f t="shared" si="0"/>
        <v>108480.64999999991</v>
      </c>
      <c r="N6" s="8"/>
      <c r="O6" s="1"/>
    </row>
    <row r="7" spans="1:15">
      <c r="A7" s="50">
        <v>4</v>
      </c>
      <c r="B7" s="213">
        <v>45934</v>
      </c>
      <c r="C7" s="10">
        <v>0</v>
      </c>
      <c r="D7" s="18"/>
      <c r="E7" s="8">
        <v>0</v>
      </c>
      <c r="F7" s="8">
        <v>0</v>
      </c>
      <c r="G7" s="16">
        <f t="shared" si="4"/>
        <v>0</v>
      </c>
      <c r="H7" s="7">
        <v>0</v>
      </c>
      <c r="I7" s="7">
        <v>0</v>
      </c>
      <c r="J7" s="21">
        <f t="shared" si="5"/>
        <v>0</v>
      </c>
      <c r="K7" s="8">
        <f t="shared" si="6"/>
        <v>0</v>
      </c>
      <c r="L7" s="8"/>
      <c r="M7" s="8">
        <f t="shared" si="0"/>
        <v>108480.64999999991</v>
      </c>
      <c r="N7" s="8"/>
      <c r="O7" s="1"/>
    </row>
    <row r="8" spans="1:15">
      <c r="A8" s="50">
        <v>5</v>
      </c>
      <c r="B8" s="213">
        <v>45935</v>
      </c>
      <c r="C8" s="10">
        <v>0</v>
      </c>
      <c r="D8" s="18"/>
      <c r="E8" s="8">
        <v>0</v>
      </c>
      <c r="F8" s="8">
        <v>0</v>
      </c>
      <c r="G8" s="16">
        <f t="shared" ref="G8:G35" si="7">E8*F8</f>
        <v>0</v>
      </c>
      <c r="H8" s="7">
        <v>0</v>
      </c>
      <c r="I8" s="7">
        <v>0</v>
      </c>
      <c r="J8" s="21">
        <f t="shared" ref="J8:J35" si="8">H8*I8</f>
        <v>0</v>
      </c>
      <c r="K8" s="8">
        <f t="shared" ref="K8:K35" si="9">G8+J8</f>
        <v>0</v>
      </c>
      <c r="L8" s="8"/>
      <c r="M8" s="8">
        <f t="shared" si="0"/>
        <v>108480.64999999991</v>
      </c>
      <c r="N8" s="8"/>
      <c r="O8" s="1"/>
    </row>
    <row r="9" spans="1:15">
      <c r="A9" s="50">
        <v>6</v>
      </c>
      <c r="B9" s="213">
        <v>45936</v>
      </c>
      <c r="C9" s="10">
        <v>0</v>
      </c>
      <c r="D9" s="18"/>
      <c r="E9" s="8">
        <v>0</v>
      </c>
      <c r="F9" s="8">
        <v>0</v>
      </c>
      <c r="G9" s="16">
        <f t="shared" ref="G9:G34" si="10">E9*F9</f>
        <v>0</v>
      </c>
      <c r="H9" s="7">
        <v>0</v>
      </c>
      <c r="I9" s="7">
        <v>0</v>
      </c>
      <c r="J9" s="21">
        <f t="shared" ref="J9:J34" si="11">H9*I9</f>
        <v>0</v>
      </c>
      <c r="K9" s="8">
        <f t="shared" ref="K9:K34" si="12">G9+J9</f>
        <v>0</v>
      </c>
      <c r="L9" s="8"/>
      <c r="M9" s="8">
        <f t="shared" si="0"/>
        <v>108480.64999999991</v>
      </c>
      <c r="N9" s="8"/>
      <c r="O9" s="1"/>
    </row>
    <row r="10" spans="1:15">
      <c r="A10" s="50">
        <v>7</v>
      </c>
      <c r="B10" s="213">
        <v>45937</v>
      </c>
      <c r="C10" s="10">
        <v>0</v>
      </c>
      <c r="D10" s="18"/>
      <c r="E10" s="8">
        <v>0</v>
      </c>
      <c r="F10" s="8">
        <v>0</v>
      </c>
      <c r="G10" s="16">
        <f t="shared" si="10"/>
        <v>0</v>
      </c>
      <c r="H10" s="7">
        <v>0</v>
      </c>
      <c r="I10" s="7">
        <v>0</v>
      </c>
      <c r="J10" s="21">
        <f t="shared" si="11"/>
        <v>0</v>
      </c>
      <c r="K10" s="8">
        <f t="shared" si="12"/>
        <v>0</v>
      </c>
      <c r="L10" s="8"/>
      <c r="M10" s="8">
        <f t="shared" si="0"/>
        <v>108480.64999999991</v>
      </c>
      <c r="N10" s="8"/>
      <c r="O10" s="1"/>
    </row>
    <row r="11" spans="1:15">
      <c r="A11" s="50">
        <v>8</v>
      </c>
      <c r="B11" s="213">
        <v>45938</v>
      </c>
      <c r="C11" s="10">
        <v>0</v>
      </c>
      <c r="D11" s="18"/>
      <c r="E11" s="8">
        <v>0</v>
      </c>
      <c r="F11" s="8">
        <v>0</v>
      </c>
      <c r="G11" s="16">
        <f t="shared" si="10"/>
        <v>0</v>
      </c>
      <c r="H11" s="7">
        <v>0</v>
      </c>
      <c r="I11" s="7">
        <v>0</v>
      </c>
      <c r="J11" s="21">
        <f t="shared" si="11"/>
        <v>0</v>
      </c>
      <c r="K11" s="8">
        <f t="shared" si="12"/>
        <v>0</v>
      </c>
      <c r="L11" s="8"/>
      <c r="M11" s="8">
        <f t="shared" si="0"/>
        <v>108480.64999999991</v>
      </c>
      <c r="N11" s="8"/>
      <c r="O11" s="1"/>
    </row>
    <row r="12" spans="1:15">
      <c r="A12" s="50">
        <v>9</v>
      </c>
      <c r="B12" s="213">
        <v>45939</v>
      </c>
      <c r="C12" s="10">
        <v>0</v>
      </c>
      <c r="D12" s="18"/>
      <c r="E12" s="8">
        <v>0</v>
      </c>
      <c r="F12" s="8">
        <v>0</v>
      </c>
      <c r="G12" s="16">
        <f t="shared" si="10"/>
        <v>0</v>
      </c>
      <c r="H12" s="7">
        <v>0</v>
      </c>
      <c r="I12" s="7">
        <v>0</v>
      </c>
      <c r="J12" s="21">
        <f t="shared" si="11"/>
        <v>0</v>
      </c>
      <c r="K12" s="8">
        <f t="shared" si="12"/>
        <v>0</v>
      </c>
      <c r="L12" s="8"/>
      <c r="M12" s="8">
        <f t="shared" si="0"/>
        <v>108480.64999999991</v>
      </c>
      <c r="N12" s="8"/>
      <c r="O12" s="1"/>
    </row>
    <row r="13" spans="1:15">
      <c r="A13" s="50">
        <v>10</v>
      </c>
      <c r="B13" s="213">
        <v>45940</v>
      </c>
      <c r="C13" s="10">
        <v>0</v>
      </c>
      <c r="D13" s="18"/>
      <c r="E13" s="8">
        <v>0</v>
      </c>
      <c r="F13" s="8">
        <v>0</v>
      </c>
      <c r="G13" s="16">
        <f t="shared" si="10"/>
        <v>0</v>
      </c>
      <c r="H13" s="7">
        <v>0</v>
      </c>
      <c r="I13" s="7">
        <v>0</v>
      </c>
      <c r="J13" s="21">
        <f t="shared" si="11"/>
        <v>0</v>
      </c>
      <c r="K13" s="8">
        <f t="shared" si="12"/>
        <v>0</v>
      </c>
      <c r="L13" s="8"/>
      <c r="M13" s="192">
        <f t="shared" si="0"/>
        <v>108480.64999999991</v>
      </c>
      <c r="N13" s="8"/>
      <c r="O13" s="1"/>
    </row>
    <row r="14" spans="1:15">
      <c r="A14" s="50">
        <v>11</v>
      </c>
      <c r="B14" s="213">
        <v>45941</v>
      </c>
      <c r="C14" s="10">
        <v>0</v>
      </c>
      <c r="D14" s="18"/>
      <c r="E14" s="8">
        <v>600</v>
      </c>
      <c r="F14" s="8">
        <v>91.14</v>
      </c>
      <c r="G14" s="16">
        <f t="shared" si="10"/>
        <v>54684</v>
      </c>
      <c r="H14" s="7">
        <v>10</v>
      </c>
      <c r="I14" s="7">
        <v>104.6</v>
      </c>
      <c r="J14" s="21">
        <f t="shared" si="11"/>
        <v>1046</v>
      </c>
      <c r="K14" s="8">
        <f t="shared" si="12"/>
        <v>55730</v>
      </c>
      <c r="L14" s="8"/>
      <c r="M14" s="8">
        <f t="shared" si="0"/>
        <v>164210.64999999991</v>
      </c>
      <c r="N14" s="203"/>
      <c r="O14" s="1"/>
    </row>
    <row r="15" spans="1:15">
      <c r="A15" s="50">
        <v>12</v>
      </c>
      <c r="B15" s="213">
        <v>45942</v>
      </c>
      <c r="C15" s="10">
        <v>0</v>
      </c>
      <c r="D15" s="18"/>
      <c r="E15" s="8">
        <v>0</v>
      </c>
      <c r="F15" s="8">
        <v>0</v>
      </c>
      <c r="G15" s="16">
        <f t="shared" si="10"/>
        <v>0</v>
      </c>
      <c r="H15" s="7">
        <v>0</v>
      </c>
      <c r="I15" s="7">
        <v>0</v>
      </c>
      <c r="J15" s="21">
        <f t="shared" si="11"/>
        <v>0</v>
      </c>
      <c r="K15" s="8">
        <f t="shared" si="12"/>
        <v>0</v>
      </c>
      <c r="L15" s="8"/>
      <c r="M15" s="8">
        <f t="shared" si="0"/>
        <v>164210.64999999991</v>
      </c>
      <c r="N15" s="203"/>
      <c r="O15" s="1"/>
    </row>
    <row r="16" spans="1:15">
      <c r="A16" s="50">
        <v>13</v>
      </c>
      <c r="B16" s="213">
        <v>45943</v>
      </c>
      <c r="C16" s="10">
        <v>0</v>
      </c>
      <c r="D16" s="18"/>
      <c r="E16" s="8">
        <v>0</v>
      </c>
      <c r="F16" s="8">
        <v>0</v>
      </c>
      <c r="G16" s="16">
        <f t="shared" si="10"/>
        <v>0</v>
      </c>
      <c r="H16" s="7">
        <v>0</v>
      </c>
      <c r="I16" s="7">
        <v>0</v>
      </c>
      <c r="J16" s="21">
        <f t="shared" si="11"/>
        <v>0</v>
      </c>
      <c r="K16" s="8">
        <f t="shared" si="12"/>
        <v>0</v>
      </c>
      <c r="L16" s="8"/>
      <c r="M16" s="8">
        <f t="shared" si="0"/>
        <v>164210.64999999991</v>
      </c>
      <c r="N16" s="203"/>
      <c r="O16" s="1"/>
    </row>
    <row r="17" spans="1:15">
      <c r="A17" s="50">
        <v>14</v>
      </c>
      <c r="B17" s="213">
        <v>45944</v>
      </c>
      <c r="C17" s="10">
        <v>0</v>
      </c>
      <c r="D17" s="18"/>
      <c r="E17" s="8">
        <v>0</v>
      </c>
      <c r="F17" s="8">
        <v>0</v>
      </c>
      <c r="G17" s="16">
        <f t="shared" si="10"/>
        <v>0</v>
      </c>
      <c r="H17" s="7">
        <v>0</v>
      </c>
      <c r="I17" s="7">
        <v>0</v>
      </c>
      <c r="J17" s="21">
        <f t="shared" si="11"/>
        <v>0</v>
      </c>
      <c r="K17" s="8">
        <f t="shared" si="12"/>
        <v>0</v>
      </c>
      <c r="L17" s="8"/>
      <c r="M17" s="8">
        <f t="shared" ref="M17:M35" si="13">M16+K17-L17</f>
        <v>164210.64999999991</v>
      </c>
      <c r="N17" s="203"/>
      <c r="O17" s="1"/>
    </row>
    <row r="18" spans="1:15">
      <c r="A18" s="50">
        <v>15</v>
      </c>
      <c r="B18" s="213">
        <v>45945</v>
      </c>
      <c r="C18" s="10">
        <v>0</v>
      </c>
      <c r="D18" s="18"/>
      <c r="E18" s="8">
        <v>0</v>
      </c>
      <c r="F18" s="8">
        <v>0</v>
      </c>
      <c r="G18" s="16">
        <f t="shared" si="10"/>
        <v>0</v>
      </c>
      <c r="H18" s="7">
        <v>0</v>
      </c>
      <c r="I18" s="7">
        <v>0</v>
      </c>
      <c r="J18" s="21">
        <f t="shared" si="11"/>
        <v>0</v>
      </c>
      <c r="K18" s="8">
        <f t="shared" si="12"/>
        <v>0</v>
      </c>
      <c r="L18" s="8"/>
      <c r="M18" s="8">
        <f t="shared" si="13"/>
        <v>164210.64999999991</v>
      </c>
      <c r="N18" s="203"/>
      <c r="O18" s="1"/>
    </row>
    <row r="19" spans="1:15">
      <c r="A19" s="50">
        <v>16</v>
      </c>
      <c r="B19" s="213">
        <v>45946</v>
      </c>
      <c r="C19" s="10">
        <v>0</v>
      </c>
      <c r="D19" s="18"/>
      <c r="E19" s="8">
        <v>0</v>
      </c>
      <c r="F19" s="8">
        <v>0</v>
      </c>
      <c r="G19" s="16">
        <f t="shared" si="10"/>
        <v>0</v>
      </c>
      <c r="H19" s="7">
        <v>0</v>
      </c>
      <c r="I19" s="7">
        <v>0</v>
      </c>
      <c r="J19" s="21">
        <f t="shared" si="11"/>
        <v>0</v>
      </c>
      <c r="K19" s="8">
        <f t="shared" si="12"/>
        <v>0</v>
      </c>
      <c r="L19" s="8"/>
      <c r="M19" s="8">
        <f t="shared" si="13"/>
        <v>164210.64999999991</v>
      </c>
      <c r="N19" s="203"/>
      <c r="O19" s="1"/>
    </row>
    <row r="20" spans="1:15">
      <c r="A20" s="50">
        <v>17</v>
      </c>
      <c r="B20" s="213">
        <v>45947</v>
      </c>
      <c r="C20" s="10">
        <v>0</v>
      </c>
      <c r="D20" s="18"/>
      <c r="E20" s="8">
        <v>1200</v>
      </c>
      <c r="F20" s="8">
        <v>91.14</v>
      </c>
      <c r="G20" s="16">
        <f t="shared" si="10"/>
        <v>109368</v>
      </c>
      <c r="H20" s="7">
        <v>30</v>
      </c>
      <c r="I20" s="7">
        <v>104.6</v>
      </c>
      <c r="J20" s="21">
        <f t="shared" si="11"/>
        <v>3138</v>
      </c>
      <c r="K20" s="8">
        <f t="shared" si="12"/>
        <v>112506</v>
      </c>
      <c r="L20" s="8"/>
      <c r="M20" s="8">
        <f t="shared" si="13"/>
        <v>276716.64999999991</v>
      </c>
      <c r="N20" s="203"/>
      <c r="O20" s="1"/>
    </row>
    <row r="21" spans="1:15">
      <c r="A21" s="50">
        <v>18</v>
      </c>
      <c r="B21" s="213">
        <v>45948</v>
      </c>
      <c r="C21" s="10">
        <v>0</v>
      </c>
      <c r="D21" s="18"/>
      <c r="E21" s="8">
        <v>0</v>
      </c>
      <c r="F21" s="8">
        <v>0</v>
      </c>
      <c r="G21" s="16">
        <f t="shared" si="10"/>
        <v>0</v>
      </c>
      <c r="H21" s="7">
        <v>0</v>
      </c>
      <c r="I21" s="7">
        <v>0</v>
      </c>
      <c r="J21" s="21">
        <f t="shared" si="11"/>
        <v>0</v>
      </c>
      <c r="K21" s="8">
        <f t="shared" si="12"/>
        <v>0</v>
      </c>
      <c r="L21" s="8"/>
      <c r="M21" s="8">
        <f t="shared" si="13"/>
        <v>276716.64999999991</v>
      </c>
      <c r="N21" s="203"/>
      <c r="O21" s="1"/>
    </row>
    <row r="22" spans="1:15">
      <c r="A22" s="50">
        <v>19</v>
      </c>
      <c r="B22" s="213">
        <v>45949</v>
      </c>
      <c r="C22" s="10">
        <v>0</v>
      </c>
      <c r="D22" s="18"/>
      <c r="E22" s="8">
        <v>0</v>
      </c>
      <c r="F22" s="8">
        <v>0</v>
      </c>
      <c r="G22" s="16">
        <f t="shared" si="10"/>
        <v>0</v>
      </c>
      <c r="H22" s="7">
        <v>0</v>
      </c>
      <c r="I22" s="7">
        <v>0</v>
      </c>
      <c r="J22" s="21">
        <f t="shared" si="11"/>
        <v>0</v>
      </c>
      <c r="K22" s="8">
        <f t="shared" si="12"/>
        <v>0</v>
      </c>
      <c r="L22" s="8"/>
      <c r="M22" s="8">
        <f t="shared" si="13"/>
        <v>276716.64999999991</v>
      </c>
      <c r="N22" s="203"/>
      <c r="O22" s="1"/>
    </row>
    <row r="23" spans="1:15">
      <c r="A23" s="50">
        <v>20</v>
      </c>
      <c r="B23" s="213">
        <v>45950</v>
      </c>
      <c r="C23" s="10">
        <v>0</v>
      </c>
      <c r="D23" s="18"/>
      <c r="E23" s="8">
        <v>0</v>
      </c>
      <c r="F23" s="8">
        <v>0</v>
      </c>
      <c r="G23" s="16">
        <f t="shared" si="10"/>
        <v>0</v>
      </c>
      <c r="H23" s="7">
        <v>0</v>
      </c>
      <c r="I23" s="7">
        <v>0</v>
      </c>
      <c r="J23" s="21">
        <f t="shared" si="11"/>
        <v>0</v>
      </c>
      <c r="K23" s="8">
        <f t="shared" si="12"/>
        <v>0</v>
      </c>
      <c r="L23" s="8"/>
      <c r="M23" s="8">
        <f t="shared" si="13"/>
        <v>276716.64999999991</v>
      </c>
      <c r="N23" s="203"/>
      <c r="O23" s="1"/>
    </row>
    <row r="24" spans="1:15">
      <c r="A24" s="50">
        <v>21</v>
      </c>
      <c r="B24" s="213">
        <v>45951</v>
      </c>
      <c r="C24" s="10">
        <v>0</v>
      </c>
      <c r="D24" s="18"/>
      <c r="E24" s="8">
        <v>0</v>
      </c>
      <c r="F24" s="8">
        <v>0</v>
      </c>
      <c r="G24" s="16">
        <f t="shared" si="10"/>
        <v>0</v>
      </c>
      <c r="H24" s="7">
        <v>0</v>
      </c>
      <c r="I24" s="7">
        <v>0</v>
      </c>
      <c r="J24" s="21">
        <f t="shared" si="11"/>
        <v>0</v>
      </c>
      <c r="K24" s="8">
        <f t="shared" si="12"/>
        <v>0</v>
      </c>
      <c r="L24" s="8"/>
      <c r="M24" s="8">
        <f t="shared" si="13"/>
        <v>276716.64999999991</v>
      </c>
      <c r="N24" s="203"/>
      <c r="O24" s="1"/>
    </row>
    <row r="25" spans="1:15">
      <c r="A25" s="50">
        <v>22</v>
      </c>
      <c r="B25" s="213">
        <v>45952</v>
      </c>
      <c r="C25" s="10">
        <v>0</v>
      </c>
      <c r="D25" s="18"/>
      <c r="E25" s="8">
        <v>0</v>
      </c>
      <c r="F25" s="8">
        <v>0</v>
      </c>
      <c r="G25" s="16">
        <f t="shared" si="10"/>
        <v>0</v>
      </c>
      <c r="H25" s="7">
        <v>0</v>
      </c>
      <c r="I25" s="7">
        <v>0</v>
      </c>
      <c r="J25" s="21">
        <f t="shared" si="11"/>
        <v>0</v>
      </c>
      <c r="K25" s="8">
        <f t="shared" si="12"/>
        <v>0</v>
      </c>
      <c r="L25" s="8"/>
      <c r="M25" s="8">
        <f t="shared" si="13"/>
        <v>276716.64999999991</v>
      </c>
      <c r="N25" s="203"/>
      <c r="O25" s="1"/>
    </row>
    <row r="26" spans="1:15">
      <c r="A26" s="50">
        <v>23</v>
      </c>
      <c r="B26" s="213">
        <v>45953</v>
      </c>
      <c r="C26" s="10">
        <v>0</v>
      </c>
      <c r="D26" s="18"/>
      <c r="E26" s="8">
        <v>0</v>
      </c>
      <c r="F26" s="8">
        <v>0</v>
      </c>
      <c r="G26" s="16">
        <f t="shared" si="10"/>
        <v>0</v>
      </c>
      <c r="H26" s="7">
        <v>0</v>
      </c>
      <c r="I26" s="7">
        <v>0</v>
      </c>
      <c r="J26" s="21">
        <f t="shared" si="11"/>
        <v>0</v>
      </c>
      <c r="K26" s="8">
        <f t="shared" si="12"/>
        <v>0</v>
      </c>
      <c r="L26" s="8"/>
      <c r="M26" s="8">
        <f t="shared" si="13"/>
        <v>276716.64999999991</v>
      </c>
      <c r="N26" s="203"/>
      <c r="O26" s="1"/>
    </row>
    <row r="27" spans="1:15">
      <c r="A27" s="50">
        <v>24</v>
      </c>
      <c r="B27" s="213">
        <v>45954</v>
      </c>
      <c r="C27" s="10">
        <v>0</v>
      </c>
      <c r="D27" s="18"/>
      <c r="E27" s="8">
        <v>0</v>
      </c>
      <c r="F27" s="8">
        <v>0</v>
      </c>
      <c r="G27" s="16">
        <f t="shared" si="10"/>
        <v>0</v>
      </c>
      <c r="H27" s="7">
        <v>0</v>
      </c>
      <c r="I27" s="7">
        <v>0</v>
      </c>
      <c r="J27" s="21">
        <f t="shared" si="11"/>
        <v>0</v>
      </c>
      <c r="K27" s="8">
        <f t="shared" si="12"/>
        <v>0</v>
      </c>
      <c r="L27" s="8"/>
      <c r="M27" s="8">
        <f t="shared" si="13"/>
        <v>276716.64999999991</v>
      </c>
      <c r="N27" s="203"/>
      <c r="O27" s="1"/>
    </row>
    <row r="28" spans="1:15">
      <c r="A28" s="50">
        <v>25</v>
      </c>
      <c r="B28" s="213">
        <v>45955</v>
      </c>
      <c r="C28" s="10">
        <v>0</v>
      </c>
      <c r="D28" s="18"/>
      <c r="E28" s="8">
        <v>0</v>
      </c>
      <c r="F28" s="8">
        <v>0</v>
      </c>
      <c r="G28" s="16">
        <f t="shared" si="10"/>
        <v>0</v>
      </c>
      <c r="H28" s="7">
        <v>0</v>
      </c>
      <c r="I28" s="7">
        <v>0</v>
      </c>
      <c r="J28" s="21">
        <f t="shared" si="11"/>
        <v>0</v>
      </c>
      <c r="K28" s="8">
        <f t="shared" si="12"/>
        <v>0</v>
      </c>
      <c r="L28" s="8"/>
      <c r="M28" s="8">
        <f t="shared" si="13"/>
        <v>276716.64999999991</v>
      </c>
      <c r="N28" s="203"/>
      <c r="O28" s="1"/>
    </row>
    <row r="29" spans="1:15">
      <c r="A29" s="50">
        <v>26</v>
      </c>
      <c r="B29" s="213">
        <v>45956</v>
      </c>
      <c r="C29" s="10">
        <v>0</v>
      </c>
      <c r="D29" s="18"/>
      <c r="E29" s="8">
        <v>0</v>
      </c>
      <c r="F29" s="8">
        <v>0</v>
      </c>
      <c r="G29" s="16">
        <f t="shared" si="10"/>
        <v>0</v>
      </c>
      <c r="H29" s="7">
        <v>0</v>
      </c>
      <c r="I29" s="7">
        <v>0</v>
      </c>
      <c r="J29" s="21">
        <f t="shared" si="11"/>
        <v>0</v>
      </c>
      <c r="K29" s="8">
        <f t="shared" si="12"/>
        <v>0</v>
      </c>
      <c r="L29" s="8"/>
      <c r="M29" s="8">
        <f t="shared" si="13"/>
        <v>276716.64999999991</v>
      </c>
      <c r="N29" s="203"/>
      <c r="O29" s="1"/>
    </row>
    <row r="30" spans="1:15">
      <c r="A30" s="50">
        <v>27</v>
      </c>
      <c r="B30" s="213">
        <v>45957</v>
      </c>
      <c r="C30" s="10">
        <v>0</v>
      </c>
      <c r="D30" s="18"/>
      <c r="E30" s="8">
        <v>0</v>
      </c>
      <c r="F30" s="8">
        <v>0</v>
      </c>
      <c r="G30" s="16">
        <f t="shared" si="10"/>
        <v>0</v>
      </c>
      <c r="H30" s="7">
        <v>0</v>
      </c>
      <c r="I30" s="7">
        <v>0</v>
      </c>
      <c r="J30" s="21">
        <f t="shared" si="11"/>
        <v>0</v>
      </c>
      <c r="K30" s="8">
        <f t="shared" si="12"/>
        <v>0</v>
      </c>
      <c r="L30" s="8"/>
      <c r="M30" s="8">
        <f t="shared" si="13"/>
        <v>276716.64999999991</v>
      </c>
      <c r="N30" s="203"/>
      <c r="O30" s="1"/>
    </row>
    <row r="31" spans="1:15">
      <c r="A31" s="50">
        <v>28</v>
      </c>
      <c r="B31" s="213">
        <v>45958</v>
      </c>
      <c r="C31" s="10">
        <v>0</v>
      </c>
      <c r="D31" s="18"/>
      <c r="E31" s="8">
        <v>0</v>
      </c>
      <c r="F31" s="8">
        <v>0</v>
      </c>
      <c r="G31" s="16">
        <f t="shared" si="10"/>
        <v>0</v>
      </c>
      <c r="H31" s="7">
        <v>0</v>
      </c>
      <c r="I31" s="7">
        <v>0</v>
      </c>
      <c r="J31" s="21">
        <f t="shared" si="11"/>
        <v>0</v>
      </c>
      <c r="K31" s="8">
        <f t="shared" si="12"/>
        <v>0</v>
      </c>
      <c r="L31" s="8"/>
      <c r="M31" s="8">
        <f t="shared" si="13"/>
        <v>276716.64999999991</v>
      </c>
      <c r="N31" s="203"/>
      <c r="O31" s="1"/>
    </row>
    <row r="32" spans="1:15">
      <c r="A32" s="50">
        <v>29</v>
      </c>
      <c r="B32" s="213">
        <v>45959</v>
      </c>
      <c r="C32" s="10">
        <v>0</v>
      </c>
      <c r="D32" s="18"/>
      <c r="E32" s="8">
        <v>0</v>
      </c>
      <c r="F32" s="8">
        <v>0</v>
      </c>
      <c r="G32" s="16">
        <f t="shared" si="10"/>
        <v>0</v>
      </c>
      <c r="H32" s="7">
        <v>0</v>
      </c>
      <c r="I32" s="7">
        <v>0</v>
      </c>
      <c r="J32" s="21">
        <f t="shared" si="11"/>
        <v>0</v>
      </c>
      <c r="K32" s="8">
        <f t="shared" si="12"/>
        <v>0</v>
      </c>
      <c r="L32" s="8"/>
      <c r="M32" s="8">
        <f t="shared" si="13"/>
        <v>276716.64999999991</v>
      </c>
      <c r="N32" s="203"/>
      <c r="O32" s="1"/>
    </row>
    <row r="33" spans="1:17">
      <c r="A33" s="50">
        <v>30</v>
      </c>
      <c r="B33" s="213">
        <v>45960</v>
      </c>
      <c r="C33" s="10">
        <v>0</v>
      </c>
      <c r="D33" s="18"/>
      <c r="E33" s="8">
        <v>0</v>
      </c>
      <c r="F33" s="8">
        <v>0</v>
      </c>
      <c r="G33" s="16">
        <f t="shared" si="10"/>
        <v>0</v>
      </c>
      <c r="H33" s="7">
        <v>0</v>
      </c>
      <c r="I33" s="7">
        <v>0</v>
      </c>
      <c r="J33" s="21">
        <f t="shared" si="11"/>
        <v>0</v>
      </c>
      <c r="K33" s="8">
        <f t="shared" si="12"/>
        <v>0</v>
      </c>
      <c r="L33" s="8"/>
      <c r="M33" s="8">
        <f t="shared" si="13"/>
        <v>276716.64999999991</v>
      </c>
      <c r="N33" s="203"/>
      <c r="O33" s="1"/>
    </row>
    <row r="34" spans="1:17">
      <c r="A34" s="50">
        <v>31</v>
      </c>
      <c r="B34" s="213"/>
      <c r="C34" s="265">
        <v>0</v>
      </c>
      <c r="D34" s="266"/>
      <c r="E34" s="8">
        <v>0</v>
      </c>
      <c r="F34" s="8">
        <v>0</v>
      </c>
      <c r="G34" s="16">
        <f t="shared" si="10"/>
        <v>0</v>
      </c>
      <c r="H34" s="7">
        <v>0</v>
      </c>
      <c r="I34" s="7">
        <v>0</v>
      </c>
      <c r="J34" s="21">
        <f t="shared" si="11"/>
        <v>0</v>
      </c>
      <c r="K34" s="8">
        <f t="shared" si="12"/>
        <v>0</v>
      </c>
      <c r="L34" s="8"/>
      <c r="M34" s="8">
        <f t="shared" si="13"/>
        <v>276716.64999999991</v>
      </c>
      <c r="N34" s="203"/>
      <c r="O34" s="1"/>
    </row>
    <row r="35" spans="1:17">
      <c r="A35" s="50">
        <v>32</v>
      </c>
      <c r="B35" s="213"/>
      <c r="C35" s="25"/>
      <c r="D35" s="18"/>
      <c r="E35" s="8">
        <v>0</v>
      </c>
      <c r="F35" s="8">
        <v>0</v>
      </c>
      <c r="G35" s="16">
        <f t="shared" si="7"/>
        <v>0</v>
      </c>
      <c r="H35" s="7">
        <v>0</v>
      </c>
      <c r="I35" s="7">
        <v>0</v>
      </c>
      <c r="J35" s="21">
        <f t="shared" si="8"/>
        <v>0</v>
      </c>
      <c r="K35" s="8">
        <f t="shared" si="9"/>
        <v>0</v>
      </c>
      <c r="L35" s="8"/>
      <c r="M35" s="8">
        <f t="shared" si="13"/>
        <v>276716.64999999991</v>
      </c>
      <c r="N35" s="203"/>
      <c r="O35" s="1"/>
      <c r="P35">
        <v>1194597.71</v>
      </c>
      <c r="Q35" s="330">
        <f>P35-M35</f>
        <v>917881.06</v>
      </c>
    </row>
    <row r="36" spans="1:17">
      <c r="A36" s="168"/>
      <c r="B36" s="168"/>
      <c r="C36" s="168"/>
      <c r="D36" s="168"/>
      <c r="E36" s="169">
        <f>SUM(E4:E35)</f>
        <v>1800</v>
      </c>
      <c r="F36" s="169"/>
      <c r="G36" s="169">
        <f>SUM(G4:G35)</f>
        <v>164052</v>
      </c>
      <c r="H36" s="169">
        <f>SUM(H4:H35)</f>
        <v>40</v>
      </c>
      <c r="I36" s="169"/>
      <c r="J36" s="169">
        <f>SUM(J4:J35)</f>
        <v>4184</v>
      </c>
      <c r="K36" s="169">
        <f>SUM(K4:K35)</f>
        <v>168236</v>
      </c>
      <c r="L36" s="169">
        <f>SUM(L4:L35)</f>
        <v>0</v>
      </c>
      <c r="M36" s="169"/>
      <c r="N36" s="69"/>
      <c r="O36" s="65"/>
    </row>
    <row r="37" spans="1:17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7">
      <c r="A38" s="1"/>
      <c r="B38" s="426"/>
      <c r="C38" s="426"/>
      <c r="D38" s="426"/>
      <c r="E38" s="426"/>
      <c r="F38" s="1"/>
      <c r="G38" s="1"/>
      <c r="H38" s="1"/>
      <c r="I38" s="426"/>
      <c r="J38" s="426"/>
      <c r="K38" s="426"/>
      <c r="L38" s="426"/>
      <c r="M38" s="426"/>
      <c r="N38" s="426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workbookViewId="0">
      <selection activeCell="G45" sqref="G45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27" t="s">
        <v>74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6" ht="30">
      <c r="A2" s="104" t="s">
        <v>96</v>
      </c>
      <c r="B2" s="105" t="s">
        <v>97</v>
      </c>
      <c r="C2" s="105" t="s">
        <v>98</v>
      </c>
      <c r="D2" s="105" t="s">
        <v>99</v>
      </c>
      <c r="E2" s="105" t="s">
        <v>100</v>
      </c>
      <c r="F2" s="105" t="s">
        <v>101</v>
      </c>
      <c r="G2" s="193" t="s">
        <v>102</v>
      </c>
      <c r="H2" s="105" t="s">
        <v>103</v>
      </c>
      <c r="I2" s="105" t="s">
        <v>101</v>
      </c>
      <c r="J2" s="196" t="s">
        <v>102</v>
      </c>
      <c r="K2" s="106" t="s">
        <v>104</v>
      </c>
      <c r="L2" s="146" t="s">
        <v>105</v>
      </c>
      <c r="M2" s="331" t="s">
        <v>110</v>
      </c>
      <c r="N2" s="107" t="s">
        <v>107</v>
      </c>
    </row>
    <row r="3" spans="1:16">
      <c r="A3" s="163"/>
      <c r="B3" s="17"/>
      <c r="C3" s="17"/>
      <c r="D3" s="235" t="s">
        <v>108</v>
      </c>
      <c r="E3" s="17"/>
      <c r="F3" s="17"/>
      <c r="G3" s="194"/>
      <c r="H3" s="17"/>
      <c r="I3" s="17"/>
      <c r="J3" s="194"/>
      <c r="K3" s="351">
        <v>1036892.0919000006</v>
      </c>
      <c r="L3" s="17"/>
      <c r="M3" s="42">
        <v>1036892.0919000006</v>
      </c>
      <c r="N3" s="17">
        <v>0</v>
      </c>
      <c r="O3">
        <v>0</v>
      </c>
      <c r="P3" s="22">
        <v>0</v>
      </c>
    </row>
    <row r="4" spans="1:16">
      <c r="A4" s="208">
        <v>1</v>
      </c>
      <c r="B4" s="234">
        <v>45931</v>
      </c>
      <c r="C4" s="144"/>
      <c r="D4" s="144"/>
      <c r="E4" s="262">
        <v>89.01</v>
      </c>
      <c r="F4" s="326">
        <v>91.48</v>
      </c>
      <c r="G4" s="270">
        <f>E4*F4</f>
        <v>8142.6348000000007</v>
      </c>
      <c r="H4" s="262">
        <v>15</v>
      </c>
      <c r="I4" s="262">
        <v>103.41</v>
      </c>
      <c r="J4" s="262">
        <f>H4*I4</f>
        <v>1551.1499999999999</v>
      </c>
      <c r="K4" s="270">
        <f>G4+J4</f>
        <v>9693.7848000000013</v>
      </c>
      <c r="L4" s="144"/>
      <c r="M4" s="332">
        <f>M3+K4-L4</f>
        <v>1046585.8767000006</v>
      </c>
      <c r="N4" s="144"/>
      <c r="O4" s="22"/>
    </row>
    <row r="5" spans="1:16">
      <c r="A5" s="50">
        <v>2</v>
      </c>
      <c r="B5" s="234">
        <v>45932</v>
      </c>
      <c r="C5" s="17"/>
      <c r="D5" s="17"/>
      <c r="E5" s="262">
        <v>0</v>
      </c>
      <c r="F5" s="326">
        <v>91.48</v>
      </c>
      <c r="G5" s="270">
        <f t="shared" ref="G5:G39" si="0">E5*F5</f>
        <v>0</v>
      </c>
      <c r="H5" s="262">
        <v>0</v>
      </c>
      <c r="I5" s="262">
        <v>0</v>
      </c>
      <c r="J5" s="262">
        <f t="shared" ref="J5:J39" si="1">H5*I5</f>
        <v>0</v>
      </c>
      <c r="K5" s="270">
        <f t="shared" ref="K5:K39" si="2">G5+J5</f>
        <v>0</v>
      </c>
      <c r="L5" s="144"/>
      <c r="M5" s="332">
        <f t="shared" ref="M5:M39" si="3">M4+K5-L5</f>
        <v>1046585.8767000006</v>
      </c>
      <c r="N5" s="17"/>
    </row>
    <row r="6" spans="1:16">
      <c r="A6" s="50">
        <v>3</v>
      </c>
      <c r="B6" s="234">
        <v>45933</v>
      </c>
      <c r="C6" s="17"/>
      <c r="D6" s="17"/>
      <c r="E6" s="262">
        <v>506.75</v>
      </c>
      <c r="F6" s="326">
        <v>91.48</v>
      </c>
      <c r="G6" s="270">
        <f t="shared" si="0"/>
        <v>46357.490000000005</v>
      </c>
      <c r="H6" s="262">
        <v>22</v>
      </c>
      <c r="I6" s="262">
        <v>103.41</v>
      </c>
      <c r="J6" s="262">
        <f t="shared" si="1"/>
        <v>2275.02</v>
      </c>
      <c r="K6" s="270">
        <f t="shared" si="2"/>
        <v>48632.51</v>
      </c>
      <c r="L6" s="144"/>
      <c r="M6" s="332">
        <f t="shared" si="3"/>
        <v>1095218.3867000006</v>
      </c>
      <c r="N6" s="17"/>
    </row>
    <row r="7" spans="1:16">
      <c r="A7" s="208">
        <v>4</v>
      </c>
      <c r="B7" s="234">
        <v>45934</v>
      </c>
      <c r="C7" s="17"/>
      <c r="D7" s="17"/>
      <c r="E7" s="262">
        <v>250</v>
      </c>
      <c r="F7" s="326">
        <v>91.48</v>
      </c>
      <c r="G7" s="270">
        <f t="shared" si="0"/>
        <v>22870</v>
      </c>
      <c r="H7" s="262">
        <v>0</v>
      </c>
      <c r="I7" s="262">
        <v>0</v>
      </c>
      <c r="J7" s="262">
        <f t="shared" si="1"/>
        <v>0</v>
      </c>
      <c r="K7" s="270">
        <f t="shared" si="2"/>
        <v>22870</v>
      </c>
      <c r="L7" s="144"/>
      <c r="M7" s="332">
        <f t="shared" si="3"/>
        <v>1118088.3867000006</v>
      </c>
      <c r="N7" s="17"/>
    </row>
    <row r="8" spans="1:16">
      <c r="A8" s="50">
        <v>5</v>
      </c>
      <c r="B8" s="234">
        <v>45935</v>
      </c>
      <c r="C8" s="17"/>
      <c r="D8" s="17"/>
      <c r="E8" s="262">
        <v>619.39</v>
      </c>
      <c r="F8" s="326">
        <v>91.48</v>
      </c>
      <c r="G8" s="270">
        <f t="shared" si="0"/>
        <v>56661.797200000001</v>
      </c>
      <c r="H8" s="262">
        <v>0</v>
      </c>
      <c r="I8" s="262">
        <v>0</v>
      </c>
      <c r="J8" s="262">
        <f t="shared" si="1"/>
        <v>0</v>
      </c>
      <c r="K8" s="270">
        <f t="shared" si="2"/>
        <v>56661.797200000001</v>
      </c>
      <c r="L8" s="144"/>
      <c r="M8" s="332">
        <f t="shared" si="3"/>
        <v>1174750.1839000005</v>
      </c>
      <c r="N8" s="17"/>
    </row>
    <row r="9" spans="1:16">
      <c r="A9" s="50">
        <v>6</v>
      </c>
      <c r="B9" s="234">
        <v>45936</v>
      </c>
      <c r="C9" s="17"/>
      <c r="D9" s="17"/>
      <c r="E9" s="262">
        <v>435.85</v>
      </c>
      <c r="F9" s="326">
        <v>91.48</v>
      </c>
      <c r="G9" s="270">
        <f t="shared" si="0"/>
        <v>39871.558000000005</v>
      </c>
      <c r="H9" s="262">
        <v>16</v>
      </c>
      <c r="I9" s="262">
        <v>103.41</v>
      </c>
      <c r="J9" s="262">
        <f t="shared" si="1"/>
        <v>1654.56</v>
      </c>
      <c r="K9" s="270">
        <f t="shared" si="2"/>
        <v>41526.118000000002</v>
      </c>
      <c r="L9" s="144"/>
      <c r="M9" s="332">
        <f t="shared" si="3"/>
        <v>1216276.3019000005</v>
      </c>
      <c r="N9" s="17"/>
    </row>
    <row r="10" spans="1:16">
      <c r="A10" s="208">
        <v>7</v>
      </c>
      <c r="B10" s="234">
        <v>45937</v>
      </c>
      <c r="C10" s="17"/>
      <c r="D10" s="17"/>
      <c r="E10" s="262">
        <v>640.59</v>
      </c>
      <c r="F10" s="326">
        <v>91.48</v>
      </c>
      <c r="G10" s="270">
        <f t="shared" si="0"/>
        <v>58601.173200000005</v>
      </c>
      <c r="H10" s="262">
        <v>12</v>
      </c>
      <c r="I10" s="262">
        <v>103.41</v>
      </c>
      <c r="J10" s="262">
        <f t="shared" si="1"/>
        <v>1240.92</v>
      </c>
      <c r="K10" s="270">
        <f t="shared" si="2"/>
        <v>59842.093200000003</v>
      </c>
      <c r="L10" s="144"/>
      <c r="M10" s="332">
        <f t="shared" si="3"/>
        <v>1276118.3951000005</v>
      </c>
      <c r="N10" s="17"/>
    </row>
    <row r="11" spans="1:16">
      <c r="A11" s="50">
        <v>8</v>
      </c>
      <c r="B11" s="234">
        <v>45938</v>
      </c>
      <c r="C11" s="17"/>
      <c r="D11" s="17"/>
      <c r="E11" s="262">
        <v>753.7</v>
      </c>
      <c r="F11" s="326">
        <v>91.48</v>
      </c>
      <c r="G11" s="270">
        <f t="shared" si="0"/>
        <v>68948.47600000001</v>
      </c>
      <c r="H11" s="262">
        <v>11</v>
      </c>
      <c r="I11" s="262">
        <v>103.41</v>
      </c>
      <c r="J11" s="262">
        <f t="shared" si="1"/>
        <v>1137.51</v>
      </c>
      <c r="K11" s="270">
        <f t="shared" si="2"/>
        <v>70085.986000000004</v>
      </c>
      <c r="L11" s="144">
        <v>500000</v>
      </c>
      <c r="M11" s="332">
        <f>M10+K11-L11</f>
        <v>846204.38110000058</v>
      </c>
      <c r="N11" s="17"/>
    </row>
    <row r="12" spans="1:16">
      <c r="A12" s="50">
        <v>9</v>
      </c>
      <c r="B12" s="234">
        <v>45939</v>
      </c>
      <c r="C12" s="17"/>
      <c r="D12" s="17"/>
      <c r="E12" s="262">
        <v>197.4</v>
      </c>
      <c r="F12" s="326">
        <v>91.48</v>
      </c>
      <c r="G12" s="270">
        <f t="shared" si="0"/>
        <v>18058.152000000002</v>
      </c>
      <c r="H12" s="262">
        <v>0</v>
      </c>
      <c r="I12" s="262">
        <v>0</v>
      </c>
      <c r="J12" s="262">
        <f t="shared" si="1"/>
        <v>0</v>
      </c>
      <c r="K12" s="270">
        <f t="shared" si="2"/>
        <v>18058.152000000002</v>
      </c>
      <c r="L12" s="144"/>
      <c r="M12" s="332">
        <f t="shared" si="3"/>
        <v>864262.53310000058</v>
      </c>
      <c r="N12" s="17"/>
    </row>
    <row r="13" spans="1:16">
      <c r="A13" s="208">
        <v>10</v>
      </c>
      <c r="B13" s="234">
        <v>45940</v>
      </c>
      <c r="C13" s="17"/>
      <c r="D13" s="17"/>
      <c r="E13" s="262">
        <v>1060.1600000000001</v>
      </c>
      <c r="F13" s="326">
        <v>91.48</v>
      </c>
      <c r="G13" s="270">
        <f t="shared" si="0"/>
        <v>96983.43680000001</v>
      </c>
      <c r="H13" s="262">
        <v>6</v>
      </c>
      <c r="I13" s="262">
        <v>103.41</v>
      </c>
      <c r="J13" s="262">
        <f t="shared" si="1"/>
        <v>620.46</v>
      </c>
      <c r="K13" s="270">
        <f t="shared" si="2"/>
        <v>97603.896800000017</v>
      </c>
      <c r="L13" s="144"/>
      <c r="M13" s="332">
        <f t="shared" si="3"/>
        <v>961866.42990000057</v>
      </c>
      <c r="N13" s="17"/>
    </row>
    <row r="14" spans="1:16">
      <c r="A14" s="50">
        <v>11</v>
      </c>
      <c r="B14" s="234">
        <v>45941</v>
      </c>
      <c r="C14" s="17"/>
      <c r="D14" s="17"/>
      <c r="E14" s="262">
        <v>870.89</v>
      </c>
      <c r="F14" s="326">
        <v>91.48</v>
      </c>
      <c r="G14" s="270">
        <f t="shared" si="0"/>
        <v>79669.017200000002</v>
      </c>
      <c r="H14" s="262">
        <v>17</v>
      </c>
      <c r="I14" s="262">
        <v>103.41</v>
      </c>
      <c r="J14" s="262">
        <f t="shared" si="1"/>
        <v>1757.97</v>
      </c>
      <c r="K14" s="270">
        <f t="shared" si="2"/>
        <v>81426.987200000003</v>
      </c>
      <c r="L14" s="144"/>
      <c r="M14" s="332">
        <f t="shared" si="3"/>
        <v>1043293.4171000005</v>
      </c>
      <c r="N14" s="17"/>
    </row>
    <row r="15" spans="1:16">
      <c r="A15" s="50">
        <v>12</v>
      </c>
      <c r="B15" s="234">
        <v>45942</v>
      </c>
      <c r="C15" s="17"/>
      <c r="D15" s="17"/>
      <c r="E15" s="262">
        <v>320.47000000000003</v>
      </c>
      <c r="F15" s="326">
        <v>91.48</v>
      </c>
      <c r="G15" s="270">
        <f t="shared" si="0"/>
        <v>29316.595600000004</v>
      </c>
      <c r="H15" s="262">
        <v>5</v>
      </c>
      <c r="I15" s="262">
        <v>103.41</v>
      </c>
      <c r="J15" s="262">
        <f t="shared" si="1"/>
        <v>517.04999999999995</v>
      </c>
      <c r="K15" s="270">
        <f t="shared" si="2"/>
        <v>29833.645600000003</v>
      </c>
      <c r="L15" s="144"/>
      <c r="M15" s="332">
        <f t="shared" si="3"/>
        <v>1073127.0627000006</v>
      </c>
      <c r="N15" s="17"/>
    </row>
    <row r="16" spans="1:16">
      <c r="A16" s="208">
        <v>13</v>
      </c>
      <c r="B16" s="234">
        <v>45943</v>
      </c>
      <c r="C16" s="17"/>
      <c r="D16" s="17"/>
      <c r="E16" s="262">
        <v>118.6</v>
      </c>
      <c r="F16" s="326">
        <v>91.48</v>
      </c>
      <c r="G16" s="270">
        <f t="shared" si="0"/>
        <v>10849.528</v>
      </c>
      <c r="H16" s="262">
        <v>5</v>
      </c>
      <c r="I16" s="262">
        <v>103.41</v>
      </c>
      <c r="J16" s="262">
        <f t="shared" si="1"/>
        <v>517.04999999999995</v>
      </c>
      <c r="K16" s="270">
        <f t="shared" si="2"/>
        <v>11366.578</v>
      </c>
      <c r="L16" s="144"/>
      <c r="M16" s="332">
        <f t="shared" si="3"/>
        <v>1084493.6407000006</v>
      </c>
      <c r="N16" s="17"/>
    </row>
    <row r="17" spans="1:16">
      <c r="A17" s="50">
        <v>14</v>
      </c>
      <c r="B17" s="234">
        <v>45944</v>
      </c>
      <c r="C17" s="17"/>
      <c r="D17" s="17"/>
      <c r="E17" s="262">
        <v>408.93</v>
      </c>
      <c r="F17" s="326">
        <v>91.48</v>
      </c>
      <c r="G17" s="270">
        <f t="shared" si="0"/>
        <v>37408.916400000002</v>
      </c>
      <c r="H17" s="262">
        <v>6</v>
      </c>
      <c r="I17" s="262">
        <v>103.41</v>
      </c>
      <c r="J17" s="262">
        <f t="shared" si="1"/>
        <v>620.46</v>
      </c>
      <c r="K17" s="270">
        <f t="shared" si="2"/>
        <v>38029.376400000001</v>
      </c>
      <c r="L17" s="144"/>
      <c r="M17" s="332">
        <f t="shared" si="3"/>
        <v>1122523.0171000005</v>
      </c>
      <c r="N17" s="17"/>
      <c r="P17" s="286"/>
    </row>
    <row r="18" spans="1:16">
      <c r="A18" s="50">
        <v>15</v>
      </c>
      <c r="B18" s="234">
        <v>45945</v>
      </c>
      <c r="C18" s="17"/>
      <c r="D18" s="17"/>
      <c r="E18" s="262">
        <v>399.76</v>
      </c>
      <c r="F18" s="326">
        <v>91.48</v>
      </c>
      <c r="G18" s="270">
        <f t="shared" si="0"/>
        <v>36570.044800000003</v>
      </c>
      <c r="H18" s="262">
        <v>21</v>
      </c>
      <c r="I18" s="262">
        <v>103.41</v>
      </c>
      <c r="J18" s="262">
        <f t="shared" si="1"/>
        <v>2171.61</v>
      </c>
      <c r="K18" s="270">
        <f t="shared" si="2"/>
        <v>38741.654800000004</v>
      </c>
      <c r="L18" s="144"/>
      <c r="M18" s="332">
        <f t="shared" si="3"/>
        <v>1161264.6719000004</v>
      </c>
      <c r="N18" s="17"/>
    </row>
    <row r="19" spans="1:16">
      <c r="A19" s="208">
        <v>16</v>
      </c>
      <c r="B19" s="234">
        <v>45946</v>
      </c>
      <c r="C19" s="17"/>
      <c r="D19" s="17"/>
      <c r="E19" s="262">
        <v>33.700000000000003</v>
      </c>
      <c r="F19" s="326">
        <v>91.48</v>
      </c>
      <c r="G19" s="270">
        <f t="shared" si="0"/>
        <v>3082.8760000000002</v>
      </c>
      <c r="H19" s="262">
        <v>0</v>
      </c>
      <c r="I19" s="262">
        <v>0</v>
      </c>
      <c r="J19" s="262">
        <f t="shared" si="1"/>
        <v>0</v>
      </c>
      <c r="K19" s="270">
        <f t="shared" si="2"/>
        <v>3082.8760000000002</v>
      </c>
      <c r="L19" s="144">
        <v>500000</v>
      </c>
      <c r="M19" s="332">
        <f t="shared" si="3"/>
        <v>664347.54790000035</v>
      </c>
      <c r="N19" s="17"/>
      <c r="P19" s="22">
        <f>M19-O19</f>
        <v>664347.54790000035</v>
      </c>
    </row>
    <row r="20" spans="1:16">
      <c r="A20" s="50">
        <v>17</v>
      </c>
      <c r="B20" s="234">
        <v>45947</v>
      </c>
      <c r="C20" s="17"/>
      <c r="D20" s="17"/>
      <c r="E20" s="262">
        <v>1203.5</v>
      </c>
      <c r="F20" s="326">
        <v>91.48</v>
      </c>
      <c r="G20" s="270">
        <f t="shared" si="0"/>
        <v>110096.18000000001</v>
      </c>
      <c r="H20" s="262">
        <v>11</v>
      </c>
      <c r="I20" s="262">
        <v>103.41</v>
      </c>
      <c r="J20" s="262">
        <f t="shared" si="1"/>
        <v>1137.51</v>
      </c>
      <c r="K20" s="270">
        <f t="shared" si="2"/>
        <v>111233.69</v>
      </c>
      <c r="L20" s="144"/>
      <c r="M20" s="332">
        <f t="shared" si="3"/>
        <v>775581.2379000003</v>
      </c>
      <c r="N20" s="17"/>
    </row>
    <row r="21" spans="1:16">
      <c r="A21" s="50">
        <v>18</v>
      </c>
      <c r="B21" s="234">
        <v>45948</v>
      </c>
      <c r="C21" s="17"/>
      <c r="D21" s="17"/>
      <c r="E21" s="262">
        <v>600.44000000000005</v>
      </c>
      <c r="F21" s="326">
        <v>91.48</v>
      </c>
      <c r="G21" s="270">
        <f t="shared" si="0"/>
        <v>54928.251200000006</v>
      </c>
      <c r="H21" s="262">
        <v>15.67</v>
      </c>
      <c r="I21" s="262">
        <v>103.41</v>
      </c>
      <c r="J21" s="262">
        <f t="shared" si="1"/>
        <v>1620.4347</v>
      </c>
      <c r="K21" s="270">
        <f t="shared" si="2"/>
        <v>56548.685900000004</v>
      </c>
      <c r="L21" s="144"/>
      <c r="M21" s="332">
        <f t="shared" si="3"/>
        <v>832129.92380000034</v>
      </c>
      <c r="N21" s="17"/>
    </row>
    <row r="22" spans="1:16">
      <c r="A22" s="208">
        <v>19</v>
      </c>
      <c r="B22" s="234">
        <v>45949</v>
      </c>
      <c r="C22" s="17"/>
      <c r="D22" s="17"/>
      <c r="E22" s="262">
        <v>0</v>
      </c>
      <c r="F22" s="262">
        <v>0</v>
      </c>
      <c r="G22" s="270">
        <f t="shared" si="0"/>
        <v>0</v>
      </c>
      <c r="H22" s="262">
        <v>17</v>
      </c>
      <c r="I22" s="262">
        <v>103.41</v>
      </c>
      <c r="J22" s="262">
        <f t="shared" si="1"/>
        <v>1757.97</v>
      </c>
      <c r="K22" s="270">
        <f t="shared" si="2"/>
        <v>1757.97</v>
      </c>
      <c r="L22" s="144"/>
      <c r="M22" s="332">
        <f t="shared" si="3"/>
        <v>833887.89380000031</v>
      </c>
      <c r="N22" s="17"/>
    </row>
    <row r="23" spans="1:16">
      <c r="A23" s="50">
        <v>20</v>
      </c>
      <c r="B23" s="234">
        <v>45950</v>
      </c>
      <c r="C23" s="17"/>
      <c r="D23" s="17"/>
      <c r="E23" s="262">
        <v>421.42</v>
      </c>
      <c r="F23" s="262">
        <v>91.48</v>
      </c>
      <c r="G23" s="270">
        <f t="shared" si="0"/>
        <v>38551.501600000003</v>
      </c>
      <c r="H23" s="262">
        <v>0</v>
      </c>
      <c r="I23" s="262">
        <v>0</v>
      </c>
      <c r="J23" s="262">
        <f t="shared" si="1"/>
        <v>0</v>
      </c>
      <c r="K23" s="270">
        <f t="shared" si="2"/>
        <v>38551.501600000003</v>
      </c>
      <c r="L23" s="144"/>
      <c r="M23" s="332">
        <f t="shared" si="3"/>
        <v>872439.39540000027</v>
      </c>
      <c r="N23" s="17"/>
    </row>
    <row r="24" spans="1:16">
      <c r="A24" s="50">
        <v>21</v>
      </c>
      <c r="B24" s="234">
        <v>45951</v>
      </c>
      <c r="C24" s="17"/>
      <c r="D24" s="17"/>
      <c r="E24" s="262">
        <v>636.92999999999995</v>
      </c>
      <c r="F24" s="262">
        <v>91.48</v>
      </c>
      <c r="G24" s="270">
        <f t="shared" si="0"/>
        <v>58266.356399999997</v>
      </c>
      <c r="H24" s="262">
        <v>17</v>
      </c>
      <c r="I24" s="262">
        <v>103.41</v>
      </c>
      <c r="J24" s="262">
        <f t="shared" si="1"/>
        <v>1757.97</v>
      </c>
      <c r="K24" s="270">
        <f t="shared" si="2"/>
        <v>60024.326399999998</v>
      </c>
      <c r="L24" s="144"/>
      <c r="M24" s="332">
        <f t="shared" si="3"/>
        <v>932463.72180000029</v>
      </c>
      <c r="N24" s="17"/>
    </row>
    <row r="25" spans="1:16">
      <c r="A25" s="208">
        <v>22</v>
      </c>
      <c r="B25" s="234">
        <v>45952</v>
      </c>
      <c r="C25" s="17"/>
      <c r="D25" s="17"/>
      <c r="E25" s="262">
        <v>190.97</v>
      </c>
      <c r="F25" s="262">
        <v>91.48</v>
      </c>
      <c r="G25" s="270">
        <f t="shared" si="0"/>
        <v>17469.935600000001</v>
      </c>
      <c r="H25" s="262">
        <v>5</v>
      </c>
      <c r="I25" s="262">
        <v>103.41</v>
      </c>
      <c r="J25" s="262">
        <f t="shared" si="1"/>
        <v>517.04999999999995</v>
      </c>
      <c r="K25" s="270">
        <f t="shared" si="2"/>
        <v>17986.9856</v>
      </c>
      <c r="L25" s="144"/>
      <c r="M25" s="332">
        <f t="shared" si="3"/>
        <v>950450.7074000003</v>
      </c>
      <c r="N25" s="17"/>
    </row>
    <row r="26" spans="1:16">
      <c r="A26" s="50">
        <v>23</v>
      </c>
      <c r="B26" s="234">
        <v>45953</v>
      </c>
      <c r="C26" s="17"/>
      <c r="D26" s="17"/>
      <c r="E26" s="262">
        <v>282.02</v>
      </c>
      <c r="F26" s="262">
        <v>91.48</v>
      </c>
      <c r="G26" s="270">
        <f t="shared" si="0"/>
        <v>25799.189599999998</v>
      </c>
      <c r="H26" s="262">
        <v>0</v>
      </c>
      <c r="I26" s="262">
        <v>0</v>
      </c>
      <c r="J26" s="262">
        <f t="shared" si="1"/>
        <v>0</v>
      </c>
      <c r="K26" s="270">
        <f t="shared" si="2"/>
        <v>25799.189599999998</v>
      </c>
      <c r="L26" s="144"/>
      <c r="M26" s="332">
        <f t="shared" si="3"/>
        <v>976249.89700000035</v>
      </c>
      <c r="N26" s="17"/>
    </row>
    <row r="27" spans="1:16">
      <c r="A27" s="50">
        <v>24</v>
      </c>
      <c r="B27" s="234">
        <v>45954</v>
      </c>
      <c r="C27" s="17"/>
      <c r="D27" s="17"/>
      <c r="E27" s="262">
        <v>300.56</v>
      </c>
      <c r="F27" s="262">
        <v>91.48</v>
      </c>
      <c r="G27" s="270">
        <f t="shared" si="0"/>
        <v>27495.228800000001</v>
      </c>
      <c r="H27" s="262">
        <v>6</v>
      </c>
      <c r="I27" s="262">
        <v>103.41</v>
      </c>
      <c r="J27" s="262">
        <f t="shared" si="1"/>
        <v>620.46</v>
      </c>
      <c r="K27" s="270">
        <f t="shared" si="2"/>
        <v>28115.6888</v>
      </c>
      <c r="L27" s="144"/>
      <c r="M27" s="332">
        <f t="shared" si="3"/>
        <v>1004365.5858000003</v>
      </c>
      <c r="N27" s="17"/>
    </row>
    <row r="28" spans="1:16">
      <c r="A28" s="208">
        <v>25</v>
      </c>
      <c r="B28" s="234">
        <v>45955</v>
      </c>
      <c r="C28" s="17"/>
      <c r="D28" s="17"/>
      <c r="E28" s="262">
        <v>440.63</v>
      </c>
      <c r="F28" s="262">
        <v>91.48</v>
      </c>
      <c r="G28" s="270">
        <f t="shared" si="0"/>
        <v>40308.832399999999</v>
      </c>
      <c r="H28" s="262">
        <v>11</v>
      </c>
      <c r="I28" s="262">
        <v>103.41</v>
      </c>
      <c r="J28" s="262">
        <f t="shared" si="1"/>
        <v>1137.51</v>
      </c>
      <c r="K28" s="270">
        <f t="shared" si="2"/>
        <v>41446.342400000001</v>
      </c>
      <c r="L28" s="144"/>
      <c r="M28" s="332">
        <f t="shared" si="3"/>
        <v>1045811.9282000003</v>
      </c>
      <c r="N28" s="17"/>
    </row>
    <row r="29" spans="1:16">
      <c r="A29" s="50">
        <v>26</v>
      </c>
      <c r="B29" s="234">
        <v>45956</v>
      </c>
      <c r="C29" s="17"/>
      <c r="D29" s="17"/>
      <c r="E29" s="262">
        <v>39.89</v>
      </c>
      <c r="F29" s="262">
        <v>91.48</v>
      </c>
      <c r="G29" s="270">
        <f t="shared" si="0"/>
        <v>3649.1372000000001</v>
      </c>
      <c r="H29" s="262">
        <v>0</v>
      </c>
      <c r="I29" s="262">
        <v>0</v>
      </c>
      <c r="J29" s="262">
        <f t="shared" si="1"/>
        <v>0</v>
      </c>
      <c r="K29" s="270">
        <f t="shared" si="2"/>
        <v>3649.1372000000001</v>
      </c>
      <c r="L29" s="144"/>
      <c r="M29" s="332">
        <f t="shared" si="3"/>
        <v>1049461.0654000004</v>
      </c>
      <c r="N29" s="17"/>
    </row>
    <row r="30" spans="1:16">
      <c r="A30" s="50">
        <v>27</v>
      </c>
      <c r="B30" s="234">
        <v>45957</v>
      </c>
      <c r="C30" s="17"/>
      <c r="D30" s="17"/>
      <c r="E30" s="262">
        <v>725.6</v>
      </c>
      <c r="F30" s="262">
        <v>91.48</v>
      </c>
      <c r="G30" s="270">
        <f t="shared" si="0"/>
        <v>66377.888000000006</v>
      </c>
      <c r="H30" s="262">
        <v>17</v>
      </c>
      <c r="I30" s="262">
        <v>103.41</v>
      </c>
      <c r="J30" s="262">
        <f t="shared" si="1"/>
        <v>1757.97</v>
      </c>
      <c r="K30" s="270">
        <f t="shared" si="2"/>
        <v>68135.858000000007</v>
      </c>
      <c r="L30" s="144"/>
      <c r="M30" s="332">
        <f t="shared" si="3"/>
        <v>1117596.9234000004</v>
      </c>
      <c r="N30" s="17"/>
    </row>
    <row r="31" spans="1:16">
      <c r="A31" s="208">
        <v>28</v>
      </c>
      <c r="B31" s="234">
        <v>45958</v>
      </c>
      <c r="C31" s="100"/>
      <c r="D31" s="100"/>
      <c r="E31" s="262">
        <v>459.56</v>
      </c>
      <c r="F31" s="262">
        <v>91.48</v>
      </c>
      <c r="G31" s="270">
        <f t="shared" si="0"/>
        <v>42040.548800000004</v>
      </c>
      <c r="H31" s="262">
        <v>12</v>
      </c>
      <c r="I31" s="262">
        <v>103.41</v>
      </c>
      <c r="J31" s="262">
        <f t="shared" si="1"/>
        <v>1240.92</v>
      </c>
      <c r="K31" s="270">
        <f t="shared" si="2"/>
        <v>43281.468800000002</v>
      </c>
      <c r="L31" s="144"/>
      <c r="M31" s="332">
        <f t="shared" si="3"/>
        <v>1160878.3922000004</v>
      </c>
      <c r="N31" s="100"/>
    </row>
    <row r="32" spans="1:16">
      <c r="A32" s="50">
        <v>29</v>
      </c>
      <c r="B32" s="234">
        <v>45959</v>
      </c>
      <c r="C32" s="17"/>
      <c r="D32" s="17"/>
      <c r="E32" s="262">
        <v>664.15</v>
      </c>
      <c r="F32" s="262">
        <v>91.48</v>
      </c>
      <c r="G32" s="270">
        <f t="shared" si="0"/>
        <v>60756.442000000003</v>
      </c>
      <c r="H32" s="262">
        <v>11</v>
      </c>
      <c r="I32" s="262">
        <v>103.41</v>
      </c>
      <c r="J32" s="262">
        <f t="shared" si="1"/>
        <v>1137.51</v>
      </c>
      <c r="K32" s="270">
        <f t="shared" si="2"/>
        <v>61893.952000000005</v>
      </c>
      <c r="L32" s="144"/>
      <c r="M32" s="332">
        <f t="shared" si="3"/>
        <v>1222772.3442000004</v>
      </c>
      <c r="N32" s="17"/>
    </row>
    <row r="33" spans="1:16">
      <c r="A33" s="50">
        <v>30</v>
      </c>
      <c r="B33" s="234">
        <v>45960</v>
      </c>
      <c r="C33" s="17"/>
      <c r="D33" s="17"/>
      <c r="E33" s="262">
        <v>665.04</v>
      </c>
      <c r="F33" s="262">
        <v>91.48</v>
      </c>
      <c r="G33" s="270">
        <f t="shared" si="0"/>
        <v>60837.859199999999</v>
      </c>
      <c r="H33" s="262">
        <v>12</v>
      </c>
      <c r="I33" s="262">
        <v>103.41</v>
      </c>
      <c r="J33" s="262">
        <f t="shared" si="1"/>
        <v>1240.92</v>
      </c>
      <c r="K33" s="270">
        <f t="shared" si="2"/>
        <v>62078.779199999997</v>
      </c>
      <c r="L33" s="144"/>
      <c r="M33" s="332">
        <f t="shared" si="3"/>
        <v>1284851.1234000004</v>
      </c>
      <c r="N33" s="17"/>
    </row>
    <row r="34" spans="1:16">
      <c r="A34" s="208">
        <v>31</v>
      </c>
      <c r="B34" s="234">
        <v>45961</v>
      </c>
      <c r="C34" s="17"/>
      <c r="D34" s="17"/>
      <c r="E34" s="262">
        <v>336.57</v>
      </c>
      <c r="F34" s="262">
        <v>91.48</v>
      </c>
      <c r="G34" s="270">
        <f t="shared" si="0"/>
        <v>30789.423600000002</v>
      </c>
      <c r="H34" s="262">
        <v>5</v>
      </c>
      <c r="I34" s="262">
        <v>103.41</v>
      </c>
      <c r="J34" s="262">
        <f t="shared" si="1"/>
        <v>517.04999999999995</v>
      </c>
      <c r="K34" s="270">
        <f t="shared" si="2"/>
        <v>31306.473600000001</v>
      </c>
      <c r="L34" s="144"/>
      <c r="M34" s="332">
        <f t="shared" si="3"/>
        <v>1316157.5970000003</v>
      </c>
      <c r="N34" s="17"/>
    </row>
    <row r="35" spans="1:16">
      <c r="A35" s="50">
        <v>32</v>
      </c>
      <c r="B35" s="234">
        <v>45961</v>
      </c>
      <c r="C35" s="17"/>
      <c r="D35" s="17"/>
      <c r="E35" s="262">
        <v>0</v>
      </c>
      <c r="F35" s="262">
        <v>0</v>
      </c>
      <c r="G35" s="270">
        <f t="shared" si="0"/>
        <v>0</v>
      </c>
      <c r="H35" s="262">
        <v>5</v>
      </c>
      <c r="I35" s="262">
        <v>111.17</v>
      </c>
      <c r="J35" s="262">
        <f t="shared" si="1"/>
        <v>555.85</v>
      </c>
      <c r="K35" s="270">
        <f t="shared" si="2"/>
        <v>555.85</v>
      </c>
      <c r="L35" s="144"/>
      <c r="M35" s="332">
        <f t="shared" si="3"/>
        <v>1316713.4470000004</v>
      </c>
      <c r="N35" s="17"/>
    </row>
    <row r="36" spans="1:16">
      <c r="A36" s="50">
        <v>33</v>
      </c>
      <c r="B36" s="234"/>
      <c r="C36" s="17"/>
      <c r="D36" s="17"/>
      <c r="E36" s="262">
        <v>0</v>
      </c>
      <c r="F36" s="262">
        <v>0</v>
      </c>
      <c r="G36" s="270">
        <f t="shared" si="0"/>
        <v>0</v>
      </c>
      <c r="H36" s="262">
        <v>0</v>
      </c>
      <c r="I36" s="262">
        <v>0</v>
      </c>
      <c r="J36" s="262">
        <f t="shared" si="1"/>
        <v>0</v>
      </c>
      <c r="K36" s="270">
        <f t="shared" si="2"/>
        <v>0</v>
      </c>
      <c r="L36" s="144"/>
      <c r="M36" s="332">
        <f t="shared" si="3"/>
        <v>1316713.4470000004</v>
      </c>
      <c r="N36" s="17"/>
    </row>
    <row r="37" spans="1:16">
      <c r="A37" s="208">
        <v>34</v>
      </c>
      <c r="B37" s="234"/>
      <c r="C37" s="17"/>
      <c r="D37" s="17"/>
      <c r="E37" s="262">
        <v>0</v>
      </c>
      <c r="F37" s="262">
        <v>0</v>
      </c>
      <c r="G37" s="270">
        <f t="shared" si="0"/>
        <v>0</v>
      </c>
      <c r="H37" s="262">
        <v>0</v>
      </c>
      <c r="I37" s="262">
        <v>0</v>
      </c>
      <c r="J37" s="262">
        <f t="shared" si="1"/>
        <v>0</v>
      </c>
      <c r="K37" s="270">
        <f t="shared" si="2"/>
        <v>0</v>
      </c>
      <c r="L37" s="144"/>
      <c r="M37" s="332">
        <f t="shared" si="3"/>
        <v>1316713.4470000004</v>
      </c>
      <c r="N37" s="100"/>
    </row>
    <row r="38" spans="1:16">
      <c r="A38" s="50">
        <v>35</v>
      </c>
      <c r="B38" s="234"/>
      <c r="C38" s="17"/>
      <c r="D38" s="17"/>
      <c r="E38" s="262">
        <v>0</v>
      </c>
      <c r="F38" s="262">
        <v>0</v>
      </c>
      <c r="G38" s="270">
        <f t="shared" si="0"/>
        <v>0</v>
      </c>
      <c r="H38" s="262">
        <v>0</v>
      </c>
      <c r="I38" s="262">
        <v>0</v>
      </c>
      <c r="J38" s="262">
        <f t="shared" si="1"/>
        <v>0</v>
      </c>
      <c r="K38" s="270">
        <f t="shared" si="2"/>
        <v>0</v>
      </c>
      <c r="L38" s="144"/>
      <c r="M38" s="332">
        <f t="shared" si="3"/>
        <v>1316713.4470000004</v>
      </c>
      <c r="N38" s="17"/>
      <c r="P38" s="22"/>
    </row>
    <row r="39" spans="1:16">
      <c r="A39" s="49"/>
      <c r="B39" s="234"/>
      <c r="C39" s="17"/>
      <c r="D39" s="17"/>
      <c r="E39" s="262">
        <v>0</v>
      </c>
      <c r="F39" s="262">
        <v>0</v>
      </c>
      <c r="G39" s="270">
        <f t="shared" si="0"/>
        <v>0</v>
      </c>
      <c r="H39" s="262">
        <v>0</v>
      </c>
      <c r="I39" s="262">
        <v>0</v>
      </c>
      <c r="J39" s="262">
        <f t="shared" si="1"/>
        <v>0</v>
      </c>
      <c r="K39" s="270">
        <f t="shared" si="2"/>
        <v>0</v>
      </c>
      <c r="L39" s="144"/>
      <c r="M39" s="332">
        <f t="shared" si="3"/>
        <v>1316713.4470000004</v>
      </c>
      <c r="N39" s="17"/>
      <c r="P39" s="22"/>
    </row>
    <row r="40" spans="1:16">
      <c r="A40" s="191"/>
      <c r="B40" s="191"/>
      <c r="C40" s="191"/>
      <c r="D40" s="191"/>
      <c r="E40" s="191">
        <f>SUM(E4:E37)</f>
        <v>13672.48</v>
      </c>
      <c r="F40" s="191"/>
      <c r="G40" s="191">
        <f>SUM(G4:G37)</f>
        <v>1250758.4704000005</v>
      </c>
      <c r="H40" s="191">
        <f>SUM(H4:H37)</f>
        <v>280.66999999999996</v>
      </c>
      <c r="I40" s="191"/>
      <c r="J40" s="191">
        <f>SUM(J4:J37)</f>
        <v>29062.884699999999</v>
      </c>
      <c r="K40" s="191">
        <f>SUM(K4:K37)</f>
        <v>1279821.3550999998</v>
      </c>
      <c r="L40" s="191">
        <f>SUM(L4:L37)</f>
        <v>1000000</v>
      </c>
      <c r="M40" s="191"/>
      <c r="N40" s="191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N35"/>
  <sheetViews>
    <sheetView workbookViewId="0">
      <selection activeCell="M34" sqref="M34"/>
    </sheetView>
  </sheetViews>
  <sheetFormatPr defaultRowHeight="15"/>
  <cols>
    <col min="2" max="2" width="9.855468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4" ht="15.75">
      <c r="A1" s="466" t="s">
        <v>187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</row>
    <row r="2" spans="1:14" ht="45">
      <c r="A2" s="131" t="s">
        <v>96</v>
      </c>
      <c r="B2" s="226" t="s">
        <v>97</v>
      </c>
      <c r="C2" s="226" t="s">
        <v>98</v>
      </c>
      <c r="D2" s="226" t="s">
        <v>111</v>
      </c>
      <c r="E2" s="226" t="s">
        <v>100</v>
      </c>
      <c r="F2" s="226" t="s">
        <v>101</v>
      </c>
      <c r="G2" s="226" t="s">
        <v>102</v>
      </c>
      <c r="H2" s="226" t="s">
        <v>103</v>
      </c>
      <c r="I2" s="226" t="s">
        <v>101</v>
      </c>
      <c r="J2" s="226" t="s">
        <v>102</v>
      </c>
      <c r="K2" s="184" t="s">
        <v>104</v>
      </c>
      <c r="L2" s="184" t="s">
        <v>105</v>
      </c>
      <c r="M2" s="184" t="s">
        <v>110</v>
      </c>
      <c r="N2" s="226" t="s">
        <v>107</v>
      </c>
    </row>
    <row r="3" spans="1:14">
      <c r="A3" s="467" t="s">
        <v>108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>
        <v>105996.1017</v>
      </c>
      <c r="N3" s="467"/>
    </row>
    <row r="4" spans="1:14">
      <c r="A4" s="208">
        <v>1</v>
      </c>
      <c r="B4" s="234">
        <v>45931</v>
      </c>
      <c r="C4" s="42">
        <v>0</v>
      </c>
      <c r="D4" s="42"/>
      <c r="E4" s="288">
        <v>40.11</v>
      </c>
      <c r="F4" s="326">
        <v>91.31</v>
      </c>
      <c r="G4" s="42">
        <f>E4*F4</f>
        <v>3662.4441000000002</v>
      </c>
      <c r="H4" s="42">
        <v>0</v>
      </c>
      <c r="I4" s="42">
        <v>0</v>
      </c>
      <c r="J4" s="42">
        <f>H4*I4</f>
        <v>0</v>
      </c>
      <c r="K4" s="42">
        <f>G4+J4</f>
        <v>3662.4441000000002</v>
      </c>
      <c r="L4" s="42">
        <v>0</v>
      </c>
      <c r="M4" s="42">
        <f>M3+K4-L4</f>
        <v>109658.54579999999</v>
      </c>
      <c r="N4" s="42"/>
    </row>
    <row r="5" spans="1:14">
      <c r="A5" s="50">
        <v>2</v>
      </c>
      <c r="B5" s="234">
        <v>45932</v>
      </c>
      <c r="C5" s="42">
        <v>0</v>
      </c>
      <c r="D5" s="42"/>
      <c r="E5" s="288">
        <v>0</v>
      </c>
      <c r="F5" s="326">
        <v>0</v>
      </c>
      <c r="G5" s="42">
        <f t="shared" ref="G5:G34" si="0">E5*F5</f>
        <v>0</v>
      </c>
      <c r="H5" s="42">
        <v>0</v>
      </c>
      <c r="I5" s="42">
        <v>0</v>
      </c>
      <c r="J5" s="42">
        <f t="shared" ref="J5:J34" si="1">H5*I5</f>
        <v>0</v>
      </c>
      <c r="K5" s="42">
        <f t="shared" ref="K5:K34" si="2">G5+J5</f>
        <v>0</v>
      </c>
      <c r="L5" s="42">
        <v>0</v>
      </c>
      <c r="M5" s="42">
        <f t="shared" ref="M5:M34" si="3">M4+K5-L5</f>
        <v>109658.54579999999</v>
      </c>
      <c r="N5" s="42"/>
    </row>
    <row r="6" spans="1:14">
      <c r="A6" s="50">
        <v>3</v>
      </c>
      <c r="B6" s="234">
        <v>45933</v>
      </c>
      <c r="C6" s="42">
        <v>0</v>
      </c>
      <c r="D6" s="42"/>
      <c r="E6" s="374">
        <v>23.18</v>
      </c>
      <c r="F6" s="326">
        <v>91.31</v>
      </c>
      <c r="G6" s="42">
        <f t="shared" si="0"/>
        <v>2116.5657999999999</v>
      </c>
      <c r="H6" s="42">
        <v>0</v>
      </c>
      <c r="I6" s="42">
        <v>0</v>
      </c>
      <c r="J6" s="42">
        <f t="shared" si="1"/>
        <v>0</v>
      </c>
      <c r="K6" s="42">
        <f t="shared" si="2"/>
        <v>2116.5657999999999</v>
      </c>
      <c r="L6" s="42">
        <v>0</v>
      </c>
      <c r="M6" s="42">
        <f t="shared" si="3"/>
        <v>111775.11159999999</v>
      </c>
      <c r="N6" s="42"/>
    </row>
    <row r="7" spans="1:14">
      <c r="A7" s="50">
        <v>4</v>
      </c>
      <c r="B7" s="234">
        <v>45934</v>
      </c>
      <c r="C7" s="42">
        <v>0</v>
      </c>
      <c r="D7" s="42"/>
      <c r="E7" s="288">
        <v>200</v>
      </c>
      <c r="F7" s="326">
        <v>91.31</v>
      </c>
      <c r="G7" s="42">
        <f t="shared" si="0"/>
        <v>18262</v>
      </c>
      <c r="H7" s="42">
        <v>0</v>
      </c>
      <c r="I7" s="42">
        <v>0</v>
      </c>
      <c r="J7" s="42">
        <f t="shared" si="1"/>
        <v>0</v>
      </c>
      <c r="K7" s="42">
        <f t="shared" si="2"/>
        <v>18262</v>
      </c>
      <c r="L7" s="42">
        <v>0</v>
      </c>
      <c r="M7" s="42">
        <f t="shared" si="3"/>
        <v>130037.11159999999</v>
      </c>
      <c r="N7" s="42"/>
    </row>
    <row r="8" spans="1:14">
      <c r="A8" s="50">
        <v>5</v>
      </c>
      <c r="B8" s="234">
        <v>45935</v>
      </c>
      <c r="C8" s="42">
        <v>0</v>
      </c>
      <c r="D8" s="42"/>
      <c r="E8" s="288">
        <v>0</v>
      </c>
      <c r="F8" s="326">
        <v>0</v>
      </c>
      <c r="G8" s="42">
        <f t="shared" si="0"/>
        <v>0</v>
      </c>
      <c r="H8" s="42">
        <v>0</v>
      </c>
      <c r="I8" s="42">
        <v>0</v>
      </c>
      <c r="J8" s="42">
        <f t="shared" si="1"/>
        <v>0</v>
      </c>
      <c r="K8" s="42">
        <f t="shared" si="2"/>
        <v>0</v>
      </c>
      <c r="L8" s="42">
        <v>0</v>
      </c>
      <c r="M8" s="42">
        <f t="shared" si="3"/>
        <v>130037.11159999999</v>
      </c>
      <c r="N8" s="42"/>
    </row>
    <row r="9" spans="1:14">
      <c r="A9" s="50">
        <v>6</v>
      </c>
      <c r="B9" s="234">
        <v>45936</v>
      </c>
      <c r="C9" s="42">
        <v>0</v>
      </c>
      <c r="D9" s="42"/>
      <c r="E9" s="288">
        <v>0</v>
      </c>
      <c r="F9" s="326">
        <v>0</v>
      </c>
      <c r="G9" s="42">
        <f t="shared" si="0"/>
        <v>0</v>
      </c>
      <c r="H9" s="42">
        <v>0</v>
      </c>
      <c r="I9" s="42">
        <v>0</v>
      </c>
      <c r="J9" s="42">
        <f t="shared" si="1"/>
        <v>0</v>
      </c>
      <c r="K9" s="42">
        <f t="shared" si="2"/>
        <v>0</v>
      </c>
      <c r="L9" s="42">
        <v>0</v>
      </c>
      <c r="M9" s="42">
        <f t="shared" si="3"/>
        <v>130037.11159999999</v>
      </c>
      <c r="N9" s="42"/>
    </row>
    <row r="10" spans="1:14">
      <c r="A10" s="50">
        <v>7</v>
      </c>
      <c r="B10" s="234">
        <v>45937</v>
      </c>
      <c r="C10" s="42">
        <v>0</v>
      </c>
      <c r="D10" s="42"/>
      <c r="E10" s="288">
        <v>0</v>
      </c>
      <c r="F10" s="326">
        <v>0</v>
      </c>
      <c r="G10" s="42">
        <f t="shared" si="0"/>
        <v>0</v>
      </c>
      <c r="H10" s="42">
        <v>10</v>
      </c>
      <c r="I10" s="42">
        <v>103.23</v>
      </c>
      <c r="J10" s="42">
        <f t="shared" si="1"/>
        <v>1032.3</v>
      </c>
      <c r="K10" s="42">
        <f t="shared" si="2"/>
        <v>1032.3</v>
      </c>
      <c r="L10" s="42">
        <v>130000</v>
      </c>
      <c r="M10" s="42">
        <f t="shared" si="3"/>
        <v>1069.4115999999922</v>
      </c>
      <c r="N10" s="42"/>
    </row>
    <row r="11" spans="1:14">
      <c r="A11" s="50">
        <v>8</v>
      </c>
      <c r="B11" s="234">
        <v>45938</v>
      </c>
      <c r="C11" s="42">
        <v>0</v>
      </c>
      <c r="D11" s="42"/>
      <c r="E11" s="288">
        <v>35</v>
      </c>
      <c r="F11" s="326">
        <v>91.31</v>
      </c>
      <c r="G11" s="42">
        <f t="shared" si="0"/>
        <v>3195.85</v>
      </c>
      <c r="H11" s="42">
        <v>5</v>
      </c>
      <c r="I11" s="42">
        <v>103.23</v>
      </c>
      <c r="J11" s="42">
        <f t="shared" si="1"/>
        <v>516.15</v>
      </c>
      <c r="K11" s="42">
        <f t="shared" si="2"/>
        <v>3712</v>
      </c>
      <c r="L11" s="42">
        <v>0</v>
      </c>
      <c r="M11" s="42">
        <f t="shared" si="3"/>
        <v>4781.4115999999922</v>
      </c>
      <c r="N11" s="42"/>
    </row>
    <row r="12" spans="1:14">
      <c r="A12" s="50">
        <v>9</v>
      </c>
      <c r="B12" s="234">
        <v>45939</v>
      </c>
      <c r="C12" s="42">
        <v>0</v>
      </c>
      <c r="D12" s="42"/>
      <c r="E12" s="288">
        <v>673.4</v>
      </c>
      <c r="F12" s="326">
        <v>91.31</v>
      </c>
      <c r="G12" s="42">
        <f t="shared" si="0"/>
        <v>61488.154000000002</v>
      </c>
      <c r="H12" s="42">
        <v>21</v>
      </c>
      <c r="I12" s="42">
        <v>103.23</v>
      </c>
      <c r="J12" s="42">
        <f t="shared" si="1"/>
        <v>2167.83</v>
      </c>
      <c r="K12" s="42">
        <f t="shared" si="2"/>
        <v>63655.984000000004</v>
      </c>
      <c r="L12" s="42">
        <v>0</v>
      </c>
      <c r="M12" s="42">
        <f t="shared" si="3"/>
        <v>68437.395599999989</v>
      </c>
      <c r="N12" s="42"/>
    </row>
    <row r="13" spans="1:14">
      <c r="A13" s="50">
        <v>10</v>
      </c>
      <c r="B13" s="234">
        <v>45940</v>
      </c>
      <c r="C13" s="42">
        <v>0</v>
      </c>
      <c r="D13" s="42"/>
      <c r="E13" s="288">
        <v>239.95</v>
      </c>
      <c r="F13" s="326">
        <v>91.31</v>
      </c>
      <c r="G13" s="42">
        <f t="shared" si="0"/>
        <v>21909.834500000001</v>
      </c>
      <c r="H13" s="42">
        <v>0</v>
      </c>
      <c r="I13" s="42">
        <v>0</v>
      </c>
      <c r="J13" s="42">
        <f t="shared" si="1"/>
        <v>0</v>
      </c>
      <c r="K13" s="42">
        <f t="shared" si="2"/>
        <v>21909.834500000001</v>
      </c>
      <c r="L13" s="42">
        <v>0</v>
      </c>
      <c r="M13" s="42">
        <f t="shared" si="3"/>
        <v>90347.230099999986</v>
      </c>
      <c r="N13" s="42"/>
    </row>
    <row r="14" spans="1:14">
      <c r="A14" s="50">
        <v>11</v>
      </c>
      <c r="B14" s="234">
        <v>45941</v>
      </c>
      <c r="C14" s="42">
        <v>0</v>
      </c>
      <c r="D14" s="42"/>
      <c r="E14" s="288">
        <v>0</v>
      </c>
      <c r="F14" s="326">
        <v>0</v>
      </c>
      <c r="G14" s="42">
        <f t="shared" si="0"/>
        <v>0</v>
      </c>
      <c r="H14" s="42">
        <v>0</v>
      </c>
      <c r="I14" s="42">
        <v>0</v>
      </c>
      <c r="J14" s="42">
        <f t="shared" si="1"/>
        <v>0</v>
      </c>
      <c r="K14" s="42">
        <f t="shared" si="2"/>
        <v>0</v>
      </c>
      <c r="L14" s="42">
        <v>0</v>
      </c>
      <c r="M14" s="42">
        <f t="shared" si="3"/>
        <v>90347.230099999986</v>
      </c>
      <c r="N14" s="42"/>
    </row>
    <row r="15" spans="1:14">
      <c r="A15" s="50">
        <v>12</v>
      </c>
      <c r="B15" s="234">
        <v>45942</v>
      </c>
      <c r="C15" s="42">
        <v>0</v>
      </c>
      <c r="D15" s="42"/>
      <c r="E15" s="288">
        <v>20</v>
      </c>
      <c r="F15" s="326">
        <v>91.31</v>
      </c>
      <c r="G15" s="42">
        <f t="shared" si="0"/>
        <v>1826.2</v>
      </c>
      <c r="H15" s="42">
        <v>6</v>
      </c>
      <c r="I15" s="42">
        <v>103.23</v>
      </c>
      <c r="J15" s="42">
        <f t="shared" si="1"/>
        <v>619.38</v>
      </c>
      <c r="K15" s="42">
        <f t="shared" si="2"/>
        <v>2445.58</v>
      </c>
      <c r="L15" s="42">
        <v>0</v>
      </c>
      <c r="M15" s="42">
        <f t="shared" si="3"/>
        <v>92792.810099999988</v>
      </c>
      <c r="N15" s="42"/>
    </row>
    <row r="16" spans="1:14">
      <c r="A16" s="50">
        <v>13</v>
      </c>
      <c r="B16" s="234">
        <v>45943</v>
      </c>
      <c r="C16" s="42">
        <v>0</v>
      </c>
      <c r="D16" s="42"/>
      <c r="E16" s="288">
        <v>200</v>
      </c>
      <c r="F16" s="326">
        <v>91.31</v>
      </c>
      <c r="G16" s="42">
        <f t="shared" si="0"/>
        <v>18262</v>
      </c>
      <c r="H16" s="42">
        <v>21</v>
      </c>
      <c r="I16" s="42">
        <v>103.23</v>
      </c>
      <c r="J16" s="42">
        <f t="shared" si="1"/>
        <v>2167.83</v>
      </c>
      <c r="K16" s="42">
        <f t="shared" si="2"/>
        <v>20429.830000000002</v>
      </c>
      <c r="L16" s="42">
        <v>0</v>
      </c>
      <c r="M16" s="42">
        <f>M15+K16-L16</f>
        <v>113222.64009999999</v>
      </c>
      <c r="N16" s="42"/>
    </row>
    <row r="17" spans="1:14">
      <c r="A17" s="50">
        <v>14</v>
      </c>
      <c r="B17" s="234">
        <v>45944</v>
      </c>
      <c r="C17" s="42">
        <v>0</v>
      </c>
      <c r="D17" s="42"/>
      <c r="E17" s="288">
        <v>0</v>
      </c>
      <c r="F17" s="326">
        <v>0</v>
      </c>
      <c r="G17" s="42">
        <f t="shared" si="0"/>
        <v>0</v>
      </c>
      <c r="H17" s="42">
        <v>0</v>
      </c>
      <c r="I17" s="42">
        <v>0</v>
      </c>
      <c r="J17" s="42">
        <f t="shared" si="1"/>
        <v>0</v>
      </c>
      <c r="K17" s="42">
        <f t="shared" si="2"/>
        <v>0</v>
      </c>
      <c r="L17" s="42">
        <v>0</v>
      </c>
      <c r="M17" s="42">
        <f t="shared" si="3"/>
        <v>113222.64009999999</v>
      </c>
      <c r="N17" s="42"/>
    </row>
    <row r="18" spans="1:14">
      <c r="A18" s="50">
        <v>15</v>
      </c>
      <c r="B18" s="234">
        <v>45945</v>
      </c>
      <c r="C18" s="42">
        <v>0</v>
      </c>
      <c r="D18" s="42"/>
      <c r="E18" s="288">
        <v>0</v>
      </c>
      <c r="F18" s="326">
        <v>0</v>
      </c>
      <c r="G18" s="42">
        <f t="shared" si="0"/>
        <v>0</v>
      </c>
      <c r="H18" s="42">
        <v>6</v>
      </c>
      <c r="I18" s="42">
        <v>103.23</v>
      </c>
      <c r="J18" s="42">
        <f t="shared" si="1"/>
        <v>619.38</v>
      </c>
      <c r="K18" s="42">
        <f t="shared" si="2"/>
        <v>619.38</v>
      </c>
      <c r="L18" s="42">
        <v>0</v>
      </c>
      <c r="M18" s="42">
        <f t="shared" si="3"/>
        <v>113842.02009999999</v>
      </c>
      <c r="N18" s="42"/>
    </row>
    <row r="19" spans="1:14">
      <c r="A19" s="50">
        <v>16</v>
      </c>
      <c r="B19" s="234">
        <v>45946</v>
      </c>
      <c r="C19" s="42">
        <v>0</v>
      </c>
      <c r="D19" s="42"/>
      <c r="E19" s="288">
        <v>353.06</v>
      </c>
      <c r="F19" s="326">
        <v>91.31</v>
      </c>
      <c r="G19" s="42">
        <f t="shared" si="0"/>
        <v>32237.908600000002</v>
      </c>
      <c r="H19" s="42">
        <v>0</v>
      </c>
      <c r="I19" s="42">
        <v>0</v>
      </c>
      <c r="J19" s="42">
        <f t="shared" si="1"/>
        <v>0</v>
      </c>
      <c r="K19" s="42">
        <f t="shared" si="2"/>
        <v>32237.908600000002</v>
      </c>
      <c r="L19" s="42">
        <v>0</v>
      </c>
      <c r="M19" s="42">
        <f t="shared" si="3"/>
        <v>146079.92869999999</v>
      </c>
      <c r="N19" s="42"/>
    </row>
    <row r="20" spans="1:14">
      <c r="A20" s="50">
        <v>17</v>
      </c>
      <c r="B20" s="234">
        <v>45947</v>
      </c>
      <c r="C20" s="42">
        <v>0</v>
      </c>
      <c r="D20" s="42"/>
      <c r="E20" s="288">
        <v>0</v>
      </c>
      <c r="F20" s="326">
        <v>0</v>
      </c>
      <c r="G20" s="42">
        <f t="shared" si="0"/>
        <v>0</v>
      </c>
      <c r="H20" s="42">
        <v>5</v>
      </c>
      <c r="I20" s="42">
        <v>103.23</v>
      </c>
      <c r="J20" s="42">
        <f t="shared" si="1"/>
        <v>516.15</v>
      </c>
      <c r="K20" s="42">
        <f t="shared" si="2"/>
        <v>516.15</v>
      </c>
      <c r="L20" s="42">
        <v>0</v>
      </c>
      <c r="M20" s="42">
        <f t="shared" si="3"/>
        <v>146596.07869999998</v>
      </c>
      <c r="N20" s="42"/>
    </row>
    <row r="21" spans="1:14">
      <c r="A21" s="50">
        <v>18</v>
      </c>
      <c r="B21" s="234">
        <v>45948</v>
      </c>
      <c r="C21" s="42">
        <v>0</v>
      </c>
      <c r="D21" s="42"/>
      <c r="E21" s="288">
        <v>30</v>
      </c>
      <c r="F21" s="326">
        <v>91.31</v>
      </c>
      <c r="G21" s="42">
        <f t="shared" si="0"/>
        <v>2739.3</v>
      </c>
      <c r="H21" s="42">
        <v>0</v>
      </c>
      <c r="I21" s="42">
        <v>0</v>
      </c>
      <c r="J21" s="42">
        <f t="shared" si="1"/>
        <v>0</v>
      </c>
      <c r="K21" s="42">
        <f t="shared" si="2"/>
        <v>2739.3</v>
      </c>
      <c r="L21" s="42">
        <v>0</v>
      </c>
      <c r="M21" s="42">
        <f>M20+K21-L21</f>
        <v>149335.37869999997</v>
      </c>
      <c r="N21" s="42"/>
    </row>
    <row r="22" spans="1:14">
      <c r="A22" s="50">
        <v>19</v>
      </c>
      <c r="B22" s="234">
        <v>45949</v>
      </c>
      <c r="C22" s="42">
        <v>0</v>
      </c>
      <c r="D22" s="42"/>
      <c r="E22" s="288">
        <v>0</v>
      </c>
      <c r="F22" s="326">
        <v>0</v>
      </c>
      <c r="G22" s="42">
        <f t="shared" si="0"/>
        <v>0</v>
      </c>
      <c r="H22" s="42">
        <v>0</v>
      </c>
      <c r="I22" s="42">
        <v>0</v>
      </c>
      <c r="J22" s="42">
        <f t="shared" si="1"/>
        <v>0</v>
      </c>
      <c r="K22" s="42">
        <f t="shared" si="2"/>
        <v>0</v>
      </c>
      <c r="L22" s="42">
        <v>0</v>
      </c>
      <c r="M22" s="42">
        <f t="shared" si="3"/>
        <v>149335.37869999997</v>
      </c>
      <c r="N22" s="42"/>
    </row>
    <row r="23" spans="1:14">
      <c r="A23" s="50">
        <v>20</v>
      </c>
      <c r="B23" s="234">
        <v>45950</v>
      </c>
      <c r="C23" s="42">
        <v>0</v>
      </c>
      <c r="D23" s="42"/>
      <c r="E23" s="288">
        <v>0</v>
      </c>
      <c r="F23" s="326">
        <v>0</v>
      </c>
      <c r="G23" s="42">
        <f t="shared" si="0"/>
        <v>0</v>
      </c>
      <c r="H23" s="42">
        <v>0</v>
      </c>
      <c r="I23" s="42">
        <v>0</v>
      </c>
      <c r="J23" s="42">
        <f t="shared" si="1"/>
        <v>0</v>
      </c>
      <c r="K23" s="42">
        <f t="shared" si="2"/>
        <v>0</v>
      </c>
      <c r="L23" s="42">
        <v>0</v>
      </c>
      <c r="M23" s="42">
        <f t="shared" si="3"/>
        <v>149335.37869999997</v>
      </c>
      <c r="N23" s="42"/>
    </row>
    <row r="24" spans="1:14">
      <c r="A24" s="50">
        <v>21</v>
      </c>
      <c r="B24" s="234">
        <v>45951</v>
      </c>
      <c r="C24" s="42">
        <v>0</v>
      </c>
      <c r="D24" s="42"/>
      <c r="E24" s="288">
        <v>67.59</v>
      </c>
      <c r="F24" s="326">
        <v>91.31</v>
      </c>
      <c r="G24" s="42">
        <f t="shared" si="0"/>
        <v>6171.6429000000007</v>
      </c>
      <c r="H24" s="42">
        <v>0</v>
      </c>
      <c r="I24" s="42">
        <v>0</v>
      </c>
      <c r="J24" s="42">
        <f t="shared" si="1"/>
        <v>0</v>
      </c>
      <c r="K24" s="42">
        <f t="shared" si="2"/>
        <v>6171.6429000000007</v>
      </c>
      <c r="L24" s="42">
        <v>0</v>
      </c>
      <c r="M24" s="42">
        <f t="shared" si="3"/>
        <v>155507.02159999998</v>
      </c>
      <c r="N24" s="42"/>
    </row>
    <row r="25" spans="1:14">
      <c r="A25" s="50">
        <v>22</v>
      </c>
      <c r="B25" s="234">
        <v>45952</v>
      </c>
      <c r="C25" s="42">
        <v>0</v>
      </c>
      <c r="D25" s="42"/>
      <c r="E25" s="288">
        <v>0</v>
      </c>
      <c r="F25" s="326">
        <v>0</v>
      </c>
      <c r="G25" s="42">
        <f t="shared" si="0"/>
        <v>0</v>
      </c>
      <c r="H25" s="42">
        <v>22</v>
      </c>
      <c r="I25" s="42">
        <v>103.23</v>
      </c>
      <c r="J25" s="42">
        <f t="shared" si="1"/>
        <v>2271.06</v>
      </c>
      <c r="K25" s="42">
        <f t="shared" si="2"/>
        <v>2271.06</v>
      </c>
      <c r="L25" s="42">
        <v>0</v>
      </c>
      <c r="M25" s="42">
        <f t="shared" si="3"/>
        <v>157778.08159999998</v>
      </c>
      <c r="N25" s="42"/>
    </row>
    <row r="26" spans="1:14">
      <c r="A26" s="50">
        <v>23</v>
      </c>
      <c r="B26" s="234">
        <v>45953</v>
      </c>
      <c r="C26" s="42">
        <v>0</v>
      </c>
      <c r="D26" s="42"/>
      <c r="E26" s="288">
        <v>0</v>
      </c>
      <c r="F26" s="326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v>0</v>
      </c>
      <c r="M26" s="42">
        <f t="shared" si="3"/>
        <v>157778.08159999998</v>
      </c>
      <c r="N26" s="42"/>
    </row>
    <row r="27" spans="1:14">
      <c r="A27" s="50">
        <v>24</v>
      </c>
      <c r="B27" s="234">
        <v>45954</v>
      </c>
      <c r="C27" s="42">
        <v>0</v>
      </c>
      <c r="D27" s="42"/>
      <c r="E27" s="288">
        <v>0</v>
      </c>
      <c r="F27" s="326">
        <v>0</v>
      </c>
      <c r="G27" s="42">
        <f t="shared" si="0"/>
        <v>0</v>
      </c>
      <c r="H27" s="42">
        <v>5</v>
      </c>
      <c r="I27" s="42">
        <v>103.23</v>
      </c>
      <c r="J27" s="42">
        <f t="shared" si="1"/>
        <v>516.15</v>
      </c>
      <c r="K27" s="42">
        <f t="shared" si="2"/>
        <v>516.15</v>
      </c>
      <c r="L27" s="42">
        <v>0</v>
      </c>
      <c r="M27" s="42">
        <f t="shared" si="3"/>
        <v>158294.23159999997</v>
      </c>
      <c r="N27" s="42"/>
    </row>
    <row r="28" spans="1:14">
      <c r="A28" s="236">
        <v>25</v>
      </c>
      <c r="B28" s="234">
        <v>45955</v>
      </c>
      <c r="C28" s="42">
        <v>0</v>
      </c>
      <c r="D28" s="42"/>
      <c r="E28" s="288">
        <v>0</v>
      </c>
      <c r="F28" s="326">
        <v>0</v>
      </c>
      <c r="G28" s="42">
        <f t="shared" si="0"/>
        <v>0</v>
      </c>
      <c r="H28" s="42">
        <v>0</v>
      </c>
      <c r="I28" s="42">
        <v>0</v>
      </c>
      <c r="J28" s="42">
        <f t="shared" si="1"/>
        <v>0</v>
      </c>
      <c r="K28" s="42">
        <f t="shared" si="2"/>
        <v>0</v>
      </c>
      <c r="L28" s="42">
        <v>0</v>
      </c>
      <c r="M28" s="42">
        <f t="shared" si="3"/>
        <v>158294.23159999997</v>
      </c>
      <c r="N28" s="42"/>
    </row>
    <row r="29" spans="1:14">
      <c r="A29" s="236">
        <v>26</v>
      </c>
      <c r="B29" s="234">
        <v>45956</v>
      </c>
      <c r="C29" s="42">
        <v>0</v>
      </c>
      <c r="D29" s="42"/>
      <c r="E29" s="288">
        <v>0</v>
      </c>
      <c r="F29" s="326">
        <v>0</v>
      </c>
      <c r="G29" s="42">
        <f t="shared" si="0"/>
        <v>0</v>
      </c>
      <c r="H29" s="42">
        <v>0</v>
      </c>
      <c r="I29" s="42">
        <v>0</v>
      </c>
      <c r="J29" s="42">
        <f t="shared" si="1"/>
        <v>0</v>
      </c>
      <c r="K29" s="42">
        <f t="shared" si="2"/>
        <v>0</v>
      </c>
      <c r="L29" s="42">
        <v>0</v>
      </c>
      <c r="M29" s="42">
        <f t="shared" si="3"/>
        <v>158294.23159999997</v>
      </c>
      <c r="N29" s="42"/>
    </row>
    <row r="30" spans="1:14">
      <c r="A30" s="236">
        <v>27</v>
      </c>
      <c r="B30" s="234">
        <v>45957</v>
      </c>
      <c r="C30" s="42">
        <v>0</v>
      </c>
      <c r="D30" s="42"/>
      <c r="E30" s="288">
        <v>38</v>
      </c>
      <c r="F30" s="326">
        <v>91.31</v>
      </c>
      <c r="G30" s="42">
        <f t="shared" si="0"/>
        <v>3469.78</v>
      </c>
      <c r="H30" s="42">
        <v>0</v>
      </c>
      <c r="I30" s="42">
        <v>0</v>
      </c>
      <c r="J30" s="42">
        <f t="shared" si="1"/>
        <v>0</v>
      </c>
      <c r="K30" s="42">
        <f t="shared" si="2"/>
        <v>3469.78</v>
      </c>
      <c r="L30" s="42">
        <v>0</v>
      </c>
      <c r="M30" s="42">
        <f t="shared" si="3"/>
        <v>161764.01159999997</v>
      </c>
      <c r="N30" s="42"/>
    </row>
    <row r="31" spans="1:14">
      <c r="A31" s="236">
        <v>28</v>
      </c>
      <c r="B31" s="234">
        <v>45958</v>
      </c>
      <c r="C31" s="42">
        <v>0</v>
      </c>
      <c r="D31" s="42"/>
      <c r="E31" s="288">
        <v>0</v>
      </c>
      <c r="F31" s="326">
        <v>0</v>
      </c>
      <c r="G31" s="42">
        <f t="shared" si="0"/>
        <v>0</v>
      </c>
      <c r="H31" s="42">
        <v>12</v>
      </c>
      <c r="I31" s="42">
        <v>103.23</v>
      </c>
      <c r="J31" s="42">
        <f t="shared" si="1"/>
        <v>1238.76</v>
      </c>
      <c r="K31" s="42">
        <f t="shared" si="2"/>
        <v>1238.76</v>
      </c>
      <c r="L31" s="42">
        <v>0</v>
      </c>
      <c r="M31" s="42">
        <f t="shared" si="3"/>
        <v>163002.77159999998</v>
      </c>
      <c r="N31" s="42"/>
    </row>
    <row r="32" spans="1:14">
      <c r="A32" s="237">
        <v>29</v>
      </c>
      <c r="B32" s="234">
        <v>45959</v>
      </c>
      <c r="C32" s="42">
        <v>0</v>
      </c>
      <c r="D32" s="42"/>
      <c r="E32" s="288">
        <v>135</v>
      </c>
      <c r="F32" s="326">
        <v>91.31</v>
      </c>
      <c r="G32" s="42">
        <f t="shared" si="0"/>
        <v>12326.85</v>
      </c>
      <c r="H32" s="42">
        <v>15</v>
      </c>
      <c r="I32" s="42">
        <v>103.23</v>
      </c>
      <c r="J32" s="42">
        <f t="shared" si="1"/>
        <v>1548.45</v>
      </c>
      <c r="K32" s="42">
        <f t="shared" si="2"/>
        <v>13875.300000000001</v>
      </c>
      <c r="L32" s="42">
        <v>0</v>
      </c>
      <c r="M32" s="42">
        <f t="shared" si="3"/>
        <v>176878.07159999997</v>
      </c>
      <c r="N32" s="42"/>
    </row>
    <row r="33" spans="1:14">
      <c r="A33" s="237">
        <v>30</v>
      </c>
      <c r="B33" s="234">
        <v>45960</v>
      </c>
      <c r="C33" s="42">
        <v>0</v>
      </c>
      <c r="D33" s="42"/>
      <c r="E33" s="288">
        <v>50</v>
      </c>
      <c r="F33" s="326">
        <v>91.31</v>
      </c>
      <c r="G33" s="42">
        <f t="shared" si="0"/>
        <v>4565.5</v>
      </c>
      <c r="H33" s="42">
        <v>0</v>
      </c>
      <c r="I33" s="42">
        <v>0</v>
      </c>
      <c r="J33" s="42">
        <f t="shared" si="1"/>
        <v>0</v>
      </c>
      <c r="K33" s="42">
        <f t="shared" si="2"/>
        <v>4565.5</v>
      </c>
      <c r="L33" s="42">
        <v>140000</v>
      </c>
      <c r="M33" s="42">
        <f t="shared" si="3"/>
        <v>41443.571599999967</v>
      </c>
      <c r="N33" s="42"/>
    </row>
    <row r="34" spans="1:14">
      <c r="A34" s="237">
        <v>31</v>
      </c>
      <c r="B34" s="234">
        <v>45961</v>
      </c>
      <c r="C34" s="42">
        <v>0</v>
      </c>
      <c r="D34" s="42"/>
      <c r="E34" s="288">
        <v>0</v>
      </c>
      <c r="F34" s="326">
        <v>0</v>
      </c>
      <c r="G34" s="42">
        <f t="shared" si="0"/>
        <v>0</v>
      </c>
      <c r="H34" s="42">
        <v>0</v>
      </c>
      <c r="I34" s="42">
        <v>0</v>
      </c>
      <c r="J34" s="42">
        <f t="shared" si="1"/>
        <v>0</v>
      </c>
      <c r="K34" s="42">
        <f t="shared" si="2"/>
        <v>0</v>
      </c>
      <c r="L34" s="42">
        <v>0</v>
      </c>
      <c r="M34" s="42">
        <f t="shared" si="3"/>
        <v>41443.571599999967</v>
      </c>
      <c r="N34" s="42"/>
    </row>
    <row r="35" spans="1:14">
      <c r="A35" s="191"/>
      <c r="B35" s="191"/>
      <c r="C35" s="191"/>
      <c r="D35" s="191"/>
      <c r="E35" s="191">
        <f>SUM(E4:E34)</f>
        <v>2105.29</v>
      </c>
      <c r="F35" s="191"/>
      <c r="G35" s="191">
        <f>SUM(G4:G34)</f>
        <v>192234.02989999999</v>
      </c>
      <c r="H35" s="191">
        <f>SUM(H4:H34)</f>
        <v>128</v>
      </c>
      <c r="I35" s="191"/>
      <c r="J35" s="191">
        <f>SUM(J4:J34)</f>
        <v>13213.44</v>
      </c>
      <c r="K35" s="191">
        <f>SUM(K4:K34)</f>
        <v>205447.4699</v>
      </c>
      <c r="L35" s="191">
        <f>SUM(L4:L34)</f>
        <v>270000</v>
      </c>
      <c r="M35" s="191"/>
      <c r="N35" s="19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workbookViewId="0">
      <selection activeCell="J12" sqref="J12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66" t="s">
        <v>188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</row>
    <row r="2" spans="1:14" ht="45">
      <c r="A2" s="131" t="s">
        <v>96</v>
      </c>
      <c r="B2" s="226" t="s">
        <v>97</v>
      </c>
      <c r="C2" s="226" t="s">
        <v>98</v>
      </c>
      <c r="D2" s="226" t="s">
        <v>111</v>
      </c>
      <c r="E2" s="226" t="s">
        <v>100</v>
      </c>
      <c r="F2" s="226" t="s">
        <v>101</v>
      </c>
      <c r="G2" s="226" t="s">
        <v>102</v>
      </c>
      <c r="H2" s="226" t="s">
        <v>103</v>
      </c>
      <c r="I2" s="226" t="s">
        <v>101</v>
      </c>
      <c r="J2" s="226" t="s">
        <v>102</v>
      </c>
      <c r="K2" s="184" t="s">
        <v>104</v>
      </c>
      <c r="L2" s="184" t="s">
        <v>105</v>
      </c>
      <c r="M2" s="184" t="s">
        <v>110</v>
      </c>
      <c r="N2" s="226" t="s">
        <v>107</v>
      </c>
    </row>
    <row r="3" spans="1:14">
      <c r="A3" s="467" t="s">
        <v>108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>
        <v>0</v>
      </c>
      <c r="N3" s="467"/>
    </row>
    <row r="4" spans="1:14">
      <c r="A4" s="208">
        <v>1</v>
      </c>
      <c r="B4" s="234">
        <v>45931</v>
      </c>
      <c r="C4" s="42">
        <v>0</v>
      </c>
      <c r="D4" s="42"/>
      <c r="E4" s="42">
        <v>0</v>
      </c>
      <c r="F4" s="42">
        <v>0</v>
      </c>
      <c r="G4" s="42">
        <f>E4*F4</f>
        <v>0</v>
      </c>
      <c r="H4" s="42">
        <v>0</v>
      </c>
      <c r="I4" s="42">
        <v>0</v>
      </c>
      <c r="J4" s="42">
        <f>H4*I4</f>
        <v>0</v>
      </c>
      <c r="K4" s="42">
        <f>G4+J4</f>
        <v>0</v>
      </c>
      <c r="L4" s="42">
        <f>+K4</f>
        <v>0</v>
      </c>
      <c r="M4" s="42">
        <f>M3+K4-L4</f>
        <v>0</v>
      </c>
      <c r="N4" s="42"/>
    </row>
    <row r="5" spans="1:14">
      <c r="A5" s="50">
        <v>2</v>
      </c>
      <c r="B5" s="234">
        <v>45932</v>
      </c>
      <c r="C5" s="42">
        <v>0</v>
      </c>
      <c r="D5" s="42"/>
      <c r="E5" s="42">
        <v>0</v>
      </c>
      <c r="F5" s="42">
        <v>0</v>
      </c>
      <c r="G5" s="42">
        <f t="shared" ref="G5:G32" si="0">E5*F5</f>
        <v>0</v>
      </c>
      <c r="H5" s="42">
        <v>0</v>
      </c>
      <c r="I5" s="42">
        <v>0</v>
      </c>
      <c r="J5" s="42">
        <f t="shared" ref="J5:J34" si="1">H5*I5</f>
        <v>0</v>
      </c>
      <c r="K5" s="42">
        <f t="shared" ref="K5:K34" si="2">G5+J5</f>
        <v>0</v>
      </c>
      <c r="L5" s="42">
        <f t="shared" ref="L5:L32" si="3">+K5</f>
        <v>0</v>
      </c>
      <c r="M5" s="42">
        <f t="shared" ref="M5:M34" si="4">M4+K5-L5</f>
        <v>0</v>
      </c>
      <c r="N5" s="42"/>
    </row>
    <row r="6" spans="1:14">
      <c r="A6" s="50">
        <v>3</v>
      </c>
      <c r="B6" s="234">
        <v>45933</v>
      </c>
      <c r="C6" s="42">
        <v>0</v>
      </c>
      <c r="D6" s="42"/>
      <c r="E6" s="42">
        <v>45</v>
      </c>
      <c r="F6" s="42">
        <v>91.3</v>
      </c>
      <c r="G6" s="42">
        <f t="shared" si="0"/>
        <v>4108.5</v>
      </c>
      <c r="H6" s="42">
        <v>0</v>
      </c>
      <c r="I6" s="42">
        <v>0</v>
      </c>
      <c r="J6" s="42">
        <f t="shared" si="1"/>
        <v>0</v>
      </c>
      <c r="K6" s="42">
        <f t="shared" si="2"/>
        <v>4108.5</v>
      </c>
      <c r="L6" s="42">
        <f t="shared" si="3"/>
        <v>4108.5</v>
      </c>
      <c r="M6" s="42">
        <f t="shared" si="4"/>
        <v>0</v>
      </c>
      <c r="N6" s="42"/>
    </row>
    <row r="7" spans="1:14">
      <c r="A7" s="50">
        <v>4</v>
      </c>
      <c r="B7" s="234">
        <v>45934</v>
      </c>
      <c r="C7" s="42">
        <v>0</v>
      </c>
      <c r="D7" s="42"/>
      <c r="E7" s="42">
        <v>35.67</v>
      </c>
      <c r="F7" s="42">
        <v>91.3</v>
      </c>
      <c r="G7" s="42">
        <f t="shared" si="0"/>
        <v>3256.6710000000003</v>
      </c>
      <c r="H7" s="42">
        <v>0</v>
      </c>
      <c r="I7" s="42">
        <v>0</v>
      </c>
      <c r="J7" s="42">
        <f t="shared" si="1"/>
        <v>0</v>
      </c>
      <c r="K7" s="42">
        <f t="shared" si="2"/>
        <v>3256.6710000000003</v>
      </c>
      <c r="L7" s="42">
        <f t="shared" si="3"/>
        <v>3256.6710000000003</v>
      </c>
      <c r="M7" s="42">
        <f t="shared" si="4"/>
        <v>0</v>
      </c>
      <c r="N7" s="42"/>
    </row>
    <row r="8" spans="1:14">
      <c r="A8" s="50">
        <v>5</v>
      </c>
      <c r="B8" s="234">
        <v>45935</v>
      </c>
      <c r="C8" s="42">
        <v>0</v>
      </c>
      <c r="D8" s="42"/>
      <c r="E8" s="42">
        <v>40</v>
      </c>
      <c r="F8" s="42">
        <v>91.3</v>
      </c>
      <c r="G8" s="42">
        <f t="shared" si="0"/>
        <v>3652</v>
      </c>
      <c r="H8" s="42">
        <v>0</v>
      </c>
      <c r="I8" s="42">
        <v>0</v>
      </c>
      <c r="J8" s="42">
        <f t="shared" si="1"/>
        <v>0</v>
      </c>
      <c r="K8" s="42">
        <f t="shared" si="2"/>
        <v>3652</v>
      </c>
      <c r="L8" s="42">
        <f t="shared" si="3"/>
        <v>3652</v>
      </c>
      <c r="M8" s="42">
        <f t="shared" si="4"/>
        <v>0</v>
      </c>
      <c r="N8" s="42"/>
    </row>
    <row r="9" spans="1:14">
      <c r="A9" s="50">
        <v>6</v>
      </c>
      <c r="B9" s="234">
        <v>45936</v>
      </c>
      <c r="C9" s="42">
        <v>0</v>
      </c>
      <c r="D9" s="42"/>
      <c r="E9" s="42">
        <v>0</v>
      </c>
      <c r="F9" s="42">
        <v>0</v>
      </c>
      <c r="G9" s="42">
        <f t="shared" si="0"/>
        <v>0</v>
      </c>
      <c r="H9" s="42">
        <v>0</v>
      </c>
      <c r="I9" s="42">
        <v>0</v>
      </c>
      <c r="J9" s="42">
        <f t="shared" si="1"/>
        <v>0</v>
      </c>
      <c r="K9" s="42">
        <f t="shared" si="2"/>
        <v>0</v>
      </c>
      <c r="L9" s="42">
        <f t="shared" si="3"/>
        <v>0</v>
      </c>
      <c r="M9" s="42">
        <f t="shared" si="4"/>
        <v>0</v>
      </c>
      <c r="N9" s="42"/>
    </row>
    <row r="10" spans="1:14">
      <c r="A10" s="50">
        <v>7</v>
      </c>
      <c r="B10" s="234">
        <v>45937</v>
      </c>
      <c r="C10" s="42">
        <v>0</v>
      </c>
      <c r="D10" s="42"/>
      <c r="E10" s="42">
        <v>40</v>
      </c>
      <c r="F10" s="42">
        <v>91.3</v>
      </c>
      <c r="G10" s="42">
        <f t="shared" si="0"/>
        <v>3652</v>
      </c>
      <c r="H10" s="42">
        <v>6</v>
      </c>
      <c r="I10" s="42">
        <v>103.22</v>
      </c>
      <c r="J10" s="42">
        <f t="shared" si="1"/>
        <v>619.31999999999994</v>
      </c>
      <c r="K10" s="42">
        <f t="shared" si="2"/>
        <v>4271.32</v>
      </c>
      <c r="L10" s="42">
        <f t="shared" si="3"/>
        <v>4271.32</v>
      </c>
      <c r="M10" s="42">
        <f t="shared" si="4"/>
        <v>0</v>
      </c>
      <c r="N10" s="42"/>
    </row>
    <row r="11" spans="1:14">
      <c r="A11" s="50">
        <v>8</v>
      </c>
      <c r="B11" s="234">
        <v>45938</v>
      </c>
      <c r="C11" s="42">
        <v>0</v>
      </c>
      <c r="D11" s="42"/>
      <c r="E11" s="42">
        <v>40</v>
      </c>
      <c r="F11" s="42">
        <v>91.3</v>
      </c>
      <c r="G11" s="42">
        <f t="shared" si="0"/>
        <v>3652</v>
      </c>
      <c r="H11" s="42">
        <v>0</v>
      </c>
      <c r="I11" s="42">
        <v>0</v>
      </c>
      <c r="J11" s="42">
        <f t="shared" si="1"/>
        <v>0</v>
      </c>
      <c r="K11" s="42">
        <f t="shared" si="2"/>
        <v>3652</v>
      </c>
      <c r="L11" s="42">
        <f t="shared" si="3"/>
        <v>3652</v>
      </c>
      <c r="M11" s="42">
        <f t="shared" si="4"/>
        <v>0</v>
      </c>
      <c r="N11" s="42"/>
    </row>
    <row r="12" spans="1:14">
      <c r="A12" s="50">
        <v>9</v>
      </c>
      <c r="B12" s="234">
        <v>45939</v>
      </c>
      <c r="C12" s="42">
        <v>0</v>
      </c>
      <c r="D12" s="42"/>
      <c r="E12" s="42">
        <v>0</v>
      </c>
      <c r="F12" s="42">
        <v>0</v>
      </c>
      <c r="G12" s="42">
        <f t="shared" si="0"/>
        <v>0</v>
      </c>
      <c r="H12" s="42">
        <v>6</v>
      </c>
      <c r="I12" s="42">
        <v>103.22</v>
      </c>
      <c r="J12" s="42">
        <f t="shared" si="1"/>
        <v>619.31999999999994</v>
      </c>
      <c r="K12" s="42">
        <f t="shared" si="2"/>
        <v>619.31999999999994</v>
      </c>
      <c r="L12" s="42">
        <f t="shared" si="3"/>
        <v>619.31999999999994</v>
      </c>
      <c r="M12" s="42">
        <f t="shared" si="4"/>
        <v>0</v>
      </c>
      <c r="N12" s="42"/>
    </row>
    <row r="13" spans="1:14">
      <c r="A13" s="50">
        <v>10</v>
      </c>
      <c r="B13" s="234">
        <v>45940</v>
      </c>
      <c r="C13" s="42">
        <v>0</v>
      </c>
      <c r="D13" s="42"/>
      <c r="E13" s="42">
        <v>0</v>
      </c>
      <c r="F13" s="42">
        <v>0</v>
      </c>
      <c r="G13" s="42">
        <f t="shared" si="0"/>
        <v>0</v>
      </c>
      <c r="H13" s="42">
        <v>0</v>
      </c>
      <c r="I13" s="42">
        <v>0</v>
      </c>
      <c r="J13" s="42">
        <f t="shared" si="1"/>
        <v>0</v>
      </c>
      <c r="K13" s="42">
        <f t="shared" si="2"/>
        <v>0</v>
      </c>
      <c r="L13" s="42">
        <f t="shared" si="3"/>
        <v>0</v>
      </c>
      <c r="M13" s="42">
        <f t="shared" si="4"/>
        <v>0</v>
      </c>
      <c r="N13" s="42"/>
    </row>
    <row r="14" spans="1:14">
      <c r="A14" s="50">
        <v>11</v>
      </c>
      <c r="B14" s="234">
        <v>45941</v>
      </c>
      <c r="C14" s="42">
        <v>0</v>
      </c>
      <c r="D14" s="42"/>
      <c r="E14" s="42">
        <v>45</v>
      </c>
      <c r="F14" s="42">
        <v>91.3</v>
      </c>
      <c r="G14" s="42">
        <f t="shared" si="0"/>
        <v>4108.5</v>
      </c>
      <c r="H14" s="42">
        <v>0</v>
      </c>
      <c r="I14" s="42">
        <v>0</v>
      </c>
      <c r="J14" s="42">
        <f t="shared" si="1"/>
        <v>0</v>
      </c>
      <c r="K14" s="42">
        <f t="shared" si="2"/>
        <v>4108.5</v>
      </c>
      <c r="L14" s="42">
        <f t="shared" si="3"/>
        <v>4108.5</v>
      </c>
      <c r="M14" s="42">
        <f t="shared" si="4"/>
        <v>0</v>
      </c>
      <c r="N14" s="42"/>
    </row>
    <row r="15" spans="1:14">
      <c r="A15" s="50">
        <v>12</v>
      </c>
      <c r="B15" s="234">
        <v>45942</v>
      </c>
      <c r="C15" s="42">
        <v>0</v>
      </c>
      <c r="D15" s="42"/>
      <c r="E15" s="42">
        <v>0</v>
      </c>
      <c r="F15" s="42">
        <v>0</v>
      </c>
      <c r="G15" s="42">
        <f t="shared" ref="G15:G21" si="5">E15*F15</f>
        <v>0</v>
      </c>
      <c r="H15" s="42">
        <v>0</v>
      </c>
      <c r="I15" s="42">
        <v>0</v>
      </c>
      <c r="J15" s="42">
        <f t="shared" ref="J15:J21" si="6">H15*I15</f>
        <v>0</v>
      </c>
      <c r="K15" s="42">
        <f t="shared" si="2"/>
        <v>0</v>
      </c>
      <c r="L15" s="42">
        <f t="shared" si="3"/>
        <v>0</v>
      </c>
      <c r="M15" s="42">
        <f t="shared" si="4"/>
        <v>0</v>
      </c>
      <c r="N15" s="42"/>
    </row>
    <row r="16" spans="1:14">
      <c r="A16" s="50">
        <v>13</v>
      </c>
      <c r="B16" s="234">
        <v>45943</v>
      </c>
      <c r="C16" s="42">
        <v>0</v>
      </c>
      <c r="D16" s="42"/>
      <c r="E16" s="42">
        <v>0</v>
      </c>
      <c r="F16" s="42">
        <v>0</v>
      </c>
      <c r="G16" s="42">
        <f t="shared" si="5"/>
        <v>0</v>
      </c>
      <c r="H16" s="42">
        <v>0</v>
      </c>
      <c r="I16" s="42">
        <v>0</v>
      </c>
      <c r="J16" s="42">
        <f t="shared" si="6"/>
        <v>0</v>
      </c>
      <c r="K16" s="42">
        <f t="shared" si="2"/>
        <v>0</v>
      </c>
      <c r="L16" s="42">
        <f t="shared" si="3"/>
        <v>0</v>
      </c>
      <c r="M16" s="42">
        <f t="shared" si="4"/>
        <v>0</v>
      </c>
      <c r="N16" s="42"/>
    </row>
    <row r="17" spans="1:14">
      <c r="A17" s="50">
        <v>14</v>
      </c>
      <c r="B17" s="234">
        <v>45944</v>
      </c>
      <c r="C17" s="42">
        <v>0</v>
      </c>
      <c r="D17" s="42"/>
      <c r="E17" s="42">
        <v>0</v>
      </c>
      <c r="F17" s="42">
        <v>0</v>
      </c>
      <c r="G17" s="42">
        <f t="shared" si="5"/>
        <v>0</v>
      </c>
      <c r="H17" s="42">
        <v>0</v>
      </c>
      <c r="I17" s="42">
        <v>0</v>
      </c>
      <c r="J17" s="42">
        <f t="shared" si="6"/>
        <v>0</v>
      </c>
      <c r="K17" s="42">
        <f t="shared" si="2"/>
        <v>0</v>
      </c>
      <c r="L17" s="42">
        <f t="shared" si="3"/>
        <v>0</v>
      </c>
      <c r="M17" s="42">
        <f t="shared" si="4"/>
        <v>0</v>
      </c>
      <c r="N17" s="42"/>
    </row>
    <row r="18" spans="1:14">
      <c r="A18" s="50">
        <v>15</v>
      </c>
      <c r="B18" s="234">
        <v>45945</v>
      </c>
      <c r="C18" s="42">
        <v>0</v>
      </c>
      <c r="D18" s="42"/>
      <c r="E18" s="42">
        <v>0</v>
      </c>
      <c r="F18" s="42">
        <v>0</v>
      </c>
      <c r="G18" s="42">
        <f t="shared" si="5"/>
        <v>0</v>
      </c>
      <c r="H18" s="42">
        <v>11</v>
      </c>
      <c r="I18" s="42">
        <v>103.22</v>
      </c>
      <c r="J18" s="42">
        <f t="shared" si="6"/>
        <v>1135.42</v>
      </c>
      <c r="K18" s="42">
        <f t="shared" si="2"/>
        <v>1135.42</v>
      </c>
      <c r="L18" s="42">
        <f t="shared" si="3"/>
        <v>1135.42</v>
      </c>
      <c r="M18" s="42">
        <f t="shared" si="4"/>
        <v>0</v>
      </c>
      <c r="N18" s="42"/>
    </row>
    <row r="19" spans="1:14">
      <c r="A19" s="50">
        <v>16</v>
      </c>
      <c r="B19" s="234">
        <v>45946</v>
      </c>
      <c r="C19" s="42">
        <v>0</v>
      </c>
      <c r="D19" s="42"/>
      <c r="E19" s="42">
        <v>0</v>
      </c>
      <c r="F19" s="42">
        <v>0</v>
      </c>
      <c r="G19" s="42">
        <f t="shared" si="5"/>
        <v>0</v>
      </c>
      <c r="H19" s="42">
        <v>0</v>
      </c>
      <c r="I19" s="42">
        <v>0</v>
      </c>
      <c r="J19" s="42">
        <f t="shared" si="6"/>
        <v>0</v>
      </c>
      <c r="K19" s="42">
        <f t="shared" si="2"/>
        <v>0</v>
      </c>
      <c r="L19" s="42">
        <f t="shared" si="3"/>
        <v>0</v>
      </c>
      <c r="M19" s="42">
        <f t="shared" si="4"/>
        <v>0</v>
      </c>
      <c r="N19" s="42"/>
    </row>
    <row r="20" spans="1:14">
      <c r="A20" s="50">
        <v>17</v>
      </c>
      <c r="B20" s="234">
        <v>45947</v>
      </c>
      <c r="C20" s="42">
        <v>0</v>
      </c>
      <c r="D20" s="42"/>
      <c r="E20" s="42">
        <v>40</v>
      </c>
      <c r="F20" s="42">
        <v>91.3</v>
      </c>
      <c r="G20" s="42">
        <f t="shared" si="5"/>
        <v>3652</v>
      </c>
      <c r="H20" s="42">
        <v>0</v>
      </c>
      <c r="I20" s="42">
        <v>0</v>
      </c>
      <c r="J20" s="42">
        <f t="shared" si="6"/>
        <v>0</v>
      </c>
      <c r="K20" s="42">
        <f t="shared" si="2"/>
        <v>3652</v>
      </c>
      <c r="L20" s="42">
        <f t="shared" si="3"/>
        <v>3652</v>
      </c>
      <c r="M20" s="42">
        <f t="shared" si="4"/>
        <v>0</v>
      </c>
      <c r="N20" s="42"/>
    </row>
    <row r="21" spans="1:14">
      <c r="A21" s="50">
        <v>18</v>
      </c>
      <c r="B21" s="234">
        <v>45948</v>
      </c>
      <c r="C21" s="42">
        <v>0</v>
      </c>
      <c r="D21" s="42"/>
      <c r="E21" s="42">
        <v>40</v>
      </c>
      <c r="F21" s="42">
        <v>91.3</v>
      </c>
      <c r="G21" s="42">
        <f t="shared" si="5"/>
        <v>3652</v>
      </c>
      <c r="H21" s="42">
        <v>6</v>
      </c>
      <c r="I21" s="42">
        <v>103.22</v>
      </c>
      <c r="J21" s="42">
        <f t="shared" si="6"/>
        <v>619.31999999999994</v>
      </c>
      <c r="K21" s="42">
        <f t="shared" si="2"/>
        <v>4271.32</v>
      </c>
      <c r="L21" s="42">
        <f t="shared" si="3"/>
        <v>4271.32</v>
      </c>
      <c r="M21" s="42">
        <f t="shared" si="4"/>
        <v>0</v>
      </c>
      <c r="N21" s="42"/>
    </row>
    <row r="22" spans="1:14">
      <c r="A22" s="50">
        <v>19</v>
      </c>
      <c r="B22" s="234">
        <v>45949</v>
      </c>
      <c r="C22" s="42">
        <v>0</v>
      </c>
      <c r="D22" s="42"/>
      <c r="E22" s="42">
        <v>0</v>
      </c>
      <c r="F22" s="42">
        <v>0</v>
      </c>
      <c r="G22" s="42">
        <f t="shared" si="0"/>
        <v>0</v>
      </c>
      <c r="H22" s="42">
        <v>0</v>
      </c>
      <c r="I22" s="42">
        <v>0</v>
      </c>
      <c r="J22" s="42">
        <f t="shared" si="1"/>
        <v>0</v>
      </c>
      <c r="K22" s="42">
        <f t="shared" si="2"/>
        <v>0</v>
      </c>
      <c r="L22" s="42">
        <f t="shared" si="3"/>
        <v>0</v>
      </c>
      <c r="M22" s="42">
        <f t="shared" si="4"/>
        <v>0</v>
      </c>
      <c r="N22" s="42"/>
    </row>
    <row r="23" spans="1:14">
      <c r="A23" s="50">
        <v>20</v>
      </c>
      <c r="B23" s="234">
        <v>45950</v>
      </c>
      <c r="C23" s="42">
        <v>0</v>
      </c>
      <c r="D23" s="42"/>
      <c r="E23" s="42">
        <v>0</v>
      </c>
      <c r="F23" s="42">
        <v>0</v>
      </c>
      <c r="G23" s="42">
        <f t="shared" si="0"/>
        <v>0</v>
      </c>
      <c r="H23" s="42">
        <v>0</v>
      </c>
      <c r="I23" s="42">
        <v>0</v>
      </c>
      <c r="J23" s="42">
        <f t="shared" si="1"/>
        <v>0</v>
      </c>
      <c r="K23" s="42">
        <f t="shared" si="2"/>
        <v>0</v>
      </c>
      <c r="L23" s="42">
        <f t="shared" si="3"/>
        <v>0</v>
      </c>
      <c r="M23" s="42">
        <f t="shared" si="4"/>
        <v>0</v>
      </c>
      <c r="N23" s="42"/>
    </row>
    <row r="24" spans="1:14">
      <c r="A24" s="50">
        <v>21</v>
      </c>
      <c r="B24" s="234">
        <v>45951</v>
      </c>
      <c r="C24" s="42">
        <v>0</v>
      </c>
      <c r="D24" s="42"/>
      <c r="E24" s="42">
        <v>0</v>
      </c>
      <c r="F24" s="42">
        <v>0</v>
      </c>
      <c r="G24" s="42">
        <f t="shared" si="0"/>
        <v>0</v>
      </c>
      <c r="H24" s="42">
        <v>0</v>
      </c>
      <c r="I24" s="42">
        <v>0</v>
      </c>
      <c r="J24" s="42">
        <f t="shared" si="1"/>
        <v>0</v>
      </c>
      <c r="K24" s="42">
        <f t="shared" si="2"/>
        <v>0</v>
      </c>
      <c r="L24" s="42">
        <f t="shared" si="3"/>
        <v>0</v>
      </c>
      <c r="M24" s="42">
        <f t="shared" si="4"/>
        <v>0</v>
      </c>
      <c r="N24" s="42"/>
    </row>
    <row r="25" spans="1:14">
      <c r="A25" s="50">
        <v>22</v>
      </c>
      <c r="B25" s="234">
        <v>45952</v>
      </c>
      <c r="C25" s="42">
        <v>0</v>
      </c>
      <c r="D25" s="42"/>
      <c r="E25" s="42">
        <v>0</v>
      </c>
      <c r="F25" s="42">
        <v>0</v>
      </c>
      <c r="G25" s="42">
        <f t="shared" si="0"/>
        <v>0</v>
      </c>
      <c r="H25" s="42">
        <v>0</v>
      </c>
      <c r="I25" s="42">
        <v>0</v>
      </c>
      <c r="J25" s="42">
        <f t="shared" si="1"/>
        <v>0</v>
      </c>
      <c r="K25" s="42">
        <f t="shared" si="2"/>
        <v>0</v>
      </c>
      <c r="L25" s="42">
        <f t="shared" si="3"/>
        <v>0</v>
      </c>
      <c r="M25" s="42">
        <f t="shared" si="4"/>
        <v>0</v>
      </c>
      <c r="N25" s="42"/>
    </row>
    <row r="26" spans="1:14">
      <c r="A26" s="50">
        <v>23</v>
      </c>
      <c r="B26" s="234">
        <v>45953</v>
      </c>
      <c r="C26" s="42">
        <v>0</v>
      </c>
      <c r="D26" s="42"/>
      <c r="E26" s="42">
        <v>0</v>
      </c>
      <c r="F26" s="42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f t="shared" si="3"/>
        <v>0</v>
      </c>
      <c r="M26" s="42">
        <f t="shared" si="4"/>
        <v>0</v>
      </c>
      <c r="N26" s="42"/>
    </row>
    <row r="27" spans="1:14">
      <c r="A27" s="50">
        <v>24</v>
      </c>
      <c r="B27" s="234">
        <v>45954</v>
      </c>
      <c r="C27" s="42">
        <v>0</v>
      </c>
      <c r="D27" s="42"/>
      <c r="E27" s="42">
        <v>40</v>
      </c>
      <c r="F27" s="42">
        <v>91.3</v>
      </c>
      <c r="G27" s="42">
        <f t="shared" si="0"/>
        <v>3652</v>
      </c>
      <c r="H27" s="42">
        <v>10</v>
      </c>
      <c r="I27" s="42">
        <v>103.22</v>
      </c>
      <c r="J27" s="42">
        <f t="shared" si="1"/>
        <v>1032.2</v>
      </c>
      <c r="K27" s="42">
        <f t="shared" si="2"/>
        <v>4684.2</v>
      </c>
      <c r="L27" s="42">
        <f t="shared" si="3"/>
        <v>4684.2</v>
      </c>
      <c r="M27" s="42">
        <f t="shared" si="4"/>
        <v>0</v>
      </c>
      <c r="N27" s="42"/>
    </row>
    <row r="28" spans="1:14">
      <c r="A28" s="236">
        <v>25</v>
      </c>
      <c r="B28" s="234">
        <v>45955</v>
      </c>
      <c r="C28" s="42">
        <v>0</v>
      </c>
      <c r="D28" s="42"/>
      <c r="E28" s="42">
        <v>40</v>
      </c>
      <c r="F28" s="42">
        <v>91.3</v>
      </c>
      <c r="G28" s="42">
        <f t="shared" si="0"/>
        <v>3652</v>
      </c>
      <c r="H28" s="42">
        <v>0</v>
      </c>
      <c r="I28" s="42">
        <v>0</v>
      </c>
      <c r="J28" s="42">
        <f t="shared" si="1"/>
        <v>0</v>
      </c>
      <c r="K28" s="42">
        <f t="shared" si="2"/>
        <v>3652</v>
      </c>
      <c r="L28" s="42">
        <f t="shared" si="3"/>
        <v>3652</v>
      </c>
      <c r="M28" s="42">
        <f t="shared" si="4"/>
        <v>0</v>
      </c>
      <c r="N28" s="42"/>
    </row>
    <row r="29" spans="1:14">
      <c r="A29" s="236">
        <v>26</v>
      </c>
      <c r="B29" s="234">
        <v>45956</v>
      </c>
      <c r="C29" s="42">
        <v>0</v>
      </c>
      <c r="D29" s="42"/>
      <c r="E29" s="42">
        <v>0</v>
      </c>
      <c r="F29" s="42">
        <v>0</v>
      </c>
      <c r="G29" s="42">
        <f t="shared" si="0"/>
        <v>0</v>
      </c>
      <c r="H29" s="42">
        <v>0</v>
      </c>
      <c r="I29" s="42">
        <v>0</v>
      </c>
      <c r="J29" s="42">
        <f t="shared" si="1"/>
        <v>0</v>
      </c>
      <c r="K29" s="42">
        <f t="shared" si="2"/>
        <v>0</v>
      </c>
      <c r="L29" s="42">
        <f t="shared" si="3"/>
        <v>0</v>
      </c>
      <c r="M29" s="42">
        <f t="shared" si="4"/>
        <v>0</v>
      </c>
      <c r="N29" s="42"/>
    </row>
    <row r="30" spans="1:14">
      <c r="A30" s="236">
        <v>27</v>
      </c>
      <c r="B30" s="234">
        <v>45957</v>
      </c>
      <c r="C30" s="42">
        <v>0</v>
      </c>
      <c r="D30" s="42"/>
      <c r="E30" s="42">
        <v>0</v>
      </c>
      <c r="F30" s="42">
        <v>0</v>
      </c>
      <c r="G30" s="42">
        <f t="shared" si="0"/>
        <v>0</v>
      </c>
      <c r="H30" s="42">
        <v>0</v>
      </c>
      <c r="I30" s="42">
        <v>0</v>
      </c>
      <c r="J30" s="42">
        <f t="shared" si="1"/>
        <v>0</v>
      </c>
      <c r="K30" s="42">
        <f t="shared" si="2"/>
        <v>0</v>
      </c>
      <c r="L30" s="42">
        <f t="shared" si="3"/>
        <v>0</v>
      </c>
      <c r="M30" s="42">
        <f t="shared" si="4"/>
        <v>0</v>
      </c>
      <c r="N30" s="42"/>
    </row>
    <row r="31" spans="1:14">
      <c r="A31" s="236">
        <v>28</v>
      </c>
      <c r="B31" s="234">
        <v>45958</v>
      </c>
      <c r="C31" s="42">
        <v>0</v>
      </c>
      <c r="D31" s="42"/>
      <c r="E31" s="42">
        <v>0</v>
      </c>
      <c r="F31" s="42">
        <v>0</v>
      </c>
      <c r="G31" s="42">
        <f t="shared" si="0"/>
        <v>0</v>
      </c>
      <c r="H31" s="42">
        <v>6</v>
      </c>
      <c r="I31" s="42">
        <v>103.22</v>
      </c>
      <c r="J31" s="42">
        <f t="shared" si="1"/>
        <v>619.31999999999994</v>
      </c>
      <c r="K31" s="42">
        <f t="shared" si="2"/>
        <v>619.31999999999994</v>
      </c>
      <c r="L31" s="42">
        <f t="shared" si="3"/>
        <v>619.31999999999994</v>
      </c>
      <c r="M31" s="42">
        <f t="shared" si="4"/>
        <v>0</v>
      </c>
      <c r="N31" s="42"/>
    </row>
    <row r="32" spans="1:14">
      <c r="A32" s="237">
        <v>29</v>
      </c>
      <c r="B32" s="234">
        <v>45959</v>
      </c>
      <c r="C32" s="42">
        <v>0</v>
      </c>
      <c r="D32" s="42"/>
      <c r="E32" s="42">
        <v>0</v>
      </c>
      <c r="F32" s="42">
        <v>0</v>
      </c>
      <c r="G32" s="42">
        <f t="shared" si="0"/>
        <v>0</v>
      </c>
      <c r="H32" s="42">
        <v>0</v>
      </c>
      <c r="I32" s="42">
        <v>0</v>
      </c>
      <c r="J32" s="42">
        <f t="shared" si="1"/>
        <v>0</v>
      </c>
      <c r="K32" s="42">
        <f t="shared" si="2"/>
        <v>0</v>
      </c>
      <c r="L32" s="42">
        <f t="shared" si="3"/>
        <v>0</v>
      </c>
      <c r="M32" s="42">
        <f t="shared" si="4"/>
        <v>0</v>
      </c>
      <c r="N32" s="42"/>
    </row>
    <row r="33" spans="1:14">
      <c r="A33" s="237">
        <v>30</v>
      </c>
      <c r="B33" s="234">
        <v>45960</v>
      </c>
      <c r="C33" s="42">
        <v>0</v>
      </c>
      <c r="D33" s="42"/>
      <c r="E33" s="42">
        <v>0</v>
      </c>
      <c r="F33" s="42">
        <v>0</v>
      </c>
      <c r="G33" s="42">
        <f t="shared" ref="G33:G34" si="7">E33*F33</f>
        <v>0</v>
      </c>
      <c r="H33" s="42">
        <v>0</v>
      </c>
      <c r="I33" s="42">
        <v>0</v>
      </c>
      <c r="J33" s="42">
        <f t="shared" si="1"/>
        <v>0</v>
      </c>
      <c r="K33" s="42">
        <f t="shared" si="2"/>
        <v>0</v>
      </c>
      <c r="L33" s="42">
        <f t="shared" ref="L33:L34" si="8">+K33</f>
        <v>0</v>
      </c>
      <c r="M33" s="42">
        <f t="shared" si="4"/>
        <v>0</v>
      </c>
      <c r="N33" s="42"/>
    </row>
    <row r="34" spans="1:14">
      <c r="A34" s="237">
        <v>31</v>
      </c>
      <c r="B34" s="234">
        <v>45961</v>
      </c>
      <c r="C34" s="42">
        <v>0</v>
      </c>
      <c r="D34" s="42"/>
      <c r="E34" s="42">
        <v>80.010000000000005</v>
      </c>
      <c r="F34" s="42">
        <v>91.3</v>
      </c>
      <c r="G34" s="42">
        <f t="shared" si="7"/>
        <v>7304.9130000000005</v>
      </c>
      <c r="H34" s="42">
        <v>6.01</v>
      </c>
      <c r="I34" s="42">
        <v>0</v>
      </c>
      <c r="J34" s="42">
        <f t="shared" si="1"/>
        <v>0</v>
      </c>
      <c r="K34" s="42">
        <f t="shared" si="2"/>
        <v>7304.9130000000005</v>
      </c>
      <c r="L34" s="42">
        <f t="shared" si="8"/>
        <v>7304.9130000000005</v>
      </c>
      <c r="M34" s="42">
        <f t="shared" si="4"/>
        <v>0</v>
      </c>
      <c r="N34" s="42"/>
    </row>
    <row r="35" spans="1:14">
      <c r="A35" s="191"/>
      <c r="B35" s="191"/>
      <c r="C35" s="191"/>
      <c r="D35" s="191"/>
      <c r="E35" s="191">
        <f>SUM(E4:E34)</f>
        <v>485.68</v>
      </c>
      <c r="F35" s="191"/>
      <c r="G35" s="191">
        <f>SUM(G4:G34)</f>
        <v>44342.584000000003</v>
      </c>
      <c r="H35" s="191">
        <f>SUM(H4:H34)</f>
        <v>51.01</v>
      </c>
      <c r="I35" s="191"/>
      <c r="J35" s="191">
        <f>SUM(J4:J34)</f>
        <v>4644.8999999999996</v>
      </c>
      <c r="K35" s="191">
        <f>SUM(K4:K34)</f>
        <v>48987.483999999997</v>
      </c>
      <c r="L35" s="191">
        <f>SUM(L4:L34)</f>
        <v>48987.483999999997</v>
      </c>
      <c r="M35" s="191"/>
      <c r="N35" s="19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Z44"/>
  <sheetViews>
    <sheetView workbookViewId="0">
      <pane ySplit="2" topLeftCell="A3" activePane="bottomLeft" state="frozen"/>
      <selection pane="bottomLeft" activeCell="K46" sqref="K46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38" t="s">
        <v>189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88"/>
    </row>
    <row r="2" spans="1:15" ht="16.5" customHeight="1">
      <c r="A2" s="104" t="s">
        <v>96</v>
      </c>
      <c r="B2" s="105" t="s">
        <v>97</v>
      </c>
      <c r="C2" s="105" t="s">
        <v>98</v>
      </c>
      <c r="D2" s="105" t="s">
        <v>111</v>
      </c>
      <c r="E2" s="105" t="s">
        <v>100</v>
      </c>
      <c r="F2" s="105" t="s">
        <v>101</v>
      </c>
      <c r="G2" s="105" t="s">
        <v>102</v>
      </c>
      <c r="H2" s="105" t="s">
        <v>103</v>
      </c>
      <c r="I2" s="105" t="s">
        <v>101</v>
      </c>
      <c r="J2" s="145" t="s">
        <v>102</v>
      </c>
      <c r="K2" s="106" t="s">
        <v>104</v>
      </c>
      <c r="L2" s="146" t="s">
        <v>105</v>
      </c>
      <c r="M2" s="150" t="s">
        <v>110</v>
      </c>
      <c r="N2" s="107" t="s">
        <v>107</v>
      </c>
      <c r="O2" s="65"/>
    </row>
    <row r="3" spans="1:15" ht="16.5" customHeight="1">
      <c r="A3" s="434" t="s">
        <v>108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9"/>
      <c r="M3" s="155">
        <v>0</v>
      </c>
      <c r="N3" s="164"/>
      <c r="O3" s="65"/>
    </row>
    <row r="4" spans="1:15">
      <c r="A4" s="208">
        <v>1</v>
      </c>
      <c r="B4" s="234">
        <v>45931</v>
      </c>
      <c r="C4" s="73"/>
      <c r="D4" s="167"/>
      <c r="E4" s="71">
        <v>0</v>
      </c>
      <c r="F4" s="71">
        <v>0</v>
      </c>
      <c r="G4" s="8">
        <f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5">
      <c r="A5" s="50">
        <v>2</v>
      </c>
      <c r="B5" s="234">
        <v>45932</v>
      </c>
      <c r="C5" s="73"/>
      <c r="D5" s="167"/>
      <c r="E5" s="71">
        <v>0</v>
      </c>
      <c r="F5" s="71">
        <v>0</v>
      </c>
      <c r="G5" s="8">
        <f t="shared" ref="G5:G34" si="0">E5*F5</f>
        <v>0</v>
      </c>
      <c r="H5" s="71">
        <v>0</v>
      </c>
      <c r="I5" s="72">
        <v>0</v>
      </c>
      <c r="J5" s="8">
        <f t="shared" ref="J5:J8" si="1">H5*I5</f>
        <v>0</v>
      </c>
      <c r="K5" s="8">
        <f t="shared" ref="K5:K33" si="2">G5+J5</f>
        <v>0</v>
      </c>
      <c r="L5" s="74">
        <f t="shared" ref="L5:L33" si="3">+K5</f>
        <v>0</v>
      </c>
      <c r="M5" s="74">
        <v>0</v>
      </c>
      <c r="N5" s="8"/>
    </row>
    <row r="6" spans="1:15">
      <c r="A6" s="50">
        <v>3</v>
      </c>
      <c r="B6" s="234">
        <v>45933</v>
      </c>
      <c r="C6" s="73"/>
      <c r="D6" s="167"/>
      <c r="E6" s="71">
        <v>0</v>
      </c>
      <c r="F6" s="71">
        <v>0</v>
      </c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f t="shared" si="3"/>
        <v>0</v>
      </c>
      <c r="M6" s="74">
        <v>0</v>
      </c>
      <c r="N6" s="8"/>
    </row>
    <row r="7" spans="1:15">
      <c r="A7" s="50">
        <v>4</v>
      </c>
      <c r="B7" s="234">
        <v>45934</v>
      </c>
      <c r="C7" s="73"/>
      <c r="D7" s="167"/>
      <c r="E7" s="71">
        <v>0</v>
      </c>
      <c r="F7" s="71">
        <v>0</v>
      </c>
      <c r="G7" s="8">
        <f t="shared" si="0"/>
        <v>0</v>
      </c>
      <c r="H7" s="71">
        <v>9.76</v>
      </c>
      <c r="I7" s="72">
        <v>102.46</v>
      </c>
      <c r="J7" s="8">
        <f t="shared" ref="J7" si="4">H7*I7</f>
        <v>1000.0095999999999</v>
      </c>
      <c r="K7" s="8">
        <f t="shared" si="2"/>
        <v>1000.0095999999999</v>
      </c>
      <c r="L7" s="74">
        <f t="shared" si="3"/>
        <v>1000.0095999999999</v>
      </c>
      <c r="M7" s="74">
        <v>0</v>
      </c>
      <c r="N7" s="8"/>
    </row>
    <row r="8" spans="1:15">
      <c r="A8" s="50">
        <v>5</v>
      </c>
      <c r="B8" s="234">
        <v>45935</v>
      </c>
      <c r="C8" s="73"/>
      <c r="D8" s="167"/>
      <c r="E8" s="71">
        <v>0</v>
      </c>
      <c r="F8" s="71">
        <v>0</v>
      </c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f t="shared" si="3"/>
        <v>0</v>
      </c>
      <c r="M8" s="74">
        <v>0</v>
      </c>
      <c r="N8" s="8"/>
      <c r="O8" s="75"/>
    </row>
    <row r="9" spans="1:15">
      <c r="A9" s="50">
        <v>6</v>
      </c>
      <c r="B9" s="234">
        <v>45936</v>
      </c>
      <c r="C9" s="73"/>
      <c r="D9" s="167"/>
      <c r="E9" s="71">
        <v>0</v>
      </c>
      <c r="F9" s="71">
        <v>0</v>
      </c>
      <c r="G9" s="8">
        <f t="shared" si="0"/>
        <v>0</v>
      </c>
      <c r="H9" s="71">
        <v>0</v>
      </c>
      <c r="I9" s="72">
        <v>0</v>
      </c>
      <c r="J9" s="8">
        <f t="shared" ref="J9:J34" si="5">H9*I9</f>
        <v>0</v>
      </c>
      <c r="K9" s="8">
        <f t="shared" si="2"/>
        <v>0</v>
      </c>
      <c r="L9" s="74">
        <f t="shared" si="3"/>
        <v>0</v>
      </c>
      <c r="M9" s="74">
        <v>0</v>
      </c>
      <c r="N9" s="8"/>
      <c r="O9" s="75"/>
    </row>
    <row r="10" spans="1:15">
      <c r="A10" s="50">
        <v>7</v>
      </c>
      <c r="B10" s="234">
        <v>45937</v>
      </c>
      <c r="C10" s="73"/>
      <c r="D10" s="167"/>
      <c r="E10" s="71">
        <v>0</v>
      </c>
      <c r="F10" s="71">
        <v>0</v>
      </c>
      <c r="G10" s="8">
        <f t="shared" si="0"/>
        <v>0</v>
      </c>
      <c r="H10" s="71">
        <v>9.9600000000000009</v>
      </c>
      <c r="I10" s="72">
        <v>102.46</v>
      </c>
      <c r="J10" s="8">
        <f t="shared" si="5"/>
        <v>1020.5016000000001</v>
      </c>
      <c r="K10" s="8">
        <f t="shared" si="2"/>
        <v>1020.5016000000001</v>
      </c>
      <c r="L10" s="74">
        <f t="shared" si="3"/>
        <v>1020.5016000000001</v>
      </c>
      <c r="M10" s="74">
        <v>0</v>
      </c>
      <c r="N10" s="8"/>
      <c r="O10" s="75"/>
    </row>
    <row r="11" spans="1:15">
      <c r="A11" s="50">
        <v>8</v>
      </c>
      <c r="B11" s="234">
        <v>45938</v>
      </c>
      <c r="C11" s="73"/>
      <c r="D11" s="167"/>
      <c r="E11" s="71">
        <v>0</v>
      </c>
      <c r="F11" s="71">
        <v>0</v>
      </c>
      <c r="G11" s="8">
        <f t="shared" si="0"/>
        <v>0</v>
      </c>
      <c r="H11" s="71">
        <v>0</v>
      </c>
      <c r="I11" s="72">
        <v>0</v>
      </c>
      <c r="J11" s="8">
        <f t="shared" si="5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/>
    </row>
    <row r="12" spans="1:15">
      <c r="A12" s="50">
        <v>9</v>
      </c>
      <c r="B12" s="234">
        <v>45939</v>
      </c>
      <c r="C12" s="73"/>
      <c r="D12" s="167"/>
      <c r="E12" s="71">
        <v>0</v>
      </c>
      <c r="F12" s="71">
        <v>0</v>
      </c>
      <c r="G12" s="8">
        <f t="shared" si="0"/>
        <v>0</v>
      </c>
      <c r="H12" s="71">
        <v>9.76</v>
      </c>
      <c r="I12" s="72">
        <v>102.46</v>
      </c>
      <c r="J12" s="8">
        <f t="shared" si="5"/>
        <v>1000.0095999999999</v>
      </c>
      <c r="K12" s="8">
        <f t="shared" si="2"/>
        <v>1000.0095999999999</v>
      </c>
      <c r="L12" s="74">
        <f t="shared" si="3"/>
        <v>1000.0095999999999</v>
      </c>
      <c r="M12" s="74">
        <v>0</v>
      </c>
      <c r="N12" s="8"/>
      <c r="O12" s="75"/>
    </row>
    <row r="13" spans="1:15">
      <c r="A13" s="50">
        <v>10</v>
      </c>
      <c r="B13" s="234">
        <v>45940</v>
      </c>
      <c r="C13" s="73"/>
      <c r="D13" s="167"/>
      <c r="E13" s="71">
        <v>0</v>
      </c>
      <c r="F13" s="71">
        <v>0</v>
      </c>
      <c r="G13" s="8">
        <f t="shared" si="0"/>
        <v>0</v>
      </c>
      <c r="H13" s="71">
        <v>0</v>
      </c>
      <c r="I13" s="72">
        <v>0</v>
      </c>
      <c r="J13" s="8">
        <f t="shared" si="5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5">
      <c r="A14" s="50">
        <v>11</v>
      </c>
      <c r="B14" s="234">
        <v>45941</v>
      </c>
      <c r="C14" s="73"/>
      <c r="D14" s="167"/>
      <c r="E14" s="71">
        <v>0</v>
      </c>
      <c r="F14" s="71">
        <v>0</v>
      </c>
      <c r="G14" s="8">
        <f t="shared" si="0"/>
        <v>0</v>
      </c>
      <c r="H14" s="71">
        <v>0</v>
      </c>
      <c r="I14" s="72">
        <v>0</v>
      </c>
      <c r="J14" s="8">
        <f t="shared" si="5"/>
        <v>0</v>
      </c>
      <c r="K14" s="8">
        <f t="shared" si="2"/>
        <v>0</v>
      </c>
      <c r="L14" s="74">
        <f t="shared" si="3"/>
        <v>0</v>
      </c>
      <c r="M14" s="74">
        <v>0</v>
      </c>
      <c r="N14" s="8"/>
      <c r="O14" s="75"/>
    </row>
    <row r="15" spans="1:15">
      <c r="A15" s="50">
        <v>12</v>
      </c>
      <c r="B15" s="234">
        <v>45942</v>
      </c>
      <c r="C15" s="73"/>
      <c r="D15" s="167"/>
      <c r="E15" s="71">
        <v>0</v>
      </c>
      <c r="F15" s="71">
        <v>0</v>
      </c>
      <c r="G15" s="8">
        <f t="shared" si="0"/>
        <v>0</v>
      </c>
      <c r="H15" s="71">
        <v>0</v>
      </c>
      <c r="I15" s="72">
        <v>0</v>
      </c>
      <c r="J15" s="8">
        <f t="shared" si="5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</row>
    <row r="16" spans="1:15">
      <c r="A16" s="50">
        <v>13</v>
      </c>
      <c r="B16" s="234">
        <v>45943</v>
      </c>
      <c r="C16" s="73"/>
      <c r="D16" s="167"/>
      <c r="E16" s="71">
        <v>0</v>
      </c>
      <c r="F16" s="71">
        <v>0</v>
      </c>
      <c r="G16" s="8">
        <f t="shared" si="0"/>
        <v>0</v>
      </c>
      <c r="H16" s="71">
        <v>0</v>
      </c>
      <c r="I16" s="72">
        <v>0</v>
      </c>
      <c r="J16" s="8">
        <f t="shared" si="5"/>
        <v>0</v>
      </c>
      <c r="K16" s="8">
        <f t="shared" si="2"/>
        <v>0</v>
      </c>
      <c r="L16" s="74">
        <f t="shared" si="3"/>
        <v>0</v>
      </c>
      <c r="M16" s="74">
        <v>0</v>
      </c>
      <c r="N16" s="8"/>
      <c r="O16" s="75"/>
    </row>
    <row r="17" spans="1:26">
      <c r="A17" s="50">
        <v>14</v>
      </c>
      <c r="B17" s="234">
        <v>45944</v>
      </c>
      <c r="C17" s="73"/>
      <c r="D17" s="167"/>
      <c r="E17" s="71">
        <v>0</v>
      </c>
      <c r="F17" s="71">
        <v>0</v>
      </c>
      <c r="G17" s="8">
        <f t="shared" si="0"/>
        <v>0</v>
      </c>
      <c r="H17" s="71">
        <v>9.18</v>
      </c>
      <c r="I17" s="72">
        <v>102.46</v>
      </c>
      <c r="J17" s="8">
        <f t="shared" si="5"/>
        <v>940.58279999999991</v>
      </c>
      <c r="K17" s="8">
        <f t="shared" si="2"/>
        <v>940.58279999999991</v>
      </c>
      <c r="L17" s="74">
        <f t="shared" si="3"/>
        <v>940.58279999999991</v>
      </c>
      <c r="M17" s="74">
        <v>0</v>
      </c>
      <c r="N17" s="8"/>
      <c r="O17" s="75"/>
    </row>
    <row r="18" spans="1:26">
      <c r="A18" s="50">
        <v>15</v>
      </c>
      <c r="B18" s="234">
        <v>45945</v>
      </c>
      <c r="C18" s="73"/>
      <c r="D18" s="167"/>
      <c r="E18" s="71">
        <v>0</v>
      </c>
      <c r="F18" s="71">
        <v>0</v>
      </c>
      <c r="G18" s="8">
        <f t="shared" si="0"/>
        <v>0</v>
      </c>
      <c r="H18" s="71">
        <v>0</v>
      </c>
      <c r="I18" s="72">
        <v>0</v>
      </c>
      <c r="J18" s="8">
        <f t="shared" si="5"/>
        <v>0</v>
      </c>
      <c r="K18" s="8">
        <f t="shared" si="2"/>
        <v>0</v>
      </c>
      <c r="L18" s="74">
        <f t="shared" si="3"/>
        <v>0</v>
      </c>
      <c r="M18" s="74">
        <v>0</v>
      </c>
      <c r="N18" s="8"/>
      <c r="O18" s="75"/>
    </row>
    <row r="19" spans="1:26">
      <c r="A19" s="50">
        <v>16</v>
      </c>
      <c r="B19" s="234">
        <v>45946</v>
      </c>
      <c r="C19" s="73"/>
      <c r="D19" s="167"/>
      <c r="E19" s="71">
        <v>0</v>
      </c>
      <c r="F19" s="71">
        <v>0</v>
      </c>
      <c r="G19" s="8">
        <f t="shared" si="0"/>
        <v>0</v>
      </c>
      <c r="H19" s="71">
        <v>0</v>
      </c>
      <c r="I19" s="72">
        <v>0</v>
      </c>
      <c r="J19" s="8">
        <f t="shared" si="5"/>
        <v>0</v>
      </c>
      <c r="K19" s="8">
        <f t="shared" si="2"/>
        <v>0</v>
      </c>
      <c r="L19" s="74">
        <f>+K19</f>
        <v>0</v>
      </c>
      <c r="M19" s="74">
        <v>0</v>
      </c>
      <c r="N19" s="8"/>
      <c r="O19" s="75"/>
    </row>
    <row r="20" spans="1:26">
      <c r="A20" s="50">
        <v>17</v>
      </c>
      <c r="B20" s="234">
        <v>45947</v>
      </c>
      <c r="C20" s="73"/>
      <c r="D20" s="167"/>
      <c r="E20" s="71">
        <v>110.41</v>
      </c>
      <c r="F20" s="71">
        <v>90.57</v>
      </c>
      <c r="G20" s="8">
        <f t="shared" si="0"/>
        <v>9999.8336999999992</v>
      </c>
      <c r="H20" s="71">
        <v>0</v>
      </c>
      <c r="I20" s="72">
        <v>0</v>
      </c>
      <c r="J20" s="8">
        <f t="shared" si="5"/>
        <v>0</v>
      </c>
      <c r="K20" s="8">
        <f t="shared" si="2"/>
        <v>9999.8336999999992</v>
      </c>
      <c r="L20" s="74">
        <f t="shared" si="3"/>
        <v>9999.8336999999992</v>
      </c>
      <c r="M20" s="74">
        <v>0</v>
      </c>
      <c r="N20" s="8"/>
      <c r="O20" s="75"/>
    </row>
    <row r="21" spans="1:26">
      <c r="A21" s="50">
        <v>18</v>
      </c>
      <c r="B21" s="234">
        <v>45948</v>
      </c>
      <c r="C21" s="73"/>
      <c r="D21" s="167"/>
      <c r="E21" s="71">
        <v>0</v>
      </c>
      <c r="F21" s="71">
        <v>0</v>
      </c>
      <c r="G21" s="8">
        <f t="shared" si="0"/>
        <v>0</v>
      </c>
      <c r="H21" s="71">
        <v>9.76</v>
      </c>
      <c r="I21" s="72">
        <v>102.46</v>
      </c>
      <c r="J21" s="8">
        <f t="shared" si="5"/>
        <v>1000.0095999999999</v>
      </c>
      <c r="K21" s="8">
        <f t="shared" si="2"/>
        <v>1000.0095999999999</v>
      </c>
      <c r="L21" s="74">
        <f t="shared" si="3"/>
        <v>1000.0095999999999</v>
      </c>
      <c r="M21" s="74">
        <v>0</v>
      </c>
      <c r="N21" s="8"/>
      <c r="O21" s="75"/>
      <c r="Q21">
        <v>18</v>
      </c>
      <c r="R21">
        <v>335.74</v>
      </c>
      <c r="S21">
        <v>97.43</v>
      </c>
      <c r="T21">
        <f>R21*S21</f>
        <v>32711.148200000003</v>
      </c>
      <c r="V21">
        <v>5.56</v>
      </c>
      <c r="W21">
        <v>109.61</v>
      </c>
      <c r="X21">
        <f>V21*W21</f>
        <v>609.4316</v>
      </c>
      <c r="Y21">
        <f>T21+X21</f>
        <v>33320.579800000007</v>
      </c>
      <c r="Z21" t="s">
        <v>190</v>
      </c>
    </row>
    <row r="22" spans="1:26">
      <c r="A22" s="50">
        <v>19</v>
      </c>
      <c r="B22" s="234">
        <v>45949</v>
      </c>
      <c r="C22" s="73"/>
      <c r="D22" s="167"/>
      <c r="E22" s="71">
        <v>0</v>
      </c>
      <c r="F22" s="71">
        <v>0</v>
      </c>
      <c r="G22" s="8">
        <f t="shared" si="0"/>
        <v>0</v>
      </c>
      <c r="H22" s="71">
        <v>0</v>
      </c>
      <c r="I22" s="72">
        <v>0</v>
      </c>
      <c r="J22" s="8">
        <f t="shared" si="5"/>
        <v>0</v>
      </c>
      <c r="K22" s="8">
        <f t="shared" si="2"/>
        <v>0</v>
      </c>
      <c r="L22" s="74">
        <f t="shared" si="3"/>
        <v>0</v>
      </c>
      <c r="M22" s="74">
        <v>0</v>
      </c>
      <c r="N22" s="8"/>
      <c r="O22" s="75"/>
      <c r="Q22">
        <v>19</v>
      </c>
      <c r="R22">
        <v>0</v>
      </c>
      <c r="T22">
        <f>R22*S22</f>
        <v>0</v>
      </c>
      <c r="V22">
        <v>0</v>
      </c>
      <c r="X22">
        <f t="shared" ref="X22:X25" si="6">V22*W22</f>
        <v>0</v>
      </c>
      <c r="Y22">
        <f t="shared" ref="Y22:Y24" si="7">T22+X22</f>
        <v>0</v>
      </c>
      <c r="Z22" t="s">
        <v>190</v>
      </c>
    </row>
    <row r="23" spans="1:26">
      <c r="A23" s="50">
        <v>20</v>
      </c>
      <c r="B23" s="234">
        <v>45950</v>
      </c>
      <c r="C23" s="73"/>
      <c r="D23" s="167"/>
      <c r="E23" s="71">
        <v>0</v>
      </c>
      <c r="F23" s="71">
        <v>0</v>
      </c>
      <c r="G23" s="8">
        <f t="shared" si="0"/>
        <v>0</v>
      </c>
      <c r="H23" s="71">
        <v>0</v>
      </c>
      <c r="I23" s="72">
        <v>0</v>
      </c>
      <c r="J23" s="8">
        <f t="shared" si="5"/>
        <v>0</v>
      </c>
      <c r="K23" s="8">
        <f t="shared" si="2"/>
        <v>0</v>
      </c>
      <c r="L23" s="74">
        <f t="shared" si="3"/>
        <v>0</v>
      </c>
      <c r="M23" s="74">
        <v>0</v>
      </c>
      <c r="N23" s="8"/>
      <c r="O23" s="75"/>
      <c r="Q23">
        <v>20</v>
      </c>
      <c r="R23">
        <v>61.58</v>
      </c>
      <c r="S23">
        <v>97.43</v>
      </c>
      <c r="T23">
        <f t="shared" ref="T23:T25" si="8">R23*S23</f>
        <v>5999.7394000000004</v>
      </c>
      <c r="X23">
        <f t="shared" si="6"/>
        <v>0</v>
      </c>
      <c r="Y23">
        <f t="shared" si="7"/>
        <v>5999.7394000000004</v>
      </c>
      <c r="Z23" t="s">
        <v>190</v>
      </c>
    </row>
    <row r="24" spans="1:26">
      <c r="A24" s="50">
        <v>21</v>
      </c>
      <c r="B24" s="234">
        <v>45951</v>
      </c>
      <c r="C24" s="73"/>
      <c r="D24" s="167"/>
      <c r="E24" s="71">
        <v>0</v>
      </c>
      <c r="F24" s="71">
        <v>0</v>
      </c>
      <c r="G24" s="8">
        <f t="shared" si="0"/>
        <v>0</v>
      </c>
      <c r="H24" s="71">
        <v>0</v>
      </c>
      <c r="I24" s="72">
        <v>0</v>
      </c>
      <c r="J24" s="8">
        <f t="shared" si="5"/>
        <v>0</v>
      </c>
      <c r="K24" s="8">
        <f t="shared" si="2"/>
        <v>0</v>
      </c>
      <c r="L24" s="74">
        <f t="shared" si="3"/>
        <v>0</v>
      </c>
      <c r="M24" s="74">
        <v>0</v>
      </c>
      <c r="N24" s="8"/>
      <c r="O24" s="75"/>
      <c r="Q24">
        <v>23</v>
      </c>
      <c r="R24">
        <v>200</v>
      </c>
      <c r="S24">
        <v>97.76</v>
      </c>
      <c r="T24">
        <f t="shared" si="8"/>
        <v>19552</v>
      </c>
      <c r="X24">
        <f t="shared" si="6"/>
        <v>0</v>
      </c>
      <c r="Y24">
        <f t="shared" si="7"/>
        <v>19552</v>
      </c>
      <c r="Z24" t="s">
        <v>191</v>
      </c>
    </row>
    <row r="25" spans="1:26">
      <c r="A25" s="50">
        <v>22</v>
      </c>
      <c r="B25" s="234">
        <v>45952</v>
      </c>
      <c r="C25" s="73"/>
      <c r="D25" s="167"/>
      <c r="E25" s="71">
        <v>0</v>
      </c>
      <c r="F25" s="71">
        <v>0</v>
      </c>
      <c r="G25" s="8">
        <f t="shared" si="0"/>
        <v>0</v>
      </c>
      <c r="H25" s="71">
        <v>0</v>
      </c>
      <c r="I25" s="72">
        <v>0</v>
      </c>
      <c r="J25" s="8">
        <f t="shared" si="5"/>
        <v>0</v>
      </c>
      <c r="K25" s="8">
        <f t="shared" si="2"/>
        <v>0</v>
      </c>
      <c r="L25" s="74">
        <f t="shared" si="3"/>
        <v>0</v>
      </c>
      <c r="M25" s="74">
        <v>0</v>
      </c>
      <c r="N25" s="8"/>
      <c r="O25" s="75"/>
      <c r="Q25">
        <v>24</v>
      </c>
      <c r="R25">
        <v>98.62</v>
      </c>
      <c r="S25">
        <v>97.43</v>
      </c>
      <c r="T25">
        <f t="shared" si="8"/>
        <v>9608.5466000000015</v>
      </c>
      <c r="V25">
        <v>5.83</v>
      </c>
      <c r="W25">
        <v>109.61</v>
      </c>
      <c r="X25">
        <f t="shared" si="6"/>
        <v>639.02629999999999</v>
      </c>
      <c r="Y25">
        <f>T25+X25</f>
        <v>10247.572900000001</v>
      </c>
    </row>
    <row r="26" spans="1:26">
      <c r="A26" s="50">
        <v>23</v>
      </c>
      <c r="B26" s="234">
        <v>45953</v>
      </c>
      <c r="C26" s="73"/>
      <c r="D26" s="167"/>
      <c r="E26" s="71">
        <v>0</v>
      </c>
      <c r="F26" s="71">
        <v>0</v>
      </c>
      <c r="G26" s="8">
        <f t="shared" si="0"/>
        <v>0</v>
      </c>
      <c r="H26" s="71">
        <v>9.76</v>
      </c>
      <c r="I26" s="72">
        <v>102.46</v>
      </c>
      <c r="J26" s="8">
        <f t="shared" si="5"/>
        <v>1000.0095999999999</v>
      </c>
      <c r="K26" s="8">
        <f t="shared" si="2"/>
        <v>1000.0095999999999</v>
      </c>
      <c r="L26" s="74">
        <f t="shared" si="3"/>
        <v>1000.0095999999999</v>
      </c>
      <c r="M26" s="74">
        <v>0</v>
      </c>
      <c r="N26" s="8"/>
      <c r="O26" s="75"/>
    </row>
    <row r="27" spans="1:26">
      <c r="A27" s="50">
        <v>24</v>
      </c>
      <c r="B27" s="234">
        <v>45954</v>
      </c>
      <c r="C27" s="73"/>
      <c r="D27" s="167"/>
      <c r="E27" s="71">
        <v>0</v>
      </c>
      <c r="F27" s="71">
        <v>0</v>
      </c>
      <c r="G27" s="8">
        <f t="shared" si="0"/>
        <v>0</v>
      </c>
      <c r="H27" s="71">
        <v>0</v>
      </c>
      <c r="I27" s="72">
        <v>0</v>
      </c>
      <c r="J27" s="8">
        <f t="shared" si="5"/>
        <v>0</v>
      </c>
      <c r="K27" s="8">
        <f t="shared" si="2"/>
        <v>0</v>
      </c>
      <c r="L27" s="74">
        <f t="shared" si="3"/>
        <v>0</v>
      </c>
      <c r="M27" s="74">
        <v>0</v>
      </c>
      <c r="N27" s="8"/>
      <c r="O27" s="75"/>
    </row>
    <row r="28" spans="1:26">
      <c r="A28" s="236">
        <v>25</v>
      </c>
      <c r="B28" s="234">
        <v>45955</v>
      </c>
      <c r="C28" s="73"/>
      <c r="D28" s="167"/>
      <c r="E28" s="71">
        <v>0</v>
      </c>
      <c r="F28" s="71">
        <v>0</v>
      </c>
      <c r="G28" s="8">
        <f t="shared" si="0"/>
        <v>0</v>
      </c>
      <c r="H28" s="71">
        <v>9.76</v>
      </c>
      <c r="I28" s="72">
        <v>102.46</v>
      </c>
      <c r="J28" s="8">
        <f t="shared" si="5"/>
        <v>1000.0095999999999</v>
      </c>
      <c r="K28" s="8">
        <f t="shared" si="2"/>
        <v>1000.0095999999999</v>
      </c>
      <c r="L28" s="74">
        <f t="shared" si="3"/>
        <v>1000.0095999999999</v>
      </c>
      <c r="M28" s="74">
        <v>0</v>
      </c>
      <c r="N28" s="8"/>
      <c r="O28" s="75"/>
    </row>
    <row r="29" spans="1:26">
      <c r="A29" s="236">
        <v>26</v>
      </c>
      <c r="B29" s="234">
        <v>45956</v>
      </c>
      <c r="C29" s="73"/>
      <c r="D29" s="167"/>
      <c r="E29" s="71">
        <v>0</v>
      </c>
      <c r="F29" s="71">
        <v>0</v>
      </c>
      <c r="G29" s="8">
        <f t="shared" si="0"/>
        <v>0</v>
      </c>
      <c r="H29" s="71">
        <v>0</v>
      </c>
      <c r="I29" s="72">
        <v>0</v>
      </c>
      <c r="J29" s="8">
        <f t="shared" si="5"/>
        <v>0</v>
      </c>
      <c r="K29" s="8">
        <f t="shared" si="2"/>
        <v>0</v>
      </c>
      <c r="L29" s="74">
        <f t="shared" si="3"/>
        <v>0</v>
      </c>
      <c r="M29" s="74">
        <v>0</v>
      </c>
      <c r="N29" s="8"/>
      <c r="O29" s="75"/>
    </row>
    <row r="30" spans="1:26">
      <c r="A30" s="236">
        <v>27</v>
      </c>
      <c r="B30" s="234">
        <v>45957</v>
      </c>
      <c r="C30" s="73"/>
      <c r="D30" s="167"/>
      <c r="E30" s="71">
        <v>0</v>
      </c>
      <c r="F30" s="71">
        <v>0</v>
      </c>
      <c r="G30" s="8">
        <f t="shared" si="0"/>
        <v>0</v>
      </c>
      <c r="H30" s="71">
        <v>0</v>
      </c>
      <c r="I30" s="72">
        <v>0</v>
      </c>
      <c r="J30" s="8">
        <f t="shared" si="5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26">
      <c r="A31" s="236">
        <v>28</v>
      </c>
      <c r="B31" s="234">
        <v>45958</v>
      </c>
      <c r="C31" s="73"/>
      <c r="D31" s="167"/>
      <c r="E31" s="71">
        <v>0</v>
      </c>
      <c r="F31" s="71">
        <v>0</v>
      </c>
      <c r="G31" s="8">
        <f t="shared" si="0"/>
        <v>0</v>
      </c>
      <c r="H31" s="71">
        <v>0</v>
      </c>
      <c r="I31" s="72">
        <v>0</v>
      </c>
      <c r="J31" s="8">
        <f t="shared" si="5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26">
      <c r="A32" s="237">
        <v>29</v>
      </c>
      <c r="B32" s="234">
        <v>45959</v>
      </c>
      <c r="C32" s="73"/>
      <c r="D32" s="167"/>
      <c r="E32" s="71">
        <v>0</v>
      </c>
      <c r="F32" s="71">
        <v>0</v>
      </c>
      <c r="G32" s="8">
        <f t="shared" si="0"/>
        <v>0</v>
      </c>
      <c r="H32" s="71">
        <v>0</v>
      </c>
      <c r="I32" s="72">
        <v>0</v>
      </c>
      <c r="J32" s="8">
        <f t="shared" si="5"/>
        <v>0</v>
      </c>
      <c r="K32" s="8">
        <f t="shared" si="2"/>
        <v>0</v>
      </c>
      <c r="L32" s="74">
        <f t="shared" si="3"/>
        <v>0</v>
      </c>
      <c r="M32" s="74">
        <v>0</v>
      </c>
      <c r="N32" s="8"/>
      <c r="O32" s="75"/>
    </row>
    <row r="33" spans="1:15">
      <c r="A33" s="237">
        <v>30</v>
      </c>
      <c r="B33" s="234">
        <v>45960</v>
      </c>
      <c r="C33" s="73"/>
      <c r="D33" s="167"/>
      <c r="E33" s="71">
        <v>0</v>
      </c>
      <c r="F33" s="71">
        <v>0</v>
      </c>
      <c r="G33" s="8">
        <f t="shared" si="0"/>
        <v>0</v>
      </c>
      <c r="H33" s="71">
        <v>0</v>
      </c>
      <c r="I33" s="72">
        <v>0</v>
      </c>
      <c r="J33" s="8">
        <f t="shared" si="5"/>
        <v>0</v>
      </c>
      <c r="K33" s="8">
        <f t="shared" si="2"/>
        <v>0</v>
      </c>
      <c r="L33" s="74">
        <f t="shared" si="3"/>
        <v>0</v>
      </c>
      <c r="M33" s="74">
        <v>0</v>
      </c>
      <c r="N33" s="8"/>
      <c r="O33" s="75"/>
    </row>
    <row r="34" spans="1:15">
      <c r="A34" s="237">
        <v>31</v>
      </c>
      <c r="B34" s="234"/>
      <c r="C34" s="73"/>
      <c r="D34" s="167"/>
      <c r="E34" s="71">
        <v>0</v>
      </c>
      <c r="F34" s="71">
        <v>0</v>
      </c>
      <c r="G34" s="8">
        <f t="shared" si="0"/>
        <v>0</v>
      </c>
      <c r="H34" s="71">
        <v>0</v>
      </c>
      <c r="I34" s="72">
        <v>0</v>
      </c>
      <c r="J34" s="8">
        <f t="shared" si="5"/>
        <v>0</v>
      </c>
      <c r="K34" s="8">
        <f t="shared" ref="K34" si="9">G34+J34</f>
        <v>0</v>
      </c>
      <c r="L34" s="74">
        <f t="shared" ref="L34" si="10">+K34</f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69">
        <f>SUM(E4:E34)</f>
        <v>110.41</v>
      </c>
      <c r="F35" s="69"/>
      <c r="G35" s="69">
        <f>SUM(G4:G34)</f>
        <v>9999.8336999999992</v>
      </c>
      <c r="H35" s="69">
        <f>SUM(H4:H34)</f>
        <v>67.94</v>
      </c>
      <c r="I35" s="69"/>
      <c r="J35" s="69">
        <f>SUM(J4:J34)</f>
        <v>6961.1323999999986</v>
      </c>
      <c r="K35" s="69">
        <f>SUM(K4:K34)</f>
        <v>16960.966099999998</v>
      </c>
      <c r="L35" s="69">
        <f>SUM(L4:L34)</f>
        <v>16960.966099999998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40"/>
      <c r="C43" s="440"/>
      <c r="D43" s="440"/>
      <c r="E43" s="440"/>
      <c r="F43" s="75"/>
      <c r="G43" s="75"/>
      <c r="H43" s="75"/>
      <c r="I43" s="440"/>
      <c r="J43" s="440"/>
      <c r="K43" s="440"/>
      <c r="L43" s="440"/>
      <c r="M43" s="440"/>
      <c r="N43" s="440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86"/>
  <sheetViews>
    <sheetView workbookViewId="0">
      <pane ySplit="4" topLeftCell="A7" activePane="bottomLeft" state="frozen"/>
      <selection pane="bottomLeft" activeCell="C14" sqref="C14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style="195" customWidth="1"/>
    <col min="6" max="6" width="12.85546875" style="195" customWidth="1"/>
    <col min="7" max="7" width="12.5703125" style="195" bestFit="1" customWidth="1"/>
    <col min="8" max="8" width="12.5703125" style="195" customWidth="1"/>
    <col min="9" max="10" width="9.140625" style="195"/>
    <col min="11" max="11" width="18.7109375" style="195" customWidth="1"/>
    <col min="12" max="12" width="24.140625" style="195" customWidth="1"/>
    <col min="13" max="13" width="16.5703125" style="195" customWidth="1"/>
    <col min="14" max="14" width="19.85546875" style="195" customWidth="1"/>
    <col min="15" max="15" width="13.42578125" style="195" customWidth="1"/>
    <col min="16" max="21" width="9.140625" style="195"/>
  </cols>
  <sheetData>
    <row r="1" spans="1:15" ht="15.75">
      <c r="A1" s="263" t="s">
        <v>192</v>
      </c>
      <c r="B1" s="263"/>
      <c r="C1" s="263"/>
      <c r="D1" s="263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</row>
    <row r="2" spans="1:15" ht="26.25" customHeight="1">
      <c r="A2" s="70" t="s">
        <v>96</v>
      </c>
      <c r="B2" s="89" t="s">
        <v>97</v>
      </c>
      <c r="C2" s="89" t="s">
        <v>193</v>
      </c>
      <c r="D2" s="89" t="s">
        <v>194</v>
      </c>
      <c r="E2" s="308" t="s">
        <v>100</v>
      </c>
      <c r="F2" s="308" t="s">
        <v>101</v>
      </c>
      <c r="G2" s="309" t="s">
        <v>102</v>
      </c>
      <c r="H2" s="308" t="s">
        <v>103</v>
      </c>
      <c r="I2" s="308" t="s">
        <v>101</v>
      </c>
      <c r="J2" s="309" t="s">
        <v>102</v>
      </c>
      <c r="K2" s="310" t="s">
        <v>104</v>
      </c>
      <c r="L2" s="311" t="s">
        <v>195</v>
      </c>
      <c r="M2" s="312" t="s">
        <v>110</v>
      </c>
      <c r="N2" s="308" t="s">
        <v>107</v>
      </c>
      <c r="O2" s="308" t="s">
        <v>196</v>
      </c>
    </row>
    <row r="3" spans="1:15" ht="15.75">
      <c r="A3" s="264" t="s">
        <v>108</v>
      </c>
      <c r="B3" s="264"/>
      <c r="C3" s="264"/>
      <c r="D3" s="264"/>
      <c r="E3" s="313"/>
      <c r="F3" s="313"/>
      <c r="G3" s="313"/>
      <c r="H3" s="313"/>
      <c r="I3" s="313"/>
      <c r="J3" s="313"/>
      <c r="K3" s="338">
        <v>90421.72</v>
      </c>
      <c r="L3" s="338"/>
      <c r="M3" s="338"/>
      <c r="N3" s="314"/>
      <c r="O3" s="315"/>
    </row>
    <row r="4" spans="1:15">
      <c r="A4" s="334">
        <v>1</v>
      </c>
      <c r="B4" s="238" t="s">
        <v>178</v>
      </c>
      <c r="C4" s="110" t="s">
        <v>197</v>
      </c>
      <c r="D4" s="175" t="s">
        <v>198</v>
      </c>
      <c r="E4" s="316">
        <v>36.79</v>
      </c>
      <c r="F4" s="316">
        <v>95.7</v>
      </c>
      <c r="G4" s="316">
        <f>E4*F4</f>
        <v>3520.8029999999999</v>
      </c>
      <c r="H4" s="110"/>
      <c r="I4" s="110"/>
      <c r="J4" s="316">
        <f>H4*I4</f>
        <v>0</v>
      </c>
      <c r="K4" s="316">
        <f t="shared" ref="K4:K9" si="0">G4+J4</f>
        <v>3520.8029999999999</v>
      </c>
      <c r="L4" s="317"/>
      <c r="M4" s="317">
        <f>K3+L4-K4</f>
        <v>86900.917000000001</v>
      </c>
      <c r="N4" s="333"/>
      <c r="O4" s="317"/>
    </row>
    <row r="5" spans="1:15">
      <c r="A5" s="103">
        <v>2</v>
      </c>
      <c r="B5" s="238" t="s">
        <v>178</v>
      </c>
      <c r="C5" s="110" t="s">
        <v>199</v>
      </c>
      <c r="D5" s="175" t="s">
        <v>200</v>
      </c>
      <c r="E5" s="316">
        <v>400.27</v>
      </c>
      <c r="F5" s="316">
        <v>92.14</v>
      </c>
      <c r="G5" s="316">
        <f t="shared" ref="G5:G59" si="1">E5*F5</f>
        <v>36880.877800000002</v>
      </c>
      <c r="H5" s="110">
        <v>30</v>
      </c>
      <c r="I5" s="110">
        <v>103.97</v>
      </c>
      <c r="J5" s="316">
        <f t="shared" ref="J5:J63" si="2">H5*I5</f>
        <v>3119.1</v>
      </c>
      <c r="K5" s="316">
        <f t="shared" si="0"/>
        <v>39999.977800000001</v>
      </c>
      <c r="L5" s="317"/>
      <c r="M5" s="316">
        <f>M4+L5-K5</f>
        <v>46900.939200000001</v>
      </c>
      <c r="N5" s="319"/>
      <c r="O5" s="316"/>
    </row>
    <row r="6" spans="1:15">
      <c r="A6" s="103">
        <v>3</v>
      </c>
      <c r="B6" s="238" t="s">
        <v>155</v>
      </c>
      <c r="C6" s="175" t="s">
        <v>201</v>
      </c>
      <c r="D6" s="110" t="s">
        <v>202</v>
      </c>
      <c r="E6" s="316">
        <v>32.39</v>
      </c>
      <c r="F6" s="316">
        <v>95.7</v>
      </c>
      <c r="G6" s="316">
        <f t="shared" si="1"/>
        <v>3099.723</v>
      </c>
      <c r="H6" s="110"/>
      <c r="I6" s="110"/>
      <c r="J6" s="316">
        <f t="shared" si="2"/>
        <v>0</v>
      </c>
      <c r="K6" s="316">
        <f t="shared" si="0"/>
        <v>3099.723</v>
      </c>
      <c r="L6" s="317"/>
      <c r="M6" s="316">
        <f t="shared" ref="M6:M76" si="3">M5+L6-K6</f>
        <v>43801.216200000003</v>
      </c>
      <c r="N6" s="319"/>
      <c r="O6" s="316"/>
    </row>
    <row r="7" spans="1:15">
      <c r="A7" s="334">
        <v>4</v>
      </c>
      <c r="B7" s="238" t="s">
        <v>157</v>
      </c>
      <c r="C7" s="17" t="s">
        <v>203</v>
      </c>
      <c r="D7" s="175" t="s">
        <v>204</v>
      </c>
      <c r="E7" s="316"/>
      <c r="F7" s="316"/>
      <c r="G7" s="316">
        <f t="shared" si="1"/>
        <v>0</v>
      </c>
      <c r="H7" s="110">
        <v>3.72</v>
      </c>
      <c r="I7" s="110">
        <v>107.46</v>
      </c>
      <c r="J7" s="316">
        <f t="shared" si="2"/>
        <v>399.75119999999998</v>
      </c>
      <c r="K7" s="316">
        <f t="shared" si="0"/>
        <v>399.75119999999998</v>
      </c>
      <c r="L7" s="317"/>
      <c r="M7" s="316">
        <f t="shared" si="3"/>
        <v>43401.465000000004</v>
      </c>
      <c r="N7" s="319"/>
      <c r="O7" s="316"/>
    </row>
    <row r="8" spans="1:15">
      <c r="A8" s="103">
        <v>5</v>
      </c>
      <c r="B8" s="238" t="s">
        <v>157</v>
      </c>
      <c r="C8" s="175" t="s">
        <v>205</v>
      </c>
      <c r="D8" s="175" t="s">
        <v>200</v>
      </c>
      <c r="E8" s="316">
        <v>185</v>
      </c>
      <c r="F8" s="316">
        <v>92.19</v>
      </c>
      <c r="G8" s="316">
        <f t="shared" si="1"/>
        <v>17055.149999999998</v>
      </c>
      <c r="H8" s="110">
        <v>25</v>
      </c>
      <c r="I8" s="110">
        <v>104.03</v>
      </c>
      <c r="J8" s="316">
        <f t="shared" si="2"/>
        <v>2600.75</v>
      </c>
      <c r="K8" s="316">
        <f t="shared" si="0"/>
        <v>19655.899999999998</v>
      </c>
      <c r="L8" s="317"/>
      <c r="M8" s="316">
        <f t="shared" si="3"/>
        <v>23745.565000000006</v>
      </c>
      <c r="N8" s="319"/>
      <c r="O8" s="316"/>
    </row>
    <row r="9" spans="1:15">
      <c r="A9" s="103">
        <v>6</v>
      </c>
      <c r="B9" s="238" t="s">
        <v>158</v>
      </c>
      <c r="C9" s="175" t="s">
        <v>206</v>
      </c>
      <c r="D9" s="175" t="s">
        <v>207</v>
      </c>
      <c r="E9" s="316">
        <v>10112.049999999999</v>
      </c>
      <c r="F9" s="316">
        <v>96.42</v>
      </c>
      <c r="G9" s="316">
        <f t="shared" si="1"/>
        <v>975003.86099999992</v>
      </c>
      <c r="H9" s="110"/>
      <c r="I9" s="110"/>
      <c r="J9" s="316">
        <f t="shared" si="2"/>
        <v>0</v>
      </c>
      <c r="K9" s="316">
        <f t="shared" si="0"/>
        <v>975003.86099999992</v>
      </c>
      <c r="L9" s="317">
        <v>1200000</v>
      </c>
      <c r="M9" s="316">
        <f>M8+L9-K9</f>
        <v>248741.70400000003</v>
      </c>
      <c r="N9" s="319"/>
      <c r="O9" s="316"/>
    </row>
    <row r="10" spans="1:15">
      <c r="A10" s="334">
        <v>7</v>
      </c>
      <c r="B10" s="238" t="s">
        <v>158</v>
      </c>
      <c r="C10" s="175" t="s">
        <v>208</v>
      </c>
      <c r="D10" s="175" t="s">
        <v>209</v>
      </c>
      <c r="E10" s="316">
        <v>43.61</v>
      </c>
      <c r="F10" s="316">
        <v>96.83</v>
      </c>
      <c r="G10" s="316">
        <f t="shared" si="1"/>
        <v>4222.7563</v>
      </c>
      <c r="H10" s="110"/>
      <c r="I10" s="110"/>
      <c r="J10" s="316">
        <f t="shared" si="2"/>
        <v>0</v>
      </c>
      <c r="K10" s="316">
        <f t="shared" ref="K10:K60" si="4">G10+J10</f>
        <v>4222.7563</v>
      </c>
      <c r="L10" s="317"/>
      <c r="M10" s="316">
        <f t="shared" si="3"/>
        <v>244518.94770000002</v>
      </c>
      <c r="N10" s="346"/>
      <c r="O10" s="318"/>
    </row>
    <row r="11" spans="1:15">
      <c r="A11" s="103">
        <v>8</v>
      </c>
      <c r="B11" s="238" t="s">
        <v>158</v>
      </c>
      <c r="C11" s="110" t="s">
        <v>210</v>
      </c>
      <c r="D11" s="175" t="s">
        <v>198</v>
      </c>
      <c r="E11" s="110">
        <v>46.79</v>
      </c>
      <c r="F11" s="110">
        <v>96.21</v>
      </c>
      <c r="G11" s="316">
        <f t="shared" si="1"/>
        <v>4501.6659</v>
      </c>
      <c r="H11" s="110"/>
      <c r="I11" s="110"/>
      <c r="J11" s="316">
        <f t="shared" si="2"/>
        <v>0</v>
      </c>
      <c r="K11" s="316">
        <f t="shared" si="4"/>
        <v>4501.6659</v>
      </c>
      <c r="L11" s="317"/>
      <c r="M11" s="316">
        <f t="shared" si="3"/>
        <v>240017.28180000003</v>
      </c>
      <c r="N11" s="346"/>
      <c r="O11" s="318"/>
    </row>
    <row r="12" spans="1:15">
      <c r="A12" s="103">
        <v>9</v>
      </c>
      <c r="B12" s="238" t="s">
        <v>158</v>
      </c>
      <c r="C12" s="110" t="s">
        <v>211</v>
      </c>
      <c r="D12" s="175" t="s">
        <v>212</v>
      </c>
      <c r="E12" s="110">
        <v>25</v>
      </c>
      <c r="F12" s="110">
        <v>92.22</v>
      </c>
      <c r="G12" s="316">
        <f t="shared" si="1"/>
        <v>2305.5</v>
      </c>
      <c r="H12" s="110"/>
      <c r="I12" s="110"/>
      <c r="J12" s="316">
        <f t="shared" si="2"/>
        <v>0</v>
      </c>
      <c r="K12" s="316">
        <f t="shared" si="4"/>
        <v>2305.5</v>
      </c>
      <c r="L12" s="317"/>
      <c r="M12" s="316">
        <f t="shared" si="3"/>
        <v>237711.78180000003</v>
      </c>
      <c r="N12" s="346"/>
      <c r="O12" s="318"/>
    </row>
    <row r="13" spans="1:15">
      <c r="A13" s="334">
        <v>10</v>
      </c>
      <c r="B13" s="238" t="s">
        <v>159</v>
      </c>
      <c r="C13" s="110" t="s">
        <v>213</v>
      </c>
      <c r="D13" s="110" t="s">
        <v>200</v>
      </c>
      <c r="E13" s="110">
        <v>2175.58</v>
      </c>
      <c r="F13" s="110">
        <v>91.93</v>
      </c>
      <c r="G13" s="316">
        <f t="shared" si="1"/>
        <v>200001.06940000001</v>
      </c>
      <c r="H13" s="110"/>
      <c r="I13" s="110"/>
      <c r="J13" s="317">
        <f t="shared" si="2"/>
        <v>0</v>
      </c>
      <c r="K13" s="316">
        <f t="shared" si="4"/>
        <v>200001.06940000001</v>
      </c>
      <c r="L13" s="317"/>
      <c r="M13" s="316">
        <f t="shared" si="3"/>
        <v>37710.712400000019</v>
      </c>
      <c r="N13" s="319"/>
      <c r="O13" s="316"/>
    </row>
    <row r="14" spans="1:15">
      <c r="A14" s="103">
        <v>11</v>
      </c>
      <c r="B14" s="238" t="s">
        <v>159</v>
      </c>
      <c r="C14" s="175" t="s">
        <v>214</v>
      </c>
      <c r="D14" s="110" t="s">
        <v>200</v>
      </c>
      <c r="E14" s="316">
        <v>243.11</v>
      </c>
      <c r="F14" s="316">
        <v>92.14</v>
      </c>
      <c r="G14" s="316">
        <f t="shared" si="1"/>
        <v>22400.1554</v>
      </c>
      <c r="H14" s="110">
        <v>25.01</v>
      </c>
      <c r="I14" s="110">
        <v>103.97</v>
      </c>
      <c r="J14" s="317">
        <f t="shared" si="2"/>
        <v>2600.2897000000003</v>
      </c>
      <c r="K14" s="316">
        <f t="shared" si="4"/>
        <v>25000.445100000001</v>
      </c>
      <c r="L14" s="317"/>
      <c r="M14" s="316">
        <f t="shared" si="3"/>
        <v>12710.267300000018</v>
      </c>
      <c r="N14" s="319"/>
      <c r="O14" s="316"/>
    </row>
    <row r="15" spans="1:15">
      <c r="A15" s="103">
        <v>12</v>
      </c>
      <c r="B15" s="238" t="s">
        <v>159</v>
      </c>
      <c r="C15" s="110" t="s">
        <v>215</v>
      </c>
      <c r="D15" s="110" t="s">
        <v>202</v>
      </c>
      <c r="E15" s="316">
        <v>33.29</v>
      </c>
      <c r="F15" s="316">
        <v>96.13</v>
      </c>
      <c r="G15" s="316">
        <f t="shared" si="1"/>
        <v>3200.1677</v>
      </c>
      <c r="H15" s="110"/>
      <c r="I15" s="110"/>
      <c r="J15" s="317">
        <f t="shared" si="2"/>
        <v>0</v>
      </c>
      <c r="K15" s="316">
        <f t="shared" si="4"/>
        <v>3200.1677</v>
      </c>
      <c r="L15" s="317"/>
      <c r="M15" s="316">
        <f t="shared" si="3"/>
        <v>9510.0996000000177</v>
      </c>
      <c r="N15" s="319"/>
      <c r="O15" s="316"/>
    </row>
    <row r="16" spans="1:15">
      <c r="A16" s="334">
        <v>13</v>
      </c>
      <c r="B16" s="238" t="s">
        <v>161</v>
      </c>
      <c r="C16" s="110" t="s">
        <v>216</v>
      </c>
      <c r="D16" s="110" t="s">
        <v>217</v>
      </c>
      <c r="E16" s="316">
        <v>715.23</v>
      </c>
      <c r="F16" s="316">
        <v>90.88</v>
      </c>
      <c r="G16" s="316">
        <f t="shared" si="1"/>
        <v>65000.102399999996</v>
      </c>
      <c r="H16" s="110"/>
      <c r="I16" s="110"/>
      <c r="J16" s="316">
        <f t="shared" si="2"/>
        <v>0</v>
      </c>
      <c r="K16" s="316">
        <f t="shared" si="4"/>
        <v>65000.102399999996</v>
      </c>
      <c r="L16" s="317">
        <v>515000</v>
      </c>
      <c r="M16" s="316">
        <f t="shared" si="3"/>
        <v>459509.9972000001</v>
      </c>
      <c r="N16" s="319"/>
      <c r="O16" s="316"/>
    </row>
    <row r="17" spans="1:15">
      <c r="A17" s="103">
        <v>14</v>
      </c>
      <c r="B17" s="238" t="s">
        <v>161</v>
      </c>
      <c r="C17" s="110" t="s">
        <v>218</v>
      </c>
      <c r="D17" s="110" t="s">
        <v>219</v>
      </c>
      <c r="E17" s="316">
        <v>3281.91</v>
      </c>
      <c r="F17" s="316">
        <v>91.41</v>
      </c>
      <c r="G17" s="316">
        <f t="shared" si="1"/>
        <v>299999.39309999999</v>
      </c>
      <c r="H17" s="110"/>
      <c r="I17" s="110"/>
      <c r="J17" s="316">
        <f t="shared" si="2"/>
        <v>0</v>
      </c>
      <c r="K17" s="316">
        <f t="shared" si="4"/>
        <v>299999.39309999999</v>
      </c>
      <c r="L17" s="317"/>
      <c r="M17" s="316">
        <f t="shared" si="3"/>
        <v>159510.60410000011</v>
      </c>
      <c r="N17" s="319"/>
      <c r="O17" s="316"/>
    </row>
    <row r="18" spans="1:15">
      <c r="A18" s="103">
        <v>15</v>
      </c>
      <c r="B18" s="238" t="s">
        <v>162</v>
      </c>
      <c r="C18" s="17" t="s">
        <v>220</v>
      </c>
      <c r="D18" s="175" t="s">
        <v>198</v>
      </c>
      <c r="E18" s="316">
        <v>50.41</v>
      </c>
      <c r="F18" s="316">
        <v>95.72</v>
      </c>
      <c r="G18" s="316">
        <f t="shared" si="1"/>
        <v>4825.2451999999994</v>
      </c>
      <c r="H18" s="110"/>
      <c r="I18" s="110"/>
      <c r="J18" s="316">
        <f t="shared" si="2"/>
        <v>0</v>
      </c>
      <c r="K18" s="316">
        <f t="shared" si="4"/>
        <v>4825.2451999999994</v>
      </c>
      <c r="L18" s="317"/>
      <c r="M18" s="316">
        <f t="shared" si="3"/>
        <v>154685.35890000011</v>
      </c>
      <c r="N18" s="319"/>
      <c r="O18" s="316"/>
    </row>
    <row r="19" spans="1:15">
      <c r="A19" s="334">
        <v>16</v>
      </c>
      <c r="B19" s="238" t="s">
        <v>162</v>
      </c>
      <c r="C19" s="175" t="s">
        <v>221</v>
      </c>
      <c r="D19" s="175" t="s">
        <v>202</v>
      </c>
      <c r="E19" s="316">
        <v>33.03</v>
      </c>
      <c r="F19" s="316">
        <v>96.89</v>
      </c>
      <c r="G19" s="316">
        <f t="shared" si="1"/>
        <v>3200.2767000000003</v>
      </c>
      <c r="H19" s="110"/>
      <c r="I19" s="110"/>
      <c r="J19" s="316">
        <f t="shared" si="2"/>
        <v>0</v>
      </c>
      <c r="K19" s="316">
        <f t="shared" si="4"/>
        <v>3200.2767000000003</v>
      </c>
      <c r="L19" s="317"/>
      <c r="M19" s="316">
        <f t="shared" si="3"/>
        <v>151485.08220000012</v>
      </c>
      <c r="N19" s="346"/>
      <c r="O19" s="318"/>
    </row>
    <row r="20" spans="1:15">
      <c r="A20" s="103">
        <v>17</v>
      </c>
      <c r="B20" s="238" t="s">
        <v>162</v>
      </c>
      <c r="C20" s="175" t="s">
        <v>201</v>
      </c>
      <c r="D20" s="110" t="s">
        <v>204</v>
      </c>
      <c r="E20" s="316"/>
      <c r="F20" s="316"/>
      <c r="G20" s="316">
        <f t="shared" si="1"/>
        <v>0</v>
      </c>
      <c r="H20" s="110">
        <v>4</v>
      </c>
      <c r="I20" s="110">
        <v>107.46</v>
      </c>
      <c r="J20" s="316">
        <f t="shared" si="2"/>
        <v>429.84</v>
      </c>
      <c r="K20" s="316">
        <f t="shared" si="4"/>
        <v>429.84</v>
      </c>
      <c r="L20" s="317"/>
      <c r="M20" s="316">
        <f t="shared" si="3"/>
        <v>151055.24220000012</v>
      </c>
      <c r="N20" s="319"/>
      <c r="O20" s="316"/>
    </row>
    <row r="21" spans="1:15">
      <c r="A21" s="103">
        <v>18</v>
      </c>
      <c r="B21" s="238" t="s">
        <v>162</v>
      </c>
      <c r="C21" s="175" t="s">
        <v>222</v>
      </c>
      <c r="D21" s="110" t="s">
        <v>200</v>
      </c>
      <c r="E21" s="316">
        <v>434.12</v>
      </c>
      <c r="F21" s="316">
        <v>92.14</v>
      </c>
      <c r="G21" s="316">
        <f t="shared" si="1"/>
        <v>39999.816800000001</v>
      </c>
      <c r="H21" s="110"/>
      <c r="I21" s="110"/>
      <c r="J21" s="316">
        <f t="shared" si="2"/>
        <v>0</v>
      </c>
      <c r="K21" s="316">
        <f t="shared" si="4"/>
        <v>39999.816800000001</v>
      </c>
      <c r="L21" s="317"/>
      <c r="M21" s="316">
        <f t="shared" si="3"/>
        <v>111055.42540000012</v>
      </c>
      <c r="N21" s="319"/>
      <c r="O21" s="316"/>
    </row>
    <row r="22" spans="1:15">
      <c r="A22" s="334">
        <v>19</v>
      </c>
      <c r="B22" s="238" t="s">
        <v>164</v>
      </c>
      <c r="C22" s="175" t="s">
        <v>223</v>
      </c>
      <c r="D22" s="110" t="s">
        <v>212</v>
      </c>
      <c r="E22" s="316">
        <v>28.19</v>
      </c>
      <c r="F22" s="316">
        <v>92.22</v>
      </c>
      <c r="G22" s="316">
        <f t="shared" si="1"/>
        <v>2599.6818000000003</v>
      </c>
      <c r="H22" s="110"/>
      <c r="I22" s="110"/>
      <c r="J22" s="316">
        <f t="shared" si="2"/>
        <v>0</v>
      </c>
      <c r="K22" s="316">
        <f t="shared" si="4"/>
        <v>2599.6818000000003</v>
      </c>
      <c r="L22" s="317"/>
      <c r="M22" s="316">
        <f t="shared" si="3"/>
        <v>108455.74360000012</v>
      </c>
      <c r="N22" s="346"/>
      <c r="O22" s="318"/>
    </row>
    <row r="23" spans="1:15">
      <c r="A23" s="103">
        <v>20</v>
      </c>
      <c r="B23" s="238" t="s">
        <v>164</v>
      </c>
      <c r="C23" s="175" t="s">
        <v>222</v>
      </c>
      <c r="D23" s="110" t="s">
        <v>200</v>
      </c>
      <c r="E23" s="316">
        <v>400.27</v>
      </c>
      <c r="F23" s="316">
        <v>92.14</v>
      </c>
      <c r="G23" s="316">
        <f t="shared" si="1"/>
        <v>36880.877800000002</v>
      </c>
      <c r="H23" s="110">
        <v>30</v>
      </c>
      <c r="I23" s="110">
        <v>103.97</v>
      </c>
      <c r="J23" s="316">
        <f t="shared" si="2"/>
        <v>3119.1</v>
      </c>
      <c r="K23" s="316">
        <f t="shared" si="4"/>
        <v>39999.977800000001</v>
      </c>
      <c r="L23" s="317"/>
      <c r="M23" s="316">
        <f t="shared" si="3"/>
        <v>68455.76580000011</v>
      </c>
      <c r="N23" s="319"/>
      <c r="O23" s="316"/>
    </row>
    <row r="24" spans="1:15">
      <c r="A24" s="103">
        <v>21</v>
      </c>
      <c r="B24" s="238" t="s">
        <v>164</v>
      </c>
      <c r="C24" s="175" t="s">
        <v>224</v>
      </c>
      <c r="D24" s="110" t="s">
        <v>225</v>
      </c>
      <c r="E24" s="316">
        <v>43</v>
      </c>
      <c r="F24" s="316">
        <v>91.77</v>
      </c>
      <c r="G24" s="316">
        <f t="shared" si="1"/>
        <v>3946.1099999999997</v>
      </c>
      <c r="H24" s="110"/>
      <c r="I24" s="110"/>
      <c r="J24" s="316">
        <f t="shared" si="2"/>
        <v>0</v>
      </c>
      <c r="K24" s="316">
        <f t="shared" si="4"/>
        <v>3946.1099999999997</v>
      </c>
      <c r="L24" s="317"/>
      <c r="M24" s="316">
        <f>M23+L24-K24</f>
        <v>64509.65580000011</v>
      </c>
      <c r="N24" s="346"/>
      <c r="O24" s="318"/>
    </row>
    <row r="25" spans="1:15">
      <c r="A25" s="334">
        <v>22</v>
      </c>
      <c r="B25" s="238" t="s">
        <v>164</v>
      </c>
      <c r="C25" s="175" t="s">
        <v>226</v>
      </c>
      <c r="D25" s="110" t="s">
        <v>227</v>
      </c>
      <c r="E25" s="316">
        <v>38.9</v>
      </c>
      <c r="F25" s="316">
        <v>86.75</v>
      </c>
      <c r="G25" s="316">
        <f t="shared" si="1"/>
        <v>3374.5749999999998</v>
      </c>
      <c r="H25" s="110"/>
      <c r="I25" s="110"/>
      <c r="J25" s="316">
        <f t="shared" si="2"/>
        <v>0</v>
      </c>
      <c r="K25" s="316">
        <f t="shared" si="4"/>
        <v>3374.5749999999998</v>
      </c>
      <c r="L25" s="317"/>
      <c r="M25" s="316">
        <f t="shared" si="3"/>
        <v>61135.080800000113</v>
      </c>
      <c r="N25" s="346"/>
      <c r="O25" s="318"/>
    </row>
    <row r="26" spans="1:15">
      <c r="A26" s="103">
        <v>23</v>
      </c>
      <c r="B26" s="238" t="s">
        <v>180</v>
      </c>
      <c r="C26" s="144" t="s">
        <v>228</v>
      </c>
      <c r="D26" s="349" t="s">
        <v>212</v>
      </c>
      <c r="E26" s="320">
        <v>42.83</v>
      </c>
      <c r="F26" s="320">
        <v>92.22</v>
      </c>
      <c r="G26" s="320">
        <f t="shared" si="1"/>
        <v>3949.7826</v>
      </c>
      <c r="H26" s="336"/>
      <c r="I26" s="336"/>
      <c r="J26" s="320">
        <f t="shared" si="2"/>
        <v>0</v>
      </c>
      <c r="K26" s="316">
        <f t="shared" si="4"/>
        <v>3949.7826</v>
      </c>
      <c r="L26" s="339"/>
      <c r="M26" s="320">
        <f t="shared" si="3"/>
        <v>57185.298200000114</v>
      </c>
      <c r="N26" s="316"/>
      <c r="O26" s="316"/>
    </row>
    <row r="27" spans="1:15">
      <c r="A27" s="103">
        <v>24</v>
      </c>
      <c r="B27" s="238" t="s">
        <v>165</v>
      </c>
      <c r="C27" s="17" t="s">
        <v>229</v>
      </c>
      <c r="D27" s="175" t="s">
        <v>207</v>
      </c>
      <c r="E27" s="316">
        <v>5185.66</v>
      </c>
      <c r="F27" s="316">
        <v>96.42</v>
      </c>
      <c r="G27" s="316">
        <f t="shared" si="1"/>
        <v>500001.33720000001</v>
      </c>
      <c r="H27" s="110"/>
      <c r="I27" s="110"/>
      <c r="J27" s="316">
        <f t="shared" si="2"/>
        <v>0</v>
      </c>
      <c r="K27" s="316">
        <f t="shared" si="4"/>
        <v>500001.33720000001</v>
      </c>
      <c r="L27" s="317">
        <v>821000</v>
      </c>
      <c r="M27" s="316">
        <f t="shared" si="3"/>
        <v>378183.96100000007</v>
      </c>
      <c r="N27" s="316"/>
      <c r="O27" s="316"/>
    </row>
    <row r="28" spans="1:15">
      <c r="A28" s="334">
        <v>25</v>
      </c>
      <c r="B28" s="238" t="s">
        <v>165</v>
      </c>
      <c r="C28" s="110" t="s">
        <v>203</v>
      </c>
      <c r="D28" s="110" t="s">
        <v>204</v>
      </c>
      <c r="E28" s="316"/>
      <c r="F28" s="316"/>
      <c r="G28" s="316">
        <f t="shared" si="1"/>
        <v>0</v>
      </c>
      <c r="H28" s="110">
        <v>4.84</v>
      </c>
      <c r="I28" s="110">
        <v>107.46</v>
      </c>
      <c r="J28" s="316">
        <f t="shared" si="2"/>
        <v>520.10640000000001</v>
      </c>
      <c r="K28" s="316">
        <f t="shared" si="4"/>
        <v>520.10640000000001</v>
      </c>
      <c r="L28" s="317"/>
      <c r="M28" s="316">
        <f t="shared" si="3"/>
        <v>377663.85460000008</v>
      </c>
      <c r="N28" s="316"/>
      <c r="O28" s="316"/>
    </row>
    <row r="29" spans="1:15">
      <c r="A29" s="103">
        <v>26</v>
      </c>
      <c r="B29" s="238" t="s">
        <v>165</v>
      </c>
      <c r="C29" s="175" t="s">
        <v>230</v>
      </c>
      <c r="D29" s="110" t="s">
        <v>225</v>
      </c>
      <c r="E29" s="316">
        <v>32.97</v>
      </c>
      <c r="F29" s="316">
        <v>90.98</v>
      </c>
      <c r="G29" s="316">
        <f t="shared" si="1"/>
        <v>2999.6106</v>
      </c>
      <c r="H29" s="110"/>
      <c r="I29" s="110"/>
      <c r="J29" s="316">
        <f t="shared" si="2"/>
        <v>0</v>
      </c>
      <c r="K29" s="316">
        <f t="shared" si="4"/>
        <v>2999.6106</v>
      </c>
      <c r="L29" s="317"/>
      <c r="M29" s="316">
        <f t="shared" si="3"/>
        <v>374664.24400000006</v>
      </c>
      <c r="N29" s="316"/>
      <c r="O29" s="316"/>
    </row>
    <row r="30" spans="1:15" ht="14.25" customHeight="1">
      <c r="A30" s="103">
        <v>27</v>
      </c>
      <c r="B30" s="238" t="s">
        <v>165</v>
      </c>
      <c r="C30" s="175" t="s">
        <v>231</v>
      </c>
      <c r="D30" s="175" t="s">
        <v>219</v>
      </c>
      <c r="E30" s="316">
        <v>1642.58</v>
      </c>
      <c r="F30" s="316">
        <v>91.32</v>
      </c>
      <c r="G30" s="316">
        <f t="shared" si="1"/>
        <v>150000.40559999997</v>
      </c>
      <c r="H30" s="110"/>
      <c r="I30" s="110"/>
      <c r="J30" s="316">
        <f t="shared" si="2"/>
        <v>0</v>
      </c>
      <c r="K30" s="316">
        <f t="shared" si="4"/>
        <v>150000.40559999997</v>
      </c>
      <c r="L30" s="317"/>
      <c r="M30" s="316">
        <f t="shared" si="3"/>
        <v>224663.8384000001</v>
      </c>
      <c r="N30" s="316"/>
      <c r="O30" s="316"/>
    </row>
    <row r="31" spans="1:15">
      <c r="A31" s="334">
        <v>28</v>
      </c>
      <c r="B31" s="238" t="s">
        <v>165</v>
      </c>
      <c r="C31" s="175" t="s">
        <v>205</v>
      </c>
      <c r="D31" s="110" t="s">
        <v>200</v>
      </c>
      <c r="E31" s="316">
        <v>933.85</v>
      </c>
      <c r="F31" s="316">
        <v>92.19</v>
      </c>
      <c r="G31" s="316">
        <f t="shared" si="1"/>
        <v>86091.631500000003</v>
      </c>
      <c r="H31" s="110"/>
      <c r="I31" s="110"/>
      <c r="J31" s="316">
        <f t="shared" si="2"/>
        <v>0</v>
      </c>
      <c r="K31" s="316">
        <f t="shared" si="4"/>
        <v>86091.631500000003</v>
      </c>
      <c r="L31" s="317"/>
      <c r="M31" s="316">
        <f t="shared" si="3"/>
        <v>138572.20690000011</v>
      </c>
      <c r="N31" s="316"/>
      <c r="O31" s="316"/>
    </row>
    <row r="32" spans="1:15">
      <c r="A32" s="103">
        <v>29</v>
      </c>
      <c r="B32" s="238" t="s">
        <v>166</v>
      </c>
      <c r="C32" s="175" t="s">
        <v>213</v>
      </c>
      <c r="D32" s="175" t="s">
        <v>200</v>
      </c>
      <c r="E32" s="316">
        <v>337.66</v>
      </c>
      <c r="F32" s="316">
        <v>91.93</v>
      </c>
      <c r="G32" s="316">
        <f t="shared" si="1"/>
        <v>31041.083800000004</v>
      </c>
      <c r="H32" s="110"/>
      <c r="I32" s="110"/>
      <c r="J32" s="316">
        <f t="shared" si="2"/>
        <v>0</v>
      </c>
      <c r="K32" s="316">
        <f t="shared" si="4"/>
        <v>31041.083800000004</v>
      </c>
      <c r="L32" s="317"/>
      <c r="M32" s="316">
        <f t="shared" si="3"/>
        <v>107531.1231000001</v>
      </c>
      <c r="N32" s="316"/>
      <c r="O32" s="316"/>
    </row>
    <row r="33" spans="1:15">
      <c r="A33" s="103">
        <v>30</v>
      </c>
      <c r="B33" s="238" t="s">
        <v>166</v>
      </c>
      <c r="C33" s="336" t="s">
        <v>232</v>
      </c>
      <c r="D33" s="336" t="s">
        <v>202</v>
      </c>
      <c r="E33" s="335">
        <v>32.39</v>
      </c>
      <c r="F33" s="318">
        <v>95.7</v>
      </c>
      <c r="G33" s="340">
        <f t="shared" si="1"/>
        <v>3099.723</v>
      </c>
      <c r="H33" s="336"/>
      <c r="I33" s="336"/>
      <c r="J33" s="320">
        <f t="shared" si="2"/>
        <v>0</v>
      </c>
      <c r="K33" s="316">
        <f t="shared" si="4"/>
        <v>3099.723</v>
      </c>
      <c r="L33" s="339"/>
      <c r="M33" s="320">
        <f t="shared" si="3"/>
        <v>104431.4001000001</v>
      </c>
      <c r="N33" s="320"/>
      <c r="O33" s="320"/>
    </row>
    <row r="34" spans="1:15">
      <c r="A34" s="334">
        <v>31</v>
      </c>
      <c r="B34" s="238" t="s">
        <v>166</v>
      </c>
      <c r="C34" s="175" t="s">
        <v>233</v>
      </c>
      <c r="D34" s="175" t="s">
        <v>225</v>
      </c>
      <c r="E34" s="319">
        <v>41</v>
      </c>
      <c r="F34" s="316">
        <v>91.77</v>
      </c>
      <c r="G34" s="337">
        <f t="shared" si="1"/>
        <v>3762.5699999999997</v>
      </c>
      <c r="H34" s="110"/>
      <c r="I34" s="110"/>
      <c r="J34" s="316">
        <f t="shared" si="2"/>
        <v>0</v>
      </c>
      <c r="K34" s="316">
        <f t="shared" si="4"/>
        <v>3762.5699999999997</v>
      </c>
      <c r="L34" s="317"/>
      <c r="M34" s="316">
        <f t="shared" si="3"/>
        <v>100668.83010000011</v>
      </c>
      <c r="N34" s="318"/>
      <c r="O34" s="318"/>
    </row>
    <row r="35" spans="1:15">
      <c r="A35" s="103">
        <v>32</v>
      </c>
      <c r="B35" s="238" t="s">
        <v>166</v>
      </c>
      <c r="C35" s="348" t="s">
        <v>234</v>
      </c>
      <c r="D35" s="348" t="s">
        <v>235</v>
      </c>
      <c r="E35" s="346"/>
      <c r="F35" s="318"/>
      <c r="G35" s="363">
        <f t="shared" si="1"/>
        <v>0</v>
      </c>
      <c r="H35" s="341">
        <v>2.79</v>
      </c>
      <c r="I35" s="341">
        <v>107.46</v>
      </c>
      <c r="J35" s="318">
        <f t="shared" si="2"/>
        <v>299.8134</v>
      </c>
      <c r="K35" s="318">
        <f t="shared" si="4"/>
        <v>299.8134</v>
      </c>
      <c r="L35" s="317"/>
      <c r="M35" s="316">
        <f t="shared" si="3"/>
        <v>100369.01670000011</v>
      </c>
      <c r="N35" s="318"/>
      <c r="O35" s="318"/>
    </row>
    <row r="36" spans="1:15">
      <c r="A36" s="103">
        <v>33</v>
      </c>
      <c r="B36" s="388" t="s">
        <v>167</v>
      </c>
      <c r="C36" s="175" t="s">
        <v>236</v>
      </c>
      <c r="D36" s="175" t="s">
        <v>198</v>
      </c>
      <c r="E36" s="316">
        <v>52.69</v>
      </c>
      <c r="F36" s="316">
        <v>95.7</v>
      </c>
      <c r="G36" s="316">
        <f t="shared" si="1"/>
        <v>5042.433</v>
      </c>
      <c r="H36" s="110"/>
      <c r="I36" s="110"/>
      <c r="J36" s="316">
        <f t="shared" si="2"/>
        <v>0</v>
      </c>
      <c r="K36" s="316">
        <f t="shared" si="4"/>
        <v>5042.433</v>
      </c>
      <c r="L36" s="333"/>
      <c r="M36" s="316">
        <f t="shared" ref="M36:M73" si="5">M35+L36-K36</f>
        <v>95326.583700000105</v>
      </c>
      <c r="N36" s="318"/>
      <c r="O36" s="318"/>
    </row>
    <row r="37" spans="1:15">
      <c r="A37" s="334">
        <v>34</v>
      </c>
      <c r="B37" s="388" t="s">
        <v>167</v>
      </c>
      <c r="C37" s="175" t="s">
        <v>237</v>
      </c>
      <c r="D37" s="175" t="s">
        <v>238</v>
      </c>
      <c r="E37" s="316">
        <v>45.44</v>
      </c>
      <c r="F37" s="316">
        <v>97.06</v>
      </c>
      <c r="G37" s="316">
        <f t="shared" si="1"/>
        <v>4410.4063999999998</v>
      </c>
      <c r="H37" s="110"/>
      <c r="I37" s="110"/>
      <c r="J37" s="316">
        <f t="shared" si="2"/>
        <v>0</v>
      </c>
      <c r="K37" s="316">
        <f t="shared" si="4"/>
        <v>4410.4063999999998</v>
      </c>
      <c r="L37" s="333"/>
      <c r="M37" s="316">
        <f t="shared" si="5"/>
        <v>90916.177300000098</v>
      </c>
      <c r="N37" s="318"/>
      <c r="O37" s="318"/>
    </row>
    <row r="38" spans="1:15">
      <c r="A38" s="103">
        <v>35</v>
      </c>
      <c r="B38" s="388" t="s">
        <v>181</v>
      </c>
      <c r="C38" s="175" t="s">
        <v>239</v>
      </c>
      <c r="D38" s="110" t="s">
        <v>227</v>
      </c>
      <c r="E38" s="316"/>
      <c r="F38" s="316"/>
      <c r="G38" s="316">
        <f t="shared" si="1"/>
        <v>0</v>
      </c>
      <c r="H38" s="110">
        <v>25</v>
      </c>
      <c r="I38" s="110">
        <v>109.51</v>
      </c>
      <c r="J38" s="316">
        <f t="shared" si="2"/>
        <v>2737.75</v>
      </c>
      <c r="K38" s="316">
        <f t="shared" si="4"/>
        <v>2737.75</v>
      </c>
      <c r="L38" s="333"/>
      <c r="M38" s="316">
        <f t="shared" si="5"/>
        <v>88178.427300000098</v>
      </c>
      <c r="N38" s="318"/>
      <c r="O38" s="318"/>
    </row>
    <row r="39" spans="1:15">
      <c r="A39" s="103">
        <v>36</v>
      </c>
      <c r="B39" s="389" t="s">
        <v>181</v>
      </c>
      <c r="C39" s="175" t="s">
        <v>233</v>
      </c>
      <c r="D39" s="110" t="s">
        <v>225</v>
      </c>
      <c r="E39" s="110">
        <v>40</v>
      </c>
      <c r="F39" s="110">
        <v>91.77</v>
      </c>
      <c r="G39" s="316">
        <f t="shared" si="1"/>
        <v>3670.7999999999997</v>
      </c>
      <c r="H39" s="110"/>
      <c r="I39" s="110"/>
      <c r="J39" s="316">
        <f t="shared" si="2"/>
        <v>0</v>
      </c>
      <c r="K39" s="316">
        <f t="shared" si="4"/>
        <v>3670.7999999999997</v>
      </c>
      <c r="L39" s="333"/>
      <c r="M39" s="316">
        <f t="shared" si="5"/>
        <v>84507.627300000095</v>
      </c>
      <c r="N39" s="318"/>
      <c r="O39" s="318"/>
    </row>
    <row r="40" spans="1:15">
      <c r="A40" s="334">
        <v>37</v>
      </c>
      <c r="B40" s="388" t="s">
        <v>240</v>
      </c>
      <c r="C40" s="110" t="s">
        <v>241</v>
      </c>
      <c r="D40" s="110" t="s">
        <v>227</v>
      </c>
      <c r="E40" s="316"/>
      <c r="F40" s="316"/>
      <c r="G40" s="316">
        <f t="shared" si="1"/>
        <v>0</v>
      </c>
      <c r="H40" s="110">
        <v>20</v>
      </c>
      <c r="I40" s="110">
        <v>109.51</v>
      </c>
      <c r="J40" s="316">
        <f t="shared" si="2"/>
        <v>2190.2000000000003</v>
      </c>
      <c r="K40" s="316">
        <f t="shared" si="4"/>
        <v>2190.2000000000003</v>
      </c>
      <c r="L40" s="333"/>
      <c r="M40" s="316">
        <f t="shared" si="5"/>
        <v>82317.427300000098</v>
      </c>
      <c r="N40" s="318"/>
      <c r="O40" s="318"/>
    </row>
    <row r="41" spans="1:15">
      <c r="A41" s="400">
        <v>38</v>
      </c>
      <c r="B41" s="389" t="s">
        <v>168</v>
      </c>
      <c r="C41" s="341" t="s">
        <v>242</v>
      </c>
      <c r="D41" s="341" t="s">
        <v>204</v>
      </c>
      <c r="E41" s="318"/>
      <c r="F41" s="318"/>
      <c r="G41" s="318">
        <f t="shared" si="1"/>
        <v>0</v>
      </c>
      <c r="H41" s="341">
        <v>4.66</v>
      </c>
      <c r="I41" s="341">
        <v>107.51</v>
      </c>
      <c r="J41" s="318">
        <f t="shared" si="2"/>
        <v>500.99660000000006</v>
      </c>
      <c r="K41" s="316">
        <f t="shared" si="4"/>
        <v>500.99660000000006</v>
      </c>
      <c r="L41" s="401"/>
      <c r="M41" s="316">
        <f t="shared" si="5"/>
        <v>81816.430700000099</v>
      </c>
      <c r="N41" s="316"/>
      <c r="O41" s="316"/>
    </row>
    <row r="42" spans="1:15">
      <c r="A42" s="17">
        <v>39</v>
      </c>
      <c r="B42" s="238" t="s">
        <v>169</v>
      </c>
      <c r="C42" s="110" t="s">
        <v>243</v>
      </c>
      <c r="D42" s="175" t="s">
        <v>227</v>
      </c>
      <c r="E42" s="316">
        <v>30.89</v>
      </c>
      <c r="F42" s="316">
        <v>97.12</v>
      </c>
      <c r="G42" s="316">
        <f t="shared" si="1"/>
        <v>3000.0368000000003</v>
      </c>
      <c r="H42" s="110"/>
      <c r="I42" s="110"/>
      <c r="J42" s="316">
        <f t="shared" si="2"/>
        <v>0</v>
      </c>
      <c r="K42" s="316">
        <f t="shared" si="4"/>
        <v>3000.0368000000003</v>
      </c>
      <c r="L42" s="317"/>
      <c r="M42" s="319">
        <f t="shared" si="5"/>
        <v>78816.393900000097</v>
      </c>
      <c r="N42" s="316"/>
      <c r="O42" s="316"/>
    </row>
    <row r="43" spans="1:15">
      <c r="A43" s="399">
        <v>40</v>
      </c>
      <c r="B43" s="238" t="s">
        <v>170</v>
      </c>
      <c r="C43" s="110" t="s">
        <v>244</v>
      </c>
      <c r="D43" s="110" t="s">
        <v>209</v>
      </c>
      <c r="E43" s="110">
        <v>42.27</v>
      </c>
      <c r="F43" s="110">
        <v>96.83</v>
      </c>
      <c r="G43" s="316">
        <f t="shared" si="1"/>
        <v>4093.0041000000001</v>
      </c>
      <c r="H43" s="110"/>
      <c r="I43" s="110"/>
      <c r="J43" s="316">
        <f>H43*I43</f>
        <v>0</v>
      </c>
      <c r="K43" s="316">
        <f t="shared" si="4"/>
        <v>4093.0041000000001</v>
      </c>
      <c r="L43" s="317"/>
      <c r="M43" s="319">
        <f t="shared" si="5"/>
        <v>74723.389800000092</v>
      </c>
      <c r="N43" s="316"/>
      <c r="O43" s="316"/>
    </row>
    <row r="44" spans="1:15">
      <c r="A44" s="17">
        <v>41</v>
      </c>
      <c r="B44" s="238" t="s">
        <v>170</v>
      </c>
      <c r="C44" s="110" t="s">
        <v>245</v>
      </c>
      <c r="D44" s="110" t="s">
        <v>227</v>
      </c>
      <c r="E44" s="110">
        <v>30.75</v>
      </c>
      <c r="F44" s="110">
        <v>97.56</v>
      </c>
      <c r="G44" s="316">
        <f t="shared" si="1"/>
        <v>2999.9700000000003</v>
      </c>
      <c r="H44" s="110"/>
      <c r="I44" s="110"/>
      <c r="J44" s="316">
        <f t="shared" si="2"/>
        <v>0</v>
      </c>
      <c r="K44" s="316">
        <f t="shared" si="4"/>
        <v>2999.9700000000003</v>
      </c>
      <c r="L44" s="317"/>
      <c r="M44" s="319">
        <f t="shared" si="5"/>
        <v>71723.419800000091</v>
      </c>
      <c r="N44" s="316"/>
      <c r="O44" s="316"/>
    </row>
    <row r="45" spans="1:15">
      <c r="A45" s="17">
        <v>42</v>
      </c>
      <c r="B45" s="238" t="s">
        <v>171</v>
      </c>
      <c r="C45" s="110" t="s">
        <v>246</v>
      </c>
      <c r="D45" s="110" t="s">
        <v>227</v>
      </c>
      <c r="E45" s="316"/>
      <c r="F45" s="316"/>
      <c r="G45" s="316">
        <f t="shared" si="1"/>
        <v>0</v>
      </c>
      <c r="H45" s="110">
        <v>25</v>
      </c>
      <c r="I45" s="110">
        <v>109.21</v>
      </c>
      <c r="J45" s="316">
        <f t="shared" si="2"/>
        <v>2730.25</v>
      </c>
      <c r="K45" s="316">
        <f t="shared" si="4"/>
        <v>2730.25</v>
      </c>
      <c r="L45" s="317"/>
      <c r="M45" s="319">
        <f t="shared" si="5"/>
        <v>68993.169800000091</v>
      </c>
      <c r="N45" s="316"/>
      <c r="O45" s="316"/>
    </row>
    <row r="46" spans="1:15">
      <c r="A46" s="399">
        <v>43</v>
      </c>
      <c r="B46" s="238" t="s">
        <v>171</v>
      </c>
      <c r="C46" s="110" t="s">
        <v>247</v>
      </c>
      <c r="D46" s="110" t="s">
        <v>202</v>
      </c>
      <c r="E46" s="110">
        <v>32.39</v>
      </c>
      <c r="F46" s="110">
        <v>95.7</v>
      </c>
      <c r="G46" s="316">
        <f t="shared" si="1"/>
        <v>3099.723</v>
      </c>
      <c r="H46" s="110"/>
      <c r="I46" s="110"/>
      <c r="J46" s="316">
        <f t="shared" si="2"/>
        <v>0</v>
      </c>
      <c r="K46" s="316">
        <f t="shared" si="4"/>
        <v>3099.723</v>
      </c>
      <c r="L46" s="317"/>
      <c r="M46" s="346">
        <f t="shared" si="5"/>
        <v>65893.446800000092</v>
      </c>
      <c r="N46" s="316"/>
      <c r="O46" s="316"/>
    </row>
    <row r="47" spans="1:15">
      <c r="A47" s="17">
        <v>44</v>
      </c>
      <c r="B47" s="238" t="s">
        <v>172</v>
      </c>
      <c r="C47" s="175" t="s">
        <v>248</v>
      </c>
      <c r="D47" s="110" t="s">
        <v>198</v>
      </c>
      <c r="E47" s="110">
        <v>49.08</v>
      </c>
      <c r="F47" s="110">
        <v>95.7</v>
      </c>
      <c r="G47" s="316">
        <f t="shared" si="1"/>
        <v>4696.9560000000001</v>
      </c>
      <c r="H47" s="110"/>
      <c r="I47" s="110"/>
      <c r="J47" s="316">
        <f t="shared" si="2"/>
        <v>0</v>
      </c>
      <c r="K47" s="316">
        <f t="shared" si="4"/>
        <v>4696.9560000000001</v>
      </c>
      <c r="L47" s="317"/>
      <c r="M47" s="319">
        <f t="shared" si="5"/>
        <v>61196.490800000094</v>
      </c>
      <c r="N47" s="346"/>
      <c r="O47" s="318"/>
    </row>
    <row r="48" spans="1:15">
      <c r="A48" s="17">
        <v>45</v>
      </c>
      <c r="B48" s="238" t="s">
        <v>173</v>
      </c>
      <c r="C48" s="175" t="s">
        <v>233</v>
      </c>
      <c r="D48" s="110" t="s">
        <v>225</v>
      </c>
      <c r="E48" s="110">
        <v>42.87</v>
      </c>
      <c r="F48" s="110">
        <v>91.77</v>
      </c>
      <c r="G48" s="316">
        <f t="shared" si="1"/>
        <v>3934.1798999999996</v>
      </c>
      <c r="H48" s="110"/>
      <c r="I48" s="110"/>
      <c r="J48" s="316">
        <f t="shared" si="2"/>
        <v>0</v>
      </c>
      <c r="K48" s="316">
        <f t="shared" si="4"/>
        <v>3934.1798999999996</v>
      </c>
      <c r="L48" s="317"/>
      <c r="M48" s="319">
        <f t="shared" si="5"/>
        <v>57262.310900000091</v>
      </c>
      <c r="N48" s="346"/>
      <c r="O48" s="318"/>
    </row>
    <row r="49" spans="1:15">
      <c r="A49" s="399">
        <v>46</v>
      </c>
      <c r="B49" s="238" t="s">
        <v>173</v>
      </c>
      <c r="C49" s="175" t="s">
        <v>249</v>
      </c>
      <c r="D49" s="110" t="s">
        <v>212</v>
      </c>
      <c r="E49" s="110">
        <v>32.53</v>
      </c>
      <c r="F49" s="110">
        <v>92.22</v>
      </c>
      <c r="G49" s="316">
        <f t="shared" si="1"/>
        <v>2999.9166</v>
      </c>
      <c r="H49" s="110">
        <v>19.22</v>
      </c>
      <c r="I49" s="110">
        <v>104.06</v>
      </c>
      <c r="J49" s="316">
        <f t="shared" si="2"/>
        <v>2000.0331999999999</v>
      </c>
      <c r="K49" s="316">
        <f t="shared" si="4"/>
        <v>4999.9498000000003</v>
      </c>
      <c r="L49" s="317"/>
      <c r="M49" s="319">
        <f t="shared" si="5"/>
        <v>52262.361100000089</v>
      </c>
      <c r="N49" s="346"/>
      <c r="O49" s="318"/>
    </row>
    <row r="50" spans="1:15">
      <c r="A50" s="17">
        <v>47</v>
      </c>
      <c r="B50" s="238" t="s">
        <v>173</v>
      </c>
      <c r="C50" s="110" t="s">
        <v>234</v>
      </c>
      <c r="D50" s="110" t="s">
        <v>204</v>
      </c>
      <c r="E50" s="316"/>
      <c r="F50" s="316"/>
      <c r="G50" s="316">
        <f t="shared" si="1"/>
        <v>0</v>
      </c>
      <c r="H50" s="110">
        <v>3.72</v>
      </c>
      <c r="I50" s="110">
        <v>107.46</v>
      </c>
      <c r="J50" s="316">
        <f t="shared" si="2"/>
        <v>399.75119999999998</v>
      </c>
      <c r="K50" s="316">
        <f t="shared" si="4"/>
        <v>399.75119999999998</v>
      </c>
      <c r="L50" s="317"/>
      <c r="M50" s="319">
        <f t="shared" si="5"/>
        <v>51862.60990000009</v>
      </c>
      <c r="N50" s="346"/>
      <c r="O50" s="318"/>
    </row>
    <row r="51" spans="1:15">
      <c r="A51" s="17">
        <v>48</v>
      </c>
      <c r="B51" s="238" t="s">
        <v>174</v>
      </c>
      <c r="C51" s="110" t="s">
        <v>199</v>
      </c>
      <c r="D51" s="110" t="s">
        <v>200</v>
      </c>
      <c r="E51" s="316">
        <v>1467.53</v>
      </c>
      <c r="F51" s="316">
        <v>92.14</v>
      </c>
      <c r="G51" s="316">
        <f t="shared" si="1"/>
        <v>135218.21419999999</v>
      </c>
      <c r="H51" s="110"/>
      <c r="I51" s="110"/>
      <c r="J51" s="316">
        <f t="shared" si="2"/>
        <v>0</v>
      </c>
      <c r="K51" s="316">
        <f t="shared" si="4"/>
        <v>135218.21419999999</v>
      </c>
      <c r="L51" s="317">
        <v>99906</v>
      </c>
      <c r="M51" s="319">
        <f t="shared" si="5"/>
        <v>16550.39570000011</v>
      </c>
      <c r="N51" s="319"/>
      <c r="O51" s="316"/>
    </row>
    <row r="52" spans="1:15">
      <c r="A52" s="402">
        <v>49</v>
      </c>
      <c r="B52" s="238" t="s">
        <v>175</v>
      </c>
      <c r="C52" s="349" t="s">
        <v>250</v>
      </c>
      <c r="D52" s="349" t="s">
        <v>225</v>
      </c>
      <c r="E52" s="335">
        <v>44</v>
      </c>
      <c r="F52" s="320">
        <v>91.77</v>
      </c>
      <c r="G52" s="340">
        <f t="shared" si="1"/>
        <v>4037.8799999999997</v>
      </c>
      <c r="H52" s="336"/>
      <c r="I52" s="336"/>
      <c r="J52" s="320">
        <f t="shared" si="2"/>
        <v>0</v>
      </c>
      <c r="K52" s="316">
        <f t="shared" si="4"/>
        <v>4037.8799999999997</v>
      </c>
      <c r="L52" s="339"/>
      <c r="M52" s="320">
        <f t="shared" si="5"/>
        <v>12512.515700000111</v>
      </c>
      <c r="N52" s="316"/>
      <c r="O52" s="316"/>
    </row>
    <row r="53" spans="1:15">
      <c r="A53" s="103">
        <v>50</v>
      </c>
      <c r="B53" s="238" t="s">
        <v>176</v>
      </c>
      <c r="C53" s="175" t="s">
        <v>206</v>
      </c>
      <c r="D53" s="110" t="s">
        <v>207</v>
      </c>
      <c r="E53" s="319">
        <v>7259.93</v>
      </c>
      <c r="F53" s="316">
        <v>96.42</v>
      </c>
      <c r="G53" s="337">
        <f t="shared" si="1"/>
        <v>700002.4506000001</v>
      </c>
      <c r="H53" s="110"/>
      <c r="I53" s="110"/>
      <c r="J53" s="316">
        <f t="shared" si="2"/>
        <v>0</v>
      </c>
      <c r="K53" s="316">
        <f t="shared" si="4"/>
        <v>700002.4506000001</v>
      </c>
      <c r="L53" s="317">
        <v>1062000</v>
      </c>
      <c r="M53" s="316">
        <f t="shared" si="5"/>
        <v>374510.06510000001</v>
      </c>
      <c r="N53" s="316"/>
      <c r="O53" s="316"/>
    </row>
    <row r="54" spans="1:15">
      <c r="A54" s="103">
        <v>51</v>
      </c>
      <c r="B54" s="238" t="s">
        <v>176</v>
      </c>
      <c r="C54" s="175" t="s">
        <v>251</v>
      </c>
      <c r="D54" s="175" t="s">
        <v>204</v>
      </c>
      <c r="E54" s="361"/>
      <c r="F54" s="316"/>
      <c r="G54" s="337">
        <f t="shared" si="1"/>
        <v>0</v>
      </c>
      <c r="H54" s="110">
        <v>2.0499999999999998</v>
      </c>
      <c r="I54" s="110">
        <v>107.51</v>
      </c>
      <c r="J54" s="316">
        <f t="shared" si="2"/>
        <v>220.3955</v>
      </c>
      <c r="K54" s="316">
        <f t="shared" si="4"/>
        <v>220.3955</v>
      </c>
      <c r="L54" s="317"/>
      <c r="M54" s="316">
        <f t="shared" si="5"/>
        <v>374289.66960000002</v>
      </c>
      <c r="N54" s="316"/>
      <c r="O54" s="316"/>
    </row>
    <row r="55" spans="1:15">
      <c r="A55" s="334">
        <v>52</v>
      </c>
      <c r="B55" s="238" t="s">
        <v>176</v>
      </c>
      <c r="C55" s="110" t="s">
        <v>252</v>
      </c>
      <c r="D55" s="110" t="s">
        <v>200</v>
      </c>
      <c r="E55" s="319">
        <v>109.3</v>
      </c>
      <c r="F55" s="316">
        <v>91.49</v>
      </c>
      <c r="G55" s="337">
        <f t="shared" si="1"/>
        <v>9999.857</v>
      </c>
      <c r="H55" s="110"/>
      <c r="I55" s="110"/>
      <c r="J55" s="316">
        <f t="shared" si="2"/>
        <v>0</v>
      </c>
      <c r="K55" s="316">
        <f t="shared" si="4"/>
        <v>9999.857</v>
      </c>
      <c r="L55" s="317"/>
      <c r="M55" s="316">
        <f t="shared" si="5"/>
        <v>364289.8126</v>
      </c>
      <c r="N55" s="318"/>
      <c r="O55" s="318"/>
    </row>
    <row r="56" spans="1:15">
      <c r="A56" s="103">
        <v>53</v>
      </c>
      <c r="B56" s="238" t="s">
        <v>176</v>
      </c>
      <c r="C56" s="175" t="s">
        <v>253</v>
      </c>
      <c r="D56" s="110" t="s">
        <v>227</v>
      </c>
      <c r="E56" s="319"/>
      <c r="F56" s="316"/>
      <c r="G56" s="337">
        <f t="shared" si="1"/>
        <v>0</v>
      </c>
      <c r="H56" s="110">
        <v>15</v>
      </c>
      <c r="I56" s="110">
        <v>109.83</v>
      </c>
      <c r="J56" s="316">
        <f t="shared" si="2"/>
        <v>1647.45</v>
      </c>
      <c r="K56" s="316">
        <f t="shared" si="4"/>
        <v>1647.45</v>
      </c>
      <c r="L56" s="317"/>
      <c r="M56" s="316">
        <f t="shared" si="5"/>
        <v>362642.36259999999</v>
      </c>
      <c r="N56" s="316"/>
      <c r="O56" s="316"/>
    </row>
    <row r="57" spans="1:15">
      <c r="A57" s="103">
        <v>54</v>
      </c>
      <c r="B57" s="238" t="s">
        <v>177</v>
      </c>
      <c r="C57" s="175" t="s">
        <v>254</v>
      </c>
      <c r="D57" s="110" t="s">
        <v>200</v>
      </c>
      <c r="E57" s="319">
        <v>1213.25</v>
      </c>
      <c r="F57" s="316">
        <v>92.19</v>
      </c>
      <c r="G57" s="337">
        <f t="shared" si="1"/>
        <v>111849.5175</v>
      </c>
      <c r="H57" s="110"/>
      <c r="I57" s="110"/>
      <c r="J57" s="316">
        <f t="shared" si="2"/>
        <v>0</v>
      </c>
      <c r="K57" s="316">
        <f t="shared" si="4"/>
        <v>111849.5175</v>
      </c>
      <c r="L57" s="317"/>
      <c r="M57" s="316">
        <f t="shared" si="5"/>
        <v>250792.84509999998</v>
      </c>
      <c r="N57" s="318"/>
      <c r="O57" s="318"/>
    </row>
    <row r="58" spans="1:15">
      <c r="A58" s="334">
        <v>55</v>
      </c>
      <c r="B58" s="238" t="s">
        <v>177</v>
      </c>
      <c r="C58" s="175" t="s">
        <v>233</v>
      </c>
      <c r="D58" s="110" t="s">
        <v>225</v>
      </c>
      <c r="E58" s="319">
        <v>17</v>
      </c>
      <c r="F58" s="316">
        <v>91.77</v>
      </c>
      <c r="G58" s="337">
        <f t="shared" si="1"/>
        <v>1560.09</v>
      </c>
      <c r="H58" s="110"/>
      <c r="I58" s="110"/>
      <c r="J58" s="316">
        <f t="shared" si="2"/>
        <v>0</v>
      </c>
      <c r="K58" s="316">
        <f t="shared" si="4"/>
        <v>1560.09</v>
      </c>
      <c r="L58" s="317"/>
      <c r="M58" s="316">
        <f t="shared" si="5"/>
        <v>249232.75509999998</v>
      </c>
      <c r="N58" s="316"/>
      <c r="O58" s="316"/>
    </row>
    <row r="59" spans="1:15">
      <c r="A59" s="103">
        <v>56</v>
      </c>
      <c r="B59" s="238" t="s">
        <v>177</v>
      </c>
      <c r="C59" s="175" t="s">
        <v>255</v>
      </c>
      <c r="D59" s="110" t="s">
        <v>227</v>
      </c>
      <c r="E59" s="319">
        <v>43</v>
      </c>
      <c r="F59" s="316">
        <v>97.64</v>
      </c>
      <c r="G59" s="337">
        <f t="shared" si="1"/>
        <v>4198.5200000000004</v>
      </c>
      <c r="H59" s="110">
        <v>20</v>
      </c>
      <c r="I59" s="110">
        <v>109.83</v>
      </c>
      <c r="J59" s="316">
        <f t="shared" si="2"/>
        <v>2196.6</v>
      </c>
      <c r="K59" s="316">
        <f t="shared" si="4"/>
        <v>6395.1200000000008</v>
      </c>
      <c r="L59" s="317"/>
      <c r="M59" s="316">
        <f t="shared" si="5"/>
        <v>242837.63509999998</v>
      </c>
      <c r="N59" s="316"/>
      <c r="O59" s="316"/>
    </row>
    <row r="60" spans="1:15">
      <c r="A60" s="103">
        <v>57</v>
      </c>
      <c r="B60" s="238" t="s">
        <v>177</v>
      </c>
      <c r="C60" s="175" t="s">
        <v>256</v>
      </c>
      <c r="D60" s="175" t="s">
        <v>198</v>
      </c>
      <c r="E60" s="319">
        <v>48.66</v>
      </c>
      <c r="F60" s="316">
        <v>95.83</v>
      </c>
      <c r="G60" s="337">
        <f t="shared" ref="G60:G75" si="6">E60*F60</f>
        <v>4663.0877999999993</v>
      </c>
      <c r="H60" s="110"/>
      <c r="I60" s="110"/>
      <c r="J60" s="316">
        <f t="shared" si="2"/>
        <v>0</v>
      </c>
      <c r="K60" s="316">
        <f t="shared" si="4"/>
        <v>4663.0877999999993</v>
      </c>
      <c r="L60" s="317"/>
      <c r="M60" s="316">
        <f t="shared" si="5"/>
        <v>238174.54729999998</v>
      </c>
      <c r="N60" s="316"/>
      <c r="O60" s="316"/>
    </row>
    <row r="61" spans="1:15">
      <c r="A61" s="334">
        <v>58</v>
      </c>
      <c r="B61" s="238"/>
      <c r="C61" s="175"/>
      <c r="D61" s="175"/>
      <c r="E61" s="316"/>
      <c r="F61" s="316"/>
      <c r="G61" s="337">
        <f t="shared" si="6"/>
        <v>0</v>
      </c>
      <c r="H61" s="110"/>
      <c r="I61" s="110"/>
      <c r="J61" s="316">
        <f t="shared" si="2"/>
        <v>0</v>
      </c>
      <c r="K61" s="319"/>
      <c r="L61" s="317"/>
      <c r="M61" s="316">
        <f t="shared" si="5"/>
        <v>238174.54729999998</v>
      </c>
      <c r="N61" s="316"/>
      <c r="O61" s="316"/>
    </row>
    <row r="62" spans="1:15">
      <c r="A62" s="103">
        <v>59</v>
      </c>
      <c r="B62" s="362"/>
      <c r="C62" s="348"/>
      <c r="D62" s="348"/>
      <c r="E62" s="318"/>
      <c r="F62" s="318"/>
      <c r="G62" s="363">
        <f t="shared" si="6"/>
        <v>0</v>
      </c>
      <c r="H62" s="341"/>
      <c r="I62" s="341"/>
      <c r="J62" s="318">
        <f t="shared" si="2"/>
        <v>0</v>
      </c>
      <c r="K62" s="346"/>
      <c r="L62" s="364"/>
      <c r="M62" s="318">
        <f t="shared" si="5"/>
        <v>238174.54729999998</v>
      </c>
      <c r="N62" s="194"/>
      <c r="O62" s="194"/>
    </row>
    <row r="63" spans="1:15">
      <c r="A63" s="103">
        <v>60</v>
      </c>
      <c r="B63" s="238"/>
      <c r="C63" s="110"/>
      <c r="D63" s="175"/>
      <c r="E63" s="110"/>
      <c r="F63" s="110"/>
      <c r="G63" s="316">
        <f t="shared" si="6"/>
        <v>0</v>
      </c>
      <c r="H63" s="110"/>
      <c r="I63" s="110"/>
      <c r="J63" s="316">
        <f t="shared" si="2"/>
        <v>0</v>
      </c>
      <c r="K63" s="316"/>
      <c r="L63" s="317"/>
      <c r="M63" s="316">
        <f t="shared" si="5"/>
        <v>238174.54729999998</v>
      </c>
      <c r="N63" s="371"/>
      <c r="O63" s="194"/>
    </row>
    <row r="64" spans="1:15">
      <c r="A64" s="334">
        <v>61</v>
      </c>
      <c r="B64" s="238"/>
      <c r="C64" s="110"/>
      <c r="D64" s="175"/>
      <c r="E64" s="110"/>
      <c r="F64" s="110"/>
      <c r="G64" s="316">
        <f t="shared" si="6"/>
        <v>0</v>
      </c>
      <c r="H64" s="316"/>
      <c r="I64" s="316"/>
      <c r="J64" s="316">
        <f t="shared" ref="J64:J78" si="7">H64*I64</f>
        <v>0</v>
      </c>
      <c r="K64" s="316"/>
      <c r="L64" s="317"/>
      <c r="M64" s="316">
        <f t="shared" si="5"/>
        <v>238174.54729999998</v>
      </c>
      <c r="N64" s="371"/>
      <c r="O64" s="194"/>
    </row>
    <row r="65" spans="1:15">
      <c r="A65" s="103">
        <v>62</v>
      </c>
      <c r="B65" s="238"/>
      <c r="C65" s="110"/>
      <c r="D65" s="175"/>
      <c r="E65" s="110"/>
      <c r="F65" s="110"/>
      <c r="G65" s="316">
        <f t="shared" si="6"/>
        <v>0</v>
      </c>
      <c r="H65" s="316"/>
      <c r="I65" s="316"/>
      <c r="J65" s="316">
        <f t="shared" si="7"/>
        <v>0</v>
      </c>
      <c r="K65" s="316"/>
      <c r="L65" s="317"/>
      <c r="M65" s="316">
        <f t="shared" si="5"/>
        <v>238174.54729999998</v>
      </c>
      <c r="N65" s="371"/>
      <c r="O65" s="194"/>
    </row>
    <row r="66" spans="1:15">
      <c r="A66" s="103">
        <v>63</v>
      </c>
      <c r="B66" s="238"/>
      <c r="C66" s="110"/>
      <c r="D66" s="175"/>
      <c r="E66" s="110"/>
      <c r="F66" s="110"/>
      <c r="G66" s="316">
        <f t="shared" si="6"/>
        <v>0</v>
      </c>
      <c r="H66" s="316"/>
      <c r="I66" s="316"/>
      <c r="J66" s="316">
        <f t="shared" si="7"/>
        <v>0</v>
      </c>
      <c r="K66" s="316"/>
      <c r="L66" s="317"/>
      <c r="M66" s="316">
        <f t="shared" si="5"/>
        <v>238174.54729999998</v>
      </c>
      <c r="N66" s="372"/>
      <c r="O66" s="321"/>
    </row>
    <row r="67" spans="1:15">
      <c r="A67" s="334">
        <v>64</v>
      </c>
      <c r="B67" s="238"/>
      <c r="C67" s="175"/>
      <c r="D67" s="349"/>
      <c r="E67" s="320"/>
      <c r="F67" s="320"/>
      <c r="G67" s="320">
        <f t="shared" si="6"/>
        <v>0</v>
      </c>
      <c r="H67" s="320"/>
      <c r="I67" s="320"/>
      <c r="J67" s="320">
        <f t="shared" si="7"/>
        <v>0</v>
      </c>
      <c r="K67" s="320"/>
      <c r="L67" s="339"/>
      <c r="M67" s="320">
        <f t="shared" si="5"/>
        <v>238174.54729999998</v>
      </c>
      <c r="N67" s="194"/>
      <c r="O67" s="194"/>
    </row>
    <row r="68" spans="1:15">
      <c r="A68" s="103">
        <v>65</v>
      </c>
      <c r="B68" s="238"/>
      <c r="C68" s="110"/>
      <c r="D68" s="175"/>
      <c r="E68" s="316"/>
      <c r="F68" s="316"/>
      <c r="G68" s="316">
        <f t="shared" si="6"/>
        <v>0</v>
      </c>
      <c r="H68" s="361"/>
      <c r="I68" s="361"/>
      <c r="J68" s="316">
        <f t="shared" si="7"/>
        <v>0</v>
      </c>
      <c r="K68" s="316"/>
      <c r="L68" s="317"/>
      <c r="M68" s="316">
        <f t="shared" si="5"/>
        <v>238174.54729999998</v>
      </c>
      <c r="N68" s="194"/>
      <c r="O68" s="194"/>
    </row>
    <row r="69" spans="1:15">
      <c r="A69" s="103">
        <v>66</v>
      </c>
      <c r="B69" s="238"/>
      <c r="C69" s="110"/>
      <c r="D69" s="175"/>
      <c r="E69" s="316"/>
      <c r="F69" s="316"/>
      <c r="G69" s="316">
        <f t="shared" si="6"/>
        <v>0</v>
      </c>
      <c r="H69" s="316"/>
      <c r="I69" s="316"/>
      <c r="J69" s="316">
        <f t="shared" si="7"/>
        <v>0</v>
      </c>
      <c r="K69" s="316"/>
      <c r="L69" s="317"/>
      <c r="M69" s="316">
        <f t="shared" si="5"/>
        <v>238174.54729999998</v>
      </c>
      <c r="N69" s="194"/>
      <c r="O69" s="194"/>
    </row>
    <row r="70" spans="1:15">
      <c r="A70" s="334">
        <v>67</v>
      </c>
      <c r="B70" s="238"/>
      <c r="C70" s="110"/>
      <c r="D70" s="175"/>
      <c r="E70" s="316"/>
      <c r="F70" s="316"/>
      <c r="G70" s="316">
        <f t="shared" si="6"/>
        <v>0</v>
      </c>
      <c r="H70" s="316"/>
      <c r="I70" s="316"/>
      <c r="J70" s="316">
        <f t="shared" si="7"/>
        <v>0</v>
      </c>
      <c r="K70" s="316"/>
      <c r="L70" s="317"/>
      <c r="M70" s="316">
        <f t="shared" si="5"/>
        <v>238174.54729999998</v>
      </c>
      <c r="N70" s="321"/>
      <c r="O70" s="321"/>
    </row>
    <row r="71" spans="1:15">
      <c r="A71" s="103">
        <v>68</v>
      </c>
      <c r="B71" s="238"/>
      <c r="C71" s="175"/>
      <c r="D71" s="175"/>
      <c r="E71" s="316"/>
      <c r="F71" s="316"/>
      <c r="G71" s="316">
        <f t="shared" si="6"/>
        <v>0</v>
      </c>
      <c r="H71" s="316"/>
      <c r="I71" s="316"/>
      <c r="J71" s="316">
        <f t="shared" si="7"/>
        <v>0</v>
      </c>
      <c r="K71" s="316"/>
      <c r="L71" s="317"/>
      <c r="M71" s="316">
        <f t="shared" si="5"/>
        <v>238174.54729999998</v>
      </c>
      <c r="N71" s="194"/>
      <c r="O71" s="194"/>
    </row>
    <row r="72" spans="1:15">
      <c r="A72" s="103">
        <v>69</v>
      </c>
      <c r="B72" s="238"/>
      <c r="C72" s="110"/>
      <c r="D72" s="175"/>
      <c r="E72" s="316"/>
      <c r="F72" s="316"/>
      <c r="G72" s="316">
        <f t="shared" si="6"/>
        <v>0</v>
      </c>
      <c r="H72" s="316"/>
      <c r="I72" s="316"/>
      <c r="J72" s="316">
        <f t="shared" si="7"/>
        <v>0</v>
      </c>
      <c r="K72" s="316"/>
      <c r="L72" s="317"/>
      <c r="M72" s="316">
        <f t="shared" si="5"/>
        <v>238174.54729999998</v>
      </c>
      <c r="N72" s="321"/>
      <c r="O72" s="321"/>
    </row>
    <row r="73" spans="1:15">
      <c r="A73" s="334">
        <v>70</v>
      </c>
      <c r="B73" s="238"/>
      <c r="C73" s="175"/>
      <c r="D73" s="361"/>
      <c r="E73" s="316"/>
      <c r="F73" s="316"/>
      <c r="G73" s="316">
        <f t="shared" si="6"/>
        <v>0</v>
      </c>
      <c r="H73" s="361"/>
      <c r="I73" s="361"/>
      <c r="J73" s="316">
        <f t="shared" si="7"/>
        <v>0</v>
      </c>
      <c r="K73" s="316"/>
      <c r="L73" s="317"/>
      <c r="M73" s="316">
        <f t="shared" si="5"/>
        <v>238174.54729999998</v>
      </c>
      <c r="N73" s="321"/>
      <c r="O73" s="321"/>
    </row>
    <row r="74" spans="1:15">
      <c r="A74" s="103">
        <v>71</v>
      </c>
      <c r="B74" s="238"/>
      <c r="C74" s="175"/>
      <c r="D74" s="175"/>
      <c r="E74" s="316"/>
      <c r="F74" s="316"/>
      <c r="G74" s="316">
        <f t="shared" si="6"/>
        <v>0</v>
      </c>
      <c r="H74" s="316"/>
      <c r="I74" s="316"/>
      <c r="J74" s="316">
        <f t="shared" si="7"/>
        <v>0</v>
      </c>
      <c r="K74" s="316"/>
      <c r="L74" s="317"/>
      <c r="M74" s="316">
        <f t="shared" si="3"/>
        <v>238174.54729999998</v>
      </c>
      <c r="N74" s="194"/>
      <c r="O74" s="194"/>
    </row>
    <row r="75" spans="1:15">
      <c r="A75" s="103">
        <v>72</v>
      </c>
      <c r="B75" s="238"/>
      <c r="C75" s="175"/>
      <c r="D75" s="175"/>
      <c r="E75" s="316"/>
      <c r="F75" s="316"/>
      <c r="G75" s="316">
        <f t="shared" si="6"/>
        <v>0</v>
      </c>
      <c r="H75" s="316"/>
      <c r="I75" s="316"/>
      <c r="J75" s="316">
        <f t="shared" si="7"/>
        <v>0</v>
      </c>
      <c r="K75" s="316"/>
      <c r="L75" s="317"/>
      <c r="M75" s="316">
        <f t="shared" si="3"/>
        <v>238174.54729999998</v>
      </c>
      <c r="N75" s="321"/>
      <c r="O75" s="321"/>
    </row>
    <row r="76" spans="1:15">
      <c r="A76" s="334">
        <v>73</v>
      </c>
      <c r="B76" s="238"/>
      <c r="C76" s="175"/>
      <c r="D76" s="175"/>
      <c r="E76" s="316"/>
      <c r="F76" s="316"/>
      <c r="G76" s="316">
        <f t="shared" ref="G76:G79" si="8">E76*F76</f>
        <v>0</v>
      </c>
      <c r="H76" s="316"/>
      <c r="I76" s="316"/>
      <c r="J76" s="316">
        <f t="shared" si="7"/>
        <v>0</v>
      </c>
      <c r="K76" s="316"/>
      <c r="L76" s="317"/>
      <c r="M76" s="316">
        <f t="shared" si="3"/>
        <v>238174.54729999998</v>
      </c>
      <c r="N76" s="194"/>
      <c r="O76" s="194"/>
    </row>
    <row r="77" spans="1:15">
      <c r="A77" s="103">
        <v>74</v>
      </c>
      <c r="B77" s="238"/>
      <c r="C77" s="175"/>
      <c r="D77" s="175"/>
      <c r="E77" s="316"/>
      <c r="F77" s="316"/>
      <c r="G77" s="316">
        <f t="shared" si="8"/>
        <v>0</v>
      </c>
      <c r="H77" s="316"/>
      <c r="I77" s="316"/>
      <c r="J77" s="316">
        <f t="shared" si="7"/>
        <v>0</v>
      </c>
      <c r="K77" s="316"/>
      <c r="L77" s="316"/>
      <c r="M77" s="316">
        <f t="shared" ref="M77:M86" si="9">M76+L77-K77</f>
        <v>238174.54729999998</v>
      </c>
      <c r="N77" s="194"/>
      <c r="O77" s="194"/>
    </row>
    <row r="78" spans="1:15">
      <c r="A78" s="103">
        <v>75</v>
      </c>
      <c r="B78" s="238"/>
      <c r="C78" s="175"/>
      <c r="D78" s="175"/>
      <c r="E78" s="316"/>
      <c r="F78" s="316"/>
      <c r="G78" s="316">
        <f t="shared" si="8"/>
        <v>0</v>
      </c>
      <c r="H78" s="316"/>
      <c r="I78" s="316"/>
      <c r="J78" s="316">
        <f t="shared" si="7"/>
        <v>0</v>
      </c>
      <c r="K78" s="316"/>
      <c r="L78" s="316"/>
      <c r="M78" s="316">
        <f t="shared" si="9"/>
        <v>238174.54729999998</v>
      </c>
      <c r="N78" s="194"/>
      <c r="O78" s="194"/>
    </row>
    <row r="79" spans="1:15">
      <c r="A79" s="334">
        <v>76</v>
      </c>
      <c r="B79" s="238"/>
      <c r="C79" s="175"/>
      <c r="D79" s="175"/>
      <c r="E79" s="316"/>
      <c r="F79" s="316"/>
      <c r="G79" s="316">
        <f t="shared" si="8"/>
        <v>0</v>
      </c>
      <c r="H79" s="316"/>
      <c r="I79" s="316"/>
      <c r="J79" s="316">
        <f t="shared" ref="J79:J86" si="10">H79*I79</f>
        <v>0</v>
      </c>
      <c r="K79" s="316"/>
      <c r="L79" s="316"/>
      <c r="M79" s="316">
        <f t="shared" si="9"/>
        <v>238174.54729999998</v>
      </c>
      <c r="N79" s="194"/>
      <c r="O79" s="194"/>
    </row>
    <row r="80" spans="1:15">
      <c r="A80" s="103">
        <v>77</v>
      </c>
      <c r="B80" s="238"/>
      <c r="C80" s="175"/>
      <c r="D80" s="175"/>
      <c r="E80" s="316">
        <v>0</v>
      </c>
      <c r="F80" s="316"/>
      <c r="G80" s="316">
        <f t="shared" ref="G80:G86" si="11">E80*F80</f>
        <v>0</v>
      </c>
      <c r="H80" s="316"/>
      <c r="I80" s="316"/>
      <c r="J80" s="316">
        <f t="shared" si="10"/>
        <v>0</v>
      </c>
      <c r="K80" s="316"/>
      <c r="L80" s="316"/>
      <c r="M80" s="316">
        <f t="shared" si="9"/>
        <v>238174.54729999998</v>
      </c>
      <c r="N80" s="194"/>
      <c r="O80" s="194"/>
    </row>
    <row r="81" spans="1:15">
      <c r="A81" s="103">
        <v>78</v>
      </c>
      <c r="B81" s="238"/>
      <c r="C81" s="175"/>
      <c r="D81" s="175"/>
      <c r="E81" s="316">
        <v>0</v>
      </c>
      <c r="F81" s="316"/>
      <c r="G81" s="316">
        <f t="shared" si="11"/>
        <v>0</v>
      </c>
      <c r="H81" s="316"/>
      <c r="I81" s="316"/>
      <c r="J81" s="316">
        <f t="shared" si="10"/>
        <v>0</v>
      </c>
      <c r="K81" s="316"/>
      <c r="L81" s="316"/>
      <c r="M81" s="316">
        <f t="shared" si="9"/>
        <v>238174.54729999998</v>
      </c>
      <c r="N81" s="194"/>
      <c r="O81" s="194"/>
    </row>
    <row r="82" spans="1:15">
      <c r="A82" s="334">
        <v>79</v>
      </c>
      <c r="B82" s="238"/>
      <c r="C82" s="175"/>
      <c r="D82" s="175"/>
      <c r="E82" s="316">
        <v>0</v>
      </c>
      <c r="F82" s="316"/>
      <c r="G82" s="316">
        <f t="shared" si="11"/>
        <v>0</v>
      </c>
      <c r="H82" s="316"/>
      <c r="I82" s="316"/>
      <c r="J82" s="316">
        <f t="shared" si="10"/>
        <v>0</v>
      </c>
      <c r="K82" s="316"/>
      <c r="L82" s="316"/>
      <c r="M82" s="316">
        <f t="shared" si="9"/>
        <v>238174.54729999998</v>
      </c>
      <c r="N82" s="194"/>
      <c r="O82" s="194"/>
    </row>
    <row r="83" spans="1:15">
      <c r="A83" s="103">
        <v>80</v>
      </c>
      <c r="B83" s="238"/>
      <c r="C83" s="175"/>
      <c r="D83" s="175"/>
      <c r="E83" s="316">
        <v>0</v>
      </c>
      <c r="F83" s="316"/>
      <c r="G83" s="316">
        <f t="shared" si="11"/>
        <v>0</v>
      </c>
      <c r="H83" s="316"/>
      <c r="I83" s="316"/>
      <c r="J83" s="316">
        <f t="shared" si="10"/>
        <v>0</v>
      </c>
      <c r="K83" s="316"/>
      <c r="L83" s="316"/>
      <c r="M83" s="316">
        <f t="shared" si="9"/>
        <v>238174.54729999998</v>
      </c>
      <c r="N83" s="321"/>
      <c r="O83" s="321"/>
    </row>
    <row r="84" spans="1:15">
      <c r="A84" s="103">
        <v>81</v>
      </c>
      <c r="B84" s="238"/>
      <c r="C84" s="110"/>
      <c r="D84" s="110"/>
      <c r="E84" s="316">
        <v>0</v>
      </c>
      <c r="F84" s="316"/>
      <c r="G84" s="316">
        <f t="shared" si="11"/>
        <v>0</v>
      </c>
      <c r="H84" s="316"/>
      <c r="I84" s="316"/>
      <c r="J84" s="316">
        <f t="shared" si="10"/>
        <v>0</v>
      </c>
      <c r="K84" s="316"/>
      <c r="L84" s="316"/>
      <c r="M84" s="316">
        <f t="shared" si="9"/>
        <v>238174.54729999998</v>
      </c>
      <c r="N84" s="194"/>
      <c r="O84" s="194"/>
    </row>
    <row r="85" spans="1:15">
      <c r="A85" s="334">
        <v>82</v>
      </c>
      <c r="B85" s="238"/>
      <c r="C85" s="247"/>
      <c r="D85" s="247"/>
      <c r="E85" s="316">
        <v>0</v>
      </c>
      <c r="F85" s="316"/>
      <c r="G85" s="316">
        <f t="shared" si="11"/>
        <v>0</v>
      </c>
      <c r="H85" s="316"/>
      <c r="I85" s="316"/>
      <c r="J85" s="316">
        <f t="shared" si="10"/>
        <v>0</v>
      </c>
      <c r="K85" s="316"/>
      <c r="L85" s="316"/>
      <c r="M85" s="316">
        <f t="shared" si="9"/>
        <v>238174.54729999998</v>
      </c>
      <c r="N85" s="194"/>
      <c r="O85" s="194"/>
    </row>
    <row r="86" spans="1:15">
      <c r="A86" s="103">
        <v>83</v>
      </c>
      <c r="B86" s="17"/>
      <c r="C86" s="17"/>
      <c r="D86" s="17"/>
      <c r="E86" s="316">
        <v>0</v>
      </c>
      <c r="F86" s="316"/>
      <c r="G86" s="316">
        <f t="shared" si="11"/>
        <v>0</v>
      </c>
      <c r="H86" s="316"/>
      <c r="I86" s="316"/>
      <c r="J86" s="316">
        <f t="shared" si="10"/>
        <v>0</v>
      </c>
      <c r="K86" s="316"/>
      <c r="L86" s="316"/>
      <c r="M86" s="316">
        <f t="shared" si="9"/>
        <v>238174.54729999998</v>
      </c>
      <c r="N86" s="194"/>
      <c r="O86" s="194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24"/>
  <sheetViews>
    <sheetView topLeftCell="A19" workbookViewId="0">
      <selection activeCell="C29" sqref="C29"/>
    </sheetView>
  </sheetViews>
  <sheetFormatPr defaultRowHeight="15"/>
  <cols>
    <col min="2" max="2" width="11.5703125" customWidth="1"/>
    <col min="3" max="3" width="36.5703125" bestFit="1" customWidth="1"/>
    <col min="4" max="4" width="40.855468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36" t="s">
        <v>257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</row>
    <row r="2" spans="1:15">
      <c r="A2" s="70" t="s">
        <v>96</v>
      </c>
      <c r="B2" s="89" t="s">
        <v>97</v>
      </c>
      <c r="C2" s="89" t="s">
        <v>193</v>
      </c>
      <c r="D2" s="89" t="s">
        <v>194</v>
      </c>
      <c r="E2" s="89" t="s">
        <v>100</v>
      </c>
      <c r="F2" s="89" t="s">
        <v>101</v>
      </c>
      <c r="G2" s="96" t="s">
        <v>102</v>
      </c>
      <c r="H2" s="89" t="s">
        <v>103</v>
      </c>
      <c r="I2" s="89" t="s">
        <v>101</v>
      </c>
      <c r="J2" s="96" t="s">
        <v>102</v>
      </c>
      <c r="K2" s="70" t="s">
        <v>104</v>
      </c>
      <c r="L2" s="97" t="s">
        <v>195</v>
      </c>
      <c r="M2" s="91" t="s">
        <v>110</v>
      </c>
      <c r="N2" s="89" t="s">
        <v>107</v>
      </c>
      <c r="O2" s="89" t="s">
        <v>196</v>
      </c>
    </row>
    <row r="3" spans="1:15">
      <c r="A3" s="430" t="s">
        <v>108</v>
      </c>
      <c r="B3" s="430"/>
      <c r="C3" s="430"/>
      <c r="D3" s="430"/>
      <c r="E3" s="430"/>
      <c r="F3" s="430"/>
      <c r="G3" s="430"/>
      <c r="H3" s="430"/>
      <c r="I3" s="430"/>
      <c r="J3" s="430"/>
      <c r="K3" s="22">
        <v>8081.05</v>
      </c>
      <c r="L3" s="176"/>
      <c r="M3" s="239">
        <f>+K3</f>
        <v>8081.05</v>
      </c>
      <c r="N3" s="100"/>
      <c r="O3" s="100"/>
    </row>
    <row r="4" spans="1:15">
      <c r="A4" s="100">
        <v>1</v>
      </c>
      <c r="B4" s="366"/>
      <c r="C4" s="358"/>
      <c r="D4" s="358"/>
      <c r="E4" s="358"/>
      <c r="F4" s="358"/>
      <c r="G4" s="358"/>
      <c r="H4" s="358"/>
      <c r="I4" s="358"/>
      <c r="J4" s="358"/>
      <c r="K4" s="42">
        <f>SUM(G4+J4)</f>
        <v>0</v>
      </c>
      <c r="L4" s="176"/>
      <c r="M4" s="239">
        <f>SUM(M3+L4-K4)</f>
        <v>8081.05</v>
      </c>
      <c r="N4" s="100"/>
      <c r="O4" s="100"/>
    </row>
    <row r="5" spans="1:15">
      <c r="A5" s="17">
        <v>2</v>
      </c>
      <c r="B5" s="17" t="s">
        <v>159</v>
      </c>
      <c r="C5" s="365" t="s">
        <v>258</v>
      </c>
      <c r="D5" s="272" t="s">
        <v>259</v>
      </c>
      <c r="E5" s="42">
        <v>5465.7</v>
      </c>
      <c r="F5" s="42">
        <v>91.5</v>
      </c>
      <c r="G5" s="42">
        <v>500000</v>
      </c>
      <c r="H5" s="42"/>
      <c r="I5" s="42"/>
      <c r="J5" s="42">
        <f>SUM(H5*I5)</f>
        <v>0</v>
      </c>
      <c r="K5" s="42">
        <f>SUM(G5+J5)</f>
        <v>500000</v>
      </c>
      <c r="L5" s="412">
        <v>750000</v>
      </c>
      <c r="M5" s="239">
        <f>SUM(M4+L5-K5)</f>
        <v>258081.05000000005</v>
      </c>
      <c r="N5" s="17"/>
      <c r="O5" s="17"/>
    </row>
    <row r="6" spans="1:15">
      <c r="A6" s="17">
        <v>3</v>
      </c>
      <c r="B6" s="17" t="s">
        <v>159</v>
      </c>
      <c r="C6" s="365" t="s">
        <v>260</v>
      </c>
      <c r="D6" s="272" t="s">
        <v>261</v>
      </c>
      <c r="E6" s="42">
        <v>2737.35</v>
      </c>
      <c r="F6" s="42">
        <v>91.33</v>
      </c>
      <c r="G6" s="42">
        <v>250000</v>
      </c>
      <c r="H6" s="42"/>
      <c r="I6" s="42"/>
      <c r="J6" s="42"/>
      <c r="K6" s="42">
        <f>SUM(G6+J6)</f>
        <v>250000</v>
      </c>
      <c r="L6" s="413"/>
      <c r="M6" s="239">
        <f t="shared" ref="M6:M21" si="0">SUM(M5+L6-K6)</f>
        <v>8081.0500000000466</v>
      </c>
      <c r="N6" s="17"/>
      <c r="O6" s="17"/>
    </row>
    <row r="7" spans="1:15">
      <c r="A7" s="100">
        <v>4</v>
      </c>
      <c r="B7" s="17" t="s">
        <v>164</v>
      </c>
      <c r="C7" s="365"/>
      <c r="D7" s="272"/>
      <c r="E7" s="42"/>
      <c r="F7" s="42"/>
      <c r="G7" s="42"/>
      <c r="H7" s="42"/>
      <c r="I7" s="42"/>
      <c r="J7" s="42"/>
      <c r="K7" s="42"/>
      <c r="L7" s="413">
        <v>100000</v>
      </c>
      <c r="M7" s="239">
        <f t="shared" si="0"/>
        <v>108081.05000000005</v>
      </c>
      <c r="N7" s="17"/>
      <c r="O7" s="17"/>
    </row>
    <row r="8" spans="1:15">
      <c r="A8" s="17">
        <v>5</v>
      </c>
      <c r="B8" s="17" t="s">
        <v>180</v>
      </c>
      <c r="C8" s="365" t="s">
        <v>258</v>
      </c>
      <c r="D8" s="272" t="s">
        <v>262</v>
      </c>
      <c r="E8" s="42">
        <v>433.98</v>
      </c>
      <c r="F8" s="42">
        <v>92.17</v>
      </c>
      <c r="G8" s="42">
        <f>SUM(E8*F8)</f>
        <v>39999.936600000001</v>
      </c>
      <c r="H8" s="42"/>
      <c r="I8" s="42"/>
      <c r="J8" s="42"/>
      <c r="K8" s="42">
        <f>SUM(G8+J8)</f>
        <v>39999.936600000001</v>
      </c>
      <c r="L8" s="413"/>
      <c r="M8" s="239">
        <f t="shared" si="0"/>
        <v>68081.113400000046</v>
      </c>
      <c r="N8" s="17"/>
      <c r="O8" s="17"/>
    </row>
    <row r="9" spans="1:15">
      <c r="A9" s="17">
        <v>6</v>
      </c>
      <c r="B9" s="17" t="s">
        <v>165</v>
      </c>
      <c r="C9" s="365" t="s">
        <v>260</v>
      </c>
      <c r="D9" s="272" t="s">
        <v>261</v>
      </c>
      <c r="E9" s="42">
        <v>3284.82</v>
      </c>
      <c r="F9" s="42">
        <v>91.33</v>
      </c>
      <c r="G9" s="42">
        <v>300000</v>
      </c>
      <c r="H9" s="42"/>
      <c r="I9" s="42"/>
      <c r="J9" s="42">
        <f t="shared" ref="J9:J18" si="1">SUM(H9*I9)</f>
        <v>0</v>
      </c>
      <c r="K9" s="42">
        <f>SUM(G9+J9)</f>
        <v>300000</v>
      </c>
      <c r="L9" s="195">
        <v>5800000</v>
      </c>
      <c r="M9" s="239">
        <f t="shared" si="0"/>
        <v>5568081.1134000001</v>
      </c>
      <c r="N9" s="17"/>
      <c r="O9" s="17"/>
    </row>
    <row r="10" spans="1:15">
      <c r="A10" s="100">
        <v>7</v>
      </c>
      <c r="B10" s="17" t="s">
        <v>165</v>
      </c>
      <c r="C10" s="365" t="s">
        <v>263</v>
      </c>
      <c r="D10" s="272" t="s">
        <v>264</v>
      </c>
      <c r="E10" s="42">
        <v>52257.5</v>
      </c>
      <c r="F10" s="42">
        <v>95.68</v>
      </c>
      <c r="G10" s="42">
        <v>5000000</v>
      </c>
      <c r="H10" s="42"/>
      <c r="I10" s="42"/>
      <c r="J10" s="42">
        <f t="shared" si="1"/>
        <v>0</v>
      </c>
      <c r="K10" s="42">
        <f>SUM(G10+J10)</f>
        <v>5000000</v>
      </c>
      <c r="L10" s="414"/>
      <c r="M10" s="239">
        <f t="shared" si="0"/>
        <v>568081.11340000015</v>
      </c>
      <c r="N10" s="17"/>
      <c r="O10" s="17"/>
    </row>
    <row r="11" spans="1:15">
      <c r="A11" s="17">
        <v>8</v>
      </c>
      <c r="B11" s="17" t="s">
        <v>166</v>
      </c>
      <c r="C11" s="365" t="s">
        <v>258</v>
      </c>
      <c r="D11" s="272" t="s">
        <v>259</v>
      </c>
      <c r="E11" s="42">
        <v>5465.6750000000002</v>
      </c>
      <c r="F11" s="42">
        <v>91.48</v>
      </c>
      <c r="G11" s="42">
        <v>500000</v>
      </c>
      <c r="H11" s="42"/>
      <c r="I11" s="42"/>
      <c r="J11" s="42">
        <f t="shared" si="1"/>
        <v>0</v>
      </c>
      <c r="K11" s="42">
        <v>500000</v>
      </c>
      <c r="L11" s="414"/>
      <c r="M11" s="239">
        <f t="shared" si="0"/>
        <v>68081.113400000148</v>
      </c>
      <c r="N11" s="17"/>
      <c r="O11" s="17"/>
    </row>
    <row r="12" spans="1:15">
      <c r="A12" s="17">
        <v>9</v>
      </c>
      <c r="B12" s="17" t="s">
        <v>168</v>
      </c>
      <c r="C12" s="365" t="s">
        <v>265</v>
      </c>
      <c r="D12" s="272" t="s">
        <v>266</v>
      </c>
      <c r="E12" s="42">
        <v>26128.75</v>
      </c>
      <c r="F12" s="42">
        <v>95.68</v>
      </c>
      <c r="G12" s="42">
        <v>2500000</v>
      </c>
      <c r="H12" s="42"/>
      <c r="I12" s="42"/>
      <c r="J12" s="42">
        <f t="shared" si="1"/>
        <v>0</v>
      </c>
      <c r="K12" s="42">
        <v>2500000</v>
      </c>
      <c r="L12" s="414">
        <v>2500000</v>
      </c>
      <c r="M12" s="239">
        <f t="shared" si="0"/>
        <v>68081.113400000148</v>
      </c>
      <c r="N12" s="17"/>
      <c r="O12" s="17"/>
    </row>
    <row r="13" spans="1:15">
      <c r="A13" s="100">
        <v>10</v>
      </c>
      <c r="B13" s="17" t="s">
        <v>169</v>
      </c>
      <c r="C13" s="365" t="s">
        <v>258</v>
      </c>
      <c r="D13" s="272" t="s">
        <v>267</v>
      </c>
      <c r="E13" s="342">
        <v>200</v>
      </c>
      <c r="F13" s="342">
        <v>97.76</v>
      </c>
      <c r="G13" s="42">
        <f>E13*F13</f>
        <v>19552</v>
      </c>
      <c r="H13" s="225"/>
      <c r="I13" s="225"/>
      <c r="J13" s="42">
        <f t="shared" si="1"/>
        <v>0</v>
      </c>
      <c r="K13" s="42">
        <v>19552</v>
      </c>
      <c r="L13" s="415"/>
      <c r="M13" s="239">
        <f t="shared" si="0"/>
        <v>48529.113400000148</v>
      </c>
      <c r="N13" s="100"/>
      <c r="O13" s="100"/>
    </row>
    <row r="14" spans="1:15">
      <c r="A14" s="17">
        <v>11</v>
      </c>
      <c r="B14" s="17" t="s">
        <v>170</v>
      </c>
      <c r="C14" s="365" t="s">
        <v>258</v>
      </c>
      <c r="D14" s="272" t="s">
        <v>268</v>
      </c>
      <c r="E14" s="343">
        <v>200</v>
      </c>
      <c r="F14" s="343">
        <v>97.12</v>
      </c>
      <c r="G14" s="42">
        <f>E14*F14</f>
        <v>19424</v>
      </c>
      <c r="H14" s="225"/>
      <c r="I14" s="225"/>
      <c r="J14" s="42">
        <f t="shared" si="1"/>
        <v>0</v>
      </c>
      <c r="K14" s="42">
        <v>19424</v>
      </c>
      <c r="L14" s="416"/>
      <c r="M14" s="239">
        <f t="shared" si="0"/>
        <v>29105.113400000148</v>
      </c>
      <c r="N14" s="368"/>
      <c r="O14" s="100"/>
    </row>
    <row r="15" spans="1:15">
      <c r="A15" s="17">
        <v>12</v>
      </c>
      <c r="B15" s="17" t="s">
        <v>171</v>
      </c>
      <c r="C15" s="365" t="s">
        <v>258</v>
      </c>
      <c r="D15" s="342" t="s">
        <v>269</v>
      </c>
      <c r="E15" s="225">
        <v>236.63</v>
      </c>
      <c r="F15" s="225">
        <v>92.17</v>
      </c>
      <c r="G15" s="42">
        <f>E15*F15</f>
        <v>21810.187099999999</v>
      </c>
      <c r="H15" s="225"/>
      <c r="I15" s="225"/>
      <c r="J15" s="42">
        <f t="shared" si="1"/>
        <v>0</v>
      </c>
      <c r="K15" s="225">
        <v>21810.19</v>
      </c>
      <c r="L15" s="416"/>
      <c r="M15" s="239">
        <f t="shared" si="0"/>
        <v>7294.9234000001488</v>
      </c>
      <c r="N15" s="368"/>
      <c r="O15" s="100"/>
    </row>
    <row r="16" spans="1:15">
      <c r="A16" s="100">
        <v>13</v>
      </c>
      <c r="B16" s="17" t="s">
        <v>175</v>
      </c>
      <c r="C16" s="365"/>
      <c r="D16" s="342"/>
      <c r="E16" s="225"/>
      <c r="F16" s="225"/>
      <c r="G16" s="42"/>
      <c r="H16" s="225"/>
      <c r="I16" s="225"/>
      <c r="J16" s="42"/>
      <c r="K16" s="225"/>
      <c r="L16" s="416">
        <v>60000</v>
      </c>
      <c r="M16" s="239">
        <f t="shared" si="0"/>
        <v>67294.923400000145</v>
      </c>
      <c r="N16" s="368"/>
      <c r="O16" s="100"/>
    </row>
    <row r="17" spans="1:15">
      <c r="A17" s="17">
        <v>14</v>
      </c>
      <c r="B17" s="17" t="s">
        <v>176</v>
      </c>
      <c r="C17" s="365" t="s">
        <v>260</v>
      </c>
      <c r="D17" s="272" t="s">
        <v>261</v>
      </c>
      <c r="E17" s="42">
        <v>2189.88</v>
      </c>
      <c r="F17" s="42">
        <v>91.33</v>
      </c>
      <c r="G17" s="42">
        <f>E17*F17</f>
        <v>200001.74040000001</v>
      </c>
      <c r="H17" s="42"/>
      <c r="I17" s="42"/>
      <c r="J17" s="42">
        <f t="shared" si="1"/>
        <v>0</v>
      </c>
      <c r="K17" s="225">
        <v>200000</v>
      </c>
      <c r="L17" s="414">
        <v>200000</v>
      </c>
      <c r="M17" s="239">
        <f t="shared" si="0"/>
        <v>67294.923400000145</v>
      </c>
      <c r="N17" s="17"/>
      <c r="O17" s="17"/>
    </row>
    <row r="18" spans="1:15" ht="15.75">
      <c r="A18" s="17">
        <v>15</v>
      </c>
      <c r="B18" s="17" t="s">
        <v>177</v>
      </c>
      <c r="C18" s="365" t="s">
        <v>258</v>
      </c>
      <c r="D18" s="272" t="s">
        <v>267</v>
      </c>
      <c r="E18" s="411">
        <v>400</v>
      </c>
      <c r="F18" s="342">
        <v>97.76</v>
      </c>
      <c r="G18" s="42">
        <f>E18*F18</f>
        <v>39104</v>
      </c>
      <c r="H18" s="42">
        <v>4.54</v>
      </c>
      <c r="I18" s="42">
        <v>110.07</v>
      </c>
      <c r="J18" s="42">
        <f t="shared" si="1"/>
        <v>499.71779999999995</v>
      </c>
      <c r="K18" s="225">
        <f>G18+J18</f>
        <v>39603.717799999999</v>
      </c>
      <c r="L18" s="414"/>
      <c r="M18" s="239">
        <f t="shared" si="0"/>
        <v>27691.205600000147</v>
      </c>
      <c r="N18" s="17"/>
      <c r="O18" s="17"/>
    </row>
    <row r="19" spans="1:15">
      <c r="A19" s="100">
        <v>16</v>
      </c>
      <c r="B19" s="250"/>
      <c r="C19" s="369"/>
      <c r="D19" s="272"/>
      <c r="E19" s="343"/>
      <c r="F19" s="342"/>
      <c r="G19" s="42"/>
      <c r="H19" s="42"/>
      <c r="I19" s="42"/>
      <c r="J19" s="42"/>
      <c r="K19" s="225"/>
      <c r="L19" s="414"/>
      <c r="M19" s="239">
        <f t="shared" si="0"/>
        <v>27691.205600000147</v>
      </c>
      <c r="N19" s="17"/>
      <c r="O19" s="17"/>
    </row>
    <row r="20" spans="1:15">
      <c r="A20" s="17">
        <v>17</v>
      </c>
      <c r="B20" s="250"/>
      <c r="C20" s="365"/>
      <c r="D20" s="272"/>
      <c r="E20" s="42"/>
      <c r="F20" s="42"/>
      <c r="G20" s="42"/>
      <c r="H20" s="42"/>
      <c r="I20" s="42"/>
      <c r="J20" s="42"/>
      <c r="K20" s="225"/>
      <c r="L20" s="414"/>
      <c r="M20" s="239">
        <f t="shared" si="0"/>
        <v>27691.205600000147</v>
      </c>
      <c r="N20" s="17"/>
      <c r="O20" s="17"/>
    </row>
    <row r="21" spans="1:15">
      <c r="A21" s="17">
        <v>18</v>
      </c>
      <c r="B21" s="250"/>
      <c r="C21" s="17"/>
      <c r="D21" s="17"/>
      <c r="E21" s="17"/>
      <c r="F21" s="17"/>
      <c r="G21" s="17"/>
      <c r="H21" s="17"/>
      <c r="I21" s="17"/>
      <c r="J21" s="17"/>
      <c r="K21" s="17"/>
      <c r="L21" s="103"/>
      <c r="M21" s="367">
        <f t="shared" si="0"/>
        <v>27691.205600000147</v>
      </c>
      <c r="N21" s="250"/>
      <c r="O21" s="17"/>
    </row>
    <row r="24" spans="1:15">
      <c r="I24" s="245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2026-10-07T04:49:14Z</dcterms:modified>
  <cp:category/>
  <cp:contentStatus/>
</cp:coreProperties>
</file>