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filterPrivacy="1"/>
  <xr:revisionPtr revIDLastSave="37406" documentId="13_ncr:1_{8AE36FE3-86F3-4CF6-9A97-12266062BE40}" xr6:coauthVersionLast="47" xr6:coauthVersionMax="47" xr10:uidLastSave="{B74AAB43-AD68-4B8E-8C40-3E39E29F1A30}"/>
  <bookViews>
    <workbookView xWindow="-120" yWindow="-120" windowWidth="24240" windowHeight="13020" firstSheet="39" activeTab="1" xr2:uid="{00000000-000D-0000-FFFF-FFFF00000000}"/>
  </bookViews>
  <sheets>
    <sheet name="Sheet1" sheetId="55" state="hidden" r:id="rId1"/>
    <sheet name="July-25" sheetId="56" r:id="rId2"/>
    <sheet name="Khammam-1" sheetId="6" r:id="rId3"/>
    <sheet name="Khammam-2" sheetId="50" r:id="rId4"/>
    <sheet name="Khammam-3" sheetId="47" r:id="rId5"/>
    <sheet name="Jedcherla -1" sheetId="18" r:id="rId6"/>
    <sheet name="Jedcharla-3" sheetId="54" r:id="rId7"/>
    <sheet name="Sangareddy" sheetId="32" r:id="rId8"/>
    <sheet name="Dindi" sheetId="58" r:id="rId9"/>
    <sheet name="Devarakhadra" sheetId="59" r:id="rId10"/>
    <sheet name="Hosadurga" sheetId="1" r:id="rId11"/>
    <sheet name="Hosadurga -2" sheetId="52" r:id="rId12"/>
    <sheet name="YG Gudda " sheetId="2" r:id="rId13"/>
    <sheet name="Kadur" sheetId="7" r:id="rId14"/>
    <sheet name="Hiriyur(VJNL)" sheetId="3" r:id="rId15"/>
    <sheet name="Chellakere (KUWSDB)" sheetId="20" r:id="rId16"/>
    <sheet name="Malebenur(KUWSDB)" sheetId="16" r:id="rId17"/>
    <sheet name="Haveri" sheetId="15" r:id="rId18"/>
    <sheet name="Guttal" sheetId="36" r:id="rId19"/>
    <sheet name="Rattihali" sheetId="37" r:id="rId20"/>
    <sheet name="Gajendragada" sheetId="12" r:id="rId21"/>
    <sheet name=" Talikote" sheetId="26" r:id="rId22"/>
    <sheet name="Chadchan" sheetId="9" r:id="rId23"/>
    <sheet name="Sindagi" sheetId="33" r:id="rId24"/>
    <sheet name="Alemela" sheetId="35" r:id="rId25"/>
    <sheet name="Nalatwad" sheetId="51" r:id="rId26"/>
    <sheet name="Muddebihal" sheetId="34" r:id="rId27"/>
    <sheet name="Khanapur" sheetId="24" r:id="rId28"/>
    <sheet name="Munavalli(KUWSDB)" sheetId="23" r:id="rId29"/>
    <sheet name="Munavali-2" sheetId="61" r:id="rId30"/>
    <sheet name="Ghattaprabha" sheetId="8" r:id="rId31"/>
    <sheet name="Gokak Dharwad PKG 3" sheetId="41" r:id="rId32"/>
    <sheet name="Ankalgi" sheetId="60" r:id="rId33"/>
    <sheet name=" Shankeshwar" sheetId="57" r:id="rId34"/>
    <sheet name="kumta" sheetId="25" r:id="rId35"/>
    <sheet name="Borgaon" sheetId="10" r:id="rId36"/>
    <sheet name="Ugar,Khagwad,Kudichi" sheetId="11" r:id="rId37"/>
    <sheet name="Kabbur" sheetId="40" r:id="rId38"/>
    <sheet name="Jalgaon" sheetId="22" r:id="rId39"/>
    <sheet name="MKBD" sheetId="14" r:id="rId40"/>
    <sheet name="Srirangapatna" sheetId="19" r:id="rId41"/>
    <sheet name="BPCL March 25" sheetId="44" r:id="rId42"/>
    <sheet name=" HPCL March 2025" sheetId="45" r:id="rId43"/>
  </sheets>
  <definedNames>
    <definedName name="_xlnm.Print_Area" localSheetId="10">Hosadurga!$A$2:$N$39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2" l="1"/>
  <c r="H35" i="25"/>
  <c r="Q13" i="37"/>
  <c r="K21" i="50"/>
  <c r="G21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8" i="50"/>
  <c r="M29" i="50"/>
  <c r="M30" i="50"/>
  <c r="M31" i="50"/>
  <c r="M32" i="50"/>
  <c r="M33" i="50"/>
  <c r="M34" i="50"/>
  <c r="M35" i="50"/>
  <c r="M36" i="50"/>
  <c r="E21" i="50"/>
  <c r="K34" i="51"/>
  <c r="G34" i="51"/>
  <c r="M8" i="45"/>
  <c r="M9" i="45"/>
  <c r="M10" i="45"/>
  <c r="L34" i="36"/>
  <c r="H35" i="37"/>
  <c r="J34" i="37"/>
  <c r="K34" i="37"/>
  <c r="G33" i="37"/>
  <c r="G34" i="37"/>
  <c r="E43" i="35"/>
  <c r="H43" i="35"/>
  <c r="E35" i="11"/>
  <c r="Q34" i="54"/>
  <c r="M29" i="34"/>
  <c r="M30" i="34"/>
  <c r="M31" i="34"/>
  <c r="K30" i="34"/>
  <c r="J30" i="34"/>
  <c r="G30" i="34"/>
  <c r="K37" i="44"/>
  <c r="E30" i="47"/>
  <c r="E29" i="47"/>
  <c r="E35" i="60"/>
  <c r="H40" i="41"/>
  <c r="G34" i="44"/>
  <c r="K34" i="44"/>
  <c r="M34" i="44" s="1"/>
  <c r="M35" i="44" s="1"/>
  <c r="J34" i="44"/>
  <c r="I31" i="56"/>
  <c r="I18" i="56"/>
  <c r="H36" i="61"/>
  <c r="F18" i="56" s="1"/>
  <c r="E36" i="61"/>
  <c r="D18" i="56" s="1"/>
  <c r="J35" i="61"/>
  <c r="G35" i="61"/>
  <c r="K35" i="61" s="1"/>
  <c r="J34" i="61"/>
  <c r="G34" i="61"/>
  <c r="K34" i="61" s="1"/>
  <c r="J33" i="61"/>
  <c r="G33" i="61"/>
  <c r="K33" i="61" s="1"/>
  <c r="J32" i="61"/>
  <c r="G32" i="61"/>
  <c r="K32" i="61" s="1"/>
  <c r="J31" i="61"/>
  <c r="G31" i="61"/>
  <c r="K31" i="61" s="1"/>
  <c r="J30" i="61"/>
  <c r="G30" i="61"/>
  <c r="K30" i="61" s="1"/>
  <c r="J29" i="61"/>
  <c r="G29" i="61"/>
  <c r="K29" i="61" s="1"/>
  <c r="J28" i="61"/>
  <c r="G28" i="61"/>
  <c r="K28" i="61" s="1"/>
  <c r="J27" i="61"/>
  <c r="G27" i="61"/>
  <c r="K27" i="61" s="1"/>
  <c r="J26" i="61"/>
  <c r="G26" i="61"/>
  <c r="K26" i="61" s="1"/>
  <c r="J25" i="61"/>
  <c r="G25" i="61"/>
  <c r="K25" i="61" s="1"/>
  <c r="J24" i="61"/>
  <c r="G24" i="61"/>
  <c r="K24" i="61" s="1"/>
  <c r="L24" i="61" s="1"/>
  <c r="L36" i="61" s="1"/>
  <c r="J18" i="56" s="1"/>
  <c r="J23" i="61"/>
  <c r="G23" i="61"/>
  <c r="K23" i="61" s="1"/>
  <c r="J22" i="61"/>
  <c r="G22" i="61"/>
  <c r="K22" i="61" s="1"/>
  <c r="J21" i="61"/>
  <c r="G21" i="61"/>
  <c r="K21" i="61" s="1"/>
  <c r="J20" i="61"/>
  <c r="G20" i="61"/>
  <c r="K20" i="61" s="1"/>
  <c r="J19" i="61"/>
  <c r="G19" i="61"/>
  <c r="K19" i="61" s="1"/>
  <c r="J18" i="61"/>
  <c r="G18" i="61"/>
  <c r="K18" i="61" s="1"/>
  <c r="J17" i="61"/>
  <c r="G17" i="61"/>
  <c r="K17" i="61" s="1"/>
  <c r="J16" i="61"/>
  <c r="G16" i="61"/>
  <c r="K16" i="61" s="1"/>
  <c r="J15" i="61"/>
  <c r="G15" i="61"/>
  <c r="K15" i="61" s="1"/>
  <c r="J14" i="61"/>
  <c r="G14" i="61"/>
  <c r="K14" i="61" s="1"/>
  <c r="J13" i="61"/>
  <c r="G13" i="61"/>
  <c r="K13" i="61" s="1"/>
  <c r="J12" i="61"/>
  <c r="G12" i="61"/>
  <c r="K12" i="61" s="1"/>
  <c r="J11" i="61"/>
  <c r="G11" i="61"/>
  <c r="K11" i="61" s="1"/>
  <c r="J10" i="61"/>
  <c r="G10" i="61"/>
  <c r="K10" i="61" s="1"/>
  <c r="J9" i="61"/>
  <c r="G9" i="61"/>
  <c r="K9" i="61" s="1"/>
  <c r="J8" i="61"/>
  <c r="G8" i="61"/>
  <c r="K8" i="61" s="1"/>
  <c r="J7" i="61"/>
  <c r="G7" i="61"/>
  <c r="K7" i="61" s="1"/>
  <c r="J6" i="61"/>
  <c r="G6" i="61"/>
  <c r="K6" i="61" s="1"/>
  <c r="J5" i="61"/>
  <c r="G5" i="61"/>
  <c r="K5" i="61" s="1"/>
  <c r="J4" i="61"/>
  <c r="J36" i="61" s="1"/>
  <c r="G18" i="56" s="1"/>
  <c r="G4" i="61"/>
  <c r="H35" i="12"/>
  <c r="L13" i="34"/>
  <c r="H45" i="26"/>
  <c r="L45" i="26"/>
  <c r="E35" i="15"/>
  <c r="G24" i="51"/>
  <c r="E35" i="37"/>
  <c r="L24" i="23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22" i="26"/>
  <c r="E24" i="41"/>
  <c r="G11" i="14"/>
  <c r="J37" i="44"/>
  <c r="Q21" i="34"/>
  <c r="G20" i="52"/>
  <c r="L19" i="16"/>
  <c r="K21" i="41"/>
  <c r="J21" i="41"/>
  <c r="G21" i="41"/>
  <c r="L21" i="22"/>
  <c r="L18" i="60"/>
  <c r="E18" i="59"/>
  <c r="E17" i="34"/>
  <c r="E47" i="34" s="1"/>
  <c r="E17" i="59"/>
  <c r="J16" i="40"/>
  <c r="G8" i="52"/>
  <c r="G9" i="52"/>
  <c r="G10" i="52"/>
  <c r="G11" i="52"/>
  <c r="G12" i="52"/>
  <c r="G13" i="52"/>
  <c r="G14" i="52"/>
  <c r="G15" i="52"/>
  <c r="G16" i="52"/>
  <c r="G17" i="52"/>
  <c r="G18" i="52"/>
  <c r="G19" i="52"/>
  <c r="G14" i="40"/>
  <c r="G5" i="45"/>
  <c r="J15" i="22"/>
  <c r="M8" i="22"/>
  <c r="M9" i="22"/>
  <c r="M10" i="22"/>
  <c r="M11" i="22"/>
  <c r="M12" i="22"/>
  <c r="M13" i="22"/>
  <c r="M14" i="22"/>
  <c r="K15" i="22"/>
  <c r="M15" i="22" s="1"/>
  <c r="M16" i="22" s="1"/>
  <c r="M17" i="22" s="1"/>
  <c r="G15" i="22"/>
  <c r="M5" i="37"/>
  <c r="M6" i="37"/>
  <c r="M7" i="37"/>
  <c r="M8" i="37"/>
  <c r="M9" i="37"/>
  <c r="M10" i="37"/>
  <c r="M11" i="37"/>
  <c r="M12" i="37"/>
  <c r="M13" i="37"/>
  <c r="M4" i="37"/>
  <c r="L21" i="33"/>
  <c r="K12" i="41"/>
  <c r="J12" i="41"/>
  <c r="J6" i="41"/>
  <c r="K6" i="41" s="1"/>
  <c r="G13" i="50"/>
  <c r="K13" i="50" s="1"/>
  <c r="E12" i="50"/>
  <c r="G24" i="18"/>
  <c r="G5" i="1"/>
  <c r="G6" i="1"/>
  <c r="G7" i="1"/>
  <c r="G8" i="1"/>
  <c r="G9" i="1"/>
  <c r="G10" i="1"/>
  <c r="G11" i="1"/>
  <c r="G12" i="1"/>
  <c r="I37" i="56"/>
  <c r="I35" i="56"/>
  <c r="H35" i="60"/>
  <c r="F31" i="56" s="1"/>
  <c r="D31" i="56"/>
  <c r="J34" i="60"/>
  <c r="G34" i="60"/>
  <c r="K34" i="60" s="1"/>
  <c r="L34" i="60" s="1"/>
  <c r="J33" i="60"/>
  <c r="G33" i="60"/>
  <c r="K33" i="60" s="1"/>
  <c r="J32" i="60"/>
  <c r="G32" i="60"/>
  <c r="K32" i="60" s="1"/>
  <c r="J31" i="60"/>
  <c r="G31" i="60"/>
  <c r="K31" i="60" s="1"/>
  <c r="J30" i="60"/>
  <c r="G30" i="60"/>
  <c r="K30" i="60" s="1"/>
  <c r="J29" i="60"/>
  <c r="G29" i="60"/>
  <c r="K29" i="60" s="1"/>
  <c r="J28" i="60"/>
  <c r="G28" i="60"/>
  <c r="K28" i="60" s="1"/>
  <c r="J27" i="60"/>
  <c r="G27" i="60"/>
  <c r="K27" i="60" s="1"/>
  <c r="J26" i="60"/>
  <c r="G26" i="60"/>
  <c r="K26" i="60" s="1"/>
  <c r="J25" i="60"/>
  <c r="G25" i="60"/>
  <c r="K25" i="60" s="1"/>
  <c r="L25" i="60" s="1"/>
  <c r="J24" i="60"/>
  <c r="G24" i="60"/>
  <c r="K24" i="60" s="1"/>
  <c r="L24" i="60" s="1"/>
  <c r="J23" i="60"/>
  <c r="G23" i="60"/>
  <c r="K23" i="60" s="1"/>
  <c r="L23" i="60" s="1"/>
  <c r="J22" i="60"/>
  <c r="G22" i="60"/>
  <c r="K22" i="60" s="1"/>
  <c r="J21" i="60"/>
  <c r="G21" i="60"/>
  <c r="K21" i="60" s="1"/>
  <c r="J20" i="60"/>
  <c r="G20" i="60"/>
  <c r="K20" i="60" s="1"/>
  <c r="L20" i="60" s="1"/>
  <c r="J19" i="60"/>
  <c r="G19" i="60"/>
  <c r="K19" i="60" s="1"/>
  <c r="J18" i="60"/>
  <c r="G18" i="60"/>
  <c r="K18" i="60" s="1"/>
  <c r="J17" i="60"/>
  <c r="G17" i="60"/>
  <c r="K17" i="60" s="1"/>
  <c r="J16" i="60"/>
  <c r="G16" i="60"/>
  <c r="K16" i="60" s="1"/>
  <c r="L16" i="60" s="1"/>
  <c r="J15" i="60"/>
  <c r="G15" i="60"/>
  <c r="K15" i="60" s="1"/>
  <c r="J14" i="60"/>
  <c r="G14" i="60"/>
  <c r="K14" i="60" s="1"/>
  <c r="J13" i="60"/>
  <c r="G13" i="60"/>
  <c r="K13" i="60" s="1"/>
  <c r="L13" i="60" s="1"/>
  <c r="J12" i="60"/>
  <c r="G12" i="60"/>
  <c r="K12" i="60" s="1"/>
  <c r="L12" i="60" s="1"/>
  <c r="J11" i="60"/>
  <c r="G11" i="60"/>
  <c r="K11" i="60" s="1"/>
  <c r="L11" i="60" s="1"/>
  <c r="J10" i="60"/>
  <c r="G10" i="60"/>
  <c r="K10" i="60" s="1"/>
  <c r="J9" i="60"/>
  <c r="G9" i="60"/>
  <c r="K9" i="60" s="1"/>
  <c r="L9" i="60" s="1"/>
  <c r="J8" i="60"/>
  <c r="G8" i="60"/>
  <c r="K8" i="60" s="1"/>
  <c r="J7" i="60"/>
  <c r="G7" i="60"/>
  <c r="K7" i="60" s="1"/>
  <c r="J6" i="60"/>
  <c r="G6" i="60"/>
  <c r="K6" i="60" s="1"/>
  <c r="L6" i="60" s="1"/>
  <c r="J5" i="60"/>
  <c r="G5" i="60"/>
  <c r="K5" i="60" s="1"/>
  <c r="J4" i="60"/>
  <c r="J35" i="60" s="1"/>
  <c r="G31" i="56" s="1"/>
  <c r="G4" i="60"/>
  <c r="G9" i="44"/>
  <c r="J7" i="47"/>
  <c r="J8" i="47"/>
  <c r="J9" i="47"/>
  <c r="J10" i="47"/>
  <c r="E8" i="47"/>
  <c r="H8" i="50"/>
  <c r="E8" i="50"/>
  <c r="I4" i="56"/>
  <c r="I27" i="56"/>
  <c r="I20" i="56"/>
  <c r="I29" i="56"/>
  <c r="I6" i="56"/>
  <c r="I5" i="56"/>
  <c r="I17" i="56"/>
  <c r="I25" i="56"/>
  <c r="I36" i="56"/>
  <c r="I33" i="56"/>
  <c r="G5" i="52"/>
  <c r="G6" i="52"/>
  <c r="G7" i="52"/>
  <c r="G4" i="52"/>
  <c r="G6" i="44"/>
  <c r="J5" i="47"/>
  <c r="J6" i="47"/>
  <c r="J7" i="22"/>
  <c r="J8" i="22"/>
  <c r="J9" i="22"/>
  <c r="J10" i="22"/>
  <c r="G7" i="22"/>
  <c r="K7" i="22" s="1"/>
  <c r="G5" i="44"/>
  <c r="G7" i="44"/>
  <c r="G8" i="44"/>
  <c r="G10" i="44"/>
  <c r="G11" i="44"/>
  <c r="G12" i="44"/>
  <c r="G13" i="44"/>
  <c r="G14" i="44"/>
  <c r="G15" i="44"/>
  <c r="G16" i="44"/>
  <c r="G17" i="44"/>
  <c r="G18" i="44"/>
  <c r="G19" i="44"/>
  <c r="G20" i="44"/>
  <c r="G21" i="44"/>
  <c r="G23" i="44"/>
  <c r="G24" i="44"/>
  <c r="G25" i="44"/>
  <c r="G26" i="44"/>
  <c r="G27" i="44"/>
  <c r="G28" i="44"/>
  <c r="G29" i="44"/>
  <c r="G30" i="44"/>
  <c r="G31" i="44"/>
  <c r="G32" i="44"/>
  <c r="G33" i="44"/>
  <c r="G35" i="44"/>
  <c r="G36" i="44"/>
  <c r="G37" i="44"/>
  <c r="G38" i="44"/>
  <c r="G39" i="44"/>
  <c r="G40" i="44"/>
  <c r="G41" i="44"/>
  <c r="G42" i="44"/>
  <c r="G43" i="44"/>
  <c r="G44" i="44"/>
  <c r="G45" i="44"/>
  <c r="G46" i="44"/>
  <c r="G49" i="44"/>
  <c r="G50" i="44"/>
  <c r="G51" i="44"/>
  <c r="G52" i="44"/>
  <c r="G53" i="44"/>
  <c r="G54" i="44"/>
  <c r="G55" i="44"/>
  <c r="G56" i="44"/>
  <c r="G57" i="44"/>
  <c r="G58" i="44"/>
  <c r="G59" i="44"/>
  <c r="G60" i="44"/>
  <c r="G61" i="44"/>
  <c r="G62" i="44"/>
  <c r="G63" i="44"/>
  <c r="G64" i="44"/>
  <c r="G65" i="44"/>
  <c r="G66" i="44"/>
  <c r="G67" i="44"/>
  <c r="G68" i="44"/>
  <c r="G69" i="44"/>
  <c r="G70" i="44"/>
  <c r="G71" i="44"/>
  <c r="G72" i="44"/>
  <c r="G73" i="44"/>
  <c r="L5" i="15"/>
  <c r="J4" i="47"/>
  <c r="L5" i="51"/>
  <c r="L7" i="51"/>
  <c r="L8" i="51"/>
  <c r="L9" i="51"/>
  <c r="L10" i="51"/>
  <c r="L11" i="51"/>
  <c r="L12" i="51"/>
  <c r="L14" i="51"/>
  <c r="L15" i="51"/>
  <c r="L23" i="51"/>
  <c r="L29" i="51"/>
  <c r="L32" i="51"/>
  <c r="L35" i="51"/>
  <c r="L36" i="51"/>
  <c r="L37" i="51"/>
  <c r="L38" i="51"/>
  <c r="L39" i="51"/>
  <c r="L40" i="51"/>
  <c r="L4" i="51"/>
  <c r="L4" i="34"/>
  <c r="G4" i="20"/>
  <c r="L15" i="33"/>
  <c r="L16" i="33"/>
  <c r="L17" i="33"/>
  <c r="L18" i="33"/>
  <c r="L22" i="33"/>
  <c r="L23" i="33"/>
  <c r="L25" i="33"/>
  <c r="L26" i="33"/>
  <c r="L27" i="33"/>
  <c r="L28" i="33"/>
  <c r="L29" i="33"/>
  <c r="L30" i="33"/>
  <c r="L31" i="33"/>
  <c r="L33" i="33"/>
  <c r="L34" i="33"/>
  <c r="L35" i="33"/>
  <c r="L36" i="33"/>
  <c r="L37" i="33"/>
  <c r="L38" i="33"/>
  <c r="L8" i="57"/>
  <c r="L9" i="57"/>
  <c r="L10" i="57"/>
  <c r="L11" i="57"/>
  <c r="L12" i="57"/>
  <c r="L13" i="57"/>
  <c r="L16" i="57"/>
  <c r="L18" i="57"/>
  <c r="L19" i="57"/>
  <c r="L20" i="57"/>
  <c r="L21" i="57"/>
  <c r="L23" i="57"/>
  <c r="L24" i="57"/>
  <c r="L26" i="57"/>
  <c r="L27" i="57"/>
  <c r="L28" i="57"/>
  <c r="L29" i="57"/>
  <c r="L30" i="57"/>
  <c r="L31" i="57"/>
  <c r="L32" i="57"/>
  <c r="L33" i="57"/>
  <c r="L34" i="57"/>
  <c r="J5" i="14"/>
  <c r="K5" i="14"/>
  <c r="J6" i="14"/>
  <c r="K6" i="14"/>
  <c r="J7" i="14"/>
  <c r="K7" i="14"/>
  <c r="J8" i="14"/>
  <c r="K8" i="14"/>
  <c r="J9" i="14"/>
  <c r="J10" i="14"/>
  <c r="K10" i="14"/>
  <c r="J11" i="14"/>
  <c r="J12" i="14"/>
  <c r="K12" i="14"/>
  <c r="J13" i="14"/>
  <c r="K13" i="14"/>
  <c r="J14" i="14"/>
  <c r="K14" i="14"/>
  <c r="J15" i="14"/>
  <c r="K15" i="14"/>
  <c r="J16" i="14"/>
  <c r="K16" i="14"/>
  <c r="J17" i="14"/>
  <c r="K17" i="14"/>
  <c r="J18" i="14"/>
  <c r="K18" i="14"/>
  <c r="J19" i="14"/>
  <c r="K19" i="14"/>
  <c r="J20" i="14"/>
  <c r="K20" i="14"/>
  <c r="J21" i="14"/>
  <c r="K21" i="14"/>
  <c r="J22" i="14"/>
  <c r="K22" i="14"/>
  <c r="J23" i="14"/>
  <c r="K23" i="14"/>
  <c r="J24" i="14"/>
  <c r="K24" i="14"/>
  <c r="L40" i="32"/>
  <c r="J5" i="32"/>
  <c r="J6" i="32"/>
  <c r="J7" i="32"/>
  <c r="J8" i="32"/>
  <c r="J9" i="32"/>
  <c r="J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38" i="32"/>
  <c r="J39" i="32"/>
  <c r="G5" i="50"/>
  <c r="G6" i="50"/>
  <c r="G7" i="50"/>
  <c r="G8" i="50"/>
  <c r="G9" i="50"/>
  <c r="G10" i="50"/>
  <c r="G11" i="50"/>
  <c r="G12" i="50"/>
  <c r="G14" i="50"/>
  <c r="G15" i="50"/>
  <c r="G16" i="50"/>
  <c r="G17" i="50"/>
  <c r="G18" i="50"/>
  <c r="G19" i="50"/>
  <c r="G20" i="50"/>
  <c r="G22" i="50"/>
  <c r="G23" i="50"/>
  <c r="G24" i="50"/>
  <c r="G25" i="50"/>
  <c r="G26" i="50"/>
  <c r="G27" i="50"/>
  <c r="G28" i="50"/>
  <c r="G29" i="50"/>
  <c r="G30" i="50"/>
  <c r="G31" i="50"/>
  <c r="G32" i="50"/>
  <c r="G33" i="50"/>
  <c r="G34" i="50"/>
  <c r="G35" i="50"/>
  <c r="G36" i="50"/>
  <c r="J22" i="26"/>
  <c r="K22" i="26"/>
  <c r="H36" i="2"/>
  <c r="G25" i="52"/>
  <c r="G26" i="52"/>
  <c r="G27" i="52"/>
  <c r="G28" i="52"/>
  <c r="G29" i="52"/>
  <c r="G30" i="52"/>
  <c r="G31" i="52"/>
  <c r="G27" i="59"/>
  <c r="J25" i="40"/>
  <c r="J26" i="40"/>
  <c r="J27" i="40"/>
  <c r="J28" i="40"/>
  <c r="J29" i="40"/>
  <c r="J27" i="24"/>
  <c r="J28" i="24"/>
  <c r="J23" i="40"/>
  <c r="J24" i="40"/>
  <c r="G24" i="52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J11" i="40"/>
  <c r="J12" i="40"/>
  <c r="J13" i="40"/>
  <c r="J14" i="40"/>
  <c r="J15" i="40"/>
  <c r="J17" i="40"/>
  <c r="J18" i="40"/>
  <c r="J19" i="40"/>
  <c r="J20" i="40"/>
  <c r="J21" i="40"/>
  <c r="J22" i="40"/>
  <c r="P11" i="33"/>
  <c r="I8" i="56"/>
  <c r="G5" i="59"/>
  <c r="G6" i="59"/>
  <c r="G7" i="59"/>
  <c r="G8" i="59"/>
  <c r="G9" i="59"/>
  <c r="G10" i="59"/>
  <c r="G11" i="59"/>
  <c r="G12" i="59"/>
  <c r="G13" i="59"/>
  <c r="G14" i="59"/>
  <c r="G15" i="59"/>
  <c r="G16" i="59"/>
  <c r="G17" i="59"/>
  <c r="G18" i="59"/>
  <c r="G19" i="59"/>
  <c r="G20" i="59"/>
  <c r="G21" i="59"/>
  <c r="G22" i="59"/>
  <c r="G23" i="59"/>
  <c r="G24" i="59"/>
  <c r="G25" i="59"/>
  <c r="G26" i="59"/>
  <c r="G28" i="59"/>
  <c r="G29" i="59"/>
  <c r="G30" i="59"/>
  <c r="G31" i="59"/>
  <c r="G32" i="59"/>
  <c r="G33" i="59"/>
  <c r="G34" i="59"/>
  <c r="H35" i="59"/>
  <c r="F8" i="56" s="1"/>
  <c r="E35" i="59"/>
  <c r="D8" i="56" s="1"/>
  <c r="J34" i="59"/>
  <c r="K34" i="59"/>
  <c r="J33" i="59"/>
  <c r="K33" i="59"/>
  <c r="J32" i="59"/>
  <c r="K32" i="59"/>
  <c r="J31" i="59"/>
  <c r="K31" i="59"/>
  <c r="J30" i="59"/>
  <c r="K30" i="59"/>
  <c r="J29" i="59"/>
  <c r="K29" i="59"/>
  <c r="J28" i="59"/>
  <c r="K28" i="59"/>
  <c r="J27" i="59"/>
  <c r="K27" i="59"/>
  <c r="J26" i="59"/>
  <c r="K26" i="59"/>
  <c r="J25" i="59"/>
  <c r="K25" i="59"/>
  <c r="J24" i="59"/>
  <c r="K24" i="59"/>
  <c r="J23" i="59"/>
  <c r="K23" i="59"/>
  <c r="J22" i="59"/>
  <c r="K22" i="59"/>
  <c r="J21" i="59"/>
  <c r="K21" i="59"/>
  <c r="J20" i="59"/>
  <c r="K20" i="59"/>
  <c r="J19" i="59"/>
  <c r="K19" i="59"/>
  <c r="J18" i="59"/>
  <c r="K18" i="59"/>
  <c r="J17" i="59"/>
  <c r="K17" i="59"/>
  <c r="J16" i="59"/>
  <c r="K16" i="59"/>
  <c r="J15" i="59"/>
  <c r="K15" i="59"/>
  <c r="J14" i="59"/>
  <c r="K14" i="59"/>
  <c r="J13" i="59"/>
  <c r="K13" i="59"/>
  <c r="J12" i="59"/>
  <c r="K12" i="59"/>
  <c r="J11" i="59"/>
  <c r="K11" i="59"/>
  <c r="J10" i="59"/>
  <c r="K10" i="59"/>
  <c r="L10" i="59" s="1"/>
  <c r="J9" i="59"/>
  <c r="K9" i="59"/>
  <c r="J8" i="59"/>
  <c r="K8" i="59"/>
  <c r="J7" i="59"/>
  <c r="K7" i="59"/>
  <c r="J6" i="59"/>
  <c r="K6" i="59"/>
  <c r="J5" i="59"/>
  <c r="K5" i="59"/>
  <c r="J4" i="59"/>
  <c r="J35" i="59" s="1"/>
  <c r="G8" i="56" s="1"/>
  <c r="G4" i="59"/>
  <c r="J18" i="41"/>
  <c r="J9" i="41"/>
  <c r="J10" i="41"/>
  <c r="J11" i="41"/>
  <c r="J13" i="41"/>
  <c r="J14" i="41"/>
  <c r="J15" i="41"/>
  <c r="J16" i="41"/>
  <c r="J17" i="41"/>
  <c r="J20" i="41"/>
  <c r="G20" i="41"/>
  <c r="J17" i="23"/>
  <c r="G16" i="9"/>
  <c r="G9" i="9"/>
  <c r="G10" i="9"/>
  <c r="G11" i="9"/>
  <c r="G12" i="9"/>
  <c r="G13" i="9"/>
  <c r="G14" i="9"/>
  <c r="G15" i="9"/>
  <c r="G12" i="2"/>
  <c r="J11" i="47"/>
  <c r="J12" i="47"/>
  <c r="J13" i="47"/>
  <c r="J14" i="47"/>
  <c r="J15" i="47"/>
  <c r="J16" i="47"/>
  <c r="J17" i="47"/>
  <c r="J18" i="47"/>
  <c r="J19" i="47"/>
  <c r="J20" i="47"/>
  <c r="J21" i="47"/>
  <c r="J22" i="47"/>
  <c r="J23" i="47"/>
  <c r="J24" i="47"/>
  <c r="J25" i="47"/>
  <c r="J26" i="47"/>
  <c r="J27" i="47"/>
  <c r="J28" i="47"/>
  <c r="J29" i="47"/>
  <c r="J30" i="47"/>
  <c r="J31" i="47"/>
  <c r="J32" i="47"/>
  <c r="J33" i="47"/>
  <c r="J34" i="47"/>
  <c r="L40" i="41"/>
  <c r="J7" i="40"/>
  <c r="J8" i="40"/>
  <c r="J9" i="40"/>
  <c r="J10" i="40"/>
  <c r="J6" i="40"/>
  <c r="I38" i="56"/>
  <c r="I34" i="56"/>
  <c r="I30" i="56"/>
  <c r="I28" i="56"/>
  <c r="I24" i="56"/>
  <c r="I23" i="56"/>
  <c r="I19" i="56"/>
  <c r="L36" i="23"/>
  <c r="J17" i="56" s="1"/>
  <c r="H36" i="23"/>
  <c r="E36" i="23"/>
  <c r="I14" i="56"/>
  <c r="I13" i="56"/>
  <c r="I12" i="56"/>
  <c r="I11" i="56"/>
  <c r="I10" i="56"/>
  <c r="E40" i="32"/>
  <c r="D6" i="56" s="1"/>
  <c r="P10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5" i="18"/>
  <c r="G26" i="18"/>
  <c r="G27" i="18"/>
  <c r="G28" i="18"/>
  <c r="G29" i="18"/>
  <c r="G30" i="18"/>
  <c r="G31" i="18"/>
  <c r="G32" i="18"/>
  <c r="G33" i="18"/>
  <c r="G34" i="18"/>
  <c r="G8" i="18"/>
  <c r="G9" i="18"/>
  <c r="G35" i="18"/>
  <c r="M3" i="45"/>
  <c r="K7" i="45"/>
  <c r="K8" i="45"/>
  <c r="K5" i="45"/>
  <c r="K6" i="45"/>
  <c r="K4" i="45"/>
  <c r="M4" i="45" s="1"/>
  <c r="M5" i="45" s="1"/>
  <c r="M6" i="45" s="1"/>
  <c r="M7" i="45" s="1"/>
  <c r="G10" i="22"/>
  <c r="K10" i="22" s="1"/>
  <c r="G7" i="23"/>
  <c r="J7" i="23"/>
  <c r="K7" i="23"/>
  <c r="G6" i="18"/>
  <c r="G7" i="18"/>
  <c r="G6" i="9"/>
  <c r="G7" i="9"/>
  <c r="G8" i="9"/>
  <c r="J5" i="44"/>
  <c r="K5" i="44"/>
  <c r="J6" i="44"/>
  <c r="K6" i="44"/>
  <c r="J7" i="44"/>
  <c r="K7" i="44"/>
  <c r="J8" i="44"/>
  <c r="K8" i="44"/>
  <c r="J9" i="44"/>
  <c r="K9" i="44"/>
  <c r="J10" i="44"/>
  <c r="K10" i="44"/>
  <c r="J11" i="44"/>
  <c r="K11" i="44"/>
  <c r="J12" i="44"/>
  <c r="K12" i="44"/>
  <c r="J13" i="44"/>
  <c r="K13" i="44"/>
  <c r="J14" i="44"/>
  <c r="K14" i="44"/>
  <c r="J15" i="44"/>
  <c r="K15" i="44"/>
  <c r="J16" i="44"/>
  <c r="K16" i="44"/>
  <c r="J17" i="44"/>
  <c r="K17" i="44"/>
  <c r="J18" i="44"/>
  <c r="K18" i="44"/>
  <c r="J19" i="44"/>
  <c r="K19" i="44"/>
  <c r="J20" i="44"/>
  <c r="K20" i="44"/>
  <c r="J21" i="44"/>
  <c r="K21" i="44"/>
  <c r="J22" i="44"/>
  <c r="K22" i="44" s="1"/>
  <c r="J23" i="44"/>
  <c r="K23" i="44"/>
  <c r="J24" i="44"/>
  <c r="K24" i="44"/>
  <c r="J25" i="44"/>
  <c r="K25" i="44"/>
  <c r="J26" i="44"/>
  <c r="K26" i="44"/>
  <c r="J27" i="44"/>
  <c r="K27" i="44"/>
  <c r="J28" i="44"/>
  <c r="K28" i="44"/>
  <c r="J29" i="44"/>
  <c r="K29" i="44"/>
  <c r="J30" i="44"/>
  <c r="K30" i="44"/>
  <c r="J31" i="44"/>
  <c r="K31" i="44"/>
  <c r="J32" i="44"/>
  <c r="K32" i="44"/>
  <c r="J33" i="44"/>
  <c r="K33" i="44"/>
  <c r="J35" i="44"/>
  <c r="K35" i="44"/>
  <c r="J36" i="44"/>
  <c r="K36" i="44"/>
  <c r="J38" i="44"/>
  <c r="K38" i="44"/>
  <c r="J39" i="44"/>
  <c r="K39" i="44"/>
  <c r="J40" i="44"/>
  <c r="K40" i="44"/>
  <c r="J41" i="44"/>
  <c r="K41" i="44"/>
  <c r="J42" i="44"/>
  <c r="K42" i="44"/>
  <c r="J43" i="44"/>
  <c r="K43" i="44"/>
  <c r="J44" i="44"/>
  <c r="K44" i="44"/>
  <c r="J45" i="44"/>
  <c r="K45" i="44"/>
  <c r="J46" i="44"/>
  <c r="K46" i="44"/>
  <c r="J47" i="44"/>
  <c r="K47" i="44"/>
  <c r="J48" i="44"/>
  <c r="K48" i="44"/>
  <c r="J49" i="44"/>
  <c r="K49" i="44"/>
  <c r="J50" i="44"/>
  <c r="K50" i="44"/>
  <c r="J51" i="44"/>
  <c r="K51" i="44"/>
  <c r="J52" i="44"/>
  <c r="K52" i="44"/>
  <c r="J53" i="44"/>
  <c r="K53" i="44"/>
  <c r="J54" i="44"/>
  <c r="K54" i="44"/>
  <c r="J55" i="44"/>
  <c r="K55" i="44"/>
  <c r="J56" i="44"/>
  <c r="K56" i="44"/>
  <c r="J57" i="44"/>
  <c r="K57" i="44"/>
  <c r="G7" i="32"/>
  <c r="K7" i="32" s="1"/>
  <c r="M3" i="10"/>
  <c r="G4" i="35"/>
  <c r="G5" i="9"/>
  <c r="G4" i="9"/>
  <c r="G4" i="1"/>
  <c r="G5" i="18"/>
  <c r="G5" i="58"/>
  <c r="J5" i="58"/>
  <c r="G6" i="58"/>
  <c r="J6" i="58"/>
  <c r="G7" i="58"/>
  <c r="J7" i="58"/>
  <c r="G8" i="58"/>
  <c r="J8" i="58"/>
  <c r="G9" i="58"/>
  <c r="J9" i="58"/>
  <c r="G10" i="58"/>
  <c r="J10" i="58"/>
  <c r="G11" i="58"/>
  <c r="J11" i="58"/>
  <c r="G12" i="58"/>
  <c r="J12" i="58"/>
  <c r="G13" i="58"/>
  <c r="J13" i="58"/>
  <c r="G14" i="58"/>
  <c r="J14" i="58"/>
  <c r="G15" i="58"/>
  <c r="J15" i="58"/>
  <c r="G16" i="58"/>
  <c r="J16" i="58"/>
  <c r="G17" i="58"/>
  <c r="J17" i="58"/>
  <c r="G18" i="58"/>
  <c r="J18" i="58"/>
  <c r="G19" i="58"/>
  <c r="J19" i="58"/>
  <c r="G20" i="58"/>
  <c r="J20" i="58"/>
  <c r="G21" i="58"/>
  <c r="J21" i="58"/>
  <c r="G22" i="58"/>
  <c r="J22" i="58"/>
  <c r="G23" i="58"/>
  <c r="J23" i="58"/>
  <c r="G24" i="58"/>
  <c r="J24" i="58"/>
  <c r="G25" i="58"/>
  <c r="J25" i="58"/>
  <c r="G26" i="58"/>
  <c r="J26" i="58"/>
  <c r="G27" i="58"/>
  <c r="J27" i="58"/>
  <c r="G28" i="58"/>
  <c r="J28" i="58"/>
  <c r="G29" i="58"/>
  <c r="J29" i="58"/>
  <c r="G30" i="58"/>
  <c r="J30" i="58"/>
  <c r="G31" i="58"/>
  <c r="J31" i="58"/>
  <c r="G32" i="58"/>
  <c r="J32" i="58"/>
  <c r="G33" i="58"/>
  <c r="J33" i="58"/>
  <c r="G5" i="19"/>
  <c r="J5" i="19"/>
  <c r="K5" i="19"/>
  <c r="L5" i="19"/>
  <c r="G6" i="19"/>
  <c r="J6" i="19"/>
  <c r="K6" i="19"/>
  <c r="L6" i="19"/>
  <c r="G7" i="19"/>
  <c r="J7" i="19"/>
  <c r="K7" i="19"/>
  <c r="L7" i="19"/>
  <c r="G8" i="19"/>
  <c r="J8" i="19"/>
  <c r="K8" i="19"/>
  <c r="L8" i="19"/>
  <c r="G9" i="19"/>
  <c r="J9" i="19"/>
  <c r="K9" i="19"/>
  <c r="L9" i="19"/>
  <c r="G10" i="19"/>
  <c r="J10" i="19"/>
  <c r="K10" i="19"/>
  <c r="L10" i="19"/>
  <c r="G11" i="19"/>
  <c r="J11" i="19"/>
  <c r="K11" i="19"/>
  <c r="L11" i="19"/>
  <c r="G12" i="19"/>
  <c r="J12" i="19"/>
  <c r="K12" i="19"/>
  <c r="L12" i="19"/>
  <c r="G13" i="19"/>
  <c r="J13" i="19"/>
  <c r="K13" i="19"/>
  <c r="L13" i="19"/>
  <c r="G14" i="19"/>
  <c r="J14" i="19"/>
  <c r="K14" i="19"/>
  <c r="L14" i="19"/>
  <c r="G15" i="19"/>
  <c r="J15" i="19"/>
  <c r="G16" i="19"/>
  <c r="J16" i="19"/>
  <c r="K16" i="19"/>
  <c r="L16" i="19"/>
  <c r="G17" i="19"/>
  <c r="J17" i="19"/>
  <c r="K17" i="19"/>
  <c r="L17" i="19"/>
  <c r="G18" i="19"/>
  <c r="J18" i="19"/>
  <c r="K18" i="19"/>
  <c r="L18" i="19"/>
  <c r="G19" i="19"/>
  <c r="J19" i="19"/>
  <c r="K19" i="19"/>
  <c r="L19" i="19"/>
  <c r="G20" i="19"/>
  <c r="J20" i="19"/>
  <c r="K20" i="19"/>
  <c r="L20" i="19"/>
  <c r="G21" i="19"/>
  <c r="J21" i="19"/>
  <c r="K21" i="19"/>
  <c r="L21" i="19"/>
  <c r="G22" i="19"/>
  <c r="J22" i="19"/>
  <c r="K22" i="19"/>
  <c r="L22" i="19"/>
  <c r="G23" i="19"/>
  <c r="J23" i="19"/>
  <c r="K23" i="19"/>
  <c r="L23" i="19"/>
  <c r="G24" i="19"/>
  <c r="J24" i="19"/>
  <c r="K24" i="19"/>
  <c r="L24" i="19"/>
  <c r="G25" i="19"/>
  <c r="J25" i="19"/>
  <c r="K25" i="19"/>
  <c r="L25" i="19"/>
  <c r="G26" i="19"/>
  <c r="J26" i="19"/>
  <c r="K26" i="19"/>
  <c r="L26" i="19"/>
  <c r="G27" i="19"/>
  <c r="J27" i="19"/>
  <c r="K27" i="19"/>
  <c r="L27" i="19"/>
  <c r="G28" i="19"/>
  <c r="J28" i="19"/>
  <c r="K28" i="19"/>
  <c r="L28" i="19"/>
  <c r="G29" i="19"/>
  <c r="J29" i="19"/>
  <c r="K29" i="19"/>
  <c r="L29" i="19"/>
  <c r="G30" i="19"/>
  <c r="J30" i="19"/>
  <c r="K30" i="19"/>
  <c r="L30" i="19"/>
  <c r="G31" i="19"/>
  <c r="J31" i="19"/>
  <c r="K31" i="19"/>
  <c r="L31" i="19"/>
  <c r="G32" i="19"/>
  <c r="J32" i="19"/>
  <c r="K32" i="19"/>
  <c r="L32" i="19"/>
  <c r="G33" i="19"/>
  <c r="J33" i="19"/>
  <c r="K33" i="19"/>
  <c r="L33" i="19"/>
  <c r="G34" i="19"/>
  <c r="J34" i="19"/>
  <c r="K34" i="19"/>
  <c r="L34" i="19"/>
  <c r="G5" i="51"/>
  <c r="J5" i="51"/>
  <c r="K5" i="51"/>
  <c r="G6" i="51"/>
  <c r="J6" i="51"/>
  <c r="K6" i="51"/>
  <c r="G7" i="51"/>
  <c r="J7" i="51"/>
  <c r="K7" i="51"/>
  <c r="G8" i="51"/>
  <c r="J8" i="51"/>
  <c r="K8" i="51"/>
  <c r="G9" i="51"/>
  <c r="J9" i="51"/>
  <c r="K9" i="51"/>
  <c r="G10" i="51"/>
  <c r="J10" i="51"/>
  <c r="K10" i="51"/>
  <c r="G11" i="51"/>
  <c r="J11" i="51"/>
  <c r="K11" i="51"/>
  <c r="G12" i="51"/>
  <c r="J12" i="51"/>
  <c r="K12" i="51"/>
  <c r="G13" i="51"/>
  <c r="J13" i="51"/>
  <c r="K13" i="51"/>
  <c r="G14" i="51"/>
  <c r="J14" i="51"/>
  <c r="K14" i="51"/>
  <c r="G15" i="51"/>
  <c r="J15" i="51"/>
  <c r="K15" i="51"/>
  <c r="G16" i="51"/>
  <c r="J16" i="51"/>
  <c r="K16" i="51"/>
  <c r="G17" i="51"/>
  <c r="J17" i="51"/>
  <c r="K17" i="51"/>
  <c r="G18" i="51"/>
  <c r="J18" i="51"/>
  <c r="K18" i="51"/>
  <c r="G19" i="51"/>
  <c r="J19" i="51"/>
  <c r="K19" i="51"/>
  <c r="G20" i="51"/>
  <c r="J20" i="51"/>
  <c r="K20" i="51"/>
  <c r="G21" i="51"/>
  <c r="J21" i="51"/>
  <c r="K21" i="51"/>
  <c r="G22" i="51"/>
  <c r="J22" i="51"/>
  <c r="K22" i="51"/>
  <c r="G23" i="51"/>
  <c r="J23" i="51"/>
  <c r="K23" i="51"/>
  <c r="J24" i="51"/>
  <c r="K24" i="51"/>
  <c r="G25" i="51"/>
  <c r="J25" i="51"/>
  <c r="K25" i="51"/>
  <c r="G26" i="51"/>
  <c r="J26" i="51"/>
  <c r="K26" i="51"/>
  <c r="G27" i="51"/>
  <c r="J27" i="51"/>
  <c r="K27" i="51"/>
  <c r="G28" i="51"/>
  <c r="J28" i="51"/>
  <c r="K28" i="51"/>
  <c r="G29" i="51"/>
  <c r="J29" i="51"/>
  <c r="K29" i="51"/>
  <c r="G30" i="51"/>
  <c r="J30" i="51"/>
  <c r="K30" i="51"/>
  <c r="G31" i="51"/>
  <c r="J31" i="51"/>
  <c r="K31" i="51"/>
  <c r="G32" i="51"/>
  <c r="J32" i="51"/>
  <c r="K32" i="51"/>
  <c r="G33" i="51"/>
  <c r="J33" i="51"/>
  <c r="K33" i="51"/>
  <c r="G5" i="35"/>
  <c r="J5" i="35"/>
  <c r="K5" i="35"/>
  <c r="G6" i="35"/>
  <c r="J6" i="35"/>
  <c r="K6" i="35"/>
  <c r="G7" i="35"/>
  <c r="J7" i="35"/>
  <c r="K7" i="35"/>
  <c r="G8" i="35"/>
  <c r="J8" i="35"/>
  <c r="K8" i="35"/>
  <c r="G9" i="35"/>
  <c r="J9" i="35"/>
  <c r="K9" i="35"/>
  <c r="G10" i="35"/>
  <c r="J10" i="35"/>
  <c r="K10" i="35"/>
  <c r="G11" i="35"/>
  <c r="J11" i="35"/>
  <c r="K11" i="35"/>
  <c r="G12" i="35"/>
  <c r="J12" i="35"/>
  <c r="K12" i="35"/>
  <c r="G13" i="35"/>
  <c r="J13" i="35"/>
  <c r="K13" i="35"/>
  <c r="G14" i="35"/>
  <c r="J14" i="35"/>
  <c r="K14" i="35"/>
  <c r="G15" i="35"/>
  <c r="J15" i="35"/>
  <c r="K15" i="35"/>
  <c r="G16" i="35"/>
  <c r="J16" i="35"/>
  <c r="K16" i="35"/>
  <c r="G17" i="35"/>
  <c r="J17" i="35"/>
  <c r="K17" i="35"/>
  <c r="G18" i="35"/>
  <c r="J18" i="35"/>
  <c r="K18" i="35"/>
  <c r="G19" i="35"/>
  <c r="J19" i="35"/>
  <c r="K19" i="35"/>
  <c r="G20" i="35"/>
  <c r="J20" i="35"/>
  <c r="K20" i="35"/>
  <c r="G21" i="35"/>
  <c r="J21" i="35"/>
  <c r="K21" i="35"/>
  <c r="G22" i="35"/>
  <c r="J22" i="35"/>
  <c r="K22" i="35"/>
  <c r="G23" i="35"/>
  <c r="J23" i="35"/>
  <c r="K23" i="35"/>
  <c r="G24" i="35"/>
  <c r="J24" i="35"/>
  <c r="K24" i="35"/>
  <c r="G25" i="35"/>
  <c r="J25" i="35"/>
  <c r="K25" i="35"/>
  <c r="G26" i="35"/>
  <c r="J26" i="35"/>
  <c r="K26" i="35"/>
  <c r="G27" i="35"/>
  <c r="J27" i="35"/>
  <c r="K27" i="35"/>
  <c r="G28" i="35"/>
  <c r="J28" i="35"/>
  <c r="K28" i="35"/>
  <c r="G29" i="35"/>
  <c r="J29" i="35"/>
  <c r="K29" i="35"/>
  <c r="G30" i="35"/>
  <c r="J30" i="35"/>
  <c r="K30" i="35"/>
  <c r="G31" i="35"/>
  <c r="J31" i="35"/>
  <c r="K31" i="35"/>
  <c r="G32" i="35"/>
  <c r="J32" i="35"/>
  <c r="K32" i="35"/>
  <c r="L32" i="35"/>
  <c r="G33" i="35"/>
  <c r="J33" i="35"/>
  <c r="K33" i="35"/>
  <c r="L33" i="35"/>
  <c r="G34" i="35"/>
  <c r="J34" i="35"/>
  <c r="K34" i="35"/>
  <c r="L34" i="35"/>
  <c r="G35" i="35"/>
  <c r="J35" i="35"/>
  <c r="K35" i="35"/>
  <c r="L35" i="35"/>
  <c r="G36" i="35"/>
  <c r="J36" i="35"/>
  <c r="K36" i="35"/>
  <c r="L36" i="35"/>
  <c r="G37" i="35"/>
  <c r="J37" i="35"/>
  <c r="K37" i="35"/>
  <c r="L37" i="35"/>
  <c r="G38" i="35"/>
  <c r="J38" i="35"/>
  <c r="K38" i="35"/>
  <c r="L38" i="35"/>
  <c r="G5" i="34"/>
  <c r="J5" i="34"/>
  <c r="K5" i="34"/>
  <c r="G6" i="34"/>
  <c r="J6" i="34"/>
  <c r="K6" i="34"/>
  <c r="G7" i="34"/>
  <c r="J7" i="34"/>
  <c r="K7" i="34"/>
  <c r="G8" i="34"/>
  <c r="J8" i="34"/>
  <c r="K8" i="34"/>
  <c r="G9" i="34"/>
  <c r="J9" i="34"/>
  <c r="K9" i="34"/>
  <c r="G10" i="34"/>
  <c r="J10" i="34"/>
  <c r="K10" i="34"/>
  <c r="G11" i="34"/>
  <c r="J11" i="34"/>
  <c r="K11" i="34"/>
  <c r="G12" i="34"/>
  <c r="J12" i="34"/>
  <c r="K12" i="34"/>
  <c r="G13" i="34"/>
  <c r="J13" i="34"/>
  <c r="K13" i="34"/>
  <c r="G14" i="34"/>
  <c r="J14" i="34"/>
  <c r="K14" i="34"/>
  <c r="G15" i="34"/>
  <c r="J15" i="34"/>
  <c r="K15" i="34"/>
  <c r="G16" i="34"/>
  <c r="J16" i="34"/>
  <c r="K16" i="34"/>
  <c r="G17" i="34"/>
  <c r="J17" i="34"/>
  <c r="K17" i="34"/>
  <c r="G18" i="34"/>
  <c r="J18" i="34"/>
  <c r="G19" i="34"/>
  <c r="J19" i="34"/>
  <c r="K19" i="34"/>
  <c r="G20" i="34"/>
  <c r="J20" i="34"/>
  <c r="K20" i="34"/>
  <c r="G21" i="34"/>
  <c r="J21" i="34"/>
  <c r="K21" i="34"/>
  <c r="L21" i="34" s="1"/>
  <c r="G22" i="34"/>
  <c r="J22" i="34"/>
  <c r="K22" i="34"/>
  <c r="G23" i="34"/>
  <c r="J23" i="34"/>
  <c r="K23" i="34"/>
  <c r="G24" i="34"/>
  <c r="J24" i="34"/>
  <c r="K24" i="34"/>
  <c r="G25" i="34"/>
  <c r="J25" i="34"/>
  <c r="G26" i="34"/>
  <c r="J26" i="34"/>
  <c r="K26" i="34"/>
  <c r="G27" i="34"/>
  <c r="J27" i="34"/>
  <c r="K27" i="34"/>
  <c r="G28" i="34"/>
  <c r="J28" i="34"/>
  <c r="K28" i="34"/>
  <c r="G29" i="34"/>
  <c r="J29" i="34"/>
  <c r="K29" i="34"/>
  <c r="G31" i="34"/>
  <c r="J31" i="34"/>
  <c r="K31" i="34"/>
  <c r="G32" i="34"/>
  <c r="J32" i="34"/>
  <c r="K32" i="34"/>
  <c r="G33" i="34"/>
  <c r="J33" i="34"/>
  <c r="K33" i="34"/>
  <c r="G34" i="34"/>
  <c r="J34" i="34"/>
  <c r="K34" i="34"/>
  <c r="G35" i="34"/>
  <c r="J35" i="34"/>
  <c r="K35" i="34"/>
  <c r="L35" i="34"/>
  <c r="G36" i="34"/>
  <c r="J36" i="34"/>
  <c r="K36" i="34"/>
  <c r="L36" i="34"/>
  <c r="G37" i="34"/>
  <c r="J37" i="34"/>
  <c r="K37" i="34"/>
  <c r="L37" i="34"/>
  <c r="G5" i="33"/>
  <c r="J5" i="33"/>
  <c r="K5" i="33"/>
  <c r="G6" i="33"/>
  <c r="J6" i="33"/>
  <c r="K6" i="33"/>
  <c r="L6" i="33"/>
  <c r="G7" i="33"/>
  <c r="J7" i="33"/>
  <c r="K7" i="33"/>
  <c r="G8" i="33"/>
  <c r="J8" i="33"/>
  <c r="K8" i="33"/>
  <c r="L8" i="33"/>
  <c r="G9" i="33"/>
  <c r="J9" i="33"/>
  <c r="K9" i="33"/>
  <c r="L9" i="33"/>
  <c r="G10" i="33"/>
  <c r="J10" i="33"/>
  <c r="K10" i="33"/>
  <c r="L10" i="33"/>
  <c r="G11" i="33"/>
  <c r="J11" i="33"/>
  <c r="K11" i="33"/>
  <c r="G12" i="33"/>
  <c r="J12" i="33"/>
  <c r="K12" i="33"/>
  <c r="G13" i="33"/>
  <c r="J13" i="33"/>
  <c r="K13" i="33"/>
  <c r="G14" i="33"/>
  <c r="J14" i="33"/>
  <c r="K14" i="33"/>
  <c r="G15" i="33"/>
  <c r="J15" i="33"/>
  <c r="K15" i="33"/>
  <c r="G16" i="33"/>
  <c r="J16" i="33"/>
  <c r="K16" i="33"/>
  <c r="G17" i="33"/>
  <c r="J17" i="33"/>
  <c r="K17" i="33"/>
  <c r="G18" i="33"/>
  <c r="J18" i="33"/>
  <c r="G19" i="33"/>
  <c r="J19" i="33"/>
  <c r="K19" i="33"/>
  <c r="G20" i="33"/>
  <c r="J20" i="33"/>
  <c r="K20" i="33"/>
  <c r="L20" i="33" s="1"/>
  <c r="G21" i="33"/>
  <c r="J21" i="33"/>
  <c r="K21" i="33"/>
  <c r="G22" i="33"/>
  <c r="J22" i="33"/>
  <c r="K22" i="33"/>
  <c r="G23" i="33"/>
  <c r="J23" i="33"/>
  <c r="K23" i="33"/>
  <c r="G24" i="33"/>
  <c r="J24" i="33"/>
  <c r="K24" i="33"/>
  <c r="L24" i="33" s="1"/>
  <c r="G25" i="33"/>
  <c r="J25" i="33"/>
  <c r="K25" i="33"/>
  <c r="G26" i="33"/>
  <c r="J26" i="33"/>
  <c r="K26" i="33"/>
  <c r="G27" i="33"/>
  <c r="J27" i="33"/>
  <c r="K27" i="33"/>
  <c r="G28" i="33"/>
  <c r="J28" i="33"/>
  <c r="K28" i="33"/>
  <c r="G29" i="33"/>
  <c r="J29" i="33"/>
  <c r="K29" i="33"/>
  <c r="G30" i="33"/>
  <c r="J30" i="33"/>
  <c r="K30" i="33"/>
  <c r="G31" i="33"/>
  <c r="J31" i="33"/>
  <c r="K31" i="33"/>
  <c r="G32" i="33"/>
  <c r="J32" i="33"/>
  <c r="K32" i="33"/>
  <c r="G33" i="33"/>
  <c r="J33" i="33"/>
  <c r="K33" i="33"/>
  <c r="G34" i="33"/>
  <c r="J34" i="33"/>
  <c r="K34" i="33"/>
  <c r="G35" i="33"/>
  <c r="J35" i="33"/>
  <c r="K35" i="33"/>
  <c r="G36" i="33"/>
  <c r="J36" i="33"/>
  <c r="K36" i="33"/>
  <c r="G37" i="33"/>
  <c r="J37" i="33"/>
  <c r="K37" i="33"/>
  <c r="G38" i="33"/>
  <c r="J38" i="33"/>
  <c r="K38" i="33"/>
  <c r="G39" i="33"/>
  <c r="J39" i="33"/>
  <c r="K39" i="33"/>
  <c r="L39" i="33"/>
  <c r="G40" i="33"/>
  <c r="J40" i="33"/>
  <c r="K40" i="33"/>
  <c r="L40" i="33"/>
  <c r="G41" i="33"/>
  <c r="J41" i="33"/>
  <c r="K41" i="33"/>
  <c r="L41" i="33"/>
  <c r="G42" i="33"/>
  <c r="J42" i="33"/>
  <c r="K42" i="33"/>
  <c r="L42" i="33"/>
  <c r="J5" i="9"/>
  <c r="K5" i="9"/>
  <c r="J6" i="9"/>
  <c r="K6" i="9"/>
  <c r="J7" i="9"/>
  <c r="K7" i="9"/>
  <c r="J8" i="9"/>
  <c r="K8" i="9"/>
  <c r="J9" i="9"/>
  <c r="K9" i="9"/>
  <c r="J10" i="9"/>
  <c r="K10" i="9"/>
  <c r="J11" i="9"/>
  <c r="K11" i="9"/>
  <c r="J12" i="9"/>
  <c r="K12" i="9"/>
  <c r="J13" i="9"/>
  <c r="K13" i="9"/>
  <c r="J14" i="9"/>
  <c r="K14" i="9"/>
  <c r="J15" i="9"/>
  <c r="K15" i="9"/>
  <c r="J16" i="9"/>
  <c r="K16" i="9"/>
  <c r="J17" i="9"/>
  <c r="K17" i="9"/>
  <c r="J18" i="9"/>
  <c r="K18" i="9"/>
  <c r="J19" i="9"/>
  <c r="K19" i="9"/>
  <c r="J20" i="9"/>
  <c r="K20" i="9"/>
  <c r="J21" i="9"/>
  <c r="K21" i="9"/>
  <c r="J22" i="9"/>
  <c r="K22" i="9"/>
  <c r="J23" i="9"/>
  <c r="K23" i="9"/>
  <c r="J24" i="9"/>
  <c r="K24" i="9"/>
  <c r="J25" i="9"/>
  <c r="K25" i="9"/>
  <c r="J26" i="9"/>
  <c r="K26" i="9"/>
  <c r="J27" i="9"/>
  <c r="K27" i="9"/>
  <c r="J28" i="9"/>
  <c r="K28" i="9"/>
  <c r="J29" i="9"/>
  <c r="K29" i="9"/>
  <c r="J30" i="9"/>
  <c r="K30" i="9"/>
  <c r="J31" i="9"/>
  <c r="K31" i="9"/>
  <c r="J32" i="9"/>
  <c r="K32" i="9"/>
  <c r="J33" i="9"/>
  <c r="K33" i="9"/>
  <c r="J34" i="9"/>
  <c r="K34" i="9"/>
  <c r="G5" i="26"/>
  <c r="J5" i="26"/>
  <c r="K5" i="26"/>
  <c r="G6" i="26"/>
  <c r="J6" i="26"/>
  <c r="K6" i="26"/>
  <c r="G7" i="26"/>
  <c r="J7" i="26"/>
  <c r="K7" i="26"/>
  <c r="G8" i="26"/>
  <c r="J8" i="26"/>
  <c r="K8" i="26"/>
  <c r="G9" i="26"/>
  <c r="J9" i="26"/>
  <c r="K9" i="26"/>
  <c r="G10" i="26"/>
  <c r="J10" i="26"/>
  <c r="K10" i="26"/>
  <c r="G11" i="26"/>
  <c r="J11" i="26"/>
  <c r="K11" i="26"/>
  <c r="G12" i="26"/>
  <c r="J12" i="26"/>
  <c r="K12" i="26"/>
  <c r="G13" i="26"/>
  <c r="J13" i="26"/>
  <c r="K13" i="26"/>
  <c r="G14" i="26"/>
  <c r="J14" i="26"/>
  <c r="K14" i="26"/>
  <c r="G15" i="26"/>
  <c r="J15" i="26"/>
  <c r="K15" i="26"/>
  <c r="G16" i="26"/>
  <c r="J16" i="26"/>
  <c r="K16" i="26"/>
  <c r="G17" i="26"/>
  <c r="J17" i="26"/>
  <c r="K17" i="26"/>
  <c r="G18" i="26"/>
  <c r="J18" i="26"/>
  <c r="K18" i="26"/>
  <c r="G19" i="26"/>
  <c r="J19" i="26"/>
  <c r="K19" i="26"/>
  <c r="G20" i="26"/>
  <c r="J20" i="26"/>
  <c r="K20" i="26"/>
  <c r="G21" i="26"/>
  <c r="J21" i="26"/>
  <c r="K21" i="26"/>
  <c r="G23" i="26"/>
  <c r="J23" i="26"/>
  <c r="K23" i="26"/>
  <c r="G24" i="26"/>
  <c r="J24" i="26"/>
  <c r="K24" i="26"/>
  <c r="G25" i="26"/>
  <c r="J25" i="26"/>
  <c r="K25" i="26"/>
  <c r="G26" i="26"/>
  <c r="J26" i="26"/>
  <c r="K26" i="26"/>
  <c r="G27" i="26"/>
  <c r="J27" i="26"/>
  <c r="K27" i="26"/>
  <c r="G28" i="26"/>
  <c r="J28" i="26"/>
  <c r="K28" i="26"/>
  <c r="G29" i="26"/>
  <c r="J29" i="26"/>
  <c r="K29" i="26"/>
  <c r="G30" i="26"/>
  <c r="J30" i="26"/>
  <c r="K30" i="26"/>
  <c r="G31" i="26"/>
  <c r="J31" i="26"/>
  <c r="K31" i="26"/>
  <c r="G32" i="26"/>
  <c r="J32" i="26"/>
  <c r="K32" i="26"/>
  <c r="G33" i="26"/>
  <c r="J33" i="26"/>
  <c r="K33" i="26"/>
  <c r="G34" i="26"/>
  <c r="J34" i="26"/>
  <c r="K34" i="26"/>
  <c r="G35" i="26"/>
  <c r="J35" i="26"/>
  <c r="K35" i="26"/>
  <c r="G36" i="26"/>
  <c r="J36" i="26"/>
  <c r="K36" i="26"/>
  <c r="G37" i="26"/>
  <c r="J37" i="26"/>
  <c r="K37" i="26"/>
  <c r="G5" i="57"/>
  <c r="J5" i="57"/>
  <c r="K5" i="57"/>
  <c r="L5" i="57" s="1"/>
  <c r="G6" i="57"/>
  <c r="J6" i="57"/>
  <c r="K6" i="57"/>
  <c r="L6" i="57" s="1"/>
  <c r="G7" i="57"/>
  <c r="J7" i="57"/>
  <c r="K7" i="57"/>
  <c r="L7" i="57" s="1"/>
  <c r="G8" i="57"/>
  <c r="J8" i="57"/>
  <c r="K8" i="57"/>
  <c r="G9" i="57"/>
  <c r="J9" i="57"/>
  <c r="K9" i="57"/>
  <c r="G10" i="57"/>
  <c r="J10" i="57"/>
  <c r="K10" i="57"/>
  <c r="G11" i="57"/>
  <c r="J11" i="57"/>
  <c r="K11" i="57"/>
  <c r="G12" i="57"/>
  <c r="J12" i="57"/>
  <c r="K12" i="57"/>
  <c r="G13" i="57"/>
  <c r="J13" i="57"/>
  <c r="K13" i="57"/>
  <c r="G14" i="57"/>
  <c r="J14" i="57"/>
  <c r="K14" i="57"/>
  <c r="L14" i="57" s="1"/>
  <c r="G15" i="57"/>
  <c r="J15" i="57"/>
  <c r="K15" i="57"/>
  <c r="L15" i="57" s="1"/>
  <c r="G16" i="57"/>
  <c r="J16" i="57"/>
  <c r="K16" i="57"/>
  <c r="G17" i="57"/>
  <c r="J17" i="57"/>
  <c r="K17" i="57"/>
  <c r="L17" i="57" s="1"/>
  <c r="G18" i="57"/>
  <c r="J18" i="57"/>
  <c r="K18" i="57"/>
  <c r="G19" i="57"/>
  <c r="J19" i="57"/>
  <c r="K19" i="57"/>
  <c r="G20" i="57"/>
  <c r="J20" i="57"/>
  <c r="K20" i="57"/>
  <c r="G21" i="57"/>
  <c r="J21" i="57"/>
  <c r="K21" i="57"/>
  <c r="G22" i="57"/>
  <c r="J22" i="57"/>
  <c r="K22" i="57"/>
  <c r="L22" i="57" s="1"/>
  <c r="G23" i="57"/>
  <c r="J23" i="57"/>
  <c r="K23" i="57"/>
  <c r="G24" i="57"/>
  <c r="J24" i="57"/>
  <c r="K24" i="57"/>
  <c r="G25" i="57"/>
  <c r="J25" i="57"/>
  <c r="K25" i="57"/>
  <c r="L25" i="57" s="1"/>
  <c r="G26" i="57"/>
  <c r="J26" i="57"/>
  <c r="K26" i="57"/>
  <c r="G27" i="57"/>
  <c r="J27" i="57"/>
  <c r="K27" i="57"/>
  <c r="G28" i="57"/>
  <c r="J28" i="57"/>
  <c r="K28" i="57"/>
  <c r="G29" i="57"/>
  <c r="J29" i="57"/>
  <c r="K29" i="57"/>
  <c r="G30" i="57"/>
  <c r="J30" i="57"/>
  <c r="K30" i="57"/>
  <c r="G31" i="57"/>
  <c r="J31" i="57"/>
  <c r="K31" i="57"/>
  <c r="G32" i="57"/>
  <c r="J32" i="57"/>
  <c r="K32" i="57"/>
  <c r="G33" i="57"/>
  <c r="J33" i="57"/>
  <c r="K33" i="57"/>
  <c r="G34" i="57"/>
  <c r="J34" i="57"/>
  <c r="K34" i="57"/>
  <c r="G5" i="41"/>
  <c r="J5" i="41"/>
  <c r="K5" i="41"/>
  <c r="G7" i="41"/>
  <c r="J7" i="41"/>
  <c r="G8" i="41"/>
  <c r="J8" i="41"/>
  <c r="G9" i="41"/>
  <c r="K9" i="41" s="1"/>
  <c r="G10" i="41"/>
  <c r="K10" i="41" s="1"/>
  <c r="G11" i="41"/>
  <c r="K11" i="41" s="1"/>
  <c r="G13" i="41"/>
  <c r="K13" i="41" s="1"/>
  <c r="G14" i="41"/>
  <c r="K14" i="41" s="1"/>
  <c r="G15" i="41"/>
  <c r="K15" i="41" s="1"/>
  <c r="G16" i="41"/>
  <c r="K16" i="41"/>
  <c r="G17" i="41"/>
  <c r="K17" i="41"/>
  <c r="G18" i="41"/>
  <c r="K18" i="41" s="1"/>
  <c r="G19" i="41"/>
  <c r="J19" i="41"/>
  <c r="K19" i="41"/>
  <c r="G22" i="41"/>
  <c r="J22" i="41"/>
  <c r="G23" i="41"/>
  <c r="J23" i="41"/>
  <c r="K23" i="41"/>
  <c r="G24" i="41"/>
  <c r="J24" i="41"/>
  <c r="K24" i="41"/>
  <c r="G25" i="41"/>
  <c r="J25" i="41"/>
  <c r="K25" i="41"/>
  <c r="G26" i="41"/>
  <c r="J26" i="41"/>
  <c r="K26" i="41"/>
  <c r="G27" i="41"/>
  <c r="J27" i="41"/>
  <c r="K27" i="41"/>
  <c r="G28" i="41"/>
  <c r="J28" i="41"/>
  <c r="K28" i="41"/>
  <c r="G29" i="41"/>
  <c r="J29" i="41"/>
  <c r="K29" i="41"/>
  <c r="G30" i="41"/>
  <c r="J30" i="41"/>
  <c r="G31" i="41"/>
  <c r="J31" i="41"/>
  <c r="K31" i="41"/>
  <c r="G32" i="41"/>
  <c r="J32" i="41"/>
  <c r="G33" i="41"/>
  <c r="J33" i="41"/>
  <c r="K33" i="41"/>
  <c r="G34" i="41"/>
  <c r="J34" i="41"/>
  <c r="K34" i="41"/>
  <c r="G35" i="41"/>
  <c r="J35" i="41"/>
  <c r="K35" i="41"/>
  <c r="G36" i="41"/>
  <c r="J36" i="41"/>
  <c r="K36" i="41"/>
  <c r="G37" i="41"/>
  <c r="J37" i="41"/>
  <c r="K37" i="41"/>
  <c r="G38" i="41"/>
  <c r="J38" i="41"/>
  <c r="K38" i="41"/>
  <c r="G39" i="41"/>
  <c r="J39" i="41"/>
  <c r="K39" i="41"/>
  <c r="G4" i="41"/>
  <c r="M3" i="12"/>
  <c r="G5" i="12"/>
  <c r="J5" i="12"/>
  <c r="K5" i="12"/>
  <c r="G6" i="12"/>
  <c r="J6" i="12"/>
  <c r="K6" i="12"/>
  <c r="G7" i="12"/>
  <c r="J7" i="12"/>
  <c r="K7" i="12"/>
  <c r="G8" i="12"/>
  <c r="J8" i="12"/>
  <c r="K8" i="12"/>
  <c r="G9" i="12"/>
  <c r="J9" i="12"/>
  <c r="K9" i="12"/>
  <c r="G10" i="12"/>
  <c r="J10" i="12"/>
  <c r="K10" i="12"/>
  <c r="G11" i="12"/>
  <c r="J11" i="12"/>
  <c r="K11" i="12"/>
  <c r="G12" i="12"/>
  <c r="J12" i="12"/>
  <c r="K12" i="12"/>
  <c r="G13" i="12"/>
  <c r="J13" i="12"/>
  <c r="K13" i="12"/>
  <c r="G14" i="12"/>
  <c r="J14" i="12"/>
  <c r="K14" i="12"/>
  <c r="G15" i="12"/>
  <c r="J15" i="12"/>
  <c r="K15" i="12"/>
  <c r="G16" i="12"/>
  <c r="J16" i="12"/>
  <c r="G17" i="12"/>
  <c r="J17" i="12"/>
  <c r="K17" i="12"/>
  <c r="G18" i="12"/>
  <c r="J18" i="12"/>
  <c r="K18" i="12"/>
  <c r="G19" i="12"/>
  <c r="J19" i="12"/>
  <c r="K19" i="12"/>
  <c r="G20" i="12"/>
  <c r="J20" i="12"/>
  <c r="K20" i="12"/>
  <c r="G21" i="12"/>
  <c r="J21" i="12"/>
  <c r="K21" i="12"/>
  <c r="G22" i="12"/>
  <c r="J22" i="12"/>
  <c r="K22" i="12"/>
  <c r="G23" i="12"/>
  <c r="J23" i="12"/>
  <c r="K23" i="12"/>
  <c r="G24" i="12"/>
  <c r="J24" i="12"/>
  <c r="K24" i="12"/>
  <c r="G25" i="12"/>
  <c r="J25" i="12"/>
  <c r="K25" i="12"/>
  <c r="G26" i="12"/>
  <c r="J26" i="12"/>
  <c r="K26" i="12"/>
  <c r="G27" i="12"/>
  <c r="J27" i="12"/>
  <c r="K27" i="12"/>
  <c r="G28" i="12"/>
  <c r="J28" i="12"/>
  <c r="K28" i="12"/>
  <c r="G29" i="12"/>
  <c r="J29" i="12"/>
  <c r="K29" i="12"/>
  <c r="G30" i="12"/>
  <c r="J30" i="12"/>
  <c r="K30" i="12"/>
  <c r="G31" i="12"/>
  <c r="J31" i="12"/>
  <c r="K31" i="12"/>
  <c r="G32" i="12"/>
  <c r="J32" i="12"/>
  <c r="K32" i="12"/>
  <c r="G33" i="12"/>
  <c r="J33" i="12"/>
  <c r="K33" i="12"/>
  <c r="G34" i="12"/>
  <c r="J34" i="12"/>
  <c r="K34" i="12"/>
  <c r="G5" i="37"/>
  <c r="J5" i="37"/>
  <c r="K5" i="37"/>
  <c r="G6" i="37"/>
  <c r="J6" i="37"/>
  <c r="K6" i="37"/>
  <c r="L6" i="37"/>
  <c r="G7" i="37"/>
  <c r="J7" i="37"/>
  <c r="K7" i="37"/>
  <c r="L7" i="37"/>
  <c r="G8" i="37"/>
  <c r="J8" i="37"/>
  <c r="K8" i="37"/>
  <c r="L8" i="37"/>
  <c r="G9" i="37"/>
  <c r="J9" i="37"/>
  <c r="K9" i="37"/>
  <c r="G10" i="37"/>
  <c r="J10" i="37"/>
  <c r="K10" i="37"/>
  <c r="L10" i="37"/>
  <c r="G11" i="37"/>
  <c r="J11" i="37"/>
  <c r="K11" i="37"/>
  <c r="L11" i="37"/>
  <c r="G12" i="37"/>
  <c r="J12" i="37"/>
  <c r="K12" i="37"/>
  <c r="G13" i="37"/>
  <c r="J13" i="37"/>
  <c r="K13" i="37"/>
  <c r="G14" i="37"/>
  <c r="J14" i="37"/>
  <c r="K14" i="37"/>
  <c r="G15" i="37"/>
  <c r="J15" i="37"/>
  <c r="K15" i="37"/>
  <c r="G16" i="37"/>
  <c r="J16" i="37"/>
  <c r="K16" i="37"/>
  <c r="L16" i="37"/>
  <c r="G17" i="37"/>
  <c r="J17" i="37"/>
  <c r="K17" i="37"/>
  <c r="L17" i="37"/>
  <c r="G18" i="37"/>
  <c r="J18" i="37"/>
  <c r="K18" i="37"/>
  <c r="L18" i="37"/>
  <c r="G19" i="37"/>
  <c r="J19" i="37"/>
  <c r="K19" i="37"/>
  <c r="G20" i="37"/>
  <c r="J20" i="37"/>
  <c r="K20" i="37"/>
  <c r="G21" i="37"/>
  <c r="J21" i="37"/>
  <c r="K21" i="37"/>
  <c r="G22" i="37"/>
  <c r="J22" i="37"/>
  <c r="K22" i="37"/>
  <c r="G23" i="37"/>
  <c r="J23" i="37"/>
  <c r="K23" i="37"/>
  <c r="G24" i="37"/>
  <c r="J24" i="37"/>
  <c r="K24" i="37"/>
  <c r="G25" i="37"/>
  <c r="J25" i="37"/>
  <c r="K25" i="37"/>
  <c r="G26" i="37"/>
  <c r="J26" i="37"/>
  <c r="K26" i="37"/>
  <c r="G27" i="37"/>
  <c r="J27" i="37"/>
  <c r="K27" i="37"/>
  <c r="L27" i="37"/>
  <c r="G28" i="37"/>
  <c r="J28" i="37"/>
  <c r="K28" i="37"/>
  <c r="G29" i="37"/>
  <c r="J29" i="37"/>
  <c r="K29" i="37"/>
  <c r="G30" i="37"/>
  <c r="J30" i="37"/>
  <c r="K30" i="37"/>
  <c r="L30" i="37"/>
  <c r="G31" i="37"/>
  <c r="J31" i="37"/>
  <c r="K31" i="37"/>
  <c r="G32" i="37"/>
  <c r="J32" i="37"/>
  <c r="K32" i="37"/>
  <c r="J33" i="37"/>
  <c r="K33" i="37"/>
  <c r="G4" i="37"/>
  <c r="G5" i="36"/>
  <c r="J5" i="36"/>
  <c r="K5" i="36"/>
  <c r="L5" i="36" s="1"/>
  <c r="G6" i="36"/>
  <c r="J6" i="36"/>
  <c r="K6" i="36"/>
  <c r="L6" i="36" s="1"/>
  <c r="G7" i="36"/>
  <c r="J7" i="36"/>
  <c r="K7" i="36"/>
  <c r="L7" i="36" s="1"/>
  <c r="G8" i="36"/>
  <c r="J8" i="36"/>
  <c r="K8" i="36"/>
  <c r="L8" i="36" s="1"/>
  <c r="G9" i="36"/>
  <c r="J9" i="36"/>
  <c r="K9" i="36"/>
  <c r="L9" i="36" s="1"/>
  <c r="G10" i="36"/>
  <c r="J10" i="36"/>
  <c r="K10" i="36"/>
  <c r="L10" i="36" s="1"/>
  <c r="G11" i="36"/>
  <c r="J11" i="36"/>
  <c r="K11" i="36"/>
  <c r="L11" i="36" s="1"/>
  <c r="G12" i="36"/>
  <c r="J12" i="36"/>
  <c r="K12" i="36"/>
  <c r="L12" i="36" s="1"/>
  <c r="G13" i="36"/>
  <c r="J13" i="36"/>
  <c r="K13" i="36"/>
  <c r="L13" i="36" s="1"/>
  <c r="G14" i="36"/>
  <c r="J14" i="36"/>
  <c r="K14" i="36"/>
  <c r="L14" i="36" s="1"/>
  <c r="G15" i="36"/>
  <c r="J15" i="36"/>
  <c r="K15" i="36"/>
  <c r="L15" i="36" s="1"/>
  <c r="G16" i="36"/>
  <c r="J16" i="36"/>
  <c r="K16" i="36"/>
  <c r="L16" i="36" s="1"/>
  <c r="G17" i="36"/>
  <c r="J17" i="36"/>
  <c r="K17" i="36"/>
  <c r="L17" i="36" s="1"/>
  <c r="G18" i="36"/>
  <c r="J18" i="36"/>
  <c r="K18" i="36"/>
  <c r="L18" i="36" s="1"/>
  <c r="G19" i="36"/>
  <c r="J19" i="36"/>
  <c r="K19" i="36"/>
  <c r="L19" i="36" s="1"/>
  <c r="G20" i="36"/>
  <c r="J20" i="36"/>
  <c r="K20" i="36"/>
  <c r="L20" i="36" s="1"/>
  <c r="G21" i="36"/>
  <c r="J21" i="36"/>
  <c r="K21" i="36"/>
  <c r="L21" i="36" s="1"/>
  <c r="G22" i="36"/>
  <c r="J22" i="36"/>
  <c r="K22" i="36"/>
  <c r="L22" i="36" s="1"/>
  <c r="G23" i="36"/>
  <c r="J23" i="36"/>
  <c r="K23" i="36"/>
  <c r="L23" i="36" s="1"/>
  <c r="G24" i="36"/>
  <c r="J24" i="36"/>
  <c r="K24" i="36"/>
  <c r="L24" i="36" s="1"/>
  <c r="G25" i="36"/>
  <c r="J25" i="36"/>
  <c r="K25" i="36"/>
  <c r="L25" i="36" s="1"/>
  <c r="G26" i="36"/>
  <c r="J26" i="36"/>
  <c r="K26" i="36"/>
  <c r="L26" i="36" s="1"/>
  <c r="G27" i="36"/>
  <c r="J27" i="36"/>
  <c r="K27" i="36"/>
  <c r="L27" i="36" s="1"/>
  <c r="G28" i="36"/>
  <c r="J28" i="36"/>
  <c r="K28" i="36"/>
  <c r="L28" i="36" s="1"/>
  <c r="G29" i="36"/>
  <c r="J29" i="36"/>
  <c r="K29" i="36"/>
  <c r="L29" i="36" s="1"/>
  <c r="G30" i="36"/>
  <c r="J30" i="36"/>
  <c r="K30" i="36"/>
  <c r="L30" i="36" s="1"/>
  <c r="G31" i="36"/>
  <c r="J31" i="36"/>
  <c r="K31" i="36"/>
  <c r="L31" i="36" s="1"/>
  <c r="G32" i="36"/>
  <c r="J32" i="36"/>
  <c r="K32" i="36"/>
  <c r="L32" i="36" s="1"/>
  <c r="G33" i="36"/>
  <c r="J33" i="36"/>
  <c r="K33" i="36"/>
  <c r="L33" i="36" s="1"/>
  <c r="G34" i="36"/>
  <c r="J34" i="36"/>
  <c r="K34" i="36"/>
  <c r="G5" i="15"/>
  <c r="J5" i="15"/>
  <c r="K5" i="15"/>
  <c r="G6" i="15"/>
  <c r="J6" i="15"/>
  <c r="K6" i="15"/>
  <c r="G7" i="15"/>
  <c r="J7" i="15"/>
  <c r="K7" i="15"/>
  <c r="G8" i="15"/>
  <c r="J8" i="15"/>
  <c r="K8" i="15"/>
  <c r="G9" i="15"/>
  <c r="J9" i="15"/>
  <c r="K9" i="15"/>
  <c r="G10" i="15"/>
  <c r="J10" i="15"/>
  <c r="K10" i="15"/>
  <c r="G11" i="15"/>
  <c r="J11" i="15"/>
  <c r="K11" i="15"/>
  <c r="G12" i="15"/>
  <c r="J12" i="15"/>
  <c r="K12" i="15"/>
  <c r="G13" i="15"/>
  <c r="J13" i="15"/>
  <c r="K13" i="15"/>
  <c r="G14" i="15"/>
  <c r="J14" i="15"/>
  <c r="K14" i="15"/>
  <c r="G15" i="15"/>
  <c r="J15" i="15"/>
  <c r="K15" i="15"/>
  <c r="G16" i="15"/>
  <c r="J16" i="15"/>
  <c r="K16" i="15"/>
  <c r="G17" i="15"/>
  <c r="J17" i="15"/>
  <c r="K17" i="15"/>
  <c r="G18" i="15"/>
  <c r="J18" i="15"/>
  <c r="K18" i="15"/>
  <c r="G19" i="15"/>
  <c r="J19" i="15"/>
  <c r="K19" i="15"/>
  <c r="G20" i="15"/>
  <c r="J20" i="15"/>
  <c r="K20" i="15"/>
  <c r="G21" i="15"/>
  <c r="J21" i="15"/>
  <c r="K21" i="15"/>
  <c r="G22" i="15"/>
  <c r="J22" i="15"/>
  <c r="K22" i="15"/>
  <c r="G23" i="15"/>
  <c r="J23" i="15"/>
  <c r="K23" i="15"/>
  <c r="G24" i="15"/>
  <c r="J24" i="15"/>
  <c r="K24" i="15"/>
  <c r="G25" i="15"/>
  <c r="J25" i="15"/>
  <c r="K25" i="15"/>
  <c r="G26" i="15"/>
  <c r="J26" i="15"/>
  <c r="K26" i="15"/>
  <c r="G27" i="15"/>
  <c r="J27" i="15"/>
  <c r="K27" i="15"/>
  <c r="G28" i="15"/>
  <c r="J28" i="15"/>
  <c r="K28" i="15"/>
  <c r="G29" i="15"/>
  <c r="J29" i="15"/>
  <c r="K29" i="15"/>
  <c r="G30" i="15"/>
  <c r="J30" i="15"/>
  <c r="K30" i="15"/>
  <c r="G31" i="15"/>
  <c r="J31" i="15"/>
  <c r="K31" i="15"/>
  <c r="G32" i="15"/>
  <c r="J32" i="15"/>
  <c r="K32" i="15"/>
  <c r="G33" i="15"/>
  <c r="J33" i="15"/>
  <c r="K33" i="15"/>
  <c r="G34" i="15"/>
  <c r="J34" i="15"/>
  <c r="K34" i="15"/>
  <c r="G5" i="14"/>
  <c r="G6" i="14"/>
  <c r="G7" i="14"/>
  <c r="G8" i="14"/>
  <c r="G9" i="14"/>
  <c r="K9" i="14" s="1"/>
  <c r="G10" i="14"/>
  <c r="K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J25" i="14"/>
  <c r="K25" i="14"/>
  <c r="G26" i="14"/>
  <c r="J26" i="14"/>
  <c r="K26" i="14"/>
  <c r="G27" i="14"/>
  <c r="J27" i="14"/>
  <c r="K27" i="14"/>
  <c r="G28" i="14"/>
  <c r="J28" i="14"/>
  <c r="K28" i="14"/>
  <c r="G29" i="14"/>
  <c r="J29" i="14"/>
  <c r="K29" i="14"/>
  <c r="G30" i="14"/>
  <c r="J30" i="14"/>
  <c r="K30" i="14"/>
  <c r="G31" i="14"/>
  <c r="J31" i="14"/>
  <c r="K31" i="14"/>
  <c r="G32" i="14"/>
  <c r="J32" i="14"/>
  <c r="K32" i="14"/>
  <c r="G33" i="14"/>
  <c r="J33" i="14"/>
  <c r="K33" i="14"/>
  <c r="G34" i="14"/>
  <c r="J34" i="14"/>
  <c r="K34" i="14"/>
  <c r="G35" i="14"/>
  <c r="J35" i="14"/>
  <c r="K35" i="14"/>
  <c r="G5" i="22"/>
  <c r="J5" i="22"/>
  <c r="K5" i="22"/>
  <c r="G6" i="22"/>
  <c r="J6" i="22"/>
  <c r="K6" i="22"/>
  <c r="G8" i="22"/>
  <c r="K8" i="22" s="1"/>
  <c r="G9" i="22"/>
  <c r="K9" i="22" s="1"/>
  <c r="G11" i="22"/>
  <c r="J11" i="22"/>
  <c r="K11" i="22"/>
  <c r="G12" i="22"/>
  <c r="J12" i="22"/>
  <c r="K12" i="22"/>
  <c r="G13" i="22"/>
  <c r="J13" i="22"/>
  <c r="K13" i="22"/>
  <c r="G14" i="22"/>
  <c r="J14" i="22"/>
  <c r="K14" i="22"/>
  <c r="G16" i="22"/>
  <c r="J16" i="22"/>
  <c r="K16" i="22"/>
  <c r="G17" i="22"/>
  <c r="J17" i="22"/>
  <c r="K17" i="22"/>
  <c r="G18" i="22"/>
  <c r="J18" i="22"/>
  <c r="K18" i="22"/>
  <c r="G19" i="22"/>
  <c r="J19" i="22"/>
  <c r="K19" i="22"/>
  <c r="G20" i="22"/>
  <c r="J20" i="22"/>
  <c r="K20" i="22"/>
  <c r="G21" i="22"/>
  <c r="J21" i="22"/>
  <c r="K21" i="22"/>
  <c r="G22" i="22"/>
  <c r="J22" i="22"/>
  <c r="K22" i="22"/>
  <c r="G23" i="22"/>
  <c r="J23" i="22"/>
  <c r="K23" i="22"/>
  <c r="G24" i="22"/>
  <c r="J24" i="22"/>
  <c r="K24" i="22"/>
  <c r="G25" i="22"/>
  <c r="J25" i="22"/>
  <c r="K25" i="22"/>
  <c r="G26" i="22"/>
  <c r="J26" i="22"/>
  <c r="K26" i="22"/>
  <c r="G27" i="22"/>
  <c r="J27" i="22"/>
  <c r="K27" i="22"/>
  <c r="G28" i="22"/>
  <c r="J28" i="22"/>
  <c r="K28" i="22"/>
  <c r="G29" i="22"/>
  <c r="J29" i="22"/>
  <c r="K29" i="22"/>
  <c r="G30" i="22"/>
  <c r="J30" i="22"/>
  <c r="K30" i="22"/>
  <c r="G31" i="22"/>
  <c r="J31" i="22"/>
  <c r="K31" i="22"/>
  <c r="G32" i="22"/>
  <c r="J32" i="22"/>
  <c r="K32" i="22"/>
  <c r="G33" i="22"/>
  <c r="J33" i="22"/>
  <c r="K33" i="22"/>
  <c r="G34" i="22"/>
  <c r="J34" i="22"/>
  <c r="K34" i="22"/>
  <c r="G35" i="22"/>
  <c r="J35" i="22"/>
  <c r="K35" i="22"/>
  <c r="G36" i="22"/>
  <c r="J36" i="22"/>
  <c r="K36" i="22"/>
  <c r="G37" i="22"/>
  <c r="J37" i="22"/>
  <c r="K37" i="22"/>
  <c r="G38" i="22"/>
  <c r="J38" i="22"/>
  <c r="K38" i="22"/>
  <c r="G39" i="22"/>
  <c r="J39" i="22"/>
  <c r="K39" i="22"/>
  <c r="G40" i="22"/>
  <c r="J40" i="22"/>
  <c r="K40" i="22"/>
  <c r="G5" i="25"/>
  <c r="J5" i="25"/>
  <c r="K5" i="25"/>
  <c r="L5" i="25"/>
  <c r="G6" i="25"/>
  <c r="J6" i="25"/>
  <c r="K6" i="25"/>
  <c r="L6" i="25"/>
  <c r="G7" i="25"/>
  <c r="J7" i="25"/>
  <c r="K7" i="25"/>
  <c r="L7" i="25"/>
  <c r="G8" i="25"/>
  <c r="J8" i="25"/>
  <c r="K8" i="25"/>
  <c r="L8" i="25"/>
  <c r="G9" i="25"/>
  <c r="J9" i="25"/>
  <c r="K9" i="25"/>
  <c r="L9" i="25"/>
  <c r="G10" i="25"/>
  <c r="J10" i="25"/>
  <c r="K10" i="25"/>
  <c r="L10" i="25"/>
  <c r="G11" i="25"/>
  <c r="J11" i="25"/>
  <c r="K11" i="25"/>
  <c r="L11" i="25"/>
  <c r="G12" i="25"/>
  <c r="J12" i="25"/>
  <c r="K12" i="25"/>
  <c r="L12" i="25"/>
  <c r="G13" i="25"/>
  <c r="J13" i="25"/>
  <c r="K13" i="25"/>
  <c r="L13" i="25"/>
  <c r="G14" i="25"/>
  <c r="J14" i="25"/>
  <c r="K14" i="25"/>
  <c r="L14" i="25"/>
  <c r="G15" i="25"/>
  <c r="J15" i="25"/>
  <c r="K15" i="25"/>
  <c r="L15" i="25"/>
  <c r="G16" i="25"/>
  <c r="J16" i="25"/>
  <c r="K16" i="25"/>
  <c r="L16" i="25"/>
  <c r="G17" i="25"/>
  <c r="J17" i="25"/>
  <c r="K17" i="25"/>
  <c r="L17" i="25"/>
  <c r="G18" i="25"/>
  <c r="J18" i="25"/>
  <c r="K18" i="25"/>
  <c r="L18" i="25"/>
  <c r="G19" i="25"/>
  <c r="J19" i="25"/>
  <c r="K19" i="25"/>
  <c r="L19" i="25"/>
  <c r="G20" i="25"/>
  <c r="J20" i="25"/>
  <c r="K20" i="25"/>
  <c r="L20" i="25"/>
  <c r="G21" i="25"/>
  <c r="J21" i="25"/>
  <c r="K21" i="25"/>
  <c r="L21" i="25"/>
  <c r="G22" i="25"/>
  <c r="J22" i="25"/>
  <c r="K22" i="25"/>
  <c r="L22" i="25"/>
  <c r="G23" i="25"/>
  <c r="J23" i="25"/>
  <c r="K23" i="25"/>
  <c r="L23" i="25"/>
  <c r="G24" i="25"/>
  <c r="J24" i="25"/>
  <c r="K24" i="25"/>
  <c r="L24" i="25"/>
  <c r="G25" i="25"/>
  <c r="J25" i="25"/>
  <c r="K25" i="25"/>
  <c r="L25" i="25"/>
  <c r="G26" i="25"/>
  <c r="J26" i="25"/>
  <c r="K26" i="25"/>
  <c r="L26" i="25"/>
  <c r="G27" i="25"/>
  <c r="J27" i="25"/>
  <c r="K27" i="25"/>
  <c r="L27" i="25"/>
  <c r="G28" i="25"/>
  <c r="J28" i="25"/>
  <c r="K28" i="25"/>
  <c r="L28" i="25"/>
  <c r="G29" i="25"/>
  <c r="J29" i="25"/>
  <c r="K29" i="25"/>
  <c r="L29" i="25"/>
  <c r="G30" i="25"/>
  <c r="J30" i="25"/>
  <c r="K30" i="25"/>
  <c r="L30" i="25"/>
  <c r="G31" i="25"/>
  <c r="J31" i="25"/>
  <c r="K31" i="25"/>
  <c r="L31" i="25"/>
  <c r="G32" i="25"/>
  <c r="J32" i="25"/>
  <c r="K32" i="25"/>
  <c r="L32" i="25"/>
  <c r="G33" i="25"/>
  <c r="J33" i="25"/>
  <c r="K33" i="25"/>
  <c r="L33" i="25"/>
  <c r="G34" i="25"/>
  <c r="J34" i="25"/>
  <c r="K34" i="25"/>
  <c r="L34" i="25"/>
  <c r="G5" i="40"/>
  <c r="G6" i="40"/>
  <c r="G7" i="40"/>
  <c r="G8" i="40"/>
  <c r="G9" i="40"/>
  <c r="G10" i="40"/>
  <c r="G11" i="40"/>
  <c r="G12" i="40"/>
  <c r="G13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G28" i="40"/>
  <c r="G29" i="40"/>
  <c r="G30" i="40"/>
  <c r="G31" i="40"/>
  <c r="G32" i="40"/>
  <c r="G33" i="40"/>
  <c r="G5" i="11"/>
  <c r="J5" i="11"/>
  <c r="K5" i="11"/>
  <c r="G6" i="11"/>
  <c r="J6" i="11"/>
  <c r="K6" i="11"/>
  <c r="G7" i="11"/>
  <c r="J7" i="11"/>
  <c r="K7" i="11"/>
  <c r="G8" i="11"/>
  <c r="J8" i="11"/>
  <c r="K8" i="11"/>
  <c r="G9" i="11"/>
  <c r="J9" i="11"/>
  <c r="K9" i="11"/>
  <c r="G10" i="11"/>
  <c r="J10" i="11"/>
  <c r="K10" i="11"/>
  <c r="G11" i="11"/>
  <c r="J11" i="11"/>
  <c r="K11" i="11"/>
  <c r="G12" i="11"/>
  <c r="J12" i="11"/>
  <c r="K12" i="11"/>
  <c r="G13" i="11"/>
  <c r="J13" i="11"/>
  <c r="K13" i="11"/>
  <c r="G14" i="11"/>
  <c r="J14" i="11"/>
  <c r="K14" i="11"/>
  <c r="G15" i="11"/>
  <c r="J15" i="11"/>
  <c r="K15" i="11"/>
  <c r="G16" i="11"/>
  <c r="J16" i="11"/>
  <c r="K16" i="11"/>
  <c r="G17" i="11"/>
  <c r="J17" i="11"/>
  <c r="K17" i="11"/>
  <c r="G18" i="11"/>
  <c r="J18" i="11"/>
  <c r="K18" i="11"/>
  <c r="G19" i="11"/>
  <c r="J19" i="11"/>
  <c r="K19" i="11"/>
  <c r="G20" i="11"/>
  <c r="J20" i="11"/>
  <c r="K20" i="11"/>
  <c r="G21" i="11"/>
  <c r="J21" i="11"/>
  <c r="K21" i="11"/>
  <c r="G22" i="11"/>
  <c r="J22" i="11"/>
  <c r="K22" i="11"/>
  <c r="G23" i="11"/>
  <c r="J23" i="11"/>
  <c r="K23" i="11"/>
  <c r="G24" i="11"/>
  <c r="J24" i="11"/>
  <c r="K24" i="11"/>
  <c r="G25" i="11"/>
  <c r="J25" i="11"/>
  <c r="K25" i="11"/>
  <c r="G26" i="11"/>
  <c r="J26" i="11"/>
  <c r="K26" i="11"/>
  <c r="G27" i="11"/>
  <c r="J27" i="11"/>
  <c r="K27" i="11"/>
  <c r="G28" i="11"/>
  <c r="J28" i="11"/>
  <c r="K28" i="11"/>
  <c r="G29" i="11"/>
  <c r="J29" i="11"/>
  <c r="K29" i="11"/>
  <c r="G30" i="11"/>
  <c r="J30" i="11"/>
  <c r="K30" i="11"/>
  <c r="G31" i="11"/>
  <c r="J31" i="11"/>
  <c r="K31" i="11"/>
  <c r="G32" i="11"/>
  <c r="J32" i="11"/>
  <c r="K32" i="11"/>
  <c r="G33" i="11"/>
  <c r="J33" i="11"/>
  <c r="K33" i="11"/>
  <c r="G5" i="10"/>
  <c r="J5" i="10"/>
  <c r="K5" i="10"/>
  <c r="G6" i="10"/>
  <c r="J6" i="10"/>
  <c r="K6" i="10"/>
  <c r="G7" i="10"/>
  <c r="J7" i="10"/>
  <c r="K7" i="10"/>
  <c r="G8" i="10"/>
  <c r="J8" i="10"/>
  <c r="K8" i="10"/>
  <c r="G9" i="10"/>
  <c r="J9" i="10"/>
  <c r="K9" i="10"/>
  <c r="G10" i="10"/>
  <c r="J10" i="10"/>
  <c r="K10" i="10"/>
  <c r="G11" i="10"/>
  <c r="J11" i="10"/>
  <c r="K11" i="10"/>
  <c r="G12" i="10"/>
  <c r="J12" i="10"/>
  <c r="K12" i="10"/>
  <c r="G13" i="10"/>
  <c r="J13" i="10"/>
  <c r="K13" i="10"/>
  <c r="G14" i="10"/>
  <c r="J14" i="10"/>
  <c r="K14" i="10"/>
  <c r="G15" i="10"/>
  <c r="J15" i="10"/>
  <c r="K15" i="10"/>
  <c r="G16" i="10"/>
  <c r="J16" i="10"/>
  <c r="K16" i="10"/>
  <c r="G17" i="10"/>
  <c r="J17" i="10"/>
  <c r="K17" i="10"/>
  <c r="G18" i="10"/>
  <c r="J18" i="10"/>
  <c r="K18" i="10"/>
  <c r="G19" i="10"/>
  <c r="J19" i="10"/>
  <c r="K19" i="10"/>
  <c r="G20" i="10"/>
  <c r="J20" i="10"/>
  <c r="K20" i="10"/>
  <c r="G21" i="10"/>
  <c r="J21" i="10"/>
  <c r="K21" i="10"/>
  <c r="G22" i="10"/>
  <c r="J22" i="10"/>
  <c r="K22" i="10"/>
  <c r="G23" i="10"/>
  <c r="J23" i="10"/>
  <c r="K23" i="10"/>
  <c r="G24" i="10"/>
  <c r="J24" i="10"/>
  <c r="K24" i="10"/>
  <c r="G25" i="10"/>
  <c r="J25" i="10"/>
  <c r="K25" i="10"/>
  <c r="G26" i="10"/>
  <c r="J26" i="10"/>
  <c r="K26" i="10"/>
  <c r="G27" i="10"/>
  <c r="J27" i="10"/>
  <c r="K27" i="10"/>
  <c r="G28" i="10"/>
  <c r="J28" i="10"/>
  <c r="K28" i="10"/>
  <c r="G29" i="10"/>
  <c r="J29" i="10"/>
  <c r="K29" i="10"/>
  <c r="G30" i="10"/>
  <c r="J30" i="10"/>
  <c r="K30" i="10"/>
  <c r="G31" i="10"/>
  <c r="J31" i="10"/>
  <c r="K31" i="10"/>
  <c r="G32" i="10"/>
  <c r="J32" i="10"/>
  <c r="K32" i="10"/>
  <c r="G33" i="10"/>
  <c r="J33" i="10"/>
  <c r="K33" i="10"/>
  <c r="G34" i="10"/>
  <c r="J34" i="10"/>
  <c r="K34" i="10"/>
  <c r="G5" i="23"/>
  <c r="J5" i="23"/>
  <c r="K5" i="23"/>
  <c r="G6" i="23"/>
  <c r="J6" i="23"/>
  <c r="K6" i="23"/>
  <c r="G8" i="23"/>
  <c r="J8" i="23"/>
  <c r="K8" i="23"/>
  <c r="G9" i="23"/>
  <c r="J9" i="23"/>
  <c r="K9" i="23"/>
  <c r="G10" i="23"/>
  <c r="J10" i="23"/>
  <c r="K10" i="23"/>
  <c r="G11" i="23"/>
  <c r="J11" i="23"/>
  <c r="K11" i="23"/>
  <c r="G12" i="23"/>
  <c r="J12" i="23"/>
  <c r="K12" i="23"/>
  <c r="G13" i="23"/>
  <c r="J13" i="23"/>
  <c r="K13" i="23"/>
  <c r="G14" i="23"/>
  <c r="J14" i="23"/>
  <c r="K14" i="23"/>
  <c r="G15" i="23"/>
  <c r="J15" i="23"/>
  <c r="K15" i="23"/>
  <c r="G16" i="23"/>
  <c r="J16" i="23"/>
  <c r="K16" i="23"/>
  <c r="G17" i="23"/>
  <c r="K17" i="23" s="1"/>
  <c r="G18" i="23"/>
  <c r="J18" i="23"/>
  <c r="K18" i="23"/>
  <c r="G19" i="23"/>
  <c r="J19" i="23"/>
  <c r="K19" i="23"/>
  <c r="G20" i="23"/>
  <c r="J20" i="23"/>
  <c r="K20" i="23"/>
  <c r="G21" i="23"/>
  <c r="J21" i="23"/>
  <c r="K21" i="23"/>
  <c r="G22" i="23"/>
  <c r="J22" i="23"/>
  <c r="K22" i="23"/>
  <c r="G23" i="23"/>
  <c r="J23" i="23"/>
  <c r="K23" i="23"/>
  <c r="G24" i="23"/>
  <c r="J24" i="23"/>
  <c r="K24" i="23"/>
  <c r="G25" i="23"/>
  <c r="J25" i="23"/>
  <c r="K25" i="23"/>
  <c r="G26" i="23"/>
  <c r="J26" i="23"/>
  <c r="K26" i="23"/>
  <c r="G27" i="23"/>
  <c r="J27" i="23"/>
  <c r="K27" i="23"/>
  <c r="G28" i="23"/>
  <c r="J28" i="23"/>
  <c r="K28" i="23"/>
  <c r="G29" i="23"/>
  <c r="J29" i="23"/>
  <c r="K29" i="23"/>
  <c r="G30" i="23"/>
  <c r="J30" i="23"/>
  <c r="K30" i="23"/>
  <c r="G31" i="23"/>
  <c r="J31" i="23"/>
  <c r="K31" i="23"/>
  <c r="G32" i="23"/>
  <c r="J32" i="23"/>
  <c r="K32" i="23"/>
  <c r="G33" i="23"/>
  <c r="J33" i="23"/>
  <c r="K33" i="23"/>
  <c r="G34" i="23"/>
  <c r="J34" i="23"/>
  <c r="K34" i="23"/>
  <c r="G35" i="23"/>
  <c r="J35" i="23"/>
  <c r="K35" i="23"/>
  <c r="G5" i="24"/>
  <c r="J5" i="24"/>
  <c r="K5" i="24"/>
  <c r="L5" i="24"/>
  <c r="G6" i="24"/>
  <c r="J6" i="24"/>
  <c r="K6" i="24"/>
  <c r="L6" i="24"/>
  <c r="G7" i="24"/>
  <c r="J7" i="24"/>
  <c r="K7" i="24"/>
  <c r="L7" i="24"/>
  <c r="G8" i="24"/>
  <c r="J8" i="24"/>
  <c r="K8" i="24"/>
  <c r="L8" i="24"/>
  <c r="G9" i="24"/>
  <c r="J9" i="24"/>
  <c r="K9" i="24"/>
  <c r="L9" i="24"/>
  <c r="G10" i="24"/>
  <c r="J10" i="24"/>
  <c r="K10" i="24"/>
  <c r="L10" i="24"/>
  <c r="G11" i="24"/>
  <c r="J11" i="24"/>
  <c r="K11" i="24"/>
  <c r="L11" i="24"/>
  <c r="G12" i="24"/>
  <c r="J12" i="24"/>
  <c r="K12" i="24"/>
  <c r="L12" i="24"/>
  <c r="G13" i="24"/>
  <c r="J13" i="24"/>
  <c r="K13" i="24"/>
  <c r="L13" i="24"/>
  <c r="G14" i="24"/>
  <c r="J14" i="24"/>
  <c r="K14" i="24"/>
  <c r="L14" i="24"/>
  <c r="G15" i="24"/>
  <c r="J15" i="24"/>
  <c r="K15" i="24"/>
  <c r="L15" i="24"/>
  <c r="G16" i="24"/>
  <c r="J16" i="24"/>
  <c r="K16" i="24"/>
  <c r="L16" i="24"/>
  <c r="G17" i="24"/>
  <c r="J17" i="24"/>
  <c r="K17" i="24"/>
  <c r="L17" i="24"/>
  <c r="G18" i="24"/>
  <c r="J18" i="24"/>
  <c r="K18" i="24"/>
  <c r="L18" i="24"/>
  <c r="G19" i="24"/>
  <c r="J19" i="24"/>
  <c r="K19" i="24"/>
  <c r="L19" i="24"/>
  <c r="G20" i="24"/>
  <c r="J20" i="24"/>
  <c r="K20" i="24"/>
  <c r="L20" i="24"/>
  <c r="G21" i="24"/>
  <c r="J21" i="24"/>
  <c r="K21" i="24"/>
  <c r="L21" i="24"/>
  <c r="G22" i="24"/>
  <c r="J22" i="24"/>
  <c r="K22" i="24"/>
  <c r="L22" i="24"/>
  <c r="G23" i="24"/>
  <c r="J23" i="24"/>
  <c r="K23" i="24"/>
  <c r="L23" i="24"/>
  <c r="G24" i="24"/>
  <c r="J24" i="24"/>
  <c r="K24" i="24"/>
  <c r="L24" i="24"/>
  <c r="G25" i="24"/>
  <c r="J25" i="24"/>
  <c r="K25" i="24"/>
  <c r="L25" i="24"/>
  <c r="G26" i="24"/>
  <c r="J26" i="24"/>
  <c r="K26" i="24"/>
  <c r="L26" i="24"/>
  <c r="G27" i="24"/>
  <c r="K27" i="24"/>
  <c r="L27" i="24"/>
  <c r="G28" i="24"/>
  <c r="K28" i="24"/>
  <c r="L28" i="24"/>
  <c r="G29" i="24"/>
  <c r="J29" i="24"/>
  <c r="K29" i="24"/>
  <c r="L29" i="24"/>
  <c r="G30" i="24"/>
  <c r="J30" i="24"/>
  <c r="K30" i="24"/>
  <c r="L30" i="24"/>
  <c r="G31" i="24"/>
  <c r="J31" i="24"/>
  <c r="K31" i="24"/>
  <c r="L31" i="24"/>
  <c r="G32" i="24"/>
  <c r="J32" i="24"/>
  <c r="K32" i="24"/>
  <c r="L32" i="24"/>
  <c r="G33" i="24"/>
  <c r="J33" i="24"/>
  <c r="K33" i="24"/>
  <c r="L33" i="24"/>
  <c r="G5" i="20"/>
  <c r="J5" i="20"/>
  <c r="K5" i="20"/>
  <c r="L5" i="20"/>
  <c r="G6" i="20"/>
  <c r="J6" i="20"/>
  <c r="K6" i="20"/>
  <c r="L6" i="20"/>
  <c r="G7" i="20"/>
  <c r="J7" i="20"/>
  <c r="K7" i="20"/>
  <c r="L7" i="20"/>
  <c r="G8" i="20"/>
  <c r="J8" i="20"/>
  <c r="K8" i="20"/>
  <c r="L8" i="20"/>
  <c r="G9" i="20"/>
  <c r="J9" i="20"/>
  <c r="K9" i="20"/>
  <c r="L9" i="20"/>
  <c r="G10" i="20"/>
  <c r="J10" i="20"/>
  <c r="K10" i="20"/>
  <c r="L10" i="20"/>
  <c r="G11" i="20"/>
  <c r="J11" i="20"/>
  <c r="K11" i="20"/>
  <c r="L11" i="20"/>
  <c r="G12" i="20"/>
  <c r="J12" i="20"/>
  <c r="K12" i="20"/>
  <c r="L12" i="20"/>
  <c r="G13" i="20"/>
  <c r="J13" i="20"/>
  <c r="K13" i="20"/>
  <c r="L13" i="20"/>
  <c r="G14" i="20"/>
  <c r="J14" i="20"/>
  <c r="K14" i="20"/>
  <c r="L14" i="20"/>
  <c r="G15" i="20"/>
  <c r="J15" i="20"/>
  <c r="K15" i="20"/>
  <c r="L15" i="20"/>
  <c r="G16" i="20"/>
  <c r="J16" i="20"/>
  <c r="K16" i="20"/>
  <c r="L16" i="20"/>
  <c r="G17" i="20"/>
  <c r="J17" i="20"/>
  <c r="K17" i="20"/>
  <c r="L17" i="20"/>
  <c r="G18" i="20"/>
  <c r="J18" i="20"/>
  <c r="K18" i="20"/>
  <c r="L18" i="20"/>
  <c r="G19" i="20"/>
  <c r="J19" i="20"/>
  <c r="K19" i="20"/>
  <c r="L19" i="20"/>
  <c r="G20" i="20"/>
  <c r="J20" i="20"/>
  <c r="K20" i="20"/>
  <c r="L20" i="20"/>
  <c r="G21" i="20"/>
  <c r="J21" i="20"/>
  <c r="K21" i="20"/>
  <c r="L21" i="20"/>
  <c r="G22" i="20"/>
  <c r="J22" i="20"/>
  <c r="K22" i="20"/>
  <c r="L22" i="20"/>
  <c r="G23" i="20"/>
  <c r="J23" i="20"/>
  <c r="K23" i="20"/>
  <c r="L23" i="20"/>
  <c r="G24" i="20"/>
  <c r="J24" i="20"/>
  <c r="K24" i="20"/>
  <c r="L24" i="20"/>
  <c r="G25" i="20"/>
  <c r="K25" i="20"/>
  <c r="L25" i="20"/>
  <c r="G26" i="20"/>
  <c r="J26" i="20"/>
  <c r="K26" i="20"/>
  <c r="L26" i="20"/>
  <c r="G27" i="20"/>
  <c r="J27" i="20"/>
  <c r="K27" i="20"/>
  <c r="L27" i="20"/>
  <c r="G28" i="20"/>
  <c r="J28" i="20"/>
  <c r="K28" i="20"/>
  <c r="L28" i="20"/>
  <c r="G29" i="20"/>
  <c r="J29" i="20"/>
  <c r="K29" i="20"/>
  <c r="L29" i="20"/>
  <c r="G30" i="20"/>
  <c r="J30" i="20"/>
  <c r="K30" i="20"/>
  <c r="L30" i="20"/>
  <c r="G31" i="20"/>
  <c r="J31" i="20"/>
  <c r="K31" i="20"/>
  <c r="L31" i="20"/>
  <c r="G32" i="20"/>
  <c r="J32" i="20"/>
  <c r="K32" i="20"/>
  <c r="L32" i="20"/>
  <c r="G33" i="20"/>
  <c r="J33" i="20"/>
  <c r="K33" i="20"/>
  <c r="L33" i="20"/>
  <c r="G5" i="16"/>
  <c r="J5" i="16"/>
  <c r="K5" i="16"/>
  <c r="G6" i="16"/>
  <c r="J6" i="16"/>
  <c r="K6" i="16"/>
  <c r="G7" i="16"/>
  <c r="J7" i="16"/>
  <c r="K7" i="16"/>
  <c r="G8" i="16"/>
  <c r="J8" i="16"/>
  <c r="K8" i="16"/>
  <c r="G9" i="16"/>
  <c r="J9" i="16"/>
  <c r="K9" i="16"/>
  <c r="G10" i="16"/>
  <c r="J10" i="16"/>
  <c r="K10" i="16"/>
  <c r="G11" i="16"/>
  <c r="J11" i="16"/>
  <c r="K11" i="16"/>
  <c r="G12" i="16"/>
  <c r="J12" i="16"/>
  <c r="K12" i="16"/>
  <c r="G13" i="16"/>
  <c r="J13" i="16"/>
  <c r="K13" i="16"/>
  <c r="G14" i="16"/>
  <c r="J14" i="16"/>
  <c r="K14" i="16"/>
  <c r="G15" i="16"/>
  <c r="J15" i="16"/>
  <c r="K15" i="16"/>
  <c r="G16" i="16"/>
  <c r="J16" i="16"/>
  <c r="K16" i="16"/>
  <c r="G17" i="16"/>
  <c r="J17" i="16"/>
  <c r="K17" i="16"/>
  <c r="G18" i="16"/>
  <c r="J18" i="16"/>
  <c r="K18" i="16"/>
  <c r="G19" i="16"/>
  <c r="J19" i="16"/>
  <c r="K19" i="16"/>
  <c r="G20" i="16"/>
  <c r="J20" i="16"/>
  <c r="K20" i="16"/>
  <c r="G21" i="16"/>
  <c r="J21" i="16"/>
  <c r="K21" i="16"/>
  <c r="G22" i="16"/>
  <c r="J22" i="16"/>
  <c r="K22" i="16"/>
  <c r="G23" i="16"/>
  <c r="J23" i="16"/>
  <c r="K23" i="16"/>
  <c r="G24" i="16"/>
  <c r="J24" i="16"/>
  <c r="K24" i="16"/>
  <c r="G25" i="16"/>
  <c r="J25" i="16"/>
  <c r="K25" i="16"/>
  <c r="G26" i="16"/>
  <c r="J26" i="16"/>
  <c r="K26" i="16"/>
  <c r="G27" i="16"/>
  <c r="J27" i="16"/>
  <c r="K27" i="16"/>
  <c r="G28" i="16"/>
  <c r="J28" i="16"/>
  <c r="K28" i="16"/>
  <c r="G29" i="16"/>
  <c r="J29" i="16"/>
  <c r="K29" i="16"/>
  <c r="G30" i="16"/>
  <c r="J30" i="16"/>
  <c r="K30" i="16"/>
  <c r="G31" i="16"/>
  <c r="J31" i="16"/>
  <c r="K31" i="16"/>
  <c r="G32" i="16"/>
  <c r="J32" i="16"/>
  <c r="K32" i="16"/>
  <c r="G33" i="16"/>
  <c r="J33" i="16"/>
  <c r="K33" i="16"/>
  <c r="G34" i="16"/>
  <c r="J34" i="16"/>
  <c r="K34" i="16"/>
  <c r="M3" i="16"/>
  <c r="M3" i="3"/>
  <c r="M4" i="3"/>
  <c r="G5" i="3"/>
  <c r="J5" i="3"/>
  <c r="K5" i="3"/>
  <c r="G6" i="3"/>
  <c r="J6" i="3"/>
  <c r="K6" i="3"/>
  <c r="G7" i="3"/>
  <c r="J7" i="3"/>
  <c r="K7" i="3"/>
  <c r="G8" i="3"/>
  <c r="J8" i="3"/>
  <c r="K8" i="3"/>
  <c r="G9" i="3"/>
  <c r="J9" i="3"/>
  <c r="K9" i="3"/>
  <c r="G10" i="3"/>
  <c r="J10" i="3"/>
  <c r="K10" i="3"/>
  <c r="G11" i="3"/>
  <c r="J11" i="3"/>
  <c r="K11" i="3"/>
  <c r="G12" i="3"/>
  <c r="J12" i="3"/>
  <c r="K12" i="3"/>
  <c r="G13" i="3"/>
  <c r="J13" i="3"/>
  <c r="K13" i="3"/>
  <c r="G14" i="3"/>
  <c r="J14" i="3"/>
  <c r="K14" i="3"/>
  <c r="G15" i="3"/>
  <c r="J15" i="3"/>
  <c r="K15" i="3"/>
  <c r="G16" i="3"/>
  <c r="J16" i="3"/>
  <c r="K16" i="3"/>
  <c r="G17" i="3"/>
  <c r="J17" i="3"/>
  <c r="K17" i="3"/>
  <c r="G18" i="3"/>
  <c r="J18" i="3"/>
  <c r="K18" i="3"/>
  <c r="G19" i="3"/>
  <c r="J19" i="3"/>
  <c r="K19" i="3"/>
  <c r="G20" i="3"/>
  <c r="J20" i="3"/>
  <c r="K20" i="3"/>
  <c r="G21" i="3"/>
  <c r="J21" i="3"/>
  <c r="K21" i="3"/>
  <c r="G22" i="3"/>
  <c r="J22" i="3"/>
  <c r="K22" i="3"/>
  <c r="G23" i="3"/>
  <c r="J23" i="3"/>
  <c r="K23" i="3"/>
  <c r="G24" i="3"/>
  <c r="J24" i="3"/>
  <c r="K24" i="3"/>
  <c r="G25" i="3"/>
  <c r="J25" i="3"/>
  <c r="K25" i="3"/>
  <c r="G26" i="3"/>
  <c r="J26" i="3"/>
  <c r="K26" i="3"/>
  <c r="G27" i="3"/>
  <c r="J27" i="3"/>
  <c r="K27" i="3"/>
  <c r="G28" i="3"/>
  <c r="J28" i="3"/>
  <c r="K28" i="3"/>
  <c r="G29" i="3"/>
  <c r="J29" i="3"/>
  <c r="K29" i="3"/>
  <c r="G30" i="3"/>
  <c r="J30" i="3"/>
  <c r="K30" i="3"/>
  <c r="G31" i="3"/>
  <c r="J31" i="3"/>
  <c r="K31" i="3"/>
  <c r="G32" i="3"/>
  <c r="J32" i="3"/>
  <c r="K32" i="3"/>
  <c r="G33" i="3"/>
  <c r="J33" i="3"/>
  <c r="K33" i="3"/>
  <c r="G34" i="3"/>
  <c r="J34" i="3"/>
  <c r="K34" i="3"/>
  <c r="G5" i="7"/>
  <c r="J5" i="7"/>
  <c r="G6" i="7"/>
  <c r="J6" i="7"/>
  <c r="G7" i="7"/>
  <c r="J7" i="7"/>
  <c r="G8" i="7"/>
  <c r="J8" i="7"/>
  <c r="G9" i="7"/>
  <c r="J9" i="7"/>
  <c r="G10" i="7"/>
  <c r="J10" i="7"/>
  <c r="G11" i="7"/>
  <c r="J11" i="7"/>
  <c r="G12" i="7"/>
  <c r="J12" i="7"/>
  <c r="G13" i="7"/>
  <c r="J13" i="7"/>
  <c r="G14" i="7"/>
  <c r="J14" i="7"/>
  <c r="G15" i="7"/>
  <c r="J15" i="7"/>
  <c r="G16" i="7"/>
  <c r="J16" i="7"/>
  <c r="G17" i="7"/>
  <c r="J17" i="7"/>
  <c r="G18" i="7"/>
  <c r="J18" i="7"/>
  <c r="G19" i="7"/>
  <c r="J19" i="7"/>
  <c r="G20" i="7"/>
  <c r="J20" i="7"/>
  <c r="G21" i="7"/>
  <c r="J21" i="7"/>
  <c r="G22" i="7"/>
  <c r="J22" i="7"/>
  <c r="G23" i="7"/>
  <c r="J23" i="7"/>
  <c r="G24" i="7"/>
  <c r="J24" i="7"/>
  <c r="G25" i="7"/>
  <c r="J25" i="7"/>
  <c r="G26" i="7"/>
  <c r="J26" i="7"/>
  <c r="G27" i="7"/>
  <c r="J27" i="7"/>
  <c r="G28" i="7"/>
  <c r="J28" i="7"/>
  <c r="G29" i="7"/>
  <c r="J29" i="7"/>
  <c r="G30" i="7"/>
  <c r="J30" i="7"/>
  <c r="G31" i="7"/>
  <c r="J31" i="7"/>
  <c r="G32" i="7"/>
  <c r="J32" i="7"/>
  <c r="G33" i="7"/>
  <c r="J33" i="7"/>
  <c r="J5" i="52"/>
  <c r="K5" i="52"/>
  <c r="J6" i="52"/>
  <c r="K6" i="52"/>
  <c r="J7" i="52"/>
  <c r="K7" i="52"/>
  <c r="J8" i="52"/>
  <c r="K8" i="52"/>
  <c r="J9" i="52"/>
  <c r="K9" i="52"/>
  <c r="J10" i="52"/>
  <c r="K10" i="52"/>
  <c r="J11" i="52"/>
  <c r="K11" i="52"/>
  <c r="J12" i="52"/>
  <c r="K12" i="52"/>
  <c r="J13" i="52"/>
  <c r="K13" i="52"/>
  <c r="J14" i="52"/>
  <c r="K14" i="52"/>
  <c r="J15" i="52"/>
  <c r="K15" i="52"/>
  <c r="J16" i="52"/>
  <c r="K16" i="52"/>
  <c r="J17" i="52"/>
  <c r="K17" i="52"/>
  <c r="J18" i="52"/>
  <c r="K18" i="52"/>
  <c r="J19" i="52"/>
  <c r="K19" i="52"/>
  <c r="J20" i="52"/>
  <c r="K20" i="52"/>
  <c r="J21" i="52"/>
  <c r="K21" i="52"/>
  <c r="J22" i="52"/>
  <c r="K22" i="52"/>
  <c r="J23" i="52"/>
  <c r="K23" i="52"/>
  <c r="J24" i="52"/>
  <c r="K24" i="52"/>
  <c r="J25" i="52"/>
  <c r="K25" i="52"/>
  <c r="J26" i="52"/>
  <c r="K26" i="52"/>
  <c r="J27" i="52"/>
  <c r="K27" i="52"/>
  <c r="J28" i="52"/>
  <c r="K28" i="52"/>
  <c r="J29" i="52"/>
  <c r="K29" i="52"/>
  <c r="J30" i="52"/>
  <c r="K30" i="52"/>
  <c r="J31" i="52"/>
  <c r="K31" i="52"/>
  <c r="J32" i="52"/>
  <c r="K32" i="52"/>
  <c r="J33" i="52"/>
  <c r="K33" i="52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G5" i="2"/>
  <c r="J5" i="2"/>
  <c r="K5" i="2"/>
  <c r="G6" i="2"/>
  <c r="J6" i="2"/>
  <c r="K6" i="2"/>
  <c r="G7" i="2"/>
  <c r="J7" i="2"/>
  <c r="K7" i="2"/>
  <c r="G8" i="2"/>
  <c r="J8" i="2"/>
  <c r="K8" i="2"/>
  <c r="G9" i="2"/>
  <c r="J9" i="2"/>
  <c r="K9" i="2"/>
  <c r="G10" i="2"/>
  <c r="J10" i="2"/>
  <c r="K10" i="2"/>
  <c r="G11" i="2"/>
  <c r="J11" i="2"/>
  <c r="K11" i="2"/>
  <c r="J12" i="2"/>
  <c r="K12" i="2"/>
  <c r="G13" i="2"/>
  <c r="J13" i="2"/>
  <c r="K13" i="2"/>
  <c r="G14" i="2"/>
  <c r="J14" i="2"/>
  <c r="K14" i="2"/>
  <c r="G15" i="2"/>
  <c r="J15" i="2"/>
  <c r="K15" i="2"/>
  <c r="G16" i="2"/>
  <c r="J16" i="2"/>
  <c r="K16" i="2"/>
  <c r="G17" i="2"/>
  <c r="J17" i="2"/>
  <c r="K17" i="2"/>
  <c r="G18" i="2"/>
  <c r="J18" i="2"/>
  <c r="K18" i="2"/>
  <c r="G19" i="2"/>
  <c r="J19" i="2"/>
  <c r="K19" i="2"/>
  <c r="G20" i="2"/>
  <c r="J20" i="2"/>
  <c r="K20" i="2"/>
  <c r="G21" i="2"/>
  <c r="J21" i="2"/>
  <c r="K21" i="2"/>
  <c r="G22" i="2"/>
  <c r="J22" i="2"/>
  <c r="K22" i="2"/>
  <c r="G23" i="2"/>
  <c r="J23" i="2"/>
  <c r="K23" i="2"/>
  <c r="G24" i="2"/>
  <c r="J24" i="2"/>
  <c r="K24" i="2"/>
  <c r="G25" i="2"/>
  <c r="J25" i="2"/>
  <c r="K25" i="2"/>
  <c r="G26" i="2"/>
  <c r="J26" i="2"/>
  <c r="K26" i="2"/>
  <c r="G27" i="2"/>
  <c r="J27" i="2"/>
  <c r="K27" i="2"/>
  <c r="G28" i="2"/>
  <c r="J28" i="2"/>
  <c r="K28" i="2"/>
  <c r="G29" i="2"/>
  <c r="J29" i="2"/>
  <c r="K29" i="2"/>
  <c r="G30" i="2"/>
  <c r="J30" i="2"/>
  <c r="K30" i="2"/>
  <c r="G31" i="2"/>
  <c r="J31" i="2"/>
  <c r="K31" i="2"/>
  <c r="G32" i="2"/>
  <c r="J32" i="2"/>
  <c r="K32" i="2"/>
  <c r="G33" i="2"/>
  <c r="J33" i="2"/>
  <c r="G34" i="2"/>
  <c r="J34" i="2"/>
  <c r="K34" i="2"/>
  <c r="G35" i="2"/>
  <c r="J35" i="2"/>
  <c r="K35" i="2"/>
  <c r="G5" i="32"/>
  <c r="K5" i="32"/>
  <c r="G6" i="32"/>
  <c r="K6" i="32"/>
  <c r="G8" i="32"/>
  <c r="K8" i="32"/>
  <c r="G9" i="32"/>
  <c r="K9" i="32"/>
  <c r="G10" i="32"/>
  <c r="K10" i="32"/>
  <c r="G11" i="32"/>
  <c r="K11" i="32"/>
  <c r="G12" i="32"/>
  <c r="K12" i="32"/>
  <c r="G13" i="32"/>
  <c r="K13" i="32"/>
  <c r="G14" i="32"/>
  <c r="K14" i="32"/>
  <c r="G15" i="32"/>
  <c r="K15" i="32"/>
  <c r="G16" i="32"/>
  <c r="K16" i="32"/>
  <c r="G17" i="32"/>
  <c r="K17" i="32"/>
  <c r="G18" i="32"/>
  <c r="K18" i="32"/>
  <c r="G19" i="32"/>
  <c r="K19" i="32"/>
  <c r="G20" i="32"/>
  <c r="K20" i="32"/>
  <c r="G21" i="32"/>
  <c r="K21" i="32"/>
  <c r="G22" i="32"/>
  <c r="K22" i="32"/>
  <c r="G23" i="32"/>
  <c r="K23" i="32"/>
  <c r="G24" i="32"/>
  <c r="K24" i="32"/>
  <c r="G25" i="32"/>
  <c r="K25" i="32"/>
  <c r="G26" i="32"/>
  <c r="K26" i="32"/>
  <c r="G27" i="32"/>
  <c r="K27" i="32"/>
  <c r="G28" i="32"/>
  <c r="K28" i="32"/>
  <c r="G29" i="32"/>
  <c r="K29" i="32"/>
  <c r="G30" i="32"/>
  <c r="K30" i="32"/>
  <c r="G31" i="32"/>
  <c r="K31" i="32"/>
  <c r="G32" i="32"/>
  <c r="K32" i="32"/>
  <c r="G33" i="32"/>
  <c r="K33" i="32"/>
  <c r="G34" i="32"/>
  <c r="K34" i="32"/>
  <c r="G35" i="32"/>
  <c r="K35" i="32"/>
  <c r="G36" i="32"/>
  <c r="K36" i="32"/>
  <c r="G37" i="32"/>
  <c r="K37" i="32"/>
  <c r="G38" i="32"/>
  <c r="K38" i="32"/>
  <c r="G39" i="32"/>
  <c r="K39" i="32"/>
  <c r="G5" i="54"/>
  <c r="J5" i="54"/>
  <c r="K5" i="54"/>
  <c r="G6" i="54"/>
  <c r="J6" i="54"/>
  <c r="K6" i="54"/>
  <c r="G7" i="54"/>
  <c r="J7" i="54"/>
  <c r="K7" i="54"/>
  <c r="G8" i="54"/>
  <c r="J8" i="54"/>
  <c r="K8" i="54"/>
  <c r="G9" i="54"/>
  <c r="J9" i="54"/>
  <c r="K9" i="54"/>
  <c r="G10" i="54"/>
  <c r="J10" i="54"/>
  <c r="K10" i="54"/>
  <c r="G11" i="54"/>
  <c r="J11" i="54"/>
  <c r="K11" i="54"/>
  <c r="G12" i="54"/>
  <c r="J12" i="54"/>
  <c r="K12" i="54"/>
  <c r="G13" i="54"/>
  <c r="J13" i="54"/>
  <c r="K13" i="54"/>
  <c r="G14" i="54"/>
  <c r="J14" i="54"/>
  <c r="K14" i="54"/>
  <c r="G15" i="54"/>
  <c r="J15" i="54"/>
  <c r="K15" i="54"/>
  <c r="G16" i="54"/>
  <c r="J16" i="54"/>
  <c r="K16" i="54"/>
  <c r="G17" i="54"/>
  <c r="J17" i="54"/>
  <c r="K17" i="54"/>
  <c r="G18" i="54"/>
  <c r="J18" i="54"/>
  <c r="K18" i="54"/>
  <c r="G19" i="54"/>
  <c r="J19" i="54"/>
  <c r="K19" i="54"/>
  <c r="G20" i="54"/>
  <c r="J20" i="54"/>
  <c r="K20" i="54"/>
  <c r="G21" i="54"/>
  <c r="J21" i="54"/>
  <c r="K21" i="54"/>
  <c r="G22" i="54"/>
  <c r="J22" i="54"/>
  <c r="K22" i="54"/>
  <c r="G23" i="54"/>
  <c r="J23" i="54"/>
  <c r="K23" i="54"/>
  <c r="G24" i="54"/>
  <c r="J24" i="54"/>
  <c r="K24" i="54"/>
  <c r="G25" i="54"/>
  <c r="J25" i="54"/>
  <c r="K25" i="54"/>
  <c r="G26" i="54"/>
  <c r="J26" i="54"/>
  <c r="K26" i="54"/>
  <c r="G27" i="54"/>
  <c r="J27" i="54"/>
  <c r="K27" i="54"/>
  <c r="G28" i="54"/>
  <c r="J28" i="54"/>
  <c r="K28" i="54"/>
  <c r="G29" i="54"/>
  <c r="J29" i="54"/>
  <c r="K29" i="54"/>
  <c r="G30" i="54"/>
  <c r="J30" i="54"/>
  <c r="K30" i="54"/>
  <c r="G31" i="54"/>
  <c r="J31" i="54"/>
  <c r="K31" i="54"/>
  <c r="G32" i="54"/>
  <c r="J32" i="54"/>
  <c r="K32" i="54"/>
  <c r="G33" i="54"/>
  <c r="J33" i="54"/>
  <c r="K33" i="54"/>
  <c r="G34" i="54"/>
  <c r="J34" i="54"/>
  <c r="K34" i="54"/>
  <c r="J5" i="18"/>
  <c r="K5" i="18"/>
  <c r="J6" i="18"/>
  <c r="K6" i="18"/>
  <c r="J7" i="18"/>
  <c r="K7" i="18"/>
  <c r="J8" i="18"/>
  <c r="K8" i="18"/>
  <c r="J9" i="18"/>
  <c r="K9" i="18"/>
  <c r="J10" i="18"/>
  <c r="K10" i="18"/>
  <c r="J11" i="18"/>
  <c r="K11" i="18"/>
  <c r="J12" i="18"/>
  <c r="K12" i="18"/>
  <c r="J13" i="18"/>
  <c r="K13" i="18"/>
  <c r="J14" i="18"/>
  <c r="K14" i="18"/>
  <c r="J15" i="18"/>
  <c r="K15" i="18"/>
  <c r="J16" i="18"/>
  <c r="K16" i="18"/>
  <c r="J17" i="18"/>
  <c r="K17" i="18"/>
  <c r="J18" i="18"/>
  <c r="K18" i="18"/>
  <c r="J19" i="18"/>
  <c r="K19" i="18"/>
  <c r="J20" i="18"/>
  <c r="K20" i="18"/>
  <c r="J21" i="18"/>
  <c r="K21" i="18"/>
  <c r="J22" i="18"/>
  <c r="K22" i="18"/>
  <c r="J23" i="18"/>
  <c r="K23" i="18"/>
  <c r="J24" i="18"/>
  <c r="K24" i="18"/>
  <c r="J25" i="18"/>
  <c r="K25" i="18"/>
  <c r="J26" i="18"/>
  <c r="K26" i="18"/>
  <c r="J27" i="18"/>
  <c r="K27" i="18"/>
  <c r="J28" i="18"/>
  <c r="K28" i="18"/>
  <c r="J29" i="18"/>
  <c r="K29" i="18"/>
  <c r="J30" i="18"/>
  <c r="K30" i="18"/>
  <c r="J31" i="18"/>
  <c r="K31" i="18"/>
  <c r="J32" i="18"/>
  <c r="K32" i="18"/>
  <c r="J33" i="18"/>
  <c r="K33" i="18"/>
  <c r="J34" i="18"/>
  <c r="K34" i="18"/>
  <c r="J35" i="18"/>
  <c r="K35" i="18"/>
  <c r="G5" i="47"/>
  <c r="K5" i="47"/>
  <c r="G6" i="47"/>
  <c r="K6" i="47"/>
  <c r="G7" i="47"/>
  <c r="K7" i="47"/>
  <c r="G8" i="47"/>
  <c r="K8" i="47"/>
  <c r="G9" i="47"/>
  <c r="K9" i="47"/>
  <c r="G10" i="47"/>
  <c r="K10" i="47" s="1"/>
  <c r="G11" i="47"/>
  <c r="K11" i="47"/>
  <c r="G12" i="47"/>
  <c r="K12" i="47"/>
  <c r="G13" i="47"/>
  <c r="K13" i="47"/>
  <c r="G14" i="47"/>
  <c r="K14" i="47"/>
  <c r="G15" i="47"/>
  <c r="K15" i="47"/>
  <c r="G16" i="47"/>
  <c r="K16" i="47"/>
  <c r="G17" i="47"/>
  <c r="K17" i="47"/>
  <c r="G18" i="47"/>
  <c r="K18" i="47"/>
  <c r="G19" i="47"/>
  <c r="K19" i="47"/>
  <c r="G20" i="47"/>
  <c r="K20" i="47"/>
  <c r="G21" i="47"/>
  <c r="K21" i="47"/>
  <c r="G22" i="47"/>
  <c r="K22" i="47"/>
  <c r="G23" i="47"/>
  <c r="K23" i="47"/>
  <c r="G24" i="47"/>
  <c r="K24" i="47"/>
  <c r="G25" i="47"/>
  <c r="K25" i="47"/>
  <c r="G26" i="47"/>
  <c r="K26" i="47"/>
  <c r="G27" i="47"/>
  <c r="K27" i="47"/>
  <c r="G28" i="47"/>
  <c r="K28" i="47"/>
  <c r="G29" i="47"/>
  <c r="K29" i="47"/>
  <c r="G30" i="47"/>
  <c r="K30" i="47"/>
  <c r="G31" i="47"/>
  <c r="K31" i="47"/>
  <c r="G32" i="47"/>
  <c r="K32" i="47"/>
  <c r="G33" i="47"/>
  <c r="K33" i="47"/>
  <c r="G34" i="47"/>
  <c r="K34" i="47"/>
  <c r="J5" i="50"/>
  <c r="K5" i="50"/>
  <c r="J6" i="50"/>
  <c r="K6" i="50"/>
  <c r="J7" i="50"/>
  <c r="K7" i="50"/>
  <c r="J8" i="50"/>
  <c r="K8" i="50"/>
  <c r="J9" i="50"/>
  <c r="K9" i="50"/>
  <c r="J10" i="50"/>
  <c r="K10" i="50"/>
  <c r="J11" i="50"/>
  <c r="K11" i="50"/>
  <c r="J12" i="50"/>
  <c r="K12" i="50"/>
  <c r="J14" i="50"/>
  <c r="K14" i="50"/>
  <c r="J15" i="50"/>
  <c r="K15" i="50"/>
  <c r="J16" i="50"/>
  <c r="K16" i="50"/>
  <c r="J17" i="50"/>
  <c r="K17" i="50"/>
  <c r="J18" i="50"/>
  <c r="K18" i="50"/>
  <c r="J19" i="50"/>
  <c r="K19" i="50"/>
  <c r="J20" i="50"/>
  <c r="K20" i="50"/>
  <c r="J22" i="50"/>
  <c r="K22" i="50"/>
  <c r="J23" i="50"/>
  <c r="K23" i="50"/>
  <c r="J24" i="50"/>
  <c r="K24" i="50"/>
  <c r="J25" i="50"/>
  <c r="K25" i="50"/>
  <c r="J26" i="50"/>
  <c r="K26" i="50"/>
  <c r="J27" i="50"/>
  <c r="K27" i="50"/>
  <c r="J28" i="50"/>
  <c r="K28" i="50"/>
  <c r="J29" i="50"/>
  <c r="K29" i="50"/>
  <c r="J30" i="50"/>
  <c r="K30" i="50"/>
  <c r="J31" i="50"/>
  <c r="K31" i="50"/>
  <c r="J32" i="50"/>
  <c r="K32" i="50"/>
  <c r="J33" i="50"/>
  <c r="K33" i="50"/>
  <c r="J34" i="50"/>
  <c r="K34" i="50"/>
  <c r="J35" i="50"/>
  <c r="K35" i="50"/>
  <c r="J36" i="50"/>
  <c r="K36" i="50"/>
  <c r="G37" i="50"/>
  <c r="J37" i="50"/>
  <c r="K37" i="50"/>
  <c r="G4" i="50"/>
  <c r="J4" i="50"/>
  <c r="K4" i="50"/>
  <c r="G5" i="6"/>
  <c r="J5" i="6"/>
  <c r="K5" i="6"/>
  <c r="G6" i="6"/>
  <c r="J6" i="6"/>
  <c r="K6" i="6"/>
  <c r="G7" i="6"/>
  <c r="J7" i="6"/>
  <c r="K7" i="6"/>
  <c r="G8" i="6"/>
  <c r="J8" i="6"/>
  <c r="K8" i="6"/>
  <c r="G9" i="6"/>
  <c r="J9" i="6"/>
  <c r="K9" i="6"/>
  <c r="G10" i="6"/>
  <c r="J10" i="6"/>
  <c r="K10" i="6"/>
  <c r="G11" i="6"/>
  <c r="J11" i="6"/>
  <c r="K11" i="6"/>
  <c r="G12" i="6"/>
  <c r="J12" i="6"/>
  <c r="K12" i="6"/>
  <c r="G13" i="6"/>
  <c r="J13" i="6"/>
  <c r="K13" i="6"/>
  <c r="G14" i="6"/>
  <c r="J14" i="6"/>
  <c r="K14" i="6"/>
  <c r="G15" i="6"/>
  <c r="J15" i="6"/>
  <c r="K15" i="6"/>
  <c r="G16" i="6"/>
  <c r="J16" i="6"/>
  <c r="K16" i="6"/>
  <c r="G17" i="6"/>
  <c r="J17" i="6"/>
  <c r="K17" i="6"/>
  <c r="G18" i="6"/>
  <c r="J18" i="6"/>
  <c r="K18" i="6"/>
  <c r="G19" i="6"/>
  <c r="J19" i="6"/>
  <c r="K19" i="6"/>
  <c r="G20" i="6"/>
  <c r="J20" i="6"/>
  <c r="K20" i="6"/>
  <c r="G21" i="6"/>
  <c r="J21" i="6"/>
  <c r="K21" i="6"/>
  <c r="G22" i="6"/>
  <c r="J22" i="6"/>
  <c r="K22" i="6"/>
  <c r="G23" i="6"/>
  <c r="J23" i="6"/>
  <c r="K23" i="6"/>
  <c r="G24" i="6"/>
  <c r="J24" i="6"/>
  <c r="K24" i="6"/>
  <c r="G25" i="6"/>
  <c r="J25" i="6"/>
  <c r="K25" i="6"/>
  <c r="G26" i="6"/>
  <c r="J26" i="6"/>
  <c r="K26" i="6"/>
  <c r="G27" i="6"/>
  <c r="J27" i="6"/>
  <c r="K27" i="6"/>
  <c r="G28" i="6"/>
  <c r="J28" i="6"/>
  <c r="K28" i="6"/>
  <c r="G29" i="6"/>
  <c r="J29" i="6"/>
  <c r="K29" i="6"/>
  <c r="G30" i="6"/>
  <c r="J30" i="6"/>
  <c r="K30" i="6"/>
  <c r="G31" i="6"/>
  <c r="J31" i="6"/>
  <c r="K31" i="6"/>
  <c r="G32" i="6"/>
  <c r="J32" i="6"/>
  <c r="K32" i="6"/>
  <c r="G33" i="6"/>
  <c r="J33" i="6"/>
  <c r="K33" i="6"/>
  <c r="G34" i="6"/>
  <c r="J34" i="6"/>
  <c r="K34" i="6"/>
  <c r="G35" i="6"/>
  <c r="J35" i="6"/>
  <c r="K35" i="6"/>
  <c r="G35" i="16"/>
  <c r="J35" i="16"/>
  <c r="K35" i="16"/>
  <c r="H35" i="9"/>
  <c r="K5" i="58"/>
  <c r="L5" i="58"/>
  <c r="K6" i="58"/>
  <c r="L6" i="58"/>
  <c r="K7" i="58"/>
  <c r="L7" i="58"/>
  <c r="K8" i="58"/>
  <c r="L8" i="58"/>
  <c r="K9" i="58"/>
  <c r="L9" i="58"/>
  <c r="K10" i="58"/>
  <c r="L10" i="58"/>
  <c r="K11" i="58"/>
  <c r="L11" i="58"/>
  <c r="K12" i="58"/>
  <c r="L12" i="58"/>
  <c r="K13" i="58"/>
  <c r="L13" i="58"/>
  <c r="K14" i="58"/>
  <c r="L14" i="58"/>
  <c r="K15" i="58"/>
  <c r="L15" i="58"/>
  <c r="K16" i="58"/>
  <c r="L16" i="58"/>
  <c r="K17" i="58"/>
  <c r="L17" i="58"/>
  <c r="K18" i="58"/>
  <c r="L18" i="58"/>
  <c r="K19" i="58"/>
  <c r="L19" i="58"/>
  <c r="K20" i="58"/>
  <c r="L20" i="58"/>
  <c r="K21" i="58"/>
  <c r="L21" i="58"/>
  <c r="K22" i="58"/>
  <c r="L22" i="58"/>
  <c r="K23" i="58"/>
  <c r="L23" i="58"/>
  <c r="K24" i="58"/>
  <c r="L24" i="58"/>
  <c r="K25" i="58"/>
  <c r="L25" i="58"/>
  <c r="K26" i="58"/>
  <c r="L26" i="58"/>
  <c r="K27" i="58"/>
  <c r="L27" i="58"/>
  <c r="K28" i="58"/>
  <c r="L28" i="58"/>
  <c r="K29" i="58"/>
  <c r="L29" i="58"/>
  <c r="K30" i="58"/>
  <c r="L30" i="58"/>
  <c r="K31" i="58"/>
  <c r="L31" i="58"/>
  <c r="K32" i="58"/>
  <c r="L32" i="58"/>
  <c r="K33" i="58"/>
  <c r="L33" i="58"/>
  <c r="G34" i="58"/>
  <c r="J34" i="58"/>
  <c r="K34" i="58"/>
  <c r="L34" i="58"/>
  <c r="J4" i="58"/>
  <c r="G4" i="58"/>
  <c r="H35" i="58"/>
  <c r="F7" i="56" s="1"/>
  <c r="E35" i="58"/>
  <c r="D7" i="56" s="1"/>
  <c r="J35" i="58"/>
  <c r="G7" i="56" s="1"/>
  <c r="J35" i="36"/>
  <c r="H35" i="36"/>
  <c r="G35" i="36"/>
  <c r="E35" i="36"/>
  <c r="E26" i="56"/>
  <c r="D26" i="56"/>
  <c r="E42" i="22"/>
  <c r="H35" i="19"/>
  <c r="E35" i="19"/>
  <c r="H43" i="51"/>
  <c r="E43" i="51"/>
  <c r="F39" i="56"/>
  <c r="D39" i="56"/>
  <c r="F38" i="56"/>
  <c r="D38" i="56"/>
  <c r="D37" i="56"/>
  <c r="D36" i="56"/>
  <c r="E44" i="33"/>
  <c r="D35" i="56" s="1"/>
  <c r="F34" i="56"/>
  <c r="E35" i="9"/>
  <c r="D34" i="56" s="1"/>
  <c r="F33" i="56"/>
  <c r="E45" i="26"/>
  <c r="D33" i="56" s="1"/>
  <c r="H35" i="57"/>
  <c r="F32" i="56" s="1"/>
  <c r="E35" i="57"/>
  <c r="D32" i="56" s="1"/>
  <c r="J4" i="57"/>
  <c r="J35" i="57" s="1"/>
  <c r="G32" i="56" s="1"/>
  <c r="G4" i="57"/>
  <c r="J30" i="56"/>
  <c r="F30" i="56"/>
  <c r="E40" i="41"/>
  <c r="D30" i="56" s="1"/>
  <c r="E35" i="12"/>
  <c r="L35" i="12"/>
  <c r="J28" i="56"/>
  <c r="F28" i="56"/>
  <c r="D28" i="56"/>
  <c r="H42" i="22"/>
  <c r="F23" i="56"/>
  <c r="D23" i="56"/>
  <c r="E35" i="20"/>
  <c r="D15" i="56" s="1"/>
  <c r="I9" i="56"/>
  <c r="H47" i="34"/>
  <c r="F36" i="56" s="1"/>
  <c r="D27" i="56"/>
  <c r="D25" i="56"/>
  <c r="E36" i="14"/>
  <c r="D24" i="56" s="1"/>
  <c r="E35" i="25"/>
  <c r="D22" i="56" s="1"/>
  <c r="E35" i="40"/>
  <c r="D21" i="56" s="1"/>
  <c r="D20" i="56"/>
  <c r="L35" i="10"/>
  <c r="J19" i="56" s="1"/>
  <c r="E35" i="10"/>
  <c r="D19" i="56" s="1"/>
  <c r="E35" i="24"/>
  <c r="D16" i="56" s="1"/>
  <c r="E35" i="3"/>
  <c r="D14" i="56" s="1"/>
  <c r="E35" i="7"/>
  <c r="D13" i="56" s="1"/>
  <c r="E36" i="16"/>
  <c r="L36" i="16"/>
  <c r="E38" i="16"/>
  <c r="D12" i="56" s="1"/>
  <c r="E35" i="52"/>
  <c r="D11" i="56" s="1"/>
  <c r="E35" i="1"/>
  <c r="D10" i="56" s="1"/>
  <c r="E36" i="2"/>
  <c r="D9" i="56" s="1"/>
  <c r="E35" i="54"/>
  <c r="D5" i="56" s="1"/>
  <c r="L35" i="9"/>
  <c r="J34" i="56" s="1"/>
  <c r="L35" i="8"/>
  <c r="J29" i="56" s="1"/>
  <c r="F27" i="56"/>
  <c r="F26" i="56"/>
  <c r="L35" i="11"/>
  <c r="J20" i="56" s="1"/>
  <c r="H35" i="11"/>
  <c r="F20" i="56" s="1"/>
  <c r="H35" i="10"/>
  <c r="F19" i="56" s="1"/>
  <c r="G35" i="3"/>
  <c r="E14" i="56" s="1"/>
  <c r="H35" i="3"/>
  <c r="F14" i="56" s="1"/>
  <c r="M5" i="3"/>
  <c r="M6" i="3"/>
  <c r="M7" i="3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L35" i="3"/>
  <c r="J14" i="56" s="1"/>
  <c r="H35" i="7"/>
  <c r="F13" i="56" s="1"/>
  <c r="F38" i="16"/>
  <c r="I38" i="16"/>
  <c r="L36" i="2"/>
  <c r="J9" i="56" s="1"/>
  <c r="H40" i="32"/>
  <c r="F6" i="56" s="1"/>
  <c r="H36" i="18"/>
  <c r="F4" i="56" s="1"/>
  <c r="E36" i="18"/>
  <c r="I3" i="56"/>
  <c r="I2" i="56"/>
  <c r="L39" i="50"/>
  <c r="J2" i="56" s="1"/>
  <c r="H39" i="50"/>
  <c r="F2" i="56" s="1"/>
  <c r="E39" i="50"/>
  <c r="D2" i="56" s="1"/>
  <c r="E36" i="6"/>
  <c r="J43" i="55"/>
  <c r="I43" i="55"/>
  <c r="H43" i="55"/>
  <c r="G43" i="55"/>
  <c r="F43" i="55"/>
  <c r="E43" i="55"/>
  <c r="D43" i="55"/>
  <c r="K38" i="55"/>
  <c r="H38" i="55"/>
  <c r="H42" i="55"/>
  <c r="K42" i="55" s="1"/>
  <c r="H41" i="55"/>
  <c r="K41" i="55" s="1"/>
  <c r="H40" i="55"/>
  <c r="K40" i="55" s="1"/>
  <c r="F37" i="56"/>
  <c r="H39" i="55"/>
  <c r="K39" i="55" s="1"/>
  <c r="H28" i="55"/>
  <c r="H29" i="55"/>
  <c r="H30" i="55"/>
  <c r="H31" i="55"/>
  <c r="H35" i="55"/>
  <c r="H36" i="55"/>
  <c r="H37" i="55"/>
  <c r="K37" i="55" s="1"/>
  <c r="H33" i="55"/>
  <c r="H34" i="55"/>
  <c r="K36" i="55"/>
  <c r="K34" i="55"/>
  <c r="H32" i="55"/>
  <c r="K33" i="55"/>
  <c r="K35" i="55"/>
  <c r="K32" i="55"/>
  <c r="K29" i="55"/>
  <c r="K31" i="55"/>
  <c r="K43" i="55" s="1"/>
  <c r="K30" i="55"/>
  <c r="K28" i="55"/>
  <c r="L35" i="15"/>
  <c r="J25" i="56" s="1"/>
  <c r="H35" i="15"/>
  <c r="F25" i="56" s="1"/>
  <c r="L36" i="14"/>
  <c r="J24" i="56" s="1"/>
  <c r="H27" i="55"/>
  <c r="K27" i="55" s="1"/>
  <c r="H36" i="14"/>
  <c r="F24" i="56" s="1"/>
  <c r="H26" i="55"/>
  <c r="K26" i="55" s="1"/>
  <c r="H25" i="55"/>
  <c r="K25" i="55" s="1"/>
  <c r="F22" i="56"/>
  <c r="H24" i="55"/>
  <c r="K24" i="55" s="1"/>
  <c r="J35" i="40"/>
  <c r="G21" i="56" s="1"/>
  <c r="H35" i="40"/>
  <c r="F21" i="56" s="1"/>
  <c r="H23" i="55"/>
  <c r="K23" i="55" s="1"/>
  <c r="H22" i="55"/>
  <c r="K22" i="55" s="1"/>
  <c r="H21" i="55"/>
  <c r="K21" i="55" s="1"/>
  <c r="F17" i="56"/>
  <c r="H20" i="55"/>
  <c r="K20" i="55" s="1"/>
  <c r="H35" i="24"/>
  <c r="F16" i="56" s="1"/>
  <c r="H19" i="55"/>
  <c r="K19" i="55" s="1"/>
  <c r="H35" i="20"/>
  <c r="F15" i="56" s="1"/>
  <c r="H18" i="55"/>
  <c r="K18" i="55" s="1"/>
  <c r="H17" i="55"/>
  <c r="K17" i="55" s="1"/>
  <c r="H16" i="55"/>
  <c r="K16" i="55" s="1"/>
  <c r="K37" i="16"/>
  <c r="H15" i="55"/>
  <c r="K15" i="55" s="1"/>
  <c r="L35" i="52"/>
  <c r="J11" i="56" s="1"/>
  <c r="H35" i="52"/>
  <c r="F11" i="56" s="1"/>
  <c r="H14" i="55"/>
  <c r="K14" i="55" s="1"/>
  <c r="H35" i="1"/>
  <c r="F10" i="56" s="1"/>
  <c r="G35" i="1"/>
  <c r="E10" i="56" s="1"/>
  <c r="L35" i="1"/>
  <c r="J10" i="56" s="1"/>
  <c r="H13" i="55"/>
  <c r="K13" i="55" s="1"/>
  <c r="F9" i="56"/>
  <c r="H12" i="55"/>
  <c r="K12" i="55" s="1"/>
  <c r="H11" i="55"/>
  <c r="K11" i="55" s="1"/>
  <c r="H10" i="55"/>
  <c r="K10" i="55" s="1"/>
  <c r="D49" i="55"/>
  <c r="H9" i="55"/>
  <c r="H8" i="55"/>
  <c r="K8" i="55" s="1"/>
  <c r="H7" i="55"/>
  <c r="K7" i="55" s="1"/>
  <c r="H6" i="55"/>
  <c r="K6" i="55" s="1"/>
  <c r="H5" i="55"/>
  <c r="K5" i="55" s="1"/>
  <c r="H4" i="55"/>
  <c r="K4" i="55" s="1"/>
  <c r="E35" i="47"/>
  <c r="D3" i="56" s="1"/>
  <c r="L35" i="47"/>
  <c r="J3" i="56" s="1"/>
  <c r="H35" i="47"/>
  <c r="F3" i="56" s="1"/>
  <c r="H3" i="55"/>
  <c r="K3" i="55" s="1"/>
  <c r="L36" i="6"/>
  <c r="H2" i="55"/>
  <c r="K2" i="55" s="1"/>
  <c r="H36" i="6"/>
  <c r="M4" i="51"/>
  <c r="M5" i="51" s="1"/>
  <c r="M6" i="51" s="1"/>
  <c r="M7" i="51" s="1"/>
  <c r="M8" i="51" s="1"/>
  <c r="M9" i="51" s="1"/>
  <c r="M10" i="51" s="1"/>
  <c r="M11" i="51" s="1"/>
  <c r="M12" i="51" s="1"/>
  <c r="M13" i="51" s="1"/>
  <c r="M14" i="51" s="1"/>
  <c r="M15" i="51" s="1"/>
  <c r="M16" i="51" s="1"/>
  <c r="M17" i="51" s="1"/>
  <c r="M18" i="51" s="1"/>
  <c r="M19" i="51" s="1"/>
  <c r="M20" i="51" s="1"/>
  <c r="M21" i="51" s="1"/>
  <c r="M22" i="51" s="1"/>
  <c r="M23" i="51" s="1"/>
  <c r="M24" i="51" s="1"/>
  <c r="M25" i="51" s="1"/>
  <c r="M26" i="51" s="1"/>
  <c r="M27" i="51" s="1"/>
  <c r="M28" i="51" s="1"/>
  <c r="M29" i="51" s="1"/>
  <c r="M30" i="51" s="1"/>
  <c r="M31" i="51" s="1"/>
  <c r="M32" i="51" s="1"/>
  <c r="M33" i="51" s="1"/>
  <c r="L35" i="54"/>
  <c r="J5" i="56" s="1"/>
  <c r="H35" i="54"/>
  <c r="J4" i="54"/>
  <c r="J35" i="54" s="1"/>
  <c r="G4" i="54"/>
  <c r="M3" i="54"/>
  <c r="K13" i="40"/>
  <c r="G4" i="15"/>
  <c r="G35" i="15" s="1"/>
  <c r="E25" i="56" s="1"/>
  <c r="J4" i="44"/>
  <c r="G4" i="44"/>
  <c r="K4" i="44" s="1"/>
  <c r="M4" i="44" s="1"/>
  <c r="G4" i="32"/>
  <c r="G40" i="32" s="1"/>
  <c r="E6" i="56" s="1"/>
  <c r="J58" i="44"/>
  <c r="K58" i="44"/>
  <c r="J59" i="44"/>
  <c r="K59" i="44"/>
  <c r="J60" i="44"/>
  <c r="K60" i="44"/>
  <c r="J61" i="44"/>
  <c r="K61" i="44"/>
  <c r="J62" i="44"/>
  <c r="K62" i="44"/>
  <c r="J63" i="44"/>
  <c r="K63" i="44"/>
  <c r="J64" i="44"/>
  <c r="K64" i="44"/>
  <c r="J65" i="44"/>
  <c r="K65" i="44"/>
  <c r="J66" i="44"/>
  <c r="K66" i="44"/>
  <c r="J67" i="44"/>
  <c r="K67" i="44"/>
  <c r="J68" i="44"/>
  <c r="K68" i="44"/>
  <c r="J69" i="44"/>
  <c r="K69" i="44"/>
  <c r="J70" i="44"/>
  <c r="K70" i="44"/>
  <c r="J71" i="44"/>
  <c r="K71" i="44"/>
  <c r="J72" i="44"/>
  <c r="K72" i="44"/>
  <c r="J73" i="44"/>
  <c r="K73" i="44"/>
  <c r="G74" i="44"/>
  <c r="J74" i="44"/>
  <c r="K74" i="44"/>
  <c r="G75" i="44"/>
  <c r="J75" i="44"/>
  <c r="K75" i="44"/>
  <c r="G76" i="44"/>
  <c r="J76" i="44"/>
  <c r="K76" i="44"/>
  <c r="G77" i="44"/>
  <c r="J77" i="44"/>
  <c r="K77" i="44"/>
  <c r="G78" i="44"/>
  <c r="J78" i="44"/>
  <c r="K78" i="44"/>
  <c r="G79" i="44"/>
  <c r="J79" i="44"/>
  <c r="K79" i="44"/>
  <c r="G80" i="44"/>
  <c r="J80" i="44"/>
  <c r="K80" i="44"/>
  <c r="J34" i="51"/>
  <c r="M34" i="51"/>
  <c r="M35" i="51" s="1"/>
  <c r="M36" i="51" s="1"/>
  <c r="M37" i="51" s="1"/>
  <c r="M38" i="51" s="1"/>
  <c r="M39" i="51" s="1"/>
  <c r="M40" i="51" s="1"/>
  <c r="M41" i="51" s="1"/>
  <c r="G35" i="51"/>
  <c r="J35" i="51"/>
  <c r="K35" i="51"/>
  <c r="G36" i="51"/>
  <c r="J36" i="51"/>
  <c r="K36" i="51"/>
  <c r="G37" i="51"/>
  <c r="J37" i="51"/>
  <c r="K37" i="51"/>
  <c r="G38" i="51"/>
  <c r="J38" i="51"/>
  <c r="K38" i="51"/>
  <c r="G39" i="51"/>
  <c r="J39" i="51"/>
  <c r="K39" i="51"/>
  <c r="G40" i="51"/>
  <c r="J40" i="51"/>
  <c r="K40" i="51"/>
  <c r="G4" i="51"/>
  <c r="G39" i="35"/>
  <c r="J39" i="35"/>
  <c r="K39" i="35"/>
  <c r="G40" i="35"/>
  <c r="J40" i="35"/>
  <c r="K40" i="35"/>
  <c r="G41" i="35"/>
  <c r="J41" i="35"/>
  <c r="K41" i="35"/>
  <c r="G38" i="34"/>
  <c r="J38" i="34"/>
  <c r="K38" i="34"/>
  <c r="L38" i="34"/>
  <c r="G5" i="8"/>
  <c r="J5" i="8"/>
  <c r="K5" i="8"/>
  <c r="G6" i="8"/>
  <c r="J6" i="8"/>
  <c r="K6" i="8"/>
  <c r="G7" i="8"/>
  <c r="J7" i="8"/>
  <c r="K7" i="8"/>
  <c r="G8" i="8"/>
  <c r="J8" i="8"/>
  <c r="K8" i="8"/>
  <c r="G9" i="8"/>
  <c r="J9" i="8"/>
  <c r="K9" i="8"/>
  <c r="G10" i="8"/>
  <c r="J10" i="8"/>
  <c r="K10" i="8"/>
  <c r="G11" i="8"/>
  <c r="J11" i="8"/>
  <c r="K11" i="8"/>
  <c r="G12" i="8"/>
  <c r="J12" i="8"/>
  <c r="K12" i="8"/>
  <c r="G13" i="8"/>
  <c r="J13" i="8"/>
  <c r="K13" i="8"/>
  <c r="G14" i="8"/>
  <c r="J14" i="8"/>
  <c r="K14" i="8"/>
  <c r="G15" i="8"/>
  <c r="J15" i="8"/>
  <c r="K15" i="8"/>
  <c r="G16" i="8"/>
  <c r="J16" i="8"/>
  <c r="K16" i="8"/>
  <c r="G17" i="8"/>
  <c r="J17" i="8"/>
  <c r="K17" i="8"/>
  <c r="G18" i="8"/>
  <c r="J18" i="8"/>
  <c r="K18" i="8"/>
  <c r="G19" i="8"/>
  <c r="J19" i="8"/>
  <c r="K19" i="8"/>
  <c r="G20" i="8"/>
  <c r="J20" i="8"/>
  <c r="K20" i="8"/>
  <c r="G21" i="8"/>
  <c r="J21" i="8"/>
  <c r="K21" i="8"/>
  <c r="G22" i="8"/>
  <c r="J22" i="8"/>
  <c r="K22" i="8"/>
  <c r="G23" i="8"/>
  <c r="J23" i="8"/>
  <c r="K23" i="8"/>
  <c r="G24" i="8"/>
  <c r="J24" i="8"/>
  <c r="K24" i="8"/>
  <c r="G25" i="8"/>
  <c r="J25" i="8"/>
  <c r="K25" i="8"/>
  <c r="G26" i="8"/>
  <c r="J26" i="8"/>
  <c r="K26" i="8"/>
  <c r="G27" i="8"/>
  <c r="J27" i="8"/>
  <c r="K27" i="8"/>
  <c r="G28" i="8"/>
  <c r="J28" i="8"/>
  <c r="K28" i="8"/>
  <c r="G29" i="8"/>
  <c r="J29" i="8"/>
  <c r="K29" i="8"/>
  <c r="G30" i="8"/>
  <c r="J30" i="8"/>
  <c r="K30" i="8"/>
  <c r="G31" i="8"/>
  <c r="J31" i="8"/>
  <c r="K31" i="8"/>
  <c r="G32" i="8"/>
  <c r="J32" i="8"/>
  <c r="K32" i="8"/>
  <c r="G33" i="8"/>
  <c r="J33" i="8"/>
  <c r="K33" i="8"/>
  <c r="G4" i="22"/>
  <c r="G34" i="40"/>
  <c r="J35" i="3"/>
  <c r="G14" i="56" s="1"/>
  <c r="H14" i="56" s="1"/>
  <c r="K14" i="56" s="1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J35" i="7"/>
  <c r="G13" i="56" s="1"/>
  <c r="K32" i="7"/>
  <c r="K33" i="7"/>
  <c r="M3" i="52"/>
  <c r="J4" i="52"/>
  <c r="K4" i="52"/>
  <c r="M4" i="52"/>
  <c r="M5" i="52"/>
  <c r="M6" i="52"/>
  <c r="M7" i="52"/>
  <c r="M8" i="52"/>
  <c r="M9" i="52"/>
  <c r="M10" i="52"/>
  <c r="M11" i="52"/>
  <c r="M12" i="52"/>
  <c r="M13" i="52"/>
  <c r="M14" i="52"/>
  <c r="M15" i="52"/>
  <c r="M16" i="52"/>
  <c r="M17" i="52"/>
  <c r="M18" i="52"/>
  <c r="M19" i="52"/>
  <c r="M20" i="52"/>
  <c r="M21" i="52"/>
  <c r="M22" i="52"/>
  <c r="M23" i="52"/>
  <c r="M24" i="52"/>
  <c r="M25" i="52"/>
  <c r="M26" i="52"/>
  <c r="M27" i="52"/>
  <c r="M28" i="52"/>
  <c r="M29" i="52"/>
  <c r="M30" i="52"/>
  <c r="M31" i="52"/>
  <c r="J38" i="26"/>
  <c r="J39" i="26"/>
  <c r="J40" i="26"/>
  <c r="J41" i="26"/>
  <c r="J42" i="26"/>
  <c r="J43" i="26"/>
  <c r="J44" i="26"/>
  <c r="J4" i="41"/>
  <c r="J42" i="51"/>
  <c r="G42" i="51"/>
  <c r="K42" i="51" s="1"/>
  <c r="L42" i="51" s="1"/>
  <c r="J41" i="51"/>
  <c r="G41" i="51"/>
  <c r="K41" i="51" s="1"/>
  <c r="L41" i="51" s="1"/>
  <c r="J4" i="51"/>
  <c r="L39" i="35"/>
  <c r="L40" i="35"/>
  <c r="L41" i="35"/>
  <c r="G39" i="34"/>
  <c r="J39" i="34"/>
  <c r="K39" i="34"/>
  <c r="L39" i="34"/>
  <c r="G40" i="34"/>
  <c r="J40" i="34"/>
  <c r="K40" i="34"/>
  <c r="L40" i="34"/>
  <c r="G41" i="34"/>
  <c r="J41" i="34"/>
  <c r="K41" i="34"/>
  <c r="L41" i="34"/>
  <c r="G42" i="34"/>
  <c r="J42" i="34"/>
  <c r="K42" i="34"/>
  <c r="L42" i="34"/>
  <c r="G43" i="34"/>
  <c r="J43" i="34"/>
  <c r="K43" i="34"/>
  <c r="L43" i="34"/>
  <c r="G4" i="34"/>
  <c r="G43" i="33"/>
  <c r="J43" i="33"/>
  <c r="K43" i="33"/>
  <c r="L43" i="33"/>
  <c r="G38" i="26"/>
  <c r="K38" i="26"/>
  <c r="G39" i="26"/>
  <c r="K39" i="26"/>
  <c r="G40" i="26"/>
  <c r="K40" i="26"/>
  <c r="L40" i="26"/>
  <c r="G41" i="26"/>
  <c r="K41" i="26"/>
  <c r="L41" i="26"/>
  <c r="G42" i="26"/>
  <c r="K42" i="26"/>
  <c r="L42" i="26"/>
  <c r="G43" i="26"/>
  <c r="K43" i="26"/>
  <c r="L43" i="26"/>
  <c r="G44" i="26"/>
  <c r="K44" i="26"/>
  <c r="L44" i="26"/>
  <c r="G41" i="22"/>
  <c r="J41" i="22"/>
  <c r="G34" i="11"/>
  <c r="J34" i="11"/>
  <c r="J35" i="11" s="1"/>
  <c r="G20" i="56" s="1"/>
  <c r="K34" i="11"/>
  <c r="M5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G34" i="7"/>
  <c r="J34" i="7"/>
  <c r="K34" i="7"/>
  <c r="G4" i="47"/>
  <c r="M3" i="50"/>
  <c r="Q33" i="15"/>
  <c r="K31" i="40"/>
  <c r="L31" i="40"/>
  <c r="K32" i="40"/>
  <c r="L32" i="40"/>
  <c r="K33" i="40"/>
  <c r="L33" i="40"/>
  <c r="K30" i="40"/>
  <c r="L30" i="40"/>
  <c r="K29" i="40"/>
  <c r="L29" i="40" s="1"/>
  <c r="K27" i="40"/>
  <c r="L27" i="40"/>
  <c r="K28" i="40"/>
  <c r="L28" i="40"/>
  <c r="L35" i="36"/>
  <c r="J26" i="56" s="1"/>
  <c r="K25" i="40"/>
  <c r="L25" i="40"/>
  <c r="K26" i="40"/>
  <c r="L26" i="40"/>
  <c r="K22" i="40"/>
  <c r="L22" i="40"/>
  <c r="K23" i="40"/>
  <c r="L23" i="40"/>
  <c r="K24" i="40"/>
  <c r="L24" i="40"/>
  <c r="K21" i="40"/>
  <c r="L21" i="40" s="1"/>
  <c r="P24" i="18"/>
  <c r="X16" i="1"/>
  <c r="K18" i="40"/>
  <c r="L18" i="40"/>
  <c r="K19" i="40"/>
  <c r="L19" i="40"/>
  <c r="K20" i="40"/>
  <c r="L20" i="40"/>
  <c r="V21" i="16"/>
  <c r="V20" i="16"/>
  <c r="K14" i="40"/>
  <c r="K15" i="40"/>
  <c r="K16" i="40"/>
  <c r="K17" i="40"/>
  <c r="L14" i="40"/>
  <c r="L15" i="40"/>
  <c r="L16" i="40"/>
  <c r="L17" i="40"/>
  <c r="K12" i="40"/>
  <c r="L12" i="40" s="1"/>
  <c r="L13" i="40"/>
  <c r="K11" i="40"/>
  <c r="L11" i="40" s="1"/>
  <c r="M3" i="47"/>
  <c r="K10" i="40"/>
  <c r="L10" i="40" s="1"/>
  <c r="K9" i="40"/>
  <c r="L9" i="40" s="1"/>
  <c r="K6" i="40"/>
  <c r="L6" i="40" s="1"/>
  <c r="K7" i="40"/>
  <c r="L7" i="40" s="1"/>
  <c r="K8" i="40"/>
  <c r="L8" i="40" s="1"/>
  <c r="G4" i="40"/>
  <c r="M5" i="44"/>
  <c r="M6" i="44" s="1"/>
  <c r="M7" i="44" s="1"/>
  <c r="J4" i="25"/>
  <c r="G4" i="25"/>
  <c r="K5" i="40"/>
  <c r="L5" i="40" s="1"/>
  <c r="J4" i="24"/>
  <c r="J35" i="24" s="1"/>
  <c r="G16" i="56" s="1"/>
  <c r="M3" i="41"/>
  <c r="P3" i="41" s="1"/>
  <c r="G34" i="8"/>
  <c r="J34" i="8"/>
  <c r="K34" i="8"/>
  <c r="G4" i="12"/>
  <c r="G35" i="12" s="1"/>
  <c r="E28" i="56" s="1"/>
  <c r="H36" i="16"/>
  <c r="H38" i="16" s="1"/>
  <c r="F12" i="56" s="1"/>
  <c r="J4" i="32"/>
  <c r="J40" i="32" s="1"/>
  <c r="G6" i="56" s="1"/>
  <c r="M3" i="32"/>
  <c r="L36" i="18"/>
  <c r="J4" i="56" s="1"/>
  <c r="E41" i="6"/>
  <c r="M3" i="40"/>
  <c r="I38" i="37"/>
  <c r="J4" i="37"/>
  <c r="I38" i="36"/>
  <c r="J4" i="36"/>
  <c r="G4" i="36"/>
  <c r="M3" i="36"/>
  <c r="J42" i="35"/>
  <c r="G42" i="35"/>
  <c r="K42" i="35" s="1"/>
  <c r="L42" i="35" s="1"/>
  <c r="J4" i="35"/>
  <c r="J46" i="34"/>
  <c r="G46" i="34"/>
  <c r="K46" i="34" s="1"/>
  <c r="L46" i="34" s="1"/>
  <c r="J45" i="34"/>
  <c r="G45" i="34"/>
  <c r="K45" i="34" s="1"/>
  <c r="L45" i="34" s="1"/>
  <c r="J44" i="34"/>
  <c r="G44" i="34"/>
  <c r="K44" i="34" s="1"/>
  <c r="L44" i="34" s="1"/>
  <c r="J4" i="34"/>
  <c r="H44" i="33"/>
  <c r="F35" i="56" s="1"/>
  <c r="J4" i="33"/>
  <c r="J44" i="33" s="1"/>
  <c r="G35" i="56" s="1"/>
  <c r="G4" i="33"/>
  <c r="P12" i="24"/>
  <c r="J4" i="10"/>
  <c r="M3" i="9"/>
  <c r="M3" i="14"/>
  <c r="J4" i="22"/>
  <c r="J42" i="22" s="1"/>
  <c r="G23" i="56" s="1"/>
  <c r="L35" i="7"/>
  <c r="J13" i="56" s="1"/>
  <c r="M3" i="1"/>
  <c r="J4" i="18"/>
  <c r="M3" i="6"/>
  <c r="J4" i="6"/>
  <c r="J36" i="6" s="1"/>
  <c r="G4" i="6"/>
  <c r="E35" i="8"/>
  <c r="D29" i="56" s="1"/>
  <c r="H35" i="8"/>
  <c r="F29" i="56" s="1"/>
  <c r="I38" i="15"/>
  <c r="M3" i="24"/>
  <c r="J4" i="26"/>
  <c r="G4" i="26"/>
  <c r="J4" i="9"/>
  <c r="J4" i="15"/>
  <c r="M3" i="20"/>
  <c r="M3" i="22"/>
  <c r="M3" i="25"/>
  <c r="G4" i="7"/>
  <c r="M3" i="2"/>
  <c r="K4" i="6"/>
  <c r="G4" i="24"/>
  <c r="G4" i="23"/>
  <c r="J4" i="23"/>
  <c r="J4" i="20"/>
  <c r="G4" i="19"/>
  <c r="G35" i="19" s="1"/>
  <c r="E39" i="56" s="1"/>
  <c r="J4" i="19"/>
  <c r="K4" i="19"/>
  <c r="J4" i="16"/>
  <c r="J36" i="16" s="1"/>
  <c r="J38" i="16" s="1"/>
  <c r="G12" i="56" s="1"/>
  <c r="G4" i="16"/>
  <c r="J4" i="14"/>
  <c r="G4" i="14"/>
  <c r="K4" i="14"/>
  <c r="J4" i="7"/>
  <c r="J4" i="12"/>
  <c r="G4" i="11"/>
  <c r="J4" i="11"/>
  <c r="K4" i="11"/>
  <c r="G4" i="10"/>
  <c r="J4" i="3"/>
  <c r="G4" i="3"/>
  <c r="J4" i="8"/>
  <c r="J35" i="8" s="1"/>
  <c r="G29" i="56" s="1"/>
  <c r="G4" i="8"/>
  <c r="G35" i="8" s="1"/>
  <c r="E29" i="56" s="1"/>
  <c r="H29" i="56" s="1"/>
  <c r="J4" i="2"/>
  <c r="J36" i="2" s="1"/>
  <c r="G9" i="56" s="1"/>
  <c r="G4" i="2"/>
  <c r="G36" i="2" s="1"/>
  <c r="E9" i="56" s="1"/>
  <c r="J4" i="1"/>
  <c r="J35" i="1" s="1"/>
  <c r="G10" i="56" s="1"/>
  <c r="K4" i="1"/>
  <c r="K35" i="1" s="1"/>
  <c r="D4" i="56" l="1"/>
  <c r="E40" i="18"/>
  <c r="I40" i="56"/>
  <c r="M32" i="34"/>
  <c r="M33" i="34" s="1"/>
  <c r="M34" i="34" s="1"/>
  <c r="M35" i="34" s="1"/>
  <c r="M36" i="34" s="1"/>
  <c r="M37" i="34" s="1"/>
  <c r="M38" i="34" s="1"/>
  <c r="M39" i="34" s="1"/>
  <c r="M40" i="34" s="1"/>
  <c r="M41" i="34" s="1"/>
  <c r="M42" i="34" s="1"/>
  <c r="M43" i="34" s="1"/>
  <c r="M44" i="34" s="1"/>
  <c r="M45" i="34" s="1"/>
  <c r="K25" i="34"/>
  <c r="K32" i="41"/>
  <c r="M36" i="44"/>
  <c r="M37" i="44" s="1"/>
  <c r="M38" i="44" s="1"/>
  <c r="M39" i="44" s="1"/>
  <c r="M40" i="44" s="1"/>
  <c r="M41" i="44" s="1"/>
  <c r="M42" i="44" s="1"/>
  <c r="M43" i="44" s="1"/>
  <c r="M44" i="44" s="1"/>
  <c r="M45" i="44" s="1"/>
  <c r="M46" i="44" s="1"/>
  <c r="M47" i="44" s="1"/>
  <c r="M48" i="44" s="1"/>
  <c r="M49" i="44" s="1"/>
  <c r="M50" i="44" s="1"/>
  <c r="M51" i="44" s="1"/>
  <c r="M52" i="44" s="1"/>
  <c r="K30" i="41"/>
  <c r="G36" i="61"/>
  <c r="E18" i="56" s="1"/>
  <c r="H18" i="56" s="1"/>
  <c r="K18" i="56" s="1"/>
  <c r="K4" i="61"/>
  <c r="M18" i="22"/>
  <c r="M19" i="22" s="1"/>
  <c r="M20" i="22" s="1"/>
  <c r="M21" i="22" s="1"/>
  <c r="M22" i="22" s="1"/>
  <c r="M23" i="22" s="1"/>
  <c r="M24" i="22" s="1"/>
  <c r="M25" i="22" s="1"/>
  <c r="M26" i="22" s="1"/>
  <c r="M27" i="22" s="1"/>
  <c r="M28" i="22" s="1"/>
  <c r="M29" i="22" s="1"/>
  <c r="M30" i="22" s="1"/>
  <c r="M31" i="22" s="1"/>
  <c r="M32" i="22" s="1"/>
  <c r="M33" i="22" s="1"/>
  <c r="M34" i="22" s="1"/>
  <c r="M35" i="22" s="1"/>
  <c r="M36" i="22" s="1"/>
  <c r="M37" i="22" s="1"/>
  <c r="M38" i="22" s="1"/>
  <c r="M39" i="22" s="1"/>
  <c r="M40" i="22" s="1"/>
  <c r="M41" i="22" s="1"/>
  <c r="M14" i="37"/>
  <c r="M15" i="37" s="1"/>
  <c r="M16" i="37" s="1"/>
  <c r="M17" i="37" s="1"/>
  <c r="M18" i="37" s="1"/>
  <c r="M19" i="37" s="1"/>
  <c r="M20" i="37" s="1"/>
  <c r="M21" i="37" s="1"/>
  <c r="M22" i="37" s="1"/>
  <c r="M23" i="37" s="1"/>
  <c r="K8" i="41"/>
  <c r="K7" i="41"/>
  <c r="G35" i="60"/>
  <c r="E31" i="56" s="1"/>
  <c r="H31" i="56" s="1"/>
  <c r="K4" i="60"/>
  <c r="J43" i="51"/>
  <c r="G38" i="56" s="1"/>
  <c r="L43" i="51"/>
  <c r="J38" i="56" s="1"/>
  <c r="K15" i="19"/>
  <c r="L15" i="19" s="1"/>
  <c r="K18" i="33"/>
  <c r="K22" i="41"/>
  <c r="K20" i="41"/>
  <c r="K16" i="12"/>
  <c r="G47" i="34"/>
  <c r="E36" i="56" s="1"/>
  <c r="K18" i="34"/>
  <c r="L18" i="34" s="1"/>
  <c r="L38" i="16"/>
  <c r="J12" i="56"/>
  <c r="G35" i="59"/>
  <c r="E8" i="56" s="1"/>
  <c r="H8" i="56" s="1"/>
  <c r="K4" i="59"/>
  <c r="H6" i="56"/>
  <c r="J36" i="23"/>
  <c r="G36" i="23"/>
  <c r="G36" i="18"/>
  <c r="K29" i="56"/>
  <c r="K4" i="12"/>
  <c r="K35" i="12" s="1"/>
  <c r="J35" i="12"/>
  <c r="G28" i="56" s="1"/>
  <c r="H28" i="56"/>
  <c r="K28" i="56" s="1"/>
  <c r="H10" i="56"/>
  <c r="K10" i="56" s="1"/>
  <c r="J47" i="34"/>
  <c r="G36" i="56" s="1"/>
  <c r="H36" i="56" s="1"/>
  <c r="G44" i="33"/>
  <c r="E35" i="56" s="1"/>
  <c r="H35" i="56" s="1"/>
  <c r="J35" i="9"/>
  <c r="G34" i="56" s="1"/>
  <c r="J45" i="26"/>
  <c r="G33" i="56" s="1"/>
  <c r="G42" i="22"/>
  <c r="E23" i="56" s="1"/>
  <c r="H23" i="56" s="1"/>
  <c r="K4" i="40"/>
  <c r="L4" i="40" s="1"/>
  <c r="G35" i="40"/>
  <c r="E21" i="56" s="1"/>
  <c r="H21" i="56" s="1"/>
  <c r="L35" i="40"/>
  <c r="J21" i="56" s="1"/>
  <c r="K35" i="40"/>
  <c r="J35" i="52"/>
  <c r="G11" i="56" s="1"/>
  <c r="K35" i="52"/>
  <c r="H11" i="56" s="1"/>
  <c r="K11" i="56" s="1"/>
  <c r="G35" i="52"/>
  <c r="H9" i="56"/>
  <c r="K9" i="56" s="1"/>
  <c r="K36" i="6"/>
  <c r="G36" i="6"/>
  <c r="J40" i="41"/>
  <c r="G30" i="56" s="1"/>
  <c r="K35" i="36"/>
  <c r="J35" i="15"/>
  <c r="G25" i="56" s="1"/>
  <c r="G35" i="11"/>
  <c r="E20" i="56" s="1"/>
  <c r="G43" i="35"/>
  <c r="E37" i="56" s="1"/>
  <c r="G43" i="51"/>
  <c r="E38" i="56" s="1"/>
  <c r="H38" i="56" s="1"/>
  <c r="J33" i="56"/>
  <c r="G45" i="26"/>
  <c r="E33" i="56" s="1"/>
  <c r="E4" i="56"/>
  <c r="J35" i="19"/>
  <c r="G39" i="56" s="1"/>
  <c r="H39" i="56" s="1"/>
  <c r="H33" i="56"/>
  <c r="K38" i="56"/>
  <c r="J43" i="35"/>
  <c r="G37" i="56" s="1"/>
  <c r="H37" i="56" s="1"/>
  <c r="G35" i="9"/>
  <c r="E34" i="56" s="1"/>
  <c r="H34" i="56" s="1"/>
  <c r="K34" i="56" s="1"/>
  <c r="G40" i="41"/>
  <c r="E30" i="56" s="1"/>
  <c r="H30" i="56" s="1"/>
  <c r="K35" i="3"/>
  <c r="H25" i="56"/>
  <c r="K25" i="56" s="1"/>
  <c r="G35" i="58"/>
  <c r="E7" i="56" s="1"/>
  <c r="H7" i="56" s="1"/>
  <c r="K4" i="58"/>
  <c r="G35" i="57"/>
  <c r="E32" i="56" s="1"/>
  <c r="H32" i="56" s="1"/>
  <c r="K4" i="57"/>
  <c r="L4" i="57" s="1"/>
  <c r="L35" i="57" s="1"/>
  <c r="J32" i="56" s="1"/>
  <c r="H20" i="56"/>
  <c r="K20" i="56" s="1"/>
  <c r="K35" i="7"/>
  <c r="G35" i="7"/>
  <c r="E13" i="56" s="1"/>
  <c r="H13" i="56" s="1"/>
  <c r="K13" i="56" s="1"/>
  <c r="J35" i="47"/>
  <c r="G3" i="56" s="1"/>
  <c r="J35" i="10"/>
  <c r="G19" i="56" s="1"/>
  <c r="J35" i="37"/>
  <c r="G27" i="56" s="1"/>
  <c r="J36" i="14"/>
  <c r="G24" i="56" s="1"/>
  <c r="G36" i="14"/>
  <c r="E24" i="56" s="1"/>
  <c r="H24" i="56" s="1"/>
  <c r="K24" i="56" s="1"/>
  <c r="J35" i="20"/>
  <c r="G15" i="56" s="1"/>
  <c r="F40" i="56"/>
  <c r="G35" i="47"/>
  <c r="E3" i="56" s="1"/>
  <c r="H3" i="56" s="1"/>
  <c r="K3" i="56" s="1"/>
  <c r="K35" i="19"/>
  <c r="G35" i="20"/>
  <c r="E15" i="56" s="1"/>
  <c r="H15" i="56" s="1"/>
  <c r="J6" i="56"/>
  <c r="J36" i="18"/>
  <c r="G4" i="56" s="1"/>
  <c r="H4" i="56" s="1"/>
  <c r="J39" i="50"/>
  <c r="G2" i="56" s="1"/>
  <c r="G39" i="50"/>
  <c r="E2" i="56" s="1"/>
  <c r="G26" i="56"/>
  <c r="G35" i="25"/>
  <c r="E22" i="56" s="1"/>
  <c r="J35" i="25"/>
  <c r="G22" i="56" s="1"/>
  <c r="H22" i="56" s="1"/>
  <c r="K35" i="11"/>
  <c r="G35" i="10"/>
  <c r="E19" i="56" s="1"/>
  <c r="H2" i="56"/>
  <c r="G35" i="54"/>
  <c r="E5" i="56" s="1"/>
  <c r="H5" i="56" s="1"/>
  <c r="K5" i="56" s="1"/>
  <c r="G35" i="24"/>
  <c r="E16" i="56" s="1"/>
  <c r="H16" i="56" s="1"/>
  <c r="G35" i="37"/>
  <c r="E27" i="56" s="1"/>
  <c r="H27" i="56" s="1"/>
  <c r="K43" i="51"/>
  <c r="K4" i="54"/>
  <c r="K4" i="41"/>
  <c r="K36" i="14"/>
  <c r="K4" i="22"/>
  <c r="M4" i="22" s="1"/>
  <c r="M5" i="22" s="1"/>
  <c r="K41" i="22"/>
  <c r="L41" i="22" s="1"/>
  <c r="M8" i="44"/>
  <c r="M9" i="44" s="1"/>
  <c r="M10" i="44" s="1"/>
  <c r="K4" i="51"/>
  <c r="K4" i="24"/>
  <c r="K35" i="24" s="1"/>
  <c r="M11" i="44"/>
  <c r="M12" i="44" s="1"/>
  <c r="M13" i="44" s="1"/>
  <c r="M14" i="44" s="1"/>
  <c r="M15" i="44" s="1"/>
  <c r="M16" i="44" s="1"/>
  <c r="M17" i="44" s="1"/>
  <c r="M18" i="44" s="1"/>
  <c r="M19" i="44" s="1"/>
  <c r="M20" i="44" s="1"/>
  <c r="M21" i="44" s="1"/>
  <c r="M22" i="44" s="1"/>
  <c r="K39" i="50"/>
  <c r="K4" i="47"/>
  <c r="K35" i="47" s="1"/>
  <c r="M4" i="47"/>
  <c r="G36" i="16"/>
  <c r="G38" i="16" s="1"/>
  <c r="E12" i="56" s="1"/>
  <c r="H12" i="56" s="1"/>
  <c r="K12" i="56" s="1"/>
  <c r="M5" i="47"/>
  <c r="M6" i="47" s="1"/>
  <c r="M7" i="47" s="1"/>
  <c r="M8" i="47" s="1"/>
  <c r="M9" i="47" s="1"/>
  <c r="M10" i="47" s="1"/>
  <c r="M11" i="47" s="1"/>
  <c r="M12" i="47" s="1"/>
  <c r="M13" i="47" s="1"/>
  <c r="M14" i="47" s="1"/>
  <c r="M15" i="47" s="1"/>
  <c r="M16" i="47" s="1"/>
  <c r="M17" i="47" s="1"/>
  <c r="M18" i="47" s="1"/>
  <c r="M19" i="47" s="1"/>
  <c r="M20" i="47" s="1"/>
  <c r="M21" i="47" s="1"/>
  <c r="M22" i="47" s="1"/>
  <c r="M23" i="47" s="1"/>
  <c r="M24" i="47" s="1"/>
  <c r="M25" i="47" s="1"/>
  <c r="M26" i="47" s="1"/>
  <c r="M27" i="47" s="1"/>
  <c r="M28" i="47" s="1"/>
  <c r="M29" i="47" s="1"/>
  <c r="M30" i="47" s="1"/>
  <c r="M31" i="47" s="1"/>
  <c r="M32" i="47" s="1"/>
  <c r="M33" i="47" s="1"/>
  <c r="M34" i="47" s="1"/>
  <c r="M4" i="12"/>
  <c r="K4" i="18"/>
  <c r="K36" i="18" s="1"/>
  <c r="K4" i="32"/>
  <c r="K40" i="32" s="1"/>
  <c r="M4" i="18"/>
  <c r="M5" i="18" s="1"/>
  <c r="M6" i="18" s="1"/>
  <c r="M7" i="18" s="1"/>
  <c r="M8" i="18" s="1"/>
  <c r="M9" i="18" s="1"/>
  <c r="M10" i="18" s="1"/>
  <c r="M11" i="18" s="1"/>
  <c r="M12" i="18" s="1"/>
  <c r="M13" i="18" s="1"/>
  <c r="M14" i="18" s="1"/>
  <c r="M15" i="18" s="1"/>
  <c r="M16" i="18" s="1"/>
  <c r="M17" i="18" s="1"/>
  <c r="M18" i="18" s="1"/>
  <c r="M19" i="18" s="1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30" i="18" s="1"/>
  <c r="M31" i="18" s="1"/>
  <c r="M32" i="18" s="1"/>
  <c r="M33" i="18" s="1"/>
  <c r="M34" i="18" s="1"/>
  <c r="M35" i="18" s="1"/>
  <c r="M4" i="6"/>
  <c r="K4" i="37"/>
  <c r="K4" i="36"/>
  <c r="K4" i="35"/>
  <c r="K4" i="34"/>
  <c r="K4" i="33"/>
  <c r="L4" i="19"/>
  <c r="L35" i="19" s="1"/>
  <c r="J39" i="56" s="1"/>
  <c r="K4" i="7"/>
  <c r="M4" i="14"/>
  <c r="M5" i="14" s="1"/>
  <c r="M6" i="14" s="1"/>
  <c r="M7" i="14" s="1"/>
  <c r="M8" i="14" s="1"/>
  <c r="M9" i="14" s="1"/>
  <c r="M10" i="14" s="1"/>
  <c r="M11" i="14" s="1"/>
  <c r="M12" i="14" s="1"/>
  <c r="M13" i="14" s="1"/>
  <c r="M14" i="14" s="1"/>
  <c r="M15" i="14" s="1"/>
  <c r="M16" i="14" s="1"/>
  <c r="K4" i="16"/>
  <c r="K4" i="9"/>
  <c r="K4" i="10"/>
  <c r="K4" i="8"/>
  <c r="K35" i="8" s="1"/>
  <c r="K4" i="2"/>
  <c r="K36" i="2" s="1"/>
  <c r="K4" i="26"/>
  <c r="M4" i="8"/>
  <c r="M5" i="8" s="1"/>
  <c r="M6" i="8" s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24" i="8" s="1"/>
  <c r="M25" i="8" s="1"/>
  <c r="M26" i="8" s="1"/>
  <c r="M27" i="8" s="1"/>
  <c r="M28" i="8" s="1"/>
  <c r="M5" i="11"/>
  <c r="M6" i="11" s="1"/>
  <c r="M7" i="11" s="1"/>
  <c r="M8" i="11" s="1"/>
  <c r="M9" i="11" s="1"/>
  <c r="M5" i="12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4" i="2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K4" i="20"/>
  <c r="K35" i="20" s="1"/>
  <c r="K4" i="25"/>
  <c r="K35" i="25" s="1"/>
  <c r="M5" i="6"/>
  <c r="M6" i="6" s="1"/>
  <c r="M7" i="6" s="1"/>
  <c r="M8" i="6" s="1"/>
  <c r="K4" i="23"/>
  <c r="K36" i="23" s="1"/>
  <c r="K4" i="15"/>
  <c r="K35" i="15" s="1"/>
  <c r="K4" i="3"/>
  <c r="K33" i="56" l="1"/>
  <c r="K36" i="61"/>
  <c r="M4" i="61"/>
  <c r="M5" i="61" s="1"/>
  <c r="M6" i="61" s="1"/>
  <c r="M7" i="61" s="1"/>
  <c r="M8" i="61" s="1"/>
  <c r="M9" i="61" s="1"/>
  <c r="M10" i="61" s="1"/>
  <c r="M11" i="61" s="1"/>
  <c r="M12" i="61" s="1"/>
  <c r="M13" i="61" s="1"/>
  <c r="M14" i="61" s="1"/>
  <c r="M15" i="61" s="1"/>
  <c r="M16" i="61" s="1"/>
  <c r="M17" i="61" s="1"/>
  <c r="M18" i="61" s="1"/>
  <c r="M19" i="61" s="1"/>
  <c r="M20" i="61" s="1"/>
  <c r="M21" i="61" s="1"/>
  <c r="M22" i="61" s="1"/>
  <c r="M23" i="61" s="1"/>
  <c r="M24" i="61" s="1"/>
  <c r="M25" i="61" s="1"/>
  <c r="M26" i="61" s="1"/>
  <c r="M27" i="61" s="1"/>
  <c r="M28" i="61" s="1"/>
  <c r="M29" i="61" s="1"/>
  <c r="M30" i="61" s="1"/>
  <c r="M31" i="61" s="1"/>
  <c r="M32" i="61" s="1"/>
  <c r="M33" i="61" s="1"/>
  <c r="M34" i="61" s="1"/>
  <c r="M35" i="61" s="1"/>
  <c r="K30" i="56"/>
  <c r="K35" i="60"/>
  <c r="K45" i="26"/>
  <c r="M4" i="26"/>
  <c r="M4" i="10"/>
  <c r="M5" i="10" s="1"/>
  <c r="M6" i="10" s="1"/>
  <c r="K35" i="10"/>
  <c r="K44" i="33"/>
  <c r="K35" i="9"/>
  <c r="M4" i="9"/>
  <c r="K32" i="56"/>
  <c r="M17" i="14"/>
  <c r="M18" i="14" s="1"/>
  <c r="M19" i="14" s="1"/>
  <c r="M20" i="14" s="1"/>
  <c r="M21" i="14" s="1"/>
  <c r="M22" i="14" s="1"/>
  <c r="M23" i="14" s="1"/>
  <c r="M24" i="14" s="1"/>
  <c r="M25" i="14" s="1"/>
  <c r="M26" i="14" s="1"/>
  <c r="M27" i="14" s="1"/>
  <c r="M28" i="14" s="1"/>
  <c r="M29" i="14" s="1"/>
  <c r="M30" i="14" s="1"/>
  <c r="M31" i="14" s="1"/>
  <c r="M32" i="14" s="1"/>
  <c r="M33" i="14" s="1"/>
  <c r="M34" i="14" s="1"/>
  <c r="M35" i="14" s="1"/>
  <c r="Q35" i="14" s="1"/>
  <c r="K47" i="34"/>
  <c r="E11" i="56"/>
  <c r="K6" i="56"/>
  <c r="K35" i="59"/>
  <c r="M16" i="12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L4" i="37"/>
  <c r="L35" i="37" s="1"/>
  <c r="J27" i="56" s="1"/>
  <c r="K35" i="37"/>
  <c r="K27" i="56"/>
  <c r="M6" i="22"/>
  <c r="K21" i="56"/>
  <c r="H19" i="56"/>
  <c r="M4" i="23"/>
  <c r="M5" i="23" s="1"/>
  <c r="M6" i="23" s="1"/>
  <c r="M7" i="23" s="1"/>
  <c r="M8" i="23" s="1"/>
  <c r="M9" i="23" s="1"/>
  <c r="M10" i="23" s="1"/>
  <c r="M11" i="23" s="1"/>
  <c r="M12" i="23" s="1"/>
  <c r="M13" i="23" s="1"/>
  <c r="M14" i="23" s="1"/>
  <c r="M15" i="23" s="1"/>
  <c r="M16" i="23" s="1"/>
  <c r="M17" i="23" s="1"/>
  <c r="M18" i="23" s="1"/>
  <c r="M19" i="23" s="1"/>
  <c r="M20" i="23" s="1"/>
  <c r="M21" i="23" s="1"/>
  <c r="M22" i="23" s="1"/>
  <c r="M23" i="23" s="1"/>
  <c r="M24" i="23" s="1"/>
  <c r="M25" i="23" s="1"/>
  <c r="M26" i="23" s="1"/>
  <c r="M27" i="23" s="1"/>
  <c r="M28" i="23" s="1"/>
  <c r="M29" i="23" s="1"/>
  <c r="M30" i="23" s="1"/>
  <c r="M31" i="23" s="1"/>
  <c r="M32" i="23" s="1"/>
  <c r="M33" i="23" s="1"/>
  <c r="M34" i="23" s="1"/>
  <c r="M35" i="23" s="1"/>
  <c r="M4" i="41"/>
  <c r="M5" i="41" s="1"/>
  <c r="M6" i="41" s="1"/>
  <c r="M7" i="41" s="1"/>
  <c r="M8" i="41" s="1"/>
  <c r="M9" i="41" s="1"/>
  <c r="M10" i="41" s="1"/>
  <c r="M11" i="41" s="1"/>
  <c r="M12" i="41" s="1"/>
  <c r="M13" i="41" s="1"/>
  <c r="M14" i="41" s="1"/>
  <c r="M15" i="41" s="1"/>
  <c r="M16" i="41" s="1"/>
  <c r="M17" i="41" s="1"/>
  <c r="M18" i="41" s="1"/>
  <c r="M19" i="41" s="1"/>
  <c r="K40" i="41"/>
  <c r="M4" i="16"/>
  <c r="K36" i="16"/>
  <c r="K38" i="16" s="1"/>
  <c r="K39" i="56"/>
  <c r="K35" i="58"/>
  <c r="L4" i="58"/>
  <c r="L35" i="58" s="1"/>
  <c r="J7" i="56" s="1"/>
  <c r="H26" i="56"/>
  <c r="K35" i="57"/>
  <c r="M4" i="57"/>
  <c r="M5" i="57" s="1"/>
  <c r="M6" i="57" s="1"/>
  <c r="M7" i="57" s="1"/>
  <c r="M8" i="57" s="1"/>
  <c r="M9" i="57" s="1"/>
  <c r="M10" i="57" s="1"/>
  <c r="M11" i="57" s="1"/>
  <c r="M12" i="57" s="1"/>
  <c r="M13" i="57" s="1"/>
  <c r="M14" i="57" s="1"/>
  <c r="M15" i="57" s="1"/>
  <c r="M16" i="57" s="1"/>
  <c r="M17" i="57" s="1"/>
  <c r="M18" i="57" s="1"/>
  <c r="M19" i="57" s="1"/>
  <c r="M20" i="57" s="1"/>
  <c r="M21" i="57" s="1"/>
  <c r="M22" i="57" s="1"/>
  <c r="M23" i="57" s="1"/>
  <c r="M24" i="57" s="1"/>
  <c r="M25" i="57" s="1"/>
  <c r="M26" i="57" s="1"/>
  <c r="M27" i="57" s="1"/>
  <c r="M28" i="57" s="1"/>
  <c r="M29" i="57" s="1"/>
  <c r="M30" i="57" s="1"/>
  <c r="M31" i="57" s="1"/>
  <c r="M32" i="57" s="1"/>
  <c r="M33" i="57" s="1"/>
  <c r="M34" i="57" s="1"/>
  <c r="K42" i="22"/>
  <c r="K26" i="56"/>
  <c r="K4" i="56"/>
  <c r="K2" i="56"/>
  <c r="M23" i="44"/>
  <c r="M24" i="44" s="1"/>
  <c r="M25" i="44" s="1"/>
  <c r="M26" i="44" s="1"/>
  <c r="M27" i="44" s="1"/>
  <c r="M28" i="44" s="1"/>
  <c r="M29" i="44" s="1"/>
  <c r="M30" i="44" s="1"/>
  <c r="M31" i="44" s="1"/>
  <c r="M32" i="44" s="1"/>
  <c r="M33" i="44" s="1"/>
  <c r="M53" i="44" s="1"/>
  <c r="M54" i="44" s="1"/>
  <c r="M55" i="44" s="1"/>
  <c r="M56" i="44" s="1"/>
  <c r="M57" i="44" s="1"/>
  <c r="M58" i="44" s="1"/>
  <c r="M59" i="44" s="1"/>
  <c r="M60" i="44" s="1"/>
  <c r="M61" i="44" s="1"/>
  <c r="M62" i="44" s="1"/>
  <c r="M63" i="44" s="1"/>
  <c r="M64" i="44" s="1"/>
  <c r="M65" i="44" s="1"/>
  <c r="M66" i="44" s="1"/>
  <c r="M67" i="44" s="1"/>
  <c r="M68" i="44" s="1"/>
  <c r="M69" i="44" s="1"/>
  <c r="M70" i="44" s="1"/>
  <c r="M71" i="44" s="1"/>
  <c r="M72" i="44" s="1"/>
  <c r="M73" i="44" s="1"/>
  <c r="M74" i="44" s="1"/>
  <c r="M75" i="44" s="1"/>
  <c r="M76" i="44" s="1"/>
  <c r="M77" i="44" s="1"/>
  <c r="M78" i="44" s="1"/>
  <c r="M79" i="44" s="1"/>
  <c r="M80" i="44" s="1"/>
  <c r="K35" i="54"/>
  <c r="M4" i="54"/>
  <c r="M5" i="54" s="1"/>
  <c r="M6" i="54" s="1"/>
  <c r="M7" i="54" s="1"/>
  <c r="M5" i="26"/>
  <c r="M6" i="26" s="1"/>
  <c r="M7" i="26" s="1"/>
  <c r="M8" i="26" s="1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L4" i="24"/>
  <c r="M4" i="24" s="1"/>
  <c r="M35" i="24" s="1"/>
  <c r="J16" i="56" s="1"/>
  <c r="K16" i="56" s="1"/>
  <c r="M4" i="50"/>
  <c r="L4" i="25"/>
  <c r="L35" i="25" s="1"/>
  <c r="J22" i="56" s="1"/>
  <c r="K22" i="56" s="1"/>
  <c r="M4" i="25"/>
  <c r="M5" i="16"/>
  <c r="M6" i="16" s="1"/>
  <c r="M7" i="16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M29" i="16" s="1"/>
  <c r="M30" i="16" s="1"/>
  <c r="M31" i="16" s="1"/>
  <c r="M32" i="16" s="1"/>
  <c r="M33" i="16" s="1"/>
  <c r="M34" i="16" s="1"/>
  <c r="M35" i="16" s="1"/>
  <c r="M40" i="16" s="1"/>
  <c r="M4" i="32"/>
  <c r="M5" i="32" s="1"/>
  <c r="M6" i="32" s="1"/>
  <c r="M7" i="32" s="1"/>
  <c r="M8" i="32" s="1"/>
  <c r="M9" i="32" s="1"/>
  <c r="M10" i="32" s="1"/>
  <c r="M11" i="32" s="1"/>
  <c r="M12" i="32" s="1"/>
  <c r="M13" i="32" s="1"/>
  <c r="M14" i="32" s="1"/>
  <c r="M15" i="32" s="1"/>
  <c r="M16" i="32" s="1"/>
  <c r="M17" i="32" s="1"/>
  <c r="M18" i="32" s="1"/>
  <c r="M19" i="32" s="1"/>
  <c r="M20" i="32" s="1"/>
  <c r="M21" i="32" s="1"/>
  <c r="M22" i="32" s="1"/>
  <c r="M23" i="32" s="1"/>
  <c r="M24" i="32" s="1"/>
  <c r="M25" i="32" s="1"/>
  <c r="M26" i="32" s="1"/>
  <c r="M27" i="32" s="1"/>
  <c r="M28" i="32" s="1"/>
  <c r="M29" i="32" s="1"/>
  <c r="M30" i="32" s="1"/>
  <c r="M31" i="32" s="1"/>
  <c r="M32" i="32" s="1"/>
  <c r="M33" i="32" s="1"/>
  <c r="M34" i="32" s="1"/>
  <c r="M35" i="32" s="1"/>
  <c r="M36" i="32" s="1"/>
  <c r="M37" i="32" s="1"/>
  <c r="M38" i="32" s="1"/>
  <c r="M39" i="32" s="1"/>
  <c r="M29" i="8"/>
  <c r="M30" i="8" s="1"/>
  <c r="M31" i="8" s="1"/>
  <c r="M32" i="8" s="1"/>
  <c r="M33" i="8" s="1"/>
  <c r="M34" i="8" s="1"/>
  <c r="M24" i="37"/>
  <c r="M25" i="37" s="1"/>
  <c r="M26" i="37" s="1"/>
  <c r="M27" i="37" s="1"/>
  <c r="M28" i="37" s="1"/>
  <c r="M29" i="37" s="1"/>
  <c r="M30" i="37" s="1"/>
  <c r="M31" i="37" s="1"/>
  <c r="M32" i="37" s="1"/>
  <c r="M33" i="37" s="1"/>
  <c r="M34" i="37" s="1"/>
  <c r="M4" i="36"/>
  <c r="M5" i="36" s="1"/>
  <c r="M6" i="36" s="1"/>
  <c r="M7" i="36" s="1"/>
  <c r="M8" i="36" s="1"/>
  <c r="M9" i="36" s="1"/>
  <c r="M10" i="36" s="1"/>
  <c r="M11" i="36" s="1"/>
  <c r="M12" i="36" s="1"/>
  <c r="M13" i="36" s="1"/>
  <c r="M14" i="36" s="1"/>
  <c r="M15" i="36" s="1"/>
  <c r="M16" i="36" s="1"/>
  <c r="M17" i="36" s="1"/>
  <c r="M18" i="36" s="1"/>
  <c r="M19" i="36" s="1"/>
  <c r="M20" i="36" s="1"/>
  <c r="M21" i="36" s="1"/>
  <c r="M22" i="36" s="1"/>
  <c r="M23" i="36" s="1"/>
  <c r="M24" i="36" s="1"/>
  <c r="M25" i="36" s="1"/>
  <c r="M26" i="36" s="1"/>
  <c r="M27" i="36" s="1"/>
  <c r="M28" i="36" s="1"/>
  <c r="M29" i="36" s="1"/>
  <c r="M30" i="36" s="1"/>
  <c r="M31" i="36" s="1"/>
  <c r="M32" i="36" s="1"/>
  <c r="M33" i="36" s="1"/>
  <c r="K43" i="35"/>
  <c r="L43" i="35"/>
  <c r="J37" i="56" s="1"/>
  <c r="K37" i="56" s="1"/>
  <c r="M9" i="6"/>
  <c r="M4" i="7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10" i="11"/>
  <c r="M11" i="11" s="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5" i="25"/>
  <c r="M6" i="25" s="1"/>
  <c r="M7" i="25" s="1"/>
  <c r="M8" i="25" s="1"/>
  <c r="M9" i="25" s="1"/>
  <c r="M10" i="25" s="1"/>
  <c r="M11" i="25" s="1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M5" i="9"/>
  <c r="M6" i="9" s="1"/>
  <c r="M7" i="9" s="1"/>
  <c r="M8" i="9" s="1"/>
  <c r="M9" i="9" s="1"/>
  <c r="M10" i="9" s="1"/>
  <c r="M11" i="9" s="1"/>
  <c r="M12" i="9" s="1"/>
  <c r="M7" i="10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4" i="15"/>
  <c r="M5" i="15" s="1"/>
  <c r="M6" i="15" s="1"/>
  <c r="M7" i="15" s="1"/>
  <c r="M8" i="15" s="1"/>
  <c r="M9" i="15" s="1"/>
  <c r="M10" i="15" s="1"/>
  <c r="M11" i="15" s="1"/>
  <c r="M12" i="15" s="1"/>
  <c r="M13" i="15" s="1"/>
  <c r="M14" i="15" s="1"/>
  <c r="M15" i="15" s="1"/>
  <c r="L4" i="20"/>
  <c r="L35" i="20" s="1"/>
  <c r="J15" i="56" s="1"/>
  <c r="K15" i="56" s="1"/>
  <c r="M20" i="41" l="1"/>
  <c r="M21" i="41" s="1"/>
  <c r="M22" i="41" s="1"/>
  <c r="M23" i="41" s="1"/>
  <c r="M24" i="41" s="1"/>
  <c r="M25" i="41" s="1"/>
  <c r="M26" i="41" s="1"/>
  <c r="M27" i="41" s="1"/>
  <c r="M28" i="41" s="1"/>
  <c r="M29" i="41" s="1"/>
  <c r="M30" i="41" s="1"/>
  <c r="M31" i="41" s="1"/>
  <c r="M32" i="41" s="1"/>
  <c r="M33" i="41" s="1"/>
  <c r="M34" i="41" s="1"/>
  <c r="M35" i="41" s="1"/>
  <c r="M36" i="41" s="1"/>
  <c r="M37" i="41" s="1"/>
  <c r="M38" i="41" s="1"/>
  <c r="M39" i="41" s="1"/>
  <c r="P19" i="41"/>
  <c r="K19" i="56"/>
  <c r="H40" i="56"/>
  <c r="L35" i="60"/>
  <c r="J31" i="56" s="1"/>
  <c r="K31" i="56" s="1"/>
  <c r="M4" i="60"/>
  <c r="M5" i="60" s="1"/>
  <c r="M6" i="60" s="1"/>
  <c r="M7" i="60" s="1"/>
  <c r="M8" i="60" s="1"/>
  <c r="M9" i="60" s="1"/>
  <c r="M10" i="60" s="1"/>
  <c r="M11" i="60" s="1"/>
  <c r="M12" i="60" s="1"/>
  <c r="M13" i="60" s="1"/>
  <c r="M14" i="60" s="1"/>
  <c r="M15" i="60" s="1"/>
  <c r="M16" i="60" s="1"/>
  <c r="M17" i="60" s="1"/>
  <c r="M18" i="60" s="1"/>
  <c r="M19" i="60" s="1"/>
  <c r="M20" i="60" s="1"/>
  <c r="M21" i="60" s="1"/>
  <c r="M22" i="60" s="1"/>
  <c r="M23" i="60" s="1"/>
  <c r="M24" i="60" s="1"/>
  <c r="M25" i="60" s="1"/>
  <c r="M26" i="60" s="1"/>
  <c r="M27" i="60" s="1"/>
  <c r="M28" i="60" s="1"/>
  <c r="M29" i="60" s="1"/>
  <c r="M30" i="60" s="1"/>
  <c r="M31" i="60" s="1"/>
  <c r="M32" i="60" s="1"/>
  <c r="M33" i="60" s="1"/>
  <c r="M34" i="60" s="1"/>
  <c r="M8" i="54"/>
  <c r="M9" i="54" s="1"/>
  <c r="M10" i="54" s="1"/>
  <c r="M11" i="54" s="1"/>
  <c r="M12" i="54" s="1"/>
  <c r="M13" i="54" s="1"/>
  <c r="M14" i="54" s="1"/>
  <c r="M15" i="54" s="1"/>
  <c r="M16" i="54" s="1"/>
  <c r="M17" i="54" s="1"/>
  <c r="M18" i="54" s="1"/>
  <c r="M19" i="54" s="1"/>
  <c r="M20" i="54" s="1"/>
  <c r="M21" i="54" s="1"/>
  <c r="M22" i="54" s="1"/>
  <c r="M23" i="54" s="1"/>
  <c r="M24" i="54" s="1"/>
  <c r="M25" i="54" s="1"/>
  <c r="M26" i="54" s="1"/>
  <c r="M27" i="54" s="1"/>
  <c r="M28" i="54" s="1"/>
  <c r="M29" i="54" s="1"/>
  <c r="M30" i="54" s="1"/>
  <c r="M31" i="54" s="1"/>
  <c r="M32" i="54" s="1"/>
  <c r="M33" i="54" s="1"/>
  <c r="M34" i="54" s="1"/>
  <c r="M7" i="22"/>
  <c r="L35" i="59"/>
  <c r="J8" i="56" s="1"/>
  <c r="K8" i="56" s="1"/>
  <c r="M4" i="59"/>
  <c r="M5" i="59" s="1"/>
  <c r="M6" i="59" s="1"/>
  <c r="M7" i="59" s="1"/>
  <c r="M8" i="59" s="1"/>
  <c r="M9" i="59" s="1"/>
  <c r="M10" i="59" s="1"/>
  <c r="M11" i="59" s="1"/>
  <c r="M12" i="59" s="1"/>
  <c r="M13" i="59" s="1"/>
  <c r="M14" i="59" s="1"/>
  <c r="M15" i="59" s="1"/>
  <c r="M16" i="59" s="1"/>
  <c r="M17" i="59" s="1"/>
  <c r="M18" i="59" s="1"/>
  <c r="M19" i="59" s="1"/>
  <c r="M20" i="59" s="1"/>
  <c r="M21" i="59" s="1"/>
  <c r="M22" i="59" s="1"/>
  <c r="M23" i="59" s="1"/>
  <c r="M24" i="59" s="1"/>
  <c r="M25" i="59" s="1"/>
  <c r="M26" i="59" s="1"/>
  <c r="M27" i="59" s="1"/>
  <c r="M28" i="59" s="1"/>
  <c r="M29" i="59" s="1"/>
  <c r="M30" i="59" s="1"/>
  <c r="M31" i="59" s="1"/>
  <c r="M32" i="59" s="1"/>
  <c r="M33" i="59" s="1"/>
  <c r="M34" i="59" s="1"/>
  <c r="L44" i="33"/>
  <c r="J35" i="56" s="1"/>
  <c r="K35" i="56" s="1"/>
  <c r="M4" i="33"/>
  <c r="L47" i="34"/>
  <c r="J36" i="56" s="1"/>
  <c r="M4" i="34"/>
  <c r="M5" i="34" s="1"/>
  <c r="M6" i="34" s="1"/>
  <c r="M7" i="34" s="1"/>
  <c r="M8" i="34" s="1"/>
  <c r="M9" i="34" s="1"/>
  <c r="M10" i="34" s="1"/>
  <c r="M11" i="34" s="1"/>
  <c r="M12" i="34" s="1"/>
  <c r="M13" i="34" s="1"/>
  <c r="M14" i="34" s="1"/>
  <c r="M15" i="34" s="1"/>
  <c r="M16" i="34" s="1"/>
  <c r="M17" i="34" s="1"/>
  <c r="M18" i="34" s="1"/>
  <c r="M19" i="34" s="1"/>
  <c r="M20" i="34" s="1"/>
  <c r="M21" i="34" s="1"/>
  <c r="M22" i="34" s="1"/>
  <c r="M23" i="34" s="1"/>
  <c r="M24" i="34" s="1"/>
  <c r="M25" i="34" s="1"/>
  <c r="M26" i="34" s="1"/>
  <c r="M27" i="34" s="1"/>
  <c r="M28" i="34" s="1"/>
  <c r="M46" i="34" s="1"/>
  <c r="K7" i="56"/>
  <c r="L42" i="22"/>
  <c r="J23" i="56" s="1"/>
  <c r="M5" i="50"/>
  <c r="M6" i="50" s="1"/>
  <c r="M7" i="50" s="1"/>
  <c r="M8" i="50" s="1"/>
  <c r="M9" i="50" s="1"/>
  <c r="M10" i="50" s="1"/>
  <c r="M11" i="50" s="1"/>
  <c r="M12" i="50" s="1"/>
  <c r="M13" i="50" s="1"/>
  <c r="M14" i="50" s="1"/>
  <c r="M15" i="50" s="1"/>
  <c r="M13" i="9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M33" i="9" s="1"/>
  <c r="M34" i="9" s="1"/>
  <c r="L47" i="35"/>
  <c r="M4" i="35"/>
  <c r="M16" i="15"/>
  <c r="M17" i="15" s="1"/>
  <c r="M18" i="15" s="1"/>
  <c r="M19" i="15" s="1"/>
  <c r="M20" i="15" s="1"/>
  <c r="M21" i="15"/>
  <c r="M22" i="15" s="1"/>
  <c r="M23" i="15" s="1"/>
  <c r="M24" i="15" s="1"/>
  <c r="M25" i="15" s="1"/>
  <c r="M26" i="15" s="1"/>
  <c r="M27" i="15" s="1"/>
  <c r="M28" i="15" s="1"/>
  <c r="M29" i="15" s="1"/>
  <c r="M30" i="15" s="1"/>
  <c r="M31" i="15" s="1"/>
  <c r="M32" i="15" s="1"/>
  <c r="M33" i="15" s="1"/>
  <c r="M34" i="15" s="1"/>
  <c r="M10" i="6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M27" i="6" s="1"/>
  <c r="M28" i="6" s="1"/>
  <c r="M29" i="6" s="1"/>
  <c r="M30" i="6" s="1"/>
  <c r="M31" i="6" s="1"/>
  <c r="M32" i="6" s="1"/>
  <c r="M33" i="6" s="1"/>
  <c r="M34" i="6" s="1"/>
  <c r="M4" i="20"/>
  <c r="P33" i="18" l="1"/>
  <c r="K36" i="56"/>
  <c r="J40" i="56"/>
  <c r="K40" i="56" s="1"/>
  <c r="M5" i="35"/>
  <c r="M6" i="35" s="1"/>
  <c r="M7" i="35" s="1"/>
  <c r="M8" i="35" s="1"/>
  <c r="M9" i="35" s="1"/>
  <c r="M10" i="35" s="1"/>
  <c r="M11" i="35" s="1"/>
  <c r="M12" i="35" s="1"/>
  <c r="M13" i="35" s="1"/>
  <c r="M14" i="35" s="1"/>
  <c r="M15" i="35" s="1"/>
  <c r="M16" i="35" s="1"/>
  <c r="M5" i="33"/>
  <c r="M6" i="33" s="1"/>
  <c r="M7" i="33" s="1"/>
  <c r="M8" i="33" s="1"/>
  <c r="M9" i="33" s="1"/>
  <c r="M10" i="33" s="1"/>
  <c r="M11" i="33" s="1"/>
  <c r="M12" i="33" s="1"/>
  <c r="M13" i="33" s="1"/>
  <c r="M14" i="33" s="1"/>
  <c r="M15" i="33" s="1"/>
  <c r="M16" i="33" s="1"/>
  <c r="M17" i="33" s="1"/>
  <c r="M18" i="33" s="1"/>
  <c r="M19" i="33" s="1"/>
  <c r="M20" i="33" s="1"/>
  <c r="M21" i="33" s="1"/>
  <c r="M22" i="33" s="1"/>
  <c r="M23" i="33" s="1"/>
  <c r="M24" i="33" s="1"/>
  <c r="M25" i="33" s="1"/>
  <c r="M26" i="33" s="1"/>
  <c r="M27" i="33" s="1"/>
  <c r="M28" i="33" s="1"/>
  <c r="M29" i="33" s="1"/>
  <c r="M30" i="33" s="1"/>
  <c r="M31" i="33" s="1"/>
  <c r="M32" i="33" s="1"/>
  <c r="M33" i="33" s="1"/>
  <c r="M34" i="33" s="1"/>
  <c r="M35" i="33" s="1"/>
  <c r="M36" i="33" s="1"/>
  <c r="M37" i="33" s="1"/>
  <c r="M38" i="33" s="1"/>
  <c r="M39" i="33" s="1"/>
  <c r="M40" i="33" s="1"/>
  <c r="M41" i="33" s="1"/>
  <c r="M42" i="33" s="1"/>
  <c r="M43" i="33" s="1"/>
  <c r="M44" i="33"/>
  <c r="K23" i="56"/>
  <c r="M5" i="20"/>
  <c r="M6" i="20" s="1"/>
  <c r="M7" i="20" s="1"/>
  <c r="M8" i="20" s="1"/>
  <c r="M9" i="20" s="1"/>
  <c r="M10" i="20" s="1"/>
  <c r="M11" i="20" s="1"/>
  <c r="M12" i="20" s="1"/>
  <c r="M13" i="20" s="1"/>
  <c r="M14" i="20" s="1"/>
  <c r="M15" i="20" s="1"/>
  <c r="M16" i="20" s="1"/>
  <c r="M17" i="20" s="1"/>
  <c r="M18" i="20" s="1"/>
  <c r="M19" i="20" s="1"/>
  <c r="M20" i="20" s="1"/>
  <c r="M21" i="20" s="1"/>
  <c r="M22" i="20" s="1"/>
  <c r="M23" i="20" s="1"/>
  <c r="M24" i="20" s="1"/>
  <c r="M25" i="20" s="1"/>
  <c r="M26" i="20" s="1"/>
  <c r="M27" i="20" s="1"/>
  <c r="D17" i="56"/>
  <c r="D40" i="56" s="1"/>
  <c r="E17" i="56"/>
  <c r="E40" i="56"/>
  <c r="G17" i="56"/>
  <c r="H17" i="56" s="1"/>
  <c r="G40" i="56"/>
  <c r="M17" i="35" l="1"/>
  <c r="M18" i="35" s="1"/>
  <c r="M19" i="35" s="1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M40" i="35" s="1"/>
  <c r="M41" i="35" s="1"/>
  <c r="M42" i="35" s="1"/>
  <c r="K17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tc={A982F3AF-1FD5-4469-AEC9-B3E65A67B1C1}</author>
  </authors>
  <commentList>
    <comment ref="L12" authorId="0" shapeId="0" xr:uid="{A982F3AF-1FD5-4469-AEC9-B3E65A67B1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Cash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tc={FA6C6D60-763F-4D25-8E11-827FD02A0C8B}</author>
  </authors>
  <commentList>
    <comment ref="L18" authorId="0" shapeId="0" xr:uid="{FA6C6D60-763F-4D25-8E11-827FD02A0C8B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Paid 25.06.2025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tc={1B4FC53A-924B-4250-83DE-7DDD8AAF0E59}</author>
  </authors>
  <commentList>
    <comment ref="L8" authorId="0" shapeId="0" xr:uid="{1B4FC53A-924B-4250-83DE-7DDD8AAF0E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Redeem Cash</t>
      </text>
    </comment>
  </commentList>
</comments>
</file>

<file path=xl/sharedStrings.xml><?xml version="1.0" encoding="utf-8"?>
<sst xmlns="http://schemas.openxmlformats.org/spreadsheetml/2006/main" count="1258" uniqueCount="219">
  <si>
    <t>S.no</t>
  </si>
  <si>
    <t>Site Name</t>
  </si>
  <si>
    <t xml:space="preserve">Bunk Name </t>
  </si>
  <si>
    <t>Diesel(Liters)</t>
  </si>
  <si>
    <t>Diesel Amount</t>
  </si>
  <si>
    <t>Petrol(Liters)</t>
  </si>
  <si>
    <t>Petrol Amount</t>
  </si>
  <si>
    <t>Total Amount</t>
  </si>
  <si>
    <t>Opening Blance</t>
  </si>
  <si>
    <t>Amount Paid</t>
  </si>
  <si>
    <t>Closing Balances</t>
  </si>
  <si>
    <t>Khammam-1</t>
  </si>
  <si>
    <t>Sri Ramakotaiah Fuel Point</t>
  </si>
  <si>
    <t>Khammam-2</t>
  </si>
  <si>
    <t xml:space="preserve">Divya laxmi ganapathi </t>
  </si>
  <si>
    <t>Khammam-3</t>
  </si>
  <si>
    <t>Jayasai union bunk</t>
  </si>
  <si>
    <t>Jadcherla-1</t>
  </si>
  <si>
    <t>Sai Baba Fuel Station</t>
  </si>
  <si>
    <t>Jadcherla-2</t>
  </si>
  <si>
    <t xml:space="preserve">Uttara Enterprises </t>
  </si>
  <si>
    <t>Jadcherla-3</t>
  </si>
  <si>
    <t>Bhavani  KSK Fuel Station-Nawabpet</t>
  </si>
  <si>
    <t>Jadcherla-4</t>
  </si>
  <si>
    <t xml:space="preserve">ADHOC FILLING STATION STATION </t>
  </si>
  <si>
    <t>Sangareddy-1</t>
  </si>
  <si>
    <t>Shree lakshmi ganapathi F/S</t>
  </si>
  <si>
    <t>Sangareddy-2</t>
  </si>
  <si>
    <t>Sri Durgabhavani Filling Station</t>
  </si>
  <si>
    <t>Sangareddy-3</t>
  </si>
  <si>
    <t>Laxmi Narasimha Enterprises F/S</t>
  </si>
  <si>
    <t>Sangareddy-4</t>
  </si>
  <si>
    <t>Sree Shiva Parvathi Filling Station</t>
  </si>
  <si>
    <t>YG Gudda</t>
  </si>
  <si>
    <t>Pallavi Petrolium</t>
  </si>
  <si>
    <t>Hosadurga-1</t>
  </si>
  <si>
    <t>Merchant Petroliums</t>
  </si>
  <si>
    <t>Hosadurga-2</t>
  </si>
  <si>
    <t>Shree Veeraprathap Fuel</t>
  </si>
  <si>
    <t>Malebennuru(KUWSDB)</t>
  </si>
  <si>
    <t>Sri Ramanjuneya Service Station</t>
  </si>
  <si>
    <t>kadur</t>
  </si>
  <si>
    <t>Vishal Service Station</t>
  </si>
  <si>
    <t>Hiriyur(VJNL)</t>
  </si>
  <si>
    <t>Sri Balaji Agencies</t>
  </si>
  <si>
    <t>Chellakere(KUWSDB)</t>
  </si>
  <si>
    <t>Sri Vishnu Baba Petroleum</t>
  </si>
  <si>
    <t>Khanapur(PKG-3)</t>
  </si>
  <si>
    <t>J K Makavi</t>
  </si>
  <si>
    <t>Munavalli(PKG-3)</t>
  </si>
  <si>
    <t>Shahapur Petroleum</t>
  </si>
  <si>
    <t>Borgaon(PKG-3)</t>
  </si>
  <si>
    <t>Aadisagar Petrolium</t>
  </si>
  <si>
    <t>Ugar,Kudichi(PKG-3)</t>
  </si>
  <si>
    <t>Shiri Bhrhmanath Petrolium</t>
  </si>
  <si>
    <t>Kabbur(PKG-3)</t>
  </si>
  <si>
    <t>Shri Jai Hanuman Petrolium</t>
  </si>
  <si>
    <t>Kumta (PKG-1)</t>
  </si>
  <si>
    <t>Krishma fuel station</t>
  </si>
  <si>
    <t>Jalgaon</t>
  </si>
  <si>
    <t>Sri Sai Petrol Pump</t>
  </si>
  <si>
    <t>MKBD</t>
  </si>
  <si>
    <t>Shree Sai Samarth Petroleum</t>
  </si>
  <si>
    <t>Haveri</t>
  </si>
  <si>
    <t>Shivalingeshwar Petroleum</t>
  </si>
  <si>
    <t>Guttal</t>
  </si>
  <si>
    <t>Taware filling station</t>
  </si>
  <si>
    <t>Rattihali</t>
  </si>
  <si>
    <t xml:space="preserve">  Shree Siri Gowari petroliam</t>
  </si>
  <si>
    <t>Gajendragada</t>
  </si>
  <si>
    <t>Vanasri Petrol Pump</t>
  </si>
  <si>
    <t>Ghattaprabha(PKG-3)</t>
  </si>
  <si>
    <t>Vivek Petrol Pump</t>
  </si>
  <si>
    <t xml:space="preserve"> Gokak(PKG-3)</t>
  </si>
  <si>
    <t>AJ Petrolinks</t>
  </si>
  <si>
    <t>Ghattaprabha-2(PKG-3)</t>
  </si>
  <si>
    <t>Manikeri Petroleums</t>
  </si>
  <si>
    <t>Ankalgi(PKG-3)</t>
  </si>
  <si>
    <t>Nirwani Petroleums</t>
  </si>
  <si>
    <t>Talikote(PKG-1)</t>
  </si>
  <si>
    <t>Raykar Oil Agencies</t>
  </si>
  <si>
    <t>Chadchan(PKG-1)</t>
  </si>
  <si>
    <t>Khavekar Petrolium</t>
  </si>
  <si>
    <t>Sindagi</t>
  </si>
  <si>
    <t>G.P.PORWAL</t>
  </si>
  <si>
    <t>Muddebihal(PKG-1)</t>
  </si>
  <si>
    <t xml:space="preserve"> Bhosle Service Station</t>
  </si>
  <si>
    <t>Almela(PKG-1)</t>
  </si>
  <si>
    <t>Shiddeshwar Petroleums</t>
  </si>
  <si>
    <t>Srirangapatna</t>
  </si>
  <si>
    <t>Sri Chakra Fuel Station</t>
  </si>
  <si>
    <t>Nalatwad(PKG-1)</t>
  </si>
  <si>
    <t>Shri Pawad Basaweshwar Petroleums</t>
  </si>
  <si>
    <t>Total</t>
  </si>
  <si>
    <t>Dindi</t>
  </si>
  <si>
    <t>Akarapu Balakistamma Fillling</t>
  </si>
  <si>
    <t>Devarkhadra</t>
  </si>
  <si>
    <t>Kurumurthy Swami  F/S</t>
  </si>
  <si>
    <t>Munavalli(PKG-3)-2</t>
  </si>
  <si>
    <t xml:space="preserve">Shri Daneshwari </t>
  </si>
  <si>
    <t xml:space="preserve"> Shree Siri Gowari petroliam</t>
  </si>
  <si>
    <t>Ankaligi</t>
  </si>
  <si>
    <t>Shiv ganga</t>
  </si>
  <si>
    <t>ShankeshWAR</t>
  </si>
  <si>
    <t>SR Patil</t>
  </si>
  <si>
    <t>S.No</t>
  </si>
  <si>
    <t>Date</t>
  </si>
  <si>
    <t>GRN No</t>
  </si>
  <si>
    <t>Ind No/Bill No</t>
  </si>
  <si>
    <t>Diesel (Lts)</t>
  </si>
  <si>
    <t>Price</t>
  </si>
  <si>
    <t xml:space="preserve">Amount </t>
  </si>
  <si>
    <t>Petrol (Lts)</t>
  </si>
  <si>
    <t xml:space="preserve">Total amount </t>
  </si>
  <si>
    <t>Amount paid</t>
  </si>
  <si>
    <t>As 0n Date</t>
  </si>
  <si>
    <t>Remarks</t>
  </si>
  <si>
    <t>Opening Balance</t>
  </si>
  <si>
    <t>.</t>
  </si>
  <si>
    <t>As on date</t>
  </si>
  <si>
    <t>As on Date</t>
  </si>
  <si>
    <t>Ind no/Bill No</t>
  </si>
  <si>
    <t xml:space="preserve"> Fuel bills </t>
  </si>
  <si>
    <t> </t>
  </si>
  <si>
    <t>BPCL</t>
  </si>
  <si>
    <t>raja bhakshi</t>
  </si>
  <si>
    <t>Talikote</t>
  </si>
  <si>
    <t>01.07.2025</t>
  </si>
  <si>
    <t>IOCL Card</t>
  </si>
  <si>
    <t>02.07.2025</t>
  </si>
  <si>
    <t>03.07.2025</t>
  </si>
  <si>
    <t>04.07.2025</t>
  </si>
  <si>
    <t>05.07.2025</t>
  </si>
  <si>
    <t>06.07.2025</t>
  </si>
  <si>
    <t>07.07.2025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</si>
  <si>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</si>
  <si>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</si>
  <si>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</si>
  <si>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</si>
  <si>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</si>
  <si>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</si>
  <si>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</si>
  <si>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</si>
  <si>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</si>
  <si>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</si>
  <si>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</si>
  <si>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</si>
  <si>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</si>
  <si>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</si>
  <si>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</si>
  <si>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25.07.2025</t>
  </si>
  <si>
    <t>26.07.2025</t>
  </si>
  <si>
    <t>27.07.2025</t>
  </si>
  <si>
    <t>30.07.2025</t>
  </si>
  <si>
    <t>31.07.2025</t>
  </si>
  <si>
    <t>01.07.2027</t>
  </si>
  <si>
    <t>08.07.2025</t>
  </si>
  <si>
    <t>24.07.2025</t>
  </si>
  <si>
    <t>29.07.2025</t>
  </si>
  <si>
    <t>28.07.2025</t>
  </si>
  <si>
    <t>Date of payment</t>
  </si>
  <si>
    <t>Shiva ganga</t>
  </si>
  <si>
    <t xml:space="preserve"> S R PATIL</t>
  </si>
  <si>
    <t xml:space="preserve"> </t>
  </si>
  <si>
    <t>BPCL Card Ledger</t>
  </si>
  <si>
    <t>Petrol Bunk Name</t>
  </si>
  <si>
    <t>Card No</t>
  </si>
  <si>
    <t>Recharge Amount</t>
  </si>
  <si>
    <t>Redeem</t>
  </si>
  <si>
    <t xml:space="preserve">JUBILEE HILLS FILL. STN.  </t>
  </si>
  <si>
    <t>FC3450563999</t>
  </si>
  <si>
    <t xml:space="preserve">SANDHYA FUEL STATION  </t>
  </si>
  <si>
    <t>AKARAPU BALAKISTAMMA</t>
  </si>
  <si>
    <t>FC3450676134</t>
  </si>
  <si>
    <t xml:space="preserve">SHAHAPUR PETROLEUM </t>
  </si>
  <si>
    <t>FC8000207648</t>
  </si>
  <si>
    <t>V.V.VARDE BHARAT PETROLEUM</t>
  </si>
  <si>
    <t>FC8000207649</t>
  </si>
  <si>
    <t>MAHMOOD FILLING STATION</t>
  </si>
  <si>
    <t>AYA SHREE FILLING STATION</t>
  </si>
  <si>
    <t xml:space="preserve">SANDHYA FUEL STATION </t>
  </si>
  <si>
    <t>SHRI BRAHMANATH PETROLEUM</t>
  </si>
  <si>
    <t>FC8000207650</t>
  </si>
  <si>
    <t>SANDHYA FUEL STATION</t>
  </si>
  <si>
    <t>FC8000207658</t>
  </si>
  <si>
    <t xml:space="preserve">V.V.VARDE BHARAT </t>
  </si>
  <si>
    <t xml:space="preserve">BHASKAR ENTERPRISES </t>
  </si>
  <si>
    <t>FC8000207659</t>
  </si>
  <si>
    <t>JUBILEE HILLS FILL. STN</t>
  </si>
  <si>
    <t>SREE SHIVA PARVATI FILLING</t>
  </si>
  <si>
    <t>SAI BABA FILLING STATION</t>
  </si>
  <si>
    <t>FC3450563998</t>
  </si>
  <si>
    <t xml:space="preserve">AKARAPU BALAKISTAMMA </t>
  </si>
  <si>
    <t xml:space="preserve">AMBATI PUSHPALATHA CHANNAIAH </t>
  </si>
  <si>
    <t>FC3450698859</t>
  </si>
  <si>
    <t xml:space="preserve">SHIVAGANGA SERVICE </t>
  </si>
  <si>
    <t xml:space="preserve">SHAHAPUR PETROLEUM  </t>
  </si>
  <si>
    <t xml:space="preserve">STANDARD SERVICE STATION  </t>
  </si>
  <si>
    <t xml:space="preserve">AKARAPU BALAKISTAMMA  </t>
  </si>
  <si>
    <t> FC3450676134</t>
  </si>
  <si>
    <t>V.V.VARDE BHARAT</t>
  </si>
  <si>
    <t>SHIVAGANGA SERVICE STATION</t>
  </si>
  <si>
    <t xml:space="preserve"> FC8000207659</t>
  </si>
  <si>
    <t>V.V.VARDE BHARAT PETROLEUM DEALERS</t>
  </si>
  <si>
    <t xml:space="preserve">SHRI BRAHMANATH PETROLEUM </t>
  </si>
  <si>
    <t>SANDHYA FUEL STATION BHARAT PETROLEUM DEALERS</t>
  </si>
  <si>
    <t>FC3450698867</t>
  </si>
  <si>
    <t>K.VENKATA LAKSHMI SRINIVASA FU BHARAT PETROLEUM DEALERS</t>
  </si>
  <si>
    <t xml:space="preserve">SAI BABA FILLING STATION </t>
  </si>
  <si>
    <t xml:space="preserve">J.K. FILLING STATION </t>
  </si>
  <si>
    <t>DANESWARI PETROLEUM</t>
  </si>
  <si>
    <t xml:space="preserve">SHRI BRAHMANATH </t>
  </si>
  <si>
    <t>HPCL Card Ledger</t>
  </si>
  <si>
    <t>VIVEK PETROLEUM</t>
  </si>
  <si>
    <t>8200079004507062</t>
  </si>
  <si>
    <t>AJ PETROLINKS</t>
  </si>
  <si>
    <t>DIVYA LAXMI GANAPATHI AUTO SERVICES</t>
  </si>
  <si>
    <t>8200079004507088</t>
  </si>
  <si>
    <t>MS HSD SATHEESH FUEL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</si>
</sst>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0.00_ "/>
    <numFmt numFmtId="167" formatCode="[$-409]h:mm\ AM/PM;@"/>
    <numFmt numFmtId="168" formatCode="_ * #,##0.0_ ;_ * \-#,##0.0_ ;_ * &quot;-&quot;??_ ;_ @_ "/>
    <numFmt numFmtId="169" formatCode="0.0"/>
    <numFmt numFmtId="170" formatCode="_ * #,##0_ ;_ * \-#,##0_ ;_ * &quot;-&quot;??_ ;_ @_ "/>
    <numFmt numFmtId="171" formatCode="_(* #,##0_);_(* \(#,##0\);_(* &quot;-&quot;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2"/>
      <color rgb="FF000000"/>
      <name val="Book Antiqua"/>
      <family val="1"/>
    </font>
    <font>
      <sz val="11"/>
      <color rgb="FF000000"/>
      <name val="Cambria"/>
      <family val="1"/>
    </font>
    <font>
      <b/>
      <sz val="10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2"/>
      <color theme="1"/>
      <name val="Calibri"/>
      <family val="2"/>
      <scheme val="minor"/>
    </font>
    <font>
      <sz val="12"/>
      <color rgb="FF000000"/>
      <name val="Calibri"/>
    </font>
    <font>
      <sz val="11"/>
      <color theme="0"/>
      <name val="Calibri"/>
    </font>
    <font>
      <sz val="12"/>
      <color theme="0"/>
      <name val="Calibri"/>
    </font>
    <font>
      <sz val="12"/>
      <color theme="0"/>
      <name val="Calibri"/>
      <family val="2"/>
      <scheme val="minor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charset val="134"/>
    </font>
    <font>
      <sz val="11"/>
      <color rgb="FF242424"/>
      <name val="Aptos Narrow"/>
      <charset val="1"/>
    </font>
    <font>
      <sz val="8"/>
      <color rgb="FF212529"/>
      <name val="Roboto"/>
      <charset val="1"/>
    </font>
    <font>
      <b/>
      <sz val="12"/>
      <color rgb="FF000000"/>
      <name val="Calibri"/>
    </font>
    <font>
      <b/>
      <sz val="12"/>
      <color theme="1"/>
      <name val="Calibri"/>
      <family val="2"/>
      <scheme val="minor"/>
    </font>
    <font>
      <b/>
      <sz val="11"/>
      <color theme="0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Cambria"/>
      <family val="1"/>
    </font>
    <font>
      <sz val="9"/>
      <color theme="1"/>
      <name val="Cambria"/>
      <family val="1"/>
    </font>
    <font>
      <sz val="11"/>
      <color theme="1"/>
      <name val="Calibri"/>
      <family val="2"/>
    </font>
    <font>
      <b/>
      <sz val="12"/>
      <color theme="0"/>
      <name val="Calibri"/>
    </font>
    <font>
      <sz val="12"/>
      <color theme="1"/>
      <name val="Calibri"/>
    </font>
    <font>
      <b/>
      <sz val="12"/>
      <color theme="1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mbria"/>
      <charset val="134"/>
    </font>
    <font>
      <sz val="11"/>
      <name val="Calibri"/>
      <family val="2"/>
    </font>
    <font>
      <sz val="11"/>
      <color theme="1"/>
      <name val="Cambria"/>
      <family val="1"/>
    </font>
    <font>
      <sz val="11"/>
      <color rgb="FFFF0000"/>
      <name val="Calibri"/>
      <family val="2"/>
      <scheme val="minor"/>
    </font>
    <font>
      <sz val="11"/>
      <color rgb="FF242424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465">
    <xf numFmtId="0" fontId="0" fillId="0" borderId="0" xfId="0"/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0" fontId="4" fillId="0" borderId="0" xfId="0" applyFont="1"/>
    <xf numFmtId="0" fontId="4" fillId="0" borderId="6" xfId="0" applyFont="1" applyBorder="1"/>
    <xf numFmtId="164" fontId="4" fillId="0" borderId="2" xfId="1" applyFont="1" applyBorder="1" applyAlignment="1">
      <alignment horizontal="center" vertical="center"/>
    </xf>
    <xf numFmtId="164" fontId="4" fillId="0" borderId="6" xfId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4" fillId="0" borderId="2" xfId="1" applyFont="1" applyBorder="1" applyAlignment="1">
      <alignment vertical="center"/>
    </xf>
    <xf numFmtId="164" fontId="4" fillId="0" borderId="7" xfId="1" applyFont="1" applyBorder="1" applyAlignment="1">
      <alignment vertical="center"/>
    </xf>
    <xf numFmtId="0" fontId="6" fillId="0" borderId="8" xfId="0" applyFont="1" applyBorder="1" applyAlignment="1">
      <alignment horizontal="center"/>
    </xf>
    <xf numFmtId="164" fontId="4" fillId="0" borderId="2" xfId="1" applyFont="1" applyBorder="1" applyAlignment="1">
      <alignment horizontal="center" vertical="top"/>
    </xf>
    <xf numFmtId="164" fontId="4" fillId="0" borderId="7" xfId="1" applyFont="1" applyBorder="1" applyAlignment="1">
      <alignment horizontal="center" vertical="top"/>
    </xf>
    <xf numFmtId="164" fontId="4" fillId="0" borderId="5" xfId="1" applyFont="1" applyBorder="1" applyAlignment="1">
      <alignment horizontal="center" vertical="center"/>
    </xf>
    <xf numFmtId="0" fontId="0" fillId="0" borderId="6" xfId="0" applyBorder="1"/>
    <xf numFmtId="0" fontId="4" fillId="0" borderId="6" xfId="0" applyFont="1" applyBorder="1" applyAlignment="1">
      <alignment horizontal="center" vertical="center" wrapText="1"/>
    </xf>
    <xf numFmtId="164" fontId="4" fillId="0" borderId="15" xfId="1" applyFont="1" applyBorder="1" applyAlignment="1">
      <alignment horizontal="center" vertical="center"/>
    </xf>
    <xf numFmtId="164" fontId="4" fillId="0" borderId="8" xfId="1" applyFont="1" applyBorder="1" applyAlignment="1">
      <alignment horizontal="center" vertical="center"/>
    </xf>
    <xf numFmtId="164" fontId="4" fillId="0" borderId="4" xfId="1" applyFont="1" applyBorder="1" applyAlignment="1">
      <alignment horizontal="center" vertical="center"/>
    </xf>
    <xf numFmtId="2" fontId="0" fillId="0" borderId="0" xfId="0" applyNumberFormat="1"/>
    <xf numFmtId="0" fontId="8" fillId="0" borderId="2" xfId="3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2" xfId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164" fontId="11" fillId="0" borderId="6" xfId="1" applyFont="1" applyFill="1" applyBorder="1" applyAlignment="1">
      <alignment horizontal="center" vertical="center"/>
    </xf>
    <xf numFmtId="164" fontId="11" fillId="0" borderId="6" xfId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4" fontId="11" fillId="0" borderId="0" xfId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0" xfId="1" applyFont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 wrapText="1"/>
    </xf>
    <xf numFmtId="2" fontId="13" fillId="0" borderId="6" xfId="0" applyNumberFormat="1" applyFont="1" applyBorder="1" applyAlignment="1">
      <alignment horizontal="right" vertical="center"/>
    </xf>
    <xf numFmtId="2" fontId="0" fillId="0" borderId="6" xfId="0" applyNumberFormat="1" applyBorder="1"/>
    <xf numFmtId="164" fontId="4" fillId="0" borderId="6" xfId="1" applyFont="1" applyBorder="1" applyAlignment="1">
      <alignment vertical="center"/>
    </xf>
    <xf numFmtId="2" fontId="4" fillId="0" borderId="6" xfId="0" applyNumberFormat="1" applyFont="1" applyBorder="1" applyAlignment="1">
      <alignment horizontal="right" vertical="center" wrapText="1"/>
    </xf>
    <xf numFmtId="164" fontId="10" fillId="4" borderId="9" xfId="1" applyFont="1" applyFill="1" applyBorder="1" applyAlignment="1">
      <alignment horizontal="center" vertical="center"/>
    </xf>
    <xf numFmtId="164" fontId="10" fillId="4" borderId="10" xfId="1" applyFont="1" applyFill="1" applyBorder="1" applyAlignment="1">
      <alignment horizontal="center" vertical="center"/>
    </xf>
    <xf numFmtId="2" fontId="10" fillId="4" borderId="6" xfId="0" applyNumberFormat="1" applyFont="1" applyFill="1" applyBorder="1" applyAlignment="1">
      <alignment horizontal="center" vertical="center"/>
    </xf>
    <xf numFmtId="164" fontId="10" fillId="4" borderId="6" xfId="1" applyFont="1" applyFill="1" applyBorder="1" applyAlignment="1">
      <alignment horizontal="center" vertical="center"/>
    </xf>
    <xf numFmtId="0" fontId="6" fillId="0" borderId="6" xfId="0" applyFont="1" applyBorder="1"/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43" fontId="4" fillId="0" borderId="6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43" fontId="4" fillId="0" borderId="0" xfId="0" applyNumberFormat="1" applyFont="1" applyAlignment="1">
      <alignment horizontal="center"/>
    </xf>
    <xf numFmtId="0" fontId="7" fillId="0" borderId="6" xfId="0" applyFont="1" applyBorder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4" fontId="14" fillId="0" borderId="6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43" fontId="15" fillId="3" borderId="2" xfId="0" applyNumberFormat="1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43" fontId="15" fillId="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1" fillId="0" borderId="0" xfId="0" applyFont="1"/>
    <xf numFmtId="2" fontId="5" fillId="4" borderId="6" xfId="0" applyNumberFormat="1" applyFont="1" applyFill="1" applyBorder="1" applyAlignment="1">
      <alignment horizontal="center" vertical="center"/>
    </xf>
    <xf numFmtId="164" fontId="5" fillId="4" borderId="6" xfId="1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/>
    </xf>
    <xf numFmtId="2" fontId="4" fillId="0" borderId="6" xfId="0" applyNumberFormat="1" applyFont="1" applyBorder="1"/>
    <xf numFmtId="0" fontId="4" fillId="0" borderId="6" xfId="0" applyFont="1" applyBorder="1" applyAlignment="1">
      <alignment vertical="center"/>
    </xf>
    <xf numFmtId="164" fontId="4" fillId="0" borderId="6" xfId="1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164" fontId="4" fillId="4" borderId="6" xfId="1" applyFont="1" applyFill="1" applyBorder="1" applyAlignment="1">
      <alignment horizontal="center" vertical="center"/>
    </xf>
    <xf numFmtId="2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vertical="center"/>
    </xf>
    <xf numFmtId="164" fontId="4" fillId="0" borderId="0" xfId="1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4" fontId="4" fillId="0" borderId="6" xfId="1" applyFont="1" applyBorder="1" applyAlignment="1">
      <alignment horizontal="center" indent="1"/>
    </xf>
    <xf numFmtId="16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3" borderId="6" xfId="0" applyFont="1" applyFill="1" applyBorder="1" applyAlignment="1">
      <alignment horizontal="center" vertical="center" wrapText="1"/>
    </xf>
    <xf numFmtId="43" fontId="15" fillId="3" borderId="6" xfId="0" applyNumberFormat="1" applyFont="1" applyFill="1" applyBorder="1" applyAlignment="1">
      <alignment horizontal="center" vertical="center" wrapText="1"/>
    </xf>
    <xf numFmtId="43" fontId="15" fillId="3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2" fontId="15" fillId="3" borderId="6" xfId="0" applyNumberFormat="1" applyFont="1" applyFill="1" applyBorder="1" applyAlignment="1">
      <alignment horizontal="center" vertical="center" wrapText="1"/>
    </xf>
    <xf numFmtId="2" fontId="15" fillId="3" borderId="6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6" fillId="0" borderId="15" xfId="0" applyFont="1" applyBorder="1"/>
    <xf numFmtId="0" fontId="0" fillId="0" borderId="16" xfId="0" applyBorder="1"/>
    <xf numFmtId="0" fontId="19" fillId="0" borderId="6" xfId="0" applyFont="1" applyBorder="1"/>
    <xf numFmtId="2" fontId="19" fillId="0" borderId="6" xfId="0" applyNumberFormat="1" applyFont="1" applyBorder="1"/>
    <xf numFmtId="0" fontId="0" fillId="0" borderId="13" xfId="0" applyBorder="1"/>
    <xf numFmtId="0" fontId="15" fillId="3" borderId="17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12" fillId="3" borderId="6" xfId="0" applyFont="1" applyFill="1" applyBorder="1" applyAlignment="1">
      <alignment horizontal="center" vertical="center"/>
    </xf>
    <xf numFmtId="43" fontId="4" fillId="0" borderId="6" xfId="0" applyNumberFormat="1" applyFont="1" applyBorder="1" applyAlignment="1">
      <alignment horizontal="center" vertical="center" wrapText="1"/>
    </xf>
    <xf numFmtId="0" fontId="20" fillId="0" borderId="6" xfId="0" applyFont="1" applyBorder="1"/>
    <xf numFmtId="164" fontId="10" fillId="4" borderId="21" xfId="1" applyFont="1" applyFill="1" applyBorder="1" applyAlignment="1">
      <alignment horizontal="center" vertical="center"/>
    </xf>
    <xf numFmtId="164" fontId="0" fillId="0" borderId="6" xfId="0" applyNumberFormat="1" applyBorder="1"/>
    <xf numFmtId="0" fontId="12" fillId="3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43" fontId="4" fillId="0" borderId="13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64" fontId="4" fillId="0" borderId="22" xfId="1" applyFont="1" applyFill="1" applyBorder="1" applyAlignment="1">
      <alignment horizontal="center" vertical="center"/>
    </xf>
    <xf numFmtId="43" fontId="12" fillId="3" borderId="20" xfId="0" applyNumberFormat="1" applyFont="1" applyFill="1" applyBorder="1" applyAlignment="1">
      <alignment horizontal="center" vertical="center" wrapText="1"/>
    </xf>
    <xf numFmtId="43" fontId="12" fillId="3" borderId="7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/>
    </xf>
    <xf numFmtId="0" fontId="12" fillId="3" borderId="7" xfId="0" applyFont="1" applyFill="1" applyBorder="1" applyAlignment="1">
      <alignment horizontal="center" vertical="center"/>
    </xf>
    <xf numFmtId="43" fontId="12" fillId="3" borderId="7" xfId="0" applyNumberFormat="1" applyFont="1" applyFill="1" applyBorder="1" applyAlignment="1">
      <alignment horizontal="center" vertical="center"/>
    </xf>
    <xf numFmtId="43" fontId="12" fillId="3" borderId="20" xfId="0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/>
    </xf>
    <xf numFmtId="0" fontId="14" fillId="0" borderId="8" xfId="3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" fontId="7" fillId="0" borderId="6" xfId="0" applyNumberFormat="1" applyFont="1" applyBorder="1" applyAlignment="1">
      <alignment horizontal="center"/>
    </xf>
    <xf numFmtId="1" fontId="11" fillId="0" borderId="6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4" fontId="7" fillId="0" borderId="15" xfId="0" applyNumberFormat="1" applyFont="1" applyBorder="1" applyAlignment="1">
      <alignment horizontal="center"/>
    </xf>
    <xf numFmtId="0" fontId="15" fillId="3" borderId="16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 wrapText="1"/>
    </xf>
    <xf numFmtId="43" fontId="15" fillId="3" borderId="16" xfId="0" applyNumberFormat="1" applyFont="1" applyFill="1" applyBorder="1" applyAlignment="1">
      <alignment horizontal="center" vertical="center" wrapText="1"/>
    </xf>
    <xf numFmtId="43" fontId="15" fillId="3" borderId="16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164" fontId="4" fillId="0" borderId="15" xfId="0" applyNumberFormat="1" applyFont="1" applyBorder="1" applyAlignment="1">
      <alignment vertical="center"/>
    </xf>
    <xf numFmtId="164" fontId="4" fillId="0" borderId="15" xfId="1" applyFont="1" applyBorder="1" applyAlignment="1">
      <alignment horizontal="center" vertical="top"/>
    </xf>
    <xf numFmtId="164" fontId="10" fillId="0" borderId="6" xfId="1" applyFont="1" applyBorder="1" applyAlignment="1">
      <alignment vertical="center"/>
    </xf>
    <xf numFmtId="0" fontId="19" fillId="0" borderId="23" xfId="0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0" fontId="19" fillId="0" borderId="22" xfId="0" applyFont="1" applyBorder="1" applyAlignment="1">
      <alignment vertical="center"/>
    </xf>
    <xf numFmtId="164" fontId="0" fillId="0" borderId="0" xfId="0" applyNumberFormat="1"/>
    <xf numFmtId="43" fontId="0" fillId="0" borderId="6" xfId="0" applyNumberFormat="1" applyBorder="1"/>
    <xf numFmtId="0" fontId="0" fillId="0" borderId="15" xfId="0" applyBorder="1"/>
    <xf numFmtId="43" fontId="15" fillId="3" borderId="7" xfId="0" applyNumberFormat="1" applyFont="1" applyFill="1" applyBorder="1" applyAlignment="1">
      <alignment horizontal="center" vertical="center" wrapText="1"/>
    </xf>
    <xf numFmtId="43" fontId="15" fillId="3" borderId="7" xfId="0" applyNumberFormat="1" applyFont="1" applyFill="1" applyBorder="1" applyAlignment="1">
      <alignment horizontal="center" vertical="center"/>
    </xf>
    <xf numFmtId="164" fontId="4" fillId="0" borderId="11" xfId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4" fontId="4" fillId="0" borderId="8" xfId="1" applyFont="1" applyBorder="1" applyAlignment="1">
      <alignment horizontal="center" vertical="top"/>
    </xf>
    <xf numFmtId="164" fontId="4" fillId="0" borderId="8" xfId="1" applyFont="1" applyBorder="1" applyAlignment="1">
      <alignment vertical="center"/>
    </xf>
    <xf numFmtId="43" fontId="15" fillId="3" borderId="20" xfId="0" applyNumberFormat="1" applyFont="1" applyFill="1" applyBorder="1" applyAlignment="1">
      <alignment horizontal="center" vertical="center"/>
    </xf>
    <xf numFmtId="43" fontId="4" fillId="0" borderId="15" xfId="0" applyNumberFormat="1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43" fontId="4" fillId="0" borderId="15" xfId="0" applyNumberFormat="1" applyFont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43" fontId="4" fillId="2" borderId="6" xfId="0" applyNumberFormat="1" applyFont="1" applyFill="1" applyBorder="1" applyAlignment="1">
      <alignment horizontal="center" vertical="center" wrapText="1"/>
    </xf>
    <xf numFmtId="43" fontId="4" fillId="2" borderId="6" xfId="0" applyNumberFormat="1" applyFont="1" applyFill="1" applyBorder="1" applyAlignment="1">
      <alignment horizontal="center" vertical="center"/>
    </xf>
    <xf numFmtId="43" fontId="6" fillId="2" borderId="6" xfId="0" applyNumberFormat="1" applyFont="1" applyFill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6" fontId="4" fillId="0" borderId="15" xfId="0" applyNumberFormat="1" applyFont="1" applyBorder="1" applyAlignment="1">
      <alignment horizontal="center"/>
    </xf>
    <xf numFmtId="2" fontId="4" fillId="0" borderId="15" xfId="0" applyNumberFormat="1" applyFont="1" applyBorder="1"/>
    <xf numFmtId="0" fontId="15" fillId="2" borderId="6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43" fontId="15" fillId="2" borderId="6" xfId="0" applyNumberFormat="1" applyFont="1" applyFill="1" applyBorder="1" applyAlignment="1">
      <alignment horizontal="center" vertical="center" wrapText="1"/>
    </xf>
    <xf numFmtId="43" fontId="15" fillId="2" borderId="6" xfId="0" applyNumberFormat="1" applyFont="1" applyFill="1" applyBorder="1" applyAlignment="1">
      <alignment horizontal="center" vertical="center"/>
    </xf>
    <xf numFmtId="164" fontId="4" fillId="0" borderId="6" xfId="0" applyNumberFormat="1" applyFont="1" applyBorder="1" applyAlignment="1">
      <alignment vertical="center"/>
    </xf>
    <xf numFmtId="2" fontId="5" fillId="4" borderId="15" xfId="0" applyNumberFormat="1" applyFont="1" applyFill="1" applyBorder="1" applyAlignment="1">
      <alignment horizontal="center" vertical="center"/>
    </xf>
    <xf numFmtId="164" fontId="5" fillId="4" borderId="15" xfId="1" applyFont="1" applyFill="1" applyBorder="1" applyAlignment="1">
      <alignment horizontal="center" vertical="center"/>
    </xf>
    <xf numFmtId="2" fontId="4" fillId="0" borderId="6" xfId="0" applyNumberFormat="1" applyFont="1" applyBorder="1" applyAlignment="1">
      <alignment horizontal="right"/>
    </xf>
    <xf numFmtId="164" fontId="5" fillId="0" borderId="6" xfId="1" applyFont="1" applyBorder="1" applyAlignment="1">
      <alignment horizontal="center" vertical="center" indent="1"/>
    </xf>
    <xf numFmtId="0" fontId="6" fillId="0" borderId="6" xfId="0" applyFont="1" applyBorder="1" applyAlignment="1">
      <alignment vertical="center"/>
    </xf>
    <xf numFmtId="164" fontId="4" fillId="0" borderId="6" xfId="0" applyNumberFormat="1" applyFont="1" applyBorder="1" applyAlignment="1">
      <alignment horizontal="center" vertical="center"/>
    </xf>
    <xf numFmtId="43" fontId="12" fillId="3" borderId="6" xfId="0" applyNumberFormat="1" applyFont="1" applyFill="1" applyBorder="1" applyAlignment="1">
      <alignment horizontal="center" vertical="center"/>
    </xf>
    <xf numFmtId="0" fontId="0" fillId="2" borderId="6" xfId="0" applyFill="1" applyBorder="1"/>
    <xf numFmtId="0" fontId="20" fillId="2" borderId="6" xfId="0" applyFont="1" applyFill="1" applyBorder="1"/>
    <xf numFmtId="0" fontId="6" fillId="0" borderId="16" xfId="0" applyFont="1" applyBorder="1" applyAlignment="1">
      <alignment horizontal="center"/>
    </xf>
    <xf numFmtId="0" fontId="11" fillId="0" borderId="20" xfId="0" applyFont="1" applyBorder="1" applyAlignment="1">
      <alignment horizontal="center" vertical="center"/>
    </xf>
    <xf numFmtId="0" fontId="4" fillId="0" borderId="16" xfId="0" applyFont="1" applyBorder="1"/>
    <xf numFmtId="14" fontId="4" fillId="0" borderId="16" xfId="0" applyNumberFormat="1" applyFont="1" applyBorder="1" applyAlignment="1">
      <alignment horizontal="center"/>
    </xf>
    <xf numFmtId="2" fontId="4" fillId="0" borderId="16" xfId="0" applyNumberFormat="1" applyFont="1" applyBorder="1"/>
    <xf numFmtId="2" fontId="4" fillId="0" borderId="16" xfId="0" applyNumberFormat="1" applyFont="1" applyBorder="1" applyAlignment="1">
      <alignment horizontal="right"/>
    </xf>
    <xf numFmtId="43" fontId="6" fillId="2" borderId="16" xfId="0" applyNumberFormat="1" applyFont="1" applyFill="1" applyBorder="1" applyAlignment="1">
      <alignment horizontal="center" vertical="center"/>
    </xf>
    <xf numFmtId="43" fontId="0" fillId="0" borderId="0" xfId="0" applyNumberFormat="1"/>
    <xf numFmtId="2" fontId="15" fillId="3" borderId="16" xfId="0" applyNumberFormat="1" applyFont="1" applyFill="1" applyBorder="1" applyAlignment="1">
      <alignment horizontal="center" vertical="center"/>
    </xf>
    <xf numFmtId="0" fontId="4" fillId="0" borderId="6" xfId="1" applyNumberFormat="1" applyFont="1" applyBorder="1" applyAlignment="1">
      <alignment vertical="center"/>
    </xf>
    <xf numFmtId="0" fontId="4" fillId="0" borderId="14" xfId="0" applyFont="1" applyBorder="1"/>
    <xf numFmtId="2" fontId="5" fillId="0" borderId="0" xfId="0" applyNumberFormat="1" applyFont="1"/>
    <xf numFmtId="2" fontId="10" fillId="4" borderId="9" xfId="0" applyNumberFormat="1" applyFont="1" applyFill="1" applyBorder="1" applyAlignment="1">
      <alignment horizontal="center" vertical="center"/>
    </xf>
    <xf numFmtId="2" fontId="0" fillId="0" borderId="15" xfId="0" applyNumberFormat="1" applyBorder="1"/>
    <xf numFmtId="0" fontId="11" fillId="0" borderId="16" xfId="0" applyFont="1" applyBorder="1" applyAlignment="1">
      <alignment horizontal="center" vertical="center"/>
    </xf>
    <xf numFmtId="2" fontId="10" fillId="4" borderId="30" xfId="0" applyNumberFormat="1" applyFont="1" applyFill="1" applyBorder="1" applyAlignment="1">
      <alignment horizontal="center" vertical="center"/>
    </xf>
    <xf numFmtId="164" fontId="4" fillId="0" borderId="14" xfId="1" applyFont="1" applyBorder="1" applyAlignment="1">
      <alignment vertical="center"/>
    </xf>
    <xf numFmtId="164" fontId="4" fillId="0" borderId="16" xfId="1" applyFont="1" applyBorder="1" applyAlignment="1">
      <alignment horizontal="center" vertical="center"/>
    </xf>
    <xf numFmtId="164" fontId="4" fillId="4" borderId="15" xfId="1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right" vertical="center" wrapText="1"/>
    </xf>
    <xf numFmtId="0" fontId="0" fillId="0" borderId="6" xfId="0" applyBorder="1" applyAlignment="1">
      <alignment horizontal="right"/>
    </xf>
    <xf numFmtId="164" fontId="4" fillId="0" borderId="11" xfId="1" applyFont="1" applyBorder="1" applyAlignment="1">
      <alignment horizontal="right" vertical="center"/>
    </xf>
    <xf numFmtId="164" fontId="4" fillId="0" borderId="0" xfId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43" fontId="15" fillId="3" borderId="7" xfId="0" applyNumberFormat="1" applyFont="1" applyFill="1" applyBorder="1" applyAlignment="1">
      <alignment horizontal="right" vertical="center" wrapText="1"/>
    </xf>
    <xf numFmtId="164" fontId="4" fillId="0" borderId="8" xfId="1" applyFont="1" applyBorder="1" applyAlignment="1">
      <alignment horizontal="right" vertical="center"/>
    </xf>
    <xf numFmtId="0" fontId="4" fillId="0" borderId="6" xfId="3" applyNumberFormat="1" applyFont="1" applyBorder="1" applyAlignment="1">
      <alignment vertical="center"/>
    </xf>
    <xf numFmtId="3" fontId="4" fillId="0" borderId="6" xfId="3" applyNumberFormat="1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16" xfId="0" applyFont="1" applyBorder="1" applyAlignment="1">
      <alignment vertical="center" wrapText="1"/>
    </xf>
    <xf numFmtId="2" fontId="4" fillId="4" borderId="15" xfId="0" applyNumberFormat="1" applyFont="1" applyFill="1" applyBorder="1" applyAlignment="1">
      <alignment horizontal="center" vertical="center"/>
    </xf>
    <xf numFmtId="164" fontId="4" fillId="0" borderId="16" xfId="1" applyFont="1" applyBorder="1" applyAlignment="1">
      <alignment vertical="center"/>
    </xf>
    <xf numFmtId="164" fontId="4" fillId="0" borderId="14" xfId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2" fillId="3" borderId="6" xfId="0" applyFont="1" applyFill="1" applyBorder="1" applyAlignment="1">
      <alignment horizontal="right" vertical="center" wrapText="1"/>
    </xf>
    <xf numFmtId="164" fontId="10" fillId="4" borderId="6" xfId="1" applyFont="1" applyFill="1" applyBorder="1" applyAlignment="1">
      <alignment horizontal="right" vertical="center"/>
    </xf>
    <xf numFmtId="0" fontId="4" fillId="0" borderId="16" xfId="0" applyFont="1" applyBorder="1" applyAlignment="1">
      <alignment vertical="center"/>
    </xf>
    <xf numFmtId="0" fontId="4" fillId="0" borderId="15" xfId="0" applyFont="1" applyBorder="1" applyAlignment="1">
      <alignment horizontal="center"/>
    </xf>
    <xf numFmtId="2" fontId="19" fillId="0" borderId="6" xfId="0" applyNumberFormat="1" applyFont="1" applyBorder="1" applyAlignment="1">
      <alignment horizontal="center"/>
    </xf>
    <xf numFmtId="164" fontId="11" fillId="0" borderId="13" xfId="1" applyFont="1" applyBorder="1" applyAlignment="1">
      <alignment horizontal="center" vertical="center"/>
    </xf>
    <xf numFmtId="164" fontId="11" fillId="0" borderId="14" xfId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right" vertical="center"/>
    </xf>
    <xf numFmtId="164" fontId="11" fillId="0" borderId="6" xfId="1" applyFont="1" applyBorder="1" applyAlignment="1">
      <alignment horizontal="left" vertical="top"/>
    </xf>
    <xf numFmtId="165" fontId="4" fillId="0" borderId="13" xfId="0" applyNumberFormat="1" applyFont="1" applyBorder="1" applyAlignment="1">
      <alignment horizontal="center"/>
    </xf>
    <xf numFmtId="164" fontId="10" fillId="0" borderId="16" xfId="1" applyFont="1" applyBorder="1" applyAlignment="1">
      <alignment horizontal="center" vertical="center"/>
    </xf>
    <xf numFmtId="0" fontId="11" fillId="0" borderId="16" xfId="0" applyFont="1" applyBorder="1"/>
    <xf numFmtId="164" fontId="11" fillId="0" borderId="16" xfId="0" applyNumberFormat="1" applyFont="1" applyBorder="1"/>
    <xf numFmtId="2" fontId="10" fillId="4" borderId="15" xfId="0" applyNumberFormat="1" applyFont="1" applyFill="1" applyBorder="1" applyAlignment="1">
      <alignment horizontal="center" vertical="center"/>
    </xf>
    <xf numFmtId="164" fontId="10" fillId="4" borderId="15" xfId="1" applyFont="1" applyFill="1" applyBorder="1" applyAlignment="1">
      <alignment horizontal="center" vertical="center"/>
    </xf>
    <xf numFmtId="0" fontId="14" fillId="0" borderId="6" xfId="3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4" fillId="0" borderId="20" xfId="3" applyNumberFormat="1" applyFon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0" fontId="4" fillId="0" borderId="15" xfId="1" applyNumberFormat="1" applyFont="1" applyBorder="1" applyAlignment="1">
      <alignment vertical="center"/>
    </xf>
    <xf numFmtId="164" fontId="4" fillId="0" borderId="15" xfId="1" applyFont="1" applyBorder="1" applyAlignment="1">
      <alignment vertical="center"/>
    </xf>
    <xf numFmtId="2" fontId="6" fillId="2" borderId="6" xfId="0" applyNumberFormat="1" applyFont="1" applyFill="1" applyBorder="1" applyAlignment="1">
      <alignment horizontal="center" vertical="center"/>
    </xf>
    <xf numFmtId="164" fontId="4" fillId="0" borderId="31" xfId="1" applyFont="1" applyBorder="1" applyAlignment="1">
      <alignment horizontal="center" vertical="center"/>
    </xf>
    <xf numFmtId="164" fontId="4" fillId="0" borderId="11" xfId="1" applyFont="1" applyBorder="1" applyAlignment="1">
      <alignment horizontal="center" vertical="top"/>
    </xf>
    <xf numFmtId="164" fontId="4" fillId="0" borderId="12" xfId="1" applyFont="1" applyBorder="1" applyAlignment="1">
      <alignment horizontal="center" vertical="top"/>
    </xf>
    <xf numFmtId="0" fontId="4" fillId="0" borderId="7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2" fontId="0" fillId="0" borderId="16" xfId="0" applyNumberFormat="1" applyBorder="1"/>
    <xf numFmtId="0" fontId="15" fillId="2" borderId="3" xfId="0" applyFont="1" applyFill="1" applyBorder="1" applyAlignment="1">
      <alignment horizontal="center" vertical="center"/>
    </xf>
    <xf numFmtId="2" fontId="15" fillId="3" borderId="16" xfId="0" applyNumberFormat="1" applyFont="1" applyFill="1" applyBorder="1" applyAlignment="1">
      <alignment horizontal="center" vertical="center" wrapText="1"/>
    </xf>
    <xf numFmtId="2" fontId="0" fillId="0" borderId="16" xfId="0" applyNumberFormat="1" applyBorder="1" applyAlignment="1">
      <alignment horizontal="center"/>
    </xf>
    <xf numFmtId="0" fontId="15" fillId="2" borderId="16" xfId="0" applyFont="1" applyFill="1" applyBorder="1" applyAlignment="1">
      <alignment horizontal="center" vertical="center" wrapText="1"/>
    </xf>
    <xf numFmtId="164" fontId="10" fillId="0" borderId="16" xfId="1" applyFont="1" applyBorder="1" applyAlignment="1">
      <alignment vertical="center"/>
    </xf>
    <xf numFmtId="164" fontId="0" fillId="0" borderId="16" xfId="0" applyNumberFormat="1" applyBorder="1"/>
    <xf numFmtId="164" fontId="11" fillId="0" borderId="15" xfId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/>
    </xf>
    <xf numFmtId="164" fontId="4" fillId="0" borderId="4" xfId="1" applyFont="1" applyBorder="1" applyAlignment="1">
      <alignment vertical="center"/>
    </xf>
    <xf numFmtId="165" fontId="4" fillId="0" borderId="32" xfId="0" applyNumberFormat="1" applyFont="1" applyBorder="1" applyAlignment="1">
      <alignment horizontal="center"/>
    </xf>
    <xf numFmtId="0" fontId="0" fillId="0" borderId="25" xfId="0" applyBorder="1"/>
    <xf numFmtId="0" fontId="4" fillId="0" borderId="13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15" fontId="20" fillId="2" borderId="6" xfId="0" applyNumberFormat="1" applyFont="1" applyFill="1" applyBorder="1"/>
    <xf numFmtId="2" fontId="20" fillId="0" borderId="16" xfId="0" applyNumberFormat="1" applyFont="1" applyBorder="1"/>
    <xf numFmtId="1" fontId="0" fillId="0" borderId="6" xfId="0" applyNumberFormat="1" applyBorder="1"/>
    <xf numFmtId="0" fontId="6" fillId="0" borderId="16" xfId="0" applyFont="1" applyBorder="1"/>
    <xf numFmtId="0" fontId="0" fillId="5" borderId="0" xfId="0" applyFill="1"/>
    <xf numFmtId="0" fontId="22" fillId="0" borderId="0" xfId="0" applyFont="1"/>
    <xf numFmtId="2" fontId="12" fillId="3" borderId="6" xfId="0" applyNumberFormat="1" applyFont="1" applyFill="1" applyBorder="1" applyAlignment="1">
      <alignment horizontal="center" vertical="center" wrapText="1"/>
    </xf>
    <xf numFmtId="2" fontId="10" fillId="0" borderId="16" xfId="1" applyNumberFormat="1" applyFont="1" applyBorder="1" applyAlignment="1">
      <alignment vertical="center"/>
    </xf>
    <xf numFmtId="2" fontId="10" fillId="4" borderId="6" xfId="1" applyNumberFormat="1" applyFont="1" applyFill="1" applyBorder="1" applyAlignment="1">
      <alignment horizontal="right" vertical="center"/>
    </xf>
    <xf numFmtId="2" fontId="15" fillId="3" borderId="7" xfId="0" applyNumberFormat="1" applyFont="1" applyFill="1" applyBorder="1" applyAlignment="1">
      <alignment horizontal="center" vertical="center" wrapText="1"/>
    </xf>
    <xf numFmtId="2" fontId="15" fillId="3" borderId="7" xfId="0" applyNumberFormat="1" applyFont="1" applyFill="1" applyBorder="1" applyAlignment="1">
      <alignment horizontal="center" vertical="center"/>
    </xf>
    <xf numFmtId="2" fontId="19" fillId="0" borderId="16" xfId="0" applyNumberFormat="1" applyFont="1" applyBorder="1" applyAlignment="1">
      <alignment horizontal="center"/>
    </xf>
    <xf numFmtId="0" fontId="19" fillId="0" borderId="16" xfId="0" applyFont="1" applyBorder="1"/>
    <xf numFmtId="0" fontId="23" fillId="0" borderId="0" xfId="0" applyFont="1"/>
    <xf numFmtId="2" fontId="12" fillId="3" borderId="6" xfId="0" applyNumberFormat="1" applyFont="1" applyFill="1" applyBorder="1" applyAlignment="1">
      <alignment horizontal="right" vertical="center" wrapText="1"/>
    </xf>
    <xf numFmtId="2" fontId="10" fillId="4" borderId="6" xfId="1" applyNumberFormat="1" applyFont="1" applyFill="1" applyBorder="1" applyAlignment="1">
      <alignment horizontal="center" vertical="center"/>
    </xf>
    <xf numFmtId="0" fontId="0" fillId="0" borderId="6" xfId="0" applyBorder="1" applyAlignment="1">
      <alignment wrapText="1"/>
    </xf>
    <xf numFmtId="164" fontId="4" fillId="2" borderId="6" xfId="1" applyFont="1" applyFill="1" applyBorder="1" applyAlignment="1">
      <alignment horizontal="center" vertical="center"/>
    </xf>
    <xf numFmtId="164" fontId="10" fillId="0" borderId="13" xfId="1" applyFont="1" applyBorder="1" applyAlignment="1">
      <alignment vertical="center"/>
    </xf>
    <xf numFmtId="0" fontId="0" fillId="0" borderId="14" xfId="0" applyBorder="1"/>
    <xf numFmtId="164" fontId="11" fillId="0" borderId="11" xfId="1" applyFont="1" applyBorder="1" applyAlignment="1">
      <alignment horizontal="center" vertical="center"/>
    </xf>
    <xf numFmtId="164" fontId="11" fillId="0" borderId="5" xfId="1" applyFont="1" applyBorder="1" applyAlignment="1">
      <alignment horizontal="center" vertical="center"/>
    </xf>
    <xf numFmtId="164" fontId="11" fillId="0" borderId="22" xfId="1" applyFont="1" applyBorder="1" applyAlignment="1">
      <alignment horizontal="center" vertical="center"/>
    </xf>
    <xf numFmtId="164" fontId="11" fillId="0" borderId="28" xfId="1" applyFont="1" applyBorder="1" applyAlignment="1">
      <alignment horizontal="center" vertical="center"/>
    </xf>
    <xf numFmtId="167" fontId="0" fillId="0" borderId="0" xfId="0" applyNumberFormat="1"/>
    <xf numFmtId="4" fontId="4" fillId="0" borderId="0" xfId="0" applyNumberFormat="1" applyFont="1" applyAlignment="1">
      <alignment vertical="center" wrapText="1"/>
    </xf>
    <xf numFmtId="43" fontId="4" fillId="0" borderId="0" xfId="0" applyNumberFormat="1" applyFont="1" applyAlignment="1">
      <alignment vertical="center"/>
    </xf>
    <xf numFmtId="4" fontId="0" fillId="0" borderId="0" xfId="0" applyNumberFormat="1"/>
    <xf numFmtId="168" fontId="4" fillId="0" borderId="2" xfId="1" applyNumberFormat="1" applyFont="1" applyBorder="1" applyAlignment="1">
      <alignment horizontal="center" vertical="top"/>
    </xf>
    <xf numFmtId="0" fontId="5" fillId="7" borderId="0" xfId="0" applyFont="1" applyFill="1" applyAlignment="1">
      <alignment vertical="center"/>
    </xf>
    <xf numFmtId="0" fontId="19" fillId="7" borderId="0" xfId="0" applyFont="1" applyFill="1"/>
    <xf numFmtId="0" fontId="0" fillId="0" borderId="15" xfId="0" applyBorder="1" applyAlignment="1">
      <alignment horizontal="center"/>
    </xf>
    <xf numFmtId="0" fontId="20" fillId="2" borderId="16" xfId="0" applyFont="1" applyFill="1" applyBorder="1"/>
    <xf numFmtId="0" fontId="16" fillId="5" borderId="6" xfId="0" applyFont="1" applyFill="1" applyBorder="1" applyAlignment="1">
      <alignment horizontal="center" vertical="center"/>
    </xf>
    <xf numFmtId="0" fontId="25" fillId="6" borderId="16" xfId="0" applyFont="1" applyFill="1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5" xfId="0" applyNumberFormat="1" applyBorder="1" applyAlignment="1">
      <alignment horizontal="center"/>
    </xf>
    <xf numFmtId="0" fontId="20" fillId="0" borderId="0" xfId="0" applyFont="1"/>
    <xf numFmtId="4" fontId="6" fillId="0" borderId="6" xfId="0" applyNumberFormat="1" applyFont="1" applyBorder="1"/>
    <xf numFmtId="1" fontId="0" fillId="0" borderId="6" xfId="0" quotePrefix="1" applyNumberFormat="1" applyBorder="1"/>
    <xf numFmtId="0" fontId="26" fillId="8" borderId="33" xfId="0" applyFont="1" applyFill="1" applyBorder="1"/>
    <xf numFmtId="0" fontId="26" fillId="8" borderId="34" xfId="0" applyFont="1" applyFill="1" applyBorder="1"/>
    <xf numFmtId="2" fontId="26" fillId="8" borderId="34" xfId="0" applyNumberFormat="1" applyFont="1" applyFill="1" applyBorder="1"/>
    <xf numFmtId="2" fontId="26" fillId="8" borderId="35" xfId="0" applyNumberFormat="1" applyFont="1" applyFill="1" applyBorder="1"/>
    <xf numFmtId="2" fontId="27" fillId="9" borderId="40" xfId="0" applyNumberFormat="1" applyFont="1" applyFill="1" applyBorder="1"/>
    <xf numFmtId="169" fontId="4" fillId="0" borderId="6" xfId="0" applyNumberFormat="1" applyFont="1" applyBorder="1"/>
    <xf numFmtId="169" fontId="27" fillId="9" borderId="40" xfId="0" applyNumberFormat="1" applyFont="1" applyFill="1" applyBorder="1"/>
    <xf numFmtId="164" fontId="0" fillId="0" borderId="0" xfId="0" applyNumberFormat="1" applyAlignment="1">
      <alignment horizontal="center"/>
    </xf>
    <xf numFmtId="0" fontId="15" fillId="3" borderId="7" xfId="0" applyFont="1" applyFill="1" applyBorder="1" applyAlignment="1">
      <alignment vertical="center" wrapText="1"/>
    </xf>
    <xf numFmtId="166" fontId="4" fillId="0" borderId="6" xfId="0" applyNumberFormat="1" applyFont="1" applyBorder="1"/>
    <xf numFmtId="164" fontId="5" fillId="4" borderId="6" xfId="1" applyFont="1" applyFill="1" applyBorder="1" applyAlignment="1">
      <alignment vertical="center"/>
    </xf>
    <xf numFmtId="1" fontId="4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70" fontId="4" fillId="0" borderId="4" xfId="1" applyNumberFormat="1" applyFont="1" applyBorder="1" applyAlignment="1">
      <alignment vertical="center"/>
    </xf>
    <xf numFmtId="170" fontId="0" fillId="0" borderId="14" xfId="0" applyNumberFormat="1" applyBorder="1"/>
    <xf numFmtId="0" fontId="28" fillId="0" borderId="14" xfId="0" applyFont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1" fontId="19" fillId="0" borderId="24" xfId="0" applyNumberFormat="1" applyFont="1" applyBorder="1" applyAlignment="1">
      <alignment vertical="center"/>
    </xf>
    <xf numFmtId="164" fontId="21" fillId="0" borderId="41" xfId="1" applyFont="1" applyBorder="1" applyAlignment="1">
      <alignment horizontal="center"/>
    </xf>
    <xf numFmtId="1" fontId="4" fillId="2" borderId="6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9" fillId="0" borderId="6" xfId="0" applyFont="1" applyBorder="1"/>
    <xf numFmtId="166" fontId="30" fillId="0" borderId="6" xfId="0" applyNumberFormat="1" applyFont="1" applyBorder="1" applyAlignment="1">
      <alignment horizontal="center"/>
    </xf>
    <xf numFmtId="166" fontId="28" fillId="0" borderId="6" xfId="0" applyNumberFormat="1" applyFont="1" applyBorder="1" applyAlignment="1">
      <alignment horizontal="center" vertical="center"/>
    </xf>
    <xf numFmtId="164" fontId="28" fillId="0" borderId="6" xfId="1" applyFont="1" applyBorder="1" applyAlignment="1">
      <alignment vertical="center"/>
    </xf>
    <xf numFmtId="0" fontId="31" fillId="8" borderId="33" xfId="0" applyFont="1" applyFill="1" applyBorder="1"/>
    <xf numFmtId="0" fontId="31" fillId="8" borderId="34" xfId="0" applyFont="1" applyFill="1" applyBorder="1"/>
    <xf numFmtId="2" fontId="31" fillId="8" borderId="34" xfId="0" applyNumberFormat="1" applyFont="1" applyFill="1" applyBorder="1"/>
    <xf numFmtId="2" fontId="31" fillId="8" borderId="35" xfId="0" applyNumberFormat="1" applyFont="1" applyFill="1" applyBorder="1"/>
    <xf numFmtId="0" fontId="32" fillId="0" borderId="0" xfId="0" applyFont="1"/>
    <xf numFmtId="0" fontId="32" fillId="0" borderId="6" xfId="0" applyFont="1" applyBorder="1" applyAlignment="1">
      <alignment horizontal="center"/>
    </xf>
    <xf numFmtId="0" fontId="32" fillId="0" borderId="6" xfId="0" applyFont="1" applyBorder="1"/>
    <xf numFmtId="1" fontId="32" fillId="2" borderId="6" xfId="0" applyNumberFormat="1" applyFont="1" applyFill="1" applyBorder="1"/>
    <xf numFmtId="0" fontId="32" fillId="0" borderId="6" xfId="0" applyFont="1" applyBorder="1" applyAlignment="1">
      <alignment wrapText="1"/>
    </xf>
    <xf numFmtId="2" fontId="32" fillId="0" borderId="6" xfId="0" applyNumberFormat="1" applyFont="1" applyBorder="1"/>
    <xf numFmtId="1" fontId="32" fillId="2" borderId="4" xfId="1" applyNumberFormat="1" applyFont="1" applyFill="1" applyBorder="1" applyAlignment="1">
      <alignment vertical="center"/>
    </xf>
    <xf numFmtId="1" fontId="32" fillId="9" borderId="6" xfId="0" applyNumberFormat="1" applyFont="1" applyFill="1" applyBorder="1"/>
    <xf numFmtId="2" fontId="32" fillId="0" borderId="0" xfId="0" applyNumberFormat="1" applyFont="1"/>
    <xf numFmtId="1" fontId="32" fillId="0" borderId="0" xfId="0" applyNumberFormat="1" applyFont="1"/>
    <xf numFmtId="164" fontId="34" fillId="0" borderId="6" xfId="4" applyNumberFormat="1" applyBorder="1" applyAlignment="1">
      <alignment horizontal="center" vertical="center"/>
    </xf>
    <xf numFmtId="164" fontId="4" fillId="0" borderId="13" xfId="1" applyFont="1" applyBorder="1" applyAlignment="1">
      <alignment horizontal="center" vertical="top"/>
    </xf>
    <xf numFmtId="0" fontId="20" fillId="10" borderId="6" xfId="0" applyFont="1" applyFill="1" applyBorder="1"/>
    <xf numFmtId="15" fontId="20" fillId="2" borderId="13" xfId="0" applyNumberFormat="1" applyFont="1" applyFill="1" applyBorder="1"/>
    <xf numFmtId="0" fontId="16" fillId="5" borderId="6" xfId="0" applyFont="1" applyFill="1" applyBorder="1" applyAlignment="1">
      <alignment horizontal="right" vertical="center"/>
    </xf>
    <xf numFmtId="0" fontId="15" fillId="3" borderId="6" xfId="0" applyFont="1" applyFill="1" applyBorder="1" applyAlignment="1">
      <alignment horizontal="right" vertical="center" wrapText="1"/>
    </xf>
    <xf numFmtId="2" fontId="15" fillId="3" borderId="6" xfId="0" applyNumberFormat="1" applyFont="1" applyFill="1" applyBorder="1" applyAlignment="1">
      <alignment horizontal="right" vertical="center" wrapText="1"/>
    </xf>
    <xf numFmtId="0" fontId="15" fillId="3" borderId="6" xfId="0" applyFont="1" applyFill="1" applyBorder="1" applyAlignment="1">
      <alignment horizontal="right" vertical="center"/>
    </xf>
    <xf numFmtId="2" fontId="15" fillId="3" borderId="6" xfId="0" applyNumberFormat="1" applyFont="1" applyFill="1" applyBorder="1" applyAlignment="1">
      <alignment horizontal="right" vertical="center"/>
    </xf>
    <xf numFmtId="43" fontId="15" fillId="3" borderId="6" xfId="0" applyNumberFormat="1" applyFont="1" applyFill="1" applyBorder="1" applyAlignment="1">
      <alignment horizontal="right" vertical="center"/>
    </xf>
    <xf numFmtId="0" fontId="25" fillId="6" borderId="16" xfId="0" applyFont="1" applyFill="1" applyBorder="1" applyAlignment="1">
      <alignment horizontal="right"/>
    </xf>
    <xf numFmtId="2" fontId="24" fillId="6" borderId="13" xfId="0" applyNumberFormat="1" applyFont="1" applyFill="1" applyBorder="1" applyAlignment="1">
      <alignment horizontal="right"/>
    </xf>
    <xf numFmtId="2" fontId="24" fillId="6" borderId="25" xfId="0" applyNumberFormat="1" applyFont="1" applyFill="1" applyBorder="1" applyAlignment="1">
      <alignment horizontal="right"/>
    </xf>
    <xf numFmtId="2" fontId="24" fillId="6" borderId="14" xfId="0" applyNumberFormat="1" applyFont="1" applyFill="1" applyBorder="1" applyAlignment="1">
      <alignment horizontal="right"/>
    </xf>
    <xf numFmtId="2" fontId="0" fillId="0" borderId="6" xfId="0" applyNumberFormat="1" applyBorder="1" applyAlignment="1">
      <alignment horizontal="right"/>
    </xf>
    <xf numFmtId="2" fontId="0" fillId="2" borderId="6" xfId="0" applyNumberFormat="1" applyFill="1" applyBorder="1" applyAlignment="1">
      <alignment horizontal="right"/>
    </xf>
    <xf numFmtId="2" fontId="0" fillId="0" borderId="16" xfId="0" applyNumberFormat="1" applyBorder="1" applyAlignment="1">
      <alignment horizontal="right"/>
    </xf>
    <xf numFmtId="2" fontId="0" fillId="0" borderId="14" xfId="0" applyNumberFormat="1" applyBorder="1" applyAlignment="1">
      <alignment horizontal="right"/>
    </xf>
    <xf numFmtId="0" fontId="20" fillId="0" borderId="6" xfId="0" applyFont="1" applyBorder="1" applyAlignment="1">
      <alignment horizontal="right"/>
    </xf>
    <xf numFmtId="2" fontId="0" fillId="0" borderId="15" xfId="0" applyNumberFormat="1" applyBorder="1" applyAlignment="1">
      <alignment horizontal="right"/>
    </xf>
    <xf numFmtId="0" fontId="0" fillId="0" borderId="16" xfId="0" applyBorder="1" applyAlignment="1">
      <alignment horizontal="right"/>
    </xf>
    <xf numFmtId="1" fontId="0" fillId="0" borderId="16" xfId="0" quotePrefix="1" applyNumberFormat="1" applyBorder="1"/>
    <xf numFmtId="2" fontId="5" fillId="2" borderId="14" xfId="0" applyNumberFormat="1" applyFont="1" applyFill="1" applyBorder="1" applyAlignment="1">
      <alignment vertical="center"/>
    </xf>
    <xf numFmtId="2" fontId="5" fillId="2" borderId="6" xfId="0" applyNumberFormat="1" applyFont="1" applyFill="1" applyBorder="1" applyAlignment="1">
      <alignment vertical="center"/>
    </xf>
    <xf numFmtId="43" fontId="6" fillId="2" borderId="15" xfId="0" applyNumberFormat="1" applyFont="1" applyFill="1" applyBorder="1" applyAlignment="1">
      <alignment horizontal="center" vertical="center"/>
    </xf>
    <xf numFmtId="164" fontId="35" fillId="0" borderId="6" xfId="1" applyFont="1" applyBorder="1" applyAlignment="1"/>
    <xf numFmtId="1" fontId="4" fillId="11" borderId="6" xfId="0" applyNumberFormat="1" applyFont="1" applyFill="1" applyBorder="1"/>
    <xf numFmtId="164" fontId="30" fillId="0" borderId="6" xfId="1" applyFont="1" applyBorder="1" applyAlignment="1"/>
    <xf numFmtId="0" fontId="30" fillId="0" borderId="6" xfId="0" applyFont="1" applyBorder="1"/>
    <xf numFmtId="0" fontId="7" fillId="0" borderId="6" xfId="0" applyFont="1" applyBorder="1"/>
    <xf numFmtId="166" fontId="35" fillId="0" borderId="6" xfId="0" applyNumberFormat="1" applyFont="1" applyBorder="1" applyAlignment="1">
      <alignment horizontal="center" vertical="center"/>
    </xf>
    <xf numFmtId="166" fontId="36" fillId="0" borderId="6" xfId="0" applyNumberFormat="1" applyFont="1" applyBorder="1" applyAlignment="1">
      <alignment horizontal="center"/>
    </xf>
    <xf numFmtId="1" fontId="32" fillId="2" borderId="0" xfId="1" applyNumberFormat="1" applyFont="1" applyFill="1" applyBorder="1" applyAlignment="1">
      <alignment vertical="center"/>
    </xf>
    <xf numFmtId="171" fontId="6" fillId="2" borderId="6" xfId="0" applyNumberFormat="1" applyFont="1" applyFill="1" applyBorder="1" applyAlignment="1">
      <alignment horizontal="center" vertical="center"/>
    </xf>
    <xf numFmtId="171" fontId="0" fillId="0" borderId="14" xfId="0" applyNumberFormat="1" applyBorder="1"/>
    <xf numFmtId="164" fontId="11" fillId="2" borderId="6" xfId="1" applyFont="1" applyFill="1" applyBorder="1" applyAlignment="1">
      <alignment horizontal="center" vertical="center"/>
    </xf>
    <xf numFmtId="166" fontId="37" fillId="0" borderId="6" xfId="0" applyNumberFormat="1" applyFont="1" applyBorder="1" applyAlignment="1">
      <alignment vertical="center"/>
    </xf>
    <xf numFmtId="43" fontId="38" fillId="0" borderId="0" xfId="0" applyNumberFormat="1" applyFont="1"/>
    <xf numFmtId="2" fontId="15" fillId="3" borderId="20" xfId="0" applyNumberFormat="1" applyFont="1" applyFill="1" applyBorder="1" applyAlignment="1">
      <alignment horizontal="center" vertical="center"/>
    </xf>
    <xf numFmtId="2" fontId="0" fillId="0" borderId="14" xfId="0" applyNumberFormat="1" applyBorder="1"/>
    <xf numFmtId="164" fontId="37" fillId="0" borderId="6" xfId="1" applyFont="1" applyBorder="1" applyAlignment="1">
      <alignment vertical="center"/>
    </xf>
    <xf numFmtId="166" fontId="37" fillId="0" borderId="6" xfId="0" applyNumberFormat="1" applyFont="1" applyBorder="1" applyAlignment="1">
      <alignment horizontal="right" vertical="center"/>
    </xf>
    <xf numFmtId="164" fontId="39" fillId="0" borderId="2" xfId="0" applyNumberFormat="1" applyFont="1" applyBorder="1"/>
    <xf numFmtId="0" fontId="20" fillId="2" borderId="14" xfId="0" applyFont="1" applyFill="1" applyBorder="1"/>
    <xf numFmtId="0" fontId="20" fillId="2" borderId="15" xfId="0" applyFont="1" applyFill="1" applyBorder="1"/>
    <xf numFmtId="2" fontId="0" fillId="2" borderId="14" xfId="0" applyNumberFormat="1" applyFill="1" applyBorder="1" applyAlignment="1">
      <alignment horizontal="right"/>
    </xf>
    <xf numFmtId="166" fontId="37" fillId="0" borderId="6" xfId="0" applyNumberFormat="1" applyFont="1" applyBorder="1" applyAlignment="1">
      <alignment horizontal="center" vertical="center"/>
    </xf>
    <xf numFmtId="0" fontId="20" fillId="0" borderId="14" xfId="0" applyFont="1" applyBorder="1"/>
    <xf numFmtId="2" fontId="4" fillId="12" borderId="6" xfId="0" applyNumberFormat="1" applyFont="1" applyFill="1" applyBorder="1"/>
    <xf numFmtId="0" fontId="20" fillId="0" borderId="15" xfId="0" applyFont="1" applyBorder="1"/>
    <xf numFmtId="0" fontId="20" fillId="0" borderId="42" xfId="0" applyFont="1" applyBorder="1"/>
    <xf numFmtId="0" fontId="20" fillId="2" borderId="42" xfId="0" applyFont="1" applyFill="1" applyBorder="1"/>
    <xf numFmtId="0" fontId="20" fillId="0" borderId="13" xfId="0" applyFont="1" applyBorder="1"/>
    <xf numFmtId="0" fontId="20" fillId="0" borderId="28" xfId="0" applyFont="1" applyBorder="1"/>
    <xf numFmtId="0" fontId="30" fillId="0" borderId="6" xfId="0" applyFont="1" applyBorder="1" applyAlignment="1">
      <alignment horizontal="center"/>
    </xf>
    <xf numFmtId="2" fontId="30" fillId="0" borderId="6" xfId="0" applyNumberFormat="1" applyFont="1" applyBorder="1" applyAlignment="1">
      <alignment horizontal="center"/>
    </xf>
    <xf numFmtId="166" fontId="30" fillId="0" borderId="2" xfId="0" applyNumberFormat="1" applyFont="1" applyBorder="1" applyAlignment="1">
      <alignment horizontal="center"/>
    </xf>
    <xf numFmtId="164" fontId="35" fillId="0" borderId="6" xfId="1" applyFont="1" applyBorder="1" applyAlignment="1">
      <alignment vertical="center"/>
    </xf>
    <xf numFmtId="2" fontId="0" fillId="0" borderId="28" xfId="0" applyNumberFormat="1" applyBorder="1" applyAlignment="1">
      <alignment horizontal="right"/>
    </xf>
    <xf numFmtId="0" fontId="20" fillId="0" borderId="15" xfId="0" applyFont="1" applyBorder="1" applyAlignment="1">
      <alignment horizontal="right"/>
    </xf>
    <xf numFmtId="164" fontId="11" fillId="0" borderId="43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5" borderId="12" xfId="0" applyFont="1" applyFill="1" applyBorder="1" applyAlignment="1">
      <alignment horizontal="center"/>
    </xf>
    <xf numFmtId="0" fontId="27" fillId="9" borderId="37" xfId="0" applyFont="1" applyFill="1" applyBorder="1" applyAlignment="1">
      <alignment horizontal="center"/>
    </xf>
    <xf numFmtId="0" fontId="27" fillId="9" borderId="38" xfId="0" applyFont="1" applyFill="1" applyBorder="1" applyAlignment="1">
      <alignment horizontal="center"/>
    </xf>
    <xf numFmtId="0" fontId="27" fillId="9" borderId="39" xfId="0" applyFont="1" applyFill="1" applyBorder="1" applyAlignment="1">
      <alignment horizontal="center"/>
    </xf>
    <xf numFmtId="0" fontId="33" fillId="9" borderId="6" xfId="0" applyFont="1" applyFill="1" applyBorder="1" applyAlignment="1">
      <alignment horizontal="center"/>
    </xf>
    <xf numFmtId="0" fontId="16" fillId="5" borderId="6" xfId="0" applyFont="1" applyFill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19" fillId="0" borderId="29" xfId="0" applyFont="1" applyBorder="1" applyAlignment="1">
      <alignment horizontal="center"/>
    </xf>
    <xf numFmtId="0" fontId="16" fillId="5" borderId="0" xfId="0" applyFont="1" applyFill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5" fillId="5" borderId="12" xfId="0" applyFont="1" applyFill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9" fillId="0" borderId="28" xfId="0" applyFont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5" fillId="5" borderId="6" xfId="0" applyFont="1" applyFill="1" applyBorder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43" fontId="5" fillId="2" borderId="13" xfId="0" applyNumberFormat="1" applyFont="1" applyFill="1" applyBorder="1" applyAlignment="1">
      <alignment horizontal="center" vertical="center"/>
    </xf>
    <xf numFmtId="43" fontId="5" fillId="2" borderId="14" xfId="0" applyNumberFormat="1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wrapText="1"/>
    </xf>
    <xf numFmtId="2" fontId="16" fillId="5" borderId="6" xfId="0" applyNumberFormat="1" applyFont="1" applyFill="1" applyBorder="1" applyAlignment="1">
      <alignment horizontal="center" vertical="center"/>
    </xf>
    <xf numFmtId="2" fontId="5" fillId="2" borderId="6" xfId="0" applyNumberFormat="1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wrapText="1"/>
    </xf>
    <xf numFmtId="0" fontId="5" fillId="0" borderId="25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8" xfId="0" applyBorder="1" applyAlignment="1">
      <alignment horizontal="center"/>
    </xf>
    <xf numFmtId="0" fontId="16" fillId="5" borderId="0" xfId="0" applyFont="1" applyFill="1" applyAlignment="1">
      <alignment horizontal="center"/>
    </xf>
    <xf numFmtId="0" fontId="1" fillId="0" borderId="36" xfId="0" applyFont="1" applyBorder="1"/>
    <xf numFmtId="0" fontId="1" fillId="0" borderId="6" xfId="0" applyFont="1" applyBorder="1"/>
    <xf numFmtId="0" fontId="1" fillId="0" borderId="13" xfId="0" applyFont="1" applyBorder="1"/>
    <xf numFmtId="0" fontId="1" fillId="0" borderId="6" xfId="0" applyFont="1" applyBorder="1" applyAlignment="1">
      <alignment wrapText="1"/>
    </xf>
    <xf numFmtId="0" fontId="1" fillId="0" borderId="13" xfId="0" applyFont="1" applyBorder="1" applyAlignment="1">
      <alignment wrapText="1"/>
    </xf>
    <xf numFmtId="2" fontId="1" fillId="0" borderId="6" xfId="0" applyNumberFormat="1" applyFont="1" applyBorder="1"/>
    <xf numFmtId="2" fontId="1" fillId="0" borderId="13" xfId="0" applyNumberFormat="1" applyFont="1" applyBorder="1"/>
  </cellXfs>
  <cellStyles count="5">
    <cellStyle name="Comma" xfId="1" builtinId="3"/>
    <cellStyle name="Comma 3" xfId="2" xr:uid="{00000000-0005-0000-0000-000001000000}"/>
    <cellStyle name="Comma 4" xfId="3" xr:uid="{00000000-0005-0000-0000-000002000000}"/>
    <cellStyle name="Hyperlink" xfId="4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S" id="{9AA63208-B4E1-48B2-804C-CEAFD5A2E2C1}" userId="S::mis@civetprojects.com::385d0a88-2879-4baf-a915-f9a0490de5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2" dT="2025-07-10T05:30:23.52" personId="{9AA63208-B4E1-48B2-804C-CEAFD5A2E2C1}" id="{A982F3AF-1FD5-4469-AEC9-B3E65A67B1C1}">
    <text xml:space="preserve">Cash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8" dT="2025-06-25T07:23:23.67" personId="{9AA63208-B4E1-48B2-804C-CEAFD5A2E2C1}" id="{FA6C6D60-763F-4D25-8E11-827FD02A0C8B}">
    <text>Amount Paid 25.06.2025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8" dT="2025-08-01T09:33:32.17" personId="{9AA63208-B4E1-48B2-804C-CEAFD5A2E2C1}" id="{1B4FC53A-924B-4250-83DE-7DDD8AAF0E59}">
    <text>Redeem Cash</text>
  </threadedComment>
</ThreadedComment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civetprojectss-my.sharepoint.com/:x:/g/personal/mis_civetprojects_com/EaN7JETNVtRCqKO_Lcark7UBOl55m2ikPSDC63AQ1xDxNg?e=f6qb82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7E20-622B-4D77-9106-288DCA6BFCC7}">
  <dimension ref="A1:K49"/>
  <sheetViews>
    <sheetView workbookViewId="0">
      <selection activeCell="A16" sqref="A16"/>
    </sheetView>
  </sheetViews>
  <sheetFormatPr defaultColWidth="20.28515625" defaultRowHeight="15"/>
  <cols>
    <col min="1" max="1" width="7.7109375" customWidth="1"/>
    <col min="2" max="2" width="23.7109375" customWidth="1"/>
    <col min="3" max="3" width="34.5703125" bestFit="1" customWidth="1"/>
    <col min="4" max="4" width="13" customWidth="1"/>
    <col min="5" max="5" width="14" customWidth="1"/>
    <col min="6" max="6" width="11.7109375" customWidth="1"/>
    <col min="7" max="7" width="13.140625" customWidth="1"/>
    <col min="8" max="8" width="14.28515625" customWidth="1"/>
    <col min="9" max="9" width="18.5703125" customWidth="1"/>
    <col min="10" max="10" width="13.7109375" customWidth="1"/>
    <col min="11" max="11" width="16.42578125" customWidth="1"/>
  </cols>
  <sheetData>
    <row r="1" spans="1:11">
      <c r="A1" s="312" t="s">
        <v>0</v>
      </c>
      <c r="B1" s="313" t="s">
        <v>1</v>
      </c>
      <c r="C1" s="313" t="s">
        <v>2</v>
      </c>
      <c r="D1" s="314" t="s">
        <v>3</v>
      </c>
      <c r="E1" s="314" t="s">
        <v>4</v>
      </c>
      <c r="F1" s="314" t="s">
        <v>5</v>
      </c>
      <c r="G1" s="314" t="s">
        <v>6</v>
      </c>
      <c r="H1" s="314" t="s">
        <v>7</v>
      </c>
      <c r="I1" s="314" t="s">
        <v>8</v>
      </c>
      <c r="J1" s="314" t="s">
        <v>9</v>
      </c>
      <c r="K1" s="315" t="s">
        <v>10</v>
      </c>
    </row>
    <row r="2" spans="1:11">
      <c r="A2" s="458">
        <v>1</v>
      </c>
      <c r="B2" s="459" t="s">
        <v>11</v>
      </c>
      <c r="C2" s="460" t="s">
        <v>12</v>
      </c>
      <c r="D2" s="6">
        <v>11984.26</v>
      </c>
      <c r="E2" s="6">
        <v>1146653.9968000001</v>
      </c>
      <c r="F2" s="6">
        <v>130</v>
      </c>
      <c r="G2" s="6">
        <v>13969.8</v>
      </c>
      <c r="H2" s="6">
        <f>E2+G2</f>
        <v>1160623.7968000001</v>
      </c>
      <c r="I2" s="6">
        <v>5140597</v>
      </c>
      <c r="J2" s="6">
        <v>2500000</v>
      </c>
      <c r="K2" s="317">
        <f>I2+H2-J2</f>
        <v>3801220.7968000006</v>
      </c>
    </row>
    <row r="3" spans="1:11">
      <c r="A3" s="458">
        <v>2</v>
      </c>
      <c r="B3" s="459" t="s">
        <v>13</v>
      </c>
      <c r="C3" s="460" t="s">
        <v>14</v>
      </c>
      <c r="D3" s="6">
        <v>118512.26</v>
      </c>
      <c r="E3" s="6">
        <v>11339228.036800001</v>
      </c>
      <c r="F3" s="6">
        <v>535</v>
      </c>
      <c r="G3" s="6">
        <v>57491.099999999991</v>
      </c>
      <c r="H3" s="6">
        <f>E3+G3</f>
        <v>11396719.1368</v>
      </c>
      <c r="I3" s="6">
        <v>3730421</v>
      </c>
      <c r="J3" s="6">
        <v>1500000</v>
      </c>
      <c r="K3" s="317">
        <f>I3+H3-J3</f>
        <v>13627140.1368</v>
      </c>
    </row>
    <row r="4" spans="1:11">
      <c r="A4" s="458">
        <v>3</v>
      </c>
      <c r="B4" s="459" t="s">
        <v>15</v>
      </c>
      <c r="C4" s="460" t="s">
        <v>16</v>
      </c>
      <c r="D4" s="6">
        <v>33155.089999999997</v>
      </c>
      <c r="E4" s="6">
        <v>3172942.1129999999</v>
      </c>
      <c r="F4" s="6">
        <v>70</v>
      </c>
      <c r="G4" s="6">
        <v>7523.6</v>
      </c>
      <c r="H4" s="6">
        <f>E4+G4</f>
        <v>3180465.713</v>
      </c>
      <c r="I4" s="6">
        <v>8891075.4399999995</v>
      </c>
      <c r="J4" s="6">
        <v>2000000</v>
      </c>
      <c r="K4" s="317">
        <f>I4+H4-J4</f>
        <v>10071541.152999999</v>
      </c>
    </row>
    <row r="5" spans="1:11">
      <c r="A5" s="458">
        <v>4</v>
      </c>
      <c r="B5" s="459" t="s">
        <v>17</v>
      </c>
      <c r="C5" s="460" t="s">
        <v>18</v>
      </c>
      <c r="D5" s="6">
        <v>6550.84</v>
      </c>
      <c r="E5" s="6">
        <v>631631.99279999989</v>
      </c>
      <c r="F5" s="6">
        <v>305.75</v>
      </c>
      <c r="G5" s="6">
        <v>33091.322500000002</v>
      </c>
      <c r="H5" s="6">
        <f>E5+G5</f>
        <v>664723.3152999999</v>
      </c>
      <c r="I5" s="6">
        <v>1966837.0260999999</v>
      </c>
      <c r="J5" s="6">
        <v>0</v>
      </c>
      <c r="K5" s="317">
        <f>I5+H5-J5</f>
        <v>2631560.3413999998</v>
      </c>
    </row>
    <row r="6" spans="1:11">
      <c r="A6" s="458">
        <v>5</v>
      </c>
      <c r="B6" s="459" t="s">
        <v>19</v>
      </c>
      <c r="C6" s="460" t="s">
        <v>20</v>
      </c>
      <c r="D6" s="6">
        <v>0</v>
      </c>
      <c r="E6" s="6">
        <v>0</v>
      </c>
      <c r="F6" s="6">
        <v>0</v>
      </c>
      <c r="G6" s="6">
        <v>0</v>
      </c>
      <c r="H6" s="6">
        <f>E6+G6</f>
        <v>0</v>
      </c>
      <c r="I6" s="6">
        <v>1832240.6062999999</v>
      </c>
      <c r="J6" s="6">
        <v>0</v>
      </c>
      <c r="K6" s="317">
        <f>I6+H6-J6</f>
        <v>1832240.6062999999</v>
      </c>
    </row>
    <row r="7" spans="1:11">
      <c r="A7" s="458">
        <v>6</v>
      </c>
      <c r="B7" s="459" t="s">
        <v>21</v>
      </c>
      <c r="C7" s="460" t="s">
        <v>22</v>
      </c>
      <c r="D7" s="6">
        <v>4040</v>
      </c>
      <c r="E7" s="6">
        <v>389092.4</v>
      </c>
      <c r="F7" s="6">
        <v>0</v>
      </c>
      <c r="G7" s="6">
        <v>0</v>
      </c>
      <c r="H7" s="6">
        <f>E7+G7</f>
        <v>389092.4</v>
      </c>
      <c r="I7" s="6">
        <v>0</v>
      </c>
      <c r="J7" s="6">
        <v>0</v>
      </c>
      <c r="K7" s="317">
        <f>I7+H7-J7</f>
        <v>389092.4</v>
      </c>
    </row>
    <row r="8" spans="1:11">
      <c r="A8" s="458">
        <v>7</v>
      </c>
      <c r="B8" s="459" t="s">
        <v>23</v>
      </c>
      <c r="C8" s="460" t="s">
        <v>24</v>
      </c>
      <c r="D8" s="6">
        <v>11600</v>
      </c>
      <c r="E8" s="6">
        <v>1118588</v>
      </c>
      <c r="F8" s="6">
        <v>0</v>
      </c>
      <c r="G8" s="6">
        <v>0</v>
      </c>
      <c r="H8" s="6">
        <f>E8+G8</f>
        <v>1118588</v>
      </c>
      <c r="I8" s="6">
        <v>0</v>
      </c>
      <c r="J8" s="6">
        <v>0</v>
      </c>
      <c r="K8" s="317">
        <f>I8+H8-J8</f>
        <v>1118588</v>
      </c>
    </row>
    <row r="9" spans="1:11">
      <c r="A9" s="458">
        <v>8</v>
      </c>
      <c r="B9" s="459" t="s">
        <v>25</v>
      </c>
      <c r="C9" s="460" t="s">
        <v>26</v>
      </c>
      <c r="D9" s="6">
        <v>4185.96</v>
      </c>
      <c r="E9" s="6">
        <v>403359.10560000001</v>
      </c>
      <c r="F9" s="6">
        <v>62</v>
      </c>
      <c r="G9" s="6">
        <v>6706.54</v>
      </c>
      <c r="H9" s="6">
        <f>E9+G9</f>
        <v>410065.64559999999</v>
      </c>
      <c r="I9" s="6">
        <v>1004531.9846000002</v>
      </c>
      <c r="J9" s="6">
        <v>1414699.8099999998</v>
      </c>
      <c r="K9" s="317">
        <v>0</v>
      </c>
    </row>
    <row r="10" spans="1:11">
      <c r="A10" s="458">
        <v>9</v>
      </c>
      <c r="B10" s="459" t="s">
        <v>27</v>
      </c>
      <c r="C10" s="460" t="s">
        <v>28</v>
      </c>
      <c r="D10" s="6">
        <v>165</v>
      </c>
      <c r="E10" s="6">
        <v>15912</v>
      </c>
      <c r="F10" s="6">
        <v>16</v>
      </c>
      <c r="G10" s="6">
        <v>1732.96</v>
      </c>
      <c r="H10" s="6">
        <f>E10+G10</f>
        <v>17644.96</v>
      </c>
      <c r="I10" s="6">
        <v>0</v>
      </c>
      <c r="J10" s="6">
        <v>17644.96</v>
      </c>
      <c r="K10" s="317">
        <f t="shared" ref="K9:K40" si="0">I10+H10-J10</f>
        <v>0</v>
      </c>
    </row>
    <row r="11" spans="1:11">
      <c r="A11" s="458">
        <v>10</v>
      </c>
      <c r="B11" s="459" t="s">
        <v>29</v>
      </c>
      <c r="C11" s="460" t="s">
        <v>30</v>
      </c>
      <c r="D11" s="6">
        <v>40</v>
      </c>
      <c r="E11" s="6">
        <v>3849</v>
      </c>
      <c r="F11" s="6">
        <v>0</v>
      </c>
      <c r="G11" s="6">
        <v>0</v>
      </c>
      <c r="H11" s="6">
        <f>E11+G11</f>
        <v>3849</v>
      </c>
      <c r="I11" s="6">
        <v>0</v>
      </c>
      <c r="J11" s="6">
        <v>3849</v>
      </c>
      <c r="K11" s="317">
        <f t="shared" si="0"/>
        <v>0</v>
      </c>
    </row>
    <row r="12" spans="1:11">
      <c r="A12" s="458">
        <v>11</v>
      </c>
      <c r="B12" s="459" t="s">
        <v>31</v>
      </c>
      <c r="C12" s="460" t="s">
        <v>32</v>
      </c>
      <c r="D12" s="6">
        <v>1459.79</v>
      </c>
      <c r="E12" s="6">
        <v>140476</v>
      </c>
      <c r="F12" s="6">
        <v>16</v>
      </c>
      <c r="G12" s="6">
        <v>1732.96</v>
      </c>
      <c r="H12" s="6">
        <f>E12+G12</f>
        <v>142208.95999999999</v>
      </c>
      <c r="I12" s="6">
        <v>0</v>
      </c>
      <c r="J12" s="6">
        <v>142208.95999999999</v>
      </c>
      <c r="K12" s="317">
        <f t="shared" si="0"/>
        <v>0</v>
      </c>
    </row>
    <row r="13" spans="1:11">
      <c r="A13" s="458">
        <v>12</v>
      </c>
      <c r="B13" s="459" t="s">
        <v>33</v>
      </c>
      <c r="C13" s="460" t="s">
        <v>34</v>
      </c>
      <c r="D13" s="6">
        <v>3800</v>
      </c>
      <c r="E13" s="6">
        <v>346940</v>
      </c>
      <c r="F13" s="6">
        <v>385</v>
      </c>
      <c r="G13" s="6">
        <v>39747.399999999994</v>
      </c>
      <c r="H13" s="6">
        <f>E13+G13</f>
        <v>386687.4</v>
      </c>
      <c r="I13" s="6">
        <v>244365</v>
      </c>
      <c r="J13" s="6">
        <v>299920</v>
      </c>
      <c r="K13" s="317">
        <f t="shared" si="0"/>
        <v>331132.40000000002</v>
      </c>
    </row>
    <row r="14" spans="1:11">
      <c r="A14" s="458">
        <v>13</v>
      </c>
      <c r="B14" s="459" t="s">
        <v>35</v>
      </c>
      <c r="C14" s="460" t="s">
        <v>36</v>
      </c>
      <c r="D14" s="6">
        <v>4500</v>
      </c>
      <c r="E14" s="6">
        <v>412380</v>
      </c>
      <c r="F14" s="6">
        <v>140</v>
      </c>
      <c r="G14" s="6">
        <v>14777</v>
      </c>
      <c r="H14" s="6">
        <f>E14+G14</f>
        <v>427157</v>
      </c>
      <c r="I14" s="6">
        <v>0</v>
      </c>
      <c r="J14" s="6">
        <v>150000</v>
      </c>
      <c r="K14" s="317">
        <f t="shared" si="0"/>
        <v>277157</v>
      </c>
    </row>
    <row r="15" spans="1:11">
      <c r="A15" s="458">
        <v>14</v>
      </c>
      <c r="B15" s="459" t="s">
        <v>37</v>
      </c>
      <c r="C15" s="460" t="s">
        <v>38</v>
      </c>
      <c r="D15" s="6">
        <v>2000</v>
      </c>
      <c r="E15" s="6">
        <v>182780</v>
      </c>
      <c r="F15" s="6">
        <v>135</v>
      </c>
      <c r="G15" s="6">
        <v>13967.1</v>
      </c>
      <c r="H15" s="6">
        <f>E15+G15</f>
        <v>196747.1</v>
      </c>
      <c r="I15" s="6">
        <v>151569.40000000002</v>
      </c>
      <c r="J15" s="6">
        <v>150000</v>
      </c>
      <c r="K15" s="317">
        <f t="shared" si="0"/>
        <v>198316.5</v>
      </c>
    </row>
    <row r="16" spans="1:11">
      <c r="A16" s="458">
        <v>15</v>
      </c>
      <c r="B16" s="461" t="s">
        <v>39</v>
      </c>
      <c r="C16" s="462" t="s">
        <v>40</v>
      </c>
      <c r="D16" s="6">
        <v>3277.82</v>
      </c>
      <c r="E16" s="6">
        <v>301888</v>
      </c>
      <c r="F16" s="6">
        <v>138</v>
      </c>
      <c r="G16" s="6">
        <v>14332</v>
      </c>
      <c r="H16" s="6">
        <f>E16+G16</f>
        <v>316220</v>
      </c>
      <c r="I16" s="6">
        <v>96655</v>
      </c>
      <c r="J16" s="6">
        <v>385490</v>
      </c>
      <c r="K16" s="317">
        <f t="shared" si="0"/>
        <v>27385</v>
      </c>
    </row>
    <row r="17" spans="1:11">
      <c r="A17" s="458">
        <v>16</v>
      </c>
      <c r="B17" s="459" t="s">
        <v>41</v>
      </c>
      <c r="C17" s="460" t="s">
        <v>42</v>
      </c>
      <c r="D17" s="6">
        <v>2000</v>
      </c>
      <c r="E17" s="6">
        <v>182300</v>
      </c>
      <c r="F17" s="6">
        <v>145</v>
      </c>
      <c r="G17" s="6">
        <v>15119.149999999998</v>
      </c>
      <c r="H17" s="6">
        <f>E17+G17</f>
        <v>197419.15</v>
      </c>
      <c r="I17" s="6">
        <v>578097.65</v>
      </c>
      <c r="J17" s="6">
        <v>0</v>
      </c>
      <c r="K17" s="317">
        <f t="shared" si="0"/>
        <v>775516.8</v>
      </c>
    </row>
    <row r="18" spans="1:11">
      <c r="A18" s="458">
        <v>17</v>
      </c>
      <c r="B18" s="459" t="s">
        <v>43</v>
      </c>
      <c r="C18" s="460" t="s">
        <v>44</v>
      </c>
      <c r="D18" s="6">
        <v>2400</v>
      </c>
      <c r="E18" s="6">
        <v>221040</v>
      </c>
      <c r="F18" s="6">
        <v>210</v>
      </c>
      <c r="G18" s="6">
        <v>21810.6</v>
      </c>
      <c r="H18" s="6">
        <f>E18+G18</f>
        <v>242850.6</v>
      </c>
      <c r="I18" s="6">
        <v>237520</v>
      </c>
      <c r="J18" s="6">
        <v>250000</v>
      </c>
      <c r="K18" s="317">
        <f t="shared" si="0"/>
        <v>230370.59999999998</v>
      </c>
    </row>
    <row r="19" spans="1:11">
      <c r="A19" s="458">
        <v>18</v>
      </c>
      <c r="B19" s="459" t="s">
        <v>45</v>
      </c>
      <c r="C19" s="460" t="s">
        <v>46</v>
      </c>
      <c r="D19" s="6">
        <v>2045</v>
      </c>
      <c r="E19" s="6">
        <v>188324.05</v>
      </c>
      <c r="F19" s="6">
        <v>125</v>
      </c>
      <c r="G19" s="6">
        <v>12982.5</v>
      </c>
      <c r="H19" s="6">
        <f>E19+G19</f>
        <v>201306.55</v>
      </c>
      <c r="I19" s="6">
        <v>0</v>
      </c>
      <c r="J19" s="6">
        <v>201306.55</v>
      </c>
      <c r="K19" s="317">
        <f t="shared" si="0"/>
        <v>0</v>
      </c>
    </row>
    <row r="20" spans="1:11">
      <c r="A20" s="458">
        <v>19</v>
      </c>
      <c r="B20" s="459" t="s">
        <v>47</v>
      </c>
      <c r="C20" s="460" t="s">
        <v>48</v>
      </c>
      <c r="D20" s="6">
        <v>169</v>
      </c>
      <c r="E20" s="6">
        <v>15411.11</v>
      </c>
      <c r="F20" s="6">
        <v>16.25</v>
      </c>
      <c r="G20" s="6">
        <v>1669.23</v>
      </c>
      <c r="H20" s="6">
        <f>E20+G20</f>
        <v>17080.34</v>
      </c>
      <c r="I20" s="6">
        <v>0</v>
      </c>
      <c r="J20" s="6">
        <v>17080.34</v>
      </c>
      <c r="K20" s="317">
        <f t="shared" si="0"/>
        <v>0</v>
      </c>
    </row>
    <row r="21" spans="1:11">
      <c r="A21" s="458">
        <v>20</v>
      </c>
      <c r="B21" s="459" t="s">
        <v>49</v>
      </c>
      <c r="C21" s="460" t="s">
        <v>50</v>
      </c>
      <c r="D21" s="6">
        <v>14283.35</v>
      </c>
      <c r="E21" s="6">
        <v>1303412.121</v>
      </c>
      <c r="F21" s="6">
        <v>127</v>
      </c>
      <c r="G21" s="6">
        <v>13103.86</v>
      </c>
      <c r="H21" s="6">
        <f>E21+G21</f>
        <v>1316515.9810000001</v>
      </c>
      <c r="I21" s="6">
        <v>58857</v>
      </c>
      <c r="J21" s="6">
        <v>1134279.8999999999</v>
      </c>
      <c r="K21" s="317">
        <f t="shared" si="0"/>
        <v>241093.08100000024</v>
      </c>
    </row>
    <row r="22" spans="1:11">
      <c r="A22" s="458">
        <v>21</v>
      </c>
      <c r="B22" s="459" t="s">
        <v>51</v>
      </c>
      <c r="C22" s="460" t="s">
        <v>52</v>
      </c>
      <c r="D22" s="6">
        <v>230</v>
      </c>
      <c r="E22" s="6">
        <v>21108.629999999997</v>
      </c>
      <c r="F22" s="6">
        <v>31</v>
      </c>
      <c r="G22" s="6">
        <v>3215.63</v>
      </c>
      <c r="H22" s="6">
        <f>E22+G22</f>
        <v>24324.26</v>
      </c>
      <c r="I22" s="6">
        <v>234525.2237</v>
      </c>
      <c r="J22" s="6">
        <v>251844.75</v>
      </c>
      <c r="K22" s="317">
        <f t="shared" si="0"/>
        <v>7004.7337000000116</v>
      </c>
    </row>
    <row r="23" spans="1:11">
      <c r="A23" s="458">
        <v>22</v>
      </c>
      <c r="B23" s="459" t="s">
        <v>53</v>
      </c>
      <c r="C23" s="460" t="s">
        <v>54</v>
      </c>
      <c r="D23" s="6">
        <v>2571.8999999999996</v>
      </c>
      <c r="E23" s="6">
        <v>236431.70699999999</v>
      </c>
      <c r="F23" s="6">
        <v>123</v>
      </c>
      <c r="G23" s="6">
        <v>12778.47</v>
      </c>
      <c r="H23" s="6">
        <f>E23+G23</f>
        <v>249210.177</v>
      </c>
      <c r="I23" s="6">
        <v>273174.2227000001</v>
      </c>
      <c r="J23" s="6">
        <v>310000</v>
      </c>
      <c r="K23" s="317">
        <f t="shared" si="0"/>
        <v>212384.39970000007</v>
      </c>
    </row>
    <row r="24" spans="1:11">
      <c r="A24" s="458">
        <v>23</v>
      </c>
      <c r="B24" s="459" t="s">
        <v>55</v>
      </c>
      <c r="C24" s="460" t="s">
        <v>56</v>
      </c>
      <c r="D24" s="6">
        <v>509.02</v>
      </c>
      <c r="E24" s="6">
        <v>46621.141799999998</v>
      </c>
      <c r="F24" s="6">
        <v>11.56</v>
      </c>
      <c r="G24" s="6">
        <v>1196.8068000000001</v>
      </c>
      <c r="H24" s="6">
        <f>E24+G24</f>
        <v>47817.948599999996</v>
      </c>
      <c r="I24" s="6">
        <v>0</v>
      </c>
      <c r="J24" s="6">
        <v>47817.948600000003</v>
      </c>
      <c r="K24" s="317">
        <f t="shared" si="0"/>
        <v>0</v>
      </c>
    </row>
    <row r="25" spans="1:11">
      <c r="A25" s="458">
        <v>24</v>
      </c>
      <c r="B25" s="459" t="s">
        <v>57</v>
      </c>
      <c r="C25" s="460" t="s">
        <v>58</v>
      </c>
      <c r="D25" s="6">
        <v>760.32999999999993</v>
      </c>
      <c r="E25" s="6">
        <v>69889.53360000001</v>
      </c>
      <c r="F25" s="6">
        <v>47.46</v>
      </c>
      <c r="G25" s="6">
        <v>4933.9415999999992</v>
      </c>
      <c r="H25" s="6">
        <f>E25+G25</f>
        <v>74823.475200000015</v>
      </c>
      <c r="I25" s="6"/>
      <c r="J25" s="6">
        <v>74823.475200000001</v>
      </c>
      <c r="K25" s="317">
        <f t="shared" si="0"/>
        <v>0</v>
      </c>
    </row>
    <row r="26" spans="1:11">
      <c r="A26" s="458">
        <v>25</v>
      </c>
      <c r="B26" s="459" t="s">
        <v>59</v>
      </c>
      <c r="C26" s="460" t="s">
        <v>60</v>
      </c>
      <c r="D26" s="6">
        <v>597.14</v>
      </c>
      <c r="E26" s="6">
        <v>54712.182000000001</v>
      </c>
      <c r="F26" s="6">
        <v>13.520000000000001</v>
      </c>
      <c r="G26" s="6">
        <v>1419.4272000000001</v>
      </c>
      <c r="H26" s="6">
        <f>E26+G26</f>
        <v>56131.609199999999</v>
      </c>
      <c r="I26" s="6">
        <v>4528.49</v>
      </c>
      <c r="J26" s="6">
        <v>49930.510699999999</v>
      </c>
      <c r="K26" s="317">
        <f t="shared" si="0"/>
        <v>10729.588499999998</v>
      </c>
    </row>
    <row r="27" spans="1:11">
      <c r="A27" s="458">
        <v>26</v>
      </c>
      <c r="B27" s="459" t="s">
        <v>61</v>
      </c>
      <c r="C27" s="460" t="s">
        <v>62</v>
      </c>
      <c r="D27" s="6">
        <v>25450</v>
      </c>
      <c r="E27" s="6">
        <v>2319513</v>
      </c>
      <c r="F27" s="6">
        <v>75</v>
      </c>
      <c r="G27" s="6">
        <v>7845</v>
      </c>
      <c r="H27" s="6">
        <f>E27+G27</f>
        <v>2327358</v>
      </c>
      <c r="I27" s="6">
        <v>1668531</v>
      </c>
      <c r="J27" s="6">
        <v>2000000</v>
      </c>
      <c r="K27" s="317">
        <f t="shared" si="0"/>
        <v>1995889</v>
      </c>
    </row>
    <row r="28" spans="1:11">
      <c r="A28" s="458">
        <v>27</v>
      </c>
      <c r="B28" s="459" t="s">
        <v>63</v>
      </c>
      <c r="C28" s="460" t="s">
        <v>64</v>
      </c>
      <c r="D28" s="6">
        <v>944.45999999999992</v>
      </c>
      <c r="E28" s="6">
        <v>86389.756199999989</v>
      </c>
      <c r="F28" s="6">
        <v>63.01</v>
      </c>
      <c r="G28" s="6">
        <v>6517.1243000000004</v>
      </c>
      <c r="H28" s="6">
        <f>E28+G28</f>
        <v>92906.880499999985</v>
      </c>
      <c r="I28" s="6">
        <v>90058</v>
      </c>
      <c r="J28" s="6">
        <v>115444</v>
      </c>
      <c r="K28" s="317">
        <f t="shared" si="0"/>
        <v>67520.88049999997</v>
      </c>
    </row>
    <row r="29" spans="1:11">
      <c r="A29" s="458">
        <v>28</v>
      </c>
      <c r="B29" s="459" t="s">
        <v>65</v>
      </c>
      <c r="C29" s="460" t="s">
        <v>66</v>
      </c>
      <c r="D29" s="6">
        <v>935.89</v>
      </c>
      <c r="E29" s="6">
        <v>85914.702000000005</v>
      </c>
      <c r="F29" s="6">
        <v>40</v>
      </c>
      <c r="G29" s="6">
        <v>4150.4000000000005</v>
      </c>
      <c r="H29" s="6">
        <f>E29+G29</f>
        <v>90065.101999999999</v>
      </c>
      <c r="I29" s="6"/>
      <c r="J29" s="6">
        <v>90065.101999999999</v>
      </c>
      <c r="K29" s="317">
        <f t="shared" si="0"/>
        <v>0</v>
      </c>
    </row>
    <row r="30" spans="1:11">
      <c r="A30" s="458">
        <v>29</v>
      </c>
      <c r="B30" s="459" t="s">
        <v>67</v>
      </c>
      <c r="C30" s="460" t="s">
        <v>68</v>
      </c>
      <c r="D30" s="6">
        <v>1032.57</v>
      </c>
      <c r="E30" s="6">
        <v>95037.742800000007</v>
      </c>
      <c r="F30" s="6">
        <v>45</v>
      </c>
      <c r="G30" s="6">
        <v>4680.8999999999996</v>
      </c>
      <c r="H30" s="6">
        <f>E30+G30</f>
        <v>99718.642800000001</v>
      </c>
      <c r="I30" s="6"/>
      <c r="J30" s="6">
        <v>99718.642800000016</v>
      </c>
      <c r="K30" s="317">
        <f t="shared" si="0"/>
        <v>0</v>
      </c>
    </row>
    <row r="31" spans="1:11">
      <c r="A31" s="458">
        <v>30</v>
      </c>
      <c r="B31" s="459" t="s">
        <v>69</v>
      </c>
      <c r="C31" s="460" t="s">
        <v>70</v>
      </c>
      <c r="D31" s="6">
        <v>60</v>
      </c>
      <c r="E31" s="6">
        <v>5509.8</v>
      </c>
      <c r="F31" s="6">
        <v>18</v>
      </c>
      <c r="G31" s="6">
        <v>1868.4</v>
      </c>
      <c r="H31" s="6">
        <f>E31+G31</f>
        <v>7378.2000000000007</v>
      </c>
      <c r="I31" s="6">
        <v>30323</v>
      </c>
      <c r="J31" s="6">
        <v>7378.2000000000007</v>
      </c>
      <c r="K31" s="317">
        <f t="shared" si="0"/>
        <v>30322.999999999996</v>
      </c>
    </row>
    <row r="32" spans="1:11">
      <c r="A32" s="458">
        <v>31</v>
      </c>
      <c r="B32" s="463" t="s">
        <v>71</v>
      </c>
      <c r="C32" s="464" t="s">
        <v>72</v>
      </c>
      <c r="D32" s="6">
        <v>0</v>
      </c>
      <c r="E32" s="6">
        <v>0</v>
      </c>
      <c r="F32" s="6">
        <v>0</v>
      </c>
      <c r="G32" s="6">
        <v>0</v>
      </c>
      <c r="H32" s="6">
        <f t="shared" ref="H30:H35" si="1">E32+G32</f>
        <v>0</v>
      </c>
      <c r="I32" s="6">
        <v>1036347.3179000001</v>
      </c>
      <c r="J32" s="6">
        <v>400000</v>
      </c>
      <c r="K32" s="317">
        <f t="shared" si="0"/>
        <v>636347.31790000014</v>
      </c>
    </row>
    <row r="33" spans="1:11">
      <c r="A33" s="458">
        <v>32</v>
      </c>
      <c r="B33" s="463" t="s">
        <v>73</v>
      </c>
      <c r="C33" s="464" t="s">
        <v>74</v>
      </c>
      <c r="D33" s="6">
        <v>11163.57</v>
      </c>
      <c r="E33" s="6">
        <v>1021243.3835999999</v>
      </c>
      <c r="F33" s="6">
        <v>271</v>
      </c>
      <c r="G33" s="6">
        <v>28024.109999999997</v>
      </c>
      <c r="H33" s="6">
        <f>E33+G33</f>
        <v>1049267.4935999999</v>
      </c>
      <c r="I33" s="6">
        <v>473791</v>
      </c>
      <c r="J33" s="6">
        <v>300000</v>
      </c>
      <c r="K33" s="317">
        <f t="shared" si="0"/>
        <v>1223058.4935999999</v>
      </c>
    </row>
    <row r="34" spans="1:11">
      <c r="A34" s="458">
        <v>33</v>
      </c>
      <c r="B34" s="463" t="s">
        <v>75</v>
      </c>
      <c r="C34" s="464" t="s">
        <v>76</v>
      </c>
      <c r="D34" s="6">
        <v>0</v>
      </c>
      <c r="E34" s="6">
        <v>0</v>
      </c>
      <c r="F34" s="6">
        <v>4.82</v>
      </c>
      <c r="G34" s="6">
        <v>499.98</v>
      </c>
      <c r="H34" s="6">
        <f>E34+G34</f>
        <v>499.98</v>
      </c>
      <c r="I34" s="6">
        <v>0</v>
      </c>
      <c r="J34" s="6">
        <v>499.98</v>
      </c>
      <c r="K34" s="317">
        <f t="shared" si="0"/>
        <v>0</v>
      </c>
    </row>
    <row r="35" spans="1:11">
      <c r="A35" s="458">
        <v>34</v>
      </c>
      <c r="B35" s="463" t="s">
        <v>77</v>
      </c>
      <c r="C35" s="464" t="s">
        <v>78</v>
      </c>
      <c r="D35" s="6">
        <v>152.92000000000002</v>
      </c>
      <c r="E35" s="6">
        <v>13949.9288</v>
      </c>
      <c r="F35" s="6">
        <v>37.28</v>
      </c>
      <c r="G35" s="6">
        <v>3857.5144</v>
      </c>
      <c r="H35" s="6">
        <f t="shared" ref="H35:H42" si="2">E35+G35</f>
        <v>17807.443200000002</v>
      </c>
      <c r="I35" s="6">
        <v>0</v>
      </c>
      <c r="J35" s="6">
        <v>17807.443200000002</v>
      </c>
      <c r="K35" s="317">
        <f t="shared" si="0"/>
        <v>0</v>
      </c>
    </row>
    <row r="36" spans="1:11">
      <c r="A36" s="458">
        <v>35</v>
      </c>
      <c r="B36" s="463" t="s">
        <v>79</v>
      </c>
      <c r="C36" s="464" t="s">
        <v>80</v>
      </c>
      <c r="D36" s="6">
        <v>637.80000000000007</v>
      </c>
      <c r="E36" s="6">
        <v>58358.7</v>
      </c>
      <c r="F36" s="6">
        <v>61.989999999999995</v>
      </c>
      <c r="G36" s="6">
        <v>5912.6304</v>
      </c>
      <c r="H36" s="6">
        <f t="shared" si="2"/>
        <v>64271.330399999999</v>
      </c>
      <c r="I36" s="6">
        <v>0</v>
      </c>
      <c r="J36" s="6">
        <v>64271.330399999999</v>
      </c>
      <c r="K36" s="317">
        <f t="shared" si="0"/>
        <v>0</v>
      </c>
    </row>
    <row r="37" spans="1:11">
      <c r="A37" s="458">
        <v>36</v>
      </c>
      <c r="B37" s="463" t="s">
        <v>81</v>
      </c>
      <c r="C37" s="464" t="s">
        <v>82</v>
      </c>
      <c r="D37" s="6">
        <v>577.29</v>
      </c>
      <c r="E37" s="6">
        <v>52088.876700000008</v>
      </c>
      <c r="F37" s="6">
        <v>43.88</v>
      </c>
      <c r="G37" s="6">
        <v>4482.7807999999995</v>
      </c>
      <c r="H37" s="6">
        <f t="shared" si="2"/>
        <v>56571.657500000008</v>
      </c>
      <c r="I37" s="6">
        <v>192780</v>
      </c>
      <c r="J37" s="6">
        <v>192780</v>
      </c>
      <c r="K37" s="317">
        <f t="shared" si="0"/>
        <v>56571.657500000001</v>
      </c>
    </row>
    <row r="38" spans="1:11">
      <c r="A38" s="458">
        <v>37</v>
      </c>
      <c r="B38" s="463" t="s">
        <v>83</v>
      </c>
      <c r="C38" s="464" t="s">
        <v>84</v>
      </c>
      <c r="D38" s="6">
        <v>138</v>
      </c>
      <c r="E38" s="6">
        <v>12589.74</v>
      </c>
      <c r="F38" s="6">
        <v>0</v>
      </c>
      <c r="G38" s="6">
        <v>0</v>
      </c>
      <c r="H38" s="6">
        <f t="shared" si="2"/>
        <v>12589.74</v>
      </c>
      <c r="I38" s="6">
        <v>0</v>
      </c>
      <c r="J38" s="6">
        <v>12589.74</v>
      </c>
      <c r="K38" s="317">
        <f t="shared" si="0"/>
        <v>0</v>
      </c>
    </row>
    <row r="39" spans="1:11">
      <c r="A39" s="458">
        <v>38</v>
      </c>
      <c r="B39" s="463" t="s">
        <v>85</v>
      </c>
      <c r="C39" s="464" t="s">
        <v>86</v>
      </c>
      <c r="D39" s="6">
        <v>98.41</v>
      </c>
      <c r="E39" s="6">
        <v>8999.5944999999992</v>
      </c>
      <c r="F39" s="6">
        <v>33.809999999999995</v>
      </c>
      <c r="G39" s="6">
        <v>3495.6159000000002</v>
      </c>
      <c r="H39" s="6">
        <f t="shared" si="2"/>
        <v>12495.2104</v>
      </c>
      <c r="I39" s="6">
        <v>0</v>
      </c>
      <c r="J39" s="6">
        <v>12495.2104</v>
      </c>
      <c r="K39" s="317">
        <f t="shared" si="0"/>
        <v>0</v>
      </c>
    </row>
    <row r="40" spans="1:11">
      <c r="A40" s="458">
        <v>39</v>
      </c>
      <c r="B40" s="463" t="s">
        <v>87</v>
      </c>
      <c r="C40" s="464" t="s">
        <v>88</v>
      </c>
      <c r="D40" s="6">
        <v>35.03</v>
      </c>
      <c r="E40" s="6">
        <v>3199.2898999999998</v>
      </c>
      <c r="F40" s="6">
        <v>30.919999999999998</v>
      </c>
      <c r="G40" s="6">
        <v>3192.7992000000004</v>
      </c>
      <c r="H40" s="6">
        <f t="shared" si="2"/>
        <v>6392.0891000000001</v>
      </c>
      <c r="I40" s="6">
        <v>0</v>
      </c>
      <c r="J40" s="6">
        <v>6392.0891000000001</v>
      </c>
      <c r="K40" s="317">
        <f t="shared" si="0"/>
        <v>0</v>
      </c>
    </row>
    <row r="41" spans="1:11">
      <c r="A41" s="458">
        <v>40</v>
      </c>
      <c r="B41" s="463" t="s">
        <v>89</v>
      </c>
      <c r="C41" s="464" t="s">
        <v>90</v>
      </c>
      <c r="D41" s="6">
        <v>71.77</v>
      </c>
      <c r="E41" s="6">
        <v>6500.2088999999987</v>
      </c>
      <c r="F41" s="6">
        <v>35.130000000000003</v>
      </c>
      <c r="G41" s="6">
        <v>3599.4198000000001</v>
      </c>
      <c r="H41" s="6">
        <f t="shared" si="2"/>
        <v>10099.628699999999</v>
      </c>
      <c r="I41" s="6">
        <v>0</v>
      </c>
      <c r="J41" s="6">
        <v>10099.628699999999</v>
      </c>
      <c r="K41" s="317">
        <f>I41+H41-J41</f>
        <v>0</v>
      </c>
    </row>
    <row r="42" spans="1:11">
      <c r="A42" s="458">
        <v>41</v>
      </c>
      <c r="B42" s="463" t="s">
        <v>91</v>
      </c>
      <c r="C42" s="464" t="s">
        <v>92</v>
      </c>
      <c r="D42" s="6">
        <v>436.89</v>
      </c>
      <c r="E42" s="6">
        <v>40027.861800000006</v>
      </c>
      <c r="F42" s="6">
        <v>21.25</v>
      </c>
      <c r="G42" s="6">
        <v>2200.8625000000002</v>
      </c>
      <c r="H42" s="6">
        <f t="shared" si="2"/>
        <v>42228.724300000009</v>
      </c>
      <c r="I42" s="6">
        <v>48315</v>
      </c>
      <c r="J42" s="6">
        <v>90535.84</v>
      </c>
      <c r="K42" s="317">
        <f>I42+H42-J42</f>
        <v>7.8843000000051688</v>
      </c>
    </row>
    <row r="43" spans="1:11">
      <c r="A43" s="415" t="s">
        <v>93</v>
      </c>
      <c r="B43" s="416"/>
      <c r="C43" s="417"/>
      <c r="D43" s="316">
        <f>SUM(D2:D42)</f>
        <v>272571.36</v>
      </c>
      <c r="E43" s="316">
        <f>SUM(E2:E42)</f>
        <v>25754293.705600001</v>
      </c>
      <c r="F43" s="316">
        <f>SUM(F2:F42)</f>
        <v>3563.6300000000006</v>
      </c>
      <c r="G43" s="316">
        <f>SUM(G2:G42)</f>
        <v>373628.93540000002</v>
      </c>
      <c r="H43" s="316">
        <f>SUM(H2:H42)</f>
        <v>26127922.641000003</v>
      </c>
      <c r="I43" s="316">
        <f>SUM(I2:I42)</f>
        <v>27985140.361299992</v>
      </c>
      <c r="J43" s="316">
        <f>SUM(J2:J42)</f>
        <v>14320973.411099998</v>
      </c>
      <c r="K43" s="318">
        <f>SUM(K2:K42)</f>
        <v>39792191.770999998</v>
      </c>
    </row>
    <row r="47" spans="1:11">
      <c r="K47" s="24"/>
    </row>
    <row r="49" spans="3:4">
      <c r="C49" s="273"/>
      <c r="D49" t="str">
        <f>PROPER(C49)</f>
        <v/>
      </c>
    </row>
  </sheetData>
  <mergeCells count="1">
    <mergeCell ref="A43:C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0C14-FF28-4670-9BCC-E8E660C202C7}">
  <dimension ref="A1:K45"/>
  <sheetViews>
    <sheetView tabSelected="1" workbookViewId="0">
      <selection activeCell="D40" sqref="D40:J40"/>
    </sheetView>
  </sheetViews>
  <sheetFormatPr defaultColWidth="8.28515625" defaultRowHeight="15.75"/>
  <cols>
    <col min="1" max="1" width="8.28515625" style="342"/>
    <col min="2" max="2" width="25" style="342" customWidth="1"/>
    <col min="3" max="3" width="34.5703125" style="342" bestFit="1" customWidth="1"/>
    <col min="4" max="4" width="14.85546875" style="342" customWidth="1"/>
    <col min="5" max="5" width="15.42578125" style="342" customWidth="1"/>
    <col min="6" max="6" width="14.5703125" style="342" customWidth="1"/>
    <col min="7" max="7" width="16.5703125" style="342" customWidth="1"/>
    <col min="8" max="8" width="23.5703125" style="342" customWidth="1"/>
    <col min="9" max="9" width="17.42578125" style="342" customWidth="1"/>
    <col min="10" max="10" width="16.7109375" style="342" customWidth="1"/>
    <col min="11" max="11" width="20.42578125" style="342" customWidth="1"/>
    <col min="12" max="12" width="22.7109375" style="342" customWidth="1"/>
    <col min="13" max="16384" width="8.28515625" style="342"/>
  </cols>
  <sheetData>
    <row r="1" spans="1:11">
      <c r="A1" s="338" t="s">
        <v>0</v>
      </c>
      <c r="B1" s="339" t="s">
        <v>1</v>
      </c>
      <c r="C1" s="339" t="s">
        <v>2</v>
      </c>
      <c r="D1" s="340" t="s">
        <v>3</v>
      </c>
      <c r="E1" s="340" t="s">
        <v>4</v>
      </c>
      <c r="F1" s="340" t="s">
        <v>5</v>
      </c>
      <c r="G1" s="340" t="s">
        <v>6</v>
      </c>
      <c r="H1" s="340" t="s">
        <v>7</v>
      </c>
      <c r="I1" s="340" t="s">
        <v>8</v>
      </c>
      <c r="J1" s="340" t="s">
        <v>9</v>
      </c>
      <c r="K1" s="341" t="s">
        <v>10</v>
      </c>
    </row>
    <row r="2" spans="1:11">
      <c r="A2" s="343">
        <v>1</v>
      </c>
      <c r="B2" s="344" t="s">
        <v>13</v>
      </c>
      <c r="C2" s="344" t="s">
        <v>14</v>
      </c>
      <c r="D2" s="345">
        <f>+'Khammam-2'!E39</f>
        <v>72956.650000000009</v>
      </c>
      <c r="E2" s="345">
        <f>+'Khammam-2'!G39</f>
        <v>6980416.2720000008</v>
      </c>
      <c r="F2" s="345">
        <f>+'Khammam-2'!H39</f>
        <v>596.70000000000005</v>
      </c>
      <c r="G2" s="345">
        <f>+'Khammam-2'!J39</f>
        <v>64121.381999999991</v>
      </c>
      <c r="H2" s="345">
        <f>E2+G2</f>
        <v>7044537.654000001</v>
      </c>
      <c r="I2" s="345">
        <f>+'Khammam-2'!K3</f>
        <v>13565409.5681</v>
      </c>
      <c r="J2" s="345">
        <f>+'Khammam-2'!L39</f>
        <v>6000000</v>
      </c>
      <c r="K2" s="345">
        <f>H2+I2-J2</f>
        <v>14609947.222100001</v>
      </c>
    </row>
    <row r="3" spans="1:11">
      <c r="A3" s="343">
        <v>2</v>
      </c>
      <c r="B3" s="344" t="s">
        <v>15</v>
      </c>
      <c r="C3" s="344" t="s">
        <v>16</v>
      </c>
      <c r="D3" s="345">
        <f>+'Khammam-3'!E35</f>
        <v>66079.650000000009</v>
      </c>
      <c r="E3" s="345">
        <f>+'Khammam-3'!G35</f>
        <v>6323822.5049999999</v>
      </c>
      <c r="F3" s="345">
        <f>+'Khammam-3'!H35</f>
        <v>445</v>
      </c>
      <c r="G3" s="345">
        <f>+'Khammam-3'!J35</f>
        <v>47828.599999999984</v>
      </c>
      <c r="H3" s="345">
        <f>E3+G3</f>
        <v>6371651.1049999995</v>
      </c>
      <c r="I3" s="345">
        <f>+'Khammam-3'!K3</f>
        <v>10291937.192399999</v>
      </c>
      <c r="J3" s="345">
        <f>+'Khammam-3'!L35</f>
        <v>4000000</v>
      </c>
      <c r="K3" s="345">
        <f>H3+I3-J3</f>
        <v>12663588.297399998</v>
      </c>
    </row>
    <row r="4" spans="1:11">
      <c r="A4" s="343">
        <v>3</v>
      </c>
      <c r="B4" s="344" t="s">
        <v>17</v>
      </c>
      <c r="C4" s="344" t="s">
        <v>18</v>
      </c>
      <c r="D4" s="345">
        <f>+'Jedcherla -1'!E36</f>
        <v>17003.650000000001</v>
      </c>
      <c r="E4" s="345">
        <f>+'Jedcherla -1'!G36</f>
        <v>1639491.9329999997</v>
      </c>
      <c r="F4" s="345">
        <f>+'Jedcherla -1'!H36</f>
        <v>548.62</v>
      </c>
      <c r="G4" s="345">
        <f>+'Jedcherla -1'!J36</f>
        <v>59377.142600000006</v>
      </c>
      <c r="H4" s="345">
        <f>E4+G4</f>
        <v>1698869.0755999996</v>
      </c>
      <c r="I4" s="345">
        <f>+'Jedcherla -1'!M3</f>
        <v>2139146.1929000001</v>
      </c>
      <c r="J4" s="345">
        <f>+'Jedcherla -1'!L36</f>
        <v>2450000</v>
      </c>
      <c r="K4" s="345">
        <f>H4+I4-J4</f>
        <v>1388015.2684999998</v>
      </c>
    </row>
    <row r="5" spans="1:11">
      <c r="A5" s="343">
        <v>4</v>
      </c>
      <c r="B5" s="344" t="s">
        <v>23</v>
      </c>
      <c r="C5" s="344" t="s">
        <v>24</v>
      </c>
      <c r="D5" s="345">
        <f>+'Jedcharla-3'!E35</f>
        <v>51757.47</v>
      </c>
      <c r="E5" s="345">
        <f>+'Jedcharla-3'!G35</f>
        <v>4990972.8321000002</v>
      </c>
      <c r="F5" s="345">
        <v>0</v>
      </c>
      <c r="G5" s="345">
        <v>0</v>
      </c>
      <c r="H5" s="345">
        <f t="shared" ref="H5:H39" si="0">E5+G5</f>
        <v>4990972.8321000002</v>
      </c>
      <c r="I5" s="345">
        <f>+'Jedcharla-3'!K3</f>
        <v>1209626.7437</v>
      </c>
      <c r="J5" s="345">
        <f>+'Jedcharla-3'!L35</f>
        <v>4800000</v>
      </c>
      <c r="K5" s="345">
        <f>H5+I5-J5</f>
        <v>1400599.5757999998</v>
      </c>
    </row>
    <row r="6" spans="1:11">
      <c r="A6" s="343">
        <v>5</v>
      </c>
      <c r="B6" s="344" t="s">
        <v>25</v>
      </c>
      <c r="C6" s="344" t="s">
        <v>32</v>
      </c>
      <c r="D6" s="345">
        <f>+Sangareddy!E40</f>
        <v>0</v>
      </c>
      <c r="E6" s="345">
        <f>+Sangareddy!G40</f>
        <v>0</v>
      </c>
      <c r="F6" s="345">
        <f>+Sangareddy!H40</f>
        <v>120</v>
      </c>
      <c r="G6" s="345">
        <f>+Sangareddy!J40</f>
        <v>0</v>
      </c>
      <c r="H6" s="345">
        <f t="shared" si="0"/>
        <v>0</v>
      </c>
      <c r="I6" s="345">
        <f>+Sangareddy!K3</f>
        <v>362536.80000000005</v>
      </c>
      <c r="J6" s="345">
        <f>+Sangareddy!L40</f>
        <v>362536.8</v>
      </c>
      <c r="K6" s="345">
        <f t="shared" ref="K6:K39" si="1">H6+I6-J6</f>
        <v>0</v>
      </c>
    </row>
    <row r="7" spans="1:11">
      <c r="A7" s="343">
        <v>6</v>
      </c>
      <c r="B7" s="344" t="s">
        <v>94</v>
      </c>
      <c r="C7" s="344" t="s">
        <v>95</v>
      </c>
      <c r="D7" s="345">
        <f>+Dindi!E35</f>
        <v>117.57</v>
      </c>
      <c r="E7" s="345">
        <f>+Dindi!G35</f>
        <v>11384.303100000001</v>
      </c>
      <c r="F7" s="345">
        <f>+Dindi!H35</f>
        <v>5.52</v>
      </c>
      <c r="G7" s="345">
        <f>+Dindi!J35</f>
        <v>599.80319999999995</v>
      </c>
      <c r="H7" s="345">
        <f>E7+G7</f>
        <v>11984.106300000001</v>
      </c>
      <c r="I7" s="345"/>
      <c r="J7" s="345">
        <f>+Dindi!L35</f>
        <v>11984.106299999999</v>
      </c>
      <c r="K7" s="345">
        <f t="shared" si="1"/>
        <v>0</v>
      </c>
    </row>
    <row r="8" spans="1:11">
      <c r="A8" s="343">
        <v>7</v>
      </c>
      <c r="B8" s="344" t="s">
        <v>96</v>
      </c>
      <c r="C8" s="344" t="s">
        <v>97</v>
      </c>
      <c r="D8" s="345">
        <f>+Devarakhadra!E35</f>
        <v>16462.22</v>
      </c>
      <c r="E8" s="345">
        <f>+Devarakhadra!G35</f>
        <v>1598481.5619999997</v>
      </c>
      <c r="F8" s="345">
        <f>+Devarakhadra!H35</f>
        <v>60</v>
      </c>
      <c r="G8" s="345">
        <f>+Devarakhadra!J35</f>
        <v>6529.7999999999993</v>
      </c>
      <c r="H8" s="345">
        <f>E8+G8</f>
        <v>1605011.3619999997</v>
      </c>
      <c r="I8" s="345">
        <f>+Devarakhadra!M3</f>
        <v>169047.21599999999</v>
      </c>
      <c r="J8" s="345">
        <f>+Devarakhadra!L35</f>
        <v>1193133</v>
      </c>
      <c r="K8" s="345">
        <f t="shared" si="1"/>
        <v>580925.57799999975</v>
      </c>
    </row>
    <row r="9" spans="1:11">
      <c r="A9" s="343">
        <v>8</v>
      </c>
      <c r="B9" s="344" t="s">
        <v>33</v>
      </c>
      <c r="C9" s="344" t="s">
        <v>34</v>
      </c>
      <c r="D9" s="345">
        <f>+'YG Gudda '!E36</f>
        <v>12447.47</v>
      </c>
      <c r="E9" s="345">
        <f>+'YG Gudda '!G36</f>
        <v>1136470.4350999999</v>
      </c>
      <c r="F9" s="345">
        <f>+'YG Gudda '!H36</f>
        <v>630</v>
      </c>
      <c r="G9" s="345">
        <f>+'YG Gudda '!J36</f>
        <v>65041.19999999999</v>
      </c>
      <c r="H9" s="345">
        <f t="shared" si="0"/>
        <v>1201511.6350999998</v>
      </c>
      <c r="I9" s="345">
        <f>'YG Gudda '!K3</f>
        <v>48480.979413800116</v>
      </c>
      <c r="J9" s="345">
        <f>+'YG Gudda '!L36</f>
        <v>1150000</v>
      </c>
      <c r="K9" s="345">
        <f t="shared" si="1"/>
        <v>99992.614513800014</v>
      </c>
    </row>
    <row r="10" spans="1:11">
      <c r="A10" s="343">
        <v>9</v>
      </c>
      <c r="B10" s="344" t="s">
        <v>35</v>
      </c>
      <c r="C10" s="344" t="s">
        <v>36</v>
      </c>
      <c r="D10" s="345">
        <f>+Hosadurga!E35</f>
        <v>2500</v>
      </c>
      <c r="E10" s="345">
        <f>+Hosadurga!G35</f>
        <v>229500</v>
      </c>
      <c r="F10" s="345">
        <f>+Hosadurga!H35</f>
        <v>105</v>
      </c>
      <c r="G10" s="345">
        <f>+Hosadurga!J35</f>
        <v>11175.15</v>
      </c>
      <c r="H10" s="345">
        <f t="shared" si="0"/>
        <v>240675.15</v>
      </c>
      <c r="I10" s="345">
        <f>+Hosadurga!K3</f>
        <v>0</v>
      </c>
      <c r="J10" s="345">
        <f>+Hosadurga!L35</f>
        <v>240675.3</v>
      </c>
      <c r="K10" s="345">
        <f t="shared" si="1"/>
        <v>-0.14999999999417923</v>
      </c>
    </row>
    <row r="11" spans="1:11">
      <c r="A11" s="343">
        <v>10</v>
      </c>
      <c r="B11" s="344" t="s">
        <v>37</v>
      </c>
      <c r="C11" s="344" t="s">
        <v>38</v>
      </c>
      <c r="D11" s="345">
        <f>+'Hosadurga -2'!E35</f>
        <v>8000</v>
      </c>
      <c r="E11" s="345">
        <f>+'Hosadurga -2'!G35</f>
        <v>732400</v>
      </c>
      <c r="F11" s="345">
        <f>+'Hosadurga -2'!H35</f>
        <v>345</v>
      </c>
      <c r="G11" s="345">
        <f>+'Hosadurga -2'!J35</f>
        <v>35786.85</v>
      </c>
      <c r="H11" s="345">
        <f>+'Hosadurga -2'!K35</f>
        <v>768186.85</v>
      </c>
      <c r="I11" s="345">
        <f>+'Hosadurga -2'!K3</f>
        <v>380044.40190000006</v>
      </c>
      <c r="J11" s="345">
        <f>+'Hosadurga -2'!L35</f>
        <v>530000</v>
      </c>
      <c r="K11" s="345">
        <f>H11+I11-J11</f>
        <v>618231.25190000003</v>
      </c>
    </row>
    <row r="12" spans="1:11" ht="16.5">
      <c r="A12" s="343">
        <v>11</v>
      </c>
      <c r="B12" s="346" t="s">
        <v>39</v>
      </c>
      <c r="C12" s="346" t="s">
        <v>40</v>
      </c>
      <c r="D12" s="345">
        <f>+'Malebenur(KUWSDB)'!E38</f>
        <v>4216</v>
      </c>
      <c r="E12" s="345">
        <f>+'Malebenur(KUWSDB)'!G38</f>
        <v>388968.16000000003</v>
      </c>
      <c r="F12" s="345">
        <f>+'Malebenur(KUWSDB)'!H38</f>
        <v>210</v>
      </c>
      <c r="G12" s="345">
        <f>+'Malebenur(KUWSDB)'!J38</f>
        <v>21867.3</v>
      </c>
      <c r="H12" s="345">
        <f>E12+G12</f>
        <v>410835.46</v>
      </c>
      <c r="I12" s="345">
        <f>+'Malebenur(KUWSDB)'!K3</f>
        <v>98761.30399999996</v>
      </c>
      <c r="J12" s="345">
        <f>+'Malebenur(KUWSDB)'!L36</f>
        <v>463458</v>
      </c>
      <c r="K12" s="345">
        <f>H12+I12-J12</f>
        <v>46138.763999999966</v>
      </c>
    </row>
    <row r="13" spans="1:11">
      <c r="A13" s="343">
        <v>12</v>
      </c>
      <c r="B13" s="344" t="s">
        <v>41</v>
      </c>
      <c r="C13" s="344" t="s">
        <v>42</v>
      </c>
      <c r="D13" s="345">
        <f>+Kadur!E35</f>
        <v>2000</v>
      </c>
      <c r="E13" s="345">
        <f>+Kadur!G35</f>
        <v>184300</v>
      </c>
      <c r="F13" s="345">
        <f>+Kadur!H35</f>
        <v>110</v>
      </c>
      <c r="G13" s="345">
        <f>+Kadur!J35</f>
        <v>11469.699999999999</v>
      </c>
      <c r="H13" s="345">
        <f t="shared" si="0"/>
        <v>195769.7</v>
      </c>
      <c r="I13" s="345">
        <f>+Kadur!K3</f>
        <v>209799.73099999974</v>
      </c>
      <c r="J13" s="345">
        <f>+Kadur!L35</f>
        <v>0</v>
      </c>
      <c r="K13" s="345">
        <f t="shared" si="1"/>
        <v>405569.43099999975</v>
      </c>
    </row>
    <row r="14" spans="1:11">
      <c r="A14" s="343">
        <v>13</v>
      </c>
      <c r="B14" s="344" t="s">
        <v>43</v>
      </c>
      <c r="C14" s="344" t="s">
        <v>44</v>
      </c>
      <c r="D14" s="345">
        <f>+'Hiriyur(VJNL)'!E35</f>
        <v>4500</v>
      </c>
      <c r="E14" s="345">
        <f>+'Hiriyur(VJNL)'!G35</f>
        <v>415170</v>
      </c>
      <c r="F14" s="345">
        <f>+'Hiriyur(VJNL)'!H35</f>
        <v>280</v>
      </c>
      <c r="G14" s="345">
        <f>+'Hiriyur(VJNL)'!J35</f>
        <v>29159.200000000001</v>
      </c>
      <c r="H14" s="345">
        <f t="shared" si="0"/>
        <v>444329.2</v>
      </c>
      <c r="I14" s="345">
        <f>+'Hiriyur(VJNL)'!K3</f>
        <v>382940.4</v>
      </c>
      <c r="J14" s="345">
        <f>+'Hiriyur(VJNL)'!L35</f>
        <v>800519.8</v>
      </c>
      <c r="K14" s="345">
        <f t="shared" si="1"/>
        <v>26749.800000000047</v>
      </c>
    </row>
    <row r="15" spans="1:11">
      <c r="A15" s="343">
        <v>14</v>
      </c>
      <c r="B15" s="344" t="s">
        <v>45</v>
      </c>
      <c r="C15" s="344" t="s">
        <v>46</v>
      </c>
      <c r="D15" s="345">
        <f>+'Chellakere (KUWSDB)'!E35</f>
        <v>4890</v>
      </c>
      <c r="E15" s="345">
        <f>+'Chellakere (KUWSDB)'!G35</f>
        <v>451102.5</v>
      </c>
      <c r="F15" s="345">
        <f>+'Chellakere (KUWSDB)'!H35</f>
        <v>215</v>
      </c>
      <c r="G15" s="345">
        <f>+'Chellakere (KUWSDB)'!J35</f>
        <v>22387.200000000001</v>
      </c>
      <c r="H15" s="345">
        <f t="shared" si="0"/>
        <v>473489.7</v>
      </c>
      <c r="I15" s="345">
        <v>0</v>
      </c>
      <c r="J15" s="345">
        <f>+'Chellakere (KUWSDB)'!L35</f>
        <v>473489.69999999995</v>
      </c>
      <c r="K15" s="345">
        <f t="shared" si="1"/>
        <v>0</v>
      </c>
    </row>
    <row r="16" spans="1:11">
      <c r="A16" s="343">
        <v>15</v>
      </c>
      <c r="B16" s="344" t="s">
        <v>47</v>
      </c>
      <c r="C16" s="344" t="s">
        <v>48</v>
      </c>
      <c r="D16" s="345">
        <f>+Khanapur!E35</f>
        <v>20</v>
      </c>
      <c r="E16" s="345">
        <f>+Khanapur!G35</f>
        <v>1817.6</v>
      </c>
      <c r="F16" s="345">
        <f>+Khanapur!H35</f>
        <v>27.03</v>
      </c>
      <c r="G16" s="345">
        <f>+Khanapur!J35</f>
        <v>2777.8730999999998</v>
      </c>
      <c r="H16" s="345">
        <f t="shared" si="0"/>
        <v>4595.4730999999992</v>
      </c>
      <c r="I16" s="345">
        <v>0</v>
      </c>
      <c r="J16" s="345">
        <f>+Khanapur!M35</f>
        <v>4595.4730999999992</v>
      </c>
      <c r="K16" s="345">
        <f t="shared" si="1"/>
        <v>0</v>
      </c>
    </row>
    <row r="17" spans="1:11">
      <c r="A17" s="343">
        <v>16</v>
      </c>
      <c r="B17" s="344" t="s">
        <v>49</v>
      </c>
      <c r="C17" s="344" t="s">
        <v>50</v>
      </c>
      <c r="D17" s="345">
        <f>+'Munavalli(KUWSDB)'!E36</f>
        <v>219.15</v>
      </c>
      <c r="E17" s="345">
        <f>+'Munavalli(KUWSDB)'!G36</f>
        <v>19999.629000000001</v>
      </c>
      <c r="F17" s="345">
        <f>+'Munavalli(KUWSDB)'!H36</f>
        <v>0</v>
      </c>
      <c r="G17" s="345">
        <f>+'Munavalli(KUWSDB)'!J36</f>
        <v>0</v>
      </c>
      <c r="H17" s="345">
        <f t="shared" si="0"/>
        <v>19999.629000000001</v>
      </c>
      <c r="I17" s="345">
        <f>+'Munavalli(KUWSDB)'!M3</f>
        <v>587810.79440000013</v>
      </c>
      <c r="J17" s="345">
        <f>+'Munavalli(KUWSDB)'!L36</f>
        <v>607810.42340000009</v>
      </c>
      <c r="K17" s="345">
        <f t="shared" si="1"/>
        <v>0</v>
      </c>
    </row>
    <row r="18" spans="1:11">
      <c r="A18" s="343">
        <v>17</v>
      </c>
      <c r="B18" s="344" t="s">
        <v>98</v>
      </c>
      <c r="C18" s="344" t="s">
        <v>99</v>
      </c>
      <c r="D18" s="345">
        <f>+'Munavali-2'!E36</f>
        <v>1839</v>
      </c>
      <c r="E18" s="345">
        <f>+'Munavali-2'!G36</f>
        <v>167937.48</v>
      </c>
      <c r="F18" s="345">
        <f>+'Munavali-2'!H36</f>
        <v>83</v>
      </c>
      <c r="G18" s="345">
        <f>+'Munavali-2'!J36</f>
        <v>8568.9199999999983</v>
      </c>
      <c r="H18" s="345">
        <f t="shared" si="0"/>
        <v>176506.40000000002</v>
      </c>
      <c r="I18" s="345">
        <f>+'Munavali-2'!M3</f>
        <v>0</v>
      </c>
      <c r="J18" s="345">
        <f>+'Munavali-2'!L36</f>
        <v>150000</v>
      </c>
      <c r="K18" s="345">
        <f t="shared" si="1"/>
        <v>26506.400000000023</v>
      </c>
    </row>
    <row r="19" spans="1:11">
      <c r="A19" s="343">
        <v>18</v>
      </c>
      <c r="B19" s="344" t="s">
        <v>51</v>
      </c>
      <c r="C19" s="344" t="s">
        <v>52</v>
      </c>
      <c r="D19" s="345">
        <f>+Borgaon!E35</f>
        <v>922.62</v>
      </c>
      <c r="E19" s="345">
        <f>+Borgaon!G35</f>
        <v>84668.837399999989</v>
      </c>
      <c r="F19" s="345">
        <f>+Borgaon!H35</f>
        <v>40</v>
      </c>
      <c r="G19" s="345">
        <f>+Borgaon!J35</f>
        <v>4149.2</v>
      </c>
      <c r="H19" s="345">
        <f t="shared" si="0"/>
        <v>88818.037399999987</v>
      </c>
      <c r="I19" s="345">
        <f>+Borgaon!K3</f>
        <v>59999.798199999976</v>
      </c>
      <c r="J19" s="345">
        <f>+Borgaon!L35</f>
        <v>119123</v>
      </c>
      <c r="K19" s="345">
        <f t="shared" si="1"/>
        <v>29694.835599999962</v>
      </c>
    </row>
    <row r="20" spans="1:11">
      <c r="A20" s="343">
        <v>19</v>
      </c>
      <c r="B20" s="344" t="s">
        <v>53</v>
      </c>
      <c r="C20" s="344" t="s">
        <v>54</v>
      </c>
      <c r="D20" s="345">
        <f>+'Ugar,Khagwad,Kudichi'!E35</f>
        <v>5405.66</v>
      </c>
      <c r="E20" s="345">
        <f>+'Ugar,Khagwad,Kudichi'!G35</f>
        <v>496942.32380000007</v>
      </c>
      <c r="F20" s="345">
        <f>+'Ugar,Khagwad,Kudichi'!H35</f>
        <v>241</v>
      </c>
      <c r="G20" s="345">
        <f>+'Ugar,Khagwad,Kudichi'!J35</f>
        <v>25037.49</v>
      </c>
      <c r="H20" s="345">
        <f t="shared" si="0"/>
        <v>521979.81380000006</v>
      </c>
      <c r="I20" s="345">
        <f>+'Ugar,Khagwad,Kudichi'!M4</f>
        <v>236571.2407000002</v>
      </c>
      <c r="J20" s="345">
        <f>+'Ugar,Khagwad,Kudichi'!L35</f>
        <v>737362.07480000018</v>
      </c>
      <c r="K20" s="345">
        <f>H20+I20-J20</f>
        <v>21188.979700000142</v>
      </c>
    </row>
    <row r="21" spans="1:11">
      <c r="A21" s="343">
        <v>20</v>
      </c>
      <c r="B21" s="344" t="s">
        <v>55</v>
      </c>
      <c r="C21" s="344" t="s">
        <v>56</v>
      </c>
      <c r="D21" s="345">
        <f>+Kabbur!E35</f>
        <v>195</v>
      </c>
      <c r="E21" s="345">
        <f>+Kabbur!G35</f>
        <v>17860.05</v>
      </c>
      <c r="F21" s="345">
        <f>+Kabbur!H35</f>
        <v>28.080000000000002</v>
      </c>
      <c r="G21" s="345">
        <f>+Kabbur!J35</f>
        <v>2907.1224000000002</v>
      </c>
      <c r="H21" s="345">
        <f t="shared" si="0"/>
        <v>20767.172399999999</v>
      </c>
      <c r="I21" s="345">
        <v>0</v>
      </c>
      <c r="J21" s="345">
        <f>+Kabbur!L35</f>
        <v>20767.172399999999</v>
      </c>
      <c r="K21" s="345">
        <f t="shared" si="1"/>
        <v>0</v>
      </c>
    </row>
    <row r="22" spans="1:11">
      <c r="A22" s="343">
        <v>21</v>
      </c>
      <c r="B22" s="344" t="s">
        <v>57</v>
      </c>
      <c r="C22" s="344" t="s">
        <v>58</v>
      </c>
      <c r="D22" s="345">
        <f>+kumta!E35</f>
        <v>1055.96</v>
      </c>
      <c r="E22" s="345">
        <f>+kumta!G35</f>
        <v>97063.843200000032</v>
      </c>
      <c r="F22" s="345">
        <f>+kumta!H35</f>
        <v>142.22</v>
      </c>
      <c r="G22" s="345">
        <f>+kumta!J35</f>
        <v>14785.191200000001</v>
      </c>
      <c r="H22" s="345">
        <f t="shared" si="0"/>
        <v>111849.03440000003</v>
      </c>
      <c r="I22" s="345">
        <v>0</v>
      </c>
      <c r="J22" s="345">
        <f>+kumta!L35</f>
        <v>111849.03440000002</v>
      </c>
      <c r="K22" s="345">
        <f t="shared" si="1"/>
        <v>0</v>
      </c>
    </row>
    <row r="23" spans="1:11">
      <c r="A23" s="343">
        <v>22</v>
      </c>
      <c r="B23" s="344" t="s">
        <v>59</v>
      </c>
      <c r="C23" s="344" t="s">
        <v>60</v>
      </c>
      <c r="D23" s="345">
        <f>+Jalgaon!E42</f>
        <v>1209.6499999999999</v>
      </c>
      <c r="E23" s="345">
        <f>+Jalgaon!G42</f>
        <v>110814.88279999999</v>
      </c>
      <c r="F23" s="345">
        <f>+Jalgaon!H42</f>
        <v>8.08</v>
      </c>
      <c r="G23" s="345">
        <f>+Jalgaon!J42</f>
        <v>849.93520000000001</v>
      </c>
      <c r="H23" s="345">
        <f t="shared" si="0"/>
        <v>111664.818</v>
      </c>
      <c r="I23" s="345">
        <f>+Jalgaon!K3</f>
        <v>17065.879600000004</v>
      </c>
      <c r="J23" s="345">
        <f>+Jalgaon!L42</f>
        <v>78567.482199999984</v>
      </c>
      <c r="K23" s="345">
        <f t="shared" si="1"/>
        <v>50163.215400000016</v>
      </c>
    </row>
    <row r="24" spans="1:11">
      <c r="A24" s="343">
        <v>23</v>
      </c>
      <c r="B24" s="344" t="s">
        <v>61</v>
      </c>
      <c r="C24" s="344" t="s">
        <v>62</v>
      </c>
      <c r="D24" s="345">
        <f>+MKBD!E36</f>
        <v>2000</v>
      </c>
      <c r="E24" s="345">
        <f>+MKBD!G36</f>
        <v>182280</v>
      </c>
      <c r="F24" s="345">
        <f>+MKBD!H36</f>
        <v>40</v>
      </c>
      <c r="G24" s="345">
        <f>+MKBD!J36</f>
        <v>4184</v>
      </c>
      <c r="H24" s="345">
        <f t="shared" si="0"/>
        <v>186464</v>
      </c>
      <c r="I24" s="345">
        <f>+MKBD!K3</f>
        <v>1012175.6438</v>
      </c>
      <c r="J24" s="345">
        <f>+MKBD!L36</f>
        <v>0</v>
      </c>
      <c r="K24" s="345">
        <f t="shared" si="1"/>
        <v>1198639.6438</v>
      </c>
    </row>
    <row r="25" spans="1:11">
      <c r="A25" s="343">
        <v>24</v>
      </c>
      <c r="B25" s="344" t="s">
        <v>63</v>
      </c>
      <c r="C25" s="344" t="s">
        <v>64</v>
      </c>
      <c r="D25" s="345">
        <f>+Haveri!E35</f>
        <v>1389.88</v>
      </c>
      <c r="E25" s="345">
        <f>+Haveri!G35</f>
        <v>127132.3236</v>
      </c>
      <c r="F25" s="345">
        <f>+Haveri!H35</f>
        <v>78.88</v>
      </c>
      <c r="G25" s="345">
        <f>+Haveri!J35</f>
        <v>8156.192</v>
      </c>
      <c r="H25" s="345">
        <f t="shared" si="0"/>
        <v>135288.51560000001</v>
      </c>
      <c r="I25" s="345">
        <f>+Haveri!M3</f>
        <v>167921.802</v>
      </c>
      <c r="J25" s="345">
        <f>+Haveri!L35</f>
        <v>267684</v>
      </c>
      <c r="K25" s="345">
        <f t="shared" si="1"/>
        <v>35526.317600000009</v>
      </c>
    </row>
    <row r="26" spans="1:11">
      <c r="A26" s="343">
        <v>25</v>
      </c>
      <c r="B26" s="344" t="s">
        <v>65</v>
      </c>
      <c r="C26" s="344" t="s">
        <v>66</v>
      </c>
      <c r="D26" s="345">
        <f>+Guttal!E35</f>
        <v>378.85</v>
      </c>
      <c r="E26" s="345">
        <f>+Guttal!G35</f>
        <v>34778.43</v>
      </c>
      <c r="F26" s="345">
        <f>+Guttal!H35</f>
        <v>56</v>
      </c>
      <c r="G26" s="345">
        <f>+Guttal!J35</f>
        <v>5810.56</v>
      </c>
      <c r="H26" s="345">
        <f t="shared" si="0"/>
        <v>40588.99</v>
      </c>
      <c r="I26" s="345">
        <v>0</v>
      </c>
      <c r="J26" s="345">
        <f>+Guttal!L35</f>
        <v>40588.990000000005</v>
      </c>
      <c r="K26" s="345">
        <f t="shared" si="1"/>
        <v>0</v>
      </c>
    </row>
    <row r="27" spans="1:11">
      <c r="A27" s="343">
        <v>26</v>
      </c>
      <c r="B27" s="344" t="s">
        <v>67</v>
      </c>
      <c r="C27" s="344" t="s">
        <v>100</v>
      </c>
      <c r="D27" s="345">
        <f>+Rattihali!E35</f>
        <v>4661.7800000000007</v>
      </c>
      <c r="E27" s="345">
        <f>+Rattihali!G35</f>
        <v>429070.23119999992</v>
      </c>
      <c r="F27" s="345">
        <f>+Rattihali!H35</f>
        <v>149.76999999999998</v>
      </c>
      <c r="G27" s="345">
        <f>+Rattihali!J35</f>
        <v>15579.075400000003</v>
      </c>
      <c r="H27" s="345">
        <f t="shared" si="0"/>
        <v>444649.30659999995</v>
      </c>
      <c r="I27" s="345">
        <f>+Rattihali!M3</f>
        <v>155322.80800000002</v>
      </c>
      <c r="J27" s="345">
        <f>+Rattihali!L35</f>
        <v>546606.42879999999</v>
      </c>
      <c r="K27" s="345">
        <f t="shared" si="1"/>
        <v>53365.685799999977</v>
      </c>
    </row>
    <row r="28" spans="1:11">
      <c r="A28" s="343">
        <v>27</v>
      </c>
      <c r="B28" s="344" t="s">
        <v>69</v>
      </c>
      <c r="C28" s="344" t="s">
        <v>70</v>
      </c>
      <c r="D28" s="345">
        <f>+Gajendragada!E35</f>
        <v>376.15999999999997</v>
      </c>
      <c r="E28" s="345">
        <f>+Gajendragada!G35</f>
        <v>34542.772799999999</v>
      </c>
      <c r="F28" s="345">
        <f>+Gajendragada!H35</f>
        <v>82</v>
      </c>
      <c r="G28" s="345">
        <f>+Gajendragada!J35</f>
        <v>8511.6</v>
      </c>
      <c r="H28" s="345">
        <f t="shared" si="0"/>
        <v>43054.372799999997</v>
      </c>
      <c r="I28" s="345">
        <f>+Gajendragada!K3</f>
        <v>74049.038700000005</v>
      </c>
      <c r="J28" s="345">
        <f>+Gajendragada!L35</f>
        <v>95377</v>
      </c>
      <c r="K28" s="345">
        <f t="shared" si="1"/>
        <v>21726.411500000002</v>
      </c>
    </row>
    <row r="29" spans="1:11">
      <c r="A29" s="343">
        <v>28</v>
      </c>
      <c r="B29" s="347" t="s">
        <v>71</v>
      </c>
      <c r="C29" s="347" t="s">
        <v>72</v>
      </c>
      <c r="D29" s="345">
        <f>+Ghattaprabha!E35</f>
        <v>0</v>
      </c>
      <c r="E29" s="345">
        <f>+Ghattaprabha!G35</f>
        <v>0</v>
      </c>
      <c r="F29" s="345">
        <f>+Ghattaprabha!H35</f>
        <v>0</v>
      </c>
      <c r="G29" s="345">
        <f>+Ghattaprabha!J35</f>
        <v>0</v>
      </c>
      <c r="H29" s="345">
        <f t="shared" si="0"/>
        <v>0</v>
      </c>
      <c r="I29" s="345">
        <f>+Ghattaprabha!M3</f>
        <v>308876.46500000003</v>
      </c>
      <c r="J29" s="345">
        <f>+Ghattaprabha!L35</f>
        <v>308876</v>
      </c>
      <c r="K29" s="345">
        <f t="shared" si="1"/>
        <v>0.46500000002561137</v>
      </c>
    </row>
    <row r="30" spans="1:11">
      <c r="A30" s="343">
        <v>29</v>
      </c>
      <c r="B30" s="347" t="s">
        <v>73</v>
      </c>
      <c r="C30" s="347" t="s">
        <v>74</v>
      </c>
      <c r="D30" s="345">
        <f>+'Gokak Dharwad PKG 3'!E40</f>
        <v>19448.830000000002</v>
      </c>
      <c r="E30" s="345">
        <f>+'Gokak Dharwad PKG 3'!G40</f>
        <v>1779178.9683999999</v>
      </c>
      <c r="F30" s="345">
        <f>+'Gokak Dharwad PKG 3'!H40</f>
        <v>444.65</v>
      </c>
      <c r="G30" s="345">
        <f>+'Gokak Dharwad PKG 3'!J40</f>
        <v>46066.616499999996</v>
      </c>
      <c r="H30" s="345">
        <f t="shared" si="0"/>
        <v>1825245.5848999999</v>
      </c>
      <c r="I30" s="348">
        <f>+'Gokak Dharwad PKG 3'!K3</f>
        <v>906887.84760000021</v>
      </c>
      <c r="J30" s="345">
        <f>+'Gokak Dharwad PKG 3'!L40</f>
        <v>2225179</v>
      </c>
      <c r="K30" s="345">
        <f t="shared" si="1"/>
        <v>506954.43250000011</v>
      </c>
    </row>
    <row r="31" spans="1:11">
      <c r="A31" s="343">
        <v>30</v>
      </c>
      <c r="B31" s="347" t="s">
        <v>101</v>
      </c>
      <c r="C31" s="347" t="s">
        <v>102</v>
      </c>
      <c r="D31" s="345">
        <f>+Ankalgi!E35</f>
        <v>1939.6799999999998</v>
      </c>
      <c r="E31" s="345">
        <f>+Ankalgi!G35</f>
        <v>177112.1808</v>
      </c>
      <c r="F31" s="345">
        <f>+Ankalgi!H35</f>
        <v>187.9</v>
      </c>
      <c r="G31" s="345">
        <f>+Ankalgi!J35</f>
        <v>19396.916999999998</v>
      </c>
      <c r="H31" s="345">
        <f t="shared" si="0"/>
        <v>196509.09779999999</v>
      </c>
      <c r="I31" s="384">
        <f>+Ankalgi!M3</f>
        <v>0</v>
      </c>
      <c r="J31" s="345">
        <f>+Ankalgi!L35</f>
        <v>73518</v>
      </c>
      <c r="K31" s="345">
        <f t="shared" si="1"/>
        <v>122991.09779999999</v>
      </c>
    </row>
    <row r="32" spans="1:11">
      <c r="A32" s="343">
        <v>31</v>
      </c>
      <c r="B32" s="347" t="s">
        <v>103</v>
      </c>
      <c r="C32" s="347" t="s">
        <v>104</v>
      </c>
      <c r="D32" s="345">
        <f>+' Shankeshwar'!E35</f>
        <v>119.75999999999999</v>
      </c>
      <c r="E32" s="345">
        <f>+' Shankeshwar'!G35</f>
        <v>10934.088</v>
      </c>
      <c r="F32" s="345">
        <f>+' Shankeshwar'!H35</f>
        <v>29</v>
      </c>
      <c r="G32" s="345">
        <f>+' Shankeshwar'!J35</f>
        <v>2993.3799999999997</v>
      </c>
      <c r="H32" s="345">
        <f t="shared" si="0"/>
        <v>13927.467999999999</v>
      </c>
      <c r="I32" s="345"/>
      <c r="J32" s="345">
        <f>+' Shankeshwar'!L35</f>
        <v>13927.467999999999</v>
      </c>
      <c r="K32" s="345">
        <f t="shared" si="1"/>
        <v>0</v>
      </c>
    </row>
    <row r="33" spans="1:11">
      <c r="A33" s="343">
        <v>32</v>
      </c>
      <c r="B33" s="347" t="s">
        <v>79</v>
      </c>
      <c r="C33" s="347" t="s">
        <v>80</v>
      </c>
      <c r="D33" s="345">
        <f>+' Talikote'!E45</f>
        <v>1274.8300000000002</v>
      </c>
      <c r="E33" s="345">
        <f>+' Talikote'!G45</f>
        <v>116609.65249999998</v>
      </c>
      <c r="F33" s="345">
        <f>+' Talikote'!H45</f>
        <v>110.47999999999999</v>
      </c>
      <c r="G33" s="345">
        <f>+' Talikote'!J45</f>
        <v>11458.377599999998</v>
      </c>
      <c r="H33" s="345">
        <f t="shared" si="0"/>
        <v>128068.03009999997</v>
      </c>
      <c r="I33" s="345">
        <f>+' Talikote'!N3</f>
        <v>28582.189199999997</v>
      </c>
      <c r="J33" s="345">
        <f>+' Talikote'!L45</f>
        <v>153145.73860000001</v>
      </c>
      <c r="K33" s="345">
        <f t="shared" si="1"/>
        <v>3504.4806999999564</v>
      </c>
    </row>
    <row r="34" spans="1:11">
      <c r="A34" s="343">
        <v>33</v>
      </c>
      <c r="B34" s="347" t="s">
        <v>81</v>
      </c>
      <c r="C34" s="347" t="s">
        <v>82</v>
      </c>
      <c r="D34" s="345">
        <f>+Chadchan!E35</f>
        <v>1455.5</v>
      </c>
      <c r="E34" s="345">
        <f>+Chadchan!G35</f>
        <v>132785.26500000001</v>
      </c>
      <c r="F34" s="345">
        <f>+Chadchan!H35</f>
        <v>66.91</v>
      </c>
      <c r="G34" s="345">
        <f>+Chadchan!J35</f>
        <v>6902.4355999999989</v>
      </c>
      <c r="H34" s="345">
        <f t="shared" si="0"/>
        <v>139687.70060000001</v>
      </c>
      <c r="I34" s="345">
        <f>+Chadchan!K3</f>
        <v>92995.30260000001</v>
      </c>
      <c r="J34" s="345">
        <f>+Chadchan!L35</f>
        <v>127117</v>
      </c>
      <c r="K34" s="345">
        <f t="shared" si="1"/>
        <v>105566.00320000004</v>
      </c>
    </row>
    <row r="35" spans="1:11">
      <c r="A35" s="343">
        <v>34</v>
      </c>
      <c r="B35" s="347" t="s">
        <v>83</v>
      </c>
      <c r="C35" s="347" t="s">
        <v>84</v>
      </c>
      <c r="D35" s="345">
        <f>+Sindagi!E44</f>
        <v>1574.8899999999999</v>
      </c>
      <c r="E35" s="345">
        <f>+Sindagi!G44</f>
        <v>143677.21470000001</v>
      </c>
      <c r="F35" s="345">
        <f>+Sindagi!H44</f>
        <v>15.5</v>
      </c>
      <c r="G35" s="345">
        <f>+Sindagi!J44</f>
        <v>1712.4050000000002</v>
      </c>
      <c r="H35" s="345">
        <f t="shared" si="0"/>
        <v>145389.61970000001</v>
      </c>
      <c r="I35" s="345">
        <f>+Sindagi!M3</f>
        <v>9854.7489999999998</v>
      </c>
      <c r="J35" s="345">
        <f>+Sindagi!L44</f>
        <v>154336.16459999999</v>
      </c>
      <c r="K35" s="345">
        <f t="shared" si="1"/>
        <v>908.20410000003176</v>
      </c>
    </row>
    <row r="36" spans="1:11">
      <c r="A36" s="343">
        <v>35</v>
      </c>
      <c r="B36" s="347" t="s">
        <v>85</v>
      </c>
      <c r="C36" s="347" t="s">
        <v>86</v>
      </c>
      <c r="D36" s="345">
        <f>+Muddebihal!E47</f>
        <v>2851.0000000000005</v>
      </c>
      <c r="E36" s="345">
        <f>+Muddebihal!G47</f>
        <v>260723.95</v>
      </c>
      <c r="F36" s="345">
        <f>+Muddebihal!H47</f>
        <v>48.309999999999988</v>
      </c>
      <c r="G36" s="345">
        <f>+Muddebihal!J47</f>
        <v>4994.7709000000004</v>
      </c>
      <c r="H36" s="345">
        <f t="shared" si="0"/>
        <v>265718.72090000001</v>
      </c>
      <c r="I36" s="345">
        <f>+Muddebihal!M3</f>
        <v>27514.010399999999</v>
      </c>
      <c r="J36" s="345">
        <f>+Muddebihal!L47</f>
        <v>284211.94</v>
      </c>
      <c r="K36" s="345">
        <f t="shared" si="1"/>
        <v>9020.7912999999826</v>
      </c>
    </row>
    <row r="37" spans="1:11">
      <c r="A37" s="343">
        <v>36</v>
      </c>
      <c r="B37" s="347" t="s">
        <v>87</v>
      </c>
      <c r="C37" s="347" t="s">
        <v>88</v>
      </c>
      <c r="D37" s="345">
        <f>+Alemela!E43</f>
        <v>2968.21</v>
      </c>
      <c r="E37" s="345">
        <f>+Alemela!G43</f>
        <v>271086.61930000008</v>
      </c>
      <c r="F37" s="345">
        <f>+Alemela!H43</f>
        <v>42.84</v>
      </c>
      <c r="G37" s="345">
        <f>+Alemela!J43</f>
        <v>4423.6584000000003</v>
      </c>
      <c r="H37" s="345">
        <f t="shared" si="0"/>
        <v>275510.27770000009</v>
      </c>
      <c r="I37" s="345">
        <f>+Alemela!M3</f>
        <v>74760</v>
      </c>
      <c r="J37" s="345">
        <f>+Alemela!L43</f>
        <v>329307.11000000004</v>
      </c>
      <c r="K37" s="345">
        <f t="shared" si="1"/>
        <v>20963.167700000049</v>
      </c>
    </row>
    <row r="38" spans="1:11">
      <c r="A38" s="343">
        <v>37</v>
      </c>
      <c r="B38" s="347" t="s">
        <v>91</v>
      </c>
      <c r="C38" s="347" t="s">
        <v>92</v>
      </c>
      <c r="D38" s="345">
        <f>+Nalatwad!E43</f>
        <v>1273.28</v>
      </c>
      <c r="E38" s="345">
        <f>+Nalatwad!G43</f>
        <v>116657.91359999999</v>
      </c>
      <c r="F38" s="345">
        <f>+Nalatwad!H43</f>
        <v>118.02</v>
      </c>
      <c r="G38" s="345">
        <f>+Nalatwad!J43</f>
        <v>12223.331399999999</v>
      </c>
      <c r="H38" s="345">
        <f>E38+G38</f>
        <v>128881.24499999998</v>
      </c>
      <c r="I38" s="345">
        <f>+Nalatwad!M3</f>
        <v>36628.607600000003</v>
      </c>
      <c r="J38" s="345">
        <f>+Nalatwad!L43</f>
        <v>116000</v>
      </c>
      <c r="K38" s="345">
        <f>H38+I38-J38</f>
        <v>49509.852599999984</v>
      </c>
    </row>
    <row r="39" spans="1:11">
      <c r="A39" s="343">
        <v>38</v>
      </c>
      <c r="B39" s="347" t="s">
        <v>89</v>
      </c>
      <c r="C39" s="347" t="s">
        <v>90</v>
      </c>
      <c r="D39" s="345">
        <f>+Srirangapatna!E35</f>
        <v>454.60999999999996</v>
      </c>
      <c r="E39" s="345">
        <f>+Srirangapatna!G35</f>
        <v>41174.027699999999</v>
      </c>
      <c r="F39" s="345">
        <f>+Srirangapatna!H35</f>
        <v>51.879999999999995</v>
      </c>
      <c r="G39" s="345">
        <f>+Srirangapatna!J35</f>
        <v>5315.6247999999996</v>
      </c>
      <c r="H39" s="345">
        <f t="shared" si="0"/>
        <v>46489.652499999997</v>
      </c>
      <c r="I39" s="345">
        <v>0</v>
      </c>
      <c r="J39" s="345">
        <f>+Srirangapatna!L35</f>
        <v>46489.652499999997</v>
      </c>
      <c r="K39" s="345">
        <f t="shared" si="1"/>
        <v>0</v>
      </c>
    </row>
    <row r="40" spans="1:11">
      <c r="A40" s="418" t="s">
        <v>93</v>
      </c>
      <c r="B40" s="418"/>
      <c r="C40" s="418"/>
      <c r="D40" s="349">
        <f>SUM(D2:D39)</f>
        <v>315964.98000000016</v>
      </c>
      <c r="E40" s="349">
        <f>SUM(E2:E39)</f>
        <v>29937328.786100008</v>
      </c>
      <c r="F40" s="349">
        <f>SUM(F2:F39)</f>
        <v>5762.3899999999994</v>
      </c>
      <c r="G40" s="349">
        <f>SUM(G2:G39)</f>
        <v>592148.00429999991</v>
      </c>
      <c r="H40" s="349">
        <f>SUM(H2:H39)</f>
        <v>30529476.790399991</v>
      </c>
      <c r="I40" s="349">
        <f>SUM(I2:I39)</f>
        <v>32654746.706213802</v>
      </c>
      <c r="J40" s="349">
        <f>SUM(J2:J39)</f>
        <v>29088235.859100003</v>
      </c>
      <c r="K40" s="349">
        <f>H40+I40-J40</f>
        <v>34095987.637513787</v>
      </c>
    </row>
    <row r="41" spans="1:11">
      <c r="K41" s="350"/>
    </row>
    <row r="42" spans="1:11">
      <c r="K42" s="350"/>
    </row>
    <row r="43" spans="1:11">
      <c r="K43" s="350"/>
    </row>
    <row r="44" spans="1:11">
      <c r="K44" s="350"/>
    </row>
    <row r="45" spans="1:11">
      <c r="K45" s="351"/>
    </row>
  </sheetData>
  <sheetProtection algorithmName="SHA-512" hashValue="XrilyTk32+pC8wCmhNGrxTGXztjSAWxXdjA4uALJT21eD58AYIZVT3xr+nvR+ZWu26xi+OL5N3kNDG6GmgD8iw==" saltValue="/Eg4kNKLPKeb4ka0/Ym5Jw==" spinCount="100000" sheet="1" objects="1" scenarios="1"/>
  <mergeCells count="1">
    <mergeCell ref="A40:C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65961-9A19-4008-9D9A-8602856AE5E6}">
  <sheetPr>
    <tabColor rgb="FF00B050"/>
  </sheetPr>
  <dimension ref="A1:R41"/>
  <sheetViews>
    <sheetView workbookViewId="0">
      <pane ySplit="2" topLeftCell="A3" activePane="bottomLeft" state="frozen"/>
      <selection pane="bottomLeft" activeCell="O9" sqref="O9"/>
    </sheetView>
  </sheetViews>
  <sheetFormatPr defaultRowHeight="15"/>
  <cols>
    <col min="1" max="1" width="5.140625" bestFit="1" customWidth="1"/>
    <col min="2" max="2" width="13" customWidth="1"/>
    <col min="3" max="3" width="16.85546875" bestFit="1" customWidth="1"/>
    <col min="4" max="4" width="16" bestFit="1" customWidth="1"/>
    <col min="5" max="5" width="10.7109375" customWidth="1"/>
    <col min="6" max="6" width="15.140625" customWidth="1"/>
    <col min="7" max="7" width="13.7109375" customWidth="1"/>
    <col min="8" max="8" width="10.5703125" customWidth="1"/>
    <col min="9" max="9" width="9.140625" style="24"/>
    <col min="11" max="11" width="15.28515625" customWidth="1"/>
    <col min="12" max="13" width="14.28515625" customWidth="1"/>
    <col min="14" max="14" width="18.28515625" bestFit="1" customWidth="1"/>
    <col min="16" max="16" width="11.42578125" bestFit="1" customWidth="1"/>
  </cols>
  <sheetData>
    <row r="1" spans="1:16" ht="15.75" customHeight="1">
      <c r="A1" s="419" t="s">
        <v>12</v>
      </c>
      <c r="B1" s="419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65"/>
    </row>
    <row r="2" spans="1:16">
      <c r="A2" s="76" t="s">
        <v>105</v>
      </c>
      <c r="B2" s="96" t="s">
        <v>106</v>
      </c>
      <c r="C2" s="96" t="s">
        <v>107</v>
      </c>
      <c r="D2" s="96" t="s">
        <v>108</v>
      </c>
      <c r="E2" s="96" t="s">
        <v>109</v>
      </c>
      <c r="F2" s="96" t="s">
        <v>110</v>
      </c>
      <c r="G2" s="96" t="s">
        <v>111</v>
      </c>
      <c r="H2" s="96" t="s">
        <v>112</v>
      </c>
      <c r="I2" s="96" t="s">
        <v>110</v>
      </c>
      <c r="J2" s="97" t="s">
        <v>111</v>
      </c>
      <c r="K2" s="139" t="s">
        <v>113</v>
      </c>
      <c r="L2" s="142" t="s">
        <v>114</v>
      </c>
      <c r="M2" s="142" t="s">
        <v>115</v>
      </c>
      <c r="N2" s="140" t="s">
        <v>116</v>
      </c>
      <c r="O2" s="71"/>
    </row>
    <row r="3" spans="1:16">
      <c r="A3" s="420" t="s">
        <v>117</v>
      </c>
      <c r="B3" s="421"/>
      <c r="C3" s="421"/>
      <c r="D3" s="421"/>
      <c r="E3" s="421"/>
      <c r="F3" s="421"/>
      <c r="G3" s="421"/>
      <c r="H3" s="421"/>
      <c r="I3" s="421"/>
      <c r="J3" s="421"/>
      <c r="K3" s="230"/>
      <c r="L3" s="108"/>
      <c r="M3" s="46">
        <f>+K3</f>
        <v>0</v>
      </c>
      <c r="N3" s="19"/>
      <c r="O3" s="1"/>
      <c r="P3" s="24">
        <v>220299.06</v>
      </c>
    </row>
    <row r="4" spans="1:16" ht="15.75">
      <c r="A4" s="28">
        <v>1</v>
      </c>
      <c r="B4" s="29">
        <v>45809</v>
      </c>
      <c r="C4" s="20"/>
      <c r="D4" s="20"/>
      <c r="E4" s="48">
        <v>0</v>
      </c>
      <c r="F4" s="45">
        <v>0</v>
      </c>
      <c r="G4" s="48">
        <f>E4*F4</f>
        <v>0</v>
      </c>
      <c r="H4" s="20">
        <v>0</v>
      </c>
      <c r="I4" s="44">
        <v>0</v>
      </c>
      <c r="J4" s="20">
        <f>H4*I4</f>
        <v>0</v>
      </c>
      <c r="K4" s="160">
        <f>G4+J4</f>
        <v>0</v>
      </c>
      <c r="L4" s="161">
        <v>0</v>
      </c>
      <c r="M4" s="162">
        <f>M3+K4-L4</f>
        <v>0</v>
      </c>
      <c r="N4" s="161"/>
      <c r="O4" s="1"/>
    </row>
    <row r="5" spans="1:16" ht="15.75">
      <c r="A5" s="28">
        <v>2</v>
      </c>
      <c r="B5" s="29">
        <v>45810</v>
      </c>
      <c r="C5" s="20"/>
      <c r="D5" s="20"/>
      <c r="E5" s="48">
        <v>0</v>
      </c>
      <c r="F5" s="45">
        <v>0</v>
      </c>
      <c r="G5" s="48">
        <f t="shared" ref="G5:G35" si="0">E5*F5</f>
        <v>0</v>
      </c>
      <c r="H5" s="20">
        <v>0</v>
      </c>
      <c r="I5" s="44">
        <v>0</v>
      </c>
      <c r="J5" s="20">
        <f t="shared" ref="J5:J35" si="1">H5*I5</f>
        <v>0</v>
      </c>
      <c r="K5" s="160">
        <f t="shared" ref="K5:K35" si="2">G5+J5</f>
        <v>0</v>
      </c>
      <c r="L5" s="161">
        <v>0</v>
      </c>
      <c r="M5" s="117">
        <f>M4+K5-L5</f>
        <v>0</v>
      </c>
      <c r="N5" s="20"/>
      <c r="O5" s="1"/>
    </row>
    <row r="6" spans="1:16" ht="15.75">
      <c r="A6" s="28">
        <v>3</v>
      </c>
      <c r="B6" s="29">
        <v>45811</v>
      </c>
      <c r="C6" s="20"/>
      <c r="D6" s="20"/>
      <c r="E6" s="48">
        <v>0</v>
      </c>
      <c r="F6" s="45">
        <v>0</v>
      </c>
      <c r="G6" s="48">
        <f t="shared" si="0"/>
        <v>0</v>
      </c>
      <c r="H6" s="20">
        <v>0</v>
      </c>
      <c r="I6" s="44">
        <v>0</v>
      </c>
      <c r="J6" s="20">
        <f t="shared" si="1"/>
        <v>0</v>
      </c>
      <c r="K6" s="160">
        <f t="shared" si="2"/>
        <v>0</v>
      </c>
      <c r="L6" s="161">
        <v>0</v>
      </c>
      <c r="M6" s="117">
        <f t="shared" ref="M6:M34" si="3">M5+K6-L6</f>
        <v>0</v>
      </c>
      <c r="N6" s="20"/>
      <c r="O6" s="1"/>
    </row>
    <row r="7" spans="1:16" ht="15.75">
      <c r="A7" s="28">
        <v>4</v>
      </c>
      <c r="B7" s="29">
        <v>45812</v>
      </c>
      <c r="C7" s="20"/>
      <c r="D7" s="20"/>
      <c r="E7" s="48">
        <v>0</v>
      </c>
      <c r="F7" s="45">
        <v>0</v>
      </c>
      <c r="G7" s="48">
        <f t="shared" si="0"/>
        <v>0</v>
      </c>
      <c r="H7" s="20">
        <v>0</v>
      </c>
      <c r="I7" s="44">
        <v>0</v>
      </c>
      <c r="J7" s="20">
        <f t="shared" si="1"/>
        <v>0</v>
      </c>
      <c r="K7" s="160">
        <f t="shared" si="2"/>
        <v>0</v>
      </c>
      <c r="L7" s="161"/>
      <c r="M7" s="117">
        <f t="shared" si="3"/>
        <v>0</v>
      </c>
      <c r="N7" s="8"/>
      <c r="O7" s="1"/>
    </row>
    <row r="8" spans="1:16" ht="15.75">
      <c r="A8" s="28">
        <v>5</v>
      </c>
      <c r="B8" s="29">
        <v>45813</v>
      </c>
      <c r="C8" s="20"/>
      <c r="D8" s="20"/>
      <c r="E8" s="48">
        <v>0</v>
      </c>
      <c r="F8" s="45">
        <v>0</v>
      </c>
      <c r="G8" s="48">
        <f t="shared" si="0"/>
        <v>0</v>
      </c>
      <c r="H8" s="20">
        <v>0</v>
      </c>
      <c r="I8" s="44">
        <v>0</v>
      </c>
      <c r="J8" s="20">
        <f t="shared" si="1"/>
        <v>0</v>
      </c>
      <c r="K8" s="160">
        <f t="shared" si="2"/>
        <v>0</v>
      </c>
      <c r="L8" s="161"/>
      <c r="M8" s="117">
        <f t="shared" si="3"/>
        <v>0</v>
      </c>
      <c r="N8" s="8"/>
      <c r="O8" s="1"/>
    </row>
    <row r="9" spans="1:16" ht="15.75">
      <c r="A9" s="28">
        <v>6</v>
      </c>
      <c r="B9" s="29">
        <v>45814</v>
      </c>
      <c r="C9" s="20"/>
      <c r="D9" s="20"/>
      <c r="E9" s="48">
        <v>0</v>
      </c>
      <c r="F9" s="45">
        <v>0</v>
      </c>
      <c r="G9" s="48">
        <f t="shared" si="0"/>
        <v>0</v>
      </c>
      <c r="H9" s="20">
        <v>0</v>
      </c>
      <c r="I9" s="44">
        <v>0</v>
      </c>
      <c r="J9" s="20">
        <f t="shared" si="1"/>
        <v>0</v>
      </c>
      <c r="K9" s="160">
        <f t="shared" si="2"/>
        <v>0</v>
      </c>
      <c r="L9" s="161">
        <v>0</v>
      </c>
      <c r="M9" s="117">
        <f t="shared" si="3"/>
        <v>0</v>
      </c>
      <c r="N9" s="8"/>
      <c r="O9" s="1"/>
    </row>
    <row r="10" spans="1:16" ht="15.75">
      <c r="A10" s="28">
        <v>7</v>
      </c>
      <c r="B10" s="29">
        <v>45815</v>
      </c>
      <c r="C10" s="20"/>
      <c r="D10" s="20"/>
      <c r="E10" s="48">
        <v>0</v>
      </c>
      <c r="F10" s="45">
        <v>0</v>
      </c>
      <c r="G10" s="48">
        <f t="shared" si="0"/>
        <v>0</v>
      </c>
      <c r="H10" s="20">
        <v>0</v>
      </c>
      <c r="I10" s="44">
        <v>0</v>
      </c>
      <c r="J10" s="20">
        <f t="shared" si="1"/>
        <v>0</v>
      </c>
      <c r="K10" s="160">
        <f t="shared" si="2"/>
        <v>0</v>
      </c>
      <c r="L10" s="161">
        <v>0</v>
      </c>
      <c r="M10" s="117">
        <f>M9+K10-L10</f>
        <v>0</v>
      </c>
      <c r="N10" s="8"/>
      <c r="O10" s="1"/>
    </row>
    <row r="11" spans="1:16" ht="15.75">
      <c r="A11" s="28">
        <v>8</v>
      </c>
      <c r="B11" s="29">
        <v>45816</v>
      </c>
      <c r="C11" s="20"/>
      <c r="D11" s="20"/>
      <c r="E11" s="48">
        <v>0</v>
      </c>
      <c r="F11" s="45">
        <v>0</v>
      </c>
      <c r="G11" s="48">
        <f t="shared" si="0"/>
        <v>0</v>
      </c>
      <c r="H11" s="20">
        <v>0</v>
      </c>
      <c r="I11" s="44">
        <v>0</v>
      </c>
      <c r="J11" s="20">
        <f t="shared" si="1"/>
        <v>0</v>
      </c>
      <c r="K11" s="160">
        <f t="shared" si="2"/>
        <v>0</v>
      </c>
      <c r="L11" s="161">
        <v>0</v>
      </c>
      <c r="M11" s="117">
        <f t="shared" si="3"/>
        <v>0</v>
      </c>
      <c r="N11" s="8"/>
      <c r="O11" s="1"/>
    </row>
    <row r="12" spans="1:16" ht="15.75">
      <c r="A12" s="28">
        <v>9</v>
      </c>
      <c r="B12" s="29">
        <v>45817</v>
      </c>
      <c r="C12" s="20"/>
      <c r="D12" s="20"/>
      <c r="E12" s="48">
        <v>0</v>
      </c>
      <c r="F12" s="45">
        <v>0</v>
      </c>
      <c r="G12" s="48">
        <f t="shared" si="0"/>
        <v>0</v>
      </c>
      <c r="H12" s="20">
        <v>0</v>
      </c>
      <c r="I12" s="44">
        <v>0</v>
      </c>
      <c r="J12" s="20">
        <f t="shared" si="1"/>
        <v>0</v>
      </c>
      <c r="K12" s="160">
        <f t="shared" si="2"/>
        <v>0</v>
      </c>
      <c r="L12" s="161">
        <v>0</v>
      </c>
      <c r="M12" s="117">
        <f t="shared" si="3"/>
        <v>0</v>
      </c>
      <c r="N12" s="8"/>
      <c r="O12" s="1"/>
    </row>
    <row r="13" spans="1:16" ht="15.75">
      <c r="A13" s="28">
        <v>10</v>
      </c>
      <c r="B13" s="29">
        <v>45818</v>
      </c>
      <c r="C13" s="20"/>
      <c r="D13" s="20"/>
      <c r="E13" s="48">
        <v>0</v>
      </c>
      <c r="F13" s="45">
        <v>0</v>
      </c>
      <c r="G13" s="48">
        <f t="shared" si="0"/>
        <v>0</v>
      </c>
      <c r="H13" s="20">
        <v>0</v>
      </c>
      <c r="I13" s="44">
        <v>0</v>
      </c>
      <c r="J13" s="20">
        <f t="shared" si="1"/>
        <v>0</v>
      </c>
      <c r="K13" s="160">
        <f t="shared" si="2"/>
        <v>0</v>
      </c>
      <c r="L13" s="161">
        <v>0</v>
      </c>
      <c r="M13" s="117">
        <f t="shared" si="3"/>
        <v>0</v>
      </c>
      <c r="N13" s="8"/>
      <c r="O13" s="1"/>
    </row>
    <row r="14" spans="1:16" ht="15.75">
      <c r="A14" s="28">
        <v>11</v>
      </c>
      <c r="B14" s="29">
        <v>45819</v>
      </c>
      <c r="C14" s="20"/>
      <c r="D14" s="20"/>
      <c r="E14" s="48">
        <v>0</v>
      </c>
      <c r="F14" s="45">
        <v>0</v>
      </c>
      <c r="G14" s="48">
        <f t="shared" si="0"/>
        <v>0</v>
      </c>
      <c r="H14" s="20">
        <v>0</v>
      </c>
      <c r="I14" s="44">
        <v>0</v>
      </c>
      <c r="J14" s="20">
        <f t="shared" si="1"/>
        <v>0</v>
      </c>
      <c r="K14" s="160">
        <f t="shared" si="2"/>
        <v>0</v>
      </c>
      <c r="L14" s="161">
        <v>0</v>
      </c>
      <c r="M14" s="117">
        <f t="shared" si="3"/>
        <v>0</v>
      </c>
      <c r="N14" s="8"/>
      <c r="O14" s="1"/>
    </row>
    <row r="15" spans="1:16" ht="15.75">
      <c r="A15" s="28">
        <v>12</v>
      </c>
      <c r="B15" s="29">
        <v>45820</v>
      </c>
      <c r="C15" s="20"/>
      <c r="D15" s="20"/>
      <c r="E15" s="48">
        <v>0</v>
      </c>
      <c r="F15" s="45">
        <v>0</v>
      </c>
      <c r="G15" s="48">
        <f t="shared" si="0"/>
        <v>0</v>
      </c>
      <c r="H15" s="20">
        <v>0</v>
      </c>
      <c r="I15" s="44">
        <v>0</v>
      </c>
      <c r="J15" s="20">
        <f t="shared" si="1"/>
        <v>0</v>
      </c>
      <c r="K15" s="160">
        <f t="shared" si="2"/>
        <v>0</v>
      </c>
      <c r="L15" s="161">
        <v>0</v>
      </c>
      <c r="M15" s="117">
        <f t="shared" si="3"/>
        <v>0</v>
      </c>
      <c r="N15" s="8"/>
      <c r="O15" s="1"/>
    </row>
    <row r="16" spans="1:16" ht="15.75">
      <c r="A16" s="28">
        <v>13</v>
      </c>
      <c r="B16" s="29">
        <v>45821</v>
      </c>
      <c r="C16" s="20"/>
      <c r="D16" s="20"/>
      <c r="E16" s="48">
        <v>0</v>
      </c>
      <c r="F16" s="45">
        <v>0</v>
      </c>
      <c r="G16" s="48">
        <f t="shared" si="0"/>
        <v>0</v>
      </c>
      <c r="H16" s="20">
        <v>0</v>
      </c>
      <c r="I16" s="44">
        <v>0</v>
      </c>
      <c r="J16" s="20">
        <f t="shared" si="1"/>
        <v>0</v>
      </c>
      <c r="K16" s="160">
        <f t="shared" si="2"/>
        <v>0</v>
      </c>
      <c r="L16" s="161">
        <v>0</v>
      </c>
      <c r="M16" s="117">
        <f t="shared" si="3"/>
        <v>0</v>
      </c>
      <c r="N16" s="8"/>
      <c r="O16" s="1"/>
    </row>
    <row r="17" spans="1:15" ht="15.75">
      <c r="A17" s="28">
        <v>14</v>
      </c>
      <c r="B17" s="29">
        <v>45822</v>
      </c>
      <c r="C17" s="20"/>
      <c r="D17" s="20"/>
      <c r="E17" s="48">
        <v>0</v>
      </c>
      <c r="F17" s="45">
        <v>0</v>
      </c>
      <c r="G17" s="48">
        <f t="shared" si="0"/>
        <v>0</v>
      </c>
      <c r="H17" s="20">
        <v>0</v>
      </c>
      <c r="I17" s="44">
        <v>0</v>
      </c>
      <c r="J17" s="20">
        <f t="shared" si="1"/>
        <v>0</v>
      </c>
      <c r="K17" s="160">
        <f t="shared" si="2"/>
        <v>0</v>
      </c>
      <c r="L17" s="161">
        <v>0</v>
      </c>
      <c r="M17" s="117">
        <f t="shared" si="3"/>
        <v>0</v>
      </c>
      <c r="N17" s="118"/>
      <c r="O17" s="1"/>
    </row>
    <row r="18" spans="1:15" ht="15.75">
      <c r="A18" s="28">
        <v>15</v>
      </c>
      <c r="B18" s="29">
        <v>45823</v>
      </c>
      <c r="C18" s="20"/>
      <c r="D18" s="20"/>
      <c r="E18" s="48">
        <v>0</v>
      </c>
      <c r="F18" s="45">
        <v>0</v>
      </c>
      <c r="G18" s="48">
        <f t="shared" si="0"/>
        <v>0</v>
      </c>
      <c r="H18" s="20">
        <v>0</v>
      </c>
      <c r="I18" s="44">
        <v>0</v>
      </c>
      <c r="J18" s="20">
        <f t="shared" si="1"/>
        <v>0</v>
      </c>
      <c r="K18" s="160">
        <f t="shared" si="2"/>
        <v>0</v>
      </c>
      <c r="L18" s="161">
        <v>0</v>
      </c>
      <c r="M18" s="117">
        <f t="shared" si="3"/>
        <v>0</v>
      </c>
      <c r="N18" s="8"/>
      <c r="O18" s="1"/>
    </row>
    <row r="19" spans="1:15" ht="15.75">
      <c r="A19" s="28">
        <v>16</v>
      </c>
      <c r="B19" s="29">
        <v>45824</v>
      </c>
      <c r="C19" s="20"/>
      <c r="D19" s="20"/>
      <c r="E19" s="48">
        <v>0</v>
      </c>
      <c r="F19" s="45">
        <v>0</v>
      </c>
      <c r="G19" s="48">
        <f t="shared" si="0"/>
        <v>0</v>
      </c>
      <c r="H19" s="20">
        <v>0</v>
      </c>
      <c r="I19" s="44">
        <v>0</v>
      </c>
      <c r="J19" s="20">
        <f t="shared" si="1"/>
        <v>0</v>
      </c>
      <c r="K19" s="160">
        <f t="shared" si="2"/>
        <v>0</v>
      </c>
      <c r="L19" s="161">
        <v>0</v>
      </c>
      <c r="M19" s="117">
        <f t="shared" si="3"/>
        <v>0</v>
      </c>
      <c r="N19" s="8"/>
      <c r="O19" s="1" t="s">
        <v>118</v>
      </c>
    </row>
    <row r="20" spans="1:15" ht="15.75">
      <c r="A20" s="28">
        <v>17</v>
      </c>
      <c r="B20" s="29">
        <v>45825</v>
      </c>
      <c r="C20" s="20"/>
      <c r="D20" s="20"/>
      <c r="E20" s="48">
        <v>0</v>
      </c>
      <c r="F20" s="45">
        <v>0</v>
      </c>
      <c r="G20" s="48">
        <f t="shared" si="0"/>
        <v>0</v>
      </c>
      <c r="H20" s="20">
        <v>0</v>
      </c>
      <c r="I20" s="44">
        <v>0</v>
      </c>
      <c r="J20" s="20">
        <f t="shared" si="1"/>
        <v>0</v>
      </c>
      <c r="K20" s="160">
        <f t="shared" si="2"/>
        <v>0</v>
      </c>
      <c r="L20" s="161">
        <v>0</v>
      </c>
      <c r="M20" s="117">
        <f t="shared" si="3"/>
        <v>0</v>
      </c>
      <c r="N20" s="8"/>
      <c r="O20" s="1"/>
    </row>
    <row r="21" spans="1:15" ht="15.75">
      <c r="A21" s="28">
        <v>18</v>
      </c>
      <c r="B21" s="29">
        <v>45826</v>
      </c>
      <c r="C21" s="20"/>
      <c r="D21" s="20"/>
      <c r="E21" s="48">
        <v>0</v>
      </c>
      <c r="F21" s="45">
        <v>0</v>
      </c>
      <c r="G21" s="48">
        <f t="shared" si="0"/>
        <v>0</v>
      </c>
      <c r="H21" s="20">
        <v>0</v>
      </c>
      <c r="I21" s="44">
        <v>0</v>
      </c>
      <c r="J21" s="20">
        <f t="shared" si="1"/>
        <v>0</v>
      </c>
      <c r="K21" s="160">
        <f t="shared" si="2"/>
        <v>0</v>
      </c>
      <c r="L21" s="161">
        <v>0</v>
      </c>
      <c r="M21" s="117">
        <f t="shared" si="3"/>
        <v>0</v>
      </c>
      <c r="N21" s="8"/>
      <c r="O21" s="1"/>
    </row>
    <row r="22" spans="1:15" ht="15.75">
      <c r="A22" s="28">
        <v>19</v>
      </c>
      <c r="B22" s="29">
        <v>45827</v>
      </c>
      <c r="C22" s="20"/>
      <c r="D22" s="20"/>
      <c r="E22" s="48">
        <v>0</v>
      </c>
      <c r="F22" s="45">
        <v>0</v>
      </c>
      <c r="G22" s="48">
        <f t="shared" si="0"/>
        <v>0</v>
      </c>
      <c r="H22" s="20">
        <v>0</v>
      </c>
      <c r="I22" s="44">
        <v>0</v>
      </c>
      <c r="J22" s="20">
        <f t="shared" si="1"/>
        <v>0</v>
      </c>
      <c r="K22" s="160">
        <f t="shared" si="2"/>
        <v>0</v>
      </c>
      <c r="L22" s="161">
        <v>0</v>
      </c>
      <c r="M22" s="117">
        <f t="shared" si="3"/>
        <v>0</v>
      </c>
      <c r="N22" s="8"/>
      <c r="O22" s="1"/>
    </row>
    <row r="23" spans="1:15" ht="15.75">
      <c r="A23" s="28">
        <v>20</v>
      </c>
      <c r="B23" s="29">
        <v>45828</v>
      </c>
      <c r="C23" s="20"/>
      <c r="D23" s="20"/>
      <c r="E23" s="48">
        <v>0</v>
      </c>
      <c r="F23" s="45">
        <v>0</v>
      </c>
      <c r="G23" s="48">
        <f t="shared" si="0"/>
        <v>0</v>
      </c>
      <c r="H23" s="20">
        <v>0</v>
      </c>
      <c r="I23" s="44">
        <v>0</v>
      </c>
      <c r="J23" s="20">
        <f t="shared" si="1"/>
        <v>0</v>
      </c>
      <c r="K23" s="160">
        <f t="shared" si="2"/>
        <v>0</v>
      </c>
      <c r="L23" s="161">
        <v>0</v>
      </c>
      <c r="M23" s="117">
        <f t="shared" si="3"/>
        <v>0</v>
      </c>
      <c r="N23" s="8"/>
      <c r="O23" s="1"/>
    </row>
    <row r="24" spans="1:15" ht="15.75">
      <c r="A24" s="28">
        <v>21</v>
      </c>
      <c r="B24" s="29">
        <v>45829</v>
      </c>
      <c r="C24" s="20"/>
      <c r="D24" s="20"/>
      <c r="E24" s="48">
        <v>0</v>
      </c>
      <c r="F24" s="45">
        <v>0</v>
      </c>
      <c r="G24" s="48">
        <f t="shared" si="0"/>
        <v>0</v>
      </c>
      <c r="H24" s="20">
        <v>0</v>
      </c>
      <c r="I24" s="44">
        <v>0</v>
      </c>
      <c r="J24" s="20">
        <f t="shared" si="1"/>
        <v>0</v>
      </c>
      <c r="K24" s="160">
        <f t="shared" si="2"/>
        <v>0</v>
      </c>
      <c r="L24" s="161">
        <v>0</v>
      </c>
      <c r="M24" s="117">
        <f t="shared" si="3"/>
        <v>0</v>
      </c>
      <c r="N24" s="8"/>
      <c r="O24" s="1"/>
    </row>
    <row r="25" spans="1:15" ht="15.75">
      <c r="A25" s="28">
        <v>22</v>
      </c>
      <c r="B25" s="29">
        <v>45830</v>
      </c>
      <c r="C25" s="20"/>
      <c r="D25" s="20"/>
      <c r="E25" s="48">
        <v>0</v>
      </c>
      <c r="F25" s="45">
        <v>0</v>
      </c>
      <c r="G25" s="48">
        <f t="shared" si="0"/>
        <v>0</v>
      </c>
      <c r="H25" s="20">
        <v>0</v>
      </c>
      <c r="I25" s="44">
        <v>0</v>
      </c>
      <c r="J25" s="20">
        <f t="shared" si="1"/>
        <v>0</v>
      </c>
      <c r="K25" s="160">
        <f t="shared" si="2"/>
        <v>0</v>
      </c>
      <c r="L25" s="161">
        <v>0</v>
      </c>
      <c r="M25" s="117">
        <f t="shared" si="3"/>
        <v>0</v>
      </c>
      <c r="N25" s="8"/>
      <c r="O25" s="1"/>
    </row>
    <row r="26" spans="1:15" ht="15.75">
      <c r="A26" s="28">
        <v>23</v>
      </c>
      <c r="B26" s="29">
        <v>45831</v>
      </c>
      <c r="C26" s="20"/>
      <c r="D26" s="20"/>
      <c r="E26" s="48">
        <v>0</v>
      </c>
      <c r="F26" s="45">
        <v>0</v>
      </c>
      <c r="G26" s="48">
        <f t="shared" si="0"/>
        <v>0</v>
      </c>
      <c r="H26" s="20">
        <v>0</v>
      </c>
      <c r="I26" s="44">
        <v>0</v>
      </c>
      <c r="J26" s="20">
        <f t="shared" si="1"/>
        <v>0</v>
      </c>
      <c r="K26" s="160">
        <f t="shared" si="2"/>
        <v>0</v>
      </c>
      <c r="L26" s="161">
        <v>0</v>
      </c>
      <c r="M26" s="117">
        <f t="shared" si="3"/>
        <v>0</v>
      </c>
      <c r="N26" s="8"/>
      <c r="O26" s="1"/>
    </row>
    <row r="27" spans="1:15" ht="15.75">
      <c r="A27" s="28">
        <v>24</v>
      </c>
      <c r="B27" s="29">
        <v>45832</v>
      </c>
      <c r="C27" s="20"/>
      <c r="D27" s="20"/>
      <c r="E27" s="48">
        <v>0</v>
      </c>
      <c r="F27" s="45">
        <v>0</v>
      </c>
      <c r="G27" s="48">
        <f t="shared" si="0"/>
        <v>0</v>
      </c>
      <c r="H27" s="20">
        <v>0</v>
      </c>
      <c r="I27" s="44">
        <v>0</v>
      </c>
      <c r="J27" s="20">
        <f t="shared" si="1"/>
        <v>0</v>
      </c>
      <c r="K27" s="160">
        <f t="shared" si="2"/>
        <v>0</v>
      </c>
      <c r="L27" s="161">
        <v>0</v>
      </c>
      <c r="M27" s="117">
        <f t="shared" si="3"/>
        <v>0</v>
      </c>
      <c r="N27" s="8"/>
      <c r="O27" s="1"/>
    </row>
    <row r="28" spans="1:15" ht="15.75">
      <c r="A28" s="28">
        <v>25</v>
      </c>
      <c r="B28" s="29">
        <v>45833</v>
      </c>
      <c r="C28" s="20"/>
      <c r="D28" s="20"/>
      <c r="E28" s="48">
        <v>0</v>
      </c>
      <c r="F28" s="45">
        <v>0</v>
      </c>
      <c r="G28" s="48">
        <f t="shared" si="0"/>
        <v>0</v>
      </c>
      <c r="H28" s="20">
        <v>0</v>
      </c>
      <c r="I28" s="44">
        <v>0</v>
      </c>
      <c r="J28" s="20">
        <f t="shared" si="1"/>
        <v>0</v>
      </c>
      <c r="K28" s="160">
        <f t="shared" si="2"/>
        <v>0</v>
      </c>
      <c r="L28" s="161">
        <v>0</v>
      </c>
      <c r="M28" s="117">
        <f t="shared" si="3"/>
        <v>0</v>
      </c>
      <c r="N28" s="8"/>
      <c r="O28" s="1"/>
    </row>
    <row r="29" spans="1:15" ht="15.75">
      <c r="A29" s="28">
        <v>26</v>
      </c>
      <c r="B29" s="29">
        <v>45834</v>
      </c>
      <c r="C29" s="20"/>
      <c r="D29" s="20"/>
      <c r="E29" s="48">
        <v>0</v>
      </c>
      <c r="F29" s="45">
        <v>0</v>
      </c>
      <c r="G29" s="48">
        <f t="shared" si="0"/>
        <v>0</v>
      </c>
      <c r="H29" s="20">
        <v>0</v>
      </c>
      <c r="I29" s="44">
        <v>0</v>
      </c>
      <c r="J29" s="20">
        <f t="shared" si="1"/>
        <v>0</v>
      </c>
      <c r="K29" s="160">
        <f t="shared" si="2"/>
        <v>0</v>
      </c>
      <c r="L29" s="161">
        <v>0</v>
      </c>
      <c r="M29" s="117">
        <f t="shared" si="3"/>
        <v>0</v>
      </c>
      <c r="N29" s="8"/>
      <c r="O29" s="1"/>
    </row>
    <row r="30" spans="1:15" ht="15.75">
      <c r="A30" s="28">
        <v>27</v>
      </c>
      <c r="B30" s="29">
        <v>45835</v>
      </c>
      <c r="C30" s="20"/>
      <c r="D30" s="20"/>
      <c r="E30" s="48">
        <v>0</v>
      </c>
      <c r="F30" s="45">
        <v>0</v>
      </c>
      <c r="G30" s="48">
        <f t="shared" si="0"/>
        <v>0</v>
      </c>
      <c r="H30" s="20">
        <v>0</v>
      </c>
      <c r="I30" s="44">
        <v>0</v>
      </c>
      <c r="J30" s="20">
        <f t="shared" si="1"/>
        <v>0</v>
      </c>
      <c r="K30" s="160">
        <f t="shared" si="2"/>
        <v>0</v>
      </c>
      <c r="L30" s="161">
        <v>0</v>
      </c>
      <c r="M30" s="117">
        <f t="shared" si="3"/>
        <v>0</v>
      </c>
      <c r="N30" s="8"/>
      <c r="O30" s="1"/>
    </row>
    <row r="31" spans="1:15" ht="15.75">
      <c r="A31" s="28">
        <v>28</v>
      </c>
      <c r="B31" s="29">
        <v>45836</v>
      </c>
      <c r="C31" s="20"/>
      <c r="D31" s="20"/>
      <c r="E31" s="48">
        <v>0</v>
      </c>
      <c r="F31" s="45">
        <v>0</v>
      </c>
      <c r="G31" s="48">
        <f t="shared" si="0"/>
        <v>0</v>
      </c>
      <c r="H31" s="20">
        <v>0</v>
      </c>
      <c r="I31" s="44">
        <v>0</v>
      </c>
      <c r="J31" s="20">
        <f t="shared" si="1"/>
        <v>0</v>
      </c>
      <c r="K31" s="160">
        <f t="shared" si="2"/>
        <v>0</v>
      </c>
      <c r="L31" s="161">
        <v>0</v>
      </c>
      <c r="M31" s="117">
        <f t="shared" si="3"/>
        <v>0</v>
      </c>
      <c r="N31" s="8"/>
      <c r="O31" s="1"/>
    </row>
    <row r="32" spans="1:15" ht="15.75">
      <c r="A32" s="28">
        <v>29</v>
      </c>
      <c r="B32" s="29">
        <v>45837</v>
      </c>
      <c r="C32" s="20"/>
      <c r="D32" s="20"/>
      <c r="E32" s="48">
        <v>0</v>
      </c>
      <c r="F32" s="45">
        <v>0</v>
      </c>
      <c r="G32" s="48">
        <f t="shared" si="0"/>
        <v>0</v>
      </c>
      <c r="H32" s="20">
        <v>0</v>
      </c>
      <c r="I32" s="44">
        <v>0</v>
      </c>
      <c r="J32" s="20">
        <f t="shared" si="1"/>
        <v>0</v>
      </c>
      <c r="K32" s="160">
        <f t="shared" si="2"/>
        <v>0</v>
      </c>
      <c r="L32" s="161">
        <v>0</v>
      </c>
      <c r="M32" s="117">
        <f t="shared" si="3"/>
        <v>0</v>
      </c>
      <c r="N32" s="8"/>
      <c r="O32" s="1"/>
    </row>
    <row r="33" spans="1:18" ht="15.75">
      <c r="A33" s="28">
        <v>30</v>
      </c>
      <c r="B33" s="29">
        <v>45838</v>
      </c>
      <c r="C33" s="20"/>
      <c r="D33" s="20"/>
      <c r="E33" s="48">
        <v>0</v>
      </c>
      <c r="F33" s="45">
        <v>0</v>
      </c>
      <c r="G33" s="48">
        <f t="shared" si="0"/>
        <v>0</v>
      </c>
      <c r="H33" s="20">
        <v>0</v>
      </c>
      <c r="I33" s="44">
        <v>0</v>
      </c>
      <c r="J33" s="20">
        <f t="shared" si="1"/>
        <v>0</v>
      </c>
      <c r="K33" s="160">
        <f t="shared" si="2"/>
        <v>0</v>
      </c>
      <c r="L33" s="161">
        <v>0</v>
      </c>
      <c r="M33" s="117">
        <f t="shared" si="3"/>
        <v>0</v>
      </c>
      <c r="N33" s="8"/>
      <c r="O33" s="1"/>
      <c r="R33">
        <v>2584221.6967999996</v>
      </c>
    </row>
    <row r="34" spans="1:18" ht="15.75">
      <c r="A34" s="28">
        <v>31</v>
      </c>
      <c r="B34" s="29"/>
      <c r="C34" s="20"/>
      <c r="D34" s="20"/>
      <c r="E34" s="48">
        <v>0</v>
      </c>
      <c r="F34" s="45">
        <v>0</v>
      </c>
      <c r="G34" s="48">
        <f t="shared" si="0"/>
        <v>0</v>
      </c>
      <c r="H34" s="20">
        <v>0</v>
      </c>
      <c r="I34" s="44">
        <v>0</v>
      </c>
      <c r="J34" s="20">
        <f t="shared" si="1"/>
        <v>0</v>
      </c>
      <c r="K34" s="160">
        <f t="shared" si="2"/>
        <v>0</v>
      </c>
      <c r="L34" s="161">
        <v>0</v>
      </c>
      <c r="M34" s="117">
        <f t="shared" si="3"/>
        <v>0</v>
      </c>
      <c r="N34" s="8"/>
      <c r="O34" s="1"/>
    </row>
    <row r="35" spans="1:18" ht="15.75">
      <c r="A35" s="27"/>
      <c r="B35" s="29"/>
      <c r="C35" s="20"/>
      <c r="D35" s="20"/>
      <c r="E35" s="48">
        <v>0</v>
      </c>
      <c r="F35" s="45">
        <v>0</v>
      </c>
      <c r="G35" s="48">
        <f t="shared" si="0"/>
        <v>0</v>
      </c>
      <c r="H35" s="20">
        <v>0</v>
      </c>
      <c r="I35" s="44">
        <v>0</v>
      </c>
      <c r="J35" s="20">
        <f t="shared" si="1"/>
        <v>0</v>
      </c>
      <c r="K35" s="160">
        <f t="shared" si="2"/>
        <v>0</v>
      </c>
      <c r="L35" s="8"/>
      <c r="M35" s="117"/>
      <c r="N35" s="8"/>
      <c r="O35" s="1"/>
    </row>
    <row r="36" spans="1:18">
      <c r="A36" s="51"/>
      <c r="B36" s="51"/>
      <c r="C36" s="51"/>
      <c r="D36" s="51"/>
      <c r="E36" s="52">
        <f>SUM(E4:E35)</f>
        <v>0</v>
      </c>
      <c r="F36" s="52"/>
      <c r="G36" s="52">
        <f>SUM(G4:G35)</f>
        <v>0</v>
      </c>
      <c r="H36" s="52">
        <f>SUM(H4:H35)</f>
        <v>0</v>
      </c>
      <c r="I36" s="52"/>
      <c r="J36" s="52">
        <f>SUM(J3:J35)</f>
        <v>0</v>
      </c>
      <c r="K36" s="52">
        <f>SUM(K4:K35)</f>
        <v>0</v>
      </c>
      <c r="L36" s="52">
        <f>SUM(L4:L35)</f>
        <v>0</v>
      </c>
      <c r="M36" s="52"/>
      <c r="N36" s="52"/>
      <c r="O36" s="35"/>
    </row>
    <row r="37" spans="1:18">
      <c r="A37" s="1"/>
      <c r="B37" s="1"/>
      <c r="C37" s="1"/>
      <c r="D37" s="1"/>
      <c r="E37" s="1"/>
      <c r="F37" s="1"/>
      <c r="G37" s="3"/>
      <c r="H37" s="1"/>
      <c r="I37" s="2"/>
      <c r="J37" s="1"/>
      <c r="K37" s="1"/>
      <c r="L37" s="1"/>
      <c r="M37" s="1"/>
      <c r="N37" s="1"/>
      <c r="O37" s="4"/>
    </row>
    <row r="38" spans="1:18">
      <c r="A38" s="1"/>
      <c r="B38" s="413"/>
      <c r="C38" s="413"/>
      <c r="D38" s="413"/>
      <c r="E38" s="413"/>
      <c r="F38" s="62"/>
      <c r="G38" s="1"/>
      <c r="H38" s="1"/>
      <c r="I38" s="413"/>
      <c r="J38" s="413"/>
      <c r="K38" s="413"/>
      <c r="L38" s="413"/>
      <c r="M38" s="413"/>
      <c r="N38" s="413"/>
      <c r="O38" s="4"/>
    </row>
    <row r="39" spans="1:18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4"/>
    </row>
    <row r="41" spans="1:18">
      <c r="E41" s="196">
        <f>E36+H36</f>
        <v>0</v>
      </c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5461-B56A-421B-8409-CCEF1CCB2111}">
  <sheetPr>
    <tabColor rgb="FF00B050"/>
  </sheetPr>
  <dimension ref="A1:R39"/>
  <sheetViews>
    <sheetView workbookViewId="0">
      <selection activeCell="P5" sqref="P5"/>
    </sheetView>
  </sheetViews>
  <sheetFormatPr defaultRowHeight="15"/>
  <cols>
    <col min="2" max="2" width="10.5703125" bestFit="1" customWidth="1"/>
    <col min="4" max="4" width="31.28515625" bestFit="1" customWidth="1"/>
    <col min="5" max="5" width="16.85546875" customWidth="1"/>
    <col min="7" max="7" width="13.85546875" customWidth="1"/>
    <col min="11" max="11" width="13" customWidth="1"/>
    <col min="12" max="12" width="16.42578125" customWidth="1"/>
    <col min="13" max="13" width="12.28515625" bestFit="1" customWidth="1"/>
    <col min="18" max="18" width="13" bestFit="1" customWidth="1"/>
  </cols>
  <sheetData>
    <row r="1" spans="1:18" ht="15.75">
      <c r="A1" s="419" t="s">
        <v>14</v>
      </c>
      <c r="B1" s="419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</row>
    <row r="2" spans="1:18" ht="30.75">
      <c r="A2" s="139" t="s">
        <v>105</v>
      </c>
      <c r="B2" s="140" t="s">
        <v>106</v>
      </c>
      <c r="C2" s="140" t="s">
        <v>107</v>
      </c>
      <c r="D2" s="140" t="s">
        <v>108</v>
      </c>
      <c r="E2" s="140" t="s">
        <v>109</v>
      </c>
      <c r="F2" s="140" t="s">
        <v>110</v>
      </c>
      <c r="G2" s="140" t="s">
        <v>111</v>
      </c>
      <c r="H2" s="140" t="s">
        <v>112</v>
      </c>
      <c r="I2" s="140" t="s">
        <v>110</v>
      </c>
      <c r="J2" s="141" t="s">
        <v>111</v>
      </c>
      <c r="K2" s="139" t="s">
        <v>113</v>
      </c>
      <c r="L2" s="142" t="s">
        <v>114</v>
      </c>
      <c r="M2" s="142" t="s">
        <v>115</v>
      </c>
      <c r="N2" s="140" t="s">
        <v>116</v>
      </c>
    </row>
    <row r="3" spans="1:18">
      <c r="A3" s="422" t="s">
        <v>117</v>
      </c>
      <c r="B3" s="422"/>
      <c r="C3" s="422"/>
      <c r="D3" s="422"/>
      <c r="E3" s="422"/>
      <c r="F3" s="422"/>
      <c r="G3" s="422"/>
      <c r="H3" s="422"/>
      <c r="I3" s="422"/>
      <c r="J3" s="422"/>
      <c r="K3" s="279">
        <v>13565409.5681</v>
      </c>
      <c r="L3" s="280"/>
      <c r="M3" s="253">
        <f>+K3</f>
        <v>13565409.5681</v>
      </c>
      <c r="N3" s="107"/>
    </row>
    <row r="4" spans="1:18">
      <c r="A4" s="28">
        <v>1</v>
      </c>
      <c r="B4" s="29">
        <v>45839</v>
      </c>
      <c r="C4" s="19"/>
      <c r="D4" s="19"/>
      <c r="E4" s="19">
        <v>0</v>
      </c>
      <c r="F4" s="19">
        <v>0</v>
      </c>
      <c r="G4" s="19">
        <f>E4*F4</f>
        <v>0</v>
      </c>
      <c r="H4" s="19">
        <v>0</v>
      </c>
      <c r="I4" s="19">
        <v>0</v>
      </c>
      <c r="J4" s="19">
        <f>H4*I4</f>
        <v>0</v>
      </c>
      <c r="K4" s="19">
        <f>G4+J4</f>
        <v>0</v>
      </c>
      <c r="L4" s="19"/>
      <c r="M4" s="46">
        <f>M3+K4-L4</f>
        <v>13565409.5681</v>
      </c>
      <c r="N4" s="19"/>
    </row>
    <row r="5" spans="1:18">
      <c r="A5" s="28">
        <v>2</v>
      </c>
      <c r="B5" s="29">
        <v>45840</v>
      </c>
      <c r="C5" s="19"/>
      <c r="D5" s="19"/>
      <c r="E5" s="19">
        <v>0</v>
      </c>
      <c r="F5" s="19">
        <v>0</v>
      </c>
      <c r="G5" s="19">
        <f t="shared" ref="G5:G36" si="0">E5*F5</f>
        <v>0</v>
      </c>
      <c r="H5" s="19">
        <v>0</v>
      </c>
      <c r="I5" s="19">
        <v>0</v>
      </c>
      <c r="J5" s="19">
        <f>H5*I5</f>
        <v>0</v>
      </c>
      <c r="K5" s="270">
        <f>G5+J5</f>
        <v>0</v>
      </c>
      <c r="L5" s="19"/>
      <c r="M5" s="46">
        <f>M4+K5-L5</f>
        <v>13565409.5681</v>
      </c>
      <c r="N5" s="19"/>
    </row>
    <row r="6" spans="1:18">
      <c r="A6" s="28">
        <v>3</v>
      </c>
      <c r="B6" s="29">
        <v>45841</v>
      </c>
      <c r="C6" s="19"/>
      <c r="D6" s="19"/>
      <c r="E6" s="19">
        <v>0</v>
      </c>
      <c r="F6" s="19">
        <v>0</v>
      </c>
      <c r="G6" s="19">
        <f t="shared" si="0"/>
        <v>0</v>
      </c>
      <c r="H6" s="19">
        <v>0</v>
      </c>
      <c r="I6" s="19">
        <v>0</v>
      </c>
      <c r="J6" s="19">
        <f>H6*I6</f>
        <v>0</v>
      </c>
      <c r="K6" s="270">
        <f>G6+J6</f>
        <v>0</v>
      </c>
      <c r="L6" s="19"/>
      <c r="M6" s="46">
        <f t="shared" ref="M5:M8" si="1">M5+K6-L6</f>
        <v>13565409.5681</v>
      </c>
      <c r="N6" s="19"/>
    </row>
    <row r="7" spans="1:18">
      <c r="A7" s="28">
        <v>4</v>
      </c>
      <c r="B7" s="29">
        <v>45842</v>
      </c>
      <c r="C7" s="19"/>
      <c r="D7" s="19"/>
      <c r="E7" s="19">
        <v>5300.79</v>
      </c>
      <c r="F7" s="19">
        <v>95.68</v>
      </c>
      <c r="G7" s="19">
        <f t="shared" si="0"/>
        <v>507179.58720000001</v>
      </c>
      <c r="H7" s="19">
        <v>20</v>
      </c>
      <c r="I7" s="19">
        <v>107.46</v>
      </c>
      <c r="J7" s="19">
        <f>H7*I7</f>
        <v>2149.1999999999998</v>
      </c>
      <c r="K7" s="270">
        <f>G7+J7</f>
        <v>509328.78720000002</v>
      </c>
      <c r="L7" s="19"/>
      <c r="M7" s="46">
        <f t="shared" si="1"/>
        <v>14074738.3553</v>
      </c>
      <c r="N7" s="19"/>
    </row>
    <row r="8" spans="1:18">
      <c r="A8" s="28">
        <v>5</v>
      </c>
      <c r="B8" s="29">
        <v>45843</v>
      </c>
      <c r="C8" s="19"/>
      <c r="D8" s="19"/>
      <c r="E8" s="19">
        <f>2500+3290.99+2800</f>
        <v>8590.99</v>
      </c>
      <c r="F8" s="19">
        <v>95.68</v>
      </c>
      <c r="G8" s="19">
        <f t="shared" si="0"/>
        <v>821985.92320000008</v>
      </c>
      <c r="H8" s="382">
        <f>40+26.7</f>
        <v>66.7</v>
      </c>
      <c r="I8" s="19">
        <v>107.46</v>
      </c>
      <c r="J8" s="19">
        <f>H8*I8</f>
        <v>7167.5820000000003</v>
      </c>
      <c r="K8" s="270">
        <f>G8+J8</f>
        <v>829153.50520000013</v>
      </c>
      <c r="L8" s="19"/>
      <c r="M8" s="46">
        <f t="shared" si="1"/>
        <v>14903891.8605</v>
      </c>
      <c r="N8" s="19"/>
    </row>
    <row r="9" spans="1:18">
      <c r="A9" s="28">
        <v>6</v>
      </c>
      <c r="B9" s="29">
        <v>45844</v>
      </c>
      <c r="C9" s="19"/>
      <c r="D9" s="19"/>
      <c r="E9" s="19">
        <v>0</v>
      </c>
      <c r="F9" s="19">
        <v>0</v>
      </c>
      <c r="G9" s="19">
        <f t="shared" si="0"/>
        <v>0</v>
      </c>
      <c r="H9" s="19">
        <v>0</v>
      </c>
      <c r="I9" s="19">
        <v>0</v>
      </c>
      <c r="J9" s="19">
        <f>H9*I9</f>
        <v>0</v>
      </c>
      <c r="K9" s="270">
        <f>G9+J9</f>
        <v>0</v>
      </c>
      <c r="L9" s="19"/>
      <c r="M9" s="46">
        <f>M8+K9-L9</f>
        <v>14903891.8605</v>
      </c>
      <c r="N9" s="19"/>
    </row>
    <row r="10" spans="1:18">
      <c r="A10" s="28">
        <v>7</v>
      </c>
      <c r="B10" s="29">
        <v>45845</v>
      </c>
      <c r="C10" s="19"/>
      <c r="D10" s="19"/>
      <c r="E10" s="19">
        <v>2500</v>
      </c>
      <c r="F10" s="19">
        <v>95.67</v>
      </c>
      <c r="G10" s="19">
        <f t="shared" si="0"/>
        <v>239175</v>
      </c>
      <c r="H10" s="19">
        <v>20</v>
      </c>
      <c r="I10" s="19">
        <v>107.46</v>
      </c>
      <c r="J10" s="19">
        <f>H10*I10</f>
        <v>2149.1999999999998</v>
      </c>
      <c r="K10" s="270">
        <f>G10+J10</f>
        <v>241324.2</v>
      </c>
      <c r="L10" s="19"/>
      <c r="M10" s="46">
        <f>M9+K10-L10</f>
        <v>15145216.0605</v>
      </c>
      <c r="N10" s="19"/>
    </row>
    <row r="11" spans="1:18">
      <c r="A11" s="28">
        <v>8</v>
      </c>
      <c r="B11" s="29">
        <v>45846</v>
      </c>
      <c r="C11" s="19"/>
      <c r="D11" s="19"/>
      <c r="E11" s="19">
        <v>7022.75</v>
      </c>
      <c r="F11" s="19">
        <v>95.68</v>
      </c>
      <c r="G11" s="19">
        <f t="shared" si="0"/>
        <v>671936.72000000009</v>
      </c>
      <c r="H11" s="19">
        <v>55</v>
      </c>
      <c r="I11" s="19">
        <v>107.46</v>
      </c>
      <c r="J11" s="19">
        <f>H11*I11</f>
        <v>5910.2999999999993</v>
      </c>
      <c r="K11" s="270">
        <f>G11+J11</f>
        <v>677847.02000000014</v>
      </c>
      <c r="L11" s="19"/>
      <c r="M11" s="46">
        <f>M10+K11-L11</f>
        <v>15823063.080499999</v>
      </c>
      <c r="N11" s="19"/>
    </row>
    <row r="12" spans="1:18">
      <c r="A12" s="28">
        <v>9</v>
      </c>
      <c r="B12" s="29">
        <v>45847</v>
      </c>
      <c r="C12" s="19"/>
      <c r="D12" s="19"/>
      <c r="E12" s="388">
        <f>2500+1541.27+200</f>
        <v>4241.2700000000004</v>
      </c>
      <c r="F12" s="19">
        <v>95.68</v>
      </c>
      <c r="G12" s="19">
        <f t="shared" si="0"/>
        <v>405804.71360000008</v>
      </c>
      <c r="H12" s="19">
        <v>40</v>
      </c>
      <c r="I12" s="19">
        <v>107.46</v>
      </c>
      <c r="J12" s="19">
        <f>H12*I12</f>
        <v>4298.3999999999996</v>
      </c>
      <c r="K12" s="270">
        <f>G12+J12</f>
        <v>410103.1136000001</v>
      </c>
      <c r="L12" s="19"/>
      <c r="M12" s="46">
        <f>M11+K12-L12</f>
        <v>16233166.1941</v>
      </c>
      <c r="N12" s="19"/>
    </row>
    <row r="13" spans="1:18">
      <c r="A13" s="28">
        <v>10</v>
      </c>
      <c r="B13" s="29">
        <v>45847</v>
      </c>
      <c r="C13" s="19"/>
      <c r="D13" s="19"/>
      <c r="E13" s="388">
        <v>2600</v>
      </c>
      <c r="F13" s="19">
        <v>95.67</v>
      </c>
      <c r="G13" s="19">
        <f t="shared" si="0"/>
        <v>248742</v>
      </c>
      <c r="H13" s="19"/>
      <c r="I13" s="19"/>
      <c r="J13" s="19"/>
      <c r="K13" s="270">
        <f>G13+J13</f>
        <v>248742</v>
      </c>
      <c r="L13" s="19"/>
      <c r="M13" s="46">
        <f t="shared" ref="M13:M36" si="2">M12+K13-L13</f>
        <v>16481908.1941</v>
      </c>
      <c r="N13" s="19"/>
    </row>
    <row r="14" spans="1:18">
      <c r="A14" s="28">
        <v>11</v>
      </c>
      <c r="B14" s="29">
        <v>45848</v>
      </c>
      <c r="C14" s="19"/>
      <c r="D14" s="19"/>
      <c r="E14" s="19">
        <v>0</v>
      </c>
      <c r="F14" s="19">
        <v>0</v>
      </c>
      <c r="G14" s="19">
        <f t="shared" si="0"/>
        <v>0</v>
      </c>
      <c r="H14" s="19">
        <v>0</v>
      </c>
      <c r="I14" s="19">
        <v>0</v>
      </c>
      <c r="J14" s="19">
        <f>H14*I14</f>
        <v>0</v>
      </c>
      <c r="K14" s="270">
        <f>G14+J14</f>
        <v>0</v>
      </c>
      <c r="L14" s="19"/>
      <c r="M14" s="46">
        <f t="shared" si="2"/>
        <v>16481908.1941</v>
      </c>
      <c r="N14" s="19"/>
    </row>
    <row r="15" spans="1:18">
      <c r="A15" s="28">
        <v>12</v>
      </c>
      <c r="B15" s="29">
        <v>45849</v>
      </c>
      <c r="C15" s="19"/>
      <c r="D15" s="19"/>
      <c r="E15" s="19">
        <v>0</v>
      </c>
      <c r="F15" s="19">
        <v>0</v>
      </c>
      <c r="G15" s="19">
        <f t="shared" si="0"/>
        <v>0</v>
      </c>
      <c r="H15" s="19">
        <v>0</v>
      </c>
      <c r="I15" s="19">
        <v>0</v>
      </c>
      <c r="J15" s="19">
        <f>H15*I15</f>
        <v>0</v>
      </c>
      <c r="K15" s="270">
        <f>G15+J15</f>
        <v>0</v>
      </c>
      <c r="L15" s="19"/>
      <c r="M15" s="46">
        <f t="shared" si="2"/>
        <v>16481908.1941</v>
      </c>
      <c r="N15" s="19"/>
      <c r="R15" s="24"/>
    </row>
    <row r="16" spans="1:18">
      <c r="A16" s="28">
        <v>13</v>
      </c>
      <c r="B16" s="29">
        <v>45850</v>
      </c>
      <c r="C16" s="19"/>
      <c r="D16" s="19"/>
      <c r="E16" s="393">
        <v>2700</v>
      </c>
      <c r="F16" s="392">
        <v>95.68</v>
      </c>
      <c r="G16" s="19">
        <f t="shared" si="0"/>
        <v>258336.00000000003</v>
      </c>
      <c r="H16" s="19">
        <v>20</v>
      </c>
      <c r="I16" s="392">
        <v>107.46</v>
      </c>
      <c r="J16" s="19">
        <f>H16*I16</f>
        <v>2149.1999999999998</v>
      </c>
      <c r="K16" s="270">
        <f>G16+J16</f>
        <v>260485.20000000004</v>
      </c>
      <c r="L16" s="19"/>
      <c r="M16" s="46">
        <f t="shared" si="2"/>
        <v>16742393.394099999</v>
      </c>
      <c r="N16" s="19"/>
    </row>
    <row r="17" spans="1:18">
      <c r="A17" s="28">
        <v>14</v>
      </c>
      <c r="B17" s="29">
        <v>45851</v>
      </c>
      <c r="C17" s="19"/>
      <c r="D17" s="19"/>
      <c r="E17" s="393">
        <v>2500.2600000000002</v>
      </c>
      <c r="F17" s="392">
        <v>95.68</v>
      </c>
      <c r="G17" s="19">
        <f t="shared" si="0"/>
        <v>239224.87680000003</v>
      </c>
      <c r="H17" s="19">
        <v>20</v>
      </c>
      <c r="I17" s="392">
        <v>107.46</v>
      </c>
      <c r="J17" s="19">
        <f>H17*I17</f>
        <v>2149.1999999999998</v>
      </c>
      <c r="K17" s="270">
        <f>G17+J17</f>
        <v>241374.07680000004</v>
      </c>
      <c r="L17" s="19"/>
      <c r="M17" s="46">
        <f t="shared" si="2"/>
        <v>16983767.470899999</v>
      </c>
      <c r="N17" s="19"/>
    </row>
    <row r="18" spans="1:18">
      <c r="A18" s="28">
        <v>15</v>
      </c>
      <c r="B18" s="29">
        <v>45852</v>
      </c>
      <c r="C18" s="19"/>
      <c r="D18" s="19"/>
      <c r="E18" s="209">
        <v>2800</v>
      </c>
      <c r="F18" s="392">
        <v>95.68</v>
      </c>
      <c r="G18" s="19">
        <f t="shared" si="0"/>
        <v>267904</v>
      </c>
      <c r="H18" s="19">
        <v>40</v>
      </c>
      <c r="I18" s="392">
        <v>107.46</v>
      </c>
      <c r="J18" s="19">
        <f>H18*I18</f>
        <v>4298.3999999999996</v>
      </c>
      <c r="K18" s="270">
        <f>G18+J18</f>
        <v>272202.40000000002</v>
      </c>
      <c r="L18" s="19"/>
      <c r="M18" s="46">
        <f t="shared" si="2"/>
        <v>17255969.870899998</v>
      </c>
      <c r="N18" s="19"/>
    </row>
    <row r="19" spans="1:18">
      <c r="A19" s="28">
        <v>16</v>
      </c>
      <c r="B19" s="29">
        <v>45853</v>
      </c>
      <c r="C19" s="19"/>
      <c r="D19" s="19"/>
      <c r="E19" s="209">
        <v>2800</v>
      </c>
      <c r="F19" s="392">
        <v>95.68</v>
      </c>
      <c r="G19" s="19">
        <f t="shared" si="0"/>
        <v>267904</v>
      </c>
      <c r="H19" s="19">
        <v>60</v>
      </c>
      <c r="I19" s="392">
        <v>107.46</v>
      </c>
      <c r="J19" s="19">
        <f>H19*I19</f>
        <v>6447.5999999999995</v>
      </c>
      <c r="K19" s="270">
        <f>G19+J19</f>
        <v>274351.59999999998</v>
      </c>
      <c r="L19" s="19">
        <v>6000000</v>
      </c>
      <c r="M19" s="46">
        <f t="shared" si="2"/>
        <v>11530321.470899999</v>
      </c>
      <c r="N19" s="19"/>
    </row>
    <row r="20" spans="1:18">
      <c r="A20" s="28">
        <v>17</v>
      </c>
      <c r="B20" s="29">
        <v>45854</v>
      </c>
      <c r="C20" s="19"/>
      <c r="D20" s="19"/>
      <c r="E20" s="382">
        <v>2500</v>
      </c>
      <c r="F20" s="409">
        <v>95.67</v>
      </c>
      <c r="G20" s="19">
        <f t="shared" si="0"/>
        <v>239175</v>
      </c>
      <c r="H20" s="19">
        <v>55</v>
      </c>
      <c r="I20" s="392">
        <v>107.46</v>
      </c>
      <c r="J20" s="19">
        <f>H20*I20</f>
        <v>5910.2999999999993</v>
      </c>
      <c r="K20" s="270">
        <f>G20+J20</f>
        <v>245085.3</v>
      </c>
      <c r="L20" s="19"/>
      <c r="M20" s="46">
        <f t="shared" si="2"/>
        <v>11775406.7709</v>
      </c>
      <c r="N20" s="19"/>
    </row>
    <row r="21" spans="1:18">
      <c r="A21" s="28">
        <v>18</v>
      </c>
      <c r="B21" s="29">
        <v>45854</v>
      </c>
      <c r="C21" s="19"/>
      <c r="D21" s="19"/>
      <c r="E21" s="382">
        <f>2800+847.32</f>
        <v>3647.32</v>
      </c>
      <c r="F21" s="409">
        <v>95.68</v>
      </c>
      <c r="G21" s="19">
        <f t="shared" si="0"/>
        <v>348975.57760000002</v>
      </c>
      <c r="H21" s="19"/>
      <c r="I21" s="392"/>
      <c r="J21" s="19"/>
      <c r="K21" s="270">
        <f>G21+J21</f>
        <v>348975.57760000002</v>
      </c>
      <c r="L21" s="19"/>
      <c r="M21" s="46">
        <f t="shared" si="2"/>
        <v>12124382.3485</v>
      </c>
      <c r="N21" s="19"/>
    </row>
    <row r="22" spans="1:18">
      <c r="A22" s="28">
        <v>19</v>
      </c>
      <c r="B22" s="29">
        <v>45855</v>
      </c>
      <c r="C22" s="19"/>
      <c r="D22" s="19"/>
      <c r="E22" s="209">
        <v>2599.9299999999998</v>
      </c>
      <c r="F22" s="392">
        <v>95.68</v>
      </c>
      <c r="G22" s="19">
        <f t="shared" si="0"/>
        <v>248761.30240000002</v>
      </c>
      <c r="H22" s="19">
        <v>20</v>
      </c>
      <c r="I22" s="392">
        <v>107.46</v>
      </c>
      <c r="J22" s="19">
        <f>H22*I22</f>
        <v>2149.1999999999998</v>
      </c>
      <c r="K22" s="270">
        <f>G22+J22</f>
        <v>250910.50240000003</v>
      </c>
      <c r="L22" s="19"/>
      <c r="M22" s="46">
        <f t="shared" si="2"/>
        <v>12375292.8509</v>
      </c>
      <c r="N22" s="19"/>
    </row>
    <row r="23" spans="1:18">
      <c r="A23" s="28">
        <v>20</v>
      </c>
      <c r="B23" s="29">
        <v>45856</v>
      </c>
      <c r="C23" s="19"/>
      <c r="D23" s="19"/>
      <c r="E23" s="209">
        <v>1006.24</v>
      </c>
      <c r="F23" s="392">
        <v>95.68</v>
      </c>
      <c r="G23" s="19">
        <f t="shared" si="0"/>
        <v>96277.043200000015</v>
      </c>
      <c r="H23" s="19">
        <v>0</v>
      </c>
      <c r="I23" s="392">
        <v>107.46</v>
      </c>
      <c r="J23" s="19">
        <f>H23*I23</f>
        <v>0</v>
      </c>
      <c r="K23" s="270">
        <f>G23+J23</f>
        <v>96277.043200000015</v>
      </c>
      <c r="L23" s="19"/>
      <c r="M23" s="46">
        <f t="shared" si="2"/>
        <v>12471569.894099999</v>
      </c>
      <c r="N23" s="19"/>
    </row>
    <row r="24" spans="1:18">
      <c r="A24" s="28">
        <v>21</v>
      </c>
      <c r="B24" s="29">
        <v>45857</v>
      </c>
      <c r="C24" s="19"/>
      <c r="D24" s="19"/>
      <c r="E24" s="398">
        <v>2800</v>
      </c>
      <c r="F24" s="392">
        <v>95.68</v>
      </c>
      <c r="G24" s="19">
        <f t="shared" si="0"/>
        <v>267904</v>
      </c>
      <c r="H24" s="19">
        <v>60</v>
      </c>
      <c r="I24" s="392">
        <v>107.46</v>
      </c>
      <c r="J24" s="19">
        <f>H24*I24</f>
        <v>6447.5999999999995</v>
      </c>
      <c r="K24" s="270">
        <f>G24+J24</f>
        <v>274351.59999999998</v>
      </c>
      <c r="L24" s="19"/>
      <c r="M24" s="46">
        <f t="shared" si="2"/>
        <v>12745921.494099999</v>
      </c>
      <c r="N24" s="19"/>
    </row>
    <row r="25" spans="1:18">
      <c r="A25" s="28">
        <v>22</v>
      </c>
      <c r="B25" s="29">
        <v>45858</v>
      </c>
      <c r="C25" s="19"/>
      <c r="D25" s="19"/>
      <c r="E25" s="398">
        <v>2600</v>
      </c>
      <c r="F25" s="392">
        <v>95.68</v>
      </c>
      <c r="G25" s="19">
        <f t="shared" si="0"/>
        <v>248768.00000000003</v>
      </c>
      <c r="H25" s="19">
        <v>0</v>
      </c>
      <c r="I25" s="392">
        <v>107.46</v>
      </c>
      <c r="J25" s="19">
        <f>H25*I25</f>
        <v>0</v>
      </c>
      <c r="K25" s="270">
        <f>G25+J25</f>
        <v>248768.00000000003</v>
      </c>
      <c r="L25" s="19"/>
      <c r="M25" s="46">
        <f t="shared" si="2"/>
        <v>12994689.494099999</v>
      </c>
      <c r="N25" s="19"/>
    </row>
    <row r="26" spans="1:18">
      <c r="A26" s="28">
        <v>23</v>
      </c>
      <c r="B26" s="29">
        <v>45859</v>
      </c>
      <c r="C26" s="19"/>
      <c r="D26" s="19"/>
      <c r="E26" s="19">
        <v>747</v>
      </c>
      <c r="F26" s="392">
        <v>95.68</v>
      </c>
      <c r="G26" s="19">
        <f t="shared" si="0"/>
        <v>71472.960000000006</v>
      </c>
      <c r="H26" s="19">
        <v>0</v>
      </c>
      <c r="I26" s="19">
        <v>0</v>
      </c>
      <c r="J26" s="19">
        <f>H26*I26</f>
        <v>0</v>
      </c>
      <c r="K26" s="270">
        <f>G26+J26</f>
        <v>71472.960000000006</v>
      </c>
      <c r="L26" s="19"/>
      <c r="M26" s="46">
        <f t="shared" si="2"/>
        <v>13066162.4541</v>
      </c>
      <c r="N26" s="19"/>
    </row>
    <row r="27" spans="1:18">
      <c r="A27" s="28">
        <v>24</v>
      </c>
      <c r="B27" s="29">
        <v>45860</v>
      </c>
      <c r="C27" s="19"/>
      <c r="D27" s="19"/>
      <c r="E27" s="19">
        <v>0</v>
      </c>
      <c r="F27" s="19">
        <v>0</v>
      </c>
      <c r="G27" s="19">
        <f t="shared" si="0"/>
        <v>0</v>
      </c>
      <c r="H27" s="19">
        <v>0</v>
      </c>
      <c r="I27" s="19">
        <v>0</v>
      </c>
      <c r="J27" s="19">
        <f>H27*I27</f>
        <v>0</v>
      </c>
      <c r="K27" s="270">
        <f>G27+J27</f>
        <v>0</v>
      </c>
      <c r="L27" s="19"/>
      <c r="M27" s="46">
        <f t="shared" si="2"/>
        <v>13066162.4541</v>
      </c>
      <c r="N27" s="19"/>
    </row>
    <row r="28" spans="1:18">
      <c r="A28" s="28">
        <v>25</v>
      </c>
      <c r="B28" s="29">
        <v>45861</v>
      </c>
      <c r="C28" s="19"/>
      <c r="D28" s="19"/>
      <c r="E28" s="19">
        <v>0</v>
      </c>
      <c r="F28" s="19">
        <v>0</v>
      </c>
      <c r="G28" s="19">
        <f t="shared" si="0"/>
        <v>0</v>
      </c>
      <c r="H28" s="19">
        <v>0</v>
      </c>
      <c r="I28" s="19">
        <v>0</v>
      </c>
      <c r="J28" s="19">
        <f>H28*I28</f>
        <v>0</v>
      </c>
      <c r="K28" s="270">
        <f>G28+J28</f>
        <v>0</v>
      </c>
      <c r="L28" s="19"/>
      <c r="M28" s="46">
        <f t="shared" si="2"/>
        <v>13066162.4541</v>
      </c>
      <c r="N28" s="19"/>
    </row>
    <row r="29" spans="1:18">
      <c r="A29" s="28">
        <v>26</v>
      </c>
      <c r="B29" s="29">
        <v>45862</v>
      </c>
      <c r="C29" s="19"/>
      <c r="D29" s="19"/>
      <c r="E29" s="19">
        <v>0</v>
      </c>
      <c r="F29" s="19">
        <v>0</v>
      </c>
      <c r="G29" s="19">
        <f t="shared" si="0"/>
        <v>0</v>
      </c>
      <c r="H29" s="19">
        <v>0</v>
      </c>
      <c r="I29" s="19">
        <v>0</v>
      </c>
      <c r="J29" s="19">
        <f>H29*I29</f>
        <v>0</v>
      </c>
      <c r="K29" s="270">
        <f>G29+J29</f>
        <v>0</v>
      </c>
      <c r="L29" s="19"/>
      <c r="M29" s="46">
        <f t="shared" si="2"/>
        <v>13066162.4541</v>
      </c>
      <c r="N29" s="19"/>
    </row>
    <row r="30" spans="1:18">
      <c r="A30" s="28">
        <v>27</v>
      </c>
      <c r="B30" s="29">
        <v>45863</v>
      </c>
      <c r="C30" s="19"/>
      <c r="D30" s="19"/>
      <c r="E30" s="19">
        <v>0</v>
      </c>
      <c r="F30" s="19">
        <v>0</v>
      </c>
      <c r="G30" s="19">
        <f t="shared" si="0"/>
        <v>0</v>
      </c>
      <c r="H30" s="19">
        <v>0</v>
      </c>
      <c r="I30" s="19">
        <v>0</v>
      </c>
      <c r="J30" s="19">
        <f>H30*I30</f>
        <v>0</v>
      </c>
      <c r="K30" s="270">
        <f>G30+J30</f>
        <v>0</v>
      </c>
      <c r="L30" s="19"/>
      <c r="M30" s="46">
        <f t="shared" si="2"/>
        <v>13066162.4541</v>
      </c>
      <c r="N30" s="19"/>
    </row>
    <row r="31" spans="1:18">
      <c r="A31" s="28">
        <v>28</v>
      </c>
      <c r="B31" s="29">
        <v>45864</v>
      </c>
      <c r="C31" s="19"/>
      <c r="D31" s="19"/>
      <c r="E31" s="19">
        <v>0</v>
      </c>
      <c r="F31" s="19">
        <v>0</v>
      </c>
      <c r="G31" s="19">
        <f t="shared" si="0"/>
        <v>0</v>
      </c>
      <c r="H31" s="19">
        <v>0</v>
      </c>
      <c r="I31" s="19">
        <v>0</v>
      </c>
      <c r="J31" s="19">
        <f>H31*I31</f>
        <v>0</v>
      </c>
      <c r="K31" s="270">
        <f>G31+J31</f>
        <v>0</v>
      </c>
      <c r="L31" s="19"/>
      <c r="M31" s="46">
        <f t="shared" si="2"/>
        <v>13066162.4541</v>
      </c>
      <c r="N31" s="19"/>
    </row>
    <row r="32" spans="1:18">
      <c r="A32" s="28">
        <v>29</v>
      </c>
      <c r="B32" s="29">
        <v>45865</v>
      </c>
      <c r="C32" s="19"/>
      <c r="D32" s="19"/>
      <c r="E32" s="19">
        <v>0</v>
      </c>
      <c r="F32" s="19">
        <v>0</v>
      </c>
      <c r="G32" s="19">
        <f t="shared" si="0"/>
        <v>0</v>
      </c>
      <c r="H32" s="19">
        <v>0</v>
      </c>
      <c r="I32" s="19">
        <v>0</v>
      </c>
      <c r="J32" s="19">
        <f>H32*I32</f>
        <v>0</v>
      </c>
      <c r="K32" s="270">
        <f>G32+J32</f>
        <v>0</v>
      </c>
      <c r="L32" s="19"/>
      <c r="M32" s="46">
        <f t="shared" si="2"/>
        <v>13066162.4541</v>
      </c>
      <c r="N32" s="19"/>
      <c r="R32" s="24"/>
    </row>
    <row r="33" spans="1:14">
      <c r="A33" s="28">
        <v>30</v>
      </c>
      <c r="B33" s="29">
        <v>45866</v>
      </c>
      <c r="C33" s="19"/>
      <c r="D33" s="19"/>
      <c r="E33" s="19">
        <v>0</v>
      </c>
      <c r="F33" s="19">
        <v>0</v>
      </c>
      <c r="G33" s="19">
        <f t="shared" si="0"/>
        <v>0</v>
      </c>
      <c r="H33" s="19">
        <v>0</v>
      </c>
      <c r="I33" s="19">
        <v>0</v>
      </c>
      <c r="J33" s="19">
        <f>H33*I33</f>
        <v>0</v>
      </c>
      <c r="K33" s="270">
        <f>G33+J33</f>
        <v>0</v>
      </c>
      <c r="L33" s="19"/>
      <c r="M33" s="46">
        <f t="shared" si="2"/>
        <v>13066162.4541</v>
      </c>
      <c r="N33" s="19"/>
    </row>
    <row r="34" spans="1:14">
      <c r="A34" s="28">
        <v>31</v>
      </c>
      <c r="B34" s="29">
        <v>45867</v>
      </c>
      <c r="C34" s="19"/>
      <c r="D34" s="19"/>
      <c r="E34" s="19">
        <v>5400</v>
      </c>
      <c r="F34" s="19">
        <v>95.68</v>
      </c>
      <c r="G34" s="19">
        <f t="shared" si="0"/>
        <v>516672.00000000006</v>
      </c>
      <c r="H34" s="19">
        <v>40</v>
      </c>
      <c r="I34" s="19">
        <v>107.46</v>
      </c>
      <c r="J34" s="19">
        <f>H34*I34</f>
        <v>4298.3999999999996</v>
      </c>
      <c r="K34" s="270">
        <f>G34+J34</f>
        <v>520970.40000000008</v>
      </c>
      <c r="L34" s="19"/>
      <c r="M34" s="46">
        <f t="shared" si="2"/>
        <v>13587132.8541</v>
      </c>
      <c r="N34" s="19"/>
    </row>
    <row r="35" spans="1:14">
      <c r="A35" s="28">
        <v>32</v>
      </c>
      <c r="B35" s="29">
        <v>45868</v>
      </c>
      <c r="C35" s="19"/>
      <c r="D35" s="19"/>
      <c r="E35" s="19">
        <v>7900.1</v>
      </c>
      <c r="F35" s="19">
        <v>95.68</v>
      </c>
      <c r="G35" s="19">
        <f t="shared" si="0"/>
        <v>755881.56800000009</v>
      </c>
      <c r="H35" s="19">
        <v>60</v>
      </c>
      <c r="I35" s="19">
        <v>107.46</v>
      </c>
      <c r="J35" s="19">
        <f>H35*I35</f>
        <v>6447.5999999999995</v>
      </c>
      <c r="K35" s="270">
        <f>G35+J35</f>
        <v>762329.16800000006</v>
      </c>
      <c r="L35" s="19"/>
      <c r="M35" s="46">
        <f t="shared" si="2"/>
        <v>14349462.0221</v>
      </c>
      <c r="N35" s="19"/>
    </row>
    <row r="36" spans="1:14">
      <c r="A36" s="28">
        <v>33</v>
      </c>
      <c r="B36" s="29">
        <v>45869</v>
      </c>
      <c r="C36" s="19"/>
      <c r="D36" s="19"/>
      <c r="E36" s="19">
        <v>2700</v>
      </c>
      <c r="F36" s="19">
        <v>95.68</v>
      </c>
      <c r="G36" s="19">
        <f t="shared" si="0"/>
        <v>258336.00000000003</v>
      </c>
      <c r="H36" s="19">
        <v>20</v>
      </c>
      <c r="I36" s="19">
        <v>107.46</v>
      </c>
      <c r="J36" s="19">
        <f>H36*I36</f>
        <v>2149.1999999999998</v>
      </c>
      <c r="K36" s="270">
        <f>G36+J36</f>
        <v>260485.20000000004</v>
      </c>
      <c r="L36" s="19"/>
      <c r="M36" s="46">
        <f t="shared" si="2"/>
        <v>14609947.222099999</v>
      </c>
      <c r="N36" s="19"/>
    </row>
    <row r="37" spans="1:14">
      <c r="A37" s="28">
        <v>34</v>
      </c>
      <c r="B37" s="29"/>
      <c r="C37" s="19"/>
      <c r="D37" s="19"/>
      <c r="E37" s="19">
        <v>0</v>
      </c>
      <c r="F37" s="19">
        <v>0</v>
      </c>
      <c r="G37" s="19">
        <f>E37*F37</f>
        <v>0</v>
      </c>
      <c r="H37" s="19">
        <v>0</v>
      </c>
      <c r="I37" s="19">
        <v>0</v>
      </c>
      <c r="J37" s="19">
        <f>H37*I37</f>
        <v>0</v>
      </c>
      <c r="K37" s="270">
        <f>G37+J37</f>
        <v>0</v>
      </c>
      <c r="L37" s="19"/>
      <c r="M37" s="19"/>
      <c r="N37" s="19"/>
    </row>
    <row r="38" spans="1:14">
      <c r="A38" s="28">
        <v>35</v>
      </c>
      <c r="B38" s="29"/>
      <c r="C38" s="19"/>
      <c r="D38" s="19"/>
      <c r="E38" s="19"/>
      <c r="F38" s="19"/>
      <c r="G38" s="19"/>
      <c r="H38" s="19"/>
      <c r="I38" s="19"/>
      <c r="J38" s="19"/>
      <c r="K38" s="270"/>
      <c r="L38" s="19"/>
      <c r="M38" s="19"/>
      <c r="N38" s="19"/>
    </row>
    <row r="39" spans="1:14">
      <c r="A39" s="51"/>
      <c r="B39" s="51"/>
      <c r="C39" s="51"/>
      <c r="D39" s="51"/>
      <c r="E39" s="283">
        <f>SUM(E3:E38)</f>
        <v>72956.650000000009</v>
      </c>
      <c r="F39" s="283"/>
      <c r="G39" s="283">
        <f>SUM(G3:G38)</f>
        <v>6980416.2720000008</v>
      </c>
      <c r="H39" s="283">
        <f>SUM(H3:H38)</f>
        <v>596.70000000000005</v>
      </c>
      <c r="I39" s="283"/>
      <c r="J39" s="283">
        <f>SUM(J3:J38)</f>
        <v>64121.381999999991</v>
      </c>
      <c r="K39" s="283">
        <f>SUM(K4:K38)</f>
        <v>7044537.654000002</v>
      </c>
      <c r="L39" s="283">
        <f>SUM(L3:L38)</f>
        <v>6000000</v>
      </c>
      <c r="M39" s="283"/>
      <c r="N39" s="283"/>
    </row>
  </sheetData>
  <mergeCells count="2">
    <mergeCell ref="A1:N1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0FDB-C841-4265-A23A-57FCCE1432F4}">
  <sheetPr>
    <tabColor rgb="FF00B050"/>
  </sheetPr>
  <dimension ref="A1:N39"/>
  <sheetViews>
    <sheetView workbookViewId="0">
      <selection activeCell="Q25" sqref="Q25"/>
    </sheetView>
  </sheetViews>
  <sheetFormatPr defaultRowHeight="15"/>
  <cols>
    <col min="2" max="2" width="12.140625" customWidth="1"/>
    <col min="4" max="4" width="20.85546875" customWidth="1"/>
    <col min="5" max="5" width="23.42578125" customWidth="1"/>
    <col min="7" max="7" width="14.42578125" customWidth="1"/>
    <col min="11" max="11" width="15.5703125" customWidth="1"/>
    <col min="12" max="12" width="16.7109375" customWidth="1"/>
    <col min="13" max="13" width="16" customWidth="1"/>
    <col min="14" max="14" width="34.5703125" customWidth="1"/>
  </cols>
  <sheetData>
    <row r="1" spans="1:14" ht="15.75">
      <c r="A1" s="419" t="s">
        <v>16</v>
      </c>
      <c r="B1" s="419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</row>
    <row r="2" spans="1:14" ht="30.75">
      <c r="A2" s="76" t="s">
        <v>105</v>
      </c>
      <c r="B2" s="96" t="s">
        <v>106</v>
      </c>
      <c r="C2" s="96" t="s">
        <v>107</v>
      </c>
      <c r="D2" s="96" t="s">
        <v>108</v>
      </c>
      <c r="E2" s="96" t="s">
        <v>109</v>
      </c>
      <c r="F2" s="96" t="s">
        <v>110</v>
      </c>
      <c r="G2" s="96" t="s">
        <v>111</v>
      </c>
      <c r="H2" s="96" t="s">
        <v>112</v>
      </c>
      <c r="I2" s="96" t="s">
        <v>110</v>
      </c>
      <c r="J2" s="97" t="s">
        <v>111</v>
      </c>
      <c r="K2" s="139" t="s">
        <v>113</v>
      </c>
      <c r="L2" s="142" t="s">
        <v>114</v>
      </c>
      <c r="M2" s="142" t="s">
        <v>115</v>
      </c>
      <c r="N2" s="140" t="s">
        <v>116</v>
      </c>
    </row>
    <row r="3" spans="1:14">
      <c r="A3" s="423" t="s">
        <v>117</v>
      </c>
      <c r="B3" s="424"/>
      <c r="C3" s="424"/>
      <c r="D3" s="424"/>
      <c r="E3" s="424"/>
      <c r="F3" s="424"/>
      <c r="G3" s="424"/>
      <c r="H3" s="424"/>
      <c r="I3" s="424"/>
      <c r="J3" s="424"/>
      <c r="K3" s="279">
        <v>10291937.192399999</v>
      </c>
      <c r="L3" s="280"/>
      <c r="M3" s="253">
        <f>+K3</f>
        <v>10291937.192399999</v>
      </c>
      <c r="N3" s="107"/>
    </row>
    <row r="4" spans="1:14">
      <c r="A4" s="28">
        <v>1</v>
      </c>
      <c r="B4" s="29">
        <v>45839</v>
      </c>
      <c r="C4" s="19"/>
      <c r="D4" s="327"/>
      <c r="E4" s="336">
        <v>4931.2</v>
      </c>
      <c r="F4" s="337">
        <v>95.7</v>
      </c>
      <c r="G4" s="19">
        <f>E4*F4</f>
        <v>471915.84</v>
      </c>
      <c r="H4" s="19">
        <v>55</v>
      </c>
      <c r="I4" s="19">
        <v>107.48</v>
      </c>
      <c r="J4" s="19">
        <f>H4*I4</f>
        <v>5911.4000000000005</v>
      </c>
      <c r="K4" s="19">
        <f>G4+J4</f>
        <v>477827.24000000005</v>
      </c>
      <c r="L4" s="19"/>
      <c r="M4" s="46">
        <f>M3+K4-L4</f>
        <v>10769764.432399999</v>
      </c>
      <c r="N4" s="19"/>
    </row>
    <row r="5" spans="1:14">
      <c r="A5" s="28">
        <v>2</v>
      </c>
      <c r="B5" s="29">
        <v>45840</v>
      </c>
      <c r="C5" s="19"/>
      <c r="D5" s="327"/>
      <c r="E5" s="336">
        <v>1000</v>
      </c>
      <c r="F5" s="337">
        <v>95.7</v>
      </c>
      <c r="G5" s="19">
        <f t="shared" ref="G5:G34" si="0">E5*F5</f>
        <v>95700</v>
      </c>
      <c r="H5" s="19">
        <v>0</v>
      </c>
      <c r="I5" s="19">
        <v>0</v>
      </c>
      <c r="J5" s="19">
        <f t="shared" ref="J5:J10" si="1">H5*I5</f>
        <v>0</v>
      </c>
      <c r="K5" s="19">
        <f t="shared" ref="K5:K34" si="2">G5+J5</f>
        <v>95700</v>
      </c>
      <c r="L5" s="19"/>
      <c r="M5" s="46">
        <f t="shared" ref="M5:M17" si="3">M4+K5-L5</f>
        <v>10865464.432399999</v>
      </c>
      <c r="N5" s="19"/>
    </row>
    <row r="6" spans="1:14">
      <c r="A6" s="28">
        <v>3</v>
      </c>
      <c r="B6" s="29">
        <v>45841</v>
      </c>
      <c r="C6" s="19"/>
      <c r="D6" s="327"/>
      <c r="E6" s="336">
        <v>3500</v>
      </c>
      <c r="F6" s="337">
        <v>95.7</v>
      </c>
      <c r="G6" s="19">
        <f t="shared" si="0"/>
        <v>334950</v>
      </c>
      <c r="H6" s="19">
        <v>20</v>
      </c>
      <c r="I6" s="19">
        <v>107.48</v>
      </c>
      <c r="J6" s="19">
        <f t="shared" si="1"/>
        <v>2149.6</v>
      </c>
      <c r="K6" s="19">
        <f t="shared" si="2"/>
        <v>337099.6</v>
      </c>
      <c r="L6" s="19"/>
      <c r="M6" s="46">
        <f t="shared" si="3"/>
        <v>11202564.032399999</v>
      </c>
      <c r="N6" s="19"/>
    </row>
    <row r="7" spans="1:14">
      <c r="A7" s="28">
        <v>4</v>
      </c>
      <c r="B7" s="29">
        <v>45842</v>
      </c>
      <c r="C7" s="19"/>
      <c r="D7" s="327"/>
      <c r="E7" s="336">
        <v>1000</v>
      </c>
      <c r="F7" s="337">
        <v>95.7</v>
      </c>
      <c r="G7" s="19">
        <f t="shared" si="0"/>
        <v>95700</v>
      </c>
      <c r="H7" s="19">
        <v>0</v>
      </c>
      <c r="I7" s="19">
        <v>0</v>
      </c>
      <c r="J7" s="19">
        <f t="shared" si="1"/>
        <v>0</v>
      </c>
      <c r="K7" s="19">
        <f t="shared" si="2"/>
        <v>95700</v>
      </c>
      <c r="L7" s="19"/>
      <c r="M7" s="46">
        <f t="shared" si="3"/>
        <v>11298264.032399999</v>
      </c>
      <c r="N7" s="19"/>
    </row>
    <row r="8" spans="1:14">
      <c r="A8" s="28">
        <v>5</v>
      </c>
      <c r="B8" s="29">
        <v>45843</v>
      </c>
      <c r="C8" s="19"/>
      <c r="D8" s="327"/>
      <c r="E8" s="336">
        <f>2500+1000</f>
        <v>3500</v>
      </c>
      <c r="F8" s="337">
        <v>95.7</v>
      </c>
      <c r="G8" s="19">
        <f t="shared" si="0"/>
        <v>334950</v>
      </c>
      <c r="H8" s="19">
        <v>20</v>
      </c>
      <c r="I8" s="19">
        <v>107.48</v>
      </c>
      <c r="J8" s="19">
        <f t="shared" si="1"/>
        <v>2149.6</v>
      </c>
      <c r="K8" s="19">
        <f t="shared" si="2"/>
        <v>337099.6</v>
      </c>
      <c r="L8" s="19"/>
      <c r="M8" s="46">
        <f t="shared" si="3"/>
        <v>11635363.632399999</v>
      </c>
      <c r="N8" s="19"/>
    </row>
    <row r="9" spans="1:14">
      <c r="A9" s="28">
        <v>6</v>
      </c>
      <c r="B9" s="29">
        <v>45844</v>
      </c>
      <c r="C9" s="19"/>
      <c r="D9" s="327"/>
      <c r="E9" s="336">
        <v>1500</v>
      </c>
      <c r="F9" s="337">
        <v>95.7</v>
      </c>
      <c r="G9" s="19">
        <f t="shared" si="0"/>
        <v>143550</v>
      </c>
      <c r="H9" s="19">
        <v>0</v>
      </c>
      <c r="I9" s="19">
        <v>0</v>
      </c>
      <c r="J9" s="19">
        <f t="shared" si="1"/>
        <v>0</v>
      </c>
      <c r="K9" s="19">
        <f t="shared" si="2"/>
        <v>143550</v>
      </c>
      <c r="L9" s="19"/>
      <c r="M9" s="46">
        <f t="shared" si="3"/>
        <v>11778913.632399999</v>
      </c>
      <c r="N9" s="284"/>
    </row>
    <row r="10" spans="1:14">
      <c r="A10" s="28">
        <v>7</v>
      </c>
      <c r="B10" s="29">
        <v>45845</v>
      </c>
      <c r="C10" s="19"/>
      <c r="D10" s="327"/>
      <c r="E10" s="336">
        <v>3961.8</v>
      </c>
      <c r="F10" s="337">
        <v>95.7</v>
      </c>
      <c r="G10" s="19">
        <f t="shared" si="0"/>
        <v>379144.26</v>
      </c>
      <c r="H10" s="19">
        <v>40</v>
      </c>
      <c r="I10" s="19">
        <v>107.48</v>
      </c>
      <c r="J10" s="19">
        <f t="shared" si="1"/>
        <v>4299.2</v>
      </c>
      <c r="K10" s="19">
        <f>G10+J10</f>
        <v>383443.46</v>
      </c>
      <c r="L10" s="19"/>
      <c r="M10" s="46">
        <f t="shared" si="3"/>
        <v>12162357.092399999</v>
      </c>
      <c r="N10" s="19"/>
    </row>
    <row r="11" spans="1:14">
      <c r="A11" s="28">
        <v>8</v>
      </c>
      <c r="B11" s="29">
        <v>45846</v>
      </c>
      <c r="C11" s="19"/>
      <c r="D11" s="327"/>
      <c r="E11" s="336">
        <v>1500</v>
      </c>
      <c r="F11" s="337">
        <v>95.7</v>
      </c>
      <c r="G11" s="19">
        <f t="shared" si="0"/>
        <v>143550</v>
      </c>
      <c r="H11" s="19">
        <v>0</v>
      </c>
      <c r="I11" s="19">
        <v>0</v>
      </c>
      <c r="J11" s="19">
        <f>H11*I11</f>
        <v>0</v>
      </c>
      <c r="K11" s="19">
        <f t="shared" si="2"/>
        <v>143550</v>
      </c>
      <c r="L11" s="19"/>
      <c r="M11" s="46">
        <f t="shared" si="3"/>
        <v>12305907.092399999</v>
      </c>
      <c r="N11" s="19"/>
    </row>
    <row r="12" spans="1:14">
      <c r="A12" s="28">
        <v>9</v>
      </c>
      <c r="B12" s="29">
        <v>45847</v>
      </c>
      <c r="C12" s="19"/>
      <c r="D12" s="327"/>
      <c r="E12" s="336"/>
      <c r="F12" s="337"/>
      <c r="G12" s="19">
        <f t="shared" si="0"/>
        <v>0</v>
      </c>
      <c r="H12" s="19">
        <v>0</v>
      </c>
      <c r="I12" s="19">
        <v>0</v>
      </c>
      <c r="J12" s="19">
        <f>H12*I12</f>
        <v>0</v>
      </c>
      <c r="K12" s="19">
        <f t="shared" si="2"/>
        <v>0</v>
      </c>
      <c r="L12" s="19"/>
      <c r="M12" s="46">
        <f t="shared" si="3"/>
        <v>12305907.092399999</v>
      </c>
      <c r="N12" s="19"/>
    </row>
    <row r="13" spans="1:14">
      <c r="A13" s="28">
        <v>10</v>
      </c>
      <c r="B13" s="29">
        <v>45848</v>
      </c>
      <c r="C13" s="19"/>
      <c r="D13" s="327"/>
      <c r="E13" s="336">
        <v>2800</v>
      </c>
      <c r="F13" s="337">
        <v>95.7</v>
      </c>
      <c r="G13" s="19">
        <f t="shared" si="0"/>
        <v>267960</v>
      </c>
      <c r="H13" s="19">
        <v>55</v>
      </c>
      <c r="I13" s="19">
        <v>107.48</v>
      </c>
      <c r="J13" s="19">
        <f>H13*I13</f>
        <v>5911.4000000000005</v>
      </c>
      <c r="K13" s="19">
        <f t="shared" si="2"/>
        <v>273871.40000000002</v>
      </c>
      <c r="L13" s="19"/>
      <c r="M13" s="46">
        <f t="shared" si="3"/>
        <v>12579778.4924</v>
      </c>
      <c r="N13" s="19"/>
    </row>
    <row r="14" spans="1:14">
      <c r="A14" s="28">
        <v>11</v>
      </c>
      <c r="B14" s="29">
        <v>45849</v>
      </c>
      <c r="C14" s="19"/>
      <c r="D14" s="327"/>
      <c r="E14" s="336">
        <v>2700</v>
      </c>
      <c r="F14" s="337">
        <v>95.7</v>
      </c>
      <c r="G14" s="19">
        <f t="shared" si="0"/>
        <v>258390</v>
      </c>
      <c r="H14" s="19">
        <v>20</v>
      </c>
      <c r="I14" s="19">
        <v>107.48</v>
      </c>
      <c r="J14" s="19">
        <f>H14*I14</f>
        <v>2149.6</v>
      </c>
      <c r="K14" s="19">
        <f t="shared" si="2"/>
        <v>260539.6</v>
      </c>
      <c r="L14" s="19"/>
      <c r="M14" s="46">
        <f t="shared" si="3"/>
        <v>12840318.092399999</v>
      </c>
      <c r="N14" s="19"/>
    </row>
    <row r="15" spans="1:14">
      <c r="A15" s="28">
        <v>12</v>
      </c>
      <c r="B15" s="29">
        <v>45850</v>
      </c>
      <c r="C15" s="19"/>
      <c r="D15" s="327"/>
      <c r="E15" s="336">
        <v>2800</v>
      </c>
      <c r="F15" s="337">
        <v>95.7</v>
      </c>
      <c r="G15" s="19">
        <f t="shared" si="0"/>
        <v>267960</v>
      </c>
      <c r="H15" s="19">
        <v>20</v>
      </c>
      <c r="I15" s="19">
        <v>107.48</v>
      </c>
      <c r="J15" s="19">
        <f>H15*I15</f>
        <v>2149.6</v>
      </c>
      <c r="K15" s="19">
        <f t="shared" si="2"/>
        <v>270109.59999999998</v>
      </c>
      <c r="L15" s="19"/>
      <c r="M15" s="46">
        <f t="shared" si="3"/>
        <v>13110427.692399999</v>
      </c>
      <c r="N15" s="19"/>
    </row>
    <row r="16" spans="1:14">
      <c r="A16" s="28">
        <v>13</v>
      </c>
      <c r="B16" s="29">
        <v>45851</v>
      </c>
      <c r="C16" s="19"/>
      <c r="D16" s="327"/>
      <c r="E16" s="336"/>
      <c r="F16" s="337"/>
      <c r="G16" s="19">
        <f t="shared" si="0"/>
        <v>0</v>
      </c>
      <c r="H16" s="19">
        <v>0</v>
      </c>
      <c r="I16" s="19">
        <v>0</v>
      </c>
      <c r="J16" s="19">
        <f>H16*I16</f>
        <v>0</v>
      </c>
      <c r="K16" s="19">
        <f t="shared" si="2"/>
        <v>0</v>
      </c>
      <c r="L16" s="19"/>
      <c r="M16" s="46">
        <f t="shared" si="3"/>
        <v>13110427.692399999</v>
      </c>
      <c r="N16" s="19"/>
    </row>
    <row r="17" spans="1:14">
      <c r="A17" s="28">
        <v>14</v>
      </c>
      <c r="B17" s="29">
        <v>45852</v>
      </c>
      <c r="C17" s="19"/>
      <c r="D17" s="327"/>
      <c r="E17" s="336"/>
      <c r="F17" s="337"/>
      <c r="G17" s="19">
        <f t="shared" si="0"/>
        <v>0</v>
      </c>
      <c r="H17" s="19">
        <v>0</v>
      </c>
      <c r="I17" s="19">
        <v>0</v>
      </c>
      <c r="J17" s="19">
        <f>H17*I17</f>
        <v>0</v>
      </c>
      <c r="K17" s="19">
        <f t="shared" si="2"/>
        <v>0</v>
      </c>
      <c r="L17" s="19"/>
      <c r="M17" s="46">
        <f>M16+K17-L17</f>
        <v>13110427.692399999</v>
      </c>
      <c r="N17" s="19"/>
    </row>
    <row r="18" spans="1:14">
      <c r="A18" s="28">
        <v>15</v>
      </c>
      <c r="B18" s="29">
        <v>45853</v>
      </c>
      <c r="C18" s="19"/>
      <c r="D18" s="327"/>
      <c r="E18" s="336"/>
      <c r="F18" s="337"/>
      <c r="G18" s="19">
        <f t="shared" si="0"/>
        <v>0</v>
      </c>
      <c r="H18" s="19">
        <v>0</v>
      </c>
      <c r="I18" s="19">
        <v>0</v>
      </c>
      <c r="J18" s="19">
        <f>H18*I18</f>
        <v>0</v>
      </c>
      <c r="K18" s="19">
        <f t="shared" si="2"/>
        <v>0</v>
      </c>
      <c r="L18" s="19">
        <v>2000000</v>
      </c>
      <c r="M18" s="46">
        <f>M17+K18-L18</f>
        <v>11110427.692399999</v>
      </c>
      <c r="N18" s="19"/>
    </row>
    <row r="19" spans="1:14">
      <c r="A19" s="28">
        <v>16</v>
      </c>
      <c r="B19" s="29">
        <v>45854</v>
      </c>
      <c r="C19" s="19"/>
      <c r="D19" s="327"/>
      <c r="E19" s="336">
        <v>5200</v>
      </c>
      <c r="F19" s="337">
        <v>95.7</v>
      </c>
      <c r="G19" s="19">
        <f t="shared" si="0"/>
        <v>497640</v>
      </c>
      <c r="H19" s="19">
        <v>0</v>
      </c>
      <c r="I19" s="19">
        <v>0</v>
      </c>
      <c r="J19" s="19">
        <f>H19*I19</f>
        <v>0</v>
      </c>
      <c r="K19" s="19">
        <f t="shared" si="2"/>
        <v>497640</v>
      </c>
      <c r="L19" s="19">
        <v>2000000</v>
      </c>
      <c r="M19" s="46">
        <f>M18+K19-L19</f>
        <v>9608067.6923999991</v>
      </c>
      <c r="N19" s="19"/>
    </row>
    <row r="20" spans="1:14">
      <c r="A20" s="28">
        <v>17</v>
      </c>
      <c r="B20" s="29">
        <v>45855</v>
      </c>
      <c r="C20" s="19"/>
      <c r="D20" s="327"/>
      <c r="E20" s="336"/>
      <c r="F20" s="337"/>
      <c r="G20" s="19">
        <f t="shared" si="0"/>
        <v>0</v>
      </c>
      <c r="H20" s="19">
        <v>0</v>
      </c>
      <c r="I20" s="19">
        <v>0</v>
      </c>
      <c r="J20" s="19">
        <f>H20*I20</f>
        <v>0</v>
      </c>
      <c r="K20" s="19">
        <f t="shared" si="2"/>
        <v>0</v>
      </c>
      <c r="L20" s="19"/>
      <c r="M20" s="46">
        <f>M19+K20-L20</f>
        <v>9608067.6923999991</v>
      </c>
      <c r="N20" s="19"/>
    </row>
    <row r="21" spans="1:14">
      <c r="A21" s="28">
        <v>18</v>
      </c>
      <c r="B21" s="29">
        <v>45856</v>
      </c>
      <c r="C21" s="19"/>
      <c r="D21" s="327"/>
      <c r="E21" s="336">
        <v>2700</v>
      </c>
      <c r="F21" s="337">
        <v>95.7</v>
      </c>
      <c r="G21" s="19">
        <f t="shared" si="0"/>
        <v>258390</v>
      </c>
      <c r="H21" s="19">
        <v>20</v>
      </c>
      <c r="I21" s="19">
        <v>107.48</v>
      </c>
      <c r="J21" s="19">
        <f>H21*I21</f>
        <v>2149.6</v>
      </c>
      <c r="K21" s="19">
        <f t="shared" si="2"/>
        <v>260539.6</v>
      </c>
      <c r="L21" s="19"/>
      <c r="M21" s="46">
        <f>M20+K21-L21</f>
        <v>9868607.2923999988</v>
      </c>
      <c r="N21" s="19"/>
    </row>
    <row r="22" spans="1:14">
      <c r="A22" s="28">
        <v>19</v>
      </c>
      <c r="B22" s="29">
        <v>45857</v>
      </c>
      <c r="C22" s="19"/>
      <c r="D22" s="327"/>
      <c r="E22" s="336">
        <v>2700</v>
      </c>
      <c r="F22" s="337">
        <v>95.7</v>
      </c>
      <c r="G22" s="19">
        <f t="shared" si="0"/>
        <v>258390</v>
      </c>
      <c r="H22" s="19">
        <v>0</v>
      </c>
      <c r="I22" s="19">
        <v>107.48</v>
      </c>
      <c r="J22" s="19">
        <f>H22*I22</f>
        <v>0</v>
      </c>
      <c r="K22" s="19">
        <f t="shared" si="2"/>
        <v>258390</v>
      </c>
      <c r="L22" s="19"/>
      <c r="M22" s="46">
        <f>M21+K22-L22</f>
        <v>10126997.292399999</v>
      </c>
      <c r="N22" s="19"/>
    </row>
    <row r="23" spans="1:14">
      <c r="A23" s="28">
        <v>20</v>
      </c>
      <c r="B23" s="29">
        <v>45858</v>
      </c>
      <c r="C23" s="19"/>
      <c r="D23" s="327"/>
      <c r="E23" s="336">
        <v>2700</v>
      </c>
      <c r="F23" s="337">
        <v>95.7</v>
      </c>
      <c r="G23" s="19">
        <f t="shared" si="0"/>
        <v>258390</v>
      </c>
      <c r="H23" s="19">
        <v>35</v>
      </c>
      <c r="I23" s="19">
        <v>107.48</v>
      </c>
      <c r="J23" s="19">
        <f>H23*I23</f>
        <v>3761.8</v>
      </c>
      <c r="K23" s="19">
        <f t="shared" si="2"/>
        <v>262151.8</v>
      </c>
      <c r="L23" s="19"/>
      <c r="M23" s="46">
        <f>M22+K23-L23</f>
        <v>10389149.092399999</v>
      </c>
      <c r="N23" s="19"/>
    </row>
    <row r="24" spans="1:14">
      <c r="A24" s="28">
        <v>21</v>
      </c>
      <c r="B24" s="29">
        <v>45859</v>
      </c>
      <c r="C24" s="19"/>
      <c r="D24" s="327"/>
      <c r="E24" s="336">
        <v>2700</v>
      </c>
      <c r="F24" s="337">
        <v>95.7</v>
      </c>
      <c r="G24" s="19">
        <f t="shared" si="0"/>
        <v>258390</v>
      </c>
      <c r="H24" s="19">
        <v>20</v>
      </c>
      <c r="I24" s="19">
        <v>107.48</v>
      </c>
      <c r="J24" s="19">
        <f>H24*I24</f>
        <v>2149.6</v>
      </c>
      <c r="K24" s="19">
        <f t="shared" si="2"/>
        <v>260539.6</v>
      </c>
      <c r="L24" s="19"/>
      <c r="M24" s="46">
        <f>M23+K24-L24</f>
        <v>10649688.692399999</v>
      </c>
      <c r="N24" s="19"/>
    </row>
    <row r="25" spans="1:14">
      <c r="A25" s="28">
        <v>22</v>
      </c>
      <c r="B25" s="29">
        <v>45860</v>
      </c>
      <c r="C25" s="19"/>
      <c r="D25" s="327"/>
      <c r="E25" s="398">
        <v>2700</v>
      </c>
      <c r="F25" s="337">
        <v>95.7</v>
      </c>
      <c r="G25" s="19">
        <f t="shared" si="0"/>
        <v>258390</v>
      </c>
      <c r="H25" s="19">
        <v>20</v>
      </c>
      <c r="I25" s="19">
        <v>107.48</v>
      </c>
      <c r="J25" s="19">
        <f>H25*I25</f>
        <v>2149.6</v>
      </c>
      <c r="K25" s="19">
        <f t="shared" si="2"/>
        <v>260539.6</v>
      </c>
      <c r="L25" s="19"/>
      <c r="M25" s="46">
        <f>M24+K25-L25</f>
        <v>10910228.292399999</v>
      </c>
      <c r="N25" s="19"/>
    </row>
    <row r="26" spans="1:14">
      <c r="A26" s="28">
        <v>23</v>
      </c>
      <c r="B26" s="29">
        <v>45861</v>
      </c>
      <c r="C26" s="19"/>
      <c r="D26" s="327"/>
      <c r="E26" s="336">
        <v>2000</v>
      </c>
      <c r="F26" s="337">
        <v>95.7</v>
      </c>
      <c r="G26" s="19">
        <f t="shared" si="0"/>
        <v>191400</v>
      </c>
      <c r="H26" s="19">
        <v>0</v>
      </c>
      <c r="I26" s="19">
        <v>0</v>
      </c>
      <c r="J26" s="19">
        <f>H26*I26</f>
        <v>0</v>
      </c>
      <c r="K26" s="19">
        <f t="shared" si="2"/>
        <v>191400</v>
      </c>
      <c r="L26" s="19"/>
      <c r="M26" s="46">
        <f>M25+K26-L26</f>
        <v>11101628.292399999</v>
      </c>
      <c r="N26" s="19"/>
    </row>
    <row r="27" spans="1:14">
      <c r="A27" s="28">
        <v>24</v>
      </c>
      <c r="B27" s="29">
        <v>45862</v>
      </c>
      <c r="C27" s="19"/>
      <c r="D27" s="327"/>
      <c r="E27" s="336">
        <v>2000</v>
      </c>
      <c r="F27" s="337">
        <v>95.7</v>
      </c>
      <c r="G27" s="19">
        <f t="shared" si="0"/>
        <v>191400</v>
      </c>
      <c r="H27" s="19">
        <v>40</v>
      </c>
      <c r="I27" s="19">
        <v>107.48</v>
      </c>
      <c r="J27" s="19">
        <f>H27*I27</f>
        <v>4299.2</v>
      </c>
      <c r="K27" s="19">
        <f t="shared" si="2"/>
        <v>195699.20000000001</v>
      </c>
      <c r="L27" s="19"/>
      <c r="M27" s="46">
        <f>M26+K27-L27</f>
        <v>11297327.492399998</v>
      </c>
      <c r="N27" s="19"/>
    </row>
    <row r="28" spans="1:14">
      <c r="A28" s="28">
        <v>25</v>
      </c>
      <c r="B28" s="29">
        <v>45863</v>
      </c>
      <c r="C28" s="19"/>
      <c r="D28" s="327"/>
      <c r="E28" s="336">
        <v>3857.15</v>
      </c>
      <c r="F28" s="337">
        <v>95.7</v>
      </c>
      <c r="G28" s="19">
        <f t="shared" si="0"/>
        <v>369129.255</v>
      </c>
      <c r="H28" s="19">
        <v>20</v>
      </c>
      <c r="I28" s="19">
        <v>107.48</v>
      </c>
      <c r="J28" s="19">
        <f>H28*I28</f>
        <v>2149.6</v>
      </c>
      <c r="K28" s="19">
        <f t="shared" si="2"/>
        <v>371278.85499999998</v>
      </c>
      <c r="L28" s="19"/>
      <c r="M28" s="46">
        <f>M27+K28-L28</f>
        <v>11668606.347399998</v>
      </c>
      <c r="N28" s="19"/>
    </row>
    <row r="29" spans="1:14">
      <c r="A29" s="28">
        <v>26</v>
      </c>
      <c r="B29" s="29">
        <v>45864</v>
      </c>
      <c r="C29" s="19"/>
      <c r="D29" s="327"/>
      <c r="E29" s="382">
        <f>2700+1048.23</f>
        <v>3748.23</v>
      </c>
      <c r="F29" s="409">
        <v>95.7</v>
      </c>
      <c r="G29" s="19">
        <f t="shared" si="0"/>
        <v>358705.61100000003</v>
      </c>
      <c r="H29" s="19">
        <v>20</v>
      </c>
      <c r="I29" s="19">
        <v>107.48</v>
      </c>
      <c r="J29" s="19">
        <f>H29*I29</f>
        <v>2149.6</v>
      </c>
      <c r="K29" s="19">
        <f t="shared" si="2"/>
        <v>360855.21100000001</v>
      </c>
      <c r="L29" s="19"/>
      <c r="M29" s="46">
        <f t="shared" ref="M29:M34" si="4">M28+K29-L29</f>
        <v>12029461.558399998</v>
      </c>
      <c r="N29" s="19"/>
    </row>
    <row r="30" spans="1:14">
      <c r="A30" s="28">
        <v>27</v>
      </c>
      <c r="B30" s="29">
        <v>45865</v>
      </c>
      <c r="C30" s="19"/>
      <c r="D30" s="327"/>
      <c r="E30" s="382">
        <f>1500+1033.82</f>
        <v>2533.8199999999997</v>
      </c>
      <c r="F30" s="409">
        <v>95.7</v>
      </c>
      <c r="G30" s="19">
        <f t="shared" si="0"/>
        <v>242486.57399999999</v>
      </c>
      <c r="H30" s="19">
        <v>20</v>
      </c>
      <c r="I30" s="19">
        <v>107.48</v>
      </c>
      <c r="J30" s="19">
        <f>H30*I30</f>
        <v>2149.6</v>
      </c>
      <c r="K30" s="19">
        <f t="shared" si="2"/>
        <v>244636.174</v>
      </c>
      <c r="L30" s="19"/>
      <c r="M30" s="46">
        <f t="shared" si="4"/>
        <v>12274097.732399998</v>
      </c>
      <c r="N30" s="19"/>
    </row>
    <row r="31" spans="1:14">
      <c r="A31" s="28">
        <v>28</v>
      </c>
      <c r="B31" s="29">
        <v>45866</v>
      </c>
      <c r="C31" s="19"/>
      <c r="D31" s="327"/>
      <c r="E31" s="336">
        <v>2700</v>
      </c>
      <c r="F31" s="409">
        <v>95.7</v>
      </c>
      <c r="G31" s="19">
        <f t="shared" si="0"/>
        <v>258390</v>
      </c>
      <c r="H31" s="19">
        <v>20</v>
      </c>
      <c r="I31" s="19">
        <v>107.48</v>
      </c>
      <c r="J31" s="19">
        <f>H31*I31</f>
        <v>2149.6</v>
      </c>
      <c r="K31" s="19">
        <f t="shared" si="2"/>
        <v>260539.6</v>
      </c>
      <c r="L31" s="19"/>
      <c r="M31" s="46">
        <f t="shared" si="4"/>
        <v>12534637.332399998</v>
      </c>
      <c r="N31" s="19"/>
    </row>
    <row r="32" spans="1:14">
      <c r="A32" s="28">
        <v>29</v>
      </c>
      <c r="B32" s="29">
        <v>45867</v>
      </c>
      <c r="C32" s="19"/>
      <c r="D32" s="327"/>
      <c r="E32" s="336">
        <v>1347.45</v>
      </c>
      <c r="F32" s="409">
        <v>95.7</v>
      </c>
      <c r="G32" s="19">
        <f t="shared" si="0"/>
        <v>128950.96500000001</v>
      </c>
      <c r="H32" s="19">
        <v>0</v>
      </c>
      <c r="I32" s="19">
        <v>0</v>
      </c>
      <c r="J32" s="19">
        <f>H32*I32</f>
        <v>0</v>
      </c>
      <c r="K32" s="19">
        <f t="shared" si="2"/>
        <v>128950.96500000001</v>
      </c>
      <c r="L32" s="19"/>
      <c r="M32" s="46">
        <f t="shared" si="4"/>
        <v>12663588.297399998</v>
      </c>
      <c r="N32" s="19"/>
    </row>
    <row r="33" spans="1:14">
      <c r="A33" s="28">
        <v>30</v>
      </c>
      <c r="B33" s="29">
        <v>45868</v>
      </c>
      <c r="C33" s="19"/>
      <c r="D33" s="327"/>
      <c r="E33" s="336"/>
      <c r="F33" s="337"/>
      <c r="G33" s="19">
        <f t="shared" si="0"/>
        <v>0</v>
      </c>
      <c r="H33" s="19">
        <v>0</v>
      </c>
      <c r="I33" s="19">
        <v>0</v>
      </c>
      <c r="J33" s="19">
        <f>H33*I33</f>
        <v>0</v>
      </c>
      <c r="K33" s="19">
        <f t="shared" si="2"/>
        <v>0</v>
      </c>
      <c r="L33" s="19"/>
      <c r="M33" s="46">
        <f t="shared" si="4"/>
        <v>12663588.297399998</v>
      </c>
      <c r="N33" s="19"/>
    </row>
    <row r="34" spans="1:14">
      <c r="A34" s="28">
        <v>31</v>
      </c>
      <c r="B34" s="29"/>
      <c r="C34" s="19"/>
      <c r="D34" s="327"/>
      <c r="E34" s="336"/>
      <c r="F34" s="337"/>
      <c r="G34" s="19">
        <f t="shared" si="0"/>
        <v>0</v>
      </c>
      <c r="H34" s="19">
        <v>0</v>
      </c>
      <c r="I34" s="19">
        <v>0</v>
      </c>
      <c r="J34" s="19">
        <f>H34*I34</f>
        <v>0</v>
      </c>
      <c r="K34" s="19">
        <f t="shared" si="2"/>
        <v>0</v>
      </c>
      <c r="L34" s="19"/>
      <c r="M34" s="46">
        <f t="shared" si="4"/>
        <v>12663588.297399998</v>
      </c>
      <c r="N34" s="19"/>
    </row>
    <row r="35" spans="1:14">
      <c r="A35" s="51"/>
      <c r="B35" s="51"/>
      <c r="C35" s="51"/>
      <c r="D35" s="51"/>
      <c r="E35" s="52">
        <f>SUM(E4:E34)</f>
        <v>66079.650000000009</v>
      </c>
      <c r="F35" s="52"/>
      <c r="G35" s="52">
        <f>SUM(G4:G34)</f>
        <v>6323822.5049999999</v>
      </c>
      <c r="H35" s="52">
        <f>SUM(H4:H34)</f>
        <v>445</v>
      </c>
      <c r="I35" s="52"/>
      <c r="J35" s="52">
        <f>SUM(J4:J34)</f>
        <v>47828.599999999984</v>
      </c>
      <c r="K35" s="52">
        <f>SUM(K4:K34)</f>
        <v>6371651.1049999986</v>
      </c>
      <c r="L35" s="52">
        <f>SUM(L4:L34)</f>
        <v>4000000</v>
      </c>
      <c r="M35" s="52"/>
      <c r="N35" s="52"/>
    </row>
    <row r="39" spans="1:14">
      <c r="M39" s="24"/>
    </row>
  </sheetData>
  <mergeCells count="2">
    <mergeCell ref="A1:N1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3A1F-96EA-4DAE-B7A1-3DBAC484D0C4}">
  <dimension ref="A1:S43"/>
  <sheetViews>
    <sheetView workbookViewId="0">
      <selection activeCell="M3" sqref="M3"/>
    </sheetView>
  </sheetViews>
  <sheetFormatPr defaultRowHeight="15"/>
  <cols>
    <col min="2" max="2" width="13.42578125" customWidth="1"/>
    <col min="3" max="3" width="11.85546875" customWidth="1"/>
    <col min="4" max="4" width="13.85546875" customWidth="1"/>
    <col min="5" max="5" width="12" customWidth="1"/>
    <col min="6" max="6" width="14.140625" customWidth="1"/>
    <col min="7" max="7" width="12" customWidth="1"/>
    <col min="10" max="10" width="11.85546875" customWidth="1"/>
    <col min="11" max="11" width="12.140625" customWidth="1"/>
    <col min="12" max="13" width="14.42578125" customWidth="1"/>
    <col min="14" max="14" width="16.28515625" customWidth="1"/>
    <col min="16" max="16" width="11.42578125" bestFit="1" customWidth="1"/>
    <col min="19" max="19" width="14.140625" customWidth="1"/>
  </cols>
  <sheetData>
    <row r="1" spans="1:19" ht="15.75" customHeight="1">
      <c r="A1" s="425" t="s">
        <v>18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</row>
    <row r="2" spans="1:19">
      <c r="A2" s="116" t="s">
        <v>105</v>
      </c>
      <c r="B2" s="121" t="s">
        <v>106</v>
      </c>
      <c r="C2" s="121" t="s">
        <v>107</v>
      </c>
      <c r="D2" s="121" t="s">
        <v>108</v>
      </c>
      <c r="E2" s="121" t="s">
        <v>109</v>
      </c>
      <c r="F2" s="121" t="s">
        <v>110</v>
      </c>
      <c r="G2" s="121" t="s">
        <v>111</v>
      </c>
      <c r="H2" s="121" t="s">
        <v>112</v>
      </c>
      <c r="I2" s="121" t="s">
        <v>110</v>
      </c>
      <c r="J2" s="121" t="s">
        <v>111</v>
      </c>
      <c r="K2" s="163" t="s">
        <v>113</v>
      </c>
      <c r="L2" s="163" t="s">
        <v>114</v>
      </c>
      <c r="M2" s="163" t="s">
        <v>119</v>
      </c>
      <c r="N2" s="121" t="s">
        <v>116</v>
      </c>
    </row>
    <row r="3" spans="1:19">
      <c r="A3" s="420" t="s">
        <v>117</v>
      </c>
      <c r="B3" s="421"/>
      <c r="C3" s="421"/>
      <c r="D3" s="421"/>
      <c r="E3" s="421"/>
      <c r="F3" s="421"/>
      <c r="G3" s="421"/>
      <c r="H3" s="421"/>
      <c r="I3" s="421"/>
      <c r="J3" s="421"/>
      <c r="K3" s="146"/>
      <c r="L3" s="286"/>
      <c r="M3" s="120">
        <v>2139146.1929000001</v>
      </c>
      <c r="N3" s="287"/>
    </row>
    <row r="4" spans="1:19">
      <c r="A4" s="28">
        <v>1</v>
      </c>
      <c r="B4" s="29">
        <v>45839</v>
      </c>
      <c r="C4" s="122"/>
      <c r="D4" s="37"/>
      <c r="E4" s="39">
        <v>0</v>
      </c>
      <c r="F4" s="39">
        <v>0</v>
      </c>
      <c r="G4" s="39">
        <v>0</v>
      </c>
      <c r="H4" s="39">
        <v>15</v>
      </c>
      <c r="I4" s="39">
        <v>108.23</v>
      </c>
      <c r="J4" s="39">
        <f t="shared" ref="J4:J7" si="0">H4*I4</f>
        <v>1623.45</v>
      </c>
      <c r="K4" s="39">
        <f t="shared" ref="K4:K7" si="1">G4+J4</f>
        <v>1623.45</v>
      </c>
      <c r="L4" s="231">
        <v>0</v>
      </c>
      <c r="M4" s="39">
        <f>M3+K4-L4</f>
        <v>2140769.6429000003</v>
      </c>
      <c r="N4" s="288"/>
      <c r="P4" s="24">
        <v>2259050.0095000006</v>
      </c>
    </row>
    <row r="5" spans="1:19">
      <c r="A5" s="28">
        <v>2</v>
      </c>
      <c r="B5" s="29">
        <v>45840</v>
      </c>
      <c r="C5" s="122"/>
      <c r="D5" s="37"/>
      <c r="E5" s="39">
        <v>4025</v>
      </c>
      <c r="F5" s="39">
        <v>96.42</v>
      </c>
      <c r="G5" s="39">
        <f>E5*F5</f>
        <v>388090.5</v>
      </c>
      <c r="H5" s="39">
        <v>29.62</v>
      </c>
      <c r="I5" s="39">
        <v>108.23</v>
      </c>
      <c r="J5" s="39">
        <f t="shared" ref="J5:J35" si="2">H5*I5</f>
        <v>3205.7726000000002</v>
      </c>
      <c r="K5" s="39">
        <f t="shared" ref="K5:K35" si="3">G5+J5</f>
        <v>391296.27260000003</v>
      </c>
      <c r="L5" s="231">
        <v>0</v>
      </c>
      <c r="M5" s="39">
        <f t="shared" ref="M5:M35" si="4">M4+K5-L5</f>
        <v>2532065.9155000001</v>
      </c>
      <c r="N5" s="289"/>
    </row>
    <row r="6" spans="1:19">
      <c r="A6" s="28">
        <v>3</v>
      </c>
      <c r="B6" s="29">
        <v>45841</v>
      </c>
      <c r="C6" s="122"/>
      <c r="D6" s="37"/>
      <c r="E6" s="39">
        <v>0</v>
      </c>
      <c r="F6" s="39">
        <v>0</v>
      </c>
      <c r="G6" s="39">
        <f t="shared" ref="G6:G7" si="5">E6*F6</f>
        <v>0</v>
      </c>
      <c r="H6" s="39">
        <v>20</v>
      </c>
      <c r="I6" s="39">
        <v>108.23</v>
      </c>
      <c r="J6" s="39">
        <f t="shared" si="2"/>
        <v>2164.6</v>
      </c>
      <c r="K6" s="39">
        <f t="shared" si="3"/>
        <v>2164.6</v>
      </c>
      <c r="L6" s="231">
        <v>0</v>
      </c>
      <c r="M6" s="39">
        <f t="shared" si="4"/>
        <v>2534230.5155000002</v>
      </c>
      <c r="N6" s="290"/>
    </row>
    <row r="7" spans="1:19">
      <c r="A7" s="28">
        <v>4</v>
      </c>
      <c r="B7" s="29">
        <v>45842</v>
      </c>
      <c r="C7" s="122"/>
      <c r="D7" s="37"/>
      <c r="E7" s="39">
        <v>0</v>
      </c>
      <c r="F7" s="39">
        <v>0</v>
      </c>
      <c r="G7" s="39">
        <f t="shared" si="5"/>
        <v>0</v>
      </c>
      <c r="H7" s="39">
        <v>10</v>
      </c>
      <c r="I7" s="39">
        <v>108.23</v>
      </c>
      <c r="J7" s="39">
        <f t="shared" si="2"/>
        <v>1082.3</v>
      </c>
      <c r="K7" s="39">
        <f t="shared" si="3"/>
        <v>1082.3</v>
      </c>
      <c r="L7" s="231">
        <v>0</v>
      </c>
      <c r="M7" s="39">
        <f t="shared" si="4"/>
        <v>2535312.8155</v>
      </c>
      <c r="N7" s="232"/>
      <c r="S7" s="196"/>
    </row>
    <row r="8" spans="1:19">
      <c r="A8" s="28">
        <v>5</v>
      </c>
      <c r="B8" s="29">
        <v>45843</v>
      </c>
      <c r="C8" s="36"/>
      <c r="D8" s="37"/>
      <c r="E8" s="39">
        <v>0</v>
      </c>
      <c r="F8" s="39">
        <v>0</v>
      </c>
      <c r="G8" s="39">
        <f>E8*F8</f>
        <v>0</v>
      </c>
      <c r="H8" s="39">
        <v>18</v>
      </c>
      <c r="I8" s="39">
        <v>108.23</v>
      </c>
      <c r="J8" s="39">
        <f t="shared" si="2"/>
        <v>1948.14</v>
      </c>
      <c r="K8" s="39">
        <f t="shared" si="3"/>
        <v>1948.14</v>
      </c>
      <c r="L8" s="231">
        <v>0</v>
      </c>
      <c r="M8" s="39">
        <f t="shared" si="4"/>
        <v>2537260.9555000002</v>
      </c>
      <c r="N8" s="232"/>
    </row>
    <row r="9" spans="1:19">
      <c r="A9" s="28">
        <v>6</v>
      </c>
      <c r="B9" s="29">
        <v>45844</v>
      </c>
      <c r="C9" s="36"/>
      <c r="D9" s="37">
        <v>30</v>
      </c>
      <c r="E9" s="39">
        <v>30</v>
      </c>
      <c r="F9" s="39">
        <v>96.42</v>
      </c>
      <c r="G9" s="39">
        <f>E9*F9</f>
        <v>2892.6</v>
      </c>
      <c r="H9" s="39">
        <v>27</v>
      </c>
      <c r="I9" s="39">
        <v>108.23</v>
      </c>
      <c r="J9" s="39">
        <f t="shared" si="2"/>
        <v>2922.21</v>
      </c>
      <c r="K9" s="39">
        <f t="shared" si="3"/>
        <v>5814.8099999999995</v>
      </c>
      <c r="L9" s="231">
        <v>0</v>
      </c>
      <c r="M9" s="39">
        <f t="shared" si="4"/>
        <v>2543075.7655000002</v>
      </c>
      <c r="N9" s="232"/>
    </row>
    <row r="10" spans="1:19">
      <c r="A10" s="28">
        <v>7</v>
      </c>
      <c r="B10" s="29">
        <v>45845</v>
      </c>
      <c r="C10" s="36"/>
      <c r="D10" s="37"/>
      <c r="E10" s="39">
        <v>0</v>
      </c>
      <c r="F10" s="39">
        <v>0</v>
      </c>
      <c r="G10" s="39">
        <f>E10*F10</f>
        <v>0</v>
      </c>
      <c r="H10" s="39">
        <v>10</v>
      </c>
      <c r="I10" s="39">
        <v>108.23</v>
      </c>
      <c r="J10" s="39">
        <f t="shared" si="2"/>
        <v>1082.3</v>
      </c>
      <c r="K10" s="39">
        <f t="shared" si="3"/>
        <v>1082.3</v>
      </c>
      <c r="L10" s="231">
        <v>0</v>
      </c>
      <c r="M10" s="39">
        <f t="shared" si="4"/>
        <v>2544158.0655</v>
      </c>
      <c r="N10" s="232"/>
      <c r="P10">
        <f>1619072*96.42</f>
        <v>156110922.24000001</v>
      </c>
    </row>
    <row r="11" spans="1:19">
      <c r="A11" s="28">
        <v>8</v>
      </c>
      <c r="B11" s="29">
        <v>45846</v>
      </c>
      <c r="C11" s="36"/>
      <c r="D11" s="37"/>
      <c r="E11" s="39">
        <v>0</v>
      </c>
      <c r="F11" s="39">
        <v>0</v>
      </c>
      <c r="G11" s="39">
        <f>E11*F11</f>
        <v>0</v>
      </c>
      <c r="H11" s="39">
        <v>15</v>
      </c>
      <c r="I11" s="39">
        <v>108.23</v>
      </c>
      <c r="J11" s="39">
        <f t="shared" si="2"/>
        <v>1623.45</v>
      </c>
      <c r="K11" s="39">
        <f t="shared" si="3"/>
        <v>1623.45</v>
      </c>
      <c r="L11" s="231">
        <v>0</v>
      </c>
      <c r="M11" s="39">
        <f t="shared" si="4"/>
        <v>2545781.5155000002</v>
      </c>
      <c r="N11" s="232"/>
    </row>
    <row r="12" spans="1:19">
      <c r="A12" s="28">
        <v>9</v>
      </c>
      <c r="B12" s="29">
        <v>45847</v>
      </c>
      <c r="C12" s="36"/>
      <c r="D12" s="37"/>
      <c r="E12" s="387">
        <v>0</v>
      </c>
      <c r="F12" s="39">
        <v>0</v>
      </c>
      <c r="G12" s="39">
        <f>E12*F12</f>
        <v>0</v>
      </c>
      <c r="H12" s="39">
        <v>15</v>
      </c>
      <c r="I12" s="39">
        <v>108.23</v>
      </c>
      <c r="J12" s="39">
        <f t="shared" si="2"/>
        <v>1623.45</v>
      </c>
      <c r="K12" s="39">
        <f t="shared" si="3"/>
        <v>1623.45</v>
      </c>
      <c r="L12" s="231">
        <v>0</v>
      </c>
      <c r="M12" s="39">
        <f t="shared" si="4"/>
        <v>2547404.9655000004</v>
      </c>
      <c r="N12" s="232"/>
    </row>
    <row r="13" spans="1:19">
      <c r="A13" s="28">
        <v>10</v>
      </c>
      <c r="B13" s="29">
        <v>45848</v>
      </c>
      <c r="C13" s="36"/>
      <c r="D13" s="37"/>
      <c r="E13" s="39">
        <v>20.74</v>
      </c>
      <c r="F13" s="39">
        <v>96.42</v>
      </c>
      <c r="G13" s="39">
        <f>E13*F13</f>
        <v>1999.7507999999998</v>
      </c>
      <c r="H13" s="39">
        <v>30</v>
      </c>
      <c r="I13" s="39">
        <v>108.23</v>
      </c>
      <c r="J13" s="39">
        <f t="shared" si="2"/>
        <v>3246.9</v>
      </c>
      <c r="K13" s="39">
        <f t="shared" si="3"/>
        <v>5246.6507999999994</v>
      </c>
      <c r="L13" s="231">
        <v>0</v>
      </c>
      <c r="M13" s="39">
        <f t="shared" si="4"/>
        <v>2552651.6163000003</v>
      </c>
      <c r="N13" s="232"/>
    </row>
    <row r="14" spans="1:19">
      <c r="A14" s="28">
        <v>11</v>
      </c>
      <c r="B14" s="29">
        <v>45849</v>
      </c>
      <c r="C14" s="36"/>
      <c r="D14" s="37"/>
      <c r="E14" s="39">
        <v>124.35</v>
      </c>
      <c r="F14" s="39">
        <v>96.42</v>
      </c>
      <c r="G14" s="39">
        <f>E14*F14</f>
        <v>11989.826999999999</v>
      </c>
      <c r="H14" s="39">
        <v>10</v>
      </c>
      <c r="I14" s="39">
        <v>108.23</v>
      </c>
      <c r="J14" s="39">
        <f t="shared" si="2"/>
        <v>1082.3</v>
      </c>
      <c r="K14" s="39">
        <f t="shared" si="3"/>
        <v>13072.126999999999</v>
      </c>
      <c r="L14" s="231">
        <v>0</v>
      </c>
      <c r="M14" s="39">
        <f t="shared" si="4"/>
        <v>2565723.7433000002</v>
      </c>
      <c r="N14" s="232"/>
    </row>
    <row r="15" spans="1:19">
      <c r="A15" s="28">
        <v>12</v>
      </c>
      <c r="B15" s="29">
        <v>45850</v>
      </c>
      <c r="C15" s="36"/>
      <c r="D15" s="37"/>
      <c r="E15" s="39">
        <v>0</v>
      </c>
      <c r="F15" s="39">
        <v>0</v>
      </c>
      <c r="G15" s="39">
        <f>E15*F15</f>
        <v>0</v>
      </c>
      <c r="H15" s="39">
        <v>14</v>
      </c>
      <c r="I15" s="39">
        <v>108.23</v>
      </c>
      <c r="J15" s="39">
        <f t="shared" si="2"/>
        <v>1515.22</v>
      </c>
      <c r="K15" s="39">
        <f t="shared" si="3"/>
        <v>1515.22</v>
      </c>
      <c r="L15" s="231">
        <v>0</v>
      </c>
      <c r="M15" s="39">
        <f t="shared" si="4"/>
        <v>2567238.9633000004</v>
      </c>
      <c r="N15" s="232"/>
    </row>
    <row r="16" spans="1:19">
      <c r="A16" s="28">
        <v>13</v>
      </c>
      <c r="B16" s="29">
        <v>45851</v>
      </c>
      <c r="C16" s="36"/>
      <c r="D16" s="37"/>
      <c r="E16" s="39">
        <v>0</v>
      </c>
      <c r="F16" s="39">
        <v>0</v>
      </c>
      <c r="G16" s="39">
        <f>E16*F16</f>
        <v>0</v>
      </c>
      <c r="H16" s="39">
        <v>15</v>
      </c>
      <c r="I16" s="39">
        <v>108.23</v>
      </c>
      <c r="J16" s="39">
        <f t="shared" si="2"/>
        <v>1623.45</v>
      </c>
      <c r="K16" s="39">
        <f t="shared" si="3"/>
        <v>1623.45</v>
      </c>
      <c r="L16" s="231">
        <v>0</v>
      </c>
      <c r="M16" s="39">
        <f t="shared" si="4"/>
        <v>2568862.4133000006</v>
      </c>
      <c r="N16" s="232"/>
    </row>
    <row r="17" spans="1:16">
      <c r="A17" s="28">
        <v>14</v>
      </c>
      <c r="B17" s="29">
        <v>45852</v>
      </c>
      <c r="C17" s="36"/>
      <c r="D17" s="37"/>
      <c r="E17" s="39">
        <v>34.74</v>
      </c>
      <c r="F17" s="39">
        <v>96.42</v>
      </c>
      <c r="G17" s="39">
        <f>E17*F17</f>
        <v>3349.6308000000004</v>
      </c>
      <c r="H17" s="39">
        <v>20</v>
      </c>
      <c r="I17" s="39">
        <v>108.23</v>
      </c>
      <c r="J17" s="39">
        <f t="shared" si="2"/>
        <v>2164.6</v>
      </c>
      <c r="K17" s="39">
        <f t="shared" si="3"/>
        <v>5514.2308000000003</v>
      </c>
      <c r="L17" s="231">
        <v>0</v>
      </c>
      <c r="M17" s="39">
        <f t="shared" si="4"/>
        <v>2574376.6441000006</v>
      </c>
      <c r="N17" s="232"/>
    </row>
    <row r="18" spans="1:16">
      <c r="A18" s="28">
        <v>15</v>
      </c>
      <c r="B18" s="29">
        <v>45853</v>
      </c>
      <c r="C18" s="190"/>
      <c r="D18" s="37"/>
      <c r="E18" s="39">
        <v>36.090000000000003</v>
      </c>
      <c r="F18" s="39">
        <v>96.42</v>
      </c>
      <c r="G18" s="39">
        <f>E18*F18</f>
        <v>3479.7978000000003</v>
      </c>
      <c r="H18" s="39">
        <v>20</v>
      </c>
      <c r="I18" s="39">
        <v>108.23</v>
      </c>
      <c r="J18" s="39">
        <f t="shared" si="2"/>
        <v>2164.6</v>
      </c>
      <c r="K18" s="39">
        <f t="shared" si="3"/>
        <v>5644.3978000000006</v>
      </c>
      <c r="L18" s="231">
        <v>1500000</v>
      </c>
      <c r="M18" s="39">
        <f t="shared" si="4"/>
        <v>1080021.0419000005</v>
      </c>
      <c r="N18" s="291"/>
    </row>
    <row r="19" spans="1:16">
      <c r="A19" s="28">
        <v>16</v>
      </c>
      <c r="B19" s="29">
        <v>45854</v>
      </c>
      <c r="C19" s="122"/>
      <c r="D19" s="37"/>
      <c r="E19" s="39">
        <v>0</v>
      </c>
      <c r="F19" s="39">
        <v>0</v>
      </c>
      <c r="G19" s="39">
        <f>E19*F19</f>
        <v>0</v>
      </c>
      <c r="H19" s="39">
        <v>20</v>
      </c>
      <c r="I19" s="39">
        <v>108.23</v>
      </c>
      <c r="J19" s="39">
        <f t="shared" si="2"/>
        <v>2164.6</v>
      </c>
      <c r="K19" s="39">
        <f t="shared" si="3"/>
        <v>2164.6</v>
      </c>
      <c r="L19" s="231">
        <v>0</v>
      </c>
      <c r="M19" s="39">
        <f t="shared" si="4"/>
        <v>1082185.6419000006</v>
      </c>
      <c r="N19" s="291"/>
    </row>
    <row r="20" spans="1:16">
      <c r="A20" s="28">
        <v>17</v>
      </c>
      <c r="B20" s="29">
        <v>45855</v>
      </c>
      <c r="C20" s="203"/>
      <c r="D20" s="37"/>
      <c r="E20" s="39">
        <v>2000</v>
      </c>
      <c r="F20" s="39">
        <v>96.42</v>
      </c>
      <c r="G20" s="39">
        <f>E20*F20</f>
        <v>192840</v>
      </c>
      <c r="H20" s="39">
        <v>5</v>
      </c>
      <c r="I20" s="39">
        <v>108.23</v>
      </c>
      <c r="J20" s="39">
        <f t="shared" si="2"/>
        <v>541.15</v>
      </c>
      <c r="K20" s="39">
        <f t="shared" si="3"/>
        <v>193381.15</v>
      </c>
      <c r="L20" s="231">
        <v>0</v>
      </c>
      <c r="M20" s="39">
        <f t="shared" si="4"/>
        <v>1275566.7919000005</v>
      </c>
      <c r="N20" s="291"/>
    </row>
    <row r="21" spans="1:16">
      <c r="A21" s="28">
        <v>18</v>
      </c>
      <c r="B21" s="29">
        <v>45856</v>
      </c>
      <c r="C21" s="203"/>
      <c r="D21" s="37"/>
      <c r="E21" s="39">
        <v>0</v>
      </c>
      <c r="F21" s="39">
        <v>0</v>
      </c>
      <c r="G21" s="39">
        <f>E21*F21</f>
        <v>0</v>
      </c>
      <c r="H21" s="39">
        <v>10</v>
      </c>
      <c r="I21" s="39">
        <v>108.23</v>
      </c>
      <c r="J21" s="39">
        <f t="shared" si="2"/>
        <v>1082.3</v>
      </c>
      <c r="K21" s="39">
        <f t="shared" si="3"/>
        <v>1082.3</v>
      </c>
      <c r="L21" s="231">
        <v>0</v>
      </c>
      <c r="M21" s="39">
        <f t="shared" si="4"/>
        <v>1276649.0919000006</v>
      </c>
      <c r="N21" s="291"/>
    </row>
    <row r="22" spans="1:16">
      <c r="A22" s="28">
        <v>19</v>
      </c>
      <c r="B22" s="29">
        <v>45857</v>
      </c>
      <c r="C22" s="122"/>
      <c r="D22" s="37"/>
      <c r="E22" s="39">
        <v>2000</v>
      </c>
      <c r="F22" s="39">
        <v>96.42</v>
      </c>
      <c r="G22" s="39">
        <f>E22*F22</f>
        <v>192840</v>
      </c>
      <c r="H22" s="39">
        <v>40</v>
      </c>
      <c r="I22" s="39">
        <v>108.23</v>
      </c>
      <c r="J22" s="39">
        <f t="shared" si="2"/>
        <v>4329.2</v>
      </c>
      <c r="K22" s="39">
        <f t="shared" si="3"/>
        <v>197169.2</v>
      </c>
      <c r="L22" s="231">
        <v>0</v>
      </c>
      <c r="M22" s="39">
        <f t="shared" si="4"/>
        <v>1473818.2919000005</v>
      </c>
      <c r="N22" s="232"/>
      <c r="P22">
        <v>2422641</v>
      </c>
    </row>
    <row r="23" spans="1:16">
      <c r="A23" s="28">
        <v>20</v>
      </c>
      <c r="B23" s="29">
        <v>45858</v>
      </c>
      <c r="C23" s="122"/>
      <c r="D23" s="37"/>
      <c r="E23" s="39">
        <v>0</v>
      </c>
      <c r="F23" s="39">
        <v>0</v>
      </c>
      <c r="G23" s="39">
        <f>E23*F23</f>
        <v>0</v>
      </c>
      <c r="H23" s="39">
        <v>5</v>
      </c>
      <c r="I23" s="39">
        <v>108.23</v>
      </c>
      <c r="J23" s="39">
        <f t="shared" si="2"/>
        <v>541.15</v>
      </c>
      <c r="K23" s="39">
        <f t="shared" si="3"/>
        <v>541.15</v>
      </c>
      <c r="L23" s="231">
        <v>0</v>
      </c>
      <c r="M23" s="39">
        <f t="shared" si="4"/>
        <v>1474359.4419000004</v>
      </c>
      <c r="N23" s="232"/>
      <c r="P23">
        <v>2419549</v>
      </c>
    </row>
    <row r="24" spans="1:16">
      <c r="A24" s="28">
        <v>21</v>
      </c>
      <c r="B24" s="29">
        <v>45859</v>
      </c>
      <c r="C24" s="122"/>
      <c r="D24" s="37"/>
      <c r="E24" s="39">
        <v>0</v>
      </c>
      <c r="F24" s="39">
        <v>0</v>
      </c>
      <c r="G24" s="39">
        <f>E24*F24</f>
        <v>0</v>
      </c>
      <c r="H24" s="39">
        <v>5</v>
      </c>
      <c r="I24" s="39">
        <v>108.23</v>
      </c>
      <c r="J24" s="39">
        <f t="shared" si="2"/>
        <v>541.15</v>
      </c>
      <c r="K24" s="39">
        <f t="shared" si="3"/>
        <v>541.15</v>
      </c>
      <c r="L24" s="231">
        <v>0</v>
      </c>
      <c r="M24" s="39">
        <f t="shared" si="4"/>
        <v>1474900.5919000003</v>
      </c>
      <c r="N24" s="232"/>
      <c r="P24">
        <f>P23-P22</f>
        <v>-3092</v>
      </c>
    </row>
    <row r="25" spans="1:16">
      <c r="A25" s="28">
        <v>22</v>
      </c>
      <c r="B25" s="29">
        <v>45860</v>
      </c>
      <c r="C25" s="122"/>
      <c r="D25" s="37"/>
      <c r="E25" s="39">
        <v>44</v>
      </c>
      <c r="F25" s="39">
        <v>96.42</v>
      </c>
      <c r="G25" s="39">
        <f>E25*F25</f>
        <v>4242.4800000000005</v>
      </c>
      <c r="H25" s="39">
        <v>35</v>
      </c>
      <c r="I25" s="39">
        <v>108.23</v>
      </c>
      <c r="J25" s="39">
        <f t="shared" si="2"/>
        <v>3788.05</v>
      </c>
      <c r="K25" s="39">
        <f t="shared" si="3"/>
        <v>8030.5300000000007</v>
      </c>
      <c r="L25" s="231">
        <v>0</v>
      </c>
      <c r="M25" s="39">
        <f t="shared" si="4"/>
        <v>1482931.1219000004</v>
      </c>
      <c r="N25" s="232"/>
    </row>
    <row r="26" spans="1:16">
      <c r="A26" s="28">
        <v>23</v>
      </c>
      <c r="B26" s="29">
        <v>45861</v>
      </c>
      <c r="C26" s="122"/>
      <c r="D26" s="37"/>
      <c r="E26" s="39">
        <v>31</v>
      </c>
      <c r="F26" s="39">
        <v>96.42</v>
      </c>
      <c r="G26" s="39">
        <f>E26*F26</f>
        <v>2989.02</v>
      </c>
      <c r="H26" s="39">
        <v>10</v>
      </c>
      <c r="I26" s="39">
        <v>108.23</v>
      </c>
      <c r="J26" s="39">
        <f t="shared" si="2"/>
        <v>1082.3</v>
      </c>
      <c r="K26" s="39">
        <f t="shared" si="3"/>
        <v>4071.3199999999997</v>
      </c>
      <c r="L26" s="231">
        <v>0</v>
      </c>
      <c r="M26" s="39">
        <f t="shared" si="4"/>
        <v>1487002.4419000004</v>
      </c>
      <c r="N26" s="232"/>
    </row>
    <row r="27" spans="1:16">
      <c r="A27" s="28">
        <v>24</v>
      </c>
      <c r="B27" s="29">
        <v>45862</v>
      </c>
      <c r="C27" s="122"/>
      <c r="D27" s="37"/>
      <c r="E27" s="39">
        <v>35.19</v>
      </c>
      <c r="F27" s="39">
        <v>96.42</v>
      </c>
      <c r="G27" s="39">
        <f>E27*F27</f>
        <v>3393.0198</v>
      </c>
      <c r="H27" s="39">
        <v>25</v>
      </c>
      <c r="I27" s="39">
        <v>108.23</v>
      </c>
      <c r="J27" s="39">
        <f t="shared" si="2"/>
        <v>2705.75</v>
      </c>
      <c r="K27" s="39">
        <f t="shared" si="3"/>
        <v>6098.7698</v>
      </c>
      <c r="L27" s="231">
        <v>0</v>
      </c>
      <c r="M27" s="39">
        <f t="shared" si="4"/>
        <v>1493101.2117000003</v>
      </c>
      <c r="N27" s="232"/>
    </row>
    <row r="28" spans="1:16">
      <c r="A28" s="28">
        <v>25</v>
      </c>
      <c r="B28" s="29">
        <v>45863</v>
      </c>
      <c r="C28" s="122"/>
      <c r="D28" s="37"/>
      <c r="E28" s="39">
        <v>0</v>
      </c>
      <c r="F28" s="39">
        <v>0</v>
      </c>
      <c r="G28" s="39">
        <f>E28*F28</f>
        <v>0</v>
      </c>
      <c r="H28" s="39">
        <v>15</v>
      </c>
      <c r="I28" s="39">
        <v>108.23</v>
      </c>
      <c r="J28" s="39">
        <f t="shared" si="2"/>
        <v>1623.45</v>
      </c>
      <c r="K28" s="39">
        <f t="shared" si="3"/>
        <v>1623.45</v>
      </c>
      <c r="L28" s="231">
        <v>0</v>
      </c>
      <c r="M28" s="39">
        <f t="shared" si="4"/>
        <v>1494724.6617000003</v>
      </c>
      <c r="N28" s="232"/>
    </row>
    <row r="29" spans="1:16">
      <c r="A29" s="28">
        <v>26</v>
      </c>
      <c r="B29" s="29">
        <v>45864</v>
      </c>
      <c r="C29" s="122"/>
      <c r="D29" s="37"/>
      <c r="E29" s="39">
        <v>0</v>
      </c>
      <c r="F29" s="39">
        <v>0</v>
      </c>
      <c r="G29" s="39">
        <f>E29*F29</f>
        <v>0</v>
      </c>
      <c r="H29" s="39">
        <v>0</v>
      </c>
      <c r="I29" s="39">
        <v>0</v>
      </c>
      <c r="J29" s="39">
        <f t="shared" si="2"/>
        <v>0</v>
      </c>
      <c r="K29" s="39">
        <f t="shared" si="3"/>
        <v>0</v>
      </c>
      <c r="L29" s="231">
        <v>0</v>
      </c>
      <c r="M29" s="39">
        <f t="shared" si="4"/>
        <v>1494724.6617000003</v>
      </c>
      <c r="N29" s="232"/>
    </row>
    <row r="30" spans="1:16">
      <c r="A30" s="28">
        <v>27</v>
      </c>
      <c r="B30" s="29">
        <v>45865</v>
      </c>
      <c r="C30" s="122"/>
      <c r="D30" s="37"/>
      <c r="E30" s="39">
        <v>0</v>
      </c>
      <c r="F30" s="39">
        <v>0</v>
      </c>
      <c r="G30" s="39">
        <f>E30*F30</f>
        <v>0</v>
      </c>
      <c r="H30" s="39">
        <v>5</v>
      </c>
      <c r="I30" s="39">
        <v>108.23</v>
      </c>
      <c r="J30" s="39">
        <f t="shared" si="2"/>
        <v>541.15</v>
      </c>
      <c r="K30" s="39">
        <f t="shared" si="3"/>
        <v>541.15</v>
      </c>
      <c r="L30" s="231">
        <v>0</v>
      </c>
      <c r="M30" s="39">
        <f t="shared" si="4"/>
        <v>1495265.8117000002</v>
      </c>
      <c r="N30" s="232"/>
    </row>
    <row r="31" spans="1:16">
      <c r="A31" s="28">
        <v>28</v>
      </c>
      <c r="B31" s="29">
        <v>45866</v>
      </c>
      <c r="C31" s="122"/>
      <c r="D31" s="37"/>
      <c r="E31" s="39">
        <v>2500</v>
      </c>
      <c r="F31" s="39">
        <v>96.42</v>
      </c>
      <c r="G31" s="39">
        <f>E31*F31</f>
        <v>241050</v>
      </c>
      <c r="H31" s="39">
        <v>25</v>
      </c>
      <c r="I31" s="39">
        <v>108.23</v>
      </c>
      <c r="J31" s="39">
        <f t="shared" si="2"/>
        <v>2705.75</v>
      </c>
      <c r="K31" s="39">
        <f t="shared" si="3"/>
        <v>243755.75</v>
      </c>
      <c r="L31" s="231">
        <v>0</v>
      </c>
      <c r="M31" s="39">
        <f t="shared" si="4"/>
        <v>1739021.5617000002</v>
      </c>
      <c r="N31" s="232"/>
    </row>
    <row r="32" spans="1:16">
      <c r="A32" s="28">
        <v>29</v>
      </c>
      <c r="B32" s="29">
        <v>45867</v>
      </c>
      <c r="C32" s="122"/>
      <c r="D32" s="37"/>
      <c r="E32" s="39">
        <v>1622.5400000000002</v>
      </c>
      <c r="F32" s="39">
        <v>96.42</v>
      </c>
      <c r="G32" s="39">
        <f>E32*F32</f>
        <v>156445.30680000002</v>
      </c>
      <c r="H32" s="39">
        <v>25</v>
      </c>
      <c r="I32" s="39">
        <v>108.23</v>
      </c>
      <c r="J32" s="39">
        <f t="shared" si="2"/>
        <v>2705.75</v>
      </c>
      <c r="K32" s="39">
        <f t="shared" si="3"/>
        <v>159151.05680000002</v>
      </c>
      <c r="L32" s="231">
        <v>0</v>
      </c>
      <c r="M32" s="39">
        <f t="shared" si="4"/>
        <v>1898172.6185000003</v>
      </c>
      <c r="N32" s="232"/>
    </row>
    <row r="33" spans="1:16">
      <c r="A33" s="28">
        <v>30</v>
      </c>
      <c r="B33" s="29">
        <v>45868</v>
      </c>
      <c r="C33" s="122"/>
      <c r="D33" s="37"/>
      <c r="E33" s="39">
        <v>2000</v>
      </c>
      <c r="F33" s="39">
        <v>96.42</v>
      </c>
      <c r="G33" s="39">
        <f>E33*F33</f>
        <v>192840</v>
      </c>
      <c r="H33" s="39">
        <v>20</v>
      </c>
      <c r="I33" s="39">
        <v>108.23</v>
      </c>
      <c r="J33" s="39">
        <f t="shared" si="2"/>
        <v>2164.6</v>
      </c>
      <c r="K33" s="39">
        <f t="shared" si="3"/>
        <v>195004.6</v>
      </c>
      <c r="L33" s="231">
        <v>0</v>
      </c>
      <c r="M33" s="39">
        <f t="shared" si="4"/>
        <v>2093177.2185000004</v>
      </c>
      <c r="N33" s="232"/>
      <c r="O33">
        <v>2085613</v>
      </c>
      <c r="P33" s="196">
        <f>M33-O33</f>
        <v>7564.2185000004247</v>
      </c>
    </row>
    <row r="34" spans="1:16">
      <c r="A34" s="28">
        <v>31</v>
      </c>
      <c r="B34" s="29">
        <v>45869</v>
      </c>
      <c r="C34" s="122"/>
      <c r="D34" s="37"/>
      <c r="E34" s="39">
        <v>2500</v>
      </c>
      <c r="F34" s="39">
        <v>96.42</v>
      </c>
      <c r="G34" s="39">
        <f>E34*F34</f>
        <v>241050</v>
      </c>
      <c r="H34" s="39">
        <v>35</v>
      </c>
      <c r="I34" s="39">
        <v>108.23</v>
      </c>
      <c r="J34" s="39">
        <f t="shared" si="2"/>
        <v>3788.05</v>
      </c>
      <c r="K34" s="39">
        <f t="shared" si="3"/>
        <v>244838.05</v>
      </c>
      <c r="L34" s="231">
        <v>950000</v>
      </c>
      <c r="M34" s="39">
        <f t="shared" si="4"/>
        <v>1388015.2685000002</v>
      </c>
      <c r="N34" s="291"/>
    </row>
    <row r="35" spans="1:16">
      <c r="A35" s="323"/>
      <c r="B35" s="29"/>
      <c r="C35" s="35"/>
      <c r="D35" s="324"/>
      <c r="E35" s="39">
        <v>0</v>
      </c>
      <c r="F35" s="39">
        <v>0</v>
      </c>
      <c r="G35" s="39">
        <f>E35*F35</f>
        <v>0</v>
      </c>
      <c r="H35" s="39">
        <v>0</v>
      </c>
      <c r="I35" s="39">
        <v>0</v>
      </c>
      <c r="J35" s="39">
        <f t="shared" si="2"/>
        <v>0</v>
      </c>
      <c r="K35" s="39">
        <f t="shared" si="3"/>
        <v>0</v>
      </c>
      <c r="L35" s="412"/>
      <c r="M35" s="39">
        <f t="shared" si="4"/>
        <v>1388015.2685000002</v>
      </c>
      <c r="N35" s="39"/>
    </row>
    <row r="36" spans="1:16">
      <c r="A36" s="204"/>
      <c r="B36" s="201"/>
      <c r="C36" s="201"/>
      <c r="D36" s="201"/>
      <c r="E36" s="49">
        <f>SUM(E4:E34)</f>
        <v>17003.650000000001</v>
      </c>
      <c r="F36" s="49"/>
      <c r="G36" s="49">
        <f>SUM(G4:G34)</f>
        <v>1639491.9329999997</v>
      </c>
      <c r="H36" s="49">
        <f>SUM(H4:H34)</f>
        <v>548.62</v>
      </c>
      <c r="I36" s="49"/>
      <c r="J36" s="49">
        <f>SUM(J4:J34)</f>
        <v>59377.142600000006</v>
      </c>
      <c r="K36" s="49">
        <f>SUM(K4:K34)</f>
        <v>1698869.0755999999</v>
      </c>
      <c r="L36" s="49">
        <f>SUM(L4:L34)</f>
        <v>2450000</v>
      </c>
      <c r="M36" s="119"/>
      <c r="N36" s="50"/>
    </row>
    <row r="37" spans="1:16">
      <c r="A37" s="40"/>
      <c r="B37" s="40"/>
      <c r="C37" s="40"/>
      <c r="D37" s="40"/>
      <c r="E37" s="43"/>
      <c r="F37" s="43"/>
      <c r="G37" s="43"/>
      <c r="H37" s="43"/>
      <c r="I37" s="43"/>
      <c r="J37" s="43"/>
      <c r="K37" s="43"/>
      <c r="L37" s="43"/>
      <c r="M37" s="43"/>
      <c r="N37" s="43"/>
    </row>
    <row r="38" spans="1:16">
      <c r="A38" s="35"/>
      <c r="B38" s="35"/>
      <c r="C38" s="35"/>
      <c r="D38" s="35"/>
      <c r="E38" s="35">
        <v>16973.46</v>
      </c>
      <c r="F38" s="35"/>
      <c r="G38" s="42"/>
      <c r="H38" s="35"/>
      <c r="I38" s="35"/>
      <c r="J38" s="35"/>
      <c r="K38" s="35"/>
      <c r="L38" s="35"/>
      <c r="M38" s="35"/>
      <c r="N38" s="35"/>
    </row>
    <row r="39" spans="1:16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</row>
    <row r="40" spans="1:16">
      <c r="E40" s="196">
        <f>E36-E38</f>
        <v>30.190000000002328</v>
      </c>
    </row>
    <row r="43" spans="1:16">
      <c r="E43" s="196"/>
    </row>
  </sheetData>
  <mergeCells count="2">
    <mergeCell ref="A1:N1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C841-9E0F-4432-87D3-E0CE7CD55810}">
  <dimension ref="A1:R35"/>
  <sheetViews>
    <sheetView workbookViewId="0">
      <selection activeCell="S23" sqref="S23"/>
    </sheetView>
  </sheetViews>
  <sheetFormatPr defaultRowHeight="15"/>
  <cols>
    <col min="2" max="2" width="10.5703125" bestFit="1" customWidth="1"/>
    <col min="5" max="5" width="10.5703125" customWidth="1"/>
    <col min="7" max="7" width="14.85546875" customWidth="1"/>
    <col min="8" max="8" width="9.7109375" customWidth="1"/>
    <col min="11" max="12" width="11.85546875" bestFit="1" customWidth="1"/>
    <col min="13" max="13" width="13.5703125" bestFit="1" customWidth="1"/>
  </cols>
  <sheetData>
    <row r="1" spans="1:18" ht="15.75">
      <c r="A1" s="426" t="s">
        <v>24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</row>
    <row r="2" spans="1:18" ht="27">
      <c r="A2" s="116" t="s">
        <v>105</v>
      </c>
      <c r="B2" s="121" t="s">
        <v>106</v>
      </c>
      <c r="C2" s="121" t="s">
        <v>107</v>
      </c>
      <c r="D2" s="121" t="s">
        <v>108</v>
      </c>
      <c r="E2" s="226" t="s">
        <v>109</v>
      </c>
      <c r="F2" s="121" t="s">
        <v>110</v>
      </c>
      <c r="G2" s="121" t="s">
        <v>111</v>
      </c>
      <c r="H2" s="121" t="s">
        <v>112</v>
      </c>
      <c r="I2" s="121" t="s">
        <v>110</v>
      </c>
      <c r="J2" s="121" t="s">
        <v>111</v>
      </c>
      <c r="K2" s="121" t="s">
        <v>113</v>
      </c>
      <c r="L2" s="121" t="s">
        <v>114</v>
      </c>
      <c r="M2" s="121" t="s">
        <v>120</v>
      </c>
      <c r="N2" s="121" t="s">
        <v>116</v>
      </c>
    </row>
    <row r="3" spans="1:18">
      <c r="A3" s="427" t="s">
        <v>117</v>
      </c>
      <c r="B3" s="427"/>
      <c r="C3" s="427"/>
      <c r="D3" s="427"/>
      <c r="E3" s="427"/>
      <c r="F3" s="427"/>
      <c r="G3" s="427"/>
      <c r="H3" s="427"/>
      <c r="I3" s="427"/>
      <c r="J3" s="427"/>
      <c r="K3" s="258">
        <v>1209626.7437</v>
      </c>
      <c r="L3" s="258"/>
      <c r="M3" s="259">
        <f>+K3</f>
        <v>1209626.7437</v>
      </c>
      <c r="N3" s="107"/>
    </row>
    <row r="4" spans="1:18">
      <c r="A4" s="28">
        <v>1</v>
      </c>
      <c r="B4" s="29">
        <v>45839</v>
      </c>
      <c r="C4" s="19"/>
      <c r="D4" s="19"/>
      <c r="E4" s="19">
        <v>1640</v>
      </c>
      <c r="F4" s="19">
        <v>96.43</v>
      </c>
      <c r="G4" s="19">
        <f>E4*F4</f>
        <v>158145.20000000001</v>
      </c>
      <c r="H4" s="19"/>
      <c r="I4" s="19"/>
      <c r="J4" s="19">
        <f>H4*I4</f>
        <v>0</v>
      </c>
      <c r="K4" s="19">
        <f>G4+J4</f>
        <v>158145.20000000001</v>
      </c>
      <c r="L4" s="19"/>
      <c r="M4" s="151">
        <f>M3+K4-L4</f>
        <v>1367771.9436999999</v>
      </c>
      <c r="N4" s="19"/>
      <c r="O4" s="24"/>
    </row>
    <row r="5" spans="1:18">
      <c r="A5" s="28">
        <v>2</v>
      </c>
      <c r="B5" s="29">
        <v>45840</v>
      </c>
      <c r="C5" s="19"/>
      <c r="D5" s="19"/>
      <c r="E5" s="19">
        <v>0</v>
      </c>
      <c r="F5" s="19">
        <v>0</v>
      </c>
      <c r="G5" s="19">
        <f t="shared" ref="G5:G34" si="0">E5*F5</f>
        <v>0</v>
      </c>
      <c r="H5" s="19"/>
      <c r="I5" s="19"/>
      <c r="J5" s="19">
        <f t="shared" ref="J5:J34" si="1">H5*I5</f>
        <v>0</v>
      </c>
      <c r="K5" s="19">
        <f t="shared" ref="K5:K34" si="2">G5+J5</f>
        <v>0</v>
      </c>
      <c r="L5" s="19"/>
      <c r="M5" s="151">
        <f t="shared" ref="M5:M34" si="3">M4+K5-L5</f>
        <v>1367771.9436999999</v>
      </c>
      <c r="N5" s="19"/>
    </row>
    <row r="6" spans="1:18">
      <c r="A6" s="28">
        <v>3</v>
      </c>
      <c r="B6" s="29">
        <v>45841</v>
      </c>
      <c r="C6" s="19"/>
      <c r="D6" s="19"/>
      <c r="E6" s="19">
        <v>2400</v>
      </c>
      <c r="F6" s="19">
        <v>96.43</v>
      </c>
      <c r="G6" s="19">
        <f t="shared" si="0"/>
        <v>231432.00000000003</v>
      </c>
      <c r="H6" s="19"/>
      <c r="I6" s="19"/>
      <c r="J6" s="19">
        <f t="shared" si="1"/>
        <v>0</v>
      </c>
      <c r="K6" s="19">
        <f t="shared" si="2"/>
        <v>231432.00000000003</v>
      </c>
      <c r="L6" s="19"/>
      <c r="M6" s="151">
        <f t="shared" si="3"/>
        <v>1599203.9436999999</v>
      </c>
      <c r="N6" s="19"/>
      <c r="R6">
        <v>541.08000000000004</v>
      </c>
    </row>
    <row r="7" spans="1:18">
      <c r="A7" s="28">
        <v>4</v>
      </c>
      <c r="B7" s="29">
        <v>45842</v>
      </c>
      <c r="C7" s="19"/>
      <c r="D7" s="19"/>
      <c r="E7" s="19">
        <v>2000</v>
      </c>
      <c r="F7" s="19">
        <v>96.43</v>
      </c>
      <c r="G7" s="19">
        <f t="shared" si="0"/>
        <v>192860</v>
      </c>
      <c r="H7" s="19"/>
      <c r="I7" s="19"/>
      <c r="J7" s="19">
        <f t="shared" si="1"/>
        <v>0</v>
      </c>
      <c r="K7" s="19">
        <f t="shared" si="2"/>
        <v>192860</v>
      </c>
      <c r="L7" s="19"/>
      <c r="M7" s="151">
        <f t="shared" si="3"/>
        <v>1792063.9436999999</v>
      </c>
      <c r="N7" s="19"/>
    </row>
    <row r="8" spans="1:18">
      <c r="A8" s="28">
        <v>5</v>
      </c>
      <c r="B8" s="29">
        <v>45843</v>
      </c>
      <c r="C8" s="19"/>
      <c r="D8" s="19"/>
      <c r="E8" s="381">
        <v>2300</v>
      </c>
      <c r="F8" s="381">
        <v>96.43</v>
      </c>
      <c r="G8" s="19">
        <f t="shared" si="0"/>
        <v>221789.00000000003</v>
      </c>
      <c r="H8" s="19"/>
      <c r="I8" s="19"/>
      <c r="J8" s="19">
        <f t="shared" si="1"/>
        <v>0</v>
      </c>
      <c r="K8" s="19">
        <f t="shared" si="2"/>
        <v>221789.00000000003</v>
      </c>
      <c r="L8" s="19"/>
      <c r="M8" s="151">
        <f>M7+K8-L8</f>
        <v>2013852.9436999999</v>
      </c>
      <c r="N8" s="19"/>
    </row>
    <row r="9" spans="1:18">
      <c r="A9" s="28">
        <v>6</v>
      </c>
      <c r="B9" s="29">
        <v>45844</v>
      </c>
      <c r="C9" s="19"/>
      <c r="D9" s="19"/>
      <c r="E9" s="381">
        <v>2200</v>
      </c>
      <c r="F9" s="381">
        <v>96.43</v>
      </c>
      <c r="G9" s="19">
        <f t="shared" si="0"/>
        <v>212146.00000000003</v>
      </c>
      <c r="H9" s="19"/>
      <c r="I9" s="19"/>
      <c r="J9" s="19">
        <f t="shared" si="1"/>
        <v>0</v>
      </c>
      <c r="K9" s="19">
        <f t="shared" si="2"/>
        <v>212146.00000000003</v>
      </c>
      <c r="L9" s="19"/>
      <c r="M9" s="151">
        <f t="shared" si="3"/>
        <v>2225998.9437000002</v>
      </c>
      <c r="N9" s="19"/>
    </row>
    <row r="10" spans="1:18">
      <c r="A10" s="28">
        <v>7</v>
      </c>
      <c r="B10" s="29">
        <v>45845</v>
      </c>
      <c r="C10" s="19"/>
      <c r="D10" s="19"/>
      <c r="E10" s="19">
        <v>3400</v>
      </c>
      <c r="F10" s="381">
        <v>96.43</v>
      </c>
      <c r="G10" s="19">
        <f t="shared" si="0"/>
        <v>327862</v>
      </c>
      <c r="H10" s="19"/>
      <c r="I10" s="19"/>
      <c r="J10" s="19">
        <f t="shared" si="1"/>
        <v>0</v>
      </c>
      <c r="K10" s="19">
        <f t="shared" si="2"/>
        <v>327862</v>
      </c>
      <c r="L10" s="19"/>
      <c r="M10" s="151">
        <f t="shared" si="3"/>
        <v>2553860.9437000002</v>
      </c>
      <c r="N10" s="19"/>
    </row>
    <row r="11" spans="1:18">
      <c r="A11" s="28">
        <v>8</v>
      </c>
      <c r="B11" s="29">
        <v>45846</v>
      </c>
      <c r="C11" s="19"/>
      <c r="D11" s="19"/>
      <c r="E11" s="19">
        <v>2300</v>
      </c>
      <c r="F11" s="381">
        <v>96.43</v>
      </c>
      <c r="G11" s="19">
        <f t="shared" si="0"/>
        <v>221789.00000000003</v>
      </c>
      <c r="H11" s="19"/>
      <c r="I11" s="19"/>
      <c r="J11" s="19">
        <f t="shared" si="1"/>
        <v>0</v>
      </c>
      <c r="K11" s="19">
        <f t="shared" si="2"/>
        <v>221789.00000000003</v>
      </c>
      <c r="L11" s="19"/>
      <c r="M11" s="151">
        <f t="shared" si="3"/>
        <v>2775649.9437000002</v>
      </c>
      <c r="N11" s="19"/>
    </row>
    <row r="12" spans="1:18">
      <c r="A12" s="28">
        <v>9</v>
      </c>
      <c r="B12" s="29">
        <v>45847</v>
      </c>
      <c r="C12" s="19"/>
      <c r="D12" s="19"/>
      <c r="E12" s="19">
        <v>3300</v>
      </c>
      <c r="F12" s="381">
        <v>96.43</v>
      </c>
      <c r="G12" s="19">
        <f t="shared" si="0"/>
        <v>318219</v>
      </c>
      <c r="H12" s="19"/>
      <c r="I12" s="19"/>
      <c r="J12" s="19">
        <f t="shared" si="1"/>
        <v>0</v>
      </c>
      <c r="K12" s="19">
        <f t="shared" si="2"/>
        <v>318219</v>
      </c>
      <c r="L12" s="19"/>
      <c r="M12" s="151">
        <f t="shared" si="3"/>
        <v>3093868.9437000002</v>
      </c>
      <c r="N12" s="19"/>
    </row>
    <row r="13" spans="1:18">
      <c r="A13" s="28">
        <v>10</v>
      </c>
      <c r="B13" s="29">
        <v>45848</v>
      </c>
      <c r="C13" s="19"/>
      <c r="D13" s="19"/>
      <c r="E13" s="19">
        <v>2500</v>
      </c>
      <c r="F13" s="381">
        <v>96.43</v>
      </c>
      <c r="G13" s="19">
        <f t="shared" si="0"/>
        <v>241075.00000000003</v>
      </c>
      <c r="H13" s="19"/>
      <c r="I13" s="19"/>
      <c r="J13" s="19">
        <f t="shared" si="1"/>
        <v>0</v>
      </c>
      <c r="K13" s="19">
        <f t="shared" si="2"/>
        <v>241075.00000000003</v>
      </c>
      <c r="L13" s="19"/>
      <c r="M13" s="151">
        <f t="shared" si="3"/>
        <v>3334943.9437000002</v>
      </c>
      <c r="N13" s="19"/>
    </row>
    <row r="14" spans="1:18">
      <c r="A14" s="28">
        <v>11</v>
      </c>
      <c r="B14" s="29">
        <v>45849</v>
      </c>
      <c r="C14" s="19"/>
      <c r="D14" s="19"/>
      <c r="E14" s="19">
        <v>3900</v>
      </c>
      <c r="F14" s="381">
        <v>96.43</v>
      </c>
      <c r="G14" s="19">
        <f t="shared" si="0"/>
        <v>376077</v>
      </c>
      <c r="H14" s="19"/>
      <c r="I14" s="19"/>
      <c r="J14" s="19">
        <f t="shared" si="1"/>
        <v>0</v>
      </c>
      <c r="K14" s="19">
        <f t="shared" si="2"/>
        <v>376077</v>
      </c>
      <c r="L14" s="19"/>
      <c r="M14" s="151">
        <f t="shared" si="3"/>
        <v>3711020.9437000002</v>
      </c>
      <c r="N14" s="19"/>
    </row>
    <row r="15" spans="1:18">
      <c r="A15" s="28">
        <v>12</v>
      </c>
      <c r="B15" s="29">
        <v>45850</v>
      </c>
      <c r="C15" s="19"/>
      <c r="D15" s="19"/>
      <c r="E15" s="61">
        <v>4374.3900000000003</v>
      </c>
      <c r="F15" s="381">
        <v>96.43</v>
      </c>
      <c r="G15" s="19">
        <f t="shared" si="0"/>
        <v>421822.42770000006</v>
      </c>
      <c r="H15" s="19"/>
      <c r="I15" s="19"/>
      <c r="J15" s="19">
        <f t="shared" si="1"/>
        <v>0</v>
      </c>
      <c r="K15" s="19">
        <f t="shared" si="2"/>
        <v>421822.42770000006</v>
      </c>
      <c r="L15" s="19"/>
      <c r="M15" s="151">
        <f t="shared" si="3"/>
        <v>4132843.3714000001</v>
      </c>
      <c r="N15" s="19"/>
    </row>
    <row r="16" spans="1:18">
      <c r="A16" s="28">
        <v>13</v>
      </c>
      <c r="B16" s="29">
        <v>45851</v>
      </c>
      <c r="C16" s="19"/>
      <c r="D16" s="19"/>
      <c r="E16" s="19">
        <v>0</v>
      </c>
      <c r="F16" s="19">
        <v>0</v>
      </c>
      <c r="G16" s="19">
        <f t="shared" si="0"/>
        <v>0</v>
      </c>
      <c r="H16" s="19"/>
      <c r="I16" s="19"/>
      <c r="J16" s="19">
        <f t="shared" si="1"/>
        <v>0</v>
      </c>
      <c r="K16" s="19">
        <f t="shared" si="2"/>
        <v>0</v>
      </c>
      <c r="L16" s="19"/>
      <c r="M16" s="151">
        <f t="shared" si="3"/>
        <v>4132843.3714000001</v>
      </c>
      <c r="N16" s="19"/>
    </row>
    <row r="17" spans="1:14">
      <c r="A17" s="28">
        <v>14</v>
      </c>
      <c r="B17" s="29">
        <v>45852</v>
      </c>
      <c r="C17" s="19"/>
      <c r="D17" s="19"/>
      <c r="E17" s="19">
        <v>2000</v>
      </c>
      <c r="F17" s="381">
        <v>96.43</v>
      </c>
      <c r="G17" s="19">
        <f t="shared" si="0"/>
        <v>192860</v>
      </c>
      <c r="H17" s="19"/>
      <c r="I17" s="19"/>
      <c r="J17" s="19">
        <f t="shared" si="1"/>
        <v>0</v>
      </c>
      <c r="K17" s="19">
        <f t="shared" si="2"/>
        <v>192860</v>
      </c>
      <c r="L17" s="19">
        <v>400000</v>
      </c>
      <c r="M17" s="151">
        <f t="shared" si="3"/>
        <v>3925703.3714000005</v>
      </c>
      <c r="N17" s="19"/>
    </row>
    <row r="18" spans="1:14">
      <c r="A18" s="28">
        <v>15</v>
      </c>
      <c r="B18" s="29">
        <v>45853</v>
      </c>
      <c r="C18" s="19"/>
      <c r="D18" s="19"/>
      <c r="E18" s="19">
        <v>2500</v>
      </c>
      <c r="F18" s="381">
        <v>96.43</v>
      </c>
      <c r="G18" s="19">
        <f t="shared" si="0"/>
        <v>241075.00000000003</v>
      </c>
      <c r="H18" s="19"/>
      <c r="I18" s="19"/>
      <c r="J18" s="19">
        <f t="shared" si="1"/>
        <v>0</v>
      </c>
      <c r="K18" s="19">
        <f t="shared" si="2"/>
        <v>241075.00000000003</v>
      </c>
      <c r="L18" s="19">
        <v>2400000</v>
      </c>
      <c r="M18" s="151">
        <f t="shared" si="3"/>
        <v>1766778.3714000005</v>
      </c>
      <c r="N18" s="19"/>
    </row>
    <row r="19" spans="1:14">
      <c r="A19" s="28">
        <v>16</v>
      </c>
      <c r="B19" s="29">
        <v>45854</v>
      </c>
      <c r="C19" s="19"/>
      <c r="D19" s="19"/>
      <c r="E19" s="19">
        <v>4600</v>
      </c>
      <c r="F19" s="381">
        <v>96.43</v>
      </c>
      <c r="G19" s="19">
        <f t="shared" si="0"/>
        <v>443578.00000000006</v>
      </c>
      <c r="H19" s="19"/>
      <c r="I19" s="19"/>
      <c r="J19" s="19">
        <f t="shared" si="1"/>
        <v>0</v>
      </c>
      <c r="K19" s="19">
        <f t="shared" si="2"/>
        <v>443578.00000000006</v>
      </c>
      <c r="L19" s="19"/>
      <c r="M19" s="151">
        <f t="shared" si="3"/>
        <v>2210356.3714000005</v>
      </c>
      <c r="N19" s="19"/>
    </row>
    <row r="20" spans="1:14">
      <c r="A20" s="28">
        <v>17</v>
      </c>
      <c r="B20" s="29">
        <v>45855</v>
      </c>
      <c r="C20" s="19"/>
      <c r="D20" s="19"/>
      <c r="E20" s="19">
        <v>0</v>
      </c>
      <c r="F20" s="19">
        <v>0</v>
      </c>
      <c r="G20" s="19">
        <f t="shared" si="0"/>
        <v>0</v>
      </c>
      <c r="H20" s="19"/>
      <c r="I20" s="19"/>
      <c r="J20" s="19">
        <f t="shared" si="1"/>
        <v>0</v>
      </c>
      <c r="K20" s="19">
        <f t="shared" si="2"/>
        <v>0</v>
      </c>
      <c r="L20" s="19"/>
      <c r="M20" s="151">
        <f t="shared" si="3"/>
        <v>2210356.3714000005</v>
      </c>
      <c r="N20" s="19"/>
    </row>
    <row r="21" spans="1:14">
      <c r="A21" s="28">
        <v>18</v>
      </c>
      <c r="B21" s="29">
        <v>45856</v>
      </c>
      <c r="C21" s="19"/>
      <c r="D21" s="19"/>
      <c r="E21" s="19">
        <v>2424</v>
      </c>
      <c r="F21" s="19">
        <v>96.43</v>
      </c>
      <c r="G21" s="19">
        <f t="shared" si="0"/>
        <v>233746.32</v>
      </c>
      <c r="H21" s="19"/>
      <c r="I21" s="19"/>
      <c r="J21" s="19">
        <f t="shared" si="1"/>
        <v>0</v>
      </c>
      <c r="K21" s="19">
        <f t="shared" si="2"/>
        <v>233746.32</v>
      </c>
      <c r="L21" s="19"/>
      <c r="M21" s="151">
        <f t="shared" si="3"/>
        <v>2444102.6914000004</v>
      </c>
      <c r="N21" s="19"/>
    </row>
    <row r="22" spans="1:14">
      <c r="A22" s="28">
        <v>19</v>
      </c>
      <c r="B22" s="29">
        <v>45857</v>
      </c>
      <c r="C22" s="19"/>
      <c r="D22" s="19"/>
      <c r="E22" s="19">
        <v>0</v>
      </c>
      <c r="F22" s="19">
        <v>0</v>
      </c>
      <c r="G22" s="19">
        <f t="shared" si="0"/>
        <v>0</v>
      </c>
      <c r="H22" s="19"/>
      <c r="I22" s="19"/>
      <c r="J22" s="19">
        <f t="shared" si="1"/>
        <v>0</v>
      </c>
      <c r="K22" s="19">
        <f t="shared" si="2"/>
        <v>0</v>
      </c>
      <c r="L22" s="19"/>
      <c r="M22" s="151">
        <f t="shared" si="3"/>
        <v>2444102.6914000004</v>
      </c>
      <c r="N22" s="19"/>
    </row>
    <row r="23" spans="1:14">
      <c r="A23" s="28">
        <v>20</v>
      </c>
      <c r="B23" s="29">
        <v>45858</v>
      </c>
      <c r="C23" s="19"/>
      <c r="D23" s="19"/>
      <c r="E23" s="61">
        <v>1918.96</v>
      </c>
      <c r="F23" s="19">
        <v>96.43</v>
      </c>
      <c r="G23" s="19">
        <f t="shared" si="0"/>
        <v>185045.31280000001</v>
      </c>
      <c r="H23" s="19"/>
      <c r="I23" s="19"/>
      <c r="J23" s="19">
        <f t="shared" si="1"/>
        <v>0</v>
      </c>
      <c r="K23" s="19">
        <f t="shared" si="2"/>
        <v>185045.31280000001</v>
      </c>
      <c r="L23" s="19"/>
      <c r="M23" s="151">
        <f t="shared" si="3"/>
        <v>2629148.0042000003</v>
      </c>
      <c r="N23" s="19"/>
    </row>
    <row r="24" spans="1:14">
      <c r="A24" s="28">
        <v>21</v>
      </c>
      <c r="B24" s="29">
        <v>45859</v>
      </c>
      <c r="C24" s="19"/>
      <c r="D24" s="19"/>
      <c r="E24" s="19">
        <v>1500.12</v>
      </c>
      <c r="F24" s="19">
        <v>96.43</v>
      </c>
      <c r="G24" s="19">
        <f t="shared" si="0"/>
        <v>144656.5716</v>
      </c>
      <c r="H24" s="19"/>
      <c r="I24" s="19"/>
      <c r="J24" s="19">
        <f t="shared" si="1"/>
        <v>0</v>
      </c>
      <c r="K24" s="19">
        <f t="shared" si="2"/>
        <v>144656.5716</v>
      </c>
      <c r="L24" s="19"/>
      <c r="M24" s="151">
        <f t="shared" si="3"/>
        <v>2773804.5758000002</v>
      </c>
      <c r="N24" s="19"/>
    </row>
    <row r="25" spans="1:14">
      <c r="A25" s="28">
        <v>22</v>
      </c>
      <c r="B25" s="29">
        <v>45860</v>
      </c>
      <c r="C25" s="19"/>
      <c r="D25" s="19"/>
      <c r="E25" s="19">
        <v>2300</v>
      </c>
      <c r="F25" s="19">
        <v>96.43</v>
      </c>
      <c r="G25" s="19">
        <f t="shared" si="0"/>
        <v>221789.00000000003</v>
      </c>
      <c r="H25" s="19"/>
      <c r="I25" s="19"/>
      <c r="J25" s="19">
        <f t="shared" si="1"/>
        <v>0</v>
      </c>
      <c r="K25" s="19">
        <f t="shared" si="2"/>
        <v>221789.00000000003</v>
      </c>
      <c r="L25" s="19"/>
      <c r="M25" s="151">
        <f t="shared" si="3"/>
        <v>2995593.5758000002</v>
      </c>
      <c r="N25" s="19"/>
    </row>
    <row r="26" spans="1:14">
      <c r="A26" s="28">
        <v>23</v>
      </c>
      <c r="B26" s="29">
        <v>45861</v>
      </c>
      <c r="C26" s="19"/>
      <c r="D26" s="19"/>
      <c r="E26" s="19">
        <v>2000</v>
      </c>
      <c r="F26" s="19">
        <v>96.43</v>
      </c>
      <c r="G26" s="19">
        <f t="shared" si="0"/>
        <v>192860</v>
      </c>
      <c r="H26" s="19"/>
      <c r="I26" s="19"/>
      <c r="J26" s="19">
        <f t="shared" si="1"/>
        <v>0</v>
      </c>
      <c r="K26" s="19">
        <f t="shared" si="2"/>
        <v>192860</v>
      </c>
      <c r="L26" s="19"/>
      <c r="M26" s="151">
        <f t="shared" si="3"/>
        <v>3188453.5758000002</v>
      </c>
      <c r="N26" s="19"/>
    </row>
    <row r="27" spans="1:14">
      <c r="A27" s="28">
        <v>24</v>
      </c>
      <c r="B27" s="29">
        <v>45862</v>
      </c>
      <c r="C27" s="19"/>
      <c r="D27" s="19"/>
      <c r="E27" s="19">
        <v>1000</v>
      </c>
      <c r="F27" s="19">
        <v>96.43</v>
      </c>
      <c r="G27" s="19">
        <f t="shared" si="0"/>
        <v>96430</v>
      </c>
      <c r="H27" s="19"/>
      <c r="I27" s="19"/>
      <c r="J27" s="19">
        <f t="shared" si="1"/>
        <v>0</v>
      </c>
      <c r="K27" s="19">
        <f t="shared" si="2"/>
        <v>96430</v>
      </c>
      <c r="L27" s="19"/>
      <c r="M27" s="151">
        <f t="shared" si="3"/>
        <v>3284883.5758000002</v>
      </c>
      <c r="N27" s="19"/>
    </row>
    <row r="28" spans="1:14">
      <c r="A28" s="28">
        <v>25</v>
      </c>
      <c r="B28" s="29">
        <v>45863</v>
      </c>
      <c r="C28" s="19"/>
      <c r="D28" s="19"/>
      <c r="E28" s="19">
        <v>1200</v>
      </c>
      <c r="F28" s="19">
        <v>96.43</v>
      </c>
      <c r="G28" s="19">
        <f t="shared" si="0"/>
        <v>115716.00000000001</v>
      </c>
      <c r="H28" s="19"/>
      <c r="I28" s="19"/>
      <c r="J28" s="19">
        <f t="shared" si="1"/>
        <v>0</v>
      </c>
      <c r="K28" s="19">
        <f t="shared" si="2"/>
        <v>115716.00000000001</v>
      </c>
      <c r="L28" s="19"/>
      <c r="M28" s="151">
        <f t="shared" si="3"/>
        <v>3400599.5758000002</v>
      </c>
      <c r="N28" s="19"/>
    </row>
    <row r="29" spans="1:14">
      <c r="A29" s="28">
        <v>26</v>
      </c>
      <c r="B29" s="29">
        <v>45864</v>
      </c>
      <c r="C29" s="19"/>
      <c r="D29" s="19"/>
      <c r="E29" s="19">
        <v>0</v>
      </c>
      <c r="F29" s="19">
        <v>0</v>
      </c>
      <c r="G29" s="19">
        <f t="shared" si="0"/>
        <v>0</v>
      </c>
      <c r="H29" s="19"/>
      <c r="I29" s="19"/>
      <c r="J29" s="19">
        <f t="shared" si="1"/>
        <v>0</v>
      </c>
      <c r="K29" s="19">
        <f t="shared" si="2"/>
        <v>0</v>
      </c>
      <c r="L29" s="19">
        <v>1500000</v>
      </c>
      <c r="M29" s="151">
        <f t="shared" si="3"/>
        <v>1900599.5758000002</v>
      </c>
      <c r="N29" s="19"/>
    </row>
    <row r="30" spans="1:14">
      <c r="A30" s="28">
        <v>27</v>
      </c>
      <c r="B30" s="29">
        <v>45865</v>
      </c>
      <c r="C30" s="19"/>
      <c r="D30" s="19"/>
      <c r="E30" s="19">
        <v>0</v>
      </c>
      <c r="F30" s="19">
        <v>0</v>
      </c>
      <c r="G30" s="19">
        <f t="shared" si="0"/>
        <v>0</v>
      </c>
      <c r="H30" s="19"/>
      <c r="I30" s="19"/>
      <c r="J30" s="19">
        <f t="shared" si="1"/>
        <v>0</v>
      </c>
      <c r="K30" s="19">
        <f t="shared" si="2"/>
        <v>0</v>
      </c>
      <c r="L30" s="19"/>
      <c r="M30" s="151">
        <f t="shared" si="3"/>
        <v>1900599.5758000002</v>
      </c>
      <c r="N30" s="19"/>
    </row>
    <row r="31" spans="1:14">
      <c r="A31" s="28">
        <v>28</v>
      </c>
      <c r="B31" s="29">
        <v>45866</v>
      </c>
      <c r="C31" s="19"/>
      <c r="D31" s="19"/>
      <c r="E31" s="19">
        <v>0</v>
      </c>
      <c r="F31" s="19">
        <v>0</v>
      </c>
      <c r="G31" s="19">
        <f t="shared" si="0"/>
        <v>0</v>
      </c>
      <c r="H31" s="19"/>
      <c r="I31" s="19"/>
      <c r="J31" s="19">
        <f t="shared" si="1"/>
        <v>0</v>
      </c>
      <c r="K31" s="19">
        <f t="shared" si="2"/>
        <v>0</v>
      </c>
      <c r="L31" s="19"/>
      <c r="M31" s="151">
        <f t="shared" si="3"/>
        <v>1900599.5758000002</v>
      </c>
      <c r="N31" s="19"/>
    </row>
    <row r="32" spans="1:14">
      <c r="A32" s="28">
        <v>29</v>
      </c>
      <c r="B32" s="29">
        <v>45867</v>
      </c>
      <c r="C32" s="19"/>
      <c r="D32" s="19"/>
      <c r="E32" s="19">
        <v>0</v>
      </c>
      <c r="F32" s="19">
        <v>0</v>
      </c>
      <c r="G32" s="19">
        <f t="shared" si="0"/>
        <v>0</v>
      </c>
      <c r="H32" s="19"/>
      <c r="I32" s="19"/>
      <c r="J32" s="19">
        <f t="shared" si="1"/>
        <v>0</v>
      </c>
      <c r="K32" s="19">
        <f t="shared" si="2"/>
        <v>0</v>
      </c>
      <c r="L32" s="19"/>
      <c r="M32" s="151">
        <f t="shared" si="3"/>
        <v>1900599.5758000002</v>
      </c>
      <c r="N32" s="19"/>
    </row>
    <row r="33" spans="1:17">
      <c r="A33" s="28">
        <v>30</v>
      </c>
      <c r="B33" s="29">
        <v>45868</v>
      </c>
      <c r="C33" s="19"/>
      <c r="D33" s="19"/>
      <c r="E33" s="19">
        <v>0</v>
      </c>
      <c r="F33" s="19">
        <v>0</v>
      </c>
      <c r="G33" s="19">
        <f t="shared" si="0"/>
        <v>0</v>
      </c>
      <c r="H33" s="19"/>
      <c r="I33" s="19"/>
      <c r="J33" s="19">
        <f t="shared" si="1"/>
        <v>0</v>
      </c>
      <c r="K33" s="19">
        <f t="shared" si="2"/>
        <v>0</v>
      </c>
      <c r="L33" s="19"/>
      <c r="M33" s="151">
        <f t="shared" si="3"/>
        <v>1900599.5758000002</v>
      </c>
      <c r="N33" s="19"/>
    </row>
    <row r="34" spans="1:17">
      <c r="A34" s="28">
        <v>31</v>
      </c>
      <c r="B34" s="29">
        <v>45869</v>
      </c>
      <c r="C34" s="19"/>
      <c r="D34" s="19"/>
      <c r="E34" s="19"/>
      <c r="F34" s="19"/>
      <c r="G34" s="19">
        <f t="shared" si="0"/>
        <v>0</v>
      </c>
      <c r="H34" s="19"/>
      <c r="I34" s="19"/>
      <c r="J34" s="19">
        <f t="shared" si="1"/>
        <v>0</v>
      </c>
      <c r="K34" s="19">
        <f t="shared" si="2"/>
        <v>0</v>
      </c>
      <c r="L34" s="19">
        <v>500000</v>
      </c>
      <c r="M34" s="151">
        <f t="shared" si="3"/>
        <v>1400599.5758000002</v>
      </c>
      <c r="N34" s="19"/>
      <c r="O34">
        <v>1688453.58</v>
      </c>
      <c r="P34">
        <v>1900671</v>
      </c>
      <c r="Q34">
        <f>P34-O34</f>
        <v>212217.41999999993</v>
      </c>
    </row>
    <row r="35" spans="1:17">
      <c r="A35" s="51"/>
      <c r="B35" s="51"/>
      <c r="C35" s="51"/>
      <c r="D35" s="51"/>
      <c r="E35" s="227">
        <f>SUM(E4:E34)</f>
        <v>51757.47</v>
      </c>
      <c r="F35" s="52"/>
      <c r="G35" s="227">
        <f>SUM(G4:G34)</f>
        <v>4990972.8321000002</v>
      </c>
      <c r="H35" s="227">
        <f>SUM(H4:H34)</f>
        <v>0</v>
      </c>
      <c r="I35" s="52"/>
      <c r="J35" s="227">
        <f>SUM(J4:J34)</f>
        <v>0</v>
      </c>
      <c r="K35" s="227">
        <f>SUM(K4:K34)</f>
        <v>4990972.8321000002</v>
      </c>
      <c r="L35" s="227">
        <f>SUM(L4:L34)</f>
        <v>4800000</v>
      </c>
      <c r="M35" s="52"/>
      <c r="N35" s="52"/>
      <c r="O35" s="35"/>
    </row>
  </sheetData>
  <mergeCells count="2">
    <mergeCell ref="A1:N1"/>
    <mergeCell ref="A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6F5E-9E9B-42D1-AB84-1EC3DDAE3F46}">
  <dimension ref="A1:P41"/>
  <sheetViews>
    <sheetView topLeftCell="A17" workbookViewId="0">
      <selection activeCell="M19" sqref="M19"/>
    </sheetView>
  </sheetViews>
  <sheetFormatPr defaultColWidth="10.5703125" defaultRowHeight="15" customHeight="1"/>
  <cols>
    <col min="3" max="3" width="12.85546875" customWidth="1"/>
    <col min="4" max="4" width="10.85546875" customWidth="1"/>
    <col min="5" max="6" width="10.5703125" style="24"/>
    <col min="7" max="7" width="12.85546875" style="24" customWidth="1"/>
    <col min="8" max="9" width="10.5703125" style="24"/>
    <col min="10" max="10" width="13.85546875" style="24" customWidth="1"/>
    <col min="11" max="11" width="13.5703125" style="24" customWidth="1"/>
    <col min="12" max="12" width="16.140625" style="24" customWidth="1"/>
    <col min="13" max="13" width="17.42578125" style="24" customWidth="1"/>
  </cols>
  <sheetData>
    <row r="1" spans="1:16" ht="15" customHeight="1">
      <c r="A1" s="426" t="s">
        <v>32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272"/>
    </row>
    <row r="2" spans="1:16" ht="26.25" customHeight="1">
      <c r="A2" s="116" t="s">
        <v>105</v>
      </c>
      <c r="B2" s="121" t="s">
        <v>106</v>
      </c>
      <c r="C2" s="121" t="s">
        <v>107</v>
      </c>
      <c r="D2" s="121" t="s">
        <v>108</v>
      </c>
      <c r="E2" s="282" t="s">
        <v>109</v>
      </c>
      <c r="F2" s="274" t="s">
        <v>110</v>
      </c>
      <c r="G2" s="274" t="s">
        <v>111</v>
      </c>
      <c r="H2" s="274" t="s">
        <v>112</v>
      </c>
      <c r="I2" s="274" t="s">
        <v>110</v>
      </c>
      <c r="J2" s="274" t="s">
        <v>111</v>
      </c>
      <c r="K2" s="274" t="s">
        <v>113</v>
      </c>
      <c r="L2" s="274" t="s">
        <v>114</v>
      </c>
      <c r="M2" s="274" t="s">
        <v>120</v>
      </c>
      <c r="N2" s="121" t="s">
        <v>116</v>
      </c>
    </row>
    <row r="3" spans="1:16" ht="15" customHeight="1">
      <c r="A3" s="427" t="s">
        <v>117</v>
      </c>
      <c r="B3" s="427"/>
      <c r="C3" s="427"/>
      <c r="D3" s="427"/>
      <c r="E3" s="427"/>
      <c r="F3" s="427"/>
      <c r="G3" s="427"/>
      <c r="H3" s="427"/>
      <c r="I3" s="427"/>
      <c r="J3" s="427"/>
      <c r="K3" s="275">
        <v>362536.80000000005</v>
      </c>
      <c r="L3" s="275"/>
      <c r="M3" s="253">
        <f>+K3</f>
        <v>362536.80000000005</v>
      </c>
      <c r="N3" s="107"/>
    </row>
    <row r="4" spans="1:16">
      <c r="A4" s="28">
        <v>1</v>
      </c>
      <c r="B4" s="29">
        <v>45839</v>
      </c>
      <c r="C4" s="19"/>
      <c r="D4" s="19"/>
      <c r="E4" s="335">
        <v>0</v>
      </c>
      <c r="F4" s="46">
        <v>0</v>
      </c>
      <c r="G4" s="46">
        <f>E4*F4</f>
        <v>0</v>
      </c>
      <c r="H4" s="46">
        <v>0</v>
      </c>
      <c r="I4" s="46">
        <v>0</v>
      </c>
      <c r="J4" s="46">
        <f>H4*I4</f>
        <v>0</v>
      </c>
      <c r="K4" s="46">
        <f>G4+J4</f>
        <v>0</v>
      </c>
      <c r="L4" s="46"/>
      <c r="M4" s="46">
        <f>M3+K4-L4</f>
        <v>362536.80000000005</v>
      </c>
      <c r="N4" s="19"/>
      <c r="P4" s="24"/>
    </row>
    <row r="5" spans="1:16">
      <c r="A5" s="28">
        <v>2</v>
      </c>
      <c r="B5" s="29">
        <v>45840</v>
      </c>
      <c r="C5" s="19"/>
      <c r="D5" s="19"/>
      <c r="E5" s="335">
        <v>0</v>
      </c>
      <c r="F5" s="46">
        <v>0</v>
      </c>
      <c r="G5" s="46">
        <f t="shared" ref="G5:G39" si="0">E5*F5</f>
        <v>0</v>
      </c>
      <c r="H5" s="46">
        <v>0</v>
      </c>
      <c r="I5" s="46">
        <v>0</v>
      </c>
      <c r="J5" s="46">
        <f t="shared" ref="J5:J39" si="1">H5*I5</f>
        <v>0</v>
      </c>
      <c r="K5" s="46">
        <f t="shared" ref="K5:K39" si="2">G5+J5</f>
        <v>0</v>
      </c>
      <c r="L5" s="46"/>
      <c r="M5" s="46">
        <f t="shared" ref="M5:M39" si="3">M4+K5-L5</f>
        <v>362536.80000000005</v>
      </c>
      <c r="N5" s="19"/>
    </row>
    <row r="6" spans="1:16">
      <c r="A6" s="28">
        <v>3</v>
      </c>
      <c r="B6" s="29">
        <v>45841</v>
      </c>
      <c r="C6" s="19"/>
      <c r="D6" s="19"/>
      <c r="E6" s="335">
        <v>0</v>
      </c>
      <c r="F6" s="46">
        <v>0</v>
      </c>
      <c r="G6" s="46">
        <f t="shared" si="0"/>
        <v>0</v>
      </c>
      <c r="H6" s="46">
        <v>0</v>
      </c>
      <c r="I6" s="46">
        <v>0</v>
      </c>
      <c r="J6" s="46">
        <f t="shared" si="1"/>
        <v>0</v>
      </c>
      <c r="K6" s="46">
        <f t="shared" si="2"/>
        <v>0</v>
      </c>
      <c r="L6" s="46"/>
      <c r="M6" s="46">
        <f t="shared" si="3"/>
        <v>362536.80000000005</v>
      </c>
      <c r="N6" s="19"/>
    </row>
    <row r="7" spans="1:16">
      <c r="A7" s="28"/>
      <c r="B7" s="29">
        <v>45842</v>
      </c>
      <c r="C7" s="19"/>
      <c r="D7" s="19"/>
      <c r="E7" s="335">
        <v>0</v>
      </c>
      <c r="F7" s="46">
        <v>0</v>
      </c>
      <c r="G7" s="46">
        <f t="shared" si="0"/>
        <v>0</v>
      </c>
      <c r="H7" s="46">
        <v>0</v>
      </c>
      <c r="I7" s="46">
        <v>0</v>
      </c>
      <c r="J7" s="46">
        <f t="shared" si="1"/>
        <v>0</v>
      </c>
      <c r="K7" s="46">
        <f t="shared" si="2"/>
        <v>0</v>
      </c>
      <c r="L7" s="46"/>
      <c r="M7" s="46">
        <f t="shared" si="3"/>
        <v>362536.80000000005</v>
      </c>
      <c r="N7" s="19"/>
    </row>
    <row r="8" spans="1:16">
      <c r="A8" s="28">
        <v>4</v>
      </c>
      <c r="B8" s="29">
        <v>45843</v>
      </c>
      <c r="C8" s="19"/>
      <c r="D8" s="19"/>
      <c r="E8" s="335">
        <v>0</v>
      </c>
      <c r="F8" s="46">
        <v>0</v>
      </c>
      <c r="G8" s="46">
        <f t="shared" si="0"/>
        <v>0</v>
      </c>
      <c r="H8" s="46">
        <v>0</v>
      </c>
      <c r="I8" s="46">
        <v>0</v>
      </c>
      <c r="J8" s="46">
        <f t="shared" si="1"/>
        <v>0</v>
      </c>
      <c r="K8" s="46">
        <f t="shared" si="2"/>
        <v>0</v>
      </c>
      <c r="L8" s="46"/>
      <c r="M8" s="46">
        <f t="shared" si="3"/>
        <v>362536.80000000005</v>
      </c>
      <c r="N8" s="19"/>
    </row>
    <row r="9" spans="1:16">
      <c r="A9" s="28">
        <v>5</v>
      </c>
      <c r="B9" s="29">
        <v>45844</v>
      </c>
      <c r="C9" s="19"/>
      <c r="D9" s="19"/>
      <c r="E9" s="335">
        <v>0</v>
      </c>
      <c r="F9" s="46">
        <v>0</v>
      </c>
      <c r="G9" s="46">
        <f t="shared" si="0"/>
        <v>0</v>
      </c>
      <c r="H9" s="46">
        <v>0</v>
      </c>
      <c r="I9" s="46">
        <v>0</v>
      </c>
      <c r="J9" s="46">
        <f t="shared" si="1"/>
        <v>0</v>
      </c>
      <c r="K9" s="46">
        <f t="shared" si="2"/>
        <v>0</v>
      </c>
      <c r="L9" s="46"/>
      <c r="M9" s="46">
        <f t="shared" si="3"/>
        <v>362536.80000000005</v>
      </c>
      <c r="N9" s="19"/>
    </row>
    <row r="10" spans="1:16">
      <c r="A10" s="28">
        <v>6</v>
      </c>
      <c r="B10" s="29">
        <v>45845</v>
      </c>
      <c r="C10" s="19"/>
      <c r="D10" s="19"/>
      <c r="E10" s="335">
        <v>0</v>
      </c>
      <c r="F10" s="46">
        <v>0</v>
      </c>
      <c r="G10" s="46">
        <f t="shared" si="0"/>
        <v>0</v>
      </c>
      <c r="H10" s="46">
        <v>0</v>
      </c>
      <c r="I10" s="46">
        <v>0</v>
      </c>
      <c r="J10" s="46">
        <f t="shared" si="1"/>
        <v>0</v>
      </c>
      <c r="K10" s="46">
        <f t="shared" si="2"/>
        <v>0</v>
      </c>
      <c r="L10" s="46"/>
      <c r="M10" s="46">
        <f t="shared" si="3"/>
        <v>362536.80000000005</v>
      </c>
      <c r="N10" s="19"/>
    </row>
    <row r="11" spans="1:16">
      <c r="A11" s="28">
        <v>7</v>
      </c>
      <c r="B11" s="29">
        <v>45846</v>
      </c>
      <c r="C11" s="19"/>
      <c r="D11" s="19"/>
      <c r="E11" s="335">
        <v>0</v>
      </c>
      <c r="F11" s="46">
        <v>0</v>
      </c>
      <c r="G11" s="46">
        <f t="shared" si="0"/>
        <v>0</v>
      </c>
      <c r="H11" s="46">
        <v>20</v>
      </c>
      <c r="I11" s="46">
        <v>0</v>
      </c>
      <c r="J11" s="46">
        <f t="shared" si="1"/>
        <v>0</v>
      </c>
      <c r="K11" s="46">
        <f t="shared" si="2"/>
        <v>0</v>
      </c>
      <c r="L11" s="46"/>
      <c r="M11" s="46">
        <f t="shared" si="3"/>
        <v>362536.80000000005</v>
      </c>
      <c r="N11" s="19"/>
    </row>
    <row r="12" spans="1:16">
      <c r="A12" s="28">
        <v>8</v>
      </c>
      <c r="B12" s="29">
        <v>45847</v>
      </c>
      <c r="C12" s="19"/>
      <c r="D12" s="19"/>
      <c r="E12" s="335">
        <v>0</v>
      </c>
      <c r="F12" s="46">
        <v>0</v>
      </c>
      <c r="G12" s="46">
        <f t="shared" si="0"/>
        <v>0</v>
      </c>
      <c r="H12" s="46">
        <v>0</v>
      </c>
      <c r="I12" s="46">
        <v>0</v>
      </c>
      <c r="J12" s="46">
        <f t="shared" si="1"/>
        <v>0</v>
      </c>
      <c r="K12" s="46">
        <f t="shared" si="2"/>
        <v>0</v>
      </c>
      <c r="L12" s="46"/>
      <c r="M12" s="46">
        <f t="shared" si="3"/>
        <v>362536.80000000005</v>
      </c>
      <c r="N12" s="19"/>
      <c r="P12" s="24"/>
    </row>
    <row r="13" spans="1:16">
      <c r="A13" s="28">
        <v>9</v>
      </c>
      <c r="B13" s="29">
        <v>45848</v>
      </c>
      <c r="C13" s="19"/>
      <c r="D13" s="19"/>
      <c r="E13" s="335">
        <v>0</v>
      </c>
      <c r="F13" s="46">
        <v>0</v>
      </c>
      <c r="G13" s="46">
        <f t="shared" si="0"/>
        <v>0</v>
      </c>
      <c r="H13" s="46">
        <v>0</v>
      </c>
      <c r="I13" s="46">
        <v>0</v>
      </c>
      <c r="J13" s="46">
        <f t="shared" si="1"/>
        <v>0</v>
      </c>
      <c r="K13" s="46">
        <f t="shared" si="2"/>
        <v>0</v>
      </c>
      <c r="L13" s="46"/>
      <c r="M13" s="46">
        <f t="shared" si="3"/>
        <v>362536.80000000005</v>
      </c>
      <c r="N13" s="19"/>
    </row>
    <row r="14" spans="1:16">
      <c r="A14" s="28">
        <v>10</v>
      </c>
      <c r="B14" s="29">
        <v>45849</v>
      </c>
      <c r="C14" s="19"/>
      <c r="D14" s="19"/>
      <c r="E14" s="335">
        <v>0</v>
      </c>
      <c r="F14" s="46">
        <v>0</v>
      </c>
      <c r="G14" s="46">
        <f t="shared" si="0"/>
        <v>0</v>
      </c>
      <c r="H14" s="46">
        <v>0</v>
      </c>
      <c r="I14" s="46">
        <v>0</v>
      </c>
      <c r="J14" s="46">
        <f t="shared" si="1"/>
        <v>0</v>
      </c>
      <c r="K14" s="46">
        <f t="shared" si="2"/>
        <v>0</v>
      </c>
      <c r="L14" s="46"/>
      <c r="M14" s="46">
        <f t="shared" si="3"/>
        <v>362536.80000000005</v>
      </c>
      <c r="N14" s="19"/>
    </row>
    <row r="15" spans="1:16">
      <c r="A15" s="28">
        <v>11</v>
      </c>
      <c r="B15" s="29">
        <v>45850</v>
      </c>
      <c r="C15" s="19"/>
      <c r="D15" s="19"/>
      <c r="E15" s="335">
        <v>0</v>
      </c>
      <c r="F15" s="46">
        <v>0</v>
      </c>
      <c r="G15" s="46">
        <f t="shared" si="0"/>
        <v>0</v>
      </c>
      <c r="H15" s="46">
        <v>20</v>
      </c>
      <c r="I15" s="46">
        <v>0</v>
      </c>
      <c r="J15" s="46">
        <f t="shared" si="1"/>
        <v>0</v>
      </c>
      <c r="K15" s="46">
        <f t="shared" si="2"/>
        <v>0</v>
      </c>
      <c r="L15" s="46"/>
      <c r="M15" s="46">
        <f t="shared" si="3"/>
        <v>362536.80000000005</v>
      </c>
      <c r="N15" s="19"/>
    </row>
    <row r="16" spans="1:16">
      <c r="A16" s="28">
        <v>12</v>
      </c>
      <c r="B16" s="29">
        <v>45851</v>
      </c>
      <c r="C16" s="19"/>
      <c r="D16" s="19"/>
      <c r="E16" s="335">
        <v>0</v>
      </c>
      <c r="F16" s="46">
        <v>0</v>
      </c>
      <c r="G16" s="46">
        <f t="shared" si="0"/>
        <v>0</v>
      </c>
      <c r="H16" s="46">
        <v>0</v>
      </c>
      <c r="I16" s="46">
        <v>0</v>
      </c>
      <c r="J16" s="46">
        <f t="shared" si="1"/>
        <v>0</v>
      </c>
      <c r="K16" s="46">
        <f t="shared" si="2"/>
        <v>0</v>
      </c>
      <c r="L16" s="46"/>
      <c r="M16" s="46">
        <f t="shared" si="3"/>
        <v>362536.80000000005</v>
      </c>
      <c r="N16" s="19"/>
    </row>
    <row r="17" spans="1:14">
      <c r="A17" s="28">
        <v>13</v>
      </c>
      <c r="B17" s="29">
        <v>45852</v>
      </c>
      <c r="C17" s="19"/>
      <c r="D17" s="19"/>
      <c r="E17" s="335">
        <v>0</v>
      </c>
      <c r="F17" s="46">
        <v>0</v>
      </c>
      <c r="G17" s="46">
        <f t="shared" si="0"/>
        <v>0</v>
      </c>
      <c r="H17" s="46">
        <v>0</v>
      </c>
      <c r="I17" s="46">
        <v>0</v>
      </c>
      <c r="J17" s="46">
        <f t="shared" si="1"/>
        <v>0</v>
      </c>
      <c r="K17" s="46">
        <f t="shared" si="2"/>
        <v>0</v>
      </c>
      <c r="L17" s="46"/>
      <c r="M17" s="46">
        <f t="shared" si="3"/>
        <v>362536.80000000005</v>
      </c>
      <c r="N17" s="19"/>
    </row>
    <row r="18" spans="1:14">
      <c r="A18" s="28">
        <v>14</v>
      </c>
      <c r="B18" s="29">
        <v>45853</v>
      </c>
      <c r="C18" s="19"/>
      <c r="D18" s="19"/>
      <c r="E18" s="335">
        <v>0</v>
      </c>
      <c r="F18" s="46">
        <v>0</v>
      </c>
      <c r="G18" s="46">
        <f t="shared" si="0"/>
        <v>0</v>
      </c>
      <c r="H18" s="46">
        <v>0</v>
      </c>
      <c r="I18" s="46">
        <v>0</v>
      </c>
      <c r="J18" s="46">
        <f t="shared" si="1"/>
        <v>0</v>
      </c>
      <c r="K18" s="46">
        <f t="shared" si="2"/>
        <v>0</v>
      </c>
      <c r="L18" s="394">
        <v>362532</v>
      </c>
      <c r="M18" s="46">
        <f t="shared" si="3"/>
        <v>4.8000000000465661</v>
      </c>
      <c r="N18" s="19"/>
    </row>
    <row r="19" spans="1:14">
      <c r="A19" s="28">
        <v>15</v>
      </c>
      <c r="B19" s="29">
        <v>45854</v>
      </c>
      <c r="C19" s="19"/>
      <c r="D19" s="19"/>
      <c r="E19" s="335">
        <v>0</v>
      </c>
      <c r="F19" s="46">
        <v>0</v>
      </c>
      <c r="G19" s="46">
        <f t="shared" si="0"/>
        <v>0</v>
      </c>
      <c r="H19" s="46">
        <v>20</v>
      </c>
      <c r="I19" s="46">
        <v>0</v>
      </c>
      <c r="J19" s="46">
        <f t="shared" si="1"/>
        <v>0</v>
      </c>
      <c r="K19" s="46">
        <f t="shared" si="2"/>
        <v>0</v>
      </c>
      <c r="L19" s="46">
        <v>4.8</v>
      </c>
      <c r="M19" s="46">
        <f t="shared" si="3"/>
        <v>4.6566306366457866E-11</v>
      </c>
      <c r="N19" s="19"/>
    </row>
    <row r="20" spans="1:14">
      <c r="A20" s="28">
        <v>16</v>
      </c>
      <c r="B20" s="29">
        <v>45855</v>
      </c>
      <c r="C20" s="19"/>
      <c r="D20" s="19"/>
      <c r="E20" s="335">
        <v>0</v>
      </c>
      <c r="F20" s="46">
        <v>0</v>
      </c>
      <c r="G20" s="46">
        <f t="shared" si="0"/>
        <v>0</v>
      </c>
      <c r="H20" s="46">
        <v>0</v>
      </c>
      <c r="I20" s="46">
        <v>0</v>
      </c>
      <c r="J20" s="46">
        <f t="shared" si="1"/>
        <v>0</v>
      </c>
      <c r="K20" s="46">
        <f t="shared" si="2"/>
        <v>0</v>
      </c>
      <c r="L20" s="46"/>
      <c r="M20" s="46">
        <f t="shared" si="3"/>
        <v>4.6566306366457866E-11</v>
      </c>
      <c r="N20" s="19"/>
    </row>
    <row r="21" spans="1:14">
      <c r="A21" s="28">
        <v>17</v>
      </c>
      <c r="B21" s="29">
        <v>45856</v>
      </c>
      <c r="C21" s="19"/>
      <c r="D21" s="19"/>
      <c r="E21" s="335">
        <v>0</v>
      </c>
      <c r="F21" s="46">
        <v>0</v>
      </c>
      <c r="G21" s="46">
        <f t="shared" si="0"/>
        <v>0</v>
      </c>
      <c r="H21" s="46">
        <v>0</v>
      </c>
      <c r="I21" s="46">
        <v>0</v>
      </c>
      <c r="J21" s="46">
        <f t="shared" si="1"/>
        <v>0</v>
      </c>
      <c r="K21" s="46">
        <f t="shared" si="2"/>
        <v>0</v>
      </c>
      <c r="L21" s="46"/>
      <c r="M21" s="46">
        <f t="shared" si="3"/>
        <v>4.6566306366457866E-11</v>
      </c>
      <c r="N21" s="19"/>
    </row>
    <row r="22" spans="1:14">
      <c r="A22" s="28">
        <v>18</v>
      </c>
      <c r="B22" s="29">
        <v>45857</v>
      </c>
      <c r="C22" s="19"/>
      <c r="D22" s="19"/>
      <c r="E22" s="335">
        <v>0</v>
      </c>
      <c r="F22" s="46">
        <v>0</v>
      </c>
      <c r="G22" s="46">
        <f t="shared" si="0"/>
        <v>0</v>
      </c>
      <c r="H22" s="46">
        <v>20</v>
      </c>
      <c r="I22" s="46">
        <v>0</v>
      </c>
      <c r="J22" s="46">
        <f t="shared" si="1"/>
        <v>0</v>
      </c>
      <c r="K22" s="46">
        <f t="shared" si="2"/>
        <v>0</v>
      </c>
      <c r="L22" s="46"/>
      <c r="M22" s="46">
        <f t="shared" si="3"/>
        <v>4.6566306366457866E-11</v>
      </c>
      <c r="N22" s="19"/>
    </row>
    <row r="23" spans="1:14">
      <c r="A23" s="28">
        <v>19</v>
      </c>
      <c r="B23" s="29">
        <v>45858</v>
      </c>
      <c r="C23" s="19"/>
      <c r="D23" s="19"/>
      <c r="E23" s="335">
        <v>0</v>
      </c>
      <c r="F23" s="46">
        <v>0</v>
      </c>
      <c r="G23" s="46">
        <f t="shared" si="0"/>
        <v>0</v>
      </c>
      <c r="H23" s="46">
        <v>0</v>
      </c>
      <c r="I23" s="46">
        <v>0</v>
      </c>
      <c r="J23" s="46">
        <f t="shared" si="1"/>
        <v>0</v>
      </c>
      <c r="K23" s="46">
        <f t="shared" si="2"/>
        <v>0</v>
      </c>
      <c r="L23" s="46"/>
      <c r="M23" s="46">
        <f t="shared" si="3"/>
        <v>4.6566306366457866E-11</v>
      </c>
      <c r="N23" s="19"/>
    </row>
    <row r="24" spans="1:14">
      <c r="A24" s="28">
        <v>20</v>
      </c>
      <c r="B24" s="29">
        <v>45859</v>
      </c>
      <c r="C24" s="19"/>
      <c r="D24" s="19"/>
      <c r="E24" s="335">
        <v>0</v>
      </c>
      <c r="F24" s="46">
        <v>0</v>
      </c>
      <c r="G24" s="46">
        <f t="shared" si="0"/>
        <v>0</v>
      </c>
      <c r="H24" s="46">
        <v>20</v>
      </c>
      <c r="I24" s="46">
        <v>0</v>
      </c>
      <c r="J24" s="46">
        <f t="shared" si="1"/>
        <v>0</v>
      </c>
      <c r="K24" s="46">
        <f t="shared" si="2"/>
        <v>0</v>
      </c>
      <c r="L24" s="46"/>
      <c r="M24" s="46">
        <f t="shared" si="3"/>
        <v>4.6566306366457866E-11</v>
      </c>
      <c r="N24" s="19"/>
    </row>
    <row r="25" spans="1:14">
      <c r="A25" s="28">
        <v>21</v>
      </c>
      <c r="B25" s="29">
        <v>45860</v>
      </c>
      <c r="C25" s="19"/>
      <c r="D25" s="19"/>
      <c r="E25" s="335">
        <v>0</v>
      </c>
      <c r="F25" s="46">
        <v>0</v>
      </c>
      <c r="G25" s="46">
        <f t="shared" si="0"/>
        <v>0</v>
      </c>
      <c r="H25" s="46">
        <v>0</v>
      </c>
      <c r="I25" s="46">
        <v>0</v>
      </c>
      <c r="J25" s="46">
        <f t="shared" si="1"/>
        <v>0</v>
      </c>
      <c r="K25" s="46">
        <f t="shared" si="2"/>
        <v>0</v>
      </c>
      <c r="L25" s="46"/>
      <c r="M25" s="46">
        <f t="shared" si="3"/>
        <v>4.6566306366457866E-11</v>
      </c>
      <c r="N25" s="19"/>
    </row>
    <row r="26" spans="1:14">
      <c r="A26" s="28">
        <v>22</v>
      </c>
      <c r="B26" s="29">
        <v>45861</v>
      </c>
      <c r="C26" s="19"/>
      <c r="D26" s="19"/>
      <c r="E26" s="335">
        <v>0</v>
      </c>
      <c r="F26" s="46">
        <v>0</v>
      </c>
      <c r="G26" s="46">
        <f t="shared" si="0"/>
        <v>0</v>
      </c>
      <c r="H26" s="46">
        <v>0</v>
      </c>
      <c r="I26" s="46">
        <v>0</v>
      </c>
      <c r="J26" s="46">
        <f t="shared" si="1"/>
        <v>0</v>
      </c>
      <c r="K26" s="46">
        <f t="shared" si="2"/>
        <v>0</v>
      </c>
      <c r="L26" s="46"/>
      <c r="M26" s="46">
        <f t="shared" si="3"/>
        <v>4.6566306366457866E-11</v>
      </c>
      <c r="N26" s="19"/>
    </row>
    <row r="27" spans="1:14">
      <c r="A27" s="28">
        <v>23</v>
      </c>
      <c r="B27" s="29">
        <v>45862</v>
      </c>
      <c r="C27" s="19"/>
      <c r="D27" s="19"/>
      <c r="E27" s="335">
        <v>0</v>
      </c>
      <c r="F27" s="46">
        <v>0</v>
      </c>
      <c r="G27" s="46">
        <f t="shared" si="0"/>
        <v>0</v>
      </c>
      <c r="H27" s="46">
        <v>0</v>
      </c>
      <c r="I27" s="46">
        <v>0</v>
      </c>
      <c r="J27" s="46">
        <f t="shared" si="1"/>
        <v>0</v>
      </c>
      <c r="K27" s="46">
        <f t="shared" si="2"/>
        <v>0</v>
      </c>
      <c r="L27" s="46"/>
      <c r="M27" s="46">
        <f t="shared" si="3"/>
        <v>4.6566306366457866E-11</v>
      </c>
      <c r="N27" s="19"/>
    </row>
    <row r="28" spans="1:14">
      <c r="A28" s="28">
        <v>24</v>
      </c>
      <c r="B28" s="29">
        <v>45863</v>
      </c>
      <c r="C28" s="19"/>
      <c r="D28" s="19"/>
      <c r="E28" s="335">
        <v>0</v>
      </c>
      <c r="F28" s="46">
        <v>0</v>
      </c>
      <c r="G28" s="46">
        <f t="shared" si="0"/>
        <v>0</v>
      </c>
      <c r="H28" s="46">
        <v>0</v>
      </c>
      <c r="I28" s="46">
        <v>0</v>
      </c>
      <c r="J28" s="46">
        <f t="shared" si="1"/>
        <v>0</v>
      </c>
      <c r="K28" s="46">
        <f t="shared" si="2"/>
        <v>0</v>
      </c>
      <c r="L28" s="46"/>
      <c r="M28" s="46">
        <f t="shared" si="3"/>
        <v>4.6566306366457866E-11</v>
      </c>
      <c r="N28" s="19"/>
    </row>
    <row r="29" spans="1:14">
      <c r="A29" s="28">
        <v>25</v>
      </c>
      <c r="B29" s="29">
        <v>45864</v>
      </c>
      <c r="C29" s="19"/>
      <c r="D29" s="19"/>
      <c r="E29" s="335">
        <v>0</v>
      </c>
      <c r="F29" s="46">
        <v>0</v>
      </c>
      <c r="G29" s="46">
        <f t="shared" si="0"/>
        <v>0</v>
      </c>
      <c r="H29" s="46">
        <v>0</v>
      </c>
      <c r="I29" s="46">
        <v>0</v>
      </c>
      <c r="J29" s="46">
        <f t="shared" si="1"/>
        <v>0</v>
      </c>
      <c r="K29" s="46">
        <f t="shared" si="2"/>
        <v>0</v>
      </c>
      <c r="L29" s="46"/>
      <c r="M29" s="46">
        <f t="shared" si="3"/>
        <v>4.6566306366457866E-11</v>
      </c>
      <c r="N29" s="19"/>
    </row>
    <row r="30" spans="1:14">
      <c r="A30" s="28">
        <v>26</v>
      </c>
      <c r="B30" s="29">
        <v>45865</v>
      </c>
      <c r="C30" s="19"/>
      <c r="D30" s="19"/>
      <c r="E30" s="335">
        <v>0</v>
      </c>
      <c r="F30" s="46">
        <v>0</v>
      </c>
      <c r="G30" s="46">
        <f t="shared" si="0"/>
        <v>0</v>
      </c>
      <c r="H30" s="46">
        <v>0</v>
      </c>
      <c r="I30" s="46">
        <v>0</v>
      </c>
      <c r="J30" s="46">
        <f t="shared" si="1"/>
        <v>0</v>
      </c>
      <c r="K30" s="46">
        <f t="shared" si="2"/>
        <v>0</v>
      </c>
      <c r="L30" s="46"/>
      <c r="M30" s="46">
        <f t="shared" si="3"/>
        <v>4.6566306366457866E-11</v>
      </c>
      <c r="N30" s="19"/>
    </row>
    <row r="31" spans="1:14">
      <c r="A31" s="28">
        <v>27</v>
      </c>
      <c r="B31" s="29">
        <v>45866</v>
      </c>
      <c r="C31" s="19"/>
      <c r="D31" s="19"/>
      <c r="E31" s="335">
        <v>0</v>
      </c>
      <c r="F31" s="46">
        <v>0</v>
      </c>
      <c r="G31" s="46">
        <f t="shared" si="0"/>
        <v>0</v>
      </c>
      <c r="H31" s="46">
        <v>0</v>
      </c>
      <c r="I31" s="46">
        <v>0</v>
      </c>
      <c r="J31" s="46">
        <f t="shared" si="1"/>
        <v>0</v>
      </c>
      <c r="K31" s="46">
        <f t="shared" si="2"/>
        <v>0</v>
      </c>
      <c r="L31" s="46"/>
      <c r="M31" s="46">
        <f t="shared" si="3"/>
        <v>4.6566306366457866E-11</v>
      </c>
      <c r="N31" s="19"/>
    </row>
    <row r="32" spans="1:14">
      <c r="A32" s="28">
        <v>28</v>
      </c>
      <c r="B32" s="29">
        <v>45867</v>
      </c>
      <c r="C32" s="19"/>
      <c r="D32" s="19"/>
      <c r="E32" s="335">
        <v>0</v>
      </c>
      <c r="F32" s="46">
        <v>0</v>
      </c>
      <c r="G32" s="46">
        <f t="shared" si="0"/>
        <v>0</v>
      </c>
      <c r="H32" s="46">
        <v>20</v>
      </c>
      <c r="I32" s="46">
        <v>0</v>
      </c>
      <c r="J32" s="46">
        <f t="shared" si="1"/>
        <v>0</v>
      </c>
      <c r="K32" s="46">
        <f t="shared" si="2"/>
        <v>0</v>
      </c>
      <c r="L32" s="46"/>
      <c r="M32" s="46">
        <f t="shared" si="3"/>
        <v>4.6566306366457866E-11</v>
      </c>
      <c r="N32" s="19"/>
    </row>
    <row r="33" spans="1:14">
      <c r="A33" s="28">
        <v>29</v>
      </c>
      <c r="B33" s="29">
        <v>45868</v>
      </c>
      <c r="C33" s="19"/>
      <c r="D33" s="19"/>
      <c r="E33" s="335">
        <v>0</v>
      </c>
      <c r="F33" s="46">
        <v>0</v>
      </c>
      <c r="G33" s="46">
        <f t="shared" si="0"/>
        <v>0</v>
      </c>
      <c r="H33" s="46">
        <v>0</v>
      </c>
      <c r="I33" s="46">
        <v>0</v>
      </c>
      <c r="J33" s="46">
        <f t="shared" si="1"/>
        <v>0</v>
      </c>
      <c r="K33" s="46">
        <f t="shared" si="2"/>
        <v>0</v>
      </c>
      <c r="L33" s="46"/>
      <c r="M33" s="46">
        <f t="shared" si="3"/>
        <v>4.6566306366457866E-11</v>
      </c>
      <c r="N33" s="19"/>
    </row>
    <row r="34" spans="1:14">
      <c r="A34" s="28">
        <v>30</v>
      </c>
      <c r="B34" s="29">
        <v>45869</v>
      </c>
      <c r="C34" s="19"/>
      <c r="D34" s="19"/>
      <c r="E34" s="335">
        <v>0</v>
      </c>
      <c r="F34" s="46">
        <v>0</v>
      </c>
      <c r="G34" s="46">
        <f t="shared" si="0"/>
        <v>0</v>
      </c>
      <c r="H34" s="46">
        <v>0</v>
      </c>
      <c r="I34" s="46">
        <v>0</v>
      </c>
      <c r="J34" s="46">
        <f t="shared" si="1"/>
        <v>0</v>
      </c>
      <c r="K34" s="46">
        <f t="shared" si="2"/>
        <v>0</v>
      </c>
      <c r="L34" s="46"/>
      <c r="M34" s="46">
        <f t="shared" si="3"/>
        <v>4.6566306366457866E-11</v>
      </c>
      <c r="N34" s="19"/>
    </row>
    <row r="35" spans="1:14">
      <c r="A35" s="28">
        <v>31</v>
      </c>
      <c r="B35" s="29">
        <v>45870</v>
      </c>
      <c r="C35" s="19"/>
      <c r="D35" s="19"/>
      <c r="E35" s="335">
        <v>0</v>
      </c>
      <c r="F35" s="46">
        <v>0</v>
      </c>
      <c r="G35" s="46">
        <f t="shared" si="0"/>
        <v>0</v>
      </c>
      <c r="H35" s="46">
        <v>0</v>
      </c>
      <c r="I35" s="46">
        <v>0</v>
      </c>
      <c r="J35" s="46">
        <f t="shared" si="1"/>
        <v>0</v>
      </c>
      <c r="K35" s="46">
        <f t="shared" si="2"/>
        <v>0</v>
      </c>
      <c r="L35" s="46"/>
      <c r="M35" s="46">
        <f t="shared" si="3"/>
        <v>4.6566306366457866E-11</v>
      </c>
      <c r="N35" s="19"/>
    </row>
    <row r="36" spans="1:14">
      <c r="A36" s="28">
        <v>32</v>
      </c>
      <c r="B36" s="29">
        <v>45871</v>
      </c>
      <c r="C36" s="19"/>
      <c r="D36" s="19"/>
      <c r="E36" s="335">
        <v>0</v>
      </c>
      <c r="F36" s="46">
        <v>0</v>
      </c>
      <c r="G36" s="46">
        <f t="shared" si="0"/>
        <v>0</v>
      </c>
      <c r="H36" s="46">
        <v>0</v>
      </c>
      <c r="I36" s="46">
        <v>0</v>
      </c>
      <c r="J36" s="46">
        <f t="shared" si="1"/>
        <v>0</v>
      </c>
      <c r="K36" s="46">
        <f t="shared" si="2"/>
        <v>0</v>
      </c>
      <c r="L36" s="46"/>
      <c r="M36" s="46">
        <f t="shared" si="3"/>
        <v>4.6566306366457866E-11</v>
      </c>
      <c r="N36" s="19"/>
    </row>
    <row r="37" spans="1:14">
      <c r="A37" s="28">
        <v>33</v>
      </c>
      <c r="B37" s="29">
        <v>45872</v>
      </c>
      <c r="C37" s="19"/>
      <c r="D37" s="19"/>
      <c r="E37" s="335">
        <v>0</v>
      </c>
      <c r="F37" s="46">
        <v>0</v>
      </c>
      <c r="G37" s="46">
        <f t="shared" si="0"/>
        <v>0</v>
      </c>
      <c r="H37" s="46">
        <v>0</v>
      </c>
      <c r="I37" s="46">
        <v>0</v>
      </c>
      <c r="J37" s="46">
        <f t="shared" si="1"/>
        <v>0</v>
      </c>
      <c r="K37" s="46">
        <f t="shared" si="2"/>
        <v>0</v>
      </c>
      <c r="L37" s="46"/>
      <c r="M37" s="46">
        <f t="shared" si="3"/>
        <v>4.6566306366457866E-11</v>
      </c>
      <c r="N37" s="19"/>
    </row>
    <row r="38" spans="1:14">
      <c r="A38" s="28">
        <v>34</v>
      </c>
      <c r="B38" s="29">
        <v>45873</v>
      </c>
      <c r="C38" s="19"/>
      <c r="D38" s="19"/>
      <c r="E38" s="335">
        <v>0</v>
      </c>
      <c r="F38" s="46">
        <v>0</v>
      </c>
      <c r="G38" s="46">
        <f t="shared" si="0"/>
        <v>0</v>
      </c>
      <c r="H38" s="46">
        <v>0</v>
      </c>
      <c r="I38" s="46">
        <v>0</v>
      </c>
      <c r="J38" s="46">
        <f t="shared" si="1"/>
        <v>0</v>
      </c>
      <c r="K38" s="46">
        <f t="shared" si="2"/>
        <v>0</v>
      </c>
      <c r="L38" s="46"/>
      <c r="M38" s="46">
        <f t="shared" si="3"/>
        <v>4.6566306366457866E-11</v>
      </c>
      <c r="N38" s="19"/>
    </row>
    <row r="39" spans="1:14" ht="15" customHeight="1">
      <c r="A39" s="28">
        <v>35</v>
      </c>
      <c r="B39" s="29">
        <v>45874</v>
      </c>
      <c r="C39" s="19"/>
      <c r="D39" s="19"/>
      <c r="E39" s="46">
        <v>0</v>
      </c>
      <c r="F39" s="46">
        <v>0</v>
      </c>
      <c r="G39" s="46">
        <f t="shared" si="0"/>
        <v>0</v>
      </c>
      <c r="H39" s="46">
        <v>0</v>
      </c>
      <c r="I39" s="46">
        <v>0</v>
      </c>
      <c r="J39" s="46">
        <f t="shared" si="1"/>
        <v>0</v>
      </c>
      <c r="K39" s="46">
        <f t="shared" si="2"/>
        <v>0</v>
      </c>
      <c r="L39" s="46"/>
      <c r="M39" s="46">
        <f t="shared" si="3"/>
        <v>4.6566306366457866E-11</v>
      </c>
      <c r="N39" s="19"/>
    </row>
    <row r="40" spans="1:14" ht="15" customHeight="1">
      <c r="A40" s="51"/>
      <c r="B40" s="51"/>
      <c r="C40" s="51"/>
      <c r="D40" s="51"/>
      <c r="E40" s="276">
        <f>SUM(E4:E39)</f>
        <v>0</v>
      </c>
      <c r="F40" s="283"/>
      <c r="G40" s="276">
        <f>SUM(G4:G39)</f>
        <v>0</v>
      </c>
      <c r="H40" s="276">
        <f>SUM(H4:H39)</f>
        <v>120</v>
      </c>
      <c r="I40" s="283"/>
      <c r="J40" s="276">
        <f>SUM(J4:J39)</f>
        <v>0</v>
      </c>
      <c r="K40" s="276">
        <f>SUM(K4:K39)</f>
        <v>0</v>
      </c>
      <c r="L40" s="276">
        <f>SUM(L4:L39)</f>
        <v>362536.8</v>
      </c>
      <c r="M40" s="283"/>
      <c r="N40" s="52"/>
    </row>
    <row r="41" spans="1:14"/>
  </sheetData>
  <mergeCells count="2">
    <mergeCell ref="A1:M1"/>
    <mergeCell ref="A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13C3-8F2A-43C8-ABCD-FE8AB65C47D7}">
  <dimension ref="A1:R44"/>
  <sheetViews>
    <sheetView workbookViewId="0">
      <selection activeCell="F38" sqref="F38:G38"/>
    </sheetView>
  </sheetViews>
  <sheetFormatPr defaultRowHeight="15"/>
  <cols>
    <col min="1" max="1" width="5.140625" bestFit="1" customWidth="1"/>
    <col min="2" max="2" width="10.5703125" bestFit="1" customWidth="1"/>
    <col min="3" max="3" width="8" bestFit="1" customWidth="1"/>
    <col min="4" max="4" width="17.85546875" customWidth="1"/>
    <col min="5" max="5" width="15" customWidth="1"/>
    <col min="6" max="6" width="7.5703125" customWidth="1"/>
    <col min="7" max="7" width="10.7109375" customWidth="1"/>
    <col min="8" max="8" width="11.140625" customWidth="1"/>
    <col min="9" max="9" width="8.42578125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428" t="s">
        <v>95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95"/>
    </row>
    <row r="2" spans="1:18">
      <c r="A2" s="111" t="s">
        <v>105</v>
      </c>
      <c r="B2" s="112" t="s">
        <v>106</v>
      </c>
      <c r="C2" s="112" t="s">
        <v>107</v>
      </c>
      <c r="D2" s="112" t="s">
        <v>121</v>
      </c>
      <c r="E2" s="320" t="s">
        <v>109</v>
      </c>
      <c r="F2" s="320" t="s">
        <v>110</v>
      </c>
      <c r="G2" s="112" t="s">
        <v>111</v>
      </c>
      <c r="H2" s="112" t="s">
        <v>112</v>
      </c>
      <c r="I2" s="112" t="s">
        <v>110</v>
      </c>
      <c r="J2" s="153" t="s">
        <v>111</v>
      </c>
      <c r="K2" s="113" t="s">
        <v>113</v>
      </c>
      <c r="L2" s="154" t="s">
        <v>114</v>
      </c>
      <c r="M2" s="159" t="s">
        <v>120</v>
      </c>
      <c r="N2" s="114" t="s">
        <v>116</v>
      </c>
      <c r="O2" s="71"/>
    </row>
    <row r="3" spans="1:18">
      <c r="A3" s="420" t="s">
        <v>117</v>
      </c>
      <c r="B3" s="421"/>
      <c r="C3" s="421"/>
      <c r="D3" s="421"/>
      <c r="E3" s="421"/>
      <c r="F3" s="421"/>
      <c r="G3" s="421"/>
      <c r="H3" s="421"/>
      <c r="I3" s="421"/>
      <c r="J3" s="421"/>
      <c r="K3" s="421"/>
      <c r="L3" s="429"/>
      <c r="M3" s="167">
        <v>0</v>
      </c>
      <c r="N3" s="176"/>
      <c r="O3" s="71"/>
    </row>
    <row r="4" spans="1:18">
      <c r="A4" s="229">
        <v>1</v>
      </c>
      <c r="B4" s="264">
        <v>45839</v>
      </c>
      <c r="C4" s="79"/>
      <c r="D4" s="179"/>
      <c r="E4" s="321">
        <v>0</v>
      </c>
      <c r="F4" s="321">
        <v>0</v>
      </c>
      <c r="G4" s="8">
        <f t="shared" ref="G4" si="0">E4*F4</f>
        <v>0</v>
      </c>
      <c r="H4" s="77">
        <v>0</v>
      </c>
      <c r="I4" s="78">
        <v>0</v>
      </c>
      <c r="J4" s="8">
        <f>H4*I4</f>
        <v>0</v>
      </c>
      <c r="K4" s="8">
        <f>G4+J4</f>
        <v>0</v>
      </c>
      <c r="L4" s="80">
        <f>+K4</f>
        <v>0</v>
      </c>
      <c r="M4" s="80">
        <v>0</v>
      </c>
      <c r="N4" s="8"/>
    </row>
    <row r="5" spans="1:18">
      <c r="A5" s="55">
        <v>2</v>
      </c>
      <c r="B5" s="264">
        <v>45840</v>
      </c>
      <c r="C5" s="79"/>
      <c r="D5" s="179"/>
      <c r="E5" s="401">
        <v>42.74</v>
      </c>
      <c r="F5" s="402">
        <v>96.83</v>
      </c>
      <c r="G5" s="8">
        <f t="shared" ref="G5:G33" si="1">E5*F5</f>
        <v>4138.5142000000005</v>
      </c>
      <c r="H5" s="77">
        <v>0</v>
      </c>
      <c r="I5" s="78">
        <v>0</v>
      </c>
      <c r="J5" s="8">
        <f t="shared" ref="J5:J33" si="2">H5*I5</f>
        <v>0</v>
      </c>
      <c r="K5" s="8">
        <f t="shared" ref="K5:K34" si="3">G5+J5</f>
        <v>4138.5142000000005</v>
      </c>
      <c r="L5" s="80">
        <f t="shared" ref="L5:L34" si="4">+K5</f>
        <v>4138.5142000000005</v>
      </c>
      <c r="M5" s="80">
        <v>0</v>
      </c>
      <c r="N5" s="8"/>
    </row>
    <row r="6" spans="1:18">
      <c r="A6" s="55">
        <v>3</v>
      </c>
      <c r="B6" s="264">
        <v>45841</v>
      </c>
      <c r="C6" s="79"/>
      <c r="D6" s="179"/>
      <c r="E6" s="321">
        <v>0</v>
      </c>
      <c r="F6" s="321">
        <v>0</v>
      </c>
      <c r="G6" s="8">
        <f t="shared" si="1"/>
        <v>0</v>
      </c>
      <c r="H6" s="77">
        <v>0</v>
      </c>
      <c r="I6" s="78">
        <v>0</v>
      </c>
      <c r="J6" s="8">
        <f t="shared" si="2"/>
        <v>0</v>
      </c>
      <c r="K6" s="8">
        <f t="shared" si="3"/>
        <v>0</v>
      </c>
      <c r="L6" s="80">
        <f t="shared" si="4"/>
        <v>0</v>
      </c>
      <c r="M6" s="80">
        <v>0</v>
      </c>
      <c r="N6" s="8"/>
    </row>
    <row r="7" spans="1:18">
      <c r="A7" s="55">
        <v>4</v>
      </c>
      <c r="B7" s="264">
        <v>45842</v>
      </c>
      <c r="C7" s="79"/>
      <c r="D7" s="179"/>
      <c r="E7" s="321">
        <v>0</v>
      </c>
      <c r="F7" s="321">
        <v>0</v>
      </c>
      <c r="G7" s="8">
        <f t="shared" si="1"/>
        <v>0</v>
      </c>
      <c r="H7" s="77">
        <v>0</v>
      </c>
      <c r="I7" s="78">
        <v>0</v>
      </c>
      <c r="J7" s="8">
        <f t="shared" si="2"/>
        <v>0</v>
      </c>
      <c r="K7" s="8">
        <f t="shared" si="3"/>
        <v>0</v>
      </c>
      <c r="L7" s="80">
        <f t="shared" si="4"/>
        <v>0</v>
      </c>
      <c r="M7" s="80">
        <v>0</v>
      </c>
      <c r="N7" s="8"/>
    </row>
    <row r="8" spans="1:18">
      <c r="A8" s="55">
        <v>5</v>
      </c>
      <c r="B8" s="264">
        <v>45843</v>
      </c>
      <c r="C8" s="79"/>
      <c r="D8" s="179"/>
      <c r="E8" s="321">
        <v>0</v>
      </c>
      <c r="F8" s="321">
        <v>0</v>
      </c>
      <c r="G8" s="8">
        <f t="shared" si="1"/>
        <v>0</v>
      </c>
      <c r="H8" s="77">
        <v>0</v>
      </c>
      <c r="I8" s="78">
        <v>0</v>
      </c>
      <c r="J8" s="8">
        <f t="shared" si="2"/>
        <v>0</v>
      </c>
      <c r="K8" s="8">
        <f t="shared" si="3"/>
        <v>0</v>
      </c>
      <c r="L8" s="80">
        <f t="shared" si="4"/>
        <v>0</v>
      </c>
      <c r="M8" s="80">
        <v>0</v>
      </c>
      <c r="N8" s="8"/>
      <c r="O8" s="81"/>
      <c r="R8" s="273"/>
    </row>
    <row r="9" spans="1:18">
      <c r="A9" s="55">
        <v>6</v>
      </c>
      <c r="B9" s="264">
        <v>45844</v>
      </c>
      <c r="C9" s="79"/>
      <c r="D9" s="179"/>
      <c r="E9" s="321">
        <v>0</v>
      </c>
      <c r="F9" s="321">
        <v>0</v>
      </c>
      <c r="G9" s="8">
        <f t="shared" si="1"/>
        <v>0</v>
      </c>
      <c r="H9" s="77">
        <v>0</v>
      </c>
      <c r="I9" s="78">
        <v>0</v>
      </c>
      <c r="J9" s="8">
        <f t="shared" si="2"/>
        <v>0</v>
      </c>
      <c r="K9" s="8">
        <f t="shared" si="3"/>
        <v>0</v>
      </c>
      <c r="L9" s="80">
        <f t="shared" si="4"/>
        <v>0</v>
      </c>
      <c r="M9" s="80">
        <v>0</v>
      </c>
      <c r="N9" s="8"/>
      <c r="O9" s="81"/>
    </row>
    <row r="10" spans="1:18">
      <c r="A10" s="55">
        <v>7</v>
      </c>
      <c r="B10" s="264">
        <v>45845</v>
      </c>
      <c r="C10" s="79"/>
      <c r="D10" s="179"/>
      <c r="E10" s="321">
        <v>0</v>
      </c>
      <c r="F10" s="321">
        <v>0</v>
      </c>
      <c r="G10" s="8">
        <f t="shared" si="1"/>
        <v>0</v>
      </c>
      <c r="H10" s="77">
        <v>0</v>
      </c>
      <c r="I10" s="78">
        <v>0</v>
      </c>
      <c r="J10" s="8">
        <f t="shared" si="2"/>
        <v>0</v>
      </c>
      <c r="K10" s="8">
        <f t="shared" si="3"/>
        <v>0</v>
      </c>
      <c r="L10" s="80">
        <f t="shared" si="4"/>
        <v>0</v>
      </c>
      <c r="M10" s="80">
        <v>0</v>
      </c>
      <c r="N10" s="8"/>
      <c r="O10" s="81"/>
    </row>
    <row r="11" spans="1:18">
      <c r="A11" s="55">
        <v>8</v>
      </c>
      <c r="B11" s="264">
        <v>45846</v>
      </c>
      <c r="C11" s="79"/>
      <c r="D11" s="179"/>
      <c r="E11" s="321">
        <v>0</v>
      </c>
      <c r="F11" s="321">
        <v>0</v>
      </c>
      <c r="G11" s="8">
        <f t="shared" si="1"/>
        <v>0</v>
      </c>
      <c r="H11" s="77">
        <v>0</v>
      </c>
      <c r="I11" s="78">
        <v>0</v>
      </c>
      <c r="J11" s="8">
        <f t="shared" si="2"/>
        <v>0</v>
      </c>
      <c r="K11" s="8">
        <f t="shared" si="3"/>
        <v>0</v>
      </c>
      <c r="L11" s="80">
        <f t="shared" si="4"/>
        <v>0</v>
      </c>
      <c r="M11" s="80">
        <v>0</v>
      </c>
      <c r="N11" s="8"/>
      <c r="O11" s="81"/>
    </row>
    <row r="12" spans="1:18">
      <c r="A12" s="55">
        <v>9</v>
      </c>
      <c r="B12" s="264">
        <v>45847</v>
      </c>
      <c r="C12" s="79"/>
      <c r="D12" s="179"/>
      <c r="E12" s="321">
        <v>0</v>
      </c>
      <c r="F12" s="321">
        <v>0</v>
      </c>
      <c r="G12" s="8">
        <f t="shared" si="1"/>
        <v>0</v>
      </c>
      <c r="H12" s="77">
        <v>0</v>
      </c>
      <c r="I12" s="78">
        <v>0</v>
      </c>
      <c r="J12" s="8">
        <f t="shared" si="2"/>
        <v>0</v>
      </c>
      <c r="K12" s="8">
        <f t="shared" si="3"/>
        <v>0</v>
      </c>
      <c r="L12" s="80">
        <f t="shared" si="4"/>
        <v>0</v>
      </c>
      <c r="M12" s="80">
        <v>0</v>
      </c>
      <c r="N12" s="8"/>
      <c r="O12" s="81"/>
    </row>
    <row r="13" spans="1:18">
      <c r="A13" s="55">
        <v>10</v>
      </c>
      <c r="B13" s="264">
        <v>45848</v>
      </c>
      <c r="C13" s="79"/>
      <c r="D13" s="179"/>
      <c r="E13" s="321">
        <v>0</v>
      </c>
      <c r="F13" s="321">
        <v>0</v>
      </c>
      <c r="G13" s="8">
        <f t="shared" si="1"/>
        <v>0</v>
      </c>
      <c r="H13" s="77">
        <v>0</v>
      </c>
      <c r="I13" s="78">
        <v>0</v>
      </c>
      <c r="J13" s="8">
        <f t="shared" si="2"/>
        <v>0</v>
      </c>
      <c r="K13" s="8">
        <f t="shared" si="3"/>
        <v>0</v>
      </c>
      <c r="L13" s="80">
        <f t="shared" si="4"/>
        <v>0</v>
      </c>
      <c r="M13" s="80">
        <v>0</v>
      </c>
      <c r="N13" s="8"/>
      <c r="O13" s="81"/>
    </row>
    <row r="14" spans="1:18">
      <c r="A14" s="55">
        <v>11</v>
      </c>
      <c r="B14" s="264">
        <v>45849</v>
      </c>
      <c r="C14" s="79"/>
      <c r="D14" s="179"/>
      <c r="E14" s="321">
        <v>0</v>
      </c>
      <c r="F14" s="321">
        <v>0</v>
      </c>
      <c r="G14" s="8">
        <f t="shared" si="1"/>
        <v>0</v>
      </c>
      <c r="H14" s="77">
        <v>0</v>
      </c>
      <c r="I14" s="78">
        <v>0</v>
      </c>
      <c r="J14" s="8">
        <f t="shared" si="2"/>
        <v>0</v>
      </c>
      <c r="K14" s="8">
        <f t="shared" si="3"/>
        <v>0</v>
      </c>
      <c r="L14" s="80">
        <f t="shared" si="4"/>
        <v>0</v>
      </c>
      <c r="M14" s="80">
        <v>0</v>
      </c>
      <c r="N14" s="8"/>
      <c r="O14" s="81"/>
    </row>
    <row r="15" spans="1:18">
      <c r="A15" s="55">
        <v>12</v>
      </c>
      <c r="B15" s="264">
        <v>45850</v>
      </c>
      <c r="C15" s="79"/>
      <c r="D15" s="179"/>
      <c r="E15" s="321">
        <v>0</v>
      </c>
      <c r="F15" s="321">
        <v>0</v>
      </c>
      <c r="G15" s="8">
        <f t="shared" si="1"/>
        <v>0</v>
      </c>
      <c r="H15" s="77">
        <v>0</v>
      </c>
      <c r="I15" s="78">
        <v>0</v>
      </c>
      <c r="J15" s="8">
        <f t="shared" si="2"/>
        <v>0</v>
      </c>
      <c r="K15" s="8">
        <f t="shared" si="3"/>
        <v>0</v>
      </c>
      <c r="L15" s="80">
        <f t="shared" si="4"/>
        <v>0</v>
      </c>
      <c r="M15" s="80">
        <v>0</v>
      </c>
      <c r="N15" s="8"/>
      <c r="O15" s="81"/>
    </row>
    <row r="16" spans="1:18">
      <c r="A16" s="55">
        <v>13</v>
      </c>
      <c r="B16" s="264">
        <v>45851</v>
      </c>
      <c r="C16" s="79"/>
      <c r="D16" s="179"/>
      <c r="E16" s="321">
        <v>0</v>
      </c>
      <c r="F16" s="321">
        <v>0</v>
      </c>
      <c r="G16" s="8">
        <f t="shared" si="1"/>
        <v>0</v>
      </c>
      <c r="H16" s="77">
        <v>0</v>
      </c>
      <c r="I16" s="78">
        <v>0</v>
      </c>
      <c r="J16" s="8">
        <f t="shared" si="2"/>
        <v>0</v>
      </c>
      <c r="K16" s="8">
        <f t="shared" si="3"/>
        <v>0</v>
      </c>
      <c r="L16" s="80">
        <f t="shared" si="4"/>
        <v>0</v>
      </c>
      <c r="M16" s="80">
        <v>0</v>
      </c>
      <c r="N16" s="8"/>
      <c r="O16" s="81"/>
    </row>
    <row r="17" spans="1:15">
      <c r="A17" s="55">
        <v>14</v>
      </c>
      <c r="B17" s="264">
        <v>45852</v>
      </c>
      <c r="C17" s="79"/>
      <c r="D17" s="179"/>
      <c r="E17" s="321">
        <v>0</v>
      </c>
      <c r="F17" s="321">
        <v>0</v>
      </c>
      <c r="G17" s="8">
        <f t="shared" si="1"/>
        <v>0</v>
      </c>
      <c r="H17" s="77">
        <v>0</v>
      </c>
      <c r="I17" s="78">
        <v>108.66</v>
      </c>
      <c r="J17" s="8">
        <f t="shared" si="2"/>
        <v>0</v>
      </c>
      <c r="K17" s="8">
        <f t="shared" si="3"/>
        <v>0</v>
      </c>
      <c r="L17" s="80">
        <f t="shared" si="4"/>
        <v>0</v>
      </c>
      <c r="M17" s="80">
        <v>0</v>
      </c>
      <c r="N17" s="8"/>
      <c r="O17" s="81"/>
    </row>
    <row r="18" spans="1:15">
      <c r="A18" s="55">
        <v>15</v>
      </c>
      <c r="B18" s="264">
        <v>45853</v>
      </c>
      <c r="C18" s="79"/>
      <c r="D18" s="179"/>
      <c r="E18" s="321">
        <v>0</v>
      </c>
      <c r="F18" s="321">
        <v>0</v>
      </c>
      <c r="G18" s="8">
        <f t="shared" si="1"/>
        <v>0</v>
      </c>
      <c r="H18" s="77">
        <v>0</v>
      </c>
      <c r="I18" s="78">
        <v>0</v>
      </c>
      <c r="J18" s="8">
        <f t="shared" si="2"/>
        <v>0</v>
      </c>
      <c r="K18" s="8">
        <f t="shared" si="3"/>
        <v>0</v>
      </c>
      <c r="L18" s="80">
        <f t="shared" si="4"/>
        <v>0</v>
      </c>
      <c r="M18" s="80">
        <v>0</v>
      </c>
      <c r="N18" s="8"/>
      <c r="O18" s="81"/>
    </row>
    <row r="19" spans="1:15">
      <c r="A19" s="55">
        <v>16</v>
      </c>
      <c r="B19" s="264">
        <v>45854</v>
      </c>
      <c r="C19" s="79"/>
      <c r="D19" s="179"/>
      <c r="E19" s="321">
        <v>0</v>
      </c>
      <c r="F19" s="321">
        <v>0</v>
      </c>
      <c r="G19" s="8">
        <f t="shared" si="1"/>
        <v>0</v>
      </c>
      <c r="H19" s="118">
        <v>2.76</v>
      </c>
      <c r="I19" s="399">
        <v>108.66</v>
      </c>
      <c r="J19" s="8">
        <f t="shared" si="2"/>
        <v>299.90159999999997</v>
      </c>
      <c r="K19" s="8">
        <f t="shared" si="3"/>
        <v>299.90159999999997</v>
      </c>
      <c r="L19" s="80">
        <f t="shared" si="4"/>
        <v>299.90159999999997</v>
      </c>
      <c r="M19" s="80">
        <v>0</v>
      </c>
      <c r="N19" s="8"/>
      <c r="O19" s="81"/>
    </row>
    <row r="20" spans="1:15">
      <c r="A20" s="55">
        <v>17</v>
      </c>
      <c r="B20" s="264">
        <v>45855</v>
      </c>
      <c r="C20" s="79"/>
      <c r="D20" s="179"/>
      <c r="E20" s="321">
        <v>0</v>
      </c>
      <c r="F20" s="321">
        <v>0</v>
      </c>
      <c r="G20" s="8">
        <f t="shared" si="1"/>
        <v>0</v>
      </c>
      <c r="H20" s="77">
        <v>0</v>
      </c>
      <c r="I20" s="78">
        <v>0</v>
      </c>
      <c r="J20" s="8">
        <f t="shared" si="2"/>
        <v>0</v>
      </c>
      <c r="K20" s="8">
        <f t="shared" si="3"/>
        <v>0</v>
      </c>
      <c r="L20" s="80">
        <f t="shared" si="4"/>
        <v>0</v>
      </c>
      <c r="M20" s="80">
        <v>0</v>
      </c>
      <c r="N20" s="8"/>
      <c r="O20" s="81"/>
    </row>
    <row r="21" spans="1:15">
      <c r="A21" s="55">
        <v>18</v>
      </c>
      <c r="B21" s="264">
        <v>45856</v>
      </c>
      <c r="C21" s="79"/>
      <c r="D21" s="179"/>
      <c r="E21" s="321">
        <v>0</v>
      </c>
      <c r="F21" s="321">
        <v>0</v>
      </c>
      <c r="G21" s="8">
        <f t="shared" si="1"/>
        <v>0</v>
      </c>
      <c r="H21" s="77">
        <v>0</v>
      </c>
      <c r="I21" s="78">
        <v>0</v>
      </c>
      <c r="J21" s="8">
        <f t="shared" si="2"/>
        <v>0</v>
      </c>
      <c r="K21" s="8">
        <f t="shared" si="3"/>
        <v>0</v>
      </c>
      <c r="L21" s="80">
        <f t="shared" si="4"/>
        <v>0</v>
      </c>
      <c r="M21" s="80">
        <v>0</v>
      </c>
      <c r="N21" s="8"/>
      <c r="O21" s="81"/>
    </row>
    <row r="22" spans="1:15">
      <c r="A22" s="55">
        <v>19</v>
      </c>
      <c r="B22" s="264">
        <v>45857</v>
      </c>
      <c r="C22" s="79"/>
      <c r="D22" s="179"/>
      <c r="E22" s="321">
        <v>0</v>
      </c>
      <c r="F22" s="321">
        <v>0</v>
      </c>
      <c r="G22" s="8">
        <f t="shared" si="1"/>
        <v>0</v>
      </c>
      <c r="H22" s="77">
        <v>0</v>
      </c>
      <c r="I22" s="78">
        <v>0</v>
      </c>
      <c r="J22" s="8">
        <f t="shared" si="2"/>
        <v>0</v>
      </c>
      <c r="K22" s="8">
        <f t="shared" si="3"/>
        <v>0</v>
      </c>
      <c r="L22" s="80">
        <f t="shared" si="4"/>
        <v>0</v>
      </c>
      <c r="M22" s="80">
        <v>0</v>
      </c>
      <c r="N22" s="8"/>
      <c r="O22" s="81"/>
    </row>
    <row r="23" spans="1:15">
      <c r="A23" s="55">
        <v>20</v>
      </c>
      <c r="B23" s="264">
        <v>45858</v>
      </c>
      <c r="C23" s="79"/>
      <c r="D23" s="179"/>
      <c r="E23" s="401">
        <v>40.799999999999997</v>
      </c>
      <c r="F23" s="402">
        <v>96.83</v>
      </c>
      <c r="G23" s="8">
        <f t="shared" si="1"/>
        <v>3950.6639999999998</v>
      </c>
      <c r="H23" s="77">
        <v>0</v>
      </c>
      <c r="I23" s="78">
        <v>0</v>
      </c>
      <c r="J23" s="8">
        <f t="shared" si="2"/>
        <v>0</v>
      </c>
      <c r="K23" s="8">
        <f t="shared" si="3"/>
        <v>3950.6639999999998</v>
      </c>
      <c r="L23" s="80">
        <f t="shared" si="4"/>
        <v>3950.6639999999998</v>
      </c>
      <c r="M23" s="80">
        <v>0</v>
      </c>
      <c r="N23" s="8"/>
      <c r="O23" s="81"/>
    </row>
    <row r="24" spans="1:15">
      <c r="A24" s="55">
        <v>21</v>
      </c>
      <c r="B24" s="264">
        <v>45859</v>
      </c>
      <c r="C24" s="79"/>
      <c r="D24" s="179"/>
      <c r="E24" s="321">
        <v>0</v>
      </c>
      <c r="F24" s="321">
        <v>0</v>
      </c>
      <c r="G24" s="8">
        <f t="shared" si="1"/>
        <v>0</v>
      </c>
      <c r="H24" s="77">
        <v>0</v>
      </c>
      <c r="I24" s="78">
        <v>0</v>
      </c>
      <c r="J24" s="8">
        <f t="shared" si="2"/>
        <v>0</v>
      </c>
      <c r="K24" s="8">
        <f t="shared" si="3"/>
        <v>0</v>
      </c>
      <c r="L24" s="80">
        <f t="shared" si="4"/>
        <v>0</v>
      </c>
      <c r="M24" s="80">
        <v>0</v>
      </c>
      <c r="N24" s="8"/>
      <c r="O24" s="81"/>
    </row>
    <row r="25" spans="1:15">
      <c r="A25" s="55">
        <v>22</v>
      </c>
      <c r="B25" s="264">
        <v>45860</v>
      </c>
      <c r="C25" s="79"/>
      <c r="D25" s="179"/>
      <c r="E25" s="321">
        <v>0</v>
      </c>
      <c r="F25" s="321">
        <v>0</v>
      </c>
      <c r="G25" s="8">
        <f t="shared" si="1"/>
        <v>0</v>
      </c>
      <c r="H25" s="77">
        <v>0</v>
      </c>
      <c r="I25" s="78">
        <v>0</v>
      </c>
      <c r="J25" s="8">
        <f t="shared" si="2"/>
        <v>0</v>
      </c>
      <c r="K25" s="8">
        <f t="shared" si="3"/>
        <v>0</v>
      </c>
      <c r="L25" s="80">
        <f t="shared" si="4"/>
        <v>0</v>
      </c>
      <c r="M25" s="80">
        <v>0</v>
      </c>
      <c r="N25" s="8"/>
      <c r="O25" s="81"/>
    </row>
    <row r="26" spans="1:15">
      <c r="A26" s="55">
        <v>23</v>
      </c>
      <c r="B26" s="264">
        <v>45861</v>
      </c>
      <c r="C26" s="79"/>
      <c r="D26" s="179"/>
      <c r="E26" s="321">
        <v>0</v>
      </c>
      <c r="F26" s="321">
        <v>0</v>
      </c>
      <c r="G26" s="8">
        <f t="shared" si="1"/>
        <v>0</v>
      </c>
      <c r="H26" s="118">
        <v>2.76</v>
      </c>
      <c r="I26" s="399">
        <v>108.66</v>
      </c>
      <c r="J26" s="8">
        <f t="shared" si="2"/>
        <v>299.90159999999997</v>
      </c>
      <c r="K26" s="8">
        <f t="shared" si="3"/>
        <v>299.90159999999997</v>
      </c>
      <c r="L26" s="80">
        <f t="shared" si="4"/>
        <v>299.90159999999997</v>
      </c>
      <c r="M26" s="80">
        <v>0</v>
      </c>
      <c r="N26" s="8"/>
      <c r="O26" s="81"/>
    </row>
    <row r="27" spans="1:15">
      <c r="A27" s="55">
        <v>24</v>
      </c>
      <c r="B27" s="264">
        <v>45862</v>
      </c>
      <c r="C27" s="79"/>
      <c r="D27" s="179"/>
      <c r="E27" s="321">
        <v>0</v>
      </c>
      <c r="F27" s="321">
        <v>0</v>
      </c>
      <c r="G27" s="8">
        <f t="shared" si="1"/>
        <v>0</v>
      </c>
      <c r="H27" s="77">
        <v>0</v>
      </c>
      <c r="I27" s="78">
        <v>0</v>
      </c>
      <c r="J27" s="8">
        <f t="shared" si="2"/>
        <v>0</v>
      </c>
      <c r="K27" s="8">
        <f t="shared" si="3"/>
        <v>0</v>
      </c>
      <c r="L27" s="80">
        <f t="shared" si="4"/>
        <v>0</v>
      </c>
      <c r="M27" s="80">
        <v>0</v>
      </c>
      <c r="N27" s="8"/>
      <c r="O27" s="81"/>
    </row>
    <row r="28" spans="1:15">
      <c r="A28" s="266">
        <v>25</v>
      </c>
      <c r="B28" s="264">
        <v>45863</v>
      </c>
      <c r="C28" s="79"/>
      <c r="D28" s="179"/>
      <c r="E28" s="321">
        <v>0</v>
      </c>
      <c r="F28" s="321">
        <v>0</v>
      </c>
      <c r="G28" s="8">
        <f t="shared" si="1"/>
        <v>0</v>
      </c>
      <c r="H28" s="77">
        <v>0</v>
      </c>
      <c r="I28" s="78">
        <v>0</v>
      </c>
      <c r="J28" s="8">
        <f t="shared" si="2"/>
        <v>0</v>
      </c>
      <c r="K28" s="8">
        <f t="shared" si="3"/>
        <v>0</v>
      </c>
      <c r="L28" s="80">
        <f t="shared" si="4"/>
        <v>0</v>
      </c>
      <c r="M28" s="80">
        <v>0</v>
      </c>
      <c r="N28" s="8"/>
      <c r="O28" s="81"/>
    </row>
    <row r="29" spans="1:15">
      <c r="A29" s="266">
        <v>26</v>
      </c>
      <c r="B29" s="264">
        <v>45864</v>
      </c>
      <c r="C29" s="79"/>
      <c r="D29" s="179"/>
      <c r="E29" s="321">
        <v>0</v>
      </c>
      <c r="F29" s="321">
        <v>0</v>
      </c>
      <c r="G29" s="8">
        <f t="shared" si="1"/>
        <v>0</v>
      </c>
      <c r="H29" s="77">
        <v>0</v>
      </c>
      <c r="I29" s="78">
        <v>0</v>
      </c>
      <c r="J29" s="8">
        <f t="shared" si="2"/>
        <v>0</v>
      </c>
      <c r="K29" s="8">
        <f t="shared" si="3"/>
        <v>0</v>
      </c>
      <c r="L29" s="80">
        <f t="shared" si="4"/>
        <v>0</v>
      </c>
      <c r="M29" s="80">
        <v>0</v>
      </c>
      <c r="N29" s="8"/>
      <c r="O29" s="81"/>
    </row>
    <row r="30" spans="1:15">
      <c r="A30" s="266">
        <v>27</v>
      </c>
      <c r="B30" s="264">
        <v>45865</v>
      </c>
      <c r="C30" s="79"/>
      <c r="D30" s="179"/>
      <c r="E30" s="321">
        <v>34.03</v>
      </c>
      <c r="F30" s="321">
        <v>96.83</v>
      </c>
      <c r="G30" s="8">
        <f t="shared" si="1"/>
        <v>3295.1249000000003</v>
      </c>
      <c r="H30" s="77">
        <v>0</v>
      </c>
      <c r="I30" s="78">
        <v>0</v>
      </c>
      <c r="J30" s="8">
        <f t="shared" si="2"/>
        <v>0</v>
      </c>
      <c r="K30" s="8">
        <f t="shared" si="3"/>
        <v>3295.1249000000003</v>
      </c>
      <c r="L30" s="80">
        <f t="shared" si="4"/>
        <v>3295.1249000000003</v>
      </c>
      <c r="M30" s="80">
        <v>0</v>
      </c>
      <c r="N30" s="8"/>
      <c r="O30" s="81"/>
    </row>
    <row r="31" spans="1:15">
      <c r="A31" s="266">
        <v>28</v>
      </c>
      <c r="B31" s="264">
        <v>45866</v>
      </c>
      <c r="C31" s="79"/>
      <c r="D31" s="179"/>
      <c r="E31" s="321">
        <v>0</v>
      </c>
      <c r="F31" s="321">
        <v>0</v>
      </c>
      <c r="G31" s="8">
        <f t="shared" si="1"/>
        <v>0</v>
      </c>
      <c r="H31" s="77">
        <v>0</v>
      </c>
      <c r="I31" s="78">
        <v>0</v>
      </c>
      <c r="J31" s="8">
        <f t="shared" si="2"/>
        <v>0</v>
      </c>
      <c r="K31" s="8">
        <f t="shared" si="3"/>
        <v>0</v>
      </c>
      <c r="L31" s="80">
        <f t="shared" si="4"/>
        <v>0</v>
      </c>
      <c r="M31" s="80">
        <v>0</v>
      </c>
      <c r="N31" s="8"/>
      <c r="O31" s="81"/>
    </row>
    <row r="32" spans="1:15">
      <c r="A32" s="267">
        <v>29</v>
      </c>
      <c r="B32" s="264">
        <v>45867</v>
      </c>
      <c r="C32" s="79"/>
      <c r="D32" s="179"/>
      <c r="E32" s="321">
        <v>0</v>
      </c>
      <c r="F32" s="321">
        <v>0</v>
      </c>
      <c r="G32" s="8">
        <f t="shared" si="1"/>
        <v>0</v>
      </c>
      <c r="H32" s="77">
        <v>0</v>
      </c>
      <c r="I32" s="78">
        <v>0</v>
      </c>
      <c r="J32" s="8">
        <f t="shared" si="2"/>
        <v>0</v>
      </c>
      <c r="K32" s="8">
        <f t="shared" si="3"/>
        <v>0</v>
      </c>
      <c r="L32" s="80">
        <f t="shared" si="4"/>
        <v>0</v>
      </c>
      <c r="M32" s="80">
        <v>0</v>
      </c>
      <c r="N32" s="8"/>
      <c r="O32" s="81"/>
    </row>
    <row r="33" spans="1:15">
      <c r="A33" s="267">
        <v>30</v>
      </c>
      <c r="B33" s="264">
        <v>45868</v>
      </c>
      <c r="C33" s="79"/>
      <c r="D33" s="179"/>
      <c r="E33" s="321">
        <v>0</v>
      </c>
      <c r="F33" s="321">
        <v>0</v>
      </c>
      <c r="G33" s="8">
        <f t="shared" si="1"/>
        <v>0</v>
      </c>
      <c r="H33" s="77">
        <v>0</v>
      </c>
      <c r="I33" s="78">
        <v>0</v>
      </c>
      <c r="J33" s="8">
        <f t="shared" si="2"/>
        <v>0</v>
      </c>
      <c r="K33" s="8">
        <f t="shared" si="3"/>
        <v>0</v>
      </c>
      <c r="L33" s="80">
        <f t="shared" si="4"/>
        <v>0</v>
      </c>
      <c r="M33" s="80">
        <v>0</v>
      </c>
      <c r="N33" s="8"/>
      <c r="O33" s="81"/>
    </row>
    <row r="34" spans="1:15">
      <c r="A34" s="267">
        <v>31</v>
      </c>
      <c r="B34" s="264"/>
      <c r="C34" s="79"/>
      <c r="D34" s="179"/>
      <c r="E34" s="321">
        <v>0</v>
      </c>
      <c r="F34" s="321">
        <v>0</v>
      </c>
      <c r="G34" s="8">
        <f t="shared" ref="G5:G34" si="5">E34*F34</f>
        <v>0</v>
      </c>
      <c r="H34" s="77">
        <v>0</v>
      </c>
      <c r="I34" s="78">
        <v>0</v>
      </c>
      <c r="J34" s="8">
        <f t="shared" ref="J5:J34" si="6">H34*I34</f>
        <v>0</v>
      </c>
      <c r="K34" s="8">
        <f t="shared" si="3"/>
        <v>0</v>
      </c>
      <c r="L34" s="80">
        <f t="shared" si="4"/>
        <v>0</v>
      </c>
      <c r="M34" s="80">
        <v>0</v>
      </c>
      <c r="N34" s="8"/>
      <c r="O34" s="81"/>
    </row>
    <row r="35" spans="1:15">
      <c r="A35" s="74"/>
      <c r="B35" s="74"/>
      <c r="C35" s="74"/>
      <c r="D35" s="74"/>
      <c r="E35" s="322">
        <f>SUM(E4:E34)</f>
        <v>117.57</v>
      </c>
      <c r="F35" s="322"/>
      <c r="G35" s="75">
        <f>SUM(G4:G34)</f>
        <v>11384.303100000001</v>
      </c>
      <c r="H35" s="75">
        <f>SUM(H4:H34)</f>
        <v>5.52</v>
      </c>
      <c r="I35" s="75"/>
      <c r="J35" s="75">
        <f>SUM(J4:J34)</f>
        <v>599.80319999999995</v>
      </c>
      <c r="K35" s="75">
        <f>SUM(K4:K34)</f>
        <v>11984.106299999999</v>
      </c>
      <c r="L35" s="75">
        <f>SUM(L4:L34)</f>
        <v>11984.106299999999</v>
      </c>
      <c r="M35" s="75"/>
      <c r="N35" s="75"/>
      <c r="O35" s="71"/>
    </row>
    <row r="36" spans="1:15">
      <c r="A36" s="85"/>
      <c r="B36" s="86"/>
      <c r="C36" s="85"/>
      <c r="D36" s="85"/>
      <c r="E36" s="87"/>
      <c r="F36" s="87"/>
      <c r="G36" s="87"/>
      <c r="H36" s="87"/>
      <c r="I36" s="87"/>
      <c r="J36" s="88"/>
      <c r="K36" s="88"/>
      <c r="L36" s="88"/>
      <c r="M36" s="88"/>
      <c r="N36" s="87"/>
      <c r="O36" s="81"/>
    </row>
    <row r="37" spans="1:15">
      <c r="O37" s="81"/>
    </row>
    <row r="38" spans="1:15">
      <c r="O38" s="81"/>
    </row>
    <row r="39" spans="1:15">
      <c r="O39" s="81"/>
    </row>
    <row r="40" spans="1:15">
      <c r="O40" s="81"/>
    </row>
    <row r="41" spans="1:15">
      <c r="O41" s="81"/>
    </row>
    <row r="42" spans="1:15">
      <c r="A42" s="81"/>
      <c r="B42" s="71"/>
      <c r="C42" s="81"/>
      <c r="D42" s="81"/>
      <c r="E42" s="81"/>
      <c r="F42" s="81"/>
      <c r="G42" s="89"/>
      <c r="H42" s="81"/>
      <c r="I42" s="81"/>
      <c r="J42" s="71"/>
      <c r="K42" s="71"/>
      <c r="L42" s="71"/>
      <c r="M42" s="71"/>
      <c r="N42" s="81"/>
      <c r="O42" s="87"/>
    </row>
    <row r="43" spans="1:15">
      <c r="A43" s="81"/>
      <c r="B43" s="430"/>
      <c r="C43" s="430"/>
      <c r="D43" s="430"/>
      <c r="E43" s="430"/>
      <c r="F43" s="81"/>
      <c r="G43" s="81"/>
      <c r="H43" s="81"/>
      <c r="I43" s="430"/>
      <c r="J43" s="430"/>
      <c r="K43" s="430"/>
      <c r="L43" s="430"/>
      <c r="M43" s="430"/>
      <c r="N43" s="430"/>
      <c r="O43" s="87"/>
    </row>
    <row r="44" spans="1:15">
      <c r="A44" s="81"/>
      <c r="B44" s="71"/>
      <c r="C44" s="81"/>
      <c r="D44" s="81"/>
      <c r="E44" s="81"/>
      <c r="F44" s="81"/>
      <c r="G44" s="81"/>
      <c r="H44" s="81"/>
      <c r="I44" s="81"/>
      <c r="J44" s="71"/>
      <c r="K44" s="71"/>
      <c r="L44" s="71"/>
      <c r="M44" s="71"/>
      <c r="N44" s="81"/>
      <c r="O44" s="87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7CF9-90F8-4EA7-A54C-C64C8019A5D6}">
  <dimension ref="A1:R44"/>
  <sheetViews>
    <sheetView workbookViewId="0">
      <selection activeCell="N38" sqref="N38"/>
    </sheetView>
  </sheetViews>
  <sheetFormatPr defaultRowHeight="15"/>
  <cols>
    <col min="5" max="5" width="10.85546875" bestFit="1" customWidth="1"/>
    <col min="7" max="7" width="13.7109375" bestFit="1" customWidth="1"/>
    <col min="9" max="9" width="7.140625" bestFit="1" customWidth="1"/>
    <col min="11" max="12" width="13.5703125" bestFit="1" customWidth="1"/>
    <col min="13" max="13" width="11.5703125" bestFit="1" customWidth="1"/>
    <col min="14" max="14" width="10.7109375" bestFit="1" customWidth="1"/>
  </cols>
  <sheetData>
    <row r="1" spans="1:18" ht="15.75">
      <c r="A1" s="428" t="s">
        <v>97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95"/>
    </row>
    <row r="2" spans="1:18" ht="30.75">
      <c r="A2" s="111" t="s">
        <v>105</v>
      </c>
      <c r="B2" s="112" t="s">
        <v>106</v>
      </c>
      <c r="C2" s="112" t="s">
        <v>107</v>
      </c>
      <c r="D2" s="112" t="s">
        <v>121</v>
      </c>
      <c r="E2" s="320" t="s">
        <v>109</v>
      </c>
      <c r="F2" s="320" t="s">
        <v>110</v>
      </c>
      <c r="G2" s="112" t="s">
        <v>111</v>
      </c>
      <c r="H2" s="112" t="s">
        <v>112</v>
      </c>
      <c r="I2" s="112" t="s">
        <v>110</v>
      </c>
      <c r="J2" s="153" t="s">
        <v>111</v>
      </c>
      <c r="K2" s="113" t="s">
        <v>113</v>
      </c>
      <c r="L2" s="154" t="s">
        <v>114</v>
      </c>
      <c r="M2" s="159" t="s">
        <v>120</v>
      </c>
      <c r="N2" s="114" t="s">
        <v>116</v>
      </c>
      <c r="O2" s="71"/>
    </row>
    <row r="3" spans="1:18">
      <c r="A3" s="420" t="s">
        <v>117</v>
      </c>
      <c r="B3" s="421"/>
      <c r="C3" s="421"/>
      <c r="D3" s="421"/>
      <c r="E3" s="421"/>
      <c r="F3" s="421"/>
      <c r="G3" s="421"/>
      <c r="H3" s="421"/>
      <c r="I3" s="421"/>
      <c r="J3" s="421"/>
      <c r="K3" s="421"/>
      <c r="L3" s="429"/>
      <c r="M3" s="167">
        <v>169047.21599999999</v>
      </c>
      <c r="N3" s="176"/>
      <c r="O3" s="71"/>
    </row>
    <row r="4" spans="1:18">
      <c r="A4" s="229">
        <v>1</v>
      </c>
      <c r="B4" s="264">
        <v>45839</v>
      </c>
      <c r="C4" s="79"/>
      <c r="D4" s="179"/>
      <c r="E4" s="321">
        <v>200</v>
      </c>
      <c r="F4" s="321">
        <v>97.1</v>
      </c>
      <c r="G4" s="8">
        <f t="shared" ref="G4:G34" si="0">E4*F4</f>
        <v>19420</v>
      </c>
      <c r="H4" s="77">
        <v>0</v>
      </c>
      <c r="I4" s="78">
        <v>0</v>
      </c>
      <c r="J4" s="8">
        <f>H4*I4</f>
        <v>0</v>
      </c>
      <c r="K4" s="8">
        <f>G4+J4</f>
        <v>19420</v>
      </c>
      <c r="L4" s="80">
        <v>0</v>
      </c>
      <c r="M4" s="80">
        <f>+M3+K4-L4</f>
        <v>188467.21599999999</v>
      </c>
      <c r="N4" s="8"/>
    </row>
    <row r="5" spans="1:18">
      <c r="A5" s="55">
        <v>2</v>
      </c>
      <c r="B5" s="264">
        <v>45840</v>
      </c>
      <c r="C5" s="79"/>
      <c r="D5" s="179"/>
      <c r="E5" s="321">
        <v>0</v>
      </c>
      <c r="F5" s="321">
        <v>0</v>
      </c>
      <c r="G5" s="8">
        <f t="shared" ref="G5:G34" si="1">E5*F5</f>
        <v>0</v>
      </c>
      <c r="H5" s="77">
        <v>0</v>
      </c>
      <c r="I5" s="78">
        <v>0</v>
      </c>
      <c r="J5" s="8">
        <f t="shared" ref="J5:J34" si="2">H5*I5</f>
        <v>0</v>
      </c>
      <c r="K5" s="8">
        <f t="shared" ref="K5:K34" si="3">G5+J5</f>
        <v>0</v>
      </c>
      <c r="L5" s="80">
        <v>169047</v>
      </c>
      <c r="M5" s="80">
        <f t="shared" ref="M5:M34" si="4">+M4+K5-L5</f>
        <v>19420.215999999986</v>
      </c>
      <c r="N5" s="8"/>
    </row>
    <row r="6" spans="1:18">
      <c r="A6" s="55">
        <v>3</v>
      </c>
      <c r="B6" s="264">
        <v>45841</v>
      </c>
      <c r="C6" s="79"/>
      <c r="D6" s="179"/>
      <c r="E6" s="321">
        <v>242.14</v>
      </c>
      <c r="F6" s="321">
        <v>97.1</v>
      </c>
      <c r="G6" s="8">
        <f t="shared" si="1"/>
        <v>23511.793999999998</v>
      </c>
      <c r="H6" s="77">
        <v>0</v>
      </c>
      <c r="I6" s="78">
        <v>0</v>
      </c>
      <c r="J6" s="8">
        <f t="shared" si="2"/>
        <v>0</v>
      </c>
      <c r="K6" s="8">
        <f t="shared" si="3"/>
        <v>23511.793999999998</v>
      </c>
      <c r="L6" s="80">
        <v>0</v>
      </c>
      <c r="M6" s="80">
        <f t="shared" si="4"/>
        <v>42932.00999999998</v>
      </c>
      <c r="N6" s="8"/>
    </row>
    <row r="7" spans="1:18">
      <c r="A7" s="55">
        <v>4</v>
      </c>
      <c r="B7" s="264">
        <v>45842</v>
      </c>
      <c r="C7" s="79"/>
      <c r="D7" s="179"/>
      <c r="E7" s="321">
        <v>200</v>
      </c>
      <c r="F7" s="321">
        <v>97.1</v>
      </c>
      <c r="G7" s="8">
        <f t="shared" si="1"/>
        <v>19420</v>
      </c>
      <c r="H7" s="77">
        <v>0</v>
      </c>
      <c r="I7" s="78">
        <v>0</v>
      </c>
      <c r="J7" s="8">
        <f t="shared" si="2"/>
        <v>0</v>
      </c>
      <c r="K7" s="8">
        <f t="shared" si="3"/>
        <v>19420</v>
      </c>
      <c r="L7" s="80">
        <v>0</v>
      </c>
      <c r="M7" s="80">
        <f t="shared" si="4"/>
        <v>62352.00999999998</v>
      </c>
      <c r="N7" s="8"/>
    </row>
    <row r="8" spans="1:18">
      <c r="A8" s="55">
        <v>5</v>
      </c>
      <c r="B8" s="264">
        <v>45843</v>
      </c>
      <c r="C8" s="79"/>
      <c r="D8" s="179"/>
      <c r="E8" s="321">
        <v>197.84</v>
      </c>
      <c r="F8" s="321">
        <v>97.1</v>
      </c>
      <c r="G8" s="8">
        <f t="shared" si="1"/>
        <v>19210.263999999999</v>
      </c>
      <c r="H8" s="77">
        <v>0</v>
      </c>
      <c r="I8" s="78">
        <v>0</v>
      </c>
      <c r="J8" s="8">
        <f t="shared" si="2"/>
        <v>0</v>
      </c>
      <c r="K8" s="8">
        <f t="shared" si="3"/>
        <v>19210.263999999999</v>
      </c>
      <c r="L8" s="80">
        <v>0</v>
      </c>
      <c r="M8" s="80">
        <f t="shared" si="4"/>
        <v>81562.273999999976</v>
      </c>
      <c r="N8" s="8"/>
      <c r="O8" s="81"/>
      <c r="R8" s="273"/>
    </row>
    <row r="9" spans="1:18">
      <c r="A9" s="55">
        <v>6</v>
      </c>
      <c r="B9" s="264">
        <v>45844</v>
      </c>
      <c r="C9" s="79"/>
      <c r="D9" s="179"/>
      <c r="E9" s="321">
        <v>400</v>
      </c>
      <c r="F9" s="321">
        <v>97.1</v>
      </c>
      <c r="G9" s="8">
        <f t="shared" si="1"/>
        <v>38840</v>
      </c>
      <c r="H9" s="77">
        <v>0</v>
      </c>
      <c r="I9" s="78">
        <v>0</v>
      </c>
      <c r="J9" s="8">
        <f t="shared" si="2"/>
        <v>0</v>
      </c>
      <c r="K9" s="8">
        <f t="shared" si="3"/>
        <v>38840</v>
      </c>
      <c r="L9" s="80">
        <v>0</v>
      </c>
      <c r="M9" s="80">
        <f t="shared" si="4"/>
        <v>120402.27399999998</v>
      </c>
      <c r="N9" s="8"/>
      <c r="O9" s="81"/>
    </row>
    <row r="10" spans="1:18">
      <c r="A10" s="55">
        <v>7</v>
      </c>
      <c r="B10" s="264">
        <v>45845</v>
      </c>
      <c r="C10" s="79"/>
      <c r="D10" s="179"/>
      <c r="E10" s="321">
        <v>0</v>
      </c>
      <c r="F10" s="321">
        <v>0</v>
      </c>
      <c r="G10" s="8">
        <f t="shared" si="1"/>
        <v>0</v>
      </c>
      <c r="H10" s="77">
        <v>0</v>
      </c>
      <c r="I10" s="78">
        <v>0</v>
      </c>
      <c r="J10" s="8">
        <f t="shared" si="2"/>
        <v>0</v>
      </c>
      <c r="K10" s="8">
        <f t="shared" si="3"/>
        <v>0</v>
      </c>
      <c r="L10" s="80">
        <f t="shared" ref="L5:L34" si="5">+K10</f>
        <v>0</v>
      </c>
      <c r="M10" s="80">
        <f t="shared" si="4"/>
        <v>120402.27399999998</v>
      </c>
      <c r="N10" s="8"/>
      <c r="O10" s="81"/>
    </row>
    <row r="11" spans="1:18">
      <c r="A11" s="55">
        <v>8</v>
      </c>
      <c r="B11" s="264">
        <v>45846</v>
      </c>
      <c r="C11" s="79"/>
      <c r="D11" s="179"/>
      <c r="E11" s="321">
        <v>100</v>
      </c>
      <c r="F11" s="321">
        <v>97.1</v>
      </c>
      <c r="G11" s="8">
        <f t="shared" si="1"/>
        <v>9710</v>
      </c>
      <c r="H11" s="77">
        <v>5</v>
      </c>
      <c r="I11" s="78">
        <v>108.83</v>
      </c>
      <c r="J11" s="8">
        <f t="shared" si="2"/>
        <v>544.15</v>
      </c>
      <c r="K11" s="8">
        <f t="shared" si="3"/>
        <v>10254.15</v>
      </c>
      <c r="L11" s="80">
        <v>0</v>
      </c>
      <c r="M11" s="80">
        <f t="shared" si="4"/>
        <v>130656.42399999997</v>
      </c>
      <c r="N11" s="8"/>
      <c r="O11" s="81"/>
    </row>
    <row r="12" spans="1:18">
      <c r="A12" s="55">
        <v>9</v>
      </c>
      <c r="B12" s="264">
        <v>45847</v>
      </c>
      <c r="C12" s="79"/>
      <c r="D12" s="179"/>
      <c r="E12" s="321">
        <v>598.19000000000005</v>
      </c>
      <c r="F12" s="321">
        <v>97.1</v>
      </c>
      <c r="G12" s="8">
        <f t="shared" si="1"/>
        <v>58084.249000000003</v>
      </c>
      <c r="H12" s="77">
        <v>5</v>
      </c>
      <c r="I12" s="78">
        <v>108.83</v>
      </c>
      <c r="J12" s="8">
        <f t="shared" si="2"/>
        <v>544.15</v>
      </c>
      <c r="K12" s="8">
        <f t="shared" si="3"/>
        <v>58628.399000000005</v>
      </c>
      <c r="L12" s="80">
        <v>0</v>
      </c>
      <c r="M12" s="80">
        <f t="shared" si="4"/>
        <v>189284.82299999997</v>
      </c>
      <c r="N12" s="8"/>
      <c r="O12" s="81"/>
    </row>
    <row r="13" spans="1:18">
      <c r="A13" s="55">
        <v>10</v>
      </c>
      <c r="B13" s="264">
        <v>45848</v>
      </c>
      <c r="C13" s="79"/>
      <c r="D13" s="179"/>
      <c r="E13" s="321">
        <v>580</v>
      </c>
      <c r="F13" s="321">
        <v>97.1</v>
      </c>
      <c r="G13" s="8">
        <f t="shared" si="1"/>
        <v>56318</v>
      </c>
      <c r="H13" s="77">
        <v>0</v>
      </c>
      <c r="I13" s="78">
        <v>0</v>
      </c>
      <c r="J13" s="8">
        <f t="shared" si="2"/>
        <v>0</v>
      </c>
      <c r="K13" s="8">
        <f t="shared" si="3"/>
        <v>56318</v>
      </c>
      <c r="L13" s="80">
        <v>0</v>
      </c>
      <c r="M13" s="80">
        <f t="shared" si="4"/>
        <v>245602.82299999997</v>
      </c>
      <c r="N13" s="8"/>
      <c r="O13" s="81"/>
    </row>
    <row r="14" spans="1:18">
      <c r="A14" s="55">
        <v>11</v>
      </c>
      <c r="B14" s="264">
        <v>45849</v>
      </c>
      <c r="C14" s="79"/>
      <c r="D14" s="179"/>
      <c r="E14" s="321">
        <v>790</v>
      </c>
      <c r="F14" s="321">
        <v>97.1</v>
      </c>
      <c r="G14" s="8">
        <f t="shared" si="1"/>
        <v>76709</v>
      </c>
      <c r="H14" s="77">
        <v>0</v>
      </c>
      <c r="I14" s="78">
        <v>0</v>
      </c>
      <c r="J14" s="8">
        <f t="shared" si="2"/>
        <v>0</v>
      </c>
      <c r="K14" s="8">
        <f t="shared" si="3"/>
        <v>76709</v>
      </c>
      <c r="L14" s="80">
        <v>0</v>
      </c>
      <c r="M14" s="80">
        <f t="shared" si="4"/>
        <v>322311.82299999997</v>
      </c>
      <c r="N14" s="8"/>
      <c r="O14" s="81"/>
    </row>
    <row r="15" spans="1:18">
      <c r="A15" s="55">
        <v>12</v>
      </c>
      <c r="B15" s="264">
        <v>45850</v>
      </c>
      <c r="C15" s="79"/>
      <c r="D15" s="179"/>
      <c r="E15" s="321">
        <v>400</v>
      </c>
      <c r="F15" s="321">
        <v>97.1</v>
      </c>
      <c r="G15" s="8">
        <f t="shared" si="1"/>
        <v>38840</v>
      </c>
      <c r="H15" s="77">
        <v>5</v>
      </c>
      <c r="I15" s="78">
        <v>108.83</v>
      </c>
      <c r="J15" s="8">
        <f t="shared" si="2"/>
        <v>544.15</v>
      </c>
      <c r="K15" s="8">
        <f t="shared" si="3"/>
        <v>39384.15</v>
      </c>
      <c r="L15" s="80">
        <v>0</v>
      </c>
      <c r="M15" s="80">
        <f t="shared" si="4"/>
        <v>361695.973</v>
      </c>
      <c r="N15" s="8"/>
      <c r="O15" s="81"/>
    </row>
    <row r="16" spans="1:18">
      <c r="A16" s="55">
        <v>13</v>
      </c>
      <c r="B16" s="264">
        <v>45851</v>
      </c>
      <c r="C16" s="79"/>
      <c r="D16" s="179"/>
      <c r="E16" s="321">
        <v>642.54999999999995</v>
      </c>
      <c r="F16" s="321">
        <v>97.1</v>
      </c>
      <c r="G16" s="8">
        <f t="shared" si="1"/>
        <v>62391.604999999989</v>
      </c>
      <c r="H16" s="77">
        <v>0</v>
      </c>
      <c r="I16" s="78">
        <v>0</v>
      </c>
      <c r="J16" s="8">
        <f t="shared" si="2"/>
        <v>0</v>
      </c>
      <c r="K16" s="8">
        <f t="shared" si="3"/>
        <v>62391.604999999989</v>
      </c>
      <c r="L16" s="80">
        <v>0</v>
      </c>
      <c r="M16" s="80">
        <f t="shared" si="4"/>
        <v>424087.57799999998</v>
      </c>
      <c r="N16" s="8"/>
      <c r="O16" s="81"/>
    </row>
    <row r="17" spans="1:17">
      <c r="A17" s="55">
        <v>14</v>
      </c>
      <c r="B17" s="264">
        <v>45852</v>
      </c>
      <c r="C17" s="79"/>
      <c r="D17" s="179"/>
      <c r="E17" s="321">
        <f>51+58.5</f>
        <v>109.5</v>
      </c>
      <c r="F17" s="321">
        <v>97.1</v>
      </c>
      <c r="G17" s="8">
        <f t="shared" si="1"/>
        <v>10632.449999999999</v>
      </c>
      <c r="H17" s="77">
        <v>0</v>
      </c>
      <c r="I17" s="78">
        <v>0</v>
      </c>
      <c r="J17" s="8">
        <f t="shared" si="2"/>
        <v>0</v>
      </c>
      <c r="K17" s="8">
        <f t="shared" si="3"/>
        <v>10632.449999999999</v>
      </c>
      <c r="L17" s="80"/>
      <c r="M17" s="80">
        <f t="shared" si="4"/>
        <v>434720.02799999999</v>
      </c>
      <c r="N17" s="8"/>
      <c r="O17" s="81"/>
    </row>
    <row r="18" spans="1:17">
      <c r="A18" s="55">
        <v>15</v>
      </c>
      <c r="B18" s="264">
        <v>45853</v>
      </c>
      <c r="C18" s="79"/>
      <c r="D18" s="179"/>
      <c r="E18" s="321">
        <f>200+39+200</f>
        <v>439</v>
      </c>
      <c r="F18" s="321">
        <v>97.1</v>
      </c>
      <c r="G18" s="8">
        <f t="shared" si="1"/>
        <v>42626.899999999994</v>
      </c>
      <c r="H18" s="77">
        <v>5</v>
      </c>
      <c r="I18" s="78">
        <v>108.83</v>
      </c>
      <c r="J18" s="8">
        <f t="shared" si="2"/>
        <v>544.15</v>
      </c>
      <c r="K18" s="8">
        <f t="shared" si="3"/>
        <v>43171.049999999996</v>
      </c>
      <c r="L18" s="80">
        <v>424086</v>
      </c>
      <c r="M18" s="80">
        <f t="shared" si="4"/>
        <v>53805.07799999998</v>
      </c>
      <c r="N18" s="206"/>
      <c r="O18" s="81"/>
    </row>
    <row r="19" spans="1:17">
      <c r="A19" s="55">
        <v>16</v>
      </c>
      <c r="B19" s="264">
        <v>45854</v>
      </c>
      <c r="C19" s="79"/>
      <c r="D19" s="179"/>
      <c r="E19" s="321">
        <v>1492</v>
      </c>
      <c r="F19" s="321">
        <v>97.1</v>
      </c>
      <c r="G19" s="8">
        <f t="shared" si="1"/>
        <v>144873.19999999998</v>
      </c>
      <c r="H19" s="77">
        <v>0</v>
      </c>
      <c r="I19" s="78">
        <v>0</v>
      </c>
      <c r="J19" s="8">
        <f t="shared" si="2"/>
        <v>0</v>
      </c>
      <c r="K19" s="8">
        <f t="shared" si="3"/>
        <v>144873.19999999998</v>
      </c>
      <c r="L19" s="80">
        <v>0</v>
      </c>
      <c r="M19" s="353">
        <f t="shared" si="4"/>
        <v>198678.27799999996</v>
      </c>
      <c r="N19" s="352" t="s">
        <v>122</v>
      </c>
      <c r="O19" s="81"/>
    </row>
    <row r="20" spans="1:17">
      <c r="A20" s="55">
        <v>17</v>
      </c>
      <c r="B20" s="264">
        <v>45855</v>
      </c>
      <c r="C20" s="79"/>
      <c r="D20" s="179"/>
      <c r="E20" s="321">
        <v>453</v>
      </c>
      <c r="F20" s="321">
        <v>97.1</v>
      </c>
      <c r="G20" s="8">
        <f t="shared" si="1"/>
        <v>43986.299999999996</v>
      </c>
      <c r="H20" s="77">
        <v>10</v>
      </c>
      <c r="I20" s="78">
        <v>108.83</v>
      </c>
      <c r="J20" s="8">
        <f t="shared" si="2"/>
        <v>1088.3</v>
      </c>
      <c r="K20" s="8">
        <f t="shared" si="3"/>
        <v>45074.6</v>
      </c>
      <c r="L20" s="80">
        <v>0</v>
      </c>
      <c r="M20" s="80">
        <f t="shared" si="4"/>
        <v>243752.87799999997</v>
      </c>
      <c r="N20" s="21"/>
      <c r="O20" s="81"/>
    </row>
    <row r="21" spans="1:17">
      <c r="A21" s="55">
        <v>18</v>
      </c>
      <c r="B21" s="264">
        <v>45856</v>
      </c>
      <c r="C21" s="79"/>
      <c r="D21" s="179"/>
      <c r="E21" s="321">
        <v>851.35</v>
      </c>
      <c r="F21" s="321">
        <v>97.1</v>
      </c>
      <c r="G21" s="8">
        <f t="shared" si="1"/>
        <v>82666.084999999992</v>
      </c>
      <c r="H21" s="77">
        <v>0</v>
      </c>
      <c r="I21" s="78">
        <v>0</v>
      </c>
      <c r="J21" s="8">
        <f t="shared" si="2"/>
        <v>0</v>
      </c>
      <c r="K21" s="8">
        <f t="shared" si="3"/>
        <v>82666.084999999992</v>
      </c>
      <c r="L21" s="80">
        <v>0</v>
      </c>
      <c r="M21" s="80">
        <f t="shared" si="4"/>
        <v>326418.96299999999</v>
      </c>
      <c r="N21" s="8"/>
      <c r="O21" s="81"/>
    </row>
    <row r="22" spans="1:17">
      <c r="A22" s="55">
        <v>19</v>
      </c>
      <c r="B22" s="264">
        <v>45857</v>
      </c>
      <c r="C22" s="79"/>
      <c r="D22" s="179"/>
      <c r="E22" s="321">
        <v>1110.81</v>
      </c>
      <c r="F22" s="321">
        <v>97.1</v>
      </c>
      <c r="G22" s="8">
        <f t="shared" si="1"/>
        <v>107859.65099999998</v>
      </c>
      <c r="H22" s="77">
        <v>0</v>
      </c>
      <c r="I22" s="78">
        <v>0</v>
      </c>
      <c r="J22" s="8">
        <f t="shared" si="2"/>
        <v>0</v>
      </c>
      <c r="K22" s="8">
        <f t="shared" si="3"/>
        <v>107859.65099999998</v>
      </c>
      <c r="L22" s="80"/>
      <c r="M22" s="80">
        <f t="shared" si="4"/>
        <v>434278.61399999994</v>
      </c>
      <c r="N22" s="8"/>
      <c r="O22" s="81"/>
      <c r="Q22" s="24"/>
    </row>
    <row r="23" spans="1:17">
      <c r="A23" s="55">
        <v>20</v>
      </c>
      <c r="B23" s="264">
        <v>45858</v>
      </c>
      <c r="C23" s="79"/>
      <c r="D23" s="179"/>
      <c r="E23" s="321">
        <v>192.5</v>
      </c>
      <c r="F23" s="321">
        <v>97.1</v>
      </c>
      <c r="G23" s="8">
        <f t="shared" si="1"/>
        <v>18691.75</v>
      </c>
      <c r="H23" s="77">
        <v>0</v>
      </c>
      <c r="I23" s="78">
        <v>0</v>
      </c>
      <c r="J23" s="8">
        <f t="shared" si="2"/>
        <v>0</v>
      </c>
      <c r="K23" s="8">
        <f t="shared" si="3"/>
        <v>18691.75</v>
      </c>
      <c r="L23" s="80">
        <v>0</v>
      </c>
      <c r="M23" s="80">
        <f t="shared" si="4"/>
        <v>452970.36399999994</v>
      </c>
      <c r="N23" s="8"/>
      <c r="O23" s="81"/>
    </row>
    <row r="24" spans="1:17">
      <c r="A24" s="55">
        <v>21</v>
      </c>
      <c r="B24" s="264">
        <v>45859</v>
      </c>
      <c r="C24" s="79"/>
      <c r="D24" s="179"/>
      <c r="E24" s="321">
        <v>1107.33</v>
      </c>
      <c r="F24" s="321">
        <v>97.1</v>
      </c>
      <c r="G24" s="8">
        <f t="shared" si="1"/>
        <v>107521.74299999999</v>
      </c>
      <c r="H24" s="77">
        <v>5</v>
      </c>
      <c r="I24" s="78">
        <v>108.83</v>
      </c>
      <c r="J24" s="8">
        <f t="shared" si="2"/>
        <v>544.15</v>
      </c>
      <c r="K24" s="8">
        <f t="shared" si="3"/>
        <v>108065.89299999998</v>
      </c>
      <c r="L24" s="80">
        <v>0</v>
      </c>
      <c r="M24" s="80">
        <f t="shared" si="4"/>
        <v>561036.25699999998</v>
      </c>
      <c r="N24" s="8"/>
      <c r="O24" s="81"/>
    </row>
    <row r="25" spans="1:17">
      <c r="A25" s="55">
        <v>22</v>
      </c>
      <c r="B25" s="264">
        <v>45860</v>
      </c>
      <c r="C25" s="79"/>
      <c r="D25" s="179"/>
      <c r="E25" s="321">
        <v>620</v>
      </c>
      <c r="F25" s="321">
        <v>97.1</v>
      </c>
      <c r="G25" s="8">
        <f t="shared" si="1"/>
        <v>60202</v>
      </c>
      <c r="H25" s="77">
        <v>0</v>
      </c>
      <c r="I25" s="78">
        <v>0</v>
      </c>
      <c r="J25" s="8">
        <f t="shared" si="2"/>
        <v>0</v>
      </c>
      <c r="K25" s="8">
        <f t="shared" si="3"/>
        <v>60202</v>
      </c>
      <c r="L25" s="80">
        <v>0</v>
      </c>
      <c r="M25" s="80">
        <f t="shared" si="4"/>
        <v>621238.25699999998</v>
      </c>
      <c r="N25" s="8"/>
      <c r="O25" s="81"/>
    </row>
    <row r="26" spans="1:17">
      <c r="A26" s="55">
        <v>23</v>
      </c>
      <c r="B26" s="264">
        <v>45861</v>
      </c>
      <c r="C26" s="79"/>
      <c r="D26" s="179"/>
      <c r="E26" s="321">
        <v>489.92</v>
      </c>
      <c r="F26" s="321">
        <v>97.1</v>
      </c>
      <c r="G26" s="8">
        <f t="shared" si="1"/>
        <v>47571.231999999996</v>
      </c>
      <c r="H26" s="77">
        <v>5</v>
      </c>
      <c r="I26" s="78">
        <v>108.83</v>
      </c>
      <c r="J26" s="8">
        <f t="shared" si="2"/>
        <v>544.15</v>
      </c>
      <c r="K26" s="8">
        <f t="shared" si="3"/>
        <v>48115.381999999998</v>
      </c>
      <c r="L26" s="80">
        <v>0</v>
      </c>
      <c r="M26" s="80">
        <f t="shared" si="4"/>
        <v>669353.63899999997</v>
      </c>
      <c r="N26" s="8"/>
      <c r="O26" s="81"/>
    </row>
    <row r="27" spans="1:17">
      <c r="A27" s="55">
        <v>24</v>
      </c>
      <c r="B27" s="264">
        <v>45862</v>
      </c>
      <c r="C27" s="79"/>
      <c r="D27" s="179"/>
      <c r="E27" s="321">
        <v>450</v>
      </c>
      <c r="F27" s="321">
        <v>97.1</v>
      </c>
      <c r="G27" s="8">
        <f>E27*F27</f>
        <v>43695</v>
      </c>
      <c r="H27" s="77">
        <v>0</v>
      </c>
      <c r="I27" s="78">
        <v>0</v>
      </c>
      <c r="J27" s="8">
        <f t="shared" si="2"/>
        <v>0</v>
      </c>
      <c r="K27" s="8">
        <f t="shared" si="3"/>
        <v>43695</v>
      </c>
      <c r="L27" s="80">
        <v>0</v>
      </c>
      <c r="M27" s="80">
        <f t="shared" si="4"/>
        <v>713048.63899999997</v>
      </c>
      <c r="N27" s="8"/>
      <c r="O27" s="81"/>
    </row>
    <row r="28" spans="1:17">
      <c r="A28" s="266">
        <v>25</v>
      </c>
      <c r="B28" s="264">
        <v>45863</v>
      </c>
      <c r="C28" s="79"/>
      <c r="D28" s="179"/>
      <c r="E28" s="321">
        <v>478.25</v>
      </c>
      <c r="F28" s="321">
        <v>97.1</v>
      </c>
      <c r="G28" s="8">
        <f t="shared" si="1"/>
        <v>46438.074999999997</v>
      </c>
      <c r="H28" s="77">
        <v>5</v>
      </c>
      <c r="I28" s="78">
        <v>108.83</v>
      </c>
      <c r="J28" s="8">
        <f t="shared" si="2"/>
        <v>544.15</v>
      </c>
      <c r="K28" s="8">
        <f t="shared" si="3"/>
        <v>46982.224999999999</v>
      </c>
      <c r="L28" s="80">
        <v>300000</v>
      </c>
      <c r="M28" s="80">
        <f t="shared" si="4"/>
        <v>460030.86399999994</v>
      </c>
      <c r="N28" s="8"/>
      <c r="O28" s="81"/>
    </row>
    <row r="29" spans="1:17">
      <c r="A29" s="266">
        <v>26</v>
      </c>
      <c r="B29" s="264">
        <v>45864</v>
      </c>
      <c r="C29" s="79"/>
      <c r="D29" s="179"/>
      <c r="E29" s="408">
        <v>729</v>
      </c>
      <c r="F29" s="321">
        <v>97.1</v>
      </c>
      <c r="G29" s="8">
        <f t="shared" si="1"/>
        <v>70785.899999999994</v>
      </c>
      <c r="H29" s="77">
        <v>0</v>
      </c>
      <c r="I29" s="78">
        <v>0</v>
      </c>
      <c r="J29" s="8">
        <f t="shared" si="2"/>
        <v>0</v>
      </c>
      <c r="K29" s="8">
        <f t="shared" si="3"/>
        <v>70785.899999999994</v>
      </c>
      <c r="L29" s="80">
        <v>300000</v>
      </c>
      <c r="M29" s="80">
        <f t="shared" si="4"/>
        <v>230816.76399999997</v>
      </c>
      <c r="N29" s="8"/>
      <c r="O29" s="81"/>
    </row>
    <row r="30" spans="1:17">
      <c r="A30" s="266">
        <v>27</v>
      </c>
      <c r="B30" s="264">
        <v>45865</v>
      </c>
      <c r="C30" s="79"/>
      <c r="D30" s="179"/>
      <c r="E30" s="408">
        <v>165.73</v>
      </c>
      <c r="F30" s="321">
        <v>97.1</v>
      </c>
      <c r="G30" s="8">
        <f t="shared" si="1"/>
        <v>16092.382999999998</v>
      </c>
      <c r="H30" s="77">
        <v>0</v>
      </c>
      <c r="I30" s="78">
        <v>0</v>
      </c>
      <c r="J30" s="8">
        <f t="shared" si="2"/>
        <v>0</v>
      </c>
      <c r="K30" s="8">
        <f t="shared" si="3"/>
        <v>16092.382999999998</v>
      </c>
      <c r="L30" s="80">
        <v>0</v>
      </c>
      <c r="M30" s="80">
        <f t="shared" si="4"/>
        <v>246909.14699999997</v>
      </c>
      <c r="N30" s="8"/>
      <c r="O30" s="81"/>
    </row>
    <row r="31" spans="1:17">
      <c r="A31" s="266">
        <v>28</v>
      </c>
      <c r="B31" s="264">
        <v>45866</v>
      </c>
      <c r="C31" s="79"/>
      <c r="D31" s="179"/>
      <c r="E31" s="321">
        <v>1040</v>
      </c>
      <c r="F31" s="321">
        <v>97.1</v>
      </c>
      <c r="G31" s="8">
        <f t="shared" si="1"/>
        <v>100984</v>
      </c>
      <c r="H31" s="77">
        <v>10</v>
      </c>
      <c r="I31" s="78">
        <v>108.83</v>
      </c>
      <c r="J31" s="8">
        <f t="shared" si="2"/>
        <v>1088.3</v>
      </c>
      <c r="K31" s="8">
        <f t="shared" si="3"/>
        <v>102072.3</v>
      </c>
      <c r="L31" s="80">
        <v>0</v>
      </c>
      <c r="M31" s="80">
        <f t="shared" si="4"/>
        <v>348981.44699999999</v>
      </c>
      <c r="N31" s="8"/>
      <c r="O31" s="81"/>
    </row>
    <row r="32" spans="1:17">
      <c r="A32" s="267">
        <v>29</v>
      </c>
      <c r="B32" s="264">
        <v>45867</v>
      </c>
      <c r="C32" s="79"/>
      <c r="D32" s="179"/>
      <c r="E32" s="321">
        <v>733</v>
      </c>
      <c r="F32" s="321">
        <v>97.1</v>
      </c>
      <c r="G32" s="8">
        <f t="shared" si="1"/>
        <v>71174.3</v>
      </c>
      <c r="H32" s="77">
        <v>0</v>
      </c>
      <c r="I32" s="78">
        <v>0</v>
      </c>
      <c r="J32" s="8">
        <f t="shared" si="2"/>
        <v>0</v>
      </c>
      <c r="K32" s="8">
        <f t="shared" si="3"/>
        <v>71174.3</v>
      </c>
      <c r="L32" s="80">
        <v>0</v>
      </c>
      <c r="M32" s="80">
        <f t="shared" si="4"/>
        <v>420155.74699999997</v>
      </c>
      <c r="N32" s="8"/>
      <c r="O32" s="81"/>
    </row>
    <row r="33" spans="1:15">
      <c r="A33" s="267">
        <v>30</v>
      </c>
      <c r="B33" s="264">
        <v>45868</v>
      </c>
      <c r="C33" s="79"/>
      <c r="D33" s="179"/>
      <c r="E33" s="321">
        <v>887</v>
      </c>
      <c r="F33" s="321">
        <v>97.1</v>
      </c>
      <c r="G33" s="8">
        <f t="shared" si="1"/>
        <v>86127.7</v>
      </c>
      <c r="H33" s="77">
        <v>5</v>
      </c>
      <c r="I33" s="78">
        <v>108.83</v>
      </c>
      <c r="J33" s="8">
        <f t="shared" si="2"/>
        <v>544.15</v>
      </c>
      <c r="K33" s="8">
        <f t="shared" si="3"/>
        <v>86671.849999999991</v>
      </c>
      <c r="L33" s="80">
        <v>0</v>
      </c>
      <c r="M33" s="80">
        <f t="shared" si="4"/>
        <v>506827.59699999995</v>
      </c>
      <c r="N33" s="8"/>
      <c r="O33" s="81"/>
    </row>
    <row r="34" spans="1:15">
      <c r="A34" s="267">
        <v>31</v>
      </c>
      <c r="B34" s="264">
        <v>45868</v>
      </c>
      <c r="C34" s="79"/>
      <c r="D34" s="179"/>
      <c r="E34" s="321">
        <v>763.11</v>
      </c>
      <c r="F34" s="321">
        <v>97.1</v>
      </c>
      <c r="G34" s="8">
        <f t="shared" si="1"/>
        <v>74097.981</v>
      </c>
      <c r="H34" s="77">
        <v>0</v>
      </c>
      <c r="I34" s="78">
        <v>0</v>
      </c>
      <c r="J34" s="8">
        <f t="shared" si="2"/>
        <v>0</v>
      </c>
      <c r="K34" s="8">
        <f t="shared" si="3"/>
        <v>74097.981</v>
      </c>
      <c r="L34" s="80">
        <v>0</v>
      </c>
      <c r="M34" s="80">
        <f t="shared" si="4"/>
        <v>580925.57799999998</v>
      </c>
      <c r="N34" s="8"/>
      <c r="O34" s="81"/>
    </row>
    <row r="35" spans="1:15">
      <c r="A35" s="74"/>
      <c r="B35" s="74"/>
      <c r="C35" s="74"/>
      <c r="D35" s="74"/>
      <c r="E35" s="322">
        <f>SUM(E4:E34)</f>
        <v>16462.22</v>
      </c>
      <c r="F35" s="322"/>
      <c r="G35" s="75">
        <f>SUM(G4:G34)</f>
        <v>1598481.5619999997</v>
      </c>
      <c r="H35" s="75">
        <f>SUM(H4:H34)</f>
        <v>60</v>
      </c>
      <c r="I35" s="75"/>
      <c r="J35" s="75">
        <f>SUM(J4:J34)</f>
        <v>6529.7999999999993</v>
      </c>
      <c r="K35" s="75">
        <f>SUM(K4:K34)</f>
        <v>1605011.3619999997</v>
      </c>
      <c r="L35" s="75">
        <f>SUM(L4:L34)</f>
        <v>1193133</v>
      </c>
      <c r="M35" s="75"/>
      <c r="N35" s="75"/>
      <c r="O35" s="71"/>
    </row>
    <row r="36" spans="1:15">
      <c r="A36" s="85"/>
      <c r="B36" s="86"/>
      <c r="C36" s="85"/>
      <c r="D36" s="85"/>
      <c r="E36" s="87"/>
      <c r="F36" s="87"/>
      <c r="G36" s="87"/>
      <c r="H36" s="87"/>
      <c r="I36" s="87"/>
      <c r="J36" s="88"/>
      <c r="K36" s="88"/>
      <c r="L36" s="88"/>
      <c r="M36" s="88"/>
      <c r="N36" s="87"/>
      <c r="O36" s="81"/>
    </row>
    <row r="37" spans="1:15">
      <c r="O37" s="81"/>
    </row>
    <row r="38" spans="1:15">
      <c r="O38" s="81"/>
    </row>
    <row r="39" spans="1:15">
      <c r="O39" s="81"/>
    </row>
    <row r="40" spans="1:15">
      <c r="O40" s="81"/>
    </row>
    <row r="41" spans="1:15">
      <c r="O41" s="81"/>
    </row>
    <row r="42" spans="1:15">
      <c r="A42" s="81"/>
      <c r="B42" s="71"/>
      <c r="C42" s="81"/>
      <c r="D42" s="81"/>
      <c r="E42" s="81"/>
      <c r="F42" s="81"/>
      <c r="G42" s="89"/>
      <c r="H42" s="81"/>
      <c r="I42" s="81"/>
      <c r="J42" s="71"/>
      <c r="K42" s="71"/>
      <c r="L42" s="71"/>
      <c r="M42" s="71"/>
      <c r="N42" s="81"/>
      <c r="O42" s="87"/>
    </row>
    <row r="43" spans="1:15">
      <c r="A43" s="81"/>
      <c r="B43" s="430"/>
      <c r="C43" s="430"/>
      <c r="D43" s="430"/>
      <c r="E43" s="430"/>
      <c r="F43" s="81"/>
      <c r="G43" s="81"/>
      <c r="H43" s="81"/>
      <c r="I43" s="430"/>
      <c r="J43" s="430"/>
      <c r="K43" s="430"/>
      <c r="L43" s="430"/>
      <c r="M43" s="430"/>
      <c r="N43" s="430"/>
      <c r="O43" s="87"/>
    </row>
    <row r="44" spans="1:15">
      <c r="A44" s="81"/>
      <c r="B44" s="71"/>
      <c r="C44" s="81"/>
      <c r="D44" s="81"/>
      <c r="E44" s="81"/>
      <c r="F44" s="81"/>
      <c r="G44" s="81"/>
      <c r="H44" s="81"/>
      <c r="I44" s="81"/>
      <c r="J44" s="71"/>
      <c r="K44" s="71"/>
      <c r="L44" s="71"/>
      <c r="M44" s="71"/>
      <c r="N44" s="81"/>
      <c r="O44" s="87"/>
    </row>
  </sheetData>
  <mergeCells count="4">
    <mergeCell ref="A1:N1"/>
    <mergeCell ref="A3:L3"/>
    <mergeCell ref="B43:E43"/>
    <mergeCell ref="I43:N43"/>
  </mergeCells>
  <hyperlinks>
    <hyperlink ref="N19" r:id="rId1" xr:uid="{D157A590-9512-4734-821E-E8C1B924315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"/>
  <sheetViews>
    <sheetView view="pageBreakPreview" zoomScale="60" zoomScaleNormal="90" workbookViewId="0">
      <pane ySplit="2" topLeftCell="A3" activePane="bottomLeft" state="frozen"/>
      <selection pane="bottomLeft" activeCell="M37" sqref="M37"/>
    </sheetView>
  </sheetViews>
  <sheetFormatPr defaultColWidth="9.140625" defaultRowHeight="12.75"/>
  <cols>
    <col min="1" max="1" width="5.28515625" style="35" bestFit="1" customWidth="1"/>
    <col min="2" max="2" width="11.85546875" style="35" bestFit="1" customWidth="1"/>
    <col min="3" max="3" width="10.7109375" style="35" bestFit="1" customWidth="1"/>
    <col min="4" max="4" width="21.5703125" style="35" customWidth="1"/>
    <col min="5" max="5" width="10.85546875" style="35" bestFit="1" customWidth="1"/>
    <col min="6" max="6" width="13.7109375" style="35" bestFit="1" customWidth="1"/>
    <col min="7" max="7" width="15.28515625" style="35" customWidth="1"/>
    <col min="8" max="8" width="10.85546875" style="35" bestFit="1" customWidth="1"/>
    <col min="9" max="9" width="8.140625" style="35" bestFit="1" customWidth="1"/>
    <col min="10" max="10" width="10.85546875" style="35" bestFit="1" customWidth="1"/>
    <col min="11" max="11" width="13.85546875" style="35" bestFit="1" customWidth="1"/>
    <col min="12" max="12" width="12.7109375" style="35" bestFit="1" customWidth="1"/>
    <col min="13" max="13" width="12.7109375" style="35" customWidth="1"/>
    <col min="14" max="14" width="17.7109375" style="35" bestFit="1" customWidth="1"/>
    <col min="15" max="15" width="13.7109375" style="35" customWidth="1"/>
    <col min="16" max="16384" width="9.140625" style="35"/>
  </cols>
  <sheetData>
    <row r="1" spans="1:24" ht="12.75" customHeight="1">
      <c r="A1" s="426" t="s">
        <v>36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</row>
    <row r="2" spans="1:24" ht="13.5">
      <c r="A2" s="116" t="s">
        <v>105</v>
      </c>
      <c r="B2" s="121" t="s">
        <v>106</v>
      </c>
      <c r="C2" s="121" t="s">
        <v>107</v>
      </c>
      <c r="D2" s="121" t="s">
        <v>108</v>
      </c>
      <c r="E2" s="121" t="s">
        <v>109</v>
      </c>
      <c r="F2" s="121" t="s">
        <v>110</v>
      </c>
      <c r="G2" s="121" t="s">
        <v>111</v>
      </c>
      <c r="H2" s="121" t="s">
        <v>112</v>
      </c>
      <c r="I2" s="121" t="s">
        <v>110</v>
      </c>
      <c r="J2" s="121" t="s">
        <v>111</v>
      </c>
      <c r="K2" s="121" t="s">
        <v>113</v>
      </c>
      <c r="L2" s="121" t="s">
        <v>114</v>
      </c>
      <c r="M2" s="121" t="s">
        <v>120</v>
      </c>
      <c r="N2" s="121" t="s">
        <v>116</v>
      </c>
    </row>
    <row r="3" spans="1:24" ht="15">
      <c r="A3" s="420" t="s">
        <v>117</v>
      </c>
      <c r="B3" s="421"/>
      <c r="C3" s="421"/>
      <c r="D3" s="421"/>
      <c r="E3" s="421"/>
      <c r="F3" s="421"/>
      <c r="G3" s="421"/>
      <c r="H3" s="421"/>
      <c r="I3" s="421"/>
      <c r="J3" s="429"/>
      <c r="K3" s="170">
        <v>0</v>
      </c>
      <c r="L3" s="169"/>
      <c r="M3" s="169">
        <f>+K3</f>
        <v>0</v>
      </c>
      <c r="N3" s="122"/>
    </row>
    <row r="4" spans="1:24" ht="15">
      <c r="A4" s="28">
        <v>1</v>
      </c>
      <c r="B4" s="29">
        <v>45839</v>
      </c>
      <c r="C4" s="328"/>
      <c r="D4" s="329"/>
      <c r="E4" s="38"/>
      <c r="F4" s="38"/>
      <c r="G4" s="38">
        <f>E4*F4</f>
        <v>0</v>
      </c>
      <c r="H4" s="137">
        <v>0</v>
      </c>
      <c r="I4" s="137"/>
      <c r="J4" s="38">
        <f>H4*I4</f>
        <v>0</v>
      </c>
      <c r="K4" s="39">
        <f>G4+J4</f>
        <v>0</v>
      </c>
      <c r="L4" s="39">
        <v>0</v>
      </c>
      <c r="M4" s="39">
        <f>M3+K4-L4</f>
        <v>0</v>
      </c>
      <c r="N4" s="53"/>
    </row>
    <row r="5" spans="1:24" ht="15">
      <c r="A5" s="28">
        <v>2</v>
      </c>
      <c r="B5" s="29">
        <v>45840</v>
      </c>
      <c r="C5" s="328"/>
      <c r="D5" s="329"/>
      <c r="E5" s="38"/>
      <c r="F5" s="38"/>
      <c r="G5" s="38">
        <f t="shared" ref="G5:G34" si="0">E5*F5</f>
        <v>0</v>
      </c>
      <c r="H5" s="137">
        <v>0</v>
      </c>
      <c r="I5" s="137">
        <v>0</v>
      </c>
      <c r="J5" s="38">
        <f t="shared" ref="J5:J34" si="1">H5*I5</f>
        <v>0</v>
      </c>
      <c r="K5" s="39">
        <f t="shared" ref="K5:K34" si="2">G5+J5</f>
        <v>0</v>
      </c>
      <c r="L5" s="39">
        <v>0</v>
      </c>
      <c r="M5" s="39">
        <f t="shared" ref="M5:M34" si="3">M4+K5-L5</f>
        <v>0</v>
      </c>
      <c r="N5" s="53"/>
    </row>
    <row r="6" spans="1:24" ht="15">
      <c r="A6" s="28">
        <v>3</v>
      </c>
      <c r="B6" s="29">
        <v>45841</v>
      </c>
      <c r="C6" s="328"/>
      <c r="D6" s="329"/>
      <c r="E6" s="38"/>
      <c r="F6" s="38"/>
      <c r="G6" s="38">
        <f t="shared" si="0"/>
        <v>0</v>
      </c>
      <c r="H6" s="137">
        <v>0</v>
      </c>
      <c r="I6" s="137">
        <v>0</v>
      </c>
      <c r="J6" s="38">
        <f t="shared" si="1"/>
        <v>0</v>
      </c>
      <c r="K6" s="39">
        <f t="shared" si="2"/>
        <v>0</v>
      </c>
      <c r="L6" s="39">
        <v>0</v>
      </c>
      <c r="M6" s="39">
        <f t="shared" si="3"/>
        <v>0</v>
      </c>
      <c r="N6" s="53"/>
    </row>
    <row r="7" spans="1:24" ht="15">
      <c r="A7" s="28">
        <v>4</v>
      </c>
      <c r="B7" s="29">
        <v>45842</v>
      </c>
      <c r="C7" s="328"/>
      <c r="D7" s="329"/>
      <c r="E7" s="38"/>
      <c r="F7" s="38"/>
      <c r="G7" s="38">
        <f t="shared" si="0"/>
        <v>0</v>
      </c>
      <c r="H7" s="137">
        <v>0</v>
      </c>
      <c r="I7" s="137">
        <v>0</v>
      </c>
      <c r="J7" s="38">
        <f t="shared" si="1"/>
        <v>0</v>
      </c>
      <c r="K7" s="39">
        <f t="shared" si="2"/>
        <v>0</v>
      </c>
      <c r="L7" s="39">
        <v>0</v>
      </c>
      <c r="M7" s="39">
        <f t="shared" si="3"/>
        <v>0</v>
      </c>
      <c r="N7" s="53"/>
    </row>
    <row r="8" spans="1:24" ht="15">
      <c r="A8" s="28">
        <v>5</v>
      </c>
      <c r="B8" s="29">
        <v>45843</v>
      </c>
      <c r="C8" s="328"/>
      <c r="D8" s="329"/>
      <c r="E8" s="38"/>
      <c r="F8" s="38"/>
      <c r="G8" s="38">
        <f t="shared" si="0"/>
        <v>0</v>
      </c>
      <c r="H8" s="137">
        <v>0</v>
      </c>
      <c r="I8" s="137">
        <v>0</v>
      </c>
      <c r="J8" s="38">
        <f t="shared" si="1"/>
        <v>0</v>
      </c>
      <c r="K8" s="39">
        <f t="shared" si="2"/>
        <v>0</v>
      </c>
      <c r="L8" s="39">
        <v>0</v>
      </c>
      <c r="M8" s="39">
        <f t="shared" si="3"/>
        <v>0</v>
      </c>
      <c r="N8" s="53"/>
    </row>
    <row r="9" spans="1:24" ht="15">
      <c r="A9" s="28">
        <v>6</v>
      </c>
      <c r="B9" s="29">
        <v>45844</v>
      </c>
      <c r="C9" s="328"/>
      <c r="D9" s="329"/>
      <c r="E9" s="38"/>
      <c r="F9" s="38"/>
      <c r="G9" s="38">
        <f t="shared" si="0"/>
        <v>0</v>
      </c>
      <c r="H9" s="137">
        <v>0</v>
      </c>
      <c r="I9" s="137">
        <v>0</v>
      </c>
      <c r="J9" s="38">
        <f t="shared" si="1"/>
        <v>0</v>
      </c>
      <c r="K9" s="39">
        <f t="shared" si="2"/>
        <v>0</v>
      </c>
      <c r="L9" s="39">
        <v>0</v>
      </c>
      <c r="M9" s="39">
        <f t="shared" si="3"/>
        <v>0</v>
      </c>
      <c r="N9" s="53"/>
    </row>
    <row r="10" spans="1:24" ht="15">
      <c r="A10" s="28">
        <v>7</v>
      </c>
      <c r="B10" s="29">
        <v>45845</v>
      </c>
      <c r="C10" s="328"/>
      <c r="D10" s="329"/>
      <c r="E10" s="38"/>
      <c r="F10" s="38"/>
      <c r="G10" s="38">
        <f t="shared" si="0"/>
        <v>0</v>
      </c>
      <c r="H10" s="137">
        <v>0</v>
      </c>
      <c r="I10" s="137">
        <v>0</v>
      </c>
      <c r="J10" s="38">
        <f t="shared" si="1"/>
        <v>0</v>
      </c>
      <c r="K10" s="39">
        <f t="shared" si="2"/>
        <v>0</v>
      </c>
      <c r="L10" s="39">
        <v>0</v>
      </c>
      <c r="M10" s="39">
        <f t="shared" si="3"/>
        <v>0</v>
      </c>
      <c r="N10" s="53"/>
    </row>
    <row r="11" spans="1:24" ht="15">
      <c r="A11" s="28">
        <v>8</v>
      </c>
      <c r="B11" s="29">
        <v>45846</v>
      </c>
      <c r="C11" s="328"/>
      <c r="D11" s="329"/>
      <c r="E11" s="38"/>
      <c r="F11" s="38"/>
      <c r="G11" s="38">
        <f t="shared" si="0"/>
        <v>0</v>
      </c>
      <c r="H11" s="137">
        <v>0</v>
      </c>
      <c r="I11" s="137">
        <v>0</v>
      </c>
      <c r="J11" s="38">
        <f t="shared" si="1"/>
        <v>0</v>
      </c>
      <c r="K11" s="39">
        <f t="shared" si="2"/>
        <v>0</v>
      </c>
      <c r="L11" s="39">
        <v>0</v>
      </c>
      <c r="M11" s="39">
        <f t="shared" si="3"/>
        <v>0</v>
      </c>
      <c r="N11" s="53"/>
    </row>
    <row r="12" spans="1:24" ht="15">
      <c r="A12" s="28">
        <v>9</v>
      </c>
      <c r="B12" s="29">
        <v>45847</v>
      </c>
      <c r="C12" s="328"/>
      <c r="D12" s="329"/>
      <c r="E12" s="38">
        <v>1000</v>
      </c>
      <c r="F12" s="38">
        <v>91.8</v>
      </c>
      <c r="G12" s="38">
        <f t="shared" si="0"/>
        <v>91800</v>
      </c>
      <c r="H12" s="137">
        <v>70</v>
      </c>
      <c r="I12" s="137">
        <v>103.99</v>
      </c>
      <c r="J12" s="38">
        <f t="shared" si="1"/>
        <v>7279.2999999999993</v>
      </c>
      <c r="K12" s="39">
        <f t="shared" si="2"/>
        <v>99079.3</v>
      </c>
      <c r="L12" s="39">
        <v>0</v>
      </c>
      <c r="M12" s="39">
        <f t="shared" si="3"/>
        <v>99079.3</v>
      </c>
      <c r="N12" s="53"/>
    </row>
    <row r="13" spans="1:24" ht="15">
      <c r="A13" s="28">
        <v>10</v>
      </c>
      <c r="B13" s="29">
        <v>45848</v>
      </c>
      <c r="C13" s="328"/>
      <c r="D13" s="329"/>
      <c r="E13" s="38"/>
      <c r="F13" s="38"/>
      <c r="G13" s="38">
        <f t="shared" si="0"/>
        <v>0</v>
      </c>
      <c r="H13" s="137">
        <v>0</v>
      </c>
      <c r="I13" s="137">
        <v>0</v>
      </c>
      <c r="J13" s="38">
        <f t="shared" si="1"/>
        <v>0</v>
      </c>
      <c r="K13" s="39">
        <f t="shared" si="2"/>
        <v>0</v>
      </c>
      <c r="L13" s="39">
        <v>0</v>
      </c>
      <c r="M13" s="39">
        <f t="shared" si="3"/>
        <v>99079.3</v>
      </c>
      <c r="N13" s="53"/>
    </row>
    <row r="14" spans="1:24" ht="15">
      <c r="A14" s="28">
        <v>11</v>
      </c>
      <c r="B14" s="29">
        <v>45849</v>
      </c>
      <c r="C14" s="328"/>
      <c r="D14" s="329"/>
      <c r="E14" s="38"/>
      <c r="F14" s="38"/>
      <c r="G14" s="38">
        <f t="shared" si="0"/>
        <v>0</v>
      </c>
      <c r="H14" s="137">
        <v>0</v>
      </c>
      <c r="I14" s="137">
        <v>0</v>
      </c>
      <c r="J14" s="38">
        <f t="shared" si="1"/>
        <v>0</v>
      </c>
      <c r="K14" s="39">
        <f t="shared" si="2"/>
        <v>0</v>
      </c>
      <c r="L14" s="39">
        <v>0</v>
      </c>
      <c r="M14" s="39">
        <f t="shared" si="3"/>
        <v>99079.3</v>
      </c>
      <c r="N14" s="53"/>
    </row>
    <row r="15" spans="1:24" ht="15">
      <c r="A15" s="28">
        <v>12</v>
      </c>
      <c r="B15" s="29">
        <v>45850</v>
      </c>
      <c r="C15" s="328"/>
      <c r="D15" s="329"/>
      <c r="E15" s="38"/>
      <c r="F15" s="38"/>
      <c r="G15" s="38">
        <f t="shared" si="0"/>
        <v>0</v>
      </c>
      <c r="H15" s="137">
        <v>0</v>
      </c>
      <c r="I15" s="137">
        <v>0</v>
      </c>
      <c r="J15" s="38">
        <f t="shared" si="1"/>
        <v>0</v>
      </c>
      <c r="K15" s="39">
        <f t="shared" si="2"/>
        <v>0</v>
      </c>
      <c r="L15" s="39">
        <v>0</v>
      </c>
      <c r="M15" s="39">
        <f t="shared" si="3"/>
        <v>99079.3</v>
      </c>
      <c r="N15" s="53"/>
    </row>
    <row r="16" spans="1:24" ht="15">
      <c r="A16" s="28">
        <v>13</v>
      </c>
      <c r="B16" s="29">
        <v>45851</v>
      </c>
      <c r="C16" s="328"/>
      <c r="D16" s="329"/>
      <c r="E16" s="38"/>
      <c r="F16" s="38"/>
      <c r="G16" s="38">
        <f t="shared" si="0"/>
        <v>0</v>
      </c>
      <c r="H16" s="137">
        <v>0</v>
      </c>
      <c r="I16" s="137">
        <v>0</v>
      </c>
      <c r="J16" s="38">
        <f t="shared" si="1"/>
        <v>0</v>
      </c>
      <c r="K16" s="39">
        <f t="shared" si="2"/>
        <v>0</v>
      </c>
      <c r="L16" s="39">
        <v>0</v>
      </c>
      <c r="M16" s="39">
        <f t="shared" si="3"/>
        <v>99079.3</v>
      </c>
      <c r="N16" s="53"/>
      <c r="X16" s="35">
        <f>100*104</f>
        <v>10400</v>
      </c>
    </row>
    <row r="17" spans="1:14" ht="15">
      <c r="A17" s="28">
        <v>14</v>
      </c>
      <c r="B17" s="29">
        <v>45852</v>
      </c>
      <c r="C17" s="328"/>
      <c r="D17" s="329"/>
      <c r="E17" s="38"/>
      <c r="F17" s="38"/>
      <c r="G17" s="38">
        <f t="shared" si="0"/>
        <v>0</v>
      </c>
      <c r="H17" s="137">
        <v>0</v>
      </c>
      <c r="I17" s="137">
        <v>0</v>
      </c>
      <c r="J17" s="38">
        <f t="shared" si="1"/>
        <v>0</v>
      </c>
      <c r="K17" s="39">
        <f t="shared" si="2"/>
        <v>0</v>
      </c>
      <c r="L17" s="39">
        <v>0</v>
      </c>
      <c r="M17" s="39">
        <f t="shared" si="3"/>
        <v>99079.3</v>
      </c>
      <c r="N17" s="53"/>
    </row>
    <row r="18" spans="1:14" ht="15">
      <c r="A18" s="28">
        <v>15</v>
      </c>
      <c r="B18" s="29">
        <v>45853</v>
      </c>
      <c r="C18" s="328"/>
      <c r="D18" s="329"/>
      <c r="E18" s="38"/>
      <c r="F18" s="38"/>
      <c r="G18" s="38">
        <f t="shared" si="0"/>
        <v>0</v>
      </c>
      <c r="H18" s="137">
        <v>0</v>
      </c>
      <c r="I18" s="137">
        <v>0</v>
      </c>
      <c r="J18" s="38">
        <f t="shared" si="1"/>
        <v>0</v>
      </c>
      <c r="K18" s="39">
        <f t="shared" si="2"/>
        <v>0</v>
      </c>
      <c r="L18" s="39">
        <v>0</v>
      </c>
      <c r="M18" s="39">
        <f t="shared" si="3"/>
        <v>99079.3</v>
      </c>
      <c r="N18" s="53"/>
    </row>
    <row r="19" spans="1:14" ht="15">
      <c r="A19" s="28">
        <v>16</v>
      </c>
      <c r="B19" s="29">
        <v>45854</v>
      </c>
      <c r="C19" s="328"/>
      <c r="D19" s="329"/>
      <c r="E19" s="38"/>
      <c r="F19" s="38"/>
      <c r="G19" s="38">
        <f t="shared" si="0"/>
        <v>0</v>
      </c>
      <c r="H19" s="137">
        <v>0</v>
      </c>
      <c r="I19" s="137">
        <v>0</v>
      </c>
      <c r="J19" s="38">
        <f t="shared" si="1"/>
        <v>0</v>
      </c>
      <c r="K19" s="39">
        <f t="shared" si="2"/>
        <v>0</v>
      </c>
      <c r="L19" s="39">
        <v>0</v>
      </c>
      <c r="M19" s="39">
        <f t="shared" si="3"/>
        <v>99079.3</v>
      </c>
      <c r="N19" s="53"/>
    </row>
    <row r="20" spans="1:14" ht="15">
      <c r="A20" s="28">
        <v>17</v>
      </c>
      <c r="B20" s="29">
        <v>45855</v>
      </c>
      <c r="C20" s="328"/>
      <c r="D20" s="329"/>
      <c r="E20" s="38"/>
      <c r="F20" s="38"/>
      <c r="G20" s="38">
        <f t="shared" si="0"/>
        <v>0</v>
      </c>
      <c r="H20" s="137">
        <v>0</v>
      </c>
      <c r="I20" s="137">
        <v>0</v>
      </c>
      <c r="J20" s="38">
        <f t="shared" si="1"/>
        <v>0</v>
      </c>
      <c r="K20" s="39">
        <f t="shared" si="2"/>
        <v>0</v>
      </c>
      <c r="L20" s="39">
        <v>0</v>
      </c>
      <c r="M20" s="39">
        <f t="shared" si="3"/>
        <v>99079.3</v>
      </c>
      <c r="N20" s="53"/>
    </row>
    <row r="21" spans="1:14" ht="15">
      <c r="A21" s="28">
        <v>18</v>
      </c>
      <c r="B21" s="29">
        <v>45856</v>
      </c>
      <c r="C21" s="328"/>
      <c r="D21" s="329"/>
      <c r="E21" s="38"/>
      <c r="F21" s="38"/>
      <c r="G21" s="38">
        <f t="shared" si="0"/>
        <v>0</v>
      </c>
      <c r="H21" s="137">
        <v>0</v>
      </c>
      <c r="I21" s="137">
        <v>0</v>
      </c>
      <c r="J21" s="38">
        <f t="shared" si="1"/>
        <v>0</v>
      </c>
      <c r="K21" s="39">
        <f t="shared" si="2"/>
        <v>0</v>
      </c>
      <c r="L21" s="39">
        <v>0</v>
      </c>
      <c r="M21" s="39">
        <f t="shared" si="3"/>
        <v>99079.3</v>
      </c>
      <c r="N21" s="53"/>
    </row>
    <row r="22" spans="1:14" ht="15">
      <c r="A22" s="28">
        <v>19</v>
      </c>
      <c r="B22" s="29">
        <v>45857</v>
      </c>
      <c r="C22" s="328"/>
      <c r="D22" s="329"/>
      <c r="E22" s="38"/>
      <c r="F22" s="38"/>
      <c r="G22" s="38">
        <f t="shared" si="0"/>
        <v>0</v>
      </c>
      <c r="H22" s="137">
        <v>0</v>
      </c>
      <c r="I22" s="137">
        <v>0</v>
      </c>
      <c r="J22" s="38">
        <f t="shared" si="1"/>
        <v>0</v>
      </c>
      <c r="K22" s="39">
        <f t="shared" si="2"/>
        <v>0</v>
      </c>
      <c r="L22" s="39">
        <v>99079.3</v>
      </c>
      <c r="M22" s="39">
        <f t="shared" si="3"/>
        <v>0</v>
      </c>
      <c r="N22" s="53"/>
    </row>
    <row r="23" spans="1:14" ht="15">
      <c r="A23" s="28">
        <v>20</v>
      </c>
      <c r="B23" s="29">
        <v>45858</v>
      </c>
      <c r="C23" s="328"/>
      <c r="D23" s="329"/>
      <c r="E23" s="38"/>
      <c r="F23" s="38"/>
      <c r="G23" s="38">
        <f t="shared" si="0"/>
        <v>0</v>
      </c>
      <c r="H23" s="137">
        <v>0</v>
      </c>
      <c r="I23" s="137">
        <v>0</v>
      </c>
      <c r="J23" s="38">
        <f t="shared" si="1"/>
        <v>0</v>
      </c>
      <c r="K23" s="39">
        <f t="shared" si="2"/>
        <v>0</v>
      </c>
      <c r="L23" s="39">
        <v>0</v>
      </c>
      <c r="M23" s="39">
        <f t="shared" si="3"/>
        <v>0</v>
      </c>
      <c r="N23" s="53"/>
    </row>
    <row r="24" spans="1:14" ht="15">
      <c r="A24" s="28">
        <v>21</v>
      </c>
      <c r="B24" s="29">
        <v>45859</v>
      </c>
      <c r="C24" s="328"/>
      <c r="D24" s="329"/>
      <c r="E24" s="38">
        <v>1500</v>
      </c>
      <c r="F24" s="38">
        <v>91.8</v>
      </c>
      <c r="G24" s="38">
        <f t="shared" si="0"/>
        <v>137700</v>
      </c>
      <c r="H24" s="137">
        <v>35</v>
      </c>
      <c r="I24" s="137">
        <v>111.31</v>
      </c>
      <c r="J24" s="38">
        <f t="shared" si="1"/>
        <v>3895.85</v>
      </c>
      <c r="K24" s="39">
        <f t="shared" si="2"/>
        <v>141595.85</v>
      </c>
      <c r="L24" s="39">
        <v>0</v>
      </c>
      <c r="M24" s="39">
        <f t="shared" si="3"/>
        <v>141595.85</v>
      </c>
      <c r="N24" s="53"/>
    </row>
    <row r="25" spans="1:14" ht="15">
      <c r="A25" s="28">
        <v>22</v>
      </c>
      <c r="B25" s="29">
        <v>45860</v>
      </c>
      <c r="C25" s="328"/>
      <c r="D25" s="329"/>
      <c r="E25" s="38"/>
      <c r="F25" s="38"/>
      <c r="G25" s="38">
        <f t="shared" si="0"/>
        <v>0</v>
      </c>
      <c r="H25" s="137">
        <v>0</v>
      </c>
      <c r="I25" s="137">
        <v>0</v>
      </c>
      <c r="J25" s="38">
        <f t="shared" si="1"/>
        <v>0</v>
      </c>
      <c r="K25" s="39">
        <f t="shared" si="2"/>
        <v>0</v>
      </c>
      <c r="L25" s="39">
        <v>0</v>
      </c>
      <c r="M25" s="39">
        <f t="shared" si="3"/>
        <v>141595.85</v>
      </c>
      <c r="N25" s="53"/>
    </row>
    <row r="26" spans="1:14" ht="15">
      <c r="A26" s="28">
        <v>23</v>
      </c>
      <c r="B26" s="29">
        <v>45861</v>
      </c>
      <c r="C26" s="328"/>
      <c r="D26" s="329"/>
      <c r="E26" s="38"/>
      <c r="F26" s="38"/>
      <c r="G26" s="38">
        <f t="shared" si="0"/>
        <v>0</v>
      </c>
      <c r="H26" s="137">
        <v>0</v>
      </c>
      <c r="I26" s="137">
        <v>0</v>
      </c>
      <c r="J26" s="38">
        <f t="shared" si="1"/>
        <v>0</v>
      </c>
      <c r="K26" s="39">
        <f t="shared" si="2"/>
        <v>0</v>
      </c>
      <c r="L26" s="39">
        <v>0</v>
      </c>
      <c r="M26" s="39">
        <f t="shared" si="3"/>
        <v>141595.85</v>
      </c>
      <c r="N26" s="53"/>
    </row>
    <row r="27" spans="1:14" ht="15">
      <c r="A27" s="28">
        <v>24</v>
      </c>
      <c r="B27" s="29">
        <v>45862</v>
      </c>
      <c r="C27" s="328"/>
      <c r="D27" s="329"/>
      <c r="E27" s="38"/>
      <c r="F27" s="38"/>
      <c r="G27" s="38">
        <f t="shared" si="0"/>
        <v>0</v>
      </c>
      <c r="H27" s="137">
        <v>0</v>
      </c>
      <c r="I27" s="137">
        <v>0</v>
      </c>
      <c r="J27" s="38">
        <f t="shared" si="1"/>
        <v>0</v>
      </c>
      <c r="K27" s="39">
        <f t="shared" si="2"/>
        <v>0</v>
      </c>
      <c r="L27" s="39">
        <v>0</v>
      </c>
      <c r="M27" s="39">
        <f t="shared" si="3"/>
        <v>141595.85</v>
      </c>
      <c r="N27" s="53"/>
    </row>
    <row r="28" spans="1:14" ht="15">
      <c r="A28" s="28">
        <v>25</v>
      </c>
      <c r="B28" s="29">
        <v>45863</v>
      </c>
      <c r="C28" s="328"/>
      <c r="D28" s="329"/>
      <c r="E28" s="38"/>
      <c r="F28" s="38"/>
      <c r="G28" s="38">
        <f t="shared" si="0"/>
        <v>0</v>
      </c>
      <c r="H28" s="137">
        <v>0</v>
      </c>
      <c r="I28" s="137">
        <v>0</v>
      </c>
      <c r="J28" s="38">
        <f t="shared" si="1"/>
        <v>0</v>
      </c>
      <c r="K28" s="39">
        <f t="shared" si="2"/>
        <v>0</v>
      </c>
      <c r="L28" s="39">
        <v>0</v>
      </c>
      <c r="M28" s="39">
        <f t="shared" si="3"/>
        <v>141595.85</v>
      </c>
      <c r="N28" s="53"/>
    </row>
    <row r="29" spans="1:14" ht="15">
      <c r="A29" s="28">
        <v>26</v>
      </c>
      <c r="B29" s="29">
        <v>45864</v>
      </c>
      <c r="C29" s="328"/>
      <c r="D29" s="329"/>
      <c r="E29" s="38"/>
      <c r="F29" s="38"/>
      <c r="G29" s="38">
        <f t="shared" si="0"/>
        <v>0</v>
      </c>
      <c r="H29" s="137">
        <v>0</v>
      </c>
      <c r="I29" s="137">
        <v>0</v>
      </c>
      <c r="J29" s="38">
        <f t="shared" si="1"/>
        <v>0</v>
      </c>
      <c r="K29" s="39">
        <f t="shared" si="2"/>
        <v>0</v>
      </c>
      <c r="L29" s="39">
        <v>0</v>
      </c>
      <c r="M29" s="39">
        <f t="shared" si="3"/>
        <v>141595.85</v>
      </c>
      <c r="N29" s="53"/>
    </row>
    <row r="30" spans="1:14" ht="15">
      <c r="A30" s="28">
        <v>27</v>
      </c>
      <c r="B30" s="29">
        <v>45865</v>
      </c>
      <c r="C30" s="328"/>
      <c r="D30" s="329"/>
      <c r="E30" s="38"/>
      <c r="F30" s="38"/>
      <c r="G30" s="38">
        <f t="shared" si="0"/>
        <v>0</v>
      </c>
      <c r="H30" s="137">
        <v>0</v>
      </c>
      <c r="I30" s="137">
        <v>0</v>
      </c>
      <c r="J30" s="38">
        <f t="shared" si="1"/>
        <v>0</v>
      </c>
      <c r="K30" s="39">
        <f t="shared" si="2"/>
        <v>0</v>
      </c>
      <c r="L30" s="39">
        <v>0</v>
      </c>
      <c r="M30" s="39">
        <f t="shared" si="3"/>
        <v>141595.85</v>
      </c>
      <c r="N30" s="53"/>
    </row>
    <row r="31" spans="1:14" ht="15">
      <c r="A31" s="28">
        <v>28</v>
      </c>
      <c r="B31" s="29">
        <v>45866</v>
      </c>
      <c r="C31" s="328"/>
      <c r="D31" s="329"/>
      <c r="E31" s="38"/>
      <c r="F31" s="38"/>
      <c r="G31" s="38">
        <f t="shared" si="0"/>
        <v>0</v>
      </c>
      <c r="H31" s="137">
        <v>0</v>
      </c>
      <c r="I31" s="137">
        <v>0</v>
      </c>
      <c r="J31" s="38">
        <f t="shared" si="1"/>
        <v>0</v>
      </c>
      <c r="K31" s="39">
        <f t="shared" si="2"/>
        <v>0</v>
      </c>
      <c r="L31" s="39">
        <v>0</v>
      </c>
      <c r="M31" s="39">
        <f t="shared" si="3"/>
        <v>141595.85</v>
      </c>
      <c r="N31" s="53"/>
    </row>
    <row r="32" spans="1:14" ht="15">
      <c r="A32" s="28">
        <v>29</v>
      </c>
      <c r="B32" s="29">
        <v>45867</v>
      </c>
      <c r="C32" s="328"/>
      <c r="D32" s="329"/>
      <c r="E32" s="38"/>
      <c r="F32" s="38"/>
      <c r="G32" s="38">
        <f t="shared" si="0"/>
        <v>0</v>
      </c>
      <c r="H32" s="137">
        <v>0</v>
      </c>
      <c r="I32" s="137">
        <v>0</v>
      </c>
      <c r="J32" s="38">
        <f t="shared" si="1"/>
        <v>0</v>
      </c>
      <c r="K32" s="39">
        <f t="shared" si="2"/>
        <v>0</v>
      </c>
      <c r="L32" s="39">
        <v>0</v>
      </c>
      <c r="M32" s="39">
        <f t="shared" si="3"/>
        <v>141595.85</v>
      </c>
      <c r="N32" s="53"/>
    </row>
    <row r="33" spans="1:14" ht="15">
      <c r="A33" s="28">
        <v>30</v>
      </c>
      <c r="B33" s="29">
        <v>45868</v>
      </c>
      <c r="C33" s="328"/>
      <c r="D33" s="329"/>
      <c r="E33" s="38"/>
      <c r="F33" s="38"/>
      <c r="G33" s="38">
        <f t="shared" si="0"/>
        <v>0</v>
      </c>
      <c r="H33" s="137">
        <v>0</v>
      </c>
      <c r="I33" s="137">
        <v>0</v>
      </c>
      <c r="J33" s="38">
        <f t="shared" si="1"/>
        <v>0</v>
      </c>
      <c r="K33" s="39">
        <f t="shared" si="2"/>
        <v>0</v>
      </c>
      <c r="L33" s="39">
        <v>0</v>
      </c>
      <c r="M33" s="39">
        <f t="shared" si="3"/>
        <v>141595.85</v>
      </c>
      <c r="N33" s="53"/>
    </row>
    <row r="34" spans="1:14" ht="15">
      <c r="A34" s="28">
        <v>31</v>
      </c>
      <c r="B34" s="29">
        <v>45869</v>
      </c>
      <c r="C34" s="122"/>
      <c r="D34" s="136"/>
      <c r="E34" s="38">
        <v>0</v>
      </c>
      <c r="F34" s="38">
        <v>0</v>
      </c>
      <c r="G34" s="38">
        <f t="shared" si="0"/>
        <v>0</v>
      </c>
      <c r="H34" s="137">
        <v>0</v>
      </c>
      <c r="I34" s="137">
        <v>0</v>
      </c>
      <c r="J34" s="38">
        <f t="shared" si="1"/>
        <v>0</v>
      </c>
      <c r="K34" s="39">
        <f t="shared" si="2"/>
        <v>0</v>
      </c>
      <c r="L34" s="39">
        <v>141596</v>
      </c>
      <c r="M34" s="39">
        <f t="shared" si="3"/>
        <v>-0.14999999999417923</v>
      </c>
      <c r="N34" s="53"/>
    </row>
    <row r="35" spans="1:14">
      <c r="A35" s="51"/>
      <c r="B35" s="51"/>
      <c r="C35" s="51"/>
      <c r="D35" s="51"/>
      <c r="E35" s="52">
        <f>SUM(E4:E34)</f>
        <v>2500</v>
      </c>
      <c r="F35" s="52"/>
      <c r="G35" s="52">
        <f>SUM(G4:G34)</f>
        <v>229500</v>
      </c>
      <c r="H35" s="52">
        <f>SUM(H4:H34)</f>
        <v>105</v>
      </c>
      <c r="I35" s="52"/>
      <c r="J35" s="52">
        <f>SUM(J4:J34)</f>
        <v>11175.15</v>
      </c>
      <c r="K35" s="52">
        <f>SUM(K4:K34)</f>
        <v>240675.15000000002</v>
      </c>
      <c r="L35" s="52">
        <f>SUM(L4:L34)</f>
        <v>240675.3</v>
      </c>
      <c r="M35" s="52"/>
      <c r="N35" s="52"/>
    </row>
    <row r="36" spans="1:14">
      <c r="A36" s="40"/>
      <c r="B36" s="40"/>
      <c r="C36" s="40"/>
      <c r="D36" s="40"/>
      <c r="E36" s="41"/>
      <c r="F36" s="41"/>
      <c r="G36" s="41"/>
      <c r="H36" s="41"/>
      <c r="I36" s="41"/>
      <c r="J36" s="41"/>
      <c r="K36" s="41"/>
      <c r="L36" s="41"/>
      <c r="M36" s="41"/>
      <c r="N36" s="41"/>
    </row>
    <row r="37" spans="1:14">
      <c r="G37" s="42"/>
    </row>
    <row r="38" spans="1:14">
      <c r="B38" s="431"/>
      <c r="C38" s="431"/>
      <c r="D38" s="431"/>
      <c r="E38" s="431"/>
      <c r="I38" s="431"/>
      <c r="J38" s="431"/>
      <c r="K38" s="431"/>
      <c r="L38" s="431"/>
      <c r="M38" s="431"/>
      <c r="N38" s="431"/>
    </row>
  </sheetData>
  <mergeCells count="4">
    <mergeCell ref="A1:N1"/>
    <mergeCell ref="I38:N38"/>
    <mergeCell ref="B38:E38"/>
    <mergeCell ref="A3:J3"/>
  </mergeCells>
  <printOptions horizontalCentered="1"/>
  <pageMargins left="3.937007874015748E-2" right="3.937007874015748E-2" top="3.937007874015748E-2" bottom="3.937007874015748E-2" header="0.31496062992125984" footer="0.31496062992125984"/>
  <pageSetup scale="39" fitToHeight="10" orientation="landscape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E987-7A95-4F93-8189-F0484DA603E1}">
  <dimension ref="A1:N35"/>
  <sheetViews>
    <sheetView workbookViewId="0">
      <selection activeCell="G45" sqref="G45"/>
    </sheetView>
  </sheetViews>
  <sheetFormatPr defaultRowHeight="15"/>
  <cols>
    <col min="2" max="2" width="9.5703125" bestFit="1" customWidth="1"/>
    <col min="3" max="3" width="11.7109375" customWidth="1"/>
    <col min="7" max="7" width="10.140625" bestFit="1" customWidth="1"/>
    <col min="11" max="11" width="10.140625" bestFit="1" customWidth="1"/>
    <col min="12" max="12" width="14.42578125" customWidth="1"/>
    <col min="13" max="13" width="10.7109375" bestFit="1" customWidth="1"/>
    <col min="16" max="16" width="10" customWidth="1"/>
  </cols>
  <sheetData>
    <row r="1" spans="1:14" ht="15.75" customHeight="1">
      <c r="A1" s="426" t="s">
        <v>38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</row>
    <row r="2" spans="1:14" ht="27">
      <c r="A2" s="116" t="s">
        <v>105</v>
      </c>
      <c r="B2" s="121" t="s">
        <v>106</v>
      </c>
      <c r="C2" s="121" t="s">
        <v>107</v>
      </c>
      <c r="D2" s="121" t="s">
        <v>108</v>
      </c>
      <c r="E2" s="121" t="s">
        <v>109</v>
      </c>
      <c r="F2" s="121" t="s">
        <v>110</v>
      </c>
      <c r="G2" s="121" t="s">
        <v>111</v>
      </c>
      <c r="H2" s="121" t="s">
        <v>112</v>
      </c>
      <c r="I2" s="121" t="s">
        <v>110</v>
      </c>
      <c r="J2" s="121" t="s">
        <v>111</v>
      </c>
      <c r="K2" s="121" t="s">
        <v>113</v>
      </c>
      <c r="L2" s="121" t="s">
        <v>114</v>
      </c>
      <c r="M2" s="121" t="s">
        <v>120</v>
      </c>
      <c r="N2" s="121" t="s">
        <v>116</v>
      </c>
    </row>
    <row r="3" spans="1:14">
      <c r="A3" s="420" t="s">
        <v>117</v>
      </c>
      <c r="B3" s="421"/>
      <c r="C3" s="421"/>
      <c r="D3" s="421"/>
      <c r="E3" s="421"/>
      <c r="F3" s="421"/>
      <c r="G3" s="421"/>
      <c r="H3" s="421"/>
      <c r="I3" s="421"/>
      <c r="J3" s="429"/>
      <c r="K3" s="170">
        <v>380044.40190000006</v>
      </c>
      <c r="L3" s="169"/>
      <c r="M3" s="169">
        <f>+K3</f>
        <v>380044.40190000006</v>
      </c>
      <c r="N3" s="122"/>
    </row>
    <row r="4" spans="1:14">
      <c r="A4" s="28">
        <v>1</v>
      </c>
      <c r="B4" s="29">
        <v>45839</v>
      </c>
      <c r="C4" s="122">
        <v>0</v>
      </c>
      <c r="D4" s="136"/>
      <c r="E4" s="39">
        <v>0</v>
      </c>
      <c r="F4" s="39">
        <v>0</v>
      </c>
      <c r="G4" s="39">
        <f>E4*F4</f>
        <v>0</v>
      </c>
      <c r="H4" s="137">
        <v>0</v>
      </c>
      <c r="I4" s="137">
        <v>0</v>
      </c>
      <c r="J4" s="39">
        <f>H4*I4</f>
        <v>0</v>
      </c>
      <c r="K4" s="39">
        <f>G4+J4</f>
        <v>0</v>
      </c>
      <c r="L4" s="39">
        <v>0</v>
      </c>
      <c r="M4" s="39">
        <f>M3+K4-L4</f>
        <v>380044.40190000006</v>
      </c>
      <c r="N4" s="53"/>
    </row>
    <row r="5" spans="1:14">
      <c r="A5" s="28">
        <v>2</v>
      </c>
      <c r="B5" s="29">
        <v>45840</v>
      </c>
      <c r="C5" s="122">
        <v>0</v>
      </c>
      <c r="D5" s="136"/>
      <c r="E5" s="39">
        <v>0</v>
      </c>
      <c r="F5" s="39">
        <v>0</v>
      </c>
      <c r="G5" s="39">
        <f t="shared" ref="G5:G20" si="0">E5*F5</f>
        <v>0</v>
      </c>
      <c r="H5" s="137">
        <v>0</v>
      </c>
      <c r="I5" s="137">
        <v>0</v>
      </c>
      <c r="J5" s="39">
        <f t="shared" ref="J5:J33" si="1">H5*I5</f>
        <v>0</v>
      </c>
      <c r="K5" s="39">
        <f t="shared" ref="K5:K33" si="2">G5+J5</f>
        <v>0</v>
      </c>
      <c r="L5" s="39">
        <v>0</v>
      </c>
      <c r="M5" s="39">
        <f>M4+K5-L5</f>
        <v>380044.40190000006</v>
      </c>
      <c r="N5" s="53"/>
    </row>
    <row r="6" spans="1:14">
      <c r="A6" s="28">
        <v>3</v>
      </c>
      <c r="B6" s="29">
        <v>45841</v>
      </c>
      <c r="C6" s="122">
        <v>0</v>
      </c>
      <c r="D6" s="136"/>
      <c r="E6" s="39">
        <v>0</v>
      </c>
      <c r="F6" s="39">
        <v>0</v>
      </c>
      <c r="G6" s="39">
        <f t="shared" si="0"/>
        <v>0</v>
      </c>
      <c r="H6" s="137">
        <v>100</v>
      </c>
      <c r="I6" s="137">
        <v>103.73</v>
      </c>
      <c r="J6" s="39">
        <f t="shared" si="1"/>
        <v>10373</v>
      </c>
      <c r="K6" s="39">
        <f t="shared" si="2"/>
        <v>10373</v>
      </c>
      <c r="L6" s="39">
        <v>0</v>
      </c>
      <c r="M6" s="39">
        <f>M5+K6-L6</f>
        <v>390417.40190000006</v>
      </c>
      <c r="N6" s="53"/>
    </row>
    <row r="7" spans="1:14">
      <c r="A7" s="28">
        <v>4</v>
      </c>
      <c r="B7" s="29">
        <v>45842</v>
      </c>
      <c r="C7" s="122">
        <v>0</v>
      </c>
      <c r="D7" s="136"/>
      <c r="E7" s="39">
        <v>2000</v>
      </c>
      <c r="F7" s="39">
        <v>91.55</v>
      </c>
      <c r="G7" s="39">
        <f t="shared" si="0"/>
        <v>183100</v>
      </c>
      <c r="H7" s="137">
        <v>0</v>
      </c>
      <c r="I7" s="137">
        <v>0</v>
      </c>
      <c r="J7" s="39">
        <f t="shared" si="1"/>
        <v>0</v>
      </c>
      <c r="K7" s="39">
        <f t="shared" si="2"/>
        <v>183100</v>
      </c>
      <c r="L7" s="39">
        <v>0</v>
      </c>
      <c r="M7" s="39">
        <f>M6+K7-L7</f>
        <v>573517.40190000006</v>
      </c>
      <c r="N7" s="53"/>
    </row>
    <row r="8" spans="1:14">
      <c r="A8" s="28">
        <v>5</v>
      </c>
      <c r="B8" s="29">
        <v>45843</v>
      </c>
      <c r="C8" s="122">
        <v>0</v>
      </c>
      <c r="D8" s="136"/>
      <c r="E8" s="39">
        <v>0</v>
      </c>
      <c r="F8" s="39">
        <v>0</v>
      </c>
      <c r="G8" s="39">
        <f t="shared" si="0"/>
        <v>0</v>
      </c>
      <c r="H8" s="137">
        <v>0</v>
      </c>
      <c r="I8" s="137">
        <v>0</v>
      </c>
      <c r="J8" s="39">
        <f t="shared" si="1"/>
        <v>0</v>
      </c>
      <c r="K8" s="39">
        <f t="shared" si="2"/>
        <v>0</v>
      </c>
      <c r="L8" s="39">
        <v>0</v>
      </c>
      <c r="M8" s="39">
        <f>M7+K8-L8</f>
        <v>573517.40190000006</v>
      </c>
      <c r="N8" s="53"/>
    </row>
    <row r="9" spans="1:14">
      <c r="A9" s="28">
        <v>6</v>
      </c>
      <c r="B9" s="29">
        <v>45844</v>
      </c>
      <c r="C9" s="122">
        <v>0</v>
      </c>
      <c r="D9" s="136"/>
      <c r="E9" s="39">
        <v>0</v>
      </c>
      <c r="F9" s="39">
        <v>0</v>
      </c>
      <c r="G9" s="39">
        <f t="shared" si="0"/>
        <v>0</v>
      </c>
      <c r="H9" s="137">
        <v>0</v>
      </c>
      <c r="I9" s="137">
        <v>0</v>
      </c>
      <c r="J9" s="39">
        <f t="shared" si="1"/>
        <v>0</v>
      </c>
      <c r="K9" s="39">
        <f t="shared" si="2"/>
        <v>0</v>
      </c>
      <c r="L9" s="39">
        <v>0</v>
      </c>
      <c r="M9" s="39">
        <f>M8+K9-L9</f>
        <v>573517.40190000006</v>
      </c>
      <c r="N9" s="53"/>
    </row>
    <row r="10" spans="1:14">
      <c r="A10" s="28">
        <v>7</v>
      </c>
      <c r="B10" s="29">
        <v>45845</v>
      </c>
      <c r="C10" s="122">
        <v>0</v>
      </c>
      <c r="D10" s="136"/>
      <c r="E10" s="39">
        <v>0</v>
      </c>
      <c r="F10" s="39">
        <v>0</v>
      </c>
      <c r="G10" s="39">
        <f t="shared" si="0"/>
        <v>0</v>
      </c>
      <c r="H10" s="137">
        <v>0</v>
      </c>
      <c r="I10" s="137">
        <v>0</v>
      </c>
      <c r="J10" s="39">
        <f t="shared" si="1"/>
        <v>0</v>
      </c>
      <c r="K10" s="39">
        <f t="shared" si="2"/>
        <v>0</v>
      </c>
      <c r="L10" s="39">
        <v>0</v>
      </c>
      <c r="M10" s="39">
        <f>M9+K10-L10</f>
        <v>573517.40190000006</v>
      </c>
      <c r="N10" s="53"/>
    </row>
    <row r="11" spans="1:14">
      <c r="A11" s="28">
        <v>8</v>
      </c>
      <c r="B11" s="29">
        <v>45846</v>
      </c>
      <c r="C11" s="122">
        <v>0</v>
      </c>
      <c r="D11" s="136"/>
      <c r="E11" s="39">
        <v>0</v>
      </c>
      <c r="F11" s="39">
        <v>0</v>
      </c>
      <c r="G11" s="39">
        <f t="shared" si="0"/>
        <v>0</v>
      </c>
      <c r="H11" s="137">
        <v>0</v>
      </c>
      <c r="I11" s="137">
        <v>0</v>
      </c>
      <c r="J11" s="39">
        <f t="shared" si="1"/>
        <v>0</v>
      </c>
      <c r="K11" s="39">
        <f t="shared" si="2"/>
        <v>0</v>
      </c>
      <c r="L11" s="39">
        <v>0</v>
      </c>
      <c r="M11" s="39">
        <f>M10+K11-L11</f>
        <v>573517.40190000006</v>
      </c>
      <c r="N11" s="53"/>
    </row>
    <row r="12" spans="1:14">
      <c r="A12" s="28">
        <v>9</v>
      </c>
      <c r="B12" s="29">
        <v>45847</v>
      </c>
      <c r="C12" s="122">
        <v>0</v>
      </c>
      <c r="D12" s="136"/>
      <c r="E12" s="39">
        <v>0</v>
      </c>
      <c r="F12" s="39">
        <v>0</v>
      </c>
      <c r="G12" s="39">
        <f t="shared" si="0"/>
        <v>0</v>
      </c>
      <c r="H12" s="137">
        <v>0</v>
      </c>
      <c r="I12" s="137">
        <v>0</v>
      </c>
      <c r="J12" s="39">
        <f t="shared" si="1"/>
        <v>0</v>
      </c>
      <c r="K12" s="39">
        <f t="shared" si="2"/>
        <v>0</v>
      </c>
      <c r="L12" s="39">
        <v>0</v>
      </c>
      <c r="M12" s="39">
        <f>M11+K12-L12</f>
        <v>573517.40190000006</v>
      </c>
      <c r="N12" s="53"/>
    </row>
    <row r="13" spans="1:14">
      <c r="A13" s="28">
        <v>10</v>
      </c>
      <c r="B13" s="29">
        <v>45848</v>
      </c>
      <c r="C13" s="122">
        <v>0</v>
      </c>
      <c r="D13" s="136"/>
      <c r="E13" s="39">
        <v>0</v>
      </c>
      <c r="F13" s="39">
        <v>0</v>
      </c>
      <c r="G13" s="39">
        <f t="shared" si="0"/>
        <v>0</v>
      </c>
      <c r="H13" s="137">
        <v>0</v>
      </c>
      <c r="I13" s="137">
        <v>0</v>
      </c>
      <c r="J13" s="39">
        <f t="shared" si="1"/>
        <v>0</v>
      </c>
      <c r="K13" s="39">
        <f t="shared" si="2"/>
        <v>0</v>
      </c>
      <c r="L13" s="39">
        <v>0</v>
      </c>
      <c r="M13" s="39">
        <f>M12+K13-L13</f>
        <v>573517.40190000006</v>
      </c>
      <c r="N13" s="53"/>
    </row>
    <row r="14" spans="1:14">
      <c r="A14" s="28">
        <v>11</v>
      </c>
      <c r="B14" s="29">
        <v>45849</v>
      </c>
      <c r="C14" s="122">
        <v>0</v>
      </c>
      <c r="D14" s="136"/>
      <c r="E14" s="39">
        <v>0</v>
      </c>
      <c r="F14" s="39">
        <v>0</v>
      </c>
      <c r="G14" s="39">
        <f t="shared" si="0"/>
        <v>0</v>
      </c>
      <c r="H14" s="137">
        <v>0</v>
      </c>
      <c r="I14" s="137">
        <v>0</v>
      </c>
      <c r="J14" s="39">
        <f t="shared" si="1"/>
        <v>0</v>
      </c>
      <c r="K14" s="39">
        <f t="shared" si="2"/>
        <v>0</v>
      </c>
      <c r="L14" s="39">
        <v>380000</v>
      </c>
      <c r="M14" s="39">
        <f>M13+K14-L14</f>
        <v>193517.40190000006</v>
      </c>
      <c r="N14" s="53"/>
    </row>
    <row r="15" spans="1:14">
      <c r="A15" s="28">
        <v>12</v>
      </c>
      <c r="B15" s="29">
        <v>45850</v>
      </c>
      <c r="C15" s="122">
        <v>0</v>
      </c>
      <c r="D15" s="136"/>
      <c r="E15" s="39">
        <v>2000</v>
      </c>
      <c r="F15" s="39">
        <v>91.55</v>
      </c>
      <c r="G15" s="39">
        <f t="shared" si="0"/>
        <v>183100</v>
      </c>
      <c r="H15" s="137">
        <v>35</v>
      </c>
      <c r="I15" s="137">
        <v>103.73</v>
      </c>
      <c r="J15" s="39">
        <f t="shared" si="1"/>
        <v>3630.55</v>
      </c>
      <c r="K15" s="39">
        <f t="shared" si="2"/>
        <v>186730.55</v>
      </c>
      <c r="L15" s="39">
        <v>0</v>
      </c>
      <c r="M15" s="39">
        <f>M14+K15-L15</f>
        <v>380247.95190000004</v>
      </c>
      <c r="N15" s="53"/>
    </row>
    <row r="16" spans="1:14">
      <c r="A16" s="28">
        <v>13</v>
      </c>
      <c r="B16" s="29">
        <v>45851</v>
      </c>
      <c r="C16" s="122">
        <v>0</v>
      </c>
      <c r="D16" s="136"/>
      <c r="E16" s="39">
        <v>0</v>
      </c>
      <c r="F16" s="39">
        <v>0</v>
      </c>
      <c r="G16" s="39">
        <f t="shared" si="0"/>
        <v>0</v>
      </c>
      <c r="H16" s="137">
        <v>0</v>
      </c>
      <c r="I16" s="137">
        <v>0</v>
      </c>
      <c r="J16" s="39">
        <f t="shared" si="1"/>
        <v>0</v>
      </c>
      <c r="K16" s="39">
        <f t="shared" si="2"/>
        <v>0</v>
      </c>
      <c r="L16" s="39">
        <v>0</v>
      </c>
      <c r="M16" s="39">
        <f>M15+K16-L16</f>
        <v>380247.95190000004</v>
      </c>
      <c r="N16" s="53"/>
    </row>
    <row r="17" spans="1:14">
      <c r="A17" s="28">
        <v>14</v>
      </c>
      <c r="B17" s="29">
        <v>45852</v>
      </c>
      <c r="C17" s="122">
        <v>0</v>
      </c>
      <c r="D17" s="136"/>
      <c r="E17" s="39">
        <v>0</v>
      </c>
      <c r="F17" s="39">
        <v>0</v>
      </c>
      <c r="G17" s="39">
        <f t="shared" si="0"/>
        <v>0</v>
      </c>
      <c r="H17" s="137">
        <v>0</v>
      </c>
      <c r="I17" s="137">
        <v>0</v>
      </c>
      <c r="J17" s="39">
        <f t="shared" si="1"/>
        <v>0</v>
      </c>
      <c r="K17" s="39">
        <f t="shared" si="2"/>
        <v>0</v>
      </c>
      <c r="L17" s="39">
        <v>0</v>
      </c>
      <c r="M17" s="39">
        <f>M16+K17-L17</f>
        <v>380247.95190000004</v>
      </c>
      <c r="N17" s="53"/>
    </row>
    <row r="18" spans="1:14">
      <c r="A18" s="28">
        <v>15</v>
      </c>
      <c r="B18" s="29">
        <v>45853</v>
      </c>
      <c r="C18" s="122">
        <v>0</v>
      </c>
      <c r="D18" s="136"/>
      <c r="E18" s="39">
        <v>0</v>
      </c>
      <c r="F18" s="39">
        <v>0</v>
      </c>
      <c r="G18" s="39">
        <f t="shared" si="0"/>
        <v>0</v>
      </c>
      <c r="H18" s="137">
        <v>70</v>
      </c>
      <c r="I18" s="137">
        <v>103.73</v>
      </c>
      <c r="J18" s="39">
        <f t="shared" si="1"/>
        <v>7261.1</v>
      </c>
      <c r="K18" s="39">
        <f t="shared" si="2"/>
        <v>7261.1</v>
      </c>
      <c r="L18" s="39">
        <v>0</v>
      </c>
      <c r="M18" s="39">
        <f>M17+K18-L18</f>
        <v>387509.05190000002</v>
      </c>
      <c r="N18" s="53"/>
    </row>
    <row r="19" spans="1:14">
      <c r="A19" s="28">
        <v>16</v>
      </c>
      <c r="B19" s="29">
        <v>45854</v>
      </c>
      <c r="C19" s="122">
        <v>0</v>
      </c>
      <c r="D19" s="136"/>
      <c r="E19" s="39">
        <v>0</v>
      </c>
      <c r="F19" s="39">
        <v>0</v>
      </c>
      <c r="G19" s="39">
        <f t="shared" si="0"/>
        <v>0</v>
      </c>
      <c r="H19" s="137">
        <v>0</v>
      </c>
      <c r="I19" s="137">
        <v>0</v>
      </c>
      <c r="J19" s="39">
        <f t="shared" si="1"/>
        <v>0</v>
      </c>
      <c r="K19" s="39">
        <f t="shared" si="2"/>
        <v>0</v>
      </c>
      <c r="L19" s="39">
        <v>0</v>
      </c>
      <c r="M19" s="39">
        <f>M18+K19-L19</f>
        <v>387509.05190000002</v>
      </c>
      <c r="N19" s="53"/>
    </row>
    <row r="20" spans="1:14">
      <c r="A20" s="28">
        <v>17</v>
      </c>
      <c r="B20" s="29">
        <v>45855</v>
      </c>
      <c r="C20" s="122">
        <v>0</v>
      </c>
      <c r="D20" s="136"/>
      <c r="E20" s="39">
        <v>2000</v>
      </c>
      <c r="F20" s="39">
        <v>91.55</v>
      </c>
      <c r="G20" s="39">
        <f t="shared" si="0"/>
        <v>183100</v>
      </c>
      <c r="H20" s="137">
        <v>70</v>
      </c>
      <c r="I20" s="137">
        <v>103.73</v>
      </c>
      <c r="J20" s="39">
        <f t="shared" si="1"/>
        <v>7261.1</v>
      </c>
      <c r="K20" s="39">
        <f t="shared" si="2"/>
        <v>190361.1</v>
      </c>
      <c r="L20" s="39">
        <v>0</v>
      </c>
      <c r="M20" s="39">
        <f>M19+K20-L20</f>
        <v>577870.15190000006</v>
      </c>
      <c r="N20" s="53"/>
    </row>
    <row r="21" spans="1:14">
      <c r="A21" s="28">
        <v>18</v>
      </c>
      <c r="B21" s="29">
        <v>45856</v>
      </c>
      <c r="C21" s="122">
        <v>0</v>
      </c>
      <c r="D21" s="136"/>
      <c r="E21" s="39">
        <v>0</v>
      </c>
      <c r="F21" s="39">
        <v>0</v>
      </c>
      <c r="G21" s="39">
        <v>0</v>
      </c>
      <c r="H21" s="137">
        <v>0</v>
      </c>
      <c r="I21" s="137">
        <v>0</v>
      </c>
      <c r="J21" s="39">
        <f t="shared" si="1"/>
        <v>0</v>
      </c>
      <c r="K21" s="39">
        <f t="shared" si="2"/>
        <v>0</v>
      </c>
      <c r="L21" s="39">
        <v>150000</v>
      </c>
      <c r="M21" s="39">
        <f>M20+K21-L21</f>
        <v>427870.15190000006</v>
      </c>
      <c r="N21" s="53"/>
    </row>
    <row r="22" spans="1:14">
      <c r="A22" s="28">
        <v>19</v>
      </c>
      <c r="B22" s="29">
        <v>45857</v>
      </c>
      <c r="C22" s="122">
        <v>0</v>
      </c>
      <c r="D22" s="136"/>
      <c r="E22" s="39">
        <v>0</v>
      </c>
      <c r="F22" s="39">
        <v>0</v>
      </c>
      <c r="G22" s="39">
        <v>0</v>
      </c>
      <c r="H22" s="137">
        <v>0</v>
      </c>
      <c r="I22" s="137">
        <v>0</v>
      </c>
      <c r="J22" s="39">
        <f t="shared" si="1"/>
        <v>0</v>
      </c>
      <c r="K22" s="39">
        <f t="shared" si="2"/>
        <v>0</v>
      </c>
      <c r="L22" s="39">
        <v>0</v>
      </c>
      <c r="M22" s="39">
        <f>M21+K22-L22</f>
        <v>427870.15190000006</v>
      </c>
      <c r="N22" s="53"/>
    </row>
    <row r="23" spans="1:14">
      <c r="A23" s="28">
        <v>20</v>
      </c>
      <c r="B23" s="29">
        <v>45858</v>
      </c>
      <c r="C23" s="122">
        <v>0</v>
      </c>
      <c r="D23" s="136"/>
      <c r="E23" s="39">
        <v>0</v>
      </c>
      <c r="F23" s="39">
        <v>0</v>
      </c>
      <c r="G23" s="39">
        <v>0</v>
      </c>
      <c r="H23" s="137">
        <v>0</v>
      </c>
      <c r="I23" s="137">
        <v>0</v>
      </c>
      <c r="J23" s="39">
        <f t="shared" si="1"/>
        <v>0</v>
      </c>
      <c r="K23" s="39">
        <f t="shared" si="2"/>
        <v>0</v>
      </c>
      <c r="L23" s="39">
        <v>0</v>
      </c>
      <c r="M23" s="39">
        <f>M22+K23-L23</f>
        <v>427870.15190000006</v>
      </c>
      <c r="N23" s="53"/>
    </row>
    <row r="24" spans="1:14">
      <c r="A24" s="28">
        <v>21</v>
      </c>
      <c r="B24" s="29">
        <v>45859</v>
      </c>
      <c r="C24" s="122">
        <v>0</v>
      </c>
      <c r="D24" s="136"/>
      <c r="E24" s="39">
        <v>0</v>
      </c>
      <c r="F24" s="39">
        <v>0</v>
      </c>
      <c r="G24" s="39">
        <f>E24*F24</f>
        <v>0</v>
      </c>
      <c r="H24" s="137">
        <v>0</v>
      </c>
      <c r="I24" s="137">
        <v>0</v>
      </c>
      <c r="J24" s="39">
        <f t="shared" si="1"/>
        <v>0</v>
      </c>
      <c r="K24" s="39">
        <f t="shared" si="2"/>
        <v>0</v>
      </c>
      <c r="L24" s="39">
        <v>0</v>
      </c>
      <c r="M24" s="39">
        <f>M23+K24-L24</f>
        <v>427870.15190000006</v>
      </c>
      <c r="N24" s="53"/>
    </row>
    <row r="25" spans="1:14">
      <c r="A25" s="28">
        <v>22</v>
      </c>
      <c r="B25" s="29">
        <v>45860</v>
      </c>
      <c r="C25" s="122">
        <v>0</v>
      </c>
      <c r="D25" s="136"/>
      <c r="E25" s="39">
        <v>0</v>
      </c>
      <c r="F25" s="39">
        <v>0</v>
      </c>
      <c r="G25" s="39">
        <f t="shared" ref="G25:G31" si="3">E25*F25</f>
        <v>0</v>
      </c>
      <c r="H25" s="137">
        <v>0</v>
      </c>
      <c r="I25" s="137">
        <v>0</v>
      </c>
      <c r="J25" s="39">
        <f t="shared" si="1"/>
        <v>0</v>
      </c>
      <c r="K25" s="39">
        <f t="shared" si="2"/>
        <v>0</v>
      </c>
      <c r="L25" s="39">
        <v>0</v>
      </c>
      <c r="M25" s="39">
        <f>M24+K25-L25</f>
        <v>427870.15190000006</v>
      </c>
      <c r="N25" s="53"/>
    </row>
    <row r="26" spans="1:14">
      <c r="A26" s="28">
        <v>23</v>
      </c>
      <c r="B26" s="29">
        <v>45861</v>
      </c>
      <c r="C26" s="122">
        <v>0</v>
      </c>
      <c r="D26" s="136"/>
      <c r="E26" s="39">
        <v>0</v>
      </c>
      <c r="F26" s="39">
        <v>0</v>
      </c>
      <c r="G26" s="39">
        <f t="shared" si="3"/>
        <v>0</v>
      </c>
      <c r="H26" s="137">
        <v>0</v>
      </c>
      <c r="I26" s="137">
        <v>0</v>
      </c>
      <c r="J26" s="39">
        <f t="shared" si="1"/>
        <v>0</v>
      </c>
      <c r="K26" s="39">
        <f t="shared" si="2"/>
        <v>0</v>
      </c>
      <c r="L26" s="39">
        <v>0</v>
      </c>
      <c r="M26" s="39">
        <f>M25+K26-L26</f>
        <v>427870.15190000006</v>
      </c>
      <c r="N26" s="53"/>
    </row>
    <row r="27" spans="1:14">
      <c r="A27" s="28">
        <v>24</v>
      </c>
      <c r="B27" s="29">
        <v>45862</v>
      </c>
      <c r="C27" s="122">
        <v>0</v>
      </c>
      <c r="D27" s="136"/>
      <c r="E27" s="39">
        <v>0</v>
      </c>
      <c r="F27" s="39">
        <v>0</v>
      </c>
      <c r="G27" s="39">
        <f t="shared" si="3"/>
        <v>0</v>
      </c>
      <c r="H27" s="137">
        <v>0</v>
      </c>
      <c r="I27" s="137">
        <v>0</v>
      </c>
      <c r="J27" s="39">
        <f t="shared" si="1"/>
        <v>0</v>
      </c>
      <c r="K27" s="39">
        <f t="shared" si="2"/>
        <v>0</v>
      </c>
      <c r="L27" s="39">
        <v>0</v>
      </c>
      <c r="M27" s="39">
        <f>M26+K27-L27</f>
        <v>427870.15190000006</v>
      </c>
      <c r="N27" s="53"/>
    </row>
    <row r="28" spans="1:14">
      <c r="A28" s="28">
        <v>25</v>
      </c>
      <c r="B28" s="29">
        <v>45863</v>
      </c>
      <c r="C28" s="122">
        <v>0</v>
      </c>
      <c r="D28" s="136"/>
      <c r="E28" s="39">
        <v>0</v>
      </c>
      <c r="F28" s="39">
        <v>0</v>
      </c>
      <c r="G28" s="39">
        <f t="shared" si="3"/>
        <v>0</v>
      </c>
      <c r="H28" s="137">
        <v>0</v>
      </c>
      <c r="I28" s="137">
        <v>0</v>
      </c>
      <c r="J28" s="39">
        <f t="shared" si="1"/>
        <v>0</v>
      </c>
      <c r="K28" s="39">
        <f t="shared" si="2"/>
        <v>0</v>
      </c>
      <c r="L28" s="39">
        <v>0</v>
      </c>
      <c r="M28" s="39">
        <f>M27+K28-L28</f>
        <v>427870.15190000006</v>
      </c>
      <c r="N28" s="53"/>
    </row>
    <row r="29" spans="1:14">
      <c r="A29" s="28">
        <v>26</v>
      </c>
      <c r="B29" s="29">
        <v>45864</v>
      </c>
      <c r="C29" s="122">
        <v>0</v>
      </c>
      <c r="D29" s="136"/>
      <c r="E29" s="39">
        <v>2000</v>
      </c>
      <c r="F29" s="39">
        <v>91.55</v>
      </c>
      <c r="G29" s="39">
        <f t="shared" si="3"/>
        <v>183100</v>
      </c>
      <c r="H29" s="137">
        <v>70</v>
      </c>
      <c r="I29" s="137">
        <v>103.73</v>
      </c>
      <c r="J29" s="39">
        <f t="shared" si="1"/>
        <v>7261.1</v>
      </c>
      <c r="K29" s="39">
        <f t="shared" si="2"/>
        <v>190361.1</v>
      </c>
      <c r="L29" s="39">
        <v>0</v>
      </c>
      <c r="M29" s="39">
        <f>M28+K29-L29</f>
        <v>618231.25190000003</v>
      </c>
      <c r="N29" s="53"/>
    </row>
    <row r="30" spans="1:14">
      <c r="A30" s="28">
        <v>27</v>
      </c>
      <c r="B30" s="29">
        <v>45865</v>
      </c>
      <c r="C30" s="122">
        <v>0</v>
      </c>
      <c r="D30" s="136"/>
      <c r="E30" s="39">
        <v>0</v>
      </c>
      <c r="F30" s="39">
        <v>0</v>
      </c>
      <c r="G30" s="39">
        <f t="shared" si="3"/>
        <v>0</v>
      </c>
      <c r="H30" s="137">
        <v>0</v>
      </c>
      <c r="I30" s="137">
        <v>0</v>
      </c>
      <c r="J30" s="39">
        <f t="shared" si="1"/>
        <v>0</v>
      </c>
      <c r="K30" s="39">
        <f t="shared" si="2"/>
        <v>0</v>
      </c>
      <c r="L30" s="39">
        <v>0</v>
      </c>
      <c r="M30" s="39">
        <f>M29+K30-L30</f>
        <v>618231.25190000003</v>
      </c>
      <c r="N30" s="53"/>
    </row>
    <row r="31" spans="1:14">
      <c r="A31" s="28">
        <v>28</v>
      </c>
      <c r="B31" s="29">
        <v>45866</v>
      </c>
      <c r="C31" s="122">
        <v>0</v>
      </c>
      <c r="D31" s="136"/>
      <c r="E31" s="39">
        <v>0</v>
      </c>
      <c r="F31" s="39">
        <v>0</v>
      </c>
      <c r="G31" s="39">
        <f t="shared" si="3"/>
        <v>0</v>
      </c>
      <c r="H31" s="137">
        <v>0</v>
      </c>
      <c r="I31" s="137">
        <v>0</v>
      </c>
      <c r="J31" s="39">
        <f t="shared" si="1"/>
        <v>0</v>
      </c>
      <c r="K31" s="39">
        <f t="shared" si="2"/>
        <v>0</v>
      </c>
      <c r="L31" s="39">
        <v>0</v>
      </c>
      <c r="M31" s="39">
        <f>M30+K31-L31</f>
        <v>618231.25190000003</v>
      </c>
      <c r="N31" s="53"/>
    </row>
    <row r="32" spans="1:14">
      <c r="A32" s="28">
        <v>29</v>
      </c>
      <c r="B32" s="29">
        <v>45867</v>
      </c>
      <c r="C32" s="122">
        <v>0</v>
      </c>
      <c r="D32" s="136"/>
      <c r="E32" s="39">
        <v>0</v>
      </c>
      <c r="F32" s="39">
        <v>0</v>
      </c>
      <c r="G32" s="39">
        <v>0</v>
      </c>
      <c r="H32" s="137">
        <v>0</v>
      </c>
      <c r="I32" s="137">
        <v>0</v>
      </c>
      <c r="J32" s="39">
        <f t="shared" si="1"/>
        <v>0</v>
      </c>
      <c r="K32" s="39">
        <f t="shared" si="2"/>
        <v>0</v>
      </c>
      <c r="L32" s="39">
        <v>0</v>
      </c>
      <c r="M32" s="39"/>
      <c r="N32" s="53"/>
    </row>
    <row r="33" spans="1:14">
      <c r="A33" s="28">
        <v>30</v>
      </c>
      <c r="B33" s="29">
        <v>45868</v>
      </c>
      <c r="C33" s="122">
        <v>0</v>
      </c>
      <c r="D33" s="136"/>
      <c r="E33" s="39">
        <v>0</v>
      </c>
      <c r="F33" s="39">
        <v>0</v>
      </c>
      <c r="G33" s="39">
        <v>0</v>
      </c>
      <c r="H33" s="137">
        <v>0</v>
      </c>
      <c r="I33" s="137">
        <v>0</v>
      </c>
      <c r="J33" s="39">
        <f t="shared" si="1"/>
        <v>0</v>
      </c>
      <c r="K33" s="39">
        <f t="shared" si="2"/>
        <v>0</v>
      </c>
      <c r="L33" s="39">
        <v>0</v>
      </c>
      <c r="M33" s="39"/>
      <c r="N33" s="53"/>
    </row>
    <row r="34" spans="1:14">
      <c r="A34" s="28">
        <v>31</v>
      </c>
      <c r="B34" s="29"/>
      <c r="C34" s="122"/>
      <c r="D34" s="136"/>
      <c r="E34" s="39"/>
      <c r="F34" s="39"/>
      <c r="G34" s="39"/>
      <c r="H34" s="137"/>
      <c r="I34" s="137"/>
      <c r="J34" s="39"/>
      <c r="K34" s="39"/>
      <c r="L34" s="39"/>
      <c r="M34" s="39"/>
      <c r="N34" s="53"/>
    </row>
    <row r="35" spans="1:14">
      <c r="A35" s="51"/>
      <c r="B35" s="51"/>
      <c r="C35" s="51"/>
      <c r="D35" s="51"/>
      <c r="E35" s="52">
        <f>SUM(E4:E34)</f>
        <v>8000</v>
      </c>
      <c r="F35" s="52"/>
      <c r="G35" s="52">
        <f>SUM(G4:G34)</f>
        <v>732400</v>
      </c>
      <c r="H35" s="52">
        <f>SUM(H4:H34)</f>
        <v>345</v>
      </c>
      <c r="I35" s="52"/>
      <c r="J35" s="52">
        <f>SUM(J4:J34)</f>
        <v>35786.85</v>
      </c>
      <c r="K35" s="52">
        <f>SUM(K4:K34)</f>
        <v>768186.85</v>
      </c>
      <c r="L35" s="52">
        <f>SUM(L4:L34)</f>
        <v>530000</v>
      </c>
      <c r="M35" s="52"/>
      <c r="N35" s="52"/>
    </row>
  </sheetData>
  <mergeCells count="2">
    <mergeCell ref="A1:N1"/>
    <mergeCell ref="A3:J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9681-750A-402D-B1B7-693CAD315F78}">
  <dimension ref="A1:AH38"/>
  <sheetViews>
    <sheetView workbookViewId="0">
      <pane ySplit="2" topLeftCell="A21" activePane="bottomLeft" state="frozen"/>
      <selection pane="bottomLeft" activeCell="N10" sqref="N10"/>
    </sheetView>
  </sheetViews>
  <sheetFormatPr defaultRowHeight="15"/>
  <cols>
    <col min="1" max="1" width="4.7109375" style="54" bestFit="1" customWidth="1"/>
    <col min="2" max="2" width="10.42578125" style="54" bestFit="1" customWidth="1"/>
    <col min="3" max="3" width="7.140625" style="54" bestFit="1" customWidth="1"/>
    <col min="4" max="4" width="16" style="54" bestFit="1" customWidth="1"/>
    <col min="5" max="5" width="9.7109375" style="54" bestFit="1" customWidth="1"/>
    <col min="6" max="6" width="11.5703125" style="54" bestFit="1" customWidth="1"/>
    <col min="7" max="7" width="11.85546875" style="54" bestFit="1" customWidth="1"/>
    <col min="8" max="8" width="10.42578125" style="54" bestFit="1" customWidth="1"/>
    <col min="9" max="9" width="7.140625" style="54" bestFit="1" customWidth="1"/>
    <col min="10" max="10" width="10.85546875" style="60" bestFit="1" customWidth="1"/>
    <col min="11" max="11" width="11.85546875" style="54" bestFit="1" customWidth="1"/>
    <col min="12" max="12" width="12.42578125" style="60" bestFit="1" customWidth="1"/>
    <col min="13" max="13" width="12.42578125" style="60" customWidth="1"/>
    <col min="14" max="14" width="17.7109375" style="54" bestFit="1" customWidth="1"/>
    <col min="15" max="15" width="9.140625" style="54"/>
    <col min="16" max="16" width="11.85546875" style="54" bestFit="1" customWidth="1"/>
    <col min="17" max="16384" width="9.140625" style="54"/>
  </cols>
  <sheetData>
    <row r="1" spans="1:16">
      <c r="A1" s="432" t="s">
        <v>34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</row>
    <row r="2" spans="1:16">
      <c r="A2" s="100" t="s">
        <v>105</v>
      </c>
      <c r="B2" s="101" t="s">
        <v>106</v>
      </c>
      <c r="C2" s="101" t="s">
        <v>107</v>
      </c>
      <c r="D2" s="101" t="s">
        <v>108</v>
      </c>
      <c r="E2" s="101" t="s">
        <v>109</v>
      </c>
      <c r="F2" s="101" t="s">
        <v>110</v>
      </c>
      <c r="G2" s="101" t="s">
        <v>111</v>
      </c>
      <c r="H2" s="101" t="s">
        <v>112</v>
      </c>
      <c r="I2" s="101" t="s">
        <v>110</v>
      </c>
      <c r="J2" s="127" t="s">
        <v>111</v>
      </c>
      <c r="K2" s="101" t="s">
        <v>113</v>
      </c>
      <c r="L2" s="127" t="s">
        <v>114</v>
      </c>
      <c r="M2" s="126" t="s">
        <v>120</v>
      </c>
      <c r="N2" s="102" t="s">
        <v>116</v>
      </c>
      <c r="O2" s="35"/>
    </row>
    <row r="3" spans="1:16">
      <c r="A3" s="420" t="s">
        <v>117</v>
      </c>
      <c r="B3" s="421"/>
      <c r="C3" s="421"/>
      <c r="D3" s="421"/>
      <c r="E3" s="421"/>
      <c r="F3" s="421"/>
      <c r="G3" s="421"/>
      <c r="H3" s="421"/>
      <c r="I3" s="421"/>
      <c r="J3" s="433"/>
      <c r="K3" s="31">
        <v>48480.979413800116</v>
      </c>
      <c r="L3" s="55"/>
      <c r="M3" s="128">
        <f>+K3</f>
        <v>48480.979413800116</v>
      </c>
      <c r="N3" s="55"/>
      <c r="O3" s="35"/>
      <c r="P3" s="58"/>
    </row>
    <row r="4" spans="1:16">
      <c r="A4" s="28">
        <v>1</v>
      </c>
      <c r="B4" s="29">
        <v>45839</v>
      </c>
      <c r="C4" s="56" t="s">
        <v>123</v>
      </c>
      <c r="D4" s="57" t="s">
        <v>123</v>
      </c>
      <c r="E4" s="56">
        <v>2400</v>
      </c>
      <c r="F4" s="56">
        <v>91.3</v>
      </c>
      <c r="G4" s="55">
        <f t="shared" ref="G4" si="0">E4*F4</f>
        <v>219120</v>
      </c>
      <c r="H4" s="56">
        <v>70</v>
      </c>
      <c r="I4" s="56">
        <v>103.24</v>
      </c>
      <c r="J4" s="58">
        <f t="shared" ref="J4" si="1">H4*I4</f>
        <v>7226.7999999999993</v>
      </c>
      <c r="K4" s="55">
        <f t="shared" ref="K4" si="2">G4+J4</f>
        <v>226346.8</v>
      </c>
      <c r="L4" s="123"/>
      <c r="M4" s="58">
        <f>M3+K4-L4</f>
        <v>274827.7794138001</v>
      </c>
      <c r="N4" s="118"/>
    </row>
    <row r="5" spans="1:16">
      <c r="A5" s="28">
        <v>2</v>
      </c>
      <c r="B5" s="29">
        <v>45840</v>
      </c>
      <c r="C5" s="56" t="s">
        <v>123</v>
      </c>
      <c r="D5" s="57" t="s">
        <v>123</v>
      </c>
      <c r="E5" s="56">
        <v>0</v>
      </c>
      <c r="F5" s="56"/>
      <c r="G5" s="55">
        <f t="shared" ref="G5:G35" si="3">E5*F5</f>
        <v>0</v>
      </c>
      <c r="H5" s="56">
        <v>0</v>
      </c>
      <c r="I5" s="56"/>
      <c r="J5" s="58">
        <f t="shared" ref="J5:J35" si="4">H5*I5</f>
        <v>0</v>
      </c>
      <c r="K5" s="55">
        <f t="shared" ref="K5:K35" si="5">G5+J5</f>
        <v>0</v>
      </c>
      <c r="L5" s="123"/>
      <c r="M5" s="58">
        <f t="shared" ref="M5:M35" si="6">M4+K5-L5</f>
        <v>274827.7794138001</v>
      </c>
      <c r="N5" s="118"/>
    </row>
    <row r="6" spans="1:16">
      <c r="A6" s="28">
        <v>3</v>
      </c>
      <c r="B6" s="29">
        <v>45841</v>
      </c>
      <c r="C6" s="56" t="s">
        <v>123</v>
      </c>
      <c r="D6" s="57" t="s">
        <v>123</v>
      </c>
      <c r="E6" s="56">
        <v>0</v>
      </c>
      <c r="F6" s="56"/>
      <c r="G6" s="55">
        <f t="shared" si="3"/>
        <v>0</v>
      </c>
      <c r="H6" s="56">
        <v>0</v>
      </c>
      <c r="I6" s="56"/>
      <c r="J6" s="58">
        <f t="shared" si="4"/>
        <v>0</v>
      </c>
      <c r="K6" s="55">
        <f t="shared" si="5"/>
        <v>0</v>
      </c>
      <c r="L6" s="123"/>
      <c r="M6" s="58">
        <f t="shared" si="6"/>
        <v>274827.7794138001</v>
      </c>
      <c r="N6" s="125"/>
    </row>
    <row r="7" spans="1:16">
      <c r="A7" s="28">
        <v>4</v>
      </c>
      <c r="B7" s="29">
        <v>45842</v>
      </c>
      <c r="C7" s="56" t="s">
        <v>123</v>
      </c>
      <c r="D7" s="57" t="s">
        <v>123</v>
      </c>
      <c r="E7" s="56">
        <v>0</v>
      </c>
      <c r="F7" s="56"/>
      <c r="G7" s="55">
        <f t="shared" si="3"/>
        <v>0</v>
      </c>
      <c r="H7" s="56">
        <v>105</v>
      </c>
      <c r="I7" s="56">
        <v>103.24</v>
      </c>
      <c r="J7" s="58">
        <f t="shared" si="4"/>
        <v>10840.199999999999</v>
      </c>
      <c r="K7" s="55">
        <f t="shared" si="5"/>
        <v>10840.199999999999</v>
      </c>
      <c r="L7" s="123"/>
      <c r="M7" s="58">
        <f t="shared" si="6"/>
        <v>285667.97941380012</v>
      </c>
      <c r="N7" s="125"/>
    </row>
    <row r="8" spans="1:16">
      <c r="A8" s="28">
        <v>5</v>
      </c>
      <c r="B8" s="29">
        <v>45843</v>
      </c>
      <c r="C8" s="56" t="s">
        <v>123</v>
      </c>
      <c r="D8" s="57" t="s">
        <v>123</v>
      </c>
      <c r="E8" s="56">
        <v>0</v>
      </c>
      <c r="F8" s="56"/>
      <c r="G8" s="55">
        <f t="shared" si="3"/>
        <v>0</v>
      </c>
      <c r="H8" s="56">
        <v>0</v>
      </c>
      <c r="I8" s="56"/>
      <c r="J8" s="58">
        <f t="shared" si="4"/>
        <v>0</v>
      </c>
      <c r="K8" s="55">
        <f t="shared" si="5"/>
        <v>0</v>
      </c>
      <c r="L8" s="123"/>
      <c r="M8" s="58">
        <f t="shared" si="6"/>
        <v>285667.97941380012</v>
      </c>
      <c r="N8" s="118"/>
    </row>
    <row r="9" spans="1:16">
      <c r="A9" s="28">
        <v>6</v>
      </c>
      <c r="B9" s="29">
        <v>45844</v>
      </c>
      <c r="C9" s="56" t="s">
        <v>123</v>
      </c>
      <c r="D9" s="57" t="s">
        <v>123</v>
      </c>
      <c r="E9" s="56">
        <v>0</v>
      </c>
      <c r="F9" s="56"/>
      <c r="G9" s="55">
        <f t="shared" si="3"/>
        <v>0</v>
      </c>
      <c r="H9" s="56">
        <v>0</v>
      </c>
      <c r="I9" s="56"/>
      <c r="J9" s="58">
        <f t="shared" si="4"/>
        <v>0</v>
      </c>
      <c r="K9" s="55">
        <f t="shared" si="5"/>
        <v>0</v>
      </c>
      <c r="L9" s="123"/>
      <c r="M9" s="58">
        <f t="shared" si="6"/>
        <v>285667.97941380012</v>
      </c>
      <c r="N9" s="125"/>
    </row>
    <row r="10" spans="1:16">
      <c r="A10" s="28">
        <v>7</v>
      </c>
      <c r="B10" s="29">
        <v>45845</v>
      </c>
      <c r="C10" s="56" t="s">
        <v>123</v>
      </c>
      <c r="D10" s="57" t="s">
        <v>123</v>
      </c>
      <c r="E10" s="56">
        <v>2400</v>
      </c>
      <c r="F10" s="56">
        <v>91.3</v>
      </c>
      <c r="G10" s="55">
        <f t="shared" si="3"/>
        <v>219120</v>
      </c>
      <c r="H10" s="56">
        <v>35</v>
      </c>
      <c r="I10" s="56">
        <v>103.24</v>
      </c>
      <c r="J10" s="58">
        <f t="shared" si="4"/>
        <v>3613.3999999999996</v>
      </c>
      <c r="K10" s="55">
        <f t="shared" si="5"/>
        <v>222733.4</v>
      </c>
      <c r="L10" s="123"/>
      <c r="M10" s="58">
        <f t="shared" si="6"/>
        <v>508401.37941380008</v>
      </c>
      <c r="N10" s="118"/>
    </row>
    <row r="11" spans="1:16">
      <c r="A11" s="28">
        <v>8</v>
      </c>
      <c r="B11" s="29">
        <v>45846</v>
      </c>
      <c r="C11" s="56" t="s">
        <v>123</v>
      </c>
      <c r="D11" s="57" t="s">
        <v>123</v>
      </c>
      <c r="E11" s="56">
        <v>0</v>
      </c>
      <c r="F11" s="56"/>
      <c r="G11" s="55">
        <f t="shared" si="3"/>
        <v>0</v>
      </c>
      <c r="H11" s="56">
        <v>0</v>
      </c>
      <c r="I11" s="56"/>
      <c r="J11" s="58">
        <f t="shared" si="4"/>
        <v>0</v>
      </c>
      <c r="K11" s="55">
        <f t="shared" si="5"/>
        <v>0</v>
      </c>
      <c r="L11" s="123"/>
      <c r="M11" s="58">
        <f t="shared" si="6"/>
        <v>508401.37941380008</v>
      </c>
      <c r="N11" s="124"/>
    </row>
    <row r="12" spans="1:16">
      <c r="A12" s="28">
        <v>9</v>
      </c>
      <c r="B12" s="29">
        <v>45847</v>
      </c>
      <c r="C12" s="56" t="s">
        <v>123</v>
      </c>
      <c r="D12" s="57" t="s">
        <v>123</v>
      </c>
      <c r="E12" s="56">
        <v>0</v>
      </c>
      <c r="F12" s="56"/>
      <c r="G12" s="55">
        <f t="shared" si="3"/>
        <v>0</v>
      </c>
      <c r="H12" s="56">
        <v>0</v>
      </c>
      <c r="I12" s="56"/>
      <c r="J12" s="58">
        <f>H12*I12</f>
        <v>0</v>
      </c>
      <c r="K12" s="55">
        <f>G12+J12</f>
        <v>0</v>
      </c>
      <c r="L12" s="123"/>
      <c r="M12" s="58">
        <f t="shared" si="6"/>
        <v>508401.37941380008</v>
      </c>
      <c r="N12" s="118"/>
    </row>
    <row r="13" spans="1:16">
      <c r="A13" s="28">
        <v>10</v>
      </c>
      <c r="B13" s="29">
        <v>45848</v>
      </c>
      <c r="C13" s="56" t="s">
        <v>123</v>
      </c>
      <c r="D13" s="57" t="s">
        <v>123</v>
      </c>
      <c r="E13" s="56">
        <v>0</v>
      </c>
      <c r="F13" s="56"/>
      <c r="G13" s="55">
        <f t="shared" si="3"/>
        <v>0</v>
      </c>
      <c r="H13" s="56">
        <v>0</v>
      </c>
      <c r="I13" s="56"/>
      <c r="J13" s="58">
        <f t="shared" si="4"/>
        <v>0</v>
      </c>
      <c r="K13" s="55">
        <f t="shared" si="5"/>
        <v>0</v>
      </c>
      <c r="L13" s="123">
        <v>300000</v>
      </c>
      <c r="M13" s="58">
        <f t="shared" si="6"/>
        <v>208401.37941380008</v>
      </c>
      <c r="N13" s="118"/>
    </row>
    <row r="14" spans="1:16">
      <c r="A14" s="28">
        <v>11</v>
      </c>
      <c r="B14" s="29">
        <v>45849</v>
      </c>
      <c r="C14" s="56" t="s">
        <v>123</v>
      </c>
      <c r="D14" s="57" t="s">
        <v>123</v>
      </c>
      <c r="E14" s="56">
        <v>0</v>
      </c>
      <c r="F14" s="56"/>
      <c r="G14" s="55">
        <f t="shared" si="3"/>
        <v>0</v>
      </c>
      <c r="H14" s="56">
        <v>105</v>
      </c>
      <c r="I14" s="56">
        <v>103.24</v>
      </c>
      <c r="J14" s="58">
        <f t="shared" si="4"/>
        <v>10840.199999999999</v>
      </c>
      <c r="K14" s="55">
        <f t="shared" si="5"/>
        <v>10840.199999999999</v>
      </c>
      <c r="L14" s="123"/>
      <c r="M14" s="58">
        <f t="shared" si="6"/>
        <v>219241.57941380009</v>
      </c>
      <c r="N14" s="118"/>
    </row>
    <row r="15" spans="1:16">
      <c r="A15" s="28">
        <v>12</v>
      </c>
      <c r="B15" s="29">
        <v>45850</v>
      </c>
      <c r="C15" s="56" t="s">
        <v>123</v>
      </c>
      <c r="D15" s="57" t="s">
        <v>123</v>
      </c>
      <c r="E15" s="56">
        <v>1200</v>
      </c>
      <c r="F15" s="56">
        <v>91.3</v>
      </c>
      <c r="G15" s="55">
        <f t="shared" si="3"/>
        <v>109560</v>
      </c>
      <c r="H15" s="56">
        <v>0</v>
      </c>
      <c r="I15" s="56"/>
      <c r="J15" s="58">
        <f t="shared" si="4"/>
        <v>0</v>
      </c>
      <c r="K15" s="55">
        <f t="shared" si="5"/>
        <v>109560</v>
      </c>
      <c r="L15" s="123"/>
      <c r="M15" s="58">
        <f t="shared" si="6"/>
        <v>328801.57941380009</v>
      </c>
      <c r="N15" s="118"/>
    </row>
    <row r="16" spans="1:16">
      <c r="A16" s="28">
        <v>13</v>
      </c>
      <c r="B16" s="29">
        <v>45851</v>
      </c>
      <c r="C16" s="56" t="s">
        <v>123</v>
      </c>
      <c r="D16" s="57" t="s">
        <v>123</v>
      </c>
      <c r="E16" s="56">
        <v>0</v>
      </c>
      <c r="F16" s="56"/>
      <c r="G16" s="55">
        <f t="shared" si="3"/>
        <v>0</v>
      </c>
      <c r="H16" s="56">
        <v>0</v>
      </c>
      <c r="I16" s="56"/>
      <c r="J16" s="58">
        <f t="shared" si="4"/>
        <v>0</v>
      </c>
      <c r="K16" s="55">
        <f t="shared" si="5"/>
        <v>0</v>
      </c>
      <c r="L16" s="123"/>
      <c r="M16" s="58">
        <f t="shared" si="6"/>
        <v>328801.57941380009</v>
      </c>
      <c r="N16" s="118"/>
    </row>
    <row r="17" spans="1:14">
      <c r="A17" s="28">
        <v>14</v>
      </c>
      <c r="B17" s="29">
        <v>45852</v>
      </c>
      <c r="C17" s="56" t="s">
        <v>123</v>
      </c>
      <c r="D17" s="57" t="s">
        <v>123</v>
      </c>
      <c r="E17" s="56">
        <v>0</v>
      </c>
      <c r="F17" s="56"/>
      <c r="G17" s="55">
        <f t="shared" si="3"/>
        <v>0</v>
      </c>
      <c r="H17" s="56">
        <v>0</v>
      </c>
      <c r="I17" s="56"/>
      <c r="J17" s="58">
        <f t="shared" si="4"/>
        <v>0</v>
      </c>
      <c r="K17" s="55">
        <f t="shared" si="5"/>
        <v>0</v>
      </c>
      <c r="L17" s="123"/>
      <c r="M17" s="58">
        <f t="shared" si="6"/>
        <v>328801.57941380009</v>
      </c>
      <c r="N17" s="118"/>
    </row>
    <row r="18" spans="1:14">
      <c r="A18" s="28">
        <v>15</v>
      </c>
      <c r="B18" s="29">
        <v>45853</v>
      </c>
      <c r="C18" s="56" t="s">
        <v>123</v>
      </c>
      <c r="D18" s="57" t="s">
        <v>123</v>
      </c>
      <c r="E18" s="56">
        <v>0</v>
      </c>
      <c r="F18" s="56"/>
      <c r="G18" s="55">
        <f t="shared" si="3"/>
        <v>0</v>
      </c>
      <c r="H18" s="56">
        <v>0</v>
      </c>
      <c r="I18" s="56"/>
      <c r="J18" s="58">
        <f t="shared" si="4"/>
        <v>0</v>
      </c>
      <c r="K18" s="55">
        <f t="shared" si="5"/>
        <v>0</v>
      </c>
      <c r="L18" s="123">
        <v>150000</v>
      </c>
      <c r="M18" s="58">
        <f t="shared" si="6"/>
        <v>178801.57941380009</v>
      </c>
      <c r="N18" s="118"/>
    </row>
    <row r="19" spans="1:14">
      <c r="A19" s="28">
        <v>16</v>
      </c>
      <c r="B19" s="29">
        <v>45854</v>
      </c>
      <c r="C19" s="56" t="s">
        <v>123</v>
      </c>
      <c r="D19" s="57" t="s">
        <v>123</v>
      </c>
      <c r="E19" s="56">
        <v>1000</v>
      </c>
      <c r="F19" s="56">
        <v>91.3</v>
      </c>
      <c r="G19" s="55">
        <f t="shared" si="3"/>
        <v>91300</v>
      </c>
      <c r="H19" s="56">
        <v>105</v>
      </c>
      <c r="I19" s="56">
        <v>103.24</v>
      </c>
      <c r="J19" s="58">
        <f t="shared" si="4"/>
        <v>10840.199999999999</v>
      </c>
      <c r="K19" s="55">
        <f t="shared" si="5"/>
        <v>102140.2</v>
      </c>
      <c r="L19" s="123"/>
      <c r="M19" s="58">
        <f t="shared" si="6"/>
        <v>280941.7794138001</v>
      </c>
      <c r="N19" s="118"/>
    </row>
    <row r="20" spans="1:14">
      <c r="A20" s="28">
        <v>17</v>
      </c>
      <c r="B20" s="29">
        <v>45855</v>
      </c>
      <c r="C20" s="56" t="s">
        <v>123</v>
      </c>
      <c r="D20" s="57" t="s">
        <v>123</v>
      </c>
      <c r="E20" s="56">
        <v>0</v>
      </c>
      <c r="F20" s="56"/>
      <c r="G20" s="55">
        <f t="shared" si="3"/>
        <v>0</v>
      </c>
      <c r="H20" s="56">
        <v>0</v>
      </c>
      <c r="I20" s="56"/>
      <c r="J20" s="58">
        <f t="shared" si="4"/>
        <v>0</v>
      </c>
      <c r="K20" s="55">
        <f t="shared" si="5"/>
        <v>0</v>
      </c>
      <c r="L20" s="123"/>
      <c r="M20" s="58">
        <f t="shared" si="6"/>
        <v>280941.7794138001</v>
      </c>
      <c r="N20" s="118"/>
    </row>
    <row r="21" spans="1:14">
      <c r="A21" s="28">
        <v>18</v>
      </c>
      <c r="B21" s="29">
        <v>45856</v>
      </c>
      <c r="C21" s="56" t="s">
        <v>123</v>
      </c>
      <c r="D21" s="57" t="s">
        <v>123</v>
      </c>
      <c r="E21" s="56">
        <v>2400</v>
      </c>
      <c r="F21" s="56">
        <v>91.3</v>
      </c>
      <c r="G21" s="55">
        <f t="shared" si="3"/>
        <v>219120</v>
      </c>
      <c r="H21" s="56">
        <v>0</v>
      </c>
      <c r="I21" s="56"/>
      <c r="J21" s="58">
        <f t="shared" si="4"/>
        <v>0</v>
      </c>
      <c r="K21" s="55">
        <f t="shared" si="5"/>
        <v>219120</v>
      </c>
      <c r="L21" s="123"/>
      <c r="M21" s="58">
        <f t="shared" si="6"/>
        <v>500061.7794138001</v>
      </c>
      <c r="N21" s="118"/>
    </row>
    <row r="22" spans="1:14">
      <c r="A22" s="28">
        <v>19</v>
      </c>
      <c r="B22" s="29">
        <v>45857</v>
      </c>
      <c r="C22" s="56" t="s">
        <v>123</v>
      </c>
      <c r="D22" s="57" t="s">
        <v>123</v>
      </c>
      <c r="E22" s="56">
        <v>0</v>
      </c>
      <c r="F22" s="56"/>
      <c r="G22" s="55">
        <f t="shared" si="3"/>
        <v>0</v>
      </c>
      <c r="H22" s="56">
        <v>0</v>
      </c>
      <c r="I22" s="56"/>
      <c r="J22" s="58">
        <f t="shared" si="4"/>
        <v>0</v>
      </c>
      <c r="K22" s="55">
        <f t="shared" si="5"/>
        <v>0</v>
      </c>
      <c r="L22" s="123"/>
      <c r="M22" s="58">
        <f t="shared" si="6"/>
        <v>500061.7794138001</v>
      </c>
      <c r="N22" s="118"/>
    </row>
    <row r="23" spans="1:14">
      <c r="A23" s="28">
        <v>20</v>
      </c>
      <c r="B23" s="29">
        <v>45858</v>
      </c>
      <c r="C23" s="56" t="s">
        <v>123</v>
      </c>
      <c r="D23" s="57" t="s">
        <v>123</v>
      </c>
      <c r="E23" s="56">
        <v>0</v>
      </c>
      <c r="F23" s="56"/>
      <c r="G23" s="55">
        <f t="shared" si="3"/>
        <v>0</v>
      </c>
      <c r="H23" s="56">
        <v>0</v>
      </c>
      <c r="I23" s="56"/>
      <c r="J23" s="58">
        <f t="shared" si="4"/>
        <v>0</v>
      </c>
      <c r="K23" s="55">
        <f t="shared" si="5"/>
        <v>0</v>
      </c>
      <c r="L23" s="123"/>
      <c r="M23" s="58">
        <f t="shared" si="6"/>
        <v>500061.7794138001</v>
      </c>
      <c r="N23" s="118"/>
    </row>
    <row r="24" spans="1:14">
      <c r="A24" s="28">
        <v>21</v>
      </c>
      <c r="B24" s="29">
        <v>45859</v>
      </c>
      <c r="C24" s="56" t="s">
        <v>123</v>
      </c>
      <c r="D24" s="57" t="s">
        <v>123</v>
      </c>
      <c r="E24" s="56">
        <v>0</v>
      </c>
      <c r="F24" s="56"/>
      <c r="G24" s="55">
        <f t="shared" si="3"/>
        <v>0</v>
      </c>
      <c r="H24" s="56">
        <v>105</v>
      </c>
      <c r="I24" s="56">
        <v>103.24</v>
      </c>
      <c r="J24" s="58">
        <f t="shared" si="4"/>
        <v>10840.199999999999</v>
      </c>
      <c r="K24" s="55">
        <f t="shared" si="5"/>
        <v>10840.199999999999</v>
      </c>
      <c r="L24" s="123"/>
      <c r="M24" s="58">
        <f t="shared" si="6"/>
        <v>510901.97941380012</v>
      </c>
      <c r="N24" s="118"/>
    </row>
    <row r="25" spans="1:14">
      <c r="A25" s="28">
        <v>22</v>
      </c>
      <c r="B25" s="29">
        <v>45860</v>
      </c>
      <c r="C25" s="56" t="s">
        <v>123</v>
      </c>
      <c r="D25" s="57" t="s">
        <v>123</v>
      </c>
      <c r="E25" s="56">
        <v>0</v>
      </c>
      <c r="F25" s="56"/>
      <c r="G25" s="55">
        <f t="shared" si="3"/>
        <v>0</v>
      </c>
      <c r="H25" s="56">
        <v>0</v>
      </c>
      <c r="I25" s="56"/>
      <c r="J25" s="58">
        <f t="shared" si="4"/>
        <v>0</v>
      </c>
      <c r="K25" s="55">
        <f t="shared" si="5"/>
        <v>0</v>
      </c>
      <c r="L25" s="123"/>
      <c r="M25" s="58">
        <f t="shared" si="6"/>
        <v>510901.97941380012</v>
      </c>
      <c r="N25" s="118"/>
    </row>
    <row r="26" spans="1:14">
      <c r="A26" s="28">
        <v>23</v>
      </c>
      <c r="B26" s="29">
        <v>45861</v>
      </c>
      <c r="C26" s="56" t="s">
        <v>123</v>
      </c>
      <c r="D26" s="57" t="s">
        <v>123</v>
      </c>
      <c r="E26" s="56">
        <v>1000</v>
      </c>
      <c r="F26" s="56">
        <v>91.3</v>
      </c>
      <c r="G26" s="55">
        <f t="shared" si="3"/>
        <v>91300</v>
      </c>
      <c r="H26" s="56">
        <v>0</v>
      </c>
      <c r="I26" s="56"/>
      <c r="J26" s="58">
        <f t="shared" si="4"/>
        <v>0</v>
      </c>
      <c r="K26" s="55">
        <f t="shared" si="5"/>
        <v>91300</v>
      </c>
      <c r="L26" s="123"/>
      <c r="M26" s="58">
        <f t="shared" si="6"/>
        <v>602201.97941380017</v>
      </c>
      <c r="N26" s="118"/>
    </row>
    <row r="27" spans="1:14">
      <c r="A27" s="28">
        <v>24</v>
      </c>
      <c r="B27" s="29">
        <v>45862</v>
      </c>
      <c r="C27" s="56" t="s">
        <v>123</v>
      </c>
      <c r="D27" s="57" t="s">
        <v>123</v>
      </c>
      <c r="E27" s="56">
        <v>0</v>
      </c>
      <c r="F27" s="56"/>
      <c r="G27" s="55">
        <f t="shared" si="3"/>
        <v>0</v>
      </c>
      <c r="H27" s="56">
        <v>0</v>
      </c>
      <c r="I27" s="56"/>
      <c r="J27" s="58">
        <f t="shared" si="4"/>
        <v>0</v>
      </c>
      <c r="K27" s="55">
        <f t="shared" si="5"/>
        <v>0</v>
      </c>
      <c r="L27" s="123"/>
      <c r="M27" s="58">
        <f t="shared" si="6"/>
        <v>602201.97941380017</v>
      </c>
      <c r="N27" s="118"/>
    </row>
    <row r="28" spans="1:14">
      <c r="A28" s="28">
        <v>25</v>
      </c>
      <c r="B28" s="29">
        <v>45863</v>
      </c>
      <c r="C28" s="56"/>
      <c r="D28" s="57"/>
      <c r="E28" s="56">
        <v>0</v>
      </c>
      <c r="F28" s="56"/>
      <c r="G28" s="55">
        <f t="shared" si="3"/>
        <v>0</v>
      </c>
      <c r="H28" s="56">
        <v>0</v>
      </c>
      <c r="I28" s="56"/>
      <c r="J28" s="58">
        <f t="shared" si="4"/>
        <v>0</v>
      </c>
      <c r="K28" s="55">
        <f t="shared" si="5"/>
        <v>0</v>
      </c>
      <c r="L28" s="123">
        <v>300000</v>
      </c>
      <c r="M28" s="58">
        <f t="shared" si="6"/>
        <v>302201.97941380017</v>
      </c>
      <c r="N28" s="118"/>
    </row>
    <row r="29" spans="1:14">
      <c r="A29" s="28">
        <v>26</v>
      </c>
      <c r="B29" s="29">
        <v>45864</v>
      </c>
      <c r="C29" s="56" t="s">
        <v>123</v>
      </c>
      <c r="D29" s="57" t="s">
        <v>123</v>
      </c>
      <c r="E29" s="56">
        <v>0</v>
      </c>
      <c r="F29" s="56"/>
      <c r="G29" s="55">
        <f t="shared" si="3"/>
        <v>0</v>
      </c>
      <c r="H29" s="56">
        <v>105</v>
      </c>
      <c r="I29" s="56">
        <v>103.24</v>
      </c>
      <c r="J29" s="58">
        <f t="shared" si="4"/>
        <v>10840.199999999999</v>
      </c>
      <c r="K29" s="55">
        <f t="shared" si="5"/>
        <v>10840.199999999999</v>
      </c>
      <c r="L29" s="123">
        <v>150000</v>
      </c>
      <c r="M29" s="58">
        <f t="shared" si="6"/>
        <v>163042.17941380019</v>
      </c>
      <c r="N29" s="118"/>
    </row>
    <row r="30" spans="1:14">
      <c r="A30" s="28">
        <v>27</v>
      </c>
      <c r="B30" s="29">
        <v>45865</v>
      </c>
      <c r="C30" s="56" t="s">
        <v>123</v>
      </c>
      <c r="D30" s="57" t="s">
        <v>123</v>
      </c>
      <c r="E30" s="56">
        <v>1500</v>
      </c>
      <c r="F30" s="56">
        <v>91.3</v>
      </c>
      <c r="G30" s="55">
        <f t="shared" si="3"/>
        <v>136950</v>
      </c>
      <c r="H30" s="56">
        <v>0</v>
      </c>
      <c r="I30" s="56"/>
      <c r="J30" s="58">
        <f t="shared" si="4"/>
        <v>0</v>
      </c>
      <c r="K30" s="55">
        <f t="shared" si="5"/>
        <v>136950</v>
      </c>
      <c r="L30" s="123"/>
      <c r="M30" s="58">
        <f t="shared" si="6"/>
        <v>299992.17941380019</v>
      </c>
      <c r="N30" s="118"/>
    </row>
    <row r="31" spans="1:14">
      <c r="A31" s="28">
        <v>28</v>
      </c>
      <c r="B31" s="29">
        <v>45866</v>
      </c>
      <c r="C31" s="56" t="s">
        <v>123</v>
      </c>
      <c r="D31" s="57" t="s">
        <v>123</v>
      </c>
      <c r="E31" s="56">
        <v>0</v>
      </c>
      <c r="F31" s="56"/>
      <c r="G31" s="55">
        <f t="shared" si="3"/>
        <v>0</v>
      </c>
      <c r="H31" s="56">
        <v>0</v>
      </c>
      <c r="I31" s="56"/>
      <c r="J31" s="58">
        <f t="shared" si="4"/>
        <v>0</v>
      </c>
      <c r="K31" s="55">
        <f t="shared" si="5"/>
        <v>0</v>
      </c>
      <c r="L31" s="123"/>
      <c r="M31" s="58">
        <f t="shared" si="6"/>
        <v>299992.17941380019</v>
      </c>
      <c r="N31" s="118"/>
    </row>
    <row r="32" spans="1:14">
      <c r="A32" s="28">
        <v>29</v>
      </c>
      <c r="B32" s="29">
        <v>45867</v>
      </c>
      <c r="C32" s="55"/>
      <c r="D32" s="57" t="s">
        <v>123</v>
      </c>
      <c r="E32" s="56">
        <v>0</v>
      </c>
      <c r="F32" s="56"/>
      <c r="G32" s="55">
        <f t="shared" si="3"/>
        <v>0</v>
      </c>
      <c r="H32" s="56">
        <v>0</v>
      </c>
      <c r="I32" s="56"/>
      <c r="J32" s="58">
        <f t="shared" si="4"/>
        <v>0</v>
      </c>
      <c r="K32" s="55">
        <f t="shared" si="5"/>
        <v>0</v>
      </c>
      <c r="L32" s="123"/>
      <c r="M32" s="58">
        <f t="shared" si="6"/>
        <v>299992.17941380019</v>
      </c>
      <c r="N32" s="118"/>
    </row>
    <row r="33" spans="1:34">
      <c r="A33" s="28">
        <v>30</v>
      </c>
      <c r="B33" s="29">
        <v>45868</v>
      </c>
      <c r="C33" s="55"/>
      <c r="D33" s="57" t="s">
        <v>123</v>
      </c>
      <c r="E33" s="56">
        <v>547.47</v>
      </c>
      <c r="F33" s="56">
        <v>91.33</v>
      </c>
      <c r="G33" s="55">
        <f t="shared" si="3"/>
        <v>50000.435100000002</v>
      </c>
      <c r="H33" s="56">
        <v>0</v>
      </c>
      <c r="I33" s="56"/>
      <c r="J33" s="58">
        <f t="shared" si="4"/>
        <v>0</v>
      </c>
      <c r="K33" s="55">
        <f t="shared" si="5"/>
        <v>50000.435100000002</v>
      </c>
      <c r="L33" s="123">
        <v>50000</v>
      </c>
      <c r="M33" s="58">
        <f t="shared" si="6"/>
        <v>299992.61451380019</v>
      </c>
      <c r="N33" s="118"/>
    </row>
    <row r="34" spans="1:34">
      <c r="A34" s="28">
        <v>31</v>
      </c>
      <c r="B34" s="29">
        <v>45869</v>
      </c>
      <c r="C34" s="55"/>
      <c r="D34" s="57" t="s">
        <v>123</v>
      </c>
      <c r="E34" s="56">
        <v>0</v>
      </c>
      <c r="F34" s="56"/>
      <c r="G34" s="55">
        <f t="shared" si="3"/>
        <v>0</v>
      </c>
      <c r="H34" s="56">
        <v>0</v>
      </c>
      <c r="I34" s="56"/>
      <c r="J34" s="58">
        <f t="shared" si="4"/>
        <v>0</v>
      </c>
      <c r="K34" s="55">
        <f t="shared" si="5"/>
        <v>0</v>
      </c>
      <c r="L34" s="123">
        <v>200000</v>
      </c>
      <c r="M34" s="58">
        <f t="shared" si="6"/>
        <v>99992.614513800188</v>
      </c>
      <c r="N34" s="118"/>
    </row>
    <row r="35" spans="1:34">
      <c r="A35" s="28">
        <v>32</v>
      </c>
      <c r="B35" s="29"/>
      <c r="C35" s="55"/>
      <c r="D35" s="57" t="s">
        <v>123</v>
      </c>
      <c r="E35" s="56">
        <v>0</v>
      </c>
      <c r="F35" s="56"/>
      <c r="G35" s="55">
        <f t="shared" si="3"/>
        <v>0</v>
      </c>
      <c r="H35" s="56">
        <v>0</v>
      </c>
      <c r="I35" s="56"/>
      <c r="J35" s="58">
        <f t="shared" si="4"/>
        <v>0</v>
      </c>
      <c r="K35" s="55">
        <f t="shared" si="5"/>
        <v>0</v>
      </c>
      <c r="L35" s="123"/>
      <c r="M35" s="58">
        <f t="shared" si="6"/>
        <v>99992.614513800188</v>
      </c>
      <c r="N35" s="118"/>
    </row>
    <row r="36" spans="1:34">
      <c r="A36" s="51"/>
      <c r="B36" s="51"/>
      <c r="C36" s="51"/>
      <c r="D36" s="51"/>
      <c r="E36" s="52">
        <f>SUM(E4:E35)</f>
        <v>12447.47</v>
      </c>
      <c r="F36" s="52"/>
      <c r="G36" s="52">
        <f>SUM(G4:G35)</f>
        <v>1136470.4350999999</v>
      </c>
      <c r="H36" s="52">
        <f>SUM(H4:H35)</f>
        <v>630</v>
      </c>
      <c r="I36" s="52"/>
      <c r="J36" s="52">
        <f>SUM(J4:J35)</f>
        <v>65041.19999999999</v>
      </c>
      <c r="K36" s="52">
        <f>SUM(K4:K35)</f>
        <v>1201511.6351000001</v>
      </c>
      <c r="L36" s="52">
        <f>SUM(L4:L35)</f>
        <v>1150000</v>
      </c>
      <c r="M36" s="52"/>
      <c r="N36" s="52"/>
      <c r="O36" s="35"/>
    </row>
    <row r="37" spans="1:34" s="59" customFormat="1" ht="20.2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</row>
    <row r="38" spans="1:34">
      <c r="J38" s="54"/>
      <c r="L38" s="54"/>
      <c r="M38" s="54"/>
    </row>
  </sheetData>
  <mergeCells count="2">
    <mergeCell ref="A1:N1"/>
    <mergeCell ref="A3:J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A176-B02F-4D5D-BFBA-88F02F90B0CD}">
  <dimension ref="A1:P39"/>
  <sheetViews>
    <sheetView workbookViewId="0">
      <pane ySplit="2" topLeftCell="A3" activePane="bottomLeft" state="frozen"/>
      <selection pane="bottomLeft" activeCell="E28" sqref="E28"/>
    </sheetView>
  </sheetViews>
  <sheetFormatPr defaultColWidth="12.28515625" defaultRowHeight="12.75"/>
  <cols>
    <col min="1" max="1" width="8.42578125" style="73" customWidth="1"/>
    <col min="2" max="3" width="12.28515625" style="73"/>
    <col min="4" max="4" width="13.5703125" style="73" customWidth="1"/>
    <col min="5" max="5" width="12.28515625" style="73"/>
    <col min="6" max="6" width="13.7109375" style="73" bestFit="1" customWidth="1"/>
    <col min="7" max="16384" width="12.28515625" style="73"/>
  </cols>
  <sheetData>
    <row r="1" spans="1:16" ht="15.75" customHeight="1">
      <c r="A1" s="414" t="s">
        <v>42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  <c r="O1" s="72"/>
    </row>
    <row r="2" spans="1:16" ht="15.75" customHeight="1">
      <c r="A2" s="100" t="s">
        <v>105</v>
      </c>
      <c r="B2" s="101" t="s">
        <v>106</v>
      </c>
      <c r="C2" s="101" t="s">
        <v>107</v>
      </c>
      <c r="D2" s="101" t="s">
        <v>108</v>
      </c>
      <c r="E2" s="101" t="s">
        <v>109</v>
      </c>
      <c r="F2" s="101" t="s">
        <v>110</v>
      </c>
      <c r="G2" s="101" t="s">
        <v>111</v>
      </c>
      <c r="H2" s="101" t="s">
        <v>112</v>
      </c>
      <c r="I2" s="101" t="s">
        <v>110</v>
      </c>
      <c r="J2" s="127" t="s">
        <v>111</v>
      </c>
      <c r="K2" s="129" t="s">
        <v>113</v>
      </c>
      <c r="L2" s="130" t="s">
        <v>114</v>
      </c>
      <c r="M2" s="131" t="s">
        <v>120</v>
      </c>
      <c r="N2" s="102" t="s">
        <v>116</v>
      </c>
      <c r="O2" s="35"/>
    </row>
    <row r="3" spans="1:16" ht="15.75" customHeight="1">
      <c r="A3" s="420" t="s">
        <v>117</v>
      </c>
      <c r="B3" s="421"/>
      <c r="C3" s="424"/>
      <c r="D3" s="424"/>
      <c r="E3" s="424"/>
      <c r="F3" s="424"/>
      <c r="G3" s="424"/>
      <c r="H3" s="424"/>
      <c r="I3" s="424"/>
      <c r="J3" s="435"/>
      <c r="K3" s="238">
        <v>209799.73099999974</v>
      </c>
      <c r="L3" s="237"/>
      <c r="M3" s="238">
        <v>209799.73099999974</v>
      </c>
      <c r="N3" s="237"/>
      <c r="O3" s="35"/>
      <c r="P3" s="73">
        <v>1142944.1099999999</v>
      </c>
    </row>
    <row r="4" spans="1:16" ht="15">
      <c r="A4" s="28">
        <v>1</v>
      </c>
      <c r="B4" s="29">
        <v>45839</v>
      </c>
      <c r="C4" s="122"/>
      <c r="D4" s="122"/>
      <c r="E4" s="39"/>
      <c r="F4" s="39">
        <v>0</v>
      </c>
      <c r="G4" s="39">
        <f>E4*F4</f>
        <v>0</v>
      </c>
      <c r="H4" s="233">
        <v>0</v>
      </c>
      <c r="I4" s="233">
        <v>0</v>
      </c>
      <c r="J4" s="39">
        <f>H4*I4</f>
        <v>0</v>
      </c>
      <c r="K4" s="39">
        <f>G4+J4</f>
        <v>0</v>
      </c>
      <c r="L4" s="237"/>
      <c r="M4" s="234">
        <f>M3+K4-L4</f>
        <v>209799.73099999974</v>
      </c>
      <c r="N4" s="39"/>
      <c r="O4" s="30"/>
    </row>
    <row r="5" spans="1:16" ht="15">
      <c r="A5" s="28">
        <v>2</v>
      </c>
      <c r="B5" s="29">
        <v>45840</v>
      </c>
      <c r="C5" s="122"/>
      <c r="D5" s="122"/>
      <c r="E5" s="39"/>
      <c r="F5" s="39">
        <v>0</v>
      </c>
      <c r="G5" s="39">
        <f t="shared" ref="G5:G33" si="0">E5*F5</f>
        <v>0</v>
      </c>
      <c r="H5" s="233">
        <v>0</v>
      </c>
      <c r="I5" s="233">
        <v>0</v>
      </c>
      <c r="J5" s="39">
        <f t="shared" ref="J5:J33" si="1">H5*I5</f>
        <v>0</v>
      </c>
      <c r="K5" s="39">
        <f t="shared" ref="K5:K33" si="2">G5+J5</f>
        <v>0</v>
      </c>
      <c r="L5" s="237"/>
      <c r="M5" s="234">
        <f>M4+K5-L5</f>
        <v>209799.73099999974</v>
      </c>
      <c r="N5" s="39"/>
      <c r="O5" s="30"/>
    </row>
    <row r="6" spans="1:16" ht="15">
      <c r="A6" s="28">
        <v>3</v>
      </c>
      <c r="B6" s="29">
        <v>45841</v>
      </c>
      <c r="C6" s="122"/>
      <c r="D6" s="122"/>
      <c r="E6" s="39"/>
      <c r="F6" s="39">
        <v>0</v>
      </c>
      <c r="G6" s="39">
        <f t="shared" si="0"/>
        <v>0</v>
      </c>
      <c r="H6" s="233">
        <v>0</v>
      </c>
      <c r="I6" s="233">
        <v>0</v>
      </c>
      <c r="J6" s="39">
        <f t="shared" si="1"/>
        <v>0</v>
      </c>
      <c r="K6" s="39">
        <f t="shared" si="2"/>
        <v>0</v>
      </c>
      <c r="L6" s="237"/>
      <c r="M6" s="234">
        <f>M5+K6-L6</f>
        <v>209799.73099999974</v>
      </c>
      <c r="N6" s="39"/>
      <c r="O6" s="30"/>
    </row>
    <row r="7" spans="1:16" ht="15">
      <c r="A7" s="28">
        <v>4</v>
      </c>
      <c r="B7" s="29">
        <v>45842</v>
      </c>
      <c r="C7" s="122"/>
      <c r="D7" s="122"/>
      <c r="E7" s="39"/>
      <c r="F7" s="39">
        <v>0</v>
      </c>
      <c r="G7" s="39">
        <f t="shared" si="0"/>
        <v>0</v>
      </c>
      <c r="H7" s="233">
        <v>0</v>
      </c>
      <c r="I7" s="233">
        <v>0</v>
      </c>
      <c r="J7" s="39">
        <f t="shared" si="1"/>
        <v>0</v>
      </c>
      <c r="K7" s="39">
        <f t="shared" si="2"/>
        <v>0</v>
      </c>
      <c r="L7" s="237"/>
      <c r="M7" s="234">
        <f>M6+K7-L7</f>
        <v>209799.73099999974</v>
      </c>
      <c r="N7" s="39"/>
      <c r="O7" s="30"/>
    </row>
    <row r="8" spans="1:16" ht="15">
      <c r="A8" s="28">
        <v>5</v>
      </c>
      <c r="B8" s="29">
        <v>45843</v>
      </c>
      <c r="C8" s="122"/>
      <c r="D8" s="122"/>
      <c r="E8" s="39"/>
      <c r="F8" s="39">
        <v>0</v>
      </c>
      <c r="G8" s="39">
        <f t="shared" si="0"/>
        <v>0</v>
      </c>
      <c r="H8" s="233">
        <v>0</v>
      </c>
      <c r="I8" s="233">
        <v>0</v>
      </c>
      <c r="J8" s="39">
        <f t="shared" si="1"/>
        <v>0</v>
      </c>
      <c r="K8" s="39">
        <f t="shared" si="2"/>
        <v>0</v>
      </c>
      <c r="L8" s="237"/>
      <c r="M8" s="234">
        <f>M7+K8-L8</f>
        <v>209799.73099999974</v>
      </c>
      <c r="N8" s="39"/>
      <c r="O8" s="30"/>
    </row>
    <row r="9" spans="1:16" ht="15">
      <c r="A9" s="28">
        <v>6</v>
      </c>
      <c r="B9" s="29">
        <v>45844</v>
      </c>
      <c r="C9" s="122"/>
      <c r="D9" s="122"/>
      <c r="E9" s="39"/>
      <c r="F9" s="39">
        <v>0</v>
      </c>
      <c r="G9" s="39">
        <f t="shared" si="0"/>
        <v>0</v>
      </c>
      <c r="H9" s="233">
        <v>0</v>
      </c>
      <c r="I9" s="233">
        <v>0</v>
      </c>
      <c r="J9" s="39">
        <f t="shared" si="1"/>
        <v>0</v>
      </c>
      <c r="K9" s="39">
        <f t="shared" si="2"/>
        <v>0</v>
      </c>
      <c r="L9" s="237"/>
      <c r="M9" s="234">
        <f t="shared" ref="M9:M33" si="3">M8+K9-L9</f>
        <v>209799.73099999974</v>
      </c>
      <c r="N9" s="39"/>
      <c r="O9" s="30"/>
    </row>
    <row r="10" spans="1:16" ht="15">
      <c r="A10" s="28">
        <v>7</v>
      </c>
      <c r="B10" s="29">
        <v>45845</v>
      </c>
      <c r="C10" s="122"/>
      <c r="D10" s="122"/>
      <c r="E10" s="39"/>
      <c r="F10" s="39">
        <v>0</v>
      </c>
      <c r="G10" s="39">
        <f t="shared" si="0"/>
        <v>0</v>
      </c>
      <c r="H10" s="233">
        <v>0</v>
      </c>
      <c r="I10" s="233">
        <v>0</v>
      </c>
      <c r="J10" s="39">
        <f t="shared" si="1"/>
        <v>0</v>
      </c>
      <c r="K10" s="39">
        <f t="shared" si="2"/>
        <v>0</v>
      </c>
      <c r="L10" s="237"/>
      <c r="M10" s="234">
        <f t="shared" si="3"/>
        <v>209799.73099999974</v>
      </c>
      <c r="N10" s="39"/>
      <c r="O10" s="30"/>
    </row>
    <row r="11" spans="1:16" ht="15">
      <c r="A11" s="28">
        <v>8</v>
      </c>
      <c r="B11" s="29">
        <v>45846</v>
      </c>
      <c r="C11" s="122"/>
      <c r="D11" s="122"/>
      <c r="E11" s="39"/>
      <c r="F11" s="39">
        <v>0</v>
      </c>
      <c r="G11" s="39">
        <f t="shared" si="0"/>
        <v>0</v>
      </c>
      <c r="H11" s="233">
        <v>0</v>
      </c>
      <c r="I11" s="233">
        <v>0</v>
      </c>
      <c r="J11" s="39">
        <f t="shared" si="1"/>
        <v>0</v>
      </c>
      <c r="K11" s="39">
        <f t="shared" si="2"/>
        <v>0</v>
      </c>
      <c r="L11" s="237"/>
      <c r="M11" s="234">
        <f t="shared" si="3"/>
        <v>209799.73099999974</v>
      </c>
      <c r="N11" s="39"/>
      <c r="O11" s="30"/>
    </row>
    <row r="12" spans="1:16" ht="15">
      <c r="A12" s="28">
        <v>9</v>
      </c>
      <c r="B12" s="29">
        <v>45847</v>
      </c>
      <c r="C12" s="122"/>
      <c r="D12" s="122"/>
      <c r="E12" s="39"/>
      <c r="F12" s="39">
        <v>0</v>
      </c>
      <c r="G12" s="39">
        <f t="shared" si="0"/>
        <v>0</v>
      </c>
      <c r="H12" s="233">
        <v>0</v>
      </c>
      <c r="I12" s="233">
        <v>0</v>
      </c>
      <c r="J12" s="39">
        <f t="shared" si="1"/>
        <v>0</v>
      </c>
      <c r="K12" s="39">
        <f t="shared" si="2"/>
        <v>0</v>
      </c>
      <c r="L12" s="237"/>
      <c r="M12" s="234">
        <f t="shared" si="3"/>
        <v>209799.73099999974</v>
      </c>
      <c r="N12" s="39"/>
      <c r="O12" s="30"/>
    </row>
    <row r="13" spans="1:16" ht="15">
      <c r="A13" s="28">
        <v>10</v>
      </c>
      <c r="B13" s="29">
        <v>45848</v>
      </c>
      <c r="C13" s="122"/>
      <c r="D13" s="122"/>
      <c r="E13" s="39"/>
      <c r="F13" s="39">
        <v>0</v>
      </c>
      <c r="G13" s="39">
        <f t="shared" si="0"/>
        <v>0</v>
      </c>
      <c r="H13" s="233">
        <v>0</v>
      </c>
      <c r="I13" s="233">
        <v>0</v>
      </c>
      <c r="J13" s="39">
        <f t="shared" si="1"/>
        <v>0</v>
      </c>
      <c r="K13" s="39">
        <f t="shared" si="2"/>
        <v>0</v>
      </c>
      <c r="L13" s="237"/>
      <c r="M13" s="234">
        <f t="shared" si="3"/>
        <v>209799.73099999974</v>
      </c>
      <c r="N13" s="39"/>
      <c r="O13" s="30"/>
    </row>
    <row r="14" spans="1:16" ht="15">
      <c r="A14" s="28">
        <v>11</v>
      </c>
      <c r="B14" s="29">
        <v>45849</v>
      </c>
      <c r="C14" s="122"/>
      <c r="D14" s="122"/>
      <c r="E14" s="39"/>
      <c r="F14" s="39">
        <v>0</v>
      </c>
      <c r="G14" s="39">
        <f t="shared" si="0"/>
        <v>0</v>
      </c>
      <c r="H14" s="233">
        <v>0</v>
      </c>
      <c r="I14" s="233">
        <v>0</v>
      </c>
      <c r="J14" s="39">
        <f t="shared" si="1"/>
        <v>0</v>
      </c>
      <c r="K14" s="39">
        <f t="shared" si="2"/>
        <v>0</v>
      </c>
      <c r="L14" s="237"/>
      <c r="M14" s="234">
        <f t="shared" si="3"/>
        <v>209799.73099999974</v>
      </c>
      <c r="N14" s="39"/>
      <c r="O14" s="30"/>
    </row>
    <row r="15" spans="1:16" ht="15">
      <c r="A15" s="28">
        <v>12</v>
      </c>
      <c r="B15" s="29">
        <v>45850</v>
      </c>
      <c r="C15" s="122"/>
      <c r="D15" s="122"/>
      <c r="E15" s="39"/>
      <c r="F15" s="39">
        <v>0</v>
      </c>
      <c r="G15" s="39">
        <f t="shared" si="0"/>
        <v>0</v>
      </c>
      <c r="H15" s="233">
        <v>0</v>
      </c>
      <c r="I15" s="233">
        <v>0</v>
      </c>
      <c r="J15" s="39">
        <f t="shared" si="1"/>
        <v>0</v>
      </c>
      <c r="K15" s="39">
        <f t="shared" si="2"/>
        <v>0</v>
      </c>
      <c r="L15" s="237"/>
      <c r="M15" s="234">
        <f t="shared" si="3"/>
        <v>209799.73099999974</v>
      </c>
      <c r="N15" s="39"/>
      <c r="O15" s="30"/>
    </row>
    <row r="16" spans="1:16" ht="15">
      <c r="A16" s="28">
        <v>13</v>
      </c>
      <c r="B16" s="29">
        <v>45851</v>
      </c>
      <c r="C16" s="122"/>
      <c r="D16" s="122"/>
      <c r="E16" s="39"/>
      <c r="F16" s="39">
        <v>0</v>
      </c>
      <c r="G16" s="39">
        <f t="shared" si="0"/>
        <v>0</v>
      </c>
      <c r="H16" s="233">
        <v>0</v>
      </c>
      <c r="I16" s="233">
        <v>0</v>
      </c>
      <c r="J16" s="39">
        <f t="shared" si="1"/>
        <v>0</v>
      </c>
      <c r="K16" s="39">
        <f t="shared" si="2"/>
        <v>0</v>
      </c>
      <c r="L16" s="237"/>
      <c r="M16" s="234">
        <f t="shared" si="3"/>
        <v>209799.73099999974</v>
      </c>
      <c r="N16" s="39"/>
      <c r="O16" s="30"/>
    </row>
    <row r="17" spans="1:15" ht="15">
      <c r="A17" s="28">
        <v>14</v>
      </c>
      <c r="B17" s="29">
        <v>45852</v>
      </c>
      <c r="C17" s="122"/>
      <c r="D17" s="122"/>
      <c r="E17" s="39"/>
      <c r="F17" s="39">
        <v>0</v>
      </c>
      <c r="G17" s="39">
        <f t="shared" si="0"/>
        <v>0</v>
      </c>
      <c r="H17" s="233">
        <v>0</v>
      </c>
      <c r="I17" s="233">
        <v>0</v>
      </c>
      <c r="J17" s="39">
        <f t="shared" si="1"/>
        <v>0</v>
      </c>
      <c r="K17" s="39">
        <f t="shared" si="2"/>
        <v>0</v>
      </c>
      <c r="L17" s="237"/>
      <c r="M17" s="234">
        <f t="shared" si="3"/>
        <v>209799.73099999974</v>
      </c>
      <c r="N17" s="39"/>
      <c r="O17" s="30"/>
    </row>
    <row r="18" spans="1:15" ht="15">
      <c r="A18" s="28">
        <v>15</v>
      </c>
      <c r="B18" s="29">
        <v>45853</v>
      </c>
      <c r="C18" s="122"/>
      <c r="D18" s="122"/>
      <c r="E18" s="39"/>
      <c r="F18" s="39">
        <v>0</v>
      </c>
      <c r="G18" s="39">
        <f t="shared" si="0"/>
        <v>0</v>
      </c>
      <c r="H18" s="233">
        <v>0</v>
      </c>
      <c r="I18" s="233">
        <v>0</v>
      </c>
      <c r="J18" s="39">
        <f t="shared" si="1"/>
        <v>0</v>
      </c>
      <c r="K18" s="39">
        <f t="shared" si="2"/>
        <v>0</v>
      </c>
      <c r="L18" s="237"/>
      <c r="M18" s="234">
        <f t="shared" si="3"/>
        <v>209799.73099999974</v>
      </c>
      <c r="N18" s="39"/>
      <c r="O18" s="30"/>
    </row>
    <row r="19" spans="1:15" ht="15">
      <c r="A19" s="28">
        <v>16</v>
      </c>
      <c r="B19" s="29">
        <v>45854</v>
      </c>
      <c r="C19" s="122"/>
      <c r="D19" s="122"/>
      <c r="E19" s="39"/>
      <c r="F19" s="39">
        <v>0</v>
      </c>
      <c r="G19" s="39">
        <f t="shared" si="0"/>
        <v>0</v>
      </c>
      <c r="H19" s="233">
        <v>0</v>
      </c>
      <c r="I19" s="233">
        <v>0</v>
      </c>
      <c r="J19" s="39">
        <f t="shared" si="1"/>
        <v>0</v>
      </c>
      <c r="K19" s="39">
        <f t="shared" si="2"/>
        <v>0</v>
      </c>
      <c r="L19" s="237"/>
      <c r="M19" s="234">
        <f t="shared" si="3"/>
        <v>209799.73099999974</v>
      </c>
      <c r="N19" s="39"/>
      <c r="O19" s="30"/>
    </row>
    <row r="20" spans="1:15" ht="15">
      <c r="A20" s="28">
        <v>17</v>
      </c>
      <c r="B20" s="29">
        <v>45855</v>
      </c>
      <c r="C20" s="122"/>
      <c r="D20" s="122"/>
      <c r="E20" s="39"/>
      <c r="F20" s="39">
        <v>0</v>
      </c>
      <c r="G20" s="39">
        <f t="shared" si="0"/>
        <v>0</v>
      </c>
      <c r="H20" s="233">
        <v>0</v>
      </c>
      <c r="I20" s="233">
        <v>0</v>
      </c>
      <c r="J20" s="39">
        <f t="shared" si="1"/>
        <v>0</v>
      </c>
      <c r="K20" s="39">
        <f t="shared" si="2"/>
        <v>0</v>
      </c>
      <c r="L20" s="237"/>
      <c r="M20" s="234">
        <f t="shared" si="3"/>
        <v>209799.73099999974</v>
      </c>
      <c r="N20" s="39"/>
      <c r="O20" s="30"/>
    </row>
    <row r="21" spans="1:15" ht="15">
      <c r="A21" s="28">
        <v>18</v>
      </c>
      <c r="B21" s="29">
        <v>45856</v>
      </c>
      <c r="C21" s="122"/>
      <c r="D21" s="122"/>
      <c r="E21" s="39"/>
      <c r="F21" s="39">
        <v>0</v>
      </c>
      <c r="G21" s="39">
        <f t="shared" si="0"/>
        <v>0</v>
      </c>
      <c r="H21" s="233">
        <v>0</v>
      </c>
      <c r="I21" s="233">
        <v>0</v>
      </c>
      <c r="J21" s="39">
        <f t="shared" si="1"/>
        <v>0</v>
      </c>
      <c r="K21" s="39">
        <f t="shared" si="2"/>
        <v>0</v>
      </c>
      <c r="L21" s="237"/>
      <c r="M21" s="234">
        <f t="shared" si="3"/>
        <v>209799.73099999974</v>
      </c>
      <c r="N21" s="39"/>
      <c r="O21" s="30"/>
    </row>
    <row r="22" spans="1:15" ht="15">
      <c r="A22" s="28">
        <v>19</v>
      </c>
      <c r="B22" s="29">
        <v>45857</v>
      </c>
      <c r="C22" s="122"/>
      <c r="D22" s="122"/>
      <c r="E22" s="39"/>
      <c r="F22" s="39">
        <v>0</v>
      </c>
      <c r="G22" s="39">
        <f t="shared" si="0"/>
        <v>0</v>
      </c>
      <c r="H22" s="233">
        <v>0</v>
      </c>
      <c r="I22" s="233">
        <v>0</v>
      </c>
      <c r="J22" s="39">
        <f t="shared" si="1"/>
        <v>0</v>
      </c>
      <c r="K22" s="39">
        <f t="shared" si="2"/>
        <v>0</v>
      </c>
      <c r="L22" s="237"/>
      <c r="M22" s="234">
        <f t="shared" si="3"/>
        <v>209799.73099999974</v>
      </c>
      <c r="N22" s="39"/>
      <c r="O22" s="30"/>
    </row>
    <row r="23" spans="1:15" ht="15">
      <c r="A23" s="28">
        <v>20</v>
      </c>
      <c r="B23" s="29">
        <v>45858</v>
      </c>
      <c r="C23" s="122"/>
      <c r="D23" s="122"/>
      <c r="E23" s="39"/>
      <c r="F23" s="39">
        <v>0</v>
      </c>
      <c r="G23" s="39">
        <f t="shared" si="0"/>
        <v>0</v>
      </c>
      <c r="H23" s="233">
        <v>0</v>
      </c>
      <c r="I23" s="233">
        <v>0</v>
      </c>
      <c r="J23" s="39">
        <f t="shared" si="1"/>
        <v>0</v>
      </c>
      <c r="K23" s="39">
        <f t="shared" si="2"/>
        <v>0</v>
      </c>
      <c r="L23" s="237"/>
      <c r="M23" s="234">
        <f t="shared" si="3"/>
        <v>209799.73099999974</v>
      </c>
      <c r="N23" s="39"/>
      <c r="O23" s="30"/>
    </row>
    <row r="24" spans="1:15" ht="15">
      <c r="A24" s="28">
        <v>21</v>
      </c>
      <c r="B24" s="29">
        <v>45859</v>
      </c>
      <c r="C24" s="122"/>
      <c r="D24" s="122"/>
      <c r="E24" s="39"/>
      <c r="F24" s="39">
        <v>0</v>
      </c>
      <c r="G24" s="39">
        <f t="shared" si="0"/>
        <v>0</v>
      </c>
      <c r="H24" s="233">
        <v>0</v>
      </c>
      <c r="I24" s="233">
        <v>0</v>
      </c>
      <c r="J24" s="39">
        <f t="shared" si="1"/>
        <v>0</v>
      </c>
      <c r="K24" s="39">
        <f t="shared" si="2"/>
        <v>0</v>
      </c>
      <c r="L24" s="237"/>
      <c r="M24" s="234">
        <f t="shared" si="3"/>
        <v>209799.73099999974</v>
      </c>
      <c r="N24" s="39"/>
      <c r="O24" s="30"/>
    </row>
    <row r="25" spans="1:15" ht="15">
      <c r="A25" s="28">
        <v>22</v>
      </c>
      <c r="B25" s="29">
        <v>45860</v>
      </c>
      <c r="C25" s="122"/>
      <c r="D25" s="122"/>
      <c r="E25" s="39"/>
      <c r="F25" s="39">
        <v>0</v>
      </c>
      <c r="G25" s="39">
        <f t="shared" si="0"/>
        <v>0</v>
      </c>
      <c r="H25" s="233">
        <v>0</v>
      </c>
      <c r="I25" s="233">
        <v>0</v>
      </c>
      <c r="J25" s="39">
        <f t="shared" si="1"/>
        <v>0</v>
      </c>
      <c r="K25" s="39">
        <f t="shared" si="2"/>
        <v>0</v>
      </c>
      <c r="L25" s="237"/>
      <c r="M25" s="234">
        <f t="shared" si="3"/>
        <v>209799.73099999974</v>
      </c>
      <c r="N25" s="39"/>
      <c r="O25" s="30"/>
    </row>
    <row r="26" spans="1:15" ht="15">
      <c r="A26" s="28">
        <v>23</v>
      </c>
      <c r="B26" s="29">
        <v>45861</v>
      </c>
      <c r="C26" s="122"/>
      <c r="D26" s="122"/>
      <c r="E26" s="39"/>
      <c r="F26" s="39">
        <v>0</v>
      </c>
      <c r="G26" s="39">
        <f t="shared" si="0"/>
        <v>0</v>
      </c>
      <c r="H26" s="233">
        <v>0</v>
      </c>
      <c r="I26" s="233">
        <v>0</v>
      </c>
      <c r="J26" s="39">
        <f t="shared" si="1"/>
        <v>0</v>
      </c>
      <c r="K26" s="39">
        <f t="shared" si="2"/>
        <v>0</v>
      </c>
      <c r="L26" s="237"/>
      <c r="M26" s="234">
        <f t="shared" si="3"/>
        <v>209799.73099999974</v>
      </c>
      <c r="N26" s="39"/>
      <c r="O26" s="30"/>
    </row>
    <row r="27" spans="1:15" ht="15">
      <c r="A27" s="28">
        <v>24</v>
      </c>
      <c r="B27" s="29">
        <v>45862</v>
      </c>
      <c r="C27" s="122"/>
      <c r="D27" s="122"/>
      <c r="E27" s="39"/>
      <c r="F27" s="39">
        <v>0</v>
      </c>
      <c r="G27" s="39">
        <f t="shared" si="0"/>
        <v>0</v>
      </c>
      <c r="H27" s="233">
        <v>0</v>
      </c>
      <c r="I27" s="233">
        <v>0</v>
      </c>
      <c r="J27" s="39">
        <f t="shared" si="1"/>
        <v>0</v>
      </c>
      <c r="K27" s="39">
        <f t="shared" si="2"/>
        <v>0</v>
      </c>
      <c r="L27" s="237"/>
      <c r="M27" s="234">
        <f t="shared" si="3"/>
        <v>209799.73099999974</v>
      </c>
      <c r="N27" s="39"/>
      <c r="O27" s="30"/>
    </row>
    <row r="28" spans="1:15" ht="15">
      <c r="A28" s="28">
        <v>25</v>
      </c>
      <c r="B28" s="29">
        <v>45863</v>
      </c>
      <c r="C28" s="122"/>
      <c r="D28" s="122"/>
      <c r="E28" s="39">
        <v>2000</v>
      </c>
      <c r="F28" s="39">
        <v>92.15</v>
      </c>
      <c r="G28" s="39">
        <f t="shared" si="0"/>
        <v>184300</v>
      </c>
      <c r="H28" s="233">
        <v>110</v>
      </c>
      <c r="I28" s="233">
        <v>104.27</v>
      </c>
      <c r="J28" s="39">
        <f t="shared" si="1"/>
        <v>11469.699999999999</v>
      </c>
      <c r="K28" s="39">
        <f t="shared" si="2"/>
        <v>195769.7</v>
      </c>
      <c r="L28" s="237"/>
      <c r="M28" s="234">
        <f t="shared" si="3"/>
        <v>405569.43099999975</v>
      </c>
      <c r="N28" s="39"/>
      <c r="O28" s="30"/>
    </row>
    <row r="29" spans="1:15" ht="15">
      <c r="A29" s="28">
        <v>26</v>
      </c>
      <c r="B29" s="29">
        <v>45864</v>
      </c>
      <c r="C29" s="122"/>
      <c r="D29" s="122"/>
      <c r="E29" s="39"/>
      <c r="F29" s="39">
        <v>0</v>
      </c>
      <c r="G29" s="39">
        <f t="shared" si="0"/>
        <v>0</v>
      </c>
      <c r="H29" s="233">
        <v>0</v>
      </c>
      <c r="I29" s="233">
        <v>0</v>
      </c>
      <c r="J29" s="39">
        <f t="shared" si="1"/>
        <v>0</v>
      </c>
      <c r="K29" s="39">
        <f t="shared" si="2"/>
        <v>0</v>
      </c>
      <c r="L29" s="237"/>
      <c r="M29" s="234">
        <f t="shared" si="3"/>
        <v>405569.43099999975</v>
      </c>
      <c r="N29" s="39"/>
      <c r="O29" s="30"/>
    </row>
    <row r="30" spans="1:15" ht="15">
      <c r="A30" s="28">
        <v>27</v>
      </c>
      <c r="B30" s="29">
        <v>45865</v>
      </c>
      <c r="C30" s="122"/>
      <c r="D30" s="122"/>
      <c r="E30" s="39"/>
      <c r="F30" s="39">
        <v>0</v>
      </c>
      <c r="G30" s="39">
        <f t="shared" si="0"/>
        <v>0</v>
      </c>
      <c r="H30" s="233">
        <v>0</v>
      </c>
      <c r="I30" s="233">
        <v>0</v>
      </c>
      <c r="J30" s="39">
        <f t="shared" si="1"/>
        <v>0</v>
      </c>
      <c r="K30" s="39">
        <f t="shared" si="2"/>
        <v>0</v>
      </c>
      <c r="L30" s="237"/>
      <c r="M30" s="234">
        <f t="shared" si="3"/>
        <v>405569.43099999975</v>
      </c>
      <c r="N30" s="39"/>
      <c r="O30" s="30"/>
    </row>
    <row r="31" spans="1:15" ht="15">
      <c r="A31" s="28">
        <v>28</v>
      </c>
      <c r="B31" s="29">
        <v>45866</v>
      </c>
      <c r="C31" s="122"/>
      <c r="D31" s="122"/>
      <c r="E31" s="39"/>
      <c r="F31" s="39">
        <v>0</v>
      </c>
      <c r="G31" s="39">
        <f t="shared" si="0"/>
        <v>0</v>
      </c>
      <c r="H31" s="233">
        <v>0</v>
      </c>
      <c r="I31" s="233">
        <v>0</v>
      </c>
      <c r="J31" s="39">
        <f t="shared" si="1"/>
        <v>0</v>
      </c>
      <c r="K31" s="39">
        <f t="shared" si="2"/>
        <v>0</v>
      </c>
      <c r="L31" s="237"/>
      <c r="M31" s="234">
        <f t="shared" si="3"/>
        <v>405569.43099999975</v>
      </c>
      <c r="N31" s="39"/>
      <c r="O31" s="30"/>
    </row>
    <row r="32" spans="1:15" ht="15">
      <c r="A32" s="28">
        <v>29</v>
      </c>
      <c r="B32" s="29">
        <v>45867</v>
      </c>
      <c r="C32" s="122"/>
      <c r="D32" s="122"/>
      <c r="E32" s="39"/>
      <c r="F32" s="39">
        <v>0</v>
      </c>
      <c r="G32" s="39">
        <f t="shared" si="0"/>
        <v>0</v>
      </c>
      <c r="H32" s="233">
        <v>0</v>
      </c>
      <c r="I32" s="233">
        <v>0</v>
      </c>
      <c r="J32" s="39">
        <f t="shared" si="1"/>
        <v>0</v>
      </c>
      <c r="K32" s="39">
        <f t="shared" si="2"/>
        <v>0</v>
      </c>
      <c r="L32" s="237"/>
      <c r="M32" s="234">
        <f t="shared" si="3"/>
        <v>405569.43099999975</v>
      </c>
      <c r="N32" s="260"/>
      <c r="O32" s="30"/>
    </row>
    <row r="33" spans="1:15" ht="15">
      <c r="A33" s="28">
        <v>30</v>
      </c>
      <c r="B33" s="29">
        <v>45868</v>
      </c>
      <c r="C33" s="122"/>
      <c r="D33" s="122"/>
      <c r="E33" s="39"/>
      <c r="F33" s="39">
        <v>0</v>
      </c>
      <c r="G33" s="39">
        <f t="shared" si="0"/>
        <v>0</v>
      </c>
      <c r="H33" s="233">
        <v>0</v>
      </c>
      <c r="I33" s="233">
        <v>0</v>
      </c>
      <c r="J33" s="39">
        <f t="shared" si="1"/>
        <v>0</v>
      </c>
      <c r="K33" s="39">
        <f t="shared" si="2"/>
        <v>0</v>
      </c>
      <c r="L33" s="237"/>
      <c r="M33" s="234">
        <f t="shared" si="3"/>
        <v>405569.43099999975</v>
      </c>
      <c r="N33" s="260"/>
      <c r="O33" s="30"/>
    </row>
    <row r="34" spans="1:15" ht="15">
      <c r="A34" s="28">
        <v>31</v>
      </c>
      <c r="B34" s="29"/>
      <c r="C34" s="122"/>
      <c r="D34" s="122"/>
      <c r="E34" s="39"/>
      <c r="F34" s="39">
        <v>0</v>
      </c>
      <c r="G34" s="39">
        <f t="shared" ref="G5:G34" si="4">E34*F34</f>
        <v>0</v>
      </c>
      <c r="H34" s="233"/>
      <c r="I34" s="233"/>
      <c r="J34" s="39">
        <f t="shared" ref="J5:J34" si="5">H34*I34</f>
        <v>0</v>
      </c>
      <c r="K34" s="39">
        <f t="shared" ref="K5:K34" si="6">G34+J34</f>
        <v>0</v>
      </c>
      <c r="L34" s="237"/>
      <c r="M34" s="260"/>
      <c r="N34" s="260"/>
      <c r="O34" s="30"/>
    </row>
    <row r="35" spans="1:15">
      <c r="A35" s="51"/>
      <c r="B35" s="51"/>
      <c r="C35" s="239"/>
      <c r="D35" s="239"/>
      <c r="E35" s="240">
        <f>SUM(E4:E34)</f>
        <v>2000</v>
      </c>
      <c r="F35" s="240"/>
      <c r="G35" s="240">
        <f>SUM(G4:G34)</f>
        <v>184300</v>
      </c>
      <c r="H35" s="240">
        <f>SUM(H4:H34)</f>
        <v>110</v>
      </c>
      <c r="I35" s="240"/>
      <c r="J35" s="240">
        <f>SUM(J4:J34)</f>
        <v>11469.699999999999</v>
      </c>
      <c r="K35" s="240">
        <f>SUM(K4:K34)</f>
        <v>195769.7</v>
      </c>
      <c r="L35" s="240">
        <f>SUM(L4:L31)</f>
        <v>0</v>
      </c>
      <c r="M35" s="240"/>
      <c r="N35" s="240"/>
      <c r="O35" s="35"/>
    </row>
    <row r="36" spans="1:15">
      <c r="A36" s="32"/>
      <c r="B36" s="32"/>
      <c r="C36" s="32"/>
      <c r="D36" s="32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0"/>
    </row>
    <row r="37" spans="1:15">
      <c r="A37" s="30"/>
      <c r="B37" s="30"/>
      <c r="C37" s="30"/>
      <c r="D37" s="30"/>
      <c r="E37" s="30"/>
      <c r="F37" s="30"/>
      <c r="G37" s="33"/>
      <c r="H37" s="30"/>
      <c r="I37" s="30"/>
      <c r="J37" s="30"/>
      <c r="K37" s="30"/>
      <c r="L37" s="30"/>
      <c r="M37" s="30"/>
      <c r="N37" s="30"/>
      <c r="O37" s="34"/>
    </row>
    <row r="38" spans="1:15">
      <c r="A38" s="30"/>
      <c r="B38" s="434"/>
      <c r="C38" s="434"/>
      <c r="D38" s="434"/>
      <c r="E38" s="434"/>
      <c r="F38" s="30"/>
      <c r="G38" s="30"/>
      <c r="H38" s="30"/>
      <c r="I38" s="434"/>
      <c r="J38" s="434"/>
      <c r="K38" s="434"/>
      <c r="L38" s="434"/>
      <c r="M38" s="434"/>
      <c r="N38" s="434"/>
      <c r="O38" s="34"/>
    </row>
    <row r="39" spans="1:1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4"/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574-123A-4F92-95B2-0919D70B5B11}">
  <dimension ref="A1:O37"/>
  <sheetViews>
    <sheetView workbookViewId="0">
      <pane ySplit="2" topLeftCell="A3" activePane="bottomLeft" state="frozen"/>
      <selection pane="bottomLeft" activeCell="Q34" sqref="Q33:Q34"/>
    </sheetView>
  </sheetViews>
  <sheetFormatPr defaultColWidth="9.28515625" defaultRowHeight="15"/>
  <cols>
    <col min="1" max="1" width="5.42578125" style="63" bestFit="1" customWidth="1"/>
    <col min="2" max="2" width="11" style="63" bestFit="1" customWidth="1"/>
    <col min="3" max="3" width="7.140625" style="63" bestFit="1" customWidth="1"/>
    <col min="4" max="4" width="15.140625" style="63" bestFit="1" customWidth="1"/>
    <col min="5" max="5" width="9.28515625" style="63"/>
    <col min="6" max="6" width="9.85546875" style="63" bestFit="1" customWidth="1"/>
    <col min="7" max="7" width="10.42578125" style="63" bestFit="1" customWidth="1"/>
    <col min="8" max="8" width="9.28515625" style="63"/>
    <col min="9" max="9" width="7.140625" style="63" bestFit="1" customWidth="1"/>
    <col min="10" max="10" width="9.5703125" style="63" bestFit="1" customWidth="1"/>
    <col min="11" max="11" width="12.28515625" style="63" customWidth="1"/>
    <col min="12" max="12" width="11.7109375" style="63" bestFit="1" customWidth="1"/>
    <col min="13" max="13" width="11.7109375" style="63" customWidth="1"/>
    <col min="14" max="14" width="17.7109375" style="63" bestFit="1" customWidth="1"/>
    <col min="15" max="16384" width="9.28515625" style="63"/>
  </cols>
  <sheetData>
    <row r="1" spans="1:15" ht="15.75">
      <c r="A1" s="436" t="s">
        <v>44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</row>
    <row r="2" spans="1:15">
      <c r="A2" s="100" t="s">
        <v>105</v>
      </c>
      <c r="B2" s="101" t="s">
        <v>106</v>
      </c>
      <c r="C2" s="101" t="s">
        <v>107</v>
      </c>
      <c r="D2" s="101" t="s">
        <v>108</v>
      </c>
      <c r="E2" s="101" t="s">
        <v>109</v>
      </c>
      <c r="F2" s="101" t="s">
        <v>110</v>
      </c>
      <c r="G2" s="101" t="s">
        <v>111</v>
      </c>
      <c r="H2" s="101" t="s">
        <v>112</v>
      </c>
      <c r="I2" s="101" t="s">
        <v>110</v>
      </c>
      <c r="J2" s="127" t="s">
        <v>111</v>
      </c>
      <c r="K2" s="129" t="s">
        <v>113</v>
      </c>
      <c r="L2" s="130" t="s">
        <v>114</v>
      </c>
      <c r="M2" s="131" t="s">
        <v>120</v>
      </c>
      <c r="N2" s="102" t="s">
        <v>116</v>
      </c>
      <c r="O2" s="35"/>
    </row>
    <row r="3" spans="1:15" ht="15.75">
      <c r="A3" s="420" t="s">
        <v>117</v>
      </c>
      <c r="B3" s="421"/>
      <c r="C3" s="421"/>
      <c r="D3" s="421"/>
      <c r="E3" s="421"/>
      <c r="F3" s="421"/>
      <c r="G3" s="421"/>
      <c r="H3" s="421"/>
      <c r="I3" s="421"/>
      <c r="J3" s="429"/>
      <c r="K3" s="64">
        <v>382940.4</v>
      </c>
      <c r="L3" s="61"/>
      <c r="M3" s="135">
        <f>+K3</f>
        <v>382940.4</v>
      </c>
      <c r="N3" s="61"/>
    </row>
    <row r="4" spans="1:15" ht="15.75">
      <c r="A4" s="28">
        <v>1</v>
      </c>
      <c r="B4" s="29">
        <v>45839</v>
      </c>
      <c r="C4" s="133"/>
      <c r="D4" s="134"/>
      <c r="E4" s="92">
        <v>0</v>
      </c>
      <c r="F4" s="132"/>
      <c r="G4" s="132">
        <f>E4*F4</f>
        <v>0</v>
      </c>
      <c r="H4" s="132">
        <v>0</v>
      </c>
      <c r="I4" s="132">
        <v>0</v>
      </c>
      <c r="J4" s="132">
        <f>H4*I4</f>
        <v>0</v>
      </c>
      <c r="K4" s="132">
        <f>G4+J4</f>
        <v>0</v>
      </c>
      <c r="L4" s="132"/>
      <c r="M4" s="138">
        <f>M3+K4-L4</f>
        <v>382940.4</v>
      </c>
      <c r="N4" s="132"/>
    </row>
    <row r="5" spans="1:15" ht="15.75">
      <c r="A5" s="28">
        <v>2</v>
      </c>
      <c r="B5" s="29">
        <v>45840</v>
      </c>
      <c r="C5" s="25"/>
      <c r="D5" s="26"/>
      <c r="E5" s="92">
        <v>0</v>
      </c>
      <c r="F5" s="132"/>
      <c r="G5" s="132">
        <f t="shared" ref="G5:G34" si="0">E5*F5</f>
        <v>0</v>
      </c>
      <c r="H5" s="132">
        <v>70</v>
      </c>
      <c r="I5" s="132">
        <v>104.14</v>
      </c>
      <c r="J5" s="132">
        <f t="shared" ref="J5:J34" si="1">H5*I5</f>
        <v>7289.8</v>
      </c>
      <c r="K5" s="132">
        <f t="shared" ref="K5:K34" si="2">G5+J5</f>
        <v>7289.8</v>
      </c>
      <c r="L5" s="132">
        <v>200000</v>
      </c>
      <c r="M5" s="138">
        <f>M4+K5-L5</f>
        <v>190230.2</v>
      </c>
      <c r="N5" s="53"/>
    </row>
    <row r="6" spans="1:15" ht="18.75" customHeight="1">
      <c r="A6" s="28">
        <v>3</v>
      </c>
      <c r="B6" s="29">
        <v>45841</v>
      </c>
      <c r="C6" s="243"/>
      <c r="D6" s="219"/>
      <c r="E6" s="92">
        <v>0</v>
      </c>
      <c r="F6" s="132"/>
      <c r="G6" s="132">
        <f t="shared" si="0"/>
        <v>0</v>
      </c>
      <c r="H6" s="132">
        <v>0</v>
      </c>
      <c r="I6" s="132">
        <v>0</v>
      </c>
      <c r="J6" s="132">
        <f t="shared" si="1"/>
        <v>0</v>
      </c>
      <c r="K6" s="132">
        <f t="shared" si="2"/>
        <v>0</v>
      </c>
      <c r="L6" s="132"/>
      <c r="M6" s="138">
        <f>M5+K6-L6</f>
        <v>190230.2</v>
      </c>
      <c r="N6" s="61"/>
    </row>
    <row r="7" spans="1:15" ht="15.75">
      <c r="A7" s="28">
        <v>4</v>
      </c>
      <c r="B7" s="29">
        <v>45842</v>
      </c>
      <c r="C7" s="241"/>
      <c r="D7" s="242"/>
      <c r="E7" s="92">
        <v>2200</v>
      </c>
      <c r="F7" s="132">
        <v>92.26</v>
      </c>
      <c r="G7" s="132">
        <f t="shared" si="0"/>
        <v>202972</v>
      </c>
      <c r="H7" s="132">
        <v>0</v>
      </c>
      <c r="I7" s="132">
        <v>0</v>
      </c>
      <c r="J7" s="132">
        <f t="shared" si="1"/>
        <v>0</v>
      </c>
      <c r="K7" s="132">
        <f t="shared" si="2"/>
        <v>202972</v>
      </c>
      <c r="L7" s="132"/>
      <c r="M7" s="138">
        <f>M6+K7-L7</f>
        <v>393202.2</v>
      </c>
      <c r="N7" s="53"/>
    </row>
    <row r="8" spans="1:15" ht="15.75" customHeight="1">
      <c r="A8" s="28">
        <v>5</v>
      </c>
      <c r="B8" s="29">
        <v>45843</v>
      </c>
      <c r="C8" s="132"/>
      <c r="D8" s="132"/>
      <c r="E8" s="92">
        <v>0</v>
      </c>
      <c r="F8" s="132"/>
      <c r="G8" s="132">
        <f t="shared" si="0"/>
        <v>0</v>
      </c>
      <c r="H8" s="132">
        <v>0</v>
      </c>
      <c r="I8" s="132">
        <v>0</v>
      </c>
      <c r="J8" s="132">
        <f t="shared" si="1"/>
        <v>0</v>
      </c>
      <c r="K8" s="132">
        <f t="shared" si="2"/>
        <v>0</v>
      </c>
      <c r="L8" s="132"/>
      <c r="M8" s="138">
        <f t="shared" ref="M8:M34" si="3">M7+K8-L8</f>
        <v>393202.2</v>
      </c>
      <c r="N8" s="61"/>
    </row>
    <row r="9" spans="1:15" ht="15.75" customHeight="1">
      <c r="A9" s="28">
        <v>6</v>
      </c>
      <c r="B9" s="29">
        <v>45844</v>
      </c>
      <c r="C9" s="61"/>
      <c r="D9" s="132"/>
      <c r="E9" s="92">
        <v>0</v>
      </c>
      <c r="F9" s="132"/>
      <c r="G9" s="132">
        <f t="shared" si="0"/>
        <v>0</v>
      </c>
      <c r="H9" s="132">
        <v>0</v>
      </c>
      <c r="I9" s="132">
        <v>0</v>
      </c>
      <c r="J9" s="132">
        <f t="shared" si="1"/>
        <v>0</v>
      </c>
      <c r="K9" s="132">
        <f t="shared" si="2"/>
        <v>0</v>
      </c>
      <c r="L9" s="132"/>
      <c r="M9" s="138">
        <f t="shared" si="3"/>
        <v>393202.2</v>
      </c>
      <c r="N9" s="61"/>
    </row>
    <row r="10" spans="1:15" ht="15.75" customHeight="1">
      <c r="A10" s="28">
        <v>7</v>
      </c>
      <c r="B10" s="29">
        <v>45845</v>
      </c>
      <c r="C10" s="61"/>
      <c r="D10" s="132"/>
      <c r="E10" s="92">
        <v>0</v>
      </c>
      <c r="F10" s="132"/>
      <c r="G10" s="132">
        <f t="shared" si="0"/>
        <v>0</v>
      </c>
      <c r="H10" s="132">
        <v>0</v>
      </c>
      <c r="I10" s="132">
        <v>0</v>
      </c>
      <c r="J10" s="132">
        <f t="shared" si="1"/>
        <v>0</v>
      </c>
      <c r="K10" s="132">
        <f t="shared" si="2"/>
        <v>0</v>
      </c>
      <c r="L10" s="132"/>
      <c r="M10" s="138">
        <f t="shared" si="3"/>
        <v>393202.2</v>
      </c>
      <c r="N10" s="61"/>
    </row>
    <row r="11" spans="1:15" ht="15.75" customHeight="1">
      <c r="A11" s="28">
        <v>8</v>
      </c>
      <c r="B11" s="29">
        <v>45846</v>
      </c>
      <c r="C11" s="61"/>
      <c r="D11" s="132"/>
      <c r="E11" s="92">
        <v>0</v>
      </c>
      <c r="F11" s="132"/>
      <c r="G11" s="132">
        <f t="shared" si="0"/>
        <v>0</v>
      </c>
      <c r="H11" s="132">
        <v>0</v>
      </c>
      <c r="I11" s="132">
        <v>0</v>
      </c>
      <c r="J11" s="132">
        <f t="shared" si="1"/>
        <v>0</v>
      </c>
      <c r="K11" s="132">
        <f t="shared" si="2"/>
        <v>0</v>
      </c>
      <c r="L11" s="132"/>
      <c r="M11" s="138">
        <f t="shared" si="3"/>
        <v>393202.2</v>
      </c>
      <c r="N11" s="61"/>
    </row>
    <row r="12" spans="1:15" ht="15.75" customHeight="1">
      <c r="A12" s="28">
        <v>9</v>
      </c>
      <c r="B12" s="29">
        <v>45847</v>
      </c>
      <c r="C12" s="61"/>
      <c r="D12" s="132"/>
      <c r="E12" s="92">
        <v>0</v>
      </c>
      <c r="F12" s="132"/>
      <c r="G12" s="132">
        <f t="shared" si="0"/>
        <v>0</v>
      </c>
      <c r="H12" s="132">
        <v>0</v>
      </c>
      <c r="I12" s="132">
        <v>0</v>
      </c>
      <c r="J12" s="132">
        <f t="shared" si="1"/>
        <v>0</v>
      </c>
      <c r="K12" s="132">
        <f t="shared" si="2"/>
        <v>0</v>
      </c>
      <c r="L12" s="132"/>
      <c r="M12" s="138">
        <f t="shared" si="3"/>
        <v>393202.2</v>
      </c>
      <c r="N12" s="61"/>
    </row>
    <row r="13" spans="1:15" ht="15.75" customHeight="1">
      <c r="A13" s="28">
        <v>10</v>
      </c>
      <c r="B13" s="29">
        <v>45848</v>
      </c>
      <c r="C13" s="61"/>
      <c r="D13" s="132"/>
      <c r="E13" s="92">
        <v>0</v>
      </c>
      <c r="F13" s="132"/>
      <c r="G13" s="132">
        <f t="shared" si="0"/>
        <v>0</v>
      </c>
      <c r="H13" s="132">
        <v>0</v>
      </c>
      <c r="I13" s="132">
        <v>0</v>
      </c>
      <c r="J13" s="132">
        <f t="shared" si="1"/>
        <v>0</v>
      </c>
      <c r="K13" s="132">
        <f t="shared" si="2"/>
        <v>0</v>
      </c>
      <c r="L13" s="132">
        <v>190230</v>
      </c>
      <c r="M13" s="138">
        <f t="shared" si="3"/>
        <v>202972.2</v>
      </c>
      <c r="N13" s="61"/>
    </row>
    <row r="14" spans="1:15" ht="15.75" customHeight="1">
      <c r="A14" s="28">
        <v>11</v>
      </c>
      <c r="B14" s="29">
        <v>45849</v>
      </c>
      <c r="C14" s="61"/>
      <c r="D14" s="132"/>
      <c r="E14" s="92">
        <v>0</v>
      </c>
      <c r="F14" s="132">
        <v>0</v>
      </c>
      <c r="G14" s="132">
        <f t="shared" si="0"/>
        <v>0</v>
      </c>
      <c r="H14" s="132">
        <v>70</v>
      </c>
      <c r="I14" s="132">
        <v>104.14</v>
      </c>
      <c r="J14" s="132">
        <f t="shared" si="1"/>
        <v>7289.8</v>
      </c>
      <c r="K14" s="132">
        <f t="shared" si="2"/>
        <v>7289.8</v>
      </c>
      <c r="L14" s="132">
        <v>7289.8</v>
      </c>
      <c r="M14" s="138">
        <f t="shared" si="3"/>
        <v>202972.2</v>
      </c>
      <c r="N14" s="61"/>
    </row>
    <row r="15" spans="1:15" ht="15.75" customHeight="1">
      <c r="A15" s="28">
        <v>12</v>
      </c>
      <c r="B15" s="29">
        <v>45850</v>
      </c>
      <c r="C15" s="61"/>
      <c r="D15" s="132"/>
      <c r="E15" s="92">
        <v>0</v>
      </c>
      <c r="F15" s="132"/>
      <c r="G15" s="132">
        <f t="shared" si="0"/>
        <v>0</v>
      </c>
      <c r="H15" s="132">
        <v>0</v>
      </c>
      <c r="I15" s="132">
        <v>0</v>
      </c>
      <c r="J15" s="132">
        <f t="shared" si="1"/>
        <v>0</v>
      </c>
      <c r="K15" s="132">
        <f t="shared" si="2"/>
        <v>0</v>
      </c>
      <c r="L15" s="132"/>
      <c r="M15" s="138">
        <f t="shared" si="3"/>
        <v>202972.2</v>
      </c>
      <c r="N15" s="61"/>
    </row>
    <row r="16" spans="1:15" ht="15.75" customHeight="1">
      <c r="A16" s="28">
        <v>13</v>
      </c>
      <c r="B16" s="29">
        <v>45851</v>
      </c>
      <c r="C16" s="61"/>
      <c r="D16" s="132"/>
      <c r="E16" s="92">
        <v>0</v>
      </c>
      <c r="F16" s="132"/>
      <c r="G16" s="132">
        <f t="shared" si="0"/>
        <v>0</v>
      </c>
      <c r="H16" s="132">
        <v>0</v>
      </c>
      <c r="I16" s="132">
        <v>0</v>
      </c>
      <c r="J16" s="132">
        <f t="shared" si="1"/>
        <v>0</v>
      </c>
      <c r="K16" s="132">
        <f t="shared" si="2"/>
        <v>0</v>
      </c>
      <c r="L16" s="132"/>
      <c r="M16" s="138">
        <f t="shared" si="3"/>
        <v>202972.2</v>
      </c>
      <c r="N16" s="61"/>
    </row>
    <row r="17" spans="1:14" ht="15.75" customHeight="1">
      <c r="A17" s="28">
        <v>14</v>
      </c>
      <c r="B17" s="29">
        <v>45852</v>
      </c>
      <c r="C17" s="61"/>
      <c r="D17" s="132"/>
      <c r="E17" s="92">
        <v>0</v>
      </c>
      <c r="F17" s="132"/>
      <c r="G17" s="132">
        <f t="shared" si="0"/>
        <v>0</v>
      </c>
      <c r="H17" s="132">
        <v>0</v>
      </c>
      <c r="I17" s="132">
        <v>0</v>
      </c>
      <c r="J17" s="132">
        <f t="shared" si="1"/>
        <v>0</v>
      </c>
      <c r="K17" s="132">
        <f t="shared" si="2"/>
        <v>0</v>
      </c>
      <c r="L17" s="132"/>
      <c r="M17" s="138">
        <f t="shared" si="3"/>
        <v>202972.2</v>
      </c>
      <c r="N17" s="61"/>
    </row>
    <row r="18" spans="1:14" ht="15.75" customHeight="1">
      <c r="A18" s="28">
        <v>15</v>
      </c>
      <c r="B18" s="29">
        <v>45853</v>
      </c>
      <c r="C18" s="61"/>
      <c r="D18" s="132"/>
      <c r="E18" s="92">
        <v>0</v>
      </c>
      <c r="F18" s="132"/>
      <c r="G18" s="132">
        <f t="shared" si="0"/>
        <v>0</v>
      </c>
      <c r="H18" s="132">
        <v>0</v>
      </c>
      <c r="I18" s="132">
        <v>0</v>
      </c>
      <c r="J18" s="132">
        <f t="shared" si="1"/>
        <v>0</v>
      </c>
      <c r="K18" s="132">
        <f t="shared" si="2"/>
        <v>0</v>
      </c>
      <c r="L18" s="132">
        <v>100000</v>
      </c>
      <c r="M18" s="138">
        <f t="shared" si="3"/>
        <v>102972.20000000001</v>
      </c>
      <c r="N18" s="61"/>
    </row>
    <row r="19" spans="1:14" ht="15.75" customHeight="1">
      <c r="A19" s="28">
        <v>16</v>
      </c>
      <c r="B19" s="29">
        <v>45854</v>
      </c>
      <c r="C19" s="61"/>
      <c r="D19" s="132"/>
      <c r="E19" s="92">
        <v>0</v>
      </c>
      <c r="F19" s="132"/>
      <c r="G19" s="132">
        <f t="shared" si="0"/>
        <v>0</v>
      </c>
      <c r="H19" s="132">
        <v>0</v>
      </c>
      <c r="I19" s="132">
        <v>0</v>
      </c>
      <c r="J19" s="132">
        <f t="shared" si="1"/>
        <v>0</v>
      </c>
      <c r="K19" s="132">
        <f t="shared" si="2"/>
        <v>0</v>
      </c>
      <c r="L19" s="132"/>
      <c r="M19" s="138">
        <f t="shared" si="3"/>
        <v>102972.20000000001</v>
      </c>
      <c r="N19" s="61"/>
    </row>
    <row r="20" spans="1:14" ht="15.75" customHeight="1">
      <c r="A20" s="28">
        <v>17</v>
      </c>
      <c r="B20" s="29">
        <v>45855</v>
      </c>
      <c r="C20" s="61"/>
      <c r="D20" s="132"/>
      <c r="E20" s="92">
        <v>0</v>
      </c>
      <c r="F20" s="132"/>
      <c r="G20" s="132">
        <f t="shared" si="0"/>
        <v>0</v>
      </c>
      <c r="H20" s="132">
        <v>0</v>
      </c>
      <c r="I20" s="132">
        <v>0</v>
      </c>
      <c r="J20" s="132">
        <f t="shared" si="1"/>
        <v>0</v>
      </c>
      <c r="K20" s="132">
        <f t="shared" si="2"/>
        <v>0</v>
      </c>
      <c r="L20" s="132"/>
      <c r="M20" s="138">
        <f t="shared" si="3"/>
        <v>102972.20000000001</v>
      </c>
      <c r="N20" s="61"/>
    </row>
    <row r="21" spans="1:14" ht="15.75" customHeight="1">
      <c r="A21" s="28">
        <v>18</v>
      </c>
      <c r="B21" s="29">
        <v>45856</v>
      </c>
      <c r="C21" s="61"/>
      <c r="D21" s="132"/>
      <c r="E21" s="92">
        <v>2300</v>
      </c>
      <c r="F21" s="132">
        <v>92.26</v>
      </c>
      <c r="G21" s="132">
        <f t="shared" si="0"/>
        <v>212198</v>
      </c>
      <c r="H21" s="132">
        <v>70</v>
      </c>
      <c r="I21" s="132">
        <v>104.14</v>
      </c>
      <c r="J21" s="132">
        <f t="shared" si="1"/>
        <v>7289.8</v>
      </c>
      <c r="K21" s="132">
        <f t="shared" si="2"/>
        <v>219487.8</v>
      </c>
      <c r="L21" s="132"/>
      <c r="M21" s="138">
        <f t="shared" si="3"/>
        <v>322460</v>
      </c>
      <c r="N21" s="61"/>
    </row>
    <row r="22" spans="1:14" ht="15.75" customHeight="1">
      <c r="A22" s="28">
        <v>19</v>
      </c>
      <c r="B22" s="29">
        <v>45857</v>
      </c>
      <c r="C22" s="61"/>
      <c r="D22" s="132"/>
      <c r="E22" s="92">
        <v>0</v>
      </c>
      <c r="F22" s="132"/>
      <c r="G22" s="132">
        <f t="shared" si="0"/>
        <v>0</v>
      </c>
      <c r="H22" s="132">
        <v>0</v>
      </c>
      <c r="I22" s="132">
        <v>0</v>
      </c>
      <c r="J22" s="132">
        <f t="shared" si="1"/>
        <v>0</v>
      </c>
      <c r="K22" s="132">
        <f t="shared" si="2"/>
        <v>0</v>
      </c>
      <c r="L22" s="132"/>
      <c r="M22" s="138">
        <f t="shared" si="3"/>
        <v>322460</v>
      </c>
      <c r="N22" s="61"/>
    </row>
    <row r="23" spans="1:14" ht="15.75" customHeight="1">
      <c r="A23" s="28">
        <v>20</v>
      </c>
      <c r="B23" s="29">
        <v>45858</v>
      </c>
      <c r="C23" s="61"/>
      <c r="D23" s="132"/>
      <c r="E23" s="92">
        <v>0</v>
      </c>
      <c r="F23" s="132"/>
      <c r="G23" s="132">
        <f t="shared" si="0"/>
        <v>0</v>
      </c>
      <c r="H23" s="132">
        <v>0</v>
      </c>
      <c r="I23" s="132">
        <v>0</v>
      </c>
      <c r="J23" s="132">
        <f t="shared" si="1"/>
        <v>0</v>
      </c>
      <c r="K23" s="132">
        <f t="shared" si="2"/>
        <v>0</v>
      </c>
      <c r="L23" s="132"/>
      <c r="M23" s="138">
        <f t="shared" si="3"/>
        <v>322460</v>
      </c>
      <c r="N23" s="61"/>
    </row>
    <row r="24" spans="1:14" ht="15.75" customHeight="1">
      <c r="A24" s="28">
        <v>21</v>
      </c>
      <c r="B24" s="29">
        <v>45859</v>
      </c>
      <c r="C24" s="61"/>
      <c r="D24" s="132"/>
      <c r="E24" s="92">
        <v>0</v>
      </c>
      <c r="F24" s="132"/>
      <c r="G24" s="132">
        <f t="shared" si="0"/>
        <v>0</v>
      </c>
      <c r="H24" s="132">
        <v>0</v>
      </c>
      <c r="I24" s="132">
        <v>0</v>
      </c>
      <c r="J24" s="132">
        <f t="shared" si="1"/>
        <v>0</v>
      </c>
      <c r="K24" s="132">
        <f t="shared" si="2"/>
        <v>0</v>
      </c>
      <c r="L24" s="132"/>
      <c r="M24" s="138">
        <f t="shared" si="3"/>
        <v>322460</v>
      </c>
      <c r="N24" s="61"/>
    </row>
    <row r="25" spans="1:14" ht="15.75" customHeight="1">
      <c r="A25" s="28">
        <v>22</v>
      </c>
      <c r="B25" s="29">
        <v>45860</v>
      </c>
      <c r="C25" s="61"/>
      <c r="D25" s="132"/>
      <c r="E25" s="92">
        <v>0</v>
      </c>
      <c r="F25" s="132"/>
      <c r="G25" s="132">
        <f t="shared" si="0"/>
        <v>0</v>
      </c>
      <c r="H25" s="132">
        <v>0</v>
      </c>
      <c r="I25" s="132">
        <v>0</v>
      </c>
      <c r="J25" s="132">
        <f t="shared" si="1"/>
        <v>0</v>
      </c>
      <c r="K25" s="132">
        <f t="shared" si="2"/>
        <v>0</v>
      </c>
      <c r="L25" s="132"/>
      <c r="M25" s="138">
        <f t="shared" si="3"/>
        <v>322460</v>
      </c>
      <c r="N25" s="61"/>
    </row>
    <row r="26" spans="1:14" ht="15.75" customHeight="1">
      <c r="A26" s="28">
        <v>23</v>
      </c>
      <c r="B26" s="29">
        <v>45861</v>
      </c>
      <c r="C26" s="61"/>
      <c r="D26" s="132"/>
      <c r="E26" s="92">
        <v>0</v>
      </c>
      <c r="F26" s="132"/>
      <c r="G26" s="132">
        <f t="shared" si="0"/>
        <v>0</v>
      </c>
      <c r="H26" s="132">
        <v>0</v>
      </c>
      <c r="I26" s="132">
        <v>0</v>
      </c>
      <c r="J26" s="132">
        <f t="shared" si="1"/>
        <v>0</v>
      </c>
      <c r="K26" s="132">
        <f t="shared" si="2"/>
        <v>0</v>
      </c>
      <c r="L26" s="132">
        <v>103000</v>
      </c>
      <c r="M26" s="138">
        <f t="shared" si="3"/>
        <v>219460</v>
      </c>
      <c r="N26" s="61"/>
    </row>
    <row r="27" spans="1:14" ht="15.75" customHeight="1">
      <c r="A27" s="28">
        <v>24</v>
      </c>
      <c r="B27" s="29">
        <v>45862</v>
      </c>
      <c r="C27" s="61"/>
      <c r="D27" s="132"/>
      <c r="E27" s="92">
        <v>0</v>
      </c>
      <c r="F27" s="132"/>
      <c r="G27" s="132">
        <f t="shared" si="0"/>
        <v>0</v>
      </c>
      <c r="H27" s="132">
        <v>70</v>
      </c>
      <c r="I27" s="132">
        <v>104.14</v>
      </c>
      <c r="J27" s="132">
        <f t="shared" si="1"/>
        <v>7289.8</v>
      </c>
      <c r="K27" s="132">
        <f t="shared" si="2"/>
        <v>7289.8</v>
      </c>
      <c r="L27" s="132"/>
      <c r="M27" s="138">
        <f t="shared" si="3"/>
        <v>226749.8</v>
      </c>
      <c r="N27" s="61"/>
    </row>
    <row r="28" spans="1:14" ht="15.75" customHeight="1">
      <c r="A28" s="28">
        <v>25</v>
      </c>
      <c r="B28" s="29">
        <v>45863</v>
      </c>
      <c r="C28" s="61"/>
      <c r="D28" s="132"/>
      <c r="E28" s="92">
        <v>0</v>
      </c>
      <c r="F28" s="132"/>
      <c r="G28" s="132">
        <f t="shared" si="0"/>
        <v>0</v>
      </c>
      <c r="H28" s="132">
        <v>0</v>
      </c>
      <c r="I28" s="132">
        <v>0</v>
      </c>
      <c r="J28" s="132">
        <f t="shared" si="1"/>
        <v>0</v>
      </c>
      <c r="K28" s="132">
        <f t="shared" si="2"/>
        <v>0</v>
      </c>
      <c r="L28" s="132"/>
      <c r="M28" s="138">
        <f t="shared" si="3"/>
        <v>226749.8</v>
      </c>
      <c r="N28" s="61"/>
    </row>
    <row r="29" spans="1:14" ht="15.75" customHeight="1">
      <c r="A29" s="28">
        <v>26</v>
      </c>
      <c r="B29" s="29">
        <v>45864</v>
      </c>
      <c r="C29" s="61"/>
      <c r="D29" s="132"/>
      <c r="E29" s="92">
        <v>0</v>
      </c>
      <c r="F29" s="132"/>
      <c r="G29" s="132">
        <f t="shared" si="0"/>
        <v>0</v>
      </c>
      <c r="H29" s="132">
        <v>0</v>
      </c>
      <c r="I29" s="132">
        <v>0</v>
      </c>
      <c r="J29" s="132">
        <f t="shared" si="1"/>
        <v>0</v>
      </c>
      <c r="K29" s="132">
        <f t="shared" si="2"/>
        <v>0</v>
      </c>
      <c r="L29" s="132"/>
      <c r="M29" s="138">
        <f t="shared" si="3"/>
        <v>226749.8</v>
      </c>
      <c r="N29" s="61"/>
    </row>
    <row r="30" spans="1:14" ht="15.75" customHeight="1">
      <c r="A30" s="28">
        <v>27</v>
      </c>
      <c r="B30" s="29">
        <v>45865</v>
      </c>
      <c r="C30" s="61"/>
      <c r="D30" s="132"/>
      <c r="E30" s="92">
        <v>0</v>
      </c>
      <c r="F30" s="132"/>
      <c r="G30" s="132">
        <f t="shared" si="0"/>
        <v>0</v>
      </c>
      <c r="H30" s="132">
        <v>0</v>
      </c>
      <c r="I30" s="132">
        <v>0</v>
      </c>
      <c r="J30" s="132">
        <f t="shared" si="1"/>
        <v>0</v>
      </c>
      <c r="K30" s="132">
        <f t="shared" si="2"/>
        <v>0</v>
      </c>
      <c r="L30" s="132"/>
      <c r="M30" s="138">
        <f t="shared" si="3"/>
        <v>226749.8</v>
      </c>
      <c r="N30" s="61"/>
    </row>
    <row r="31" spans="1:14" ht="15.75" customHeight="1">
      <c r="A31" s="28">
        <v>28</v>
      </c>
      <c r="B31" s="29">
        <v>45866</v>
      </c>
      <c r="C31" s="61"/>
      <c r="D31" s="132"/>
      <c r="E31" s="92">
        <v>0</v>
      </c>
      <c r="F31" s="132"/>
      <c r="G31" s="132">
        <f t="shared" si="0"/>
        <v>0</v>
      </c>
      <c r="H31" s="132">
        <v>0</v>
      </c>
      <c r="I31" s="132">
        <v>0</v>
      </c>
      <c r="J31" s="132">
        <f t="shared" si="1"/>
        <v>0</v>
      </c>
      <c r="K31" s="132">
        <f t="shared" si="2"/>
        <v>0</v>
      </c>
      <c r="L31" s="132"/>
      <c r="M31" s="138">
        <f t="shared" si="3"/>
        <v>226749.8</v>
      </c>
      <c r="N31" s="61"/>
    </row>
    <row r="32" spans="1:14" ht="15.75" customHeight="1">
      <c r="A32" s="28">
        <v>29</v>
      </c>
      <c r="B32" s="29">
        <v>45867</v>
      </c>
      <c r="C32" s="61"/>
      <c r="D32" s="132"/>
      <c r="E32" s="92">
        <v>0</v>
      </c>
      <c r="F32" s="132"/>
      <c r="G32" s="132">
        <f t="shared" si="0"/>
        <v>0</v>
      </c>
      <c r="H32" s="132">
        <v>0</v>
      </c>
      <c r="I32" s="132">
        <v>0</v>
      </c>
      <c r="J32" s="132">
        <f t="shared" si="1"/>
        <v>0</v>
      </c>
      <c r="K32" s="132">
        <f t="shared" si="2"/>
        <v>0</v>
      </c>
      <c r="L32" s="132"/>
      <c r="M32" s="138">
        <f t="shared" si="3"/>
        <v>226749.8</v>
      </c>
      <c r="N32" s="61"/>
    </row>
    <row r="33" spans="1:15" ht="15.75" customHeight="1">
      <c r="A33" s="28">
        <v>30</v>
      </c>
      <c r="B33" s="29">
        <v>45868</v>
      </c>
      <c r="C33" s="61"/>
      <c r="D33" s="132"/>
      <c r="E33" s="92">
        <v>0</v>
      </c>
      <c r="F33" s="132"/>
      <c r="G33" s="132">
        <f t="shared" si="0"/>
        <v>0</v>
      </c>
      <c r="H33" s="132">
        <v>0</v>
      </c>
      <c r="I33" s="132">
        <v>0</v>
      </c>
      <c r="J33" s="132">
        <f t="shared" si="1"/>
        <v>0</v>
      </c>
      <c r="K33" s="132">
        <f t="shared" si="2"/>
        <v>0</v>
      </c>
      <c r="L33" s="132"/>
      <c r="M33" s="138">
        <f t="shared" si="3"/>
        <v>226749.8</v>
      </c>
      <c r="N33" s="61"/>
    </row>
    <row r="34" spans="1:15" ht="15.75" customHeight="1">
      <c r="A34" s="28">
        <v>31</v>
      </c>
      <c r="B34" s="29">
        <v>45869</v>
      </c>
      <c r="C34" s="61"/>
      <c r="D34" s="132"/>
      <c r="E34" s="92">
        <v>0</v>
      </c>
      <c r="F34" s="132"/>
      <c r="G34" s="132">
        <f t="shared" si="0"/>
        <v>0</v>
      </c>
      <c r="H34" s="132">
        <v>0</v>
      </c>
      <c r="I34" s="132">
        <v>0</v>
      </c>
      <c r="J34" s="132">
        <f t="shared" si="1"/>
        <v>0</v>
      </c>
      <c r="K34" s="132">
        <f t="shared" si="2"/>
        <v>0</v>
      </c>
      <c r="L34" s="132">
        <v>200000</v>
      </c>
      <c r="M34" s="138">
        <f t="shared" si="3"/>
        <v>26749.799999999988</v>
      </c>
      <c r="N34" s="61"/>
    </row>
    <row r="35" spans="1:15">
      <c r="A35" s="51"/>
      <c r="B35" s="51"/>
      <c r="C35" s="51"/>
      <c r="D35" s="51"/>
      <c r="E35" s="52">
        <f>SUM(E4:E34)</f>
        <v>4500</v>
      </c>
      <c r="F35" s="52"/>
      <c r="G35" s="52">
        <f>SUM(G4:G34)</f>
        <v>415170</v>
      </c>
      <c r="H35" s="52">
        <f>SUM(H4:H34)</f>
        <v>280</v>
      </c>
      <c r="I35" s="52"/>
      <c r="J35" s="52">
        <f>SUM(J4:J34)</f>
        <v>29159.200000000001</v>
      </c>
      <c r="K35" s="52">
        <f>SUM(K4:K34)</f>
        <v>444329.19999999995</v>
      </c>
      <c r="L35" s="52">
        <f>SUM(L4:L34)</f>
        <v>800519.8</v>
      </c>
      <c r="M35" s="52"/>
      <c r="N35" s="52"/>
      <c r="O35" s="35"/>
    </row>
    <row r="37" spans="1:15">
      <c r="D37" s="54"/>
      <c r="E37" s="54"/>
    </row>
  </sheetData>
  <mergeCells count="2">
    <mergeCell ref="A1:N1"/>
    <mergeCell ref="A3:J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0AF3-FEE5-4489-B644-338CB0A1459A}">
  <dimension ref="A1:N35"/>
  <sheetViews>
    <sheetView workbookViewId="0">
      <selection activeCell="M39" sqref="M39"/>
    </sheetView>
  </sheetViews>
  <sheetFormatPr defaultRowHeight="15"/>
  <cols>
    <col min="2" max="2" width="10.42578125" bestFit="1" customWidth="1"/>
    <col min="4" max="4" width="16" bestFit="1" customWidth="1"/>
    <col min="5" max="5" width="11.140625" customWidth="1"/>
    <col min="11" max="11" width="12.5703125" customWidth="1"/>
    <col min="12" max="12" width="12.140625" customWidth="1"/>
    <col min="14" max="14" width="17.7109375" bestFit="1" customWidth="1"/>
    <col min="15" max="15" width="12" customWidth="1"/>
  </cols>
  <sheetData>
    <row r="1" spans="1:14" ht="15.75">
      <c r="A1" s="426" t="s">
        <v>46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</row>
    <row r="2" spans="1:14">
      <c r="A2" s="116" t="s">
        <v>105</v>
      </c>
      <c r="B2" s="121" t="s">
        <v>106</v>
      </c>
      <c r="C2" s="121" t="s">
        <v>107</v>
      </c>
      <c r="D2" s="121" t="s">
        <v>108</v>
      </c>
      <c r="E2" s="121" t="s">
        <v>109</v>
      </c>
      <c r="F2" s="121" t="s">
        <v>110</v>
      </c>
      <c r="G2" s="121" t="s">
        <v>111</v>
      </c>
      <c r="H2" s="121" t="s">
        <v>112</v>
      </c>
      <c r="I2" s="121" t="s">
        <v>110</v>
      </c>
      <c r="J2" s="121" t="s">
        <v>111</v>
      </c>
      <c r="K2" s="121" t="s">
        <v>113</v>
      </c>
      <c r="L2" s="121" t="s">
        <v>114</v>
      </c>
      <c r="M2" s="121" t="s">
        <v>120</v>
      </c>
      <c r="N2" s="121" t="s">
        <v>116</v>
      </c>
    </row>
    <row r="3" spans="1:14">
      <c r="A3" s="437" t="s">
        <v>117</v>
      </c>
      <c r="B3" s="437"/>
      <c r="C3" s="437"/>
      <c r="D3" s="437"/>
      <c r="E3" s="437"/>
      <c r="F3" s="437"/>
      <c r="G3" s="437"/>
      <c r="H3" s="437"/>
      <c r="I3" s="437"/>
      <c r="J3" s="437"/>
      <c r="K3" s="108">
        <v>0</v>
      </c>
      <c r="L3" s="108">
        <v>0</v>
      </c>
      <c r="M3" s="108">
        <f>+K3</f>
        <v>0</v>
      </c>
      <c r="N3" s="19"/>
    </row>
    <row r="4" spans="1:14">
      <c r="A4" s="28">
        <v>1</v>
      </c>
      <c r="B4" s="29">
        <v>45839</v>
      </c>
      <c r="C4" s="19"/>
      <c r="D4" s="19"/>
      <c r="E4" s="99">
        <v>105</v>
      </c>
      <c r="F4" s="99">
        <v>92.25</v>
      </c>
      <c r="G4" s="19">
        <f>E4*F4</f>
        <v>9686.25</v>
      </c>
      <c r="H4" s="99">
        <v>20</v>
      </c>
      <c r="I4" s="99">
        <v>104.16</v>
      </c>
      <c r="J4" s="19">
        <f>H4*I4</f>
        <v>2083.1999999999998</v>
      </c>
      <c r="K4" s="19">
        <f>G4+J4</f>
        <v>11769.45</v>
      </c>
      <c r="L4" s="19">
        <f>K4</f>
        <v>11769.45</v>
      </c>
      <c r="M4" s="19">
        <f>M3+K4-L4</f>
        <v>0</v>
      </c>
      <c r="N4" s="53"/>
    </row>
    <row r="5" spans="1:14">
      <c r="A5" s="28">
        <v>2</v>
      </c>
      <c r="B5" s="29">
        <v>45840</v>
      </c>
      <c r="C5" s="19"/>
      <c r="D5" s="19"/>
      <c r="E5" s="99">
        <v>300</v>
      </c>
      <c r="F5" s="99">
        <v>92.25</v>
      </c>
      <c r="G5" s="19">
        <f t="shared" ref="G5:G33" si="0">E5*F5</f>
        <v>27675</v>
      </c>
      <c r="H5" s="99">
        <v>20</v>
      </c>
      <c r="I5" s="99">
        <v>104.16</v>
      </c>
      <c r="J5" s="19">
        <f t="shared" ref="J5:J33" si="1">H5*I5</f>
        <v>2083.1999999999998</v>
      </c>
      <c r="K5" s="19">
        <f t="shared" ref="K5:K33" si="2">G5+J5</f>
        <v>29758.2</v>
      </c>
      <c r="L5" s="19">
        <f t="shared" ref="L5:L33" si="3">K5</f>
        <v>29758.2</v>
      </c>
      <c r="M5" s="19">
        <f t="shared" ref="M5:M27" si="4">M4+K5-L5</f>
        <v>0</v>
      </c>
      <c r="N5" s="53"/>
    </row>
    <row r="6" spans="1:14">
      <c r="A6" s="28">
        <v>3</v>
      </c>
      <c r="B6" s="29">
        <v>45841</v>
      </c>
      <c r="C6" s="19"/>
      <c r="D6" s="19"/>
      <c r="E6" s="99">
        <v>325</v>
      </c>
      <c r="F6" s="99">
        <v>92.25</v>
      </c>
      <c r="G6" s="19">
        <f t="shared" si="0"/>
        <v>29981.25</v>
      </c>
      <c r="H6" s="99"/>
      <c r="I6" s="99"/>
      <c r="J6" s="19">
        <f t="shared" si="1"/>
        <v>0</v>
      </c>
      <c r="K6" s="19">
        <f t="shared" si="2"/>
        <v>29981.25</v>
      </c>
      <c r="L6" s="19">
        <f t="shared" si="3"/>
        <v>29981.25</v>
      </c>
      <c r="M6" s="19">
        <f t="shared" si="4"/>
        <v>0</v>
      </c>
      <c r="N6" s="53"/>
    </row>
    <row r="7" spans="1:14">
      <c r="A7" s="28">
        <v>4</v>
      </c>
      <c r="B7" s="29">
        <v>45842</v>
      </c>
      <c r="C7" s="19"/>
      <c r="D7" s="19"/>
      <c r="E7" s="99"/>
      <c r="F7" s="99"/>
      <c r="G7" s="19">
        <f t="shared" si="0"/>
        <v>0</v>
      </c>
      <c r="H7" s="99"/>
      <c r="I7" s="99"/>
      <c r="J7" s="19">
        <f t="shared" si="1"/>
        <v>0</v>
      </c>
      <c r="K7" s="19">
        <f t="shared" si="2"/>
        <v>0</v>
      </c>
      <c r="L7" s="19">
        <f t="shared" si="3"/>
        <v>0</v>
      </c>
      <c r="M7" s="19">
        <f t="shared" si="4"/>
        <v>0</v>
      </c>
      <c r="N7" s="53"/>
    </row>
    <row r="8" spans="1:14">
      <c r="A8" s="28">
        <v>5</v>
      </c>
      <c r="B8" s="29">
        <v>45843</v>
      </c>
      <c r="C8" s="19"/>
      <c r="D8" s="19"/>
      <c r="E8" s="99"/>
      <c r="F8" s="99"/>
      <c r="G8" s="19">
        <f t="shared" si="0"/>
        <v>0</v>
      </c>
      <c r="H8" s="99"/>
      <c r="I8" s="99"/>
      <c r="J8" s="19">
        <f t="shared" si="1"/>
        <v>0</v>
      </c>
      <c r="K8" s="19">
        <f t="shared" si="2"/>
        <v>0</v>
      </c>
      <c r="L8" s="19">
        <f t="shared" si="3"/>
        <v>0</v>
      </c>
      <c r="M8" s="19">
        <f t="shared" si="4"/>
        <v>0</v>
      </c>
      <c r="N8" s="53"/>
    </row>
    <row r="9" spans="1:14">
      <c r="A9" s="28">
        <v>6</v>
      </c>
      <c r="B9" s="29">
        <v>45844</v>
      </c>
      <c r="C9" s="19"/>
      <c r="D9" s="19"/>
      <c r="E9" s="99"/>
      <c r="F9" s="99"/>
      <c r="G9" s="19">
        <f t="shared" si="0"/>
        <v>0</v>
      </c>
      <c r="H9" s="99"/>
      <c r="I9" s="99"/>
      <c r="J9" s="19">
        <f t="shared" si="1"/>
        <v>0</v>
      </c>
      <c r="K9" s="19">
        <f t="shared" si="2"/>
        <v>0</v>
      </c>
      <c r="L9" s="19">
        <f t="shared" si="3"/>
        <v>0</v>
      </c>
      <c r="M9" s="19">
        <f t="shared" si="4"/>
        <v>0</v>
      </c>
      <c r="N9" s="53"/>
    </row>
    <row r="10" spans="1:14">
      <c r="A10" s="28">
        <v>7</v>
      </c>
      <c r="B10" s="29">
        <v>45845</v>
      </c>
      <c r="C10" s="19"/>
      <c r="D10" s="19"/>
      <c r="E10" s="99"/>
      <c r="F10" s="99"/>
      <c r="G10" s="19">
        <f t="shared" si="0"/>
        <v>0</v>
      </c>
      <c r="H10" s="99"/>
      <c r="I10" s="99"/>
      <c r="J10" s="19">
        <f t="shared" si="1"/>
        <v>0</v>
      </c>
      <c r="K10" s="19">
        <f t="shared" si="2"/>
        <v>0</v>
      </c>
      <c r="L10" s="19">
        <f t="shared" si="3"/>
        <v>0</v>
      </c>
      <c r="M10" s="19">
        <f t="shared" si="4"/>
        <v>0</v>
      </c>
      <c r="N10" s="53"/>
    </row>
    <row r="11" spans="1:14">
      <c r="A11" s="28">
        <v>8</v>
      </c>
      <c r="B11" s="29">
        <v>45846</v>
      </c>
      <c r="C11" s="19"/>
      <c r="D11" s="19"/>
      <c r="E11" s="99"/>
      <c r="F11" s="99"/>
      <c r="G11" s="19">
        <f t="shared" si="0"/>
        <v>0</v>
      </c>
      <c r="H11" s="99"/>
      <c r="I11" s="99"/>
      <c r="J11" s="19">
        <f t="shared" si="1"/>
        <v>0</v>
      </c>
      <c r="K11" s="19">
        <f t="shared" si="2"/>
        <v>0</v>
      </c>
      <c r="L11" s="19">
        <f t="shared" si="3"/>
        <v>0</v>
      </c>
      <c r="M11" s="19">
        <f t="shared" si="4"/>
        <v>0</v>
      </c>
      <c r="N11" s="53"/>
    </row>
    <row r="12" spans="1:14">
      <c r="A12" s="28">
        <v>9</v>
      </c>
      <c r="B12" s="29">
        <v>45847</v>
      </c>
      <c r="C12" s="19"/>
      <c r="D12" s="19"/>
      <c r="E12" s="99">
        <v>325</v>
      </c>
      <c r="F12" s="99">
        <v>92.25</v>
      </c>
      <c r="G12" s="19">
        <f t="shared" si="0"/>
        <v>29981.25</v>
      </c>
      <c r="H12" s="99"/>
      <c r="I12" s="99"/>
      <c r="J12" s="19">
        <f t="shared" si="1"/>
        <v>0</v>
      </c>
      <c r="K12" s="19">
        <f t="shared" si="2"/>
        <v>29981.25</v>
      </c>
      <c r="L12" s="19">
        <f t="shared" si="3"/>
        <v>29981.25</v>
      </c>
      <c r="M12" s="19">
        <f t="shared" si="4"/>
        <v>0</v>
      </c>
      <c r="N12" s="53"/>
    </row>
    <row r="13" spans="1:14">
      <c r="A13" s="28">
        <v>10</v>
      </c>
      <c r="B13" s="29">
        <v>45848</v>
      </c>
      <c r="C13" s="19"/>
      <c r="D13" s="19"/>
      <c r="E13" s="99">
        <v>515</v>
      </c>
      <c r="F13" s="99">
        <v>92.25</v>
      </c>
      <c r="G13" s="19">
        <f t="shared" si="0"/>
        <v>47508.75</v>
      </c>
      <c r="H13" s="99">
        <v>20</v>
      </c>
      <c r="I13" s="99">
        <v>104.16</v>
      </c>
      <c r="J13" s="19">
        <f t="shared" si="1"/>
        <v>2083.1999999999998</v>
      </c>
      <c r="K13" s="19">
        <f t="shared" si="2"/>
        <v>49591.95</v>
      </c>
      <c r="L13" s="19">
        <f t="shared" si="3"/>
        <v>49591.95</v>
      </c>
      <c r="M13" s="19">
        <f t="shared" si="4"/>
        <v>0</v>
      </c>
      <c r="N13" s="53"/>
    </row>
    <row r="14" spans="1:14">
      <c r="A14" s="28">
        <v>11</v>
      </c>
      <c r="B14" s="29">
        <v>45849</v>
      </c>
      <c r="C14" s="19"/>
      <c r="D14" s="19"/>
      <c r="E14" s="99"/>
      <c r="F14" s="99"/>
      <c r="G14" s="19">
        <f t="shared" si="0"/>
        <v>0</v>
      </c>
      <c r="H14" s="99"/>
      <c r="I14" s="99"/>
      <c r="J14" s="19">
        <f t="shared" si="1"/>
        <v>0</v>
      </c>
      <c r="K14" s="19">
        <f t="shared" si="2"/>
        <v>0</v>
      </c>
      <c r="L14" s="19">
        <f t="shared" si="3"/>
        <v>0</v>
      </c>
      <c r="M14" s="19">
        <f t="shared" si="4"/>
        <v>0</v>
      </c>
      <c r="N14" s="53"/>
    </row>
    <row r="15" spans="1:14">
      <c r="A15" s="28">
        <v>12</v>
      </c>
      <c r="B15" s="29">
        <v>45850</v>
      </c>
      <c r="C15" s="19"/>
      <c r="D15" s="19"/>
      <c r="E15" s="99">
        <v>90</v>
      </c>
      <c r="F15" s="99">
        <v>92.25</v>
      </c>
      <c r="G15" s="19">
        <f t="shared" si="0"/>
        <v>8302.5</v>
      </c>
      <c r="H15" s="99">
        <v>15</v>
      </c>
      <c r="I15" s="99">
        <v>104.16</v>
      </c>
      <c r="J15" s="19">
        <f t="shared" si="1"/>
        <v>1562.3999999999999</v>
      </c>
      <c r="K15" s="19">
        <f t="shared" si="2"/>
        <v>9864.9</v>
      </c>
      <c r="L15" s="19">
        <f t="shared" si="3"/>
        <v>9864.9</v>
      </c>
      <c r="M15" s="19">
        <f t="shared" si="4"/>
        <v>0</v>
      </c>
      <c r="N15" s="53"/>
    </row>
    <row r="16" spans="1:14">
      <c r="A16" s="28">
        <v>13</v>
      </c>
      <c r="B16" s="29">
        <v>45851</v>
      </c>
      <c r="C16" s="19"/>
      <c r="D16" s="19"/>
      <c r="E16" s="99"/>
      <c r="F16" s="99"/>
      <c r="G16" s="19">
        <f t="shared" si="0"/>
        <v>0</v>
      </c>
      <c r="H16" s="99"/>
      <c r="I16" s="99"/>
      <c r="J16" s="19">
        <f t="shared" si="1"/>
        <v>0</v>
      </c>
      <c r="K16" s="19">
        <f t="shared" si="2"/>
        <v>0</v>
      </c>
      <c r="L16" s="19">
        <f t="shared" si="3"/>
        <v>0</v>
      </c>
      <c r="M16" s="19">
        <f t="shared" si="4"/>
        <v>0</v>
      </c>
      <c r="N16" s="53"/>
    </row>
    <row r="17" spans="1:14">
      <c r="A17" s="28">
        <v>14</v>
      </c>
      <c r="B17" s="29">
        <v>45852</v>
      </c>
      <c r="C17" s="19"/>
      <c r="D17" s="19"/>
      <c r="E17" s="99">
        <v>105</v>
      </c>
      <c r="F17" s="99">
        <v>92.25</v>
      </c>
      <c r="G17" s="19">
        <f t="shared" si="0"/>
        <v>9686.25</v>
      </c>
      <c r="H17" s="99"/>
      <c r="I17" s="99"/>
      <c r="J17" s="19">
        <f t="shared" si="1"/>
        <v>0</v>
      </c>
      <c r="K17" s="19">
        <f t="shared" si="2"/>
        <v>9686.25</v>
      </c>
      <c r="L17" s="19">
        <f t="shared" si="3"/>
        <v>9686.25</v>
      </c>
      <c r="M17" s="19">
        <f t="shared" si="4"/>
        <v>0</v>
      </c>
      <c r="N17" s="53"/>
    </row>
    <row r="18" spans="1:14">
      <c r="A18" s="28">
        <v>15</v>
      </c>
      <c r="B18" s="29">
        <v>45853</v>
      </c>
      <c r="C18" s="19"/>
      <c r="D18" s="19"/>
      <c r="E18" s="99">
        <v>290</v>
      </c>
      <c r="F18" s="99">
        <v>92.25</v>
      </c>
      <c r="G18" s="19">
        <f t="shared" si="0"/>
        <v>26752.5</v>
      </c>
      <c r="H18" s="99">
        <v>30</v>
      </c>
      <c r="I18" s="99">
        <v>104.13</v>
      </c>
      <c r="J18" s="19">
        <f t="shared" si="1"/>
        <v>3123.8999999999996</v>
      </c>
      <c r="K18" s="19">
        <f t="shared" si="2"/>
        <v>29876.400000000001</v>
      </c>
      <c r="L18" s="19">
        <f t="shared" si="3"/>
        <v>29876.400000000001</v>
      </c>
      <c r="M18" s="19">
        <f t="shared" si="4"/>
        <v>0</v>
      </c>
      <c r="N18" s="53"/>
    </row>
    <row r="19" spans="1:14">
      <c r="A19" s="28">
        <v>16</v>
      </c>
      <c r="B19" s="29">
        <v>45854</v>
      </c>
      <c r="C19" s="19"/>
      <c r="D19" s="19"/>
      <c r="E19" s="99">
        <v>415</v>
      </c>
      <c r="F19" s="99">
        <v>92.25</v>
      </c>
      <c r="G19" s="19">
        <f t="shared" si="0"/>
        <v>38283.75</v>
      </c>
      <c r="H19" s="99">
        <v>15</v>
      </c>
      <c r="I19" s="99">
        <v>104.13</v>
      </c>
      <c r="J19" s="19">
        <f t="shared" si="1"/>
        <v>1561.9499999999998</v>
      </c>
      <c r="K19" s="19">
        <f t="shared" si="2"/>
        <v>39845.699999999997</v>
      </c>
      <c r="L19" s="19">
        <f t="shared" si="3"/>
        <v>39845.699999999997</v>
      </c>
      <c r="M19" s="19">
        <f t="shared" si="4"/>
        <v>0</v>
      </c>
      <c r="N19" s="53"/>
    </row>
    <row r="20" spans="1:14">
      <c r="A20" s="28">
        <v>17</v>
      </c>
      <c r="B20" s="29">
        <v>45855</v>
      </c>
      <c r="C20" s="19"/>
      <c r="D20" s="19"/>
      <c r="E20" s="99"/>
      <c r="F20" s="99"/>
      <c r="G20" s="19">
        <f t="shared" si="0"/>
        <v>0</v>
      </c>
      <c r="H20" s="99"/>
      <c r="I20" s="99"/>
      <c r="J20" s="19">
        <f t="shared" si="1"/>
        <v>0</v>
      </c>
      <c r="K20" s="19">
        <f t="shared" si="2"/>
        <v>0</v>
      </c>
      <c r="L20" s="19">
        <f t="shared" si="3"/>
        <v>0</v>
      </c>
      <c r="M20" s="19">
        <f t="shared" si="4"/>
        <v>0</v>
      </c>
      <c r="N20" s="53"/>
    </row>
    <row r="21" spans="1:14">
      <c r="A21" s="28">
        <v>18</v>
      </c>
      <c r="B21" s="29">
        <v>45856</v>
      </c>
      <c r="C21" s="19"/>
      <c r="D21" s="19"/>
      <c r="E21" s="99">
        <v>540</v>
      </c>
      <c r="F21" s="99">
        <v>92.25</v>
      </c>
      <c r="G21" s="19">
        <f t="shared" si="0"/>
        <v>49815</v>
      </c>
      <c r="H21" s="99"/>
      <c r="I21" s="99"/>
      <c r="J21" s="19">
        <f t="shared" si="1"/>
        <v>0</v>
      </c>
      <c r="K21" s="19">
        <f t="shared" si="2"/>
        <v>49815</v>
      </c>
      <c r="L21" s="19">
        <f t="shared" si="3"/>
        <v>49815</v>
      </c>
      <c r="M21" s="19">
        <f t="shared" si="4"/>
        <v>0</v>
      </c>
      <c r="N21" s="53"/>
    </row>
    <row r="22" spans="1:14">
      <c r="A22" s="28">
        <v>19</v>
      </c>
      <c r="B22" s="29">
        <v>45857</v>
      </c>
      <c r="C22" s="19"/>
      <c r="D22" s="19"/>
      <c r="E22" s="99"/>
      <c r="F22" s="99"/>
      <c r="G22" s="19">
        <f t="shared" si="0"/>
        <v>0</v>
      </c>
      <c r="H22" s="99"/>
      <c r="I22" s="99"/>
      <c r="J22" s="19">
        <f t="shared" si="1"/>
        <v>0</v>
      </c>
      <c r="K22" s="19">
        <f t="shared" si="2"/>
        <v>0</v>
      </c>
      <c r="L22" s="19">
        <f t="shared" si="3"/>
        <v>0</v>
      </c>
      <c r="M22" s="19">
        <f t="shared" si="4"/>
        <v>0</v>
      </c>
      <c r="N22" s="53"/>
    </row>
    <row r="23" spans="1:14">
      <c r="A23" s="28">
        <v>20</v>
      </c>
      <c r="B23" s="29">
        <v>45858</v>
      </c>
      <c r="C23" s="19"/>
      <c r="D23" s="19"/>
      <c r="E23" s="99"/>
      <c r="F23" s="99"/>
      <c r="G23" s="19">
        <f t="shared" si="0"/>
        <v>0</v>
      </c>
      <c r="H23" s="99"/>
      <c r="I23" s="99"/>
      <c r="J23" s="19">
        <f t="shared" si="1"/>
        <v>0</v>
      </c>
      <c r="K23" s="19">
        <f t="shared" si="2"/>
        <v>0</v>
      </c>
      <c r="L23" s="19">
        <f t="shared" si="3"/>
        <v>0</v>
      </c>
      <c r="M23" s="19">
        <f t="shared" si="4"/>
        <v>0</v>
      </c>
      <c r="N23" s="53"/>
    </row>
    <row r="24" spans="1:14">
      <c r="A24" s="28">
        <v>21</v>
      </c>
      <c r="B24" s="29">
        <v>45859</v>
      </c>
      <c r="C24" s="19"/>
      <c r="D24" s="19"/>
      <c r="E24" s="99">
        <v>300</v>
      </c>
      <c r="F24" s="99">
        <v>92.25</v>
      </c>
      <c r="G24" s="19">
        <f t="shared" si="0"/>
        <v>27675</v>
      </c>
      <c r="H24" s="99">
        <v>20</v>
      </c>
      <c r="I24" s="99">
        <v>104.13</v>
      </c>
      <c r="J24" s="19">
        <f t="shared" si="1"/>
        <v>2082.6</v>
      </c>
      <c r="K24" s="19">
        <f t="shared" si="2"/>
        <v>29757.599999999999</v>
      </c>
      <c r="L24" s="19">
        <f t="shared" si="3"/>
        <v>29757.599999999999</v>
      </c>
      <c r="M24" s="19">
        <f t="shared" si="4"/>
        <v>0</v>
      </c>
      <c r="N24" s="53"/>
    </row>
    <row r="25" spans="1:14">
      <c r="A25" s="28">
        <v>22</v>
      </c>
      <c r="B25" s="29">
        <v>45860</v>
      </c>
      <c r="C25" s="19"/>
      <c r="D25" s="19"/>
      <c r="E25" s="99">
        <v>215</v>
      </c>
      <c r="F25" s="99">
        <v>92.25</v>
      </c>
      <c r="G25" s="19">
        <f t="shared" si="0"/>
        <v>19833.75</v>
      </c>
      <c r="H25" s="99">
        <v>0</v>
      </c>
      <c r="I25" s="99">
        <v>0</v>
      </c>
      <c r="J25" s="19">
        <v>0</v>
      </c>
      <c r="K25" s="19">
        <f t="shared" si="2"/>
        <v>19833.75</v>
      </c>
      <c r="L25" s="19">
        <f t="shared" si="3"/>
        <v>19833.75</v>
      </c>
      <c r="M25" s="19">
        <f t="shared" si="4"/>
        <v>0</v>
      </c>
      <c r="N25" s="53"/>
    </row>
    <row r="26" spans="1:14">
      <c r="A26" s="28">
        <v>23</v>
      </c>
      <c r="B26" s="29">
        <v>45861</v>
      </c>
      <c r="C26" s="19"/>
      <c r="D26" s="19"/>
      <c r="E26" s="99"/>
      <c r="F26" s="99"/>
      <c r="G26" s="19">
        <f t="shared" si="0"/>
        <v>0</v>
      </c>
      <c r="H26" s="99"/>
      <c r="I26" s="99"/>
      <c r="J26" s="19">
        <f t="shared" si="1"/>
        <v>0</v>
      </c>
      <c r="K26" s="19">
        <f t="shared" si="2"/>
        <v>0</v>
      </c>
      <c r="L26" s="19">
        <f t="shared" si="3"/>
        <v>0</v>
      </c>
      <c r="M26" s="19">
        <f t="shared" si="4"/>
        <v>0</v>
      </c>
      <c r="N26" s="53"/>
    </row>
    <row r="27" spans="1:14">
      <c r="A27" s="28">
        <v>24</v>
      </c>
      <c r="B27" s="29">
        <v>45862</v>
      </c>
      <c r="C27" s="19"/>
      <c r="D27" s="19"/>
      <c r="E27" s="99">
        <v>305</v>
      </c>
      <c r="F27" s="99">
        <v>92.25</v>
      </c>
      <c r="G27" s="19">
        <f t="shared" si="0"/>
        <v>28136.25</v>
      </c>
      <c r="H27" s="99">
        <v>15</v>
      </c>
      <c r="I27" s="99">
        <v>104.09</v>
      </c>
      <c r="J27" s="19">
        <f t="shared" si="1"/>
        <v>1561.3500000000001</v>
      </c>
      <c r="K27" s="19">
        <f t="shared" si="2"/>
        <v>29697.599999999999</v>
      </c>
      <c r="L27" s="19">
        <f t="shared" si="3"/>
        <v>29697.599999999999</v>
      </c>
      <c r="M27" s="19">
        <f t="shared" si="4"/>
        <v>0</v>
      </c>
      <c r="N27" s="53" t="s">
        <v>124</v>
      </c>
    </row>
    <row r="28" spans="1:14">
      <c r="A28" s="28">
        <v>25</v>
      </c>
      <c r="B28" s="29">
        <v>45863</v>
      </c>
      <c r="C28" s="19"/>
      <c r="D28" s="19"/>
      <c r="E28" s="99"/>
      <c r="F28" s="99"/>
      <c r="G28" s="19">
        <f t="shared" si="0"/>
        <v>0</v>
      </c>
      <c r="H28" s="99"/>
      <c r="I28" s="99"/>
      <c r="J28" s="19">
        <f t="shared" si="1"/>
        <v>0</v>
      </c>
      <c r="K28" s="19">
        <f t="shared" si="2"/>
        <v>0</v>
      </c>
      <c r="L28" s="19">
        <f t="shared" si="3"/>
        <v>0</v>
      </c>
      <c r="M28" s="19">
        <v>0</v>
      </c>
      <c r="N28" s="53"/>
    </row>
    <row r="29" spans="1:14">
      <c r="A29" s="28">
        <v>26</v>
      </c>
      <c r="B29" s="29">
        <v>45864</v>
      </c>
      <c r="C29" s="19"/>
      <c r="D29" s="19"/>
      <c r="E29" s="99">
        <v>190</v>
      </c>
      <c r="F29" s="99">
        <v>92.25</v>
      </c>
      <c r="G29" s="19">
        <f t="shared" si="0"/>
        <v>17527.5</v>
      </c>
      <c r="H29" s="99">
        <v>20</v>
      </c>
      <c r="I29" s="99">
        <v>104.09</v>
      </c>
      <c r="J29" s="19">
        <f t="shared" si="1"/>
        <v>2081.8000000000002</v>
      </c>
      <c r="K29" s="19">
        <f t="shared" si="2"/>
        <v>19609.3</v>
      </c>
      <c r="L29" s="19">
        <f t="shared" si="3"/>
        <v>19609.3</v>
      </c>
      <c r="M29" s="19">
        <v>0</v>
      </c>
      <c r="N29" s="53"/>
    </row>
    <row r="30" spans="1:14">
      <c r="A30" s="28">
        <v>27</v>
      </c>
      <c r="B30" s="29">
        <v>45865</v>
      </c>
      <c r="C30" s="19"/>
      <c r="D30" s="19"/>
      <c r="E30" s="99"/>
      <c r="F30" s="99"/>
      <c r="G30" s="19">
        <f t="shared" si="0"/>
        <v>0</v>
      </c>
      <c r="H30" s="99"/>
      <c r="I30" s="99"/>
      <c r="J30" s="19">
        <f t="shared" si="1"/>
        <v>0</v>
      </c>
      <c r="K30" s="19">
        <f t="shared" si="2"/>
        <v>0</v>
      </c>
      <c r="L30" s="19">
        <f t="shared" si="3"/>
        <v>0</v>
      </c>
      <c r="M30" s="19">
        <v>0</v>
      </c>
      <c r="N30" s="53"/>
    </row>
    <row r="31" spans="1:14">
      <c r="A31" s="28">
        <v>28</v>
      </c>
      <c r="B31" s="29">
        <v>45866</v>
      </c>
      <c r="C31" s="19"/>
      <c r="D31" s="19"/>
      <c r="E31" s="99">
        <v>310</v>
      </c>
      <c r="F31" s="99">
        <v>92.25</v>
      </c>
      <c r="G31" s="19">
        <f t="shared" si="0"/>
        <v>28597.5</v>
      </c>
      <c r="H31" s="99">
        <v>10</v>
      </c>
      <c r="I31" s="99">
        <v>104.09</v>
      </c>
      <c r="J31" s="19">
        <f t="shared" si="1"/>
        <v>1040.9000000000001</v>
      </c>
      <c r="K31" s="19">
        <f t="shared" si="2"/>
        <v>29638.400000000001</v>
      </c>
      <c r="L31" s="19">
        <f t="shared" si="3"/>
        <v>29638.400000000001</v>
      </c>
      <c r="M31" s="19">
        <v>0</v>
      </c>
      <c r="N31" s="53"/>
    </row>
    <row r="32" spans="1:14">
      <c r="A32" s="28">
        <v>29</v>
      </c>
      <c r="B32" s="29">
        <v>45867</v>
      </c>
      <c r="C32" s="19"/>
      <c r="D32" s="19"/>
      <c r="E32" s="99"/>
      <c r="F32" s="99"/>
      <c r="G32" s="19">
        <f t="shared" si="0"/>
        <v>0</v>
      </c>
      <c r="H32" s="99"/>
      <c r="I32" s="99"/>
      <c r="J32" s="19">
        <f t="shared" si="1"/>
        <v>0</v>
      </c>
      <c r="K32" s="19">
        <f t="shared" si="2"/>
        <v>0</v>
      </c>
      <c r="L32" s="19">
        <f t="shared" si="3"/>
        <v>0</v>
      </c>
      <c r="M32" s="19"/>
      <c r="N32" s="53"/>
    </row>
    <row r="33" spans="1:14">
      <c r="A33" s="28">
        <v>30</v>
      </c>
      <c r="B33" s="29">
        <v>45868</v>
      </c>
      <c r="C33" s="19"/>
      <c r="D33" s="19"/>
      <c r="E33" s="99">
        <v>560</v>
      </c>
      <c r="F33" s="99">
        <v>92.25</v>
      </c>
      <c r="G33" s="19">
        <f t="shared" si="0"/>
        <v>51660</v>
      </c>
      <c r="H33" s="99">
        <v>30</v>
      </c>
      <c r="I33" s="99">
        <v>104.09</v>
      </c>
      <c r="J33" s="19">
        <f t="shared" si="1"/>
        <v>3122.7000000000003</v>
      </c>
      <c r="K33" s="19">
        <f t="shared" si="2"/>
        <v>54782.7</v>
      </c>
      <c r="L33" s="19">
        <f t="shared" si="3"/>
        <v>54782.7</v>
      </c>
      <c r="M33" s="19"/>
      <c r="N33" s="53"/>
    </row>
    <row r="34" spans="1:14">
      <c r="A34" s="28">
        <v>31</v>
      </c>
      <c r="B34" s="29"/>
      <c r="C34" s="19"/>
      <c r="D34" s="19"/>
      <c r="E34" s="99"/>
      <c r="F34" s="99"/>
      <c r="G34" s="19"/>
      <c r="H34" s="99"/>
      <c r="I34" s="99"/>
      <c r="J34" s="19"/>
      <c r="K34" s="19"/>
      <c r="L34" s="19"/>
      <c r="M34" s="19"/>
      <c r="N34" s="53"/>
    </row>
    <row r="35" spans="1:14">
      <c r="A35" s="51"/>
      <c r="B35" s="51"/>
      <c r="C35" s="51"/>
      <c r="D35" s="51"/>
      <c r="E35" s="51">
        <f>SUM(E4:E34)</f>
        <v>4890</v>
      </c>
      <c r="F35" s="51"/>
      <c r="G35" s="51">
        <f>SUM(G4:G34)</f>
        <v>451102.5</v>
      </c>
      <c r="H35" s="51">
        <f>SUM(H4:H34)</f>
        <v>215</v>
      </c>
      <c r="I35" s="51"/>
      <c r="J35" s="51">
        <f>SUM(J4:J34)</f>
        <v>22387.200000000001</v>
      </c>
      <c r="K35" s="51">
        <f>SUM(K4:K34)</f>
        <v>473489.69999999995</v>
      </c>
      <c r="L35" s="51">
        <f>SUM(L4:L34)</f>
        <v>473489.69999999995</v>
      </c>
      <c r="M35" s="51"/>
      <c r="N35" s="51"/>
    </row>
  </sheetData>
  <mergeCells count="2">
    <mergeCell ref="A1:N1"/>
    <mergeCell ref="A3:J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2F7-6414-430C-BFEC-3C7DCD1314CE}">
  <dimension ref="A1:V45"/>
  <sheetViews>
    <sheetView workbookViewId="0">
      <pane ySplit="2" topLeftCell="A6" activePane="bottomLeft" state="frozen"/>
      <selection pane="bottomLeft" activeCell="U27" sqref="U27"/>
    </sheetView>
  </sheetViews>
  <sheetFormatPr defaultRowHeight="15"/>
  <cols>
    <col min="1" max="1" width="5.28515625" bestFit="1" customWidth="1"/>
    <col min="2" max="2" width="11.5703125" bestFit="1" customWidth="1"/>
    <col min="3" max="3" width="8.140625" bestFit="1" customWidth="1"/>
    <col min="4" max="4" width="16" bestFit="1" customWidth="1"/>
    <col min="5" max="5" width="10.85546875" bestFit="1" customWidth="1"/>
    <col min="6" max="6" width="14.42578125" customWidth="1"/>
    <col min="7" max="7" width="11.85546875" bestFit="1" customWidth="1"/>
    <col min="8" max="8" width="10.85546875" bestFit="1" customWidth="1"/>
    <col min="9" max="9" width="7.140625" bestFit="1" customWidth="1"/>
    <col min="10" max="10" width="10.85546875" bestFit="1" customWidth="1"/>
    <col min="11" max="11" width="13.85546875" bestFit="1" customWidth="1"/>
    <col min="12" max="12" width="12.7109375" bestFit="1" customWidth="1"/>
    <col min="13" max="13" width="12.7109375" customWidth="1"/>
    <col min="14" max="14" width="17.7109375" bestFit="1" customWidth="1"/>
    <col min="16" max="16" width="12" bestFit="1" customWidth="1"/>
    <col min="19" max="19" width="12" bestFit="1" customWidth="1"/>
  </cols>
  <sheetData>
    <row r="1" spans="1:15">
      <c r="A1" s="438" t="s">
        <v>40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95"/>
    </row>
    <row r="2" spans="1:15">
      <c r="A2" s="139" t="s">
        <v>105</v>
      </c>
      <c r="B2" s="140" t="s">
        <v>106</v>
      </c>
      <c r="C2" s="140" t="s">
        <v>107</v>
      </c>
      <c r="D2" s="140" t="s">
        <v>108</v>
      </c>
      <c r="E2" s="140" t="s">
        <v>109</v>
      </c>
      <c r="F2" s="140" t="s">
        <v>110</v>
      </c>
      <c r="G2" s="140" t="s">
        <v>111</v>
      </c>
      <c r="H2" s="140" t="s">
        <v>112</v>
      </c>
      <c r="I2" s="140" t="s">
        <v>110</v>
      </c>
      <c r="J2" s="141" t="s">
        <v>111</v>
      </c>
      <c r="K2" s="139" t="s">
        <v>113</v>
      </c>
      <c r="L2" s="142" t="s">
        <v>114</v>
      </c>
      <c r="M2" s="142" t="s">
        <v>120</v>
      </c>
      <c r="N2" s="140" t="s">
        <v>116</v>
      </c>
      <c r="O2" s="71"/>
    </row>
    <row r="3" spans="1:15">
      <c r="A3" s="420" t="s">
        <v>117</v>
      </c>
      <c r="B3" s="421"/>
      <c r="C3" s="421"/>
      <c r="D3" s="421"/>
      <c r="E3" s="421"/>
      <c r="F3" s="421"/>
      <c r="G3" s="421"/>
      <c r="H3" s="421"/>
      <c r="I3" s="421"/>
      <c r="J3" s="429"/>
      <c r="K3" s="109">
        <v>98761.30399999996</v>
      </c>
      <c r="L3" s="46"/>
      <c r="M3" s="46">
        <f>+K3</f>
        <v>98761.30399999996</v>
      </c>
      <c r="N3" s="19"/>
      <c r="O3" s="71"/>
    </row>
    <row r="4" spans="1:15">
      <c r="A4" s="28">
        <v>1</v>
      </c>
      <c r="B4" s="29">
        <v>45839</v>
      </c>
      <c r="C4" s="143"/>
      <c r="D4" s="144"/>
      <c r="E4" s="106">
        <v>0</v>
      </c>
      <c r="F4" s="106">
        <v>0</v>
      </c>
      <c r="G4" s="21">
        <f>E4*F4</f>
        <v>0</v>
      </c>
      <c r="H4" s="106">
        <v>0</v>
      </c>
      <c r="I4" s="106"/>
      <c r="J4" s="21">
        <f>H4*I4</f>
        <v>0</v>
      </c>
      <c r="K4" s="21">
        <f>G4+J4</f>
        <v>0</v>
      </c>
      <c r="L4" s="145">
        <v>0</v>
      </c>
      <c r="M4" s="145">
        <f>M3+K4-L4</f>
        <v>98761.30399999996</v>
      </c>
      <c r="N4" s="53"/>
    </row>
    <row r="5" spans="1:15">
      <c r="A5" s="28">
        <v>2</v>
      </c>
      <c r="B5" s="29">
        <v>45840</v>
      </c>
      <c r="C5" s="79"/>
      <c r="D5" s="144"/>
      <c r="E5" s="106">
        <v>500</v>
      </c>
      <c r="F5" s="106">
        <v>92.26</v>
      </c>
      <c r="G5" s="21">
        <f t="shared" ref="G5:G34" si="0">E5*F5</f>
        <v>46130</v>
      </c>
      <c r="H5" s="106">
        <v>35</v>
      </c>
      <c r="I5" s="106">
        <v>104.13</v>
      </c>
      <c r="J5" s="21">
        <f t="shared" ref="J5:J34" si="1">H5*I5</f>
        <v>3644.5499999999997</v>
      </c>
      <c r="K5" s="21">
        <f t="shared" ref="K5:K34" si="2">G5+J5</f>
        <v>49774.55</v>
      </c>
      <c r="L5" s="145">
        <v>0</v>
      </c>
      <c r="M5" s="145">
        <f>M4+K5-L5</f>
        <v>148535.85399999996</v>
      </c>
      <c r="N5" s="53"/>
    </row>
    <row r="6" spans="1:15">
      <c r="A6" s="28">
        <v>3</v>
      </c>
      <c r="B6" s="29">
        <v>45841</v>
      </c>
      <c r="C6" s="79"/>
      <c r="D6" s="144"/>
      <c r="E6" s="106">
        <v>0</v>
      </c>
      <c r="F6" s="106">
        <v>0</v>
      </c>
      <c r="G6" s="21">
        <f t="shared" si="0"/>
        <v>0</v>
      </c>
      <c r="H6" s="106">
        <v>0</v>
      </c>
      <c r="I6" s="106"/>
      <c r="J6" s="21">
        <f t="shared" si="1"/>
        <v>0</v>
      </c>
      <c r="K6" s="21">
        <f t="shared" si="2"/>
        <v>0</v>
      </c>
      <c r="L6" s="145">
        <v>0</v>
      </c>
      <c r="M6" s="145">
        <f>M5+K6-L6</f>
        <v>148535.85399999996</v>
      </c>
      <c r="N6" s="53"/>
    </row>
    <row r="7" spans="1:15">
      <c r="A7" s="28">
        <v>4</v>
      </c>
      <c r="B7" s="29">
        <v>45842</v>
      </c>
      <c r="C7" s="79"/>
      <c r="D7" s="144"/>
      <c r="E7" s="106">
        <v>0</v>
      </c>
      <c r="F7" s="106">
        <v>0</v>
      </c>
      <c r="G7" s="21">
        <f t="shared" si="0"/>
        <v>0</v>
      </c>
      <c r="H7" s="106">
        <v>0</v>
      </c>
      <c r="I7" s="106"/>
      <c r="J7" s="21">
        <f t="shared" si="1"/>
        <v>0</v>
      </c>
      <c r="K7" s="21">
        <f t="shared" si="2"/>
        <v>0</v>
      </c>
      <c r="L7" s="145">
        <v>0</v>
      </c>
      <c r="M7" s="145">
        <f>M6+K7-L7</f>
        <v>148535.85399999996</v>
      </c>
      <c r="N7" s="53"/>
    </row>
    <row r="8" spans="1:15">
      <c r="A8" s="28">
        <v>5</v>
      </c>
      <c r="B8" s="29">
        <v>45843</v>
      </c>
      <c r="C8" s="79"/>
      <c r="D8" s="144"/>
      <c r="E8" s="106">
        <v>0</v>
      </c>
      <c r="F8" s="106">
        <v>0</v>
      </c>
      <c r="G8" s="21">
        <f t="shared" si="0"/>
        <v>0</v>
      </c>
      <c r="H8" s="106">
        <v>0</v>
      </c>
      <c r="I8" s="106"/>
      <c r="J8" s="21">
        <f t="shared" si="1"/>
        <v>0</v>
      </c>
      <c r="K8" s="21">
        <f t="shared" si="2"/>
        <v>0</v>
      </c>
      <c r="L8" s="145">
        <v>0</v>
      </c>
      <c r="M8" s="145">
        <f t="shared" ref="M8:M34" si="3">M7+K8-L8</f>
        <v>148535.85399999996</v>
      </c>
      <c r="N8" s="53"/>
      <c r="O8" s="81"/>
    </row>
    <row r="9" spans="1:15">
      <c r="A9" s="28">
        <v>6</v>
      </c>
      <c r="B9" s="29">
        <v>45844</v>
      </c>
      <c r="C9" s="79"/>
      <c r="D9" s="144"/>
      <c r="E9" s="106">
        <v>0</v>
      </c>
      <c r="F9" s="106">
        <v>0</v>
      </c>
      <c r="G9" s="21">
        <f t="shared" si="0"/>
        <v>0</v>
      </c>
      <c r="H9" s="106">
        <v>0</v>
      </c>
      <c r="I9" s="106"/>
      <c r="J9" s="21">
        <f t="shared" si="1"/>
        <v>0</v>
      </c>
      <c r="K9" s="21">
        <f t="shared" si="2"/>
        <v>0</v>
      </c>
      <c r="L9" s="145">
        <v>0</v>
      </c>
      <c r="M9" s="145">
        <f t="shared" si="3"/>
        <v>148535.85399999996</v>
      </c>
      <c r="N9" s="53"/>
      <c r="O9" s="81"/>
    </row>
    <row r="10" spans="1:15">
      <c r="A10" s="28">
        <v>7</v>
      </c>
      <c r="B10" s="29">
        <v>45845</v>
      </c>
      <c r="C10" s="79"/>
      <c r="D10" s="144"/>
      <c r="E10" s="106">
        <v>0</v>
      </c>
      <c r="F10" s="106">
        <v>0</v>
      </c>
      <c r="G10" s="21">
        <f t="shared" si="0"/>
        <v>0</v>
      </c>
      <c r="H10" s="106">
        <v>0</v>
      </c>
      <c r="I10" s="106"/>
      <c r="J10" s="21">
        <f t="shared" si="1"/>
        <v>0</v>
      </c>
      <c r="K10" s="21">
        <f t="shared" si="2"/>
        <v>0</v>
      </c>
      <c r="L10" s="145">
        <v>0</v>
      </c>
      <c r="M10" s="145">
        <f t="shared" si="3"/>
        <v>148535.85399999996</v>
      </c>
      <c r="N10" s="53"/>
      <c r="O10" s="81"/>
    </row>
    <row r="11" spans="1:15">
      <c r="A11" s="28">
        <v>8</v>
      </c>
      <c r="B11" s="29">
        <v>45846</v>
      </c>
      <c r="C11" s="79"/>
      <c r="D11" s="144"/>
      <c r="E11" s="106">
        <v>0</v>
      </c>
      <c r="F11" s="106">
        <v>92.26</v>
      </c>
      <c r="G11" s="21">
        <f t="shared" si="0"/>
        <v>0</v>
      </c>
      <c r="H11" s="106">
        <v>0</v>
      </c>
      <c r="I11" s="106"/>
      <c r="J11" s="21">
        <f t="shared" si="1"/>
        <v>0</v>
      </c>
      <c r="K11" s="21">
        <f t="shared" si="2"/>
        <v>0</v>
      </c>
      <c r="L11" s="145">
        <v>0</v>
      </c>
      <c r="M11" s="145">
        <f t="shared" si="3"/>
        <v>148535.85399999996</v>
      </c>
      <c r="N11" s="53"/>
      <c r="O11" s="81"/>
    </row>
    <row r="12" spans="1:15">
      <c r="A12" s="28">
        <v>9</v>
      </c>
      <c r="B12" s="29">
        <v>45847</v>
      </c>
      <c r="C12" s="79"/>
      <c r="D12" s="144"/>
      <c r="E12" s="106">
        <v>216</v>
      </c>
      <c r="F12" s="106">
        <v>92.26</v>
      </c>
      <c r="G12" s="21">
        <f t="shared" si="0"/>
        <v>19928.16</v>
      </c>
      <c r="H12" s="106">
        <v>0</v>
      </c>
      <c r="I12" s="106"/>
      <c r="J12" s="21">
        <f t="shared" si="1"/>
        <v>0</v>
      </c>
      <c r="K12" s="21">
        <f t="shared" si="2"/>
        <v>19928.16</v>
      </c>
      <c r="L12" s="145">
        <v>19928</v>
      </c>
      <c r="M12" s="145">
        <f t="shared" si="3"/>
        <v>148536.01399999997</v>
      </c>
      <c r="N12" s="53"/>
      <c r="O12" s="81"/>
    </row>
    <row r="13" spans="1:15">
      <c r="A13" s="28">
        <v>10</v>
      </c>
      <c r="B13" s="29">
        <v>45848</v>
      </c>
      <c r="C13" s="79"/>
      <c r="D13" s="144"/>
      <c r="E13" s="106">
        <v>0</v>
      </c>
      <c r="F13" s="106">
        <v>0</v>
      </c>
      <c r="G13" s="21">
        <f t="shared" si="0"/>
        <v>0</v>
      </c>
      <c r="H13" s="106">
        <v>0</v>
      </c>
      <c r="I13" s="106"/>
      <c r="J13" s="21">
        <f t="shared" si="1"/>
        <v>0</v>
      </c>
      <c r="K13" s="21">
        <f t="shared" si="2"/>
        <v>0</v>
      </c>
      <c r="L13" s="145">
        <v>0</v>
      </c>
      <c r="M13" s="145">
        <f t="shared" si="3"/>
        <v>148536.01399999997</v>
      </c>
      <c r="N13" s="53"/>
      <c r="O13" s="81"/>
    </row>
    <row r="14" spans="1:15">
      <c r="A14" s="28">
        <v>11</v>
      </c>
      <c r="B14" s="29">
        <v>45849</v>
      </c>
      <c r="C14" s="79"/>
      <c r="D14" s="144"/>
      <c r="E14" s="106">
        <v>0</v>
      </c>
      <c r="F14" s="106">
        <v>0</v>
      </c>
      <c r="G14" s="21">
        <f t="shared" si="0"/>
        <v>0</v>
      </c>
      <c r="H14" s="106">
        <v>0</v>
      </c>
      <c r="I14" s="106"/>
      <c r="J14" s="21">
        <f t="shared" si="1"/>
        <v>0</v>
      </c>
      <c r="K14" s="21">
        <f t="shared" si="2"/>
        <v>0</v>
      </c>
      <c r="L14" s="145">
        <v>148600</v>
      </c>
      <c r="M14" s="145">
        <f t="shared" si="3"/>
        <v>-63.986000000033528</v>
      </c>
      <c r="N14" s="53"/>
      <c r="O14" s="81"/>
    </row>
    <row r="15" spans="1:15">
      <c r="A15" s="28">
        <v>12</v>
      </c>
      <c r="B15" s="29">
        <v>45850</v>
      </c>
      <c r="C15" s="79"/>
      <c r="D15" s="144"/>
      <c r="E15" s="106">
        <v>500</v>
      </c>
      <c r="F15" s="106">
        <v>92.26</v>
      </c>
      <c r="G15" s="21">
        <f t="shared" si="0"/>
        <v>46130</v>
      </c>
      <c r="H15" s="106">
        <v>35</v>
      </c>
      <c r="I15" s="106">
        <v>104.13</v>
      </c>
      <c r="J15" s="21">
        <f t="shared" si="1"/>
        <v>3644.5499999999997</v>
      </c>
      <c r="K15" s="21">
        <f t="shared" si="2"/>
        <v>49774.55</v>
      </c>
      <c r="L15" s="145">
        <v>0</v>
      </c>
      <c r="M15" s="145">
        <f t="shared" si="3"/>
        <v>49710.563999999969</v>
      </c>
      <c r="N15" s="53"/>
      <c r="O15" s="81"/>
    </row>
    <row r="16" spans="1:15">
      <c r="A16" s="28">
        <v>13</v>
      </c>
      <c r="B16" s="29">
        <v>45851</v>
      </c>
      <c r="C16" s="79"/>
      <c r="D16" s="144"/>
      <c r="E16" s="106">
        <v>0</v>
      </c>
      <c r="F16" s="106">
        <v>0</v>
      </c>
      <c r="G16" s="21">
        <f t="shared" si="0"/>
        <v>0</v>
      </c>
      <c r="H16" s="106">
        <v>0</v>
      </c>
      <c r="I16" s="106"/>
      <c r="J16" s="21">
        <f t="shared" si="1"/>
        <v>0</v>
      </c>
      <c r="K16" s="21">
        <f t="shared" si="2"/>
        <v>0</v>
      </c>
      <c r="L16" s="145">
        <v>0</v>
      </c>
      <c r="M16" s="145">
        <f t="shared" si="3"/>
        <v>49710.563999999969</v>
      </c>
      <c r="N16" s="53"/>
      <c r="O16" s="81"/>
    </row>
    <row r="17" spans="1:22">
      <c r="A17" s="28">
        <v>14</v>
      </c>
      <c r="B17" s="29">
        <v>45852</v>
      </c>
      <c r="C17" s="79"/>
      <c r="D17" s="144"/>
      <c r="E17" s="106">
        <v>500</v>
      </c>
      <c r="F17" s="106">
        <v>92.26</v>
      </c>
      <c r="G17" s="21">
        <f t="shared" si="0"/>
        <v>46130</v>
      </c>
      <c r="H17" s="106">
        <v>35</v>
      </c>
      <c r="I17" s="106">
        <v>104.13</v>
      </c>
      <c r="J17" s="21">
        <f t="shared" si="1"/>
        <v>3644.5499999999997</v>
      </c>
      <c r="K17" s="21">
        <f t="shared" si="2"/>
        <v>49774.55</v>
      </c>
      <c r="L17" s="145">
        <v>0</v>
      </c>
      <c r="M17" s="145">
        <f t="shared" si="3"/>
        <v>99485.113999999972</v>
      </c>
      <c r="N17" s="53"/>
      <c r="O17" s="81"/>
    </row>
    <row r="18" spans="1:22">
      <c r="A18" s="28">
        <v>15</v>
      </c>
      <c r="B18" s="29">
        <v>45853</v>
      </c>
      <c r="C18" s="79"/>
      <c r="D18" s="144"/>
      <c r="E18" s="106">
        <v>0</v>
      </c>
      <c r="F18" s="106">
        <v>0</v>
      </c>
      <c r="G18" s="21">
        <f t="shared" si="0"/>
        <v>0</v>
      </c>
      <c r="H18" s="106">
        <v>0</v>
      </c>
      <c r="I18" s="106"/>
      <c r="J18" s="21">
        <f t="shared" si="1"/>
        <v>0</v>
      </c>
      <c r="K18" s="21">
        <f t="shared" si="2"/>
        <v>0</v>
      </c>
      <c r="L18" s="145">
        <v>0</v>
      </c>
      <c r="M18" s="145">
        <f t="shared" si="3"/>
        <v>99485.113999999972</v>
      </c>
      <c r="N18" s="53"/>
      <c r="O18" s="81"/>
    </row>
    <row r="19" spans="1:22">
      <c r="A19" s="28">
        <v>16</v>
      </c>
      <c r="B19" s="29">
        <v>45854</v>
      </c>
      <c r="C19" s="79"/>
      <c r="D19" s="144"/>
      <c r="E19" s="106">
        <v>0</v>
      </c>
      <c r="F19" s="106">
        <v>0</v>
      </c>
      <c r="G19" s="21">
        <f t="shared" si="0"/>
        <v>0</v>
      </c>
      <c r="H19" s="106">
        <v>0</v>
      </c>
      <c r="I19" s="106"/>
      <c r="J19" s="21">
        <f t="shared" si="1"/>
        <v>0</v>
      </c>
      <c r="K19" s="21">
        <f t="shared" si="2"/>
        <v>0</v>
      </c>
      <c r="L19" s="145">
        <f>50000+49400</f>
        <v>99400</v>
      </c>
      <c r="M19" s="145">
        <f t="shared" si="3"/>
        <v>85.113999999972293</v>
      </c>
      <c r="N19" s="53"/>
      <c r="O19" s="81"/>
    </row>
    <row r="20" spans="1:22">
      <c r="A20" s="28">
        <v>17</v>
      </c>
      <c r="B20" s="29">
        <v>45855</v>
      </c>
      <c r="C20" s="79"/>
      <c r="D20" s="144"/>
      <c r="E20" s="106">
        <v>500</v>
      </c>
      <c r="F20" s="106">
        <v>92.26</v>
      </c>
      <c r="G20" s="21">
        <f t="shared" si="0"/>
        <v>46130</v>
      </c>
      <c r="H20" s="106">
        <v>0</v>
      </c>
      <c r="I20" s="106"/>
      <c r="J20" s="21">
        <f t="shared" si="1"/>
        <v>0</v>
      </c>
      <c r="K20" s="21">
        <f t="shared" si="2"/>
        <v>46130</v>
      </c>
      <c r="L20" s="145">
        <v>0</v>
      </c>
      <c r="M20" s="145">
        <f t="shared" si="3"/>
        <v>46215.113999999972</v>
      </c>
      <c r="N20" s="53"/>
      <c r="O20" s="81"/>
      <c r="V20">
        <f>400*90.23</f>
        <v>36092</v>
      </c>
    </row>
    <row r="21" spans="1:22">
      <c r="A21" s="28">
        <v>18</v>
      </c>
      <c r="B21" s="29">
        <v>45856</v>
      </c>
      <c r="C21" s="79"/>
      <c r="D21" s="144"/>
      <c r="E21" s="106">
        <v>0</v>
      </c>
      <c r="F21" s="106">
        <v>0</v>
      </c>
      <c r="G21" s="21">
        <f t="shared" si="0"/>
        <v>0</v>
      </c>
      <c r="H21" s="106">
        <v>0</v>
      </c>
      <c r="I21" s="106"/>
      <c r="J21" s="21">
        <f t="shared" si="1"/>
        <v>0</v>
      </c>
      <c r="K21" s="21">
        <f t="shared" si="2"/>
        <v>0</v>
      </c>
      <c r="L21" s="145">
        <v>0</v>
      </c>
      <c r="M21" s="145">
        <f t="shared" si="3"/>
        <v>46215.113999999972</v>
      </c>
      <c r="N21" s="53"/>
      <c r="O21" s="81"/>
      <c r="V21">
        <f>35*104.14</f>
        <v>3644.9</v>
      </c>
    </row>
    <row r="22" spans="1:22">
      <c r="A22" s="28">
        <v>19</v>
      </c>
      <c r="B22" s="29">
        <v>45857</v>
      </c>
      <c r="C22" s="79"/>
      <c r="D22" s="144"/>
      <c r="E22" s="106">
        <v>500</v>
      </c>
      <c r="F22" s="106">
        <v>92.26</v>
      </c>
      <c r="G22" s="21">
        <f t="shared" si="0"/>
        <v>46130</v>
      </c>
      <c r="H22" s="106">
        <v>35</v>
      </c>
      <c r="I22" s="106">
        <v>104.13</v>
      </c>
      <c r="J22" s="21">
        <f t="shared" si="1"/>
        <v>3644.5499999999997</v>
      </c>
      <c r="K22" s="21">
        <f t="shared" si="2"/>
        <v>49774.55</v>
      </c>
      <c r="L22" s="145">
        <v>0</v>
      </c>
      <c r="M22" s="145">
        <f t="shared" si="3"/>
        <v>95989.663999999975</v>
      </c>
      <c r="N22" s="53"/>
      <c r="O22" s="81"/>
    </row>
    <row r="23" spans="1:22">
      <c r="A23" s="28">
        <v>20</v>
      </c>
      <c r="B23" s="29">
        <v>45858</v>
      </c>
      <c r="C23" s="79"/>
      <c r="D23" s="144"/>
      <c r="E23" s="106">
        <v>0</v>
      </c>
      <c r="F23" s="106">
        <v>0</v>
      </c>
      <c r="G23" s="21">
        <f t="shared" si="0"/>
        <v>0</v>
      </c>
      <c r="H23" s="106">
        <v>0</v>
      </c>
      <c r="I23" s="106"/>
      <c r="J23" s="21">
        <f t="shared" si="1"/>
        <v>0</v>
      </c>
      <c r="K23" s="21">
        <f t="shared" si="2"/>
        <v>0</v>
      </c>
      <c r="L23" s="145">
        <v>0</v>
      </c>
      <c r="M23" s="145">
        <f t="shared" si="3"/>
        <v>95989.663999999975</v>
      </c>
      <c r="N23" s="310"/>
      <c r="O23" s="294"/>
    </row>
    <row r="24" spans="1:22">
      <c r="A24" s="28">
        <v>21</v>
      </c>
      <c r="B24" s="29">
        <v>45859</v>
      </c>
      <c r="C24" s="79"/>
      <c r="D24" s="144"/>
      <c r="E24" s="106">
        <v>0</v>
      </c>
      <c r="F24" s="106">
        <v>0</v>
      </c>
      <c r="G24" s="21">
        <f t="shared" si="0"/>
        <v>0</v>
      </c>
      <c r="H24" s="106">
        <v>0</v>
      </c>
      <c r="I24" s="106"/>
      <c r="J24" s="21">
        <f t="shared" si="1"/>
        <v>0</v>
      </c>
      <c r="K24" s="21">
        <f t="shared" si="2"/>
        <v>0</v>
      </c>
      <c r="L24" s="145">
        <v>0</v>
      </c>
      <c r="M24" s="145">
        <f t="shared" si="3"/>
        <v>95989.663999999975</v>
      </c>
      <c r="N24" s="53"/>
      <c r="O24" s="81"/>
    </row>
    <row r="25" spans="1:22">
      <c r="A25" s="28">
        <v>22</v>
      </c>
      <c r="B25" s="29">
        <v>45860</v>
      </c>
      <c r="C25" s="79"/>
      <c r="D25" s="144"/>
      <c r="E25" s="106">
        <v>0</v>
      </c>
      <c r="F25" s="106">
        <v>0</v>
      </c>
      <c r="G25" s="21">
        <f t="shared" si="0"/>
        <v>0</v>
      </c>
      <c r="H25" s="106">
        <v>0</v>
      </c>
      <c r="I25" s="106"/>
      <c r="J25" s="21">
        <f t="shared" si="1"/>
        <v>0</v>
      </c>
      <c r="K25" s="21">
        <f t="shared" si="2"/>
        <v>0</v>
      </c>
      <c r="L25" s="145">
        <v>0</v>
      </c>
      <c r="M25" s="145">
        <f t="shared" si="3"/>
        <v>95989.663999999975</v>
      </c>
      <c r="N25" s="53"/>
      <c r="O25" s="81"/>
    </row>
    <row r="26" spans="1:22">
      <c r="A26" s="28">
        <v>23</v>
      </c>
      <c r="B26" s="29">
        <v>45861</v>
      </c>
      <c r="C26" s="79"/>
      <c r="D26" s="144"/>
      <c r="E26" s="106">
        <v>500</v>
      </c>
      <c r="F26" s="106">
        <v>92.26</v>
      </c>
      <c r="G26" s="21">
        <f t="shared" si="0"/>
        <v>46130</v>
      </c>
      <c r="H26" s="106">
        <v>35</v>
      </c>
      <c r="I26" s="106">
        <v>104.13</v>
      </c>
      <c r="J26" s="21">
        <f t="shared" si="1"/>
        <v>3644.5499999999997</v>
      </c>
      <c r="K26" s="21">
        <f t="shared" si="2"/>
        <v>49774.55</v>
      </c>
      <c r="L26" s="145">
        <v>96080</v>
      </c>
      <c r="M26" s="145">
        <f t="shared" si="3"/>
        <v>49684.213999999978</v>
      </c>
      <c r="N26" s="53"/>
      <c r="O26" s="81"/>
    </row>
    <row r="27" spans="1:22">
      <c r="A27" s="28">
        <v>24</v>
      </c>
      <c r="B27" s="29">
        <v>45862</v>
      </c>
      <c r="C27" s="79"/>
      <c r="D27" s="144"/>
      <c r="E27" s="106">
        <v>0</v>
      </c>
      <c r="F27" s="106">
        <v>0</v>
      </c>
      <c r="G27" s="21">
        <f t="shared" si="0"/>
        <v>0</v>
      </c>
      <c r="H27" s="106">
        <v>0</v>
      </c>
      <c r="I27" s="106"/>
      <c r="J27" s="21">
        <f t="shared" si="1"/>
        <v>0</v>
      </c>
      <c r="K27" s="21">
        <f t="shared" si="2"/>
        <v>0</v>
      </c>
      <c r="L27" s="145">
        <v>0</v>
      </c>
      <c r="M27" s="145">
        <f t="shared" si="3"/>
        <v>49684.213999999978</v>
      </c>
      <c r="N27" s="53"/>
      <c r="O27" s="81"/>
    </row>
    <row r="28" spans="1:22">
      <c r="A28" s="28">
        <v>25</v>
      </c>
      <c r="B28" s="29">
        <v>45863</v>
      </c>
      <c r="C28" s="79"/>
      <c r="D28" s="144"/>
      <c r="E28" s="106">
        <v>0</v>
      </c>
      <c r="F28" s="106">
        <v>0</v>
      </c>
      <c r="G28" s="21">
        <f t="shared" si="0"/>
        <v>0</v>
      </c>
      <c r="H28" s="106">
        <v>0</v>
      </c>
      <c r="I28" s="106"/>
      <c r="J28" s="21">
        <f t="shared" si="1"/>
        <v>0</v>
      </c>
      <c r="K28" s="21">
        <f t="shared" si="2"/>
        <v>0</v>
      </c>
      <c r="L28" s="145">
        <v>0</v>
      </c>
      <c r="M28" s="145">
        <f t="shared" si="3"/>
        <v>49684.213999999978</v>
      </c>
      <c r="N28" s="53"/>
      <c r="O28" s="81"/>
    </row>
    <row r="29" spans="1:22">
      <c r="A29" s="28">
        <v>26</v>
      </c>
      <c r="B29" s="29">
        <v>45864</v>
      </c>
      <c r="C29" s="79"/>
      <c r="D29" s="144"/>
      <c r="E29" s="106">
        <v>500</v>
      </c>
      <c r="F29" s="106">
        <v>92.26</v>
      </c>
      <c r="G29" s="21">
        <f t="shared" si="0"/>
        <v>46130</v>
      </c>
      <c r="H29" s="106">
        <v>35</v>
      </c>
      <c r="I29" s="106">
        <v>104.13</v>
      </c>
      <c r="J29" s="21">
        <f t="shared" si="1"/>
        <v>3644.5499999999997</v>
      </c>
      <c r="K29" s="21">
        <f t="shared" si="2"/>
        <v>49774.55</v>
      </c>
      <c r="L29" s="145">
        <v>0</v>
      </c>
      <c r="M29" s="145">
        <f t="shared" si="3"/>
        <v>99458.763999999981</v>
      </c>
      <c r="N29" s="53"/>
      <c r="O29" s="81"/>
    </row>
    <row r="30" spans="1:22">
      <c r="A30" s="28">
        <v>27</v>
      </c>
      <c r="B30" s="29">
        <v>45865</v>
      </c>
      <c r="C30" s="79"/>
      <c r="D30" s="144"/>
      <c r="E30" s="106">
        <v>0</v>
      </c>
      <c r="F30" s="106">
        <v>0</v>
      </c>
      <c r="G30" s="21">
        <f t="shared" si="0"/>
        <v>0</v>
      </c>
      <c r="H30" s="106">
        <v>0</v>
      </c>
      <c r="I30" s="106"/>
      <c r="J30" s="21">
        <f t="shared" si="1"/>
        <v>0</v>
      </c>
      <c r="K30" s="21">
        <f t="shared" si="2"/>
        <v>0</v>
      </c>
      <c r="L30" s="145">
        <v>0</v>
      </c>
      <c r="M30" s="145">
        <f t="shared" si="3"/>
        <v>99458.763999999981</v>
      </c>
      <c r="N30" s="53"/>
      <c r="O30" s="81"/>
    </row>
    <row r="31" spans="1:22">
      <c r="A31" s="28">
        <v>28</v>
      </c>
      <c r="B31" s="29">
        <v>45866</v>
      </c>
      <c r="C31" s="79"/>
      <c r="D31" s="144"/>
      <c r="E31" s="106">
        <v>0</v>
      </c>
      <c r="F31" s="106">
        <v>0</v>
      </c>
      <c r="G31" s="21">
        <f t="shared" si="0"/>
        <v>0</v>
      </c>
      <c r="H31" s="106">
        <v>0</v>
      </c>
      <c r="I31" s="106"/>
      <c r="J31" s="21">
        <f t="shared" si="1"/>
        <v>0</v>
      </c>
      <c r="K31" s="21">
        <f t="shared" si="2"/>
        <v>0</v>
      </c>
      <c r="L31" s="145">
        <v>0</v>
      </c>
      <c r="M31" s="145">
        <f t="shared" si="3"/>
        <v>99458.763999999981</v>
      </c>
      <c r="N31" s="53"/>
      <c r="O31" s="81"/>
    </row>
    <row r="32" spans="1:22">
      <c r="A32" s="28">
        <v>29</v>
      </c>
      <c r="B32" s="29">
        <v>45867</v>
      </c>
      <c r="C32" s="79"/>
      <c r="D32" s="144"/>
      <c r="E32" s="106">
        <v>0</v>
      </c>
      <c r="F32" s="106">
        <v>0</v>
      </c>
      <c r="G32" s="21">
        <f t="shared" si="0"/>
        <v>0</v>
      </c>
      <c r="H32" s="106">
        <v>0</v>
      </c>
      <c r="I32" s="106"/>
      <c r="J32" s="21">
        <f t="shared" si="1"/>
        <v>0</v>
      </c>
      <c r="K32" s="21">
        <f t="shared" si="2"/>
        <v>0</v>
      </c>
      <c r="L32" s="145">
        <v>0</v>
      </c>
      <c r="M32" s="145">
        <f t="shared" si="3"/>
        <v>99458.763999999981</v>
      </c>
      <c r="N32" s="53"/>
      <c r="O32" s="81"/>
    </row>
    <row r="33" spans="1:19">
      <c r="A33" s="28">
        <v>30</v>
      </c>
      <c r="B33" s="29">
        <v>45868</v>
      </c>
      <c r="C33" s="79"/>
      <c r="D33" s="144"/>
      <c r="E33" s="106">
        <v>0</v>
      </c>
      <c r="F33" s="106">
        <v>0</v>
      </c>
      <c r="G33" s="21">
        <f t="shared" si="0"/>
        <v>0</v>
      </c>
      <c r="H33" s="106">
        <v>0</v>
      </c>
      <c r="I33" s="106"/>
      <c r="J33" s="21">
        <f t="shared" si="1"/>
        <v>0</v>
      </c>
      <c r="K33" s="21">
        <f t="shared" si="2"/>
        <v>0</v>
      </c>
      <c r="L33" s="145">
        <v>0</v>
      </c>
      <c r="M33" s="145">
        <f t="shared" si="3"/>
        <v>99458.763999999981</v>
      </c>
      <c r="N33" s="53"/>
      <c r="O33" s="81"/>
    </row>
    <row r="34" spans="1:19">
      <c r="A34" s="28">
        <v>31</v>
      </c>
      <c r="B34" s="29">
        <v>45869</v>
      </c>
      <c r="C34" s="79"/>
      <c r="D34" s="144"/>
      <c r="E34" s="106">
        <v>500</v>
      </c>
      <c r="F34" s="106">
        <v>92.26</v>
      </c>
      <c r="G34" s="21">
        <f t="shared" si="0"/>
        <v>46130</v>
      </c>
      <c r="H34" s="106">
        <v>0</v>
      </c>
      <c r="I34" s="106"/>
      <c r="J34" s="21">
        <f t="shared" si="1"/>
        <v>0</v>
      </c>
      <c r="K34" s="21">
        <f t="shared" si="2"/>
        <v>46130</v>
      </c>
      <c r="L34" s="145">
        <v>99450</v>
      </c>
      <c r="M34" s="145">
        <f t="shared" si="3"/>
        <v>46138.763999999966</v>
      </c>
      <c r="N34" s="53"/>
      <c r="O34" s="81"/>
    </row>
    <row r="35" spans="1:19">
      <c r="A35" s="28"/>
      <c r="B35" s="29"/>
      <c r="C35" s="79"/>
      <c r="D35" s="144"/>
      <c r="E35" s="106">
        <v>0</v>
      </c>
      <c r="F35" s="106">
        <v>0</v>
      </c>
      <c r="G35" s="21">
        <f t="shared" ref="G35" si="4">E35*F35</f>
        <v>0</v>
      </c>
      <c r="H35" s="106">
        <v>0</v>
      </c>
      <c r="I35" s="106"/>
      <c r="J35" s="21">
        <f t="shared" ref="J35" si="5">H35*I35</f>
        <v>0</v>
      </c>
      <c r="K35" s="21">
        <f t="shared" ref="K35" si="6">G35+J35</f>
        <v>0</v>
      </c>
      <c r="L35" s="145">
        <v>0</v>
      </c>
      <c r="M35" s="145">
        <f t="shared" ref="M35" si="7">M34+K35-L35</f>
        <v>46138.763999999966</v>
      </c>
      <c r="N35" s="53"/>
      <c r="O35" s="81"/>
    </row>
    <row r="36" spans="1:19">
      <c r="A36" s="51"/>
      <c r="B36" s="51"/>
      <c r="C36" s="51"/>
      <c r="D36" s="51"/>
      <c r="E36" s="52">
        <f>SUM(E4:E34)</f>
        <v>4216</v>
      </c>
      <c r="F36" s="52"/>
      <c r="G36" s="52">
        <f>SUM(G4:G34)</f>
        <v>388968.16000000003</v>
      </c>
      <c r="H36" s="52">
        <f>SUM(H4:H34)</f>
        <v>210</v>
      </c>
      <c r="I36" s="52"/>
      <c r="J36" s="52">
        <f>SUM(J4:J34)</f>
        <v>21867.3</v>
      </c>
      <c r="K36" s="52">
        <f>SUM(K4:K34)</f>
        <v>410835.45999999996</v>
      </c>
      <c r="L36" s="52">
        <f>SUM(L4:L34)</f>
        <v>463458</v>
      </c>
      <c r="M36" s="52"/>
      <c r="N36" s="52"/>
      <c r="O36" s="35"/>
    </row>
    <row r="37" spans="1:19">
      <c r="A37" s="85"/>
      <c r="B37" s="86"/>
      <c r="C37" s="85"/>
      <c r="D37" s="85"/>
      <c r="E37" s="87">
        <v>0</v>
      </c>
      <c r="F37" s="87"/>
      <c r="G37" s="87">
        <v>0</v>
      </c>
      <c r="H37" s="87">
        <v>0</v>
      </c>
      <c r="I37" s="87"/>
      <c r="J37" s="88">
        <v>0</v>
      </c>
      <c r="K37" s="88">
        <f>G37+J37</f>
        <v>0</v>
      </c>
      <c r="L37" s="88">
        <v>0</v>
      </c>
      <c r="M37" s="88"/>
      <c r="N37" s="87"/>
      <c r="O37" s="81"/>
    </row>
    <row r="38" spans="1:19">
      <c r="E38" s="150">
        <f>SUM(E36:E37)</f>
        <v>4216</v>
      </c>
      <c r="F38" s="150">
        <f>SUM(F36:F37)</f>
        <v>0</v>
      </c>
      <c r="G38" s="150">
        <f>SUM(G36:G37)</f>
        <v>388968.16000000003</v>
      </c>
      <c r="H38" s="150">
        <f>SUM(H36:H37)</f>
        <v>210</v>
      </c>
      <c r="I38" s="150">
        <f>SUM(I36:I37)</f>
        <v>0</v>
      </c>
      <c r="J38" s="150">
        <f>SUM(J36:J37)</f>
        <v>21867.3</v>
      </c>
      <c r="K38" s="150">
        <f>SUM(K36:K37)</f>
        <v>410835.45999999996</v>
      </c>
      <c r="L38" s="150">
        <f>SUM(L36:L37)</f>
        <v>463458</v>
      </c>
      <c r="M38" s="295">
        <v>50356.73</v>
      </c>
      <c r="O38" s="81"/>
    </row>
    <row r="39" spans="1:19">
      <c r="O39" s="81"/>
    </row>
    <row r="40" spans="1:19">
      <c r="M40" s="196">
        <f>M38-M35</f>
        <v>4217.9660000000367</v>
      </c>
      <c r="O40" s="81"/>
    </row>
    <row r="41" spans="1:19">
      <c r="O41" s="81"/>
    </row>
    <row r="42" spans="1:19">
      <c r="O42" s="81"/>
      <c r="S42">
        <v>9052944708</v>
      </c>
    </row>
    <row r="43" spans="1:19">
      <c r="A43" s="81"/>
      <c r="B43" s="71"/>
      <c r="C43" s="81"/>
      <c r="D43" s="81"/>
      <c r="E43" s="81"/>
      <c r="F43" s="81"/>
      <c r="G43" s="89"/>
      <c r="H43" s="81"/>
      <c r="I43" s="81"/>
      <c r="J43" s="71"/>
      <c r="K43" s="71"/>
      <c r="L43" s="71"/>
      <c r="M43" s="71"/>
      <c r="N43" s="81"/>
      <c r="O43" s="87"/>
    </row>
    <row r="44" spans="1:19">
      <c r="A44" s="81"/>
      <c r="B44" s="430"/>
      <c r="C44" s="430"/>
      <c r="D44" s="430"/>
      <c r="E44" s="430"/>
      <c r="F44" s="81"/>
      <c r="G44" s="81"/>
      <c r="H44" s="81"/>
      <c r="I44" s="430"/>
      <c r="J44" s="430"/>
      <c r="K44" s="430"/>
      <c r="L44" s="430"/>
      <c r="M44" s="430"/>
      <c r="N44" s="430"/>
      <c r="O44" s="87"/>
    </row>
    <row r="45" spans="1:19">
      <c r="A45" s="81"/>
      <c r="B45" s="71"/>
      <c r="C45" s="81"/>
      <c r="D45" s="81"/>
      <c r="E45" s="81"/>
      <c r="F45" s="81"/>
      <c r="G45" s="81"/>
      <c r="H45" s="81"/>
      <c r="I45" s="81"/>
      <c r="J45" s="71"/>
      <c r="K45" s="71"/>
      <c r="L45" s="71"/>
      <c r="M45" s="71"/>
      <c r="N45" s="81"/>
      <c r="O45" s="87"/>
    </row>
  </sheetData>
  <mergeCells count="4">
    <mergeCell ref="A1:N1"/>
    <mergeCell ref="B44:E44"/>
    <mergeCell ref="I44:N44"/>
    <mergeCell ref="A3:J3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1FCD-21AA-40DD-BCCB-514D4CD38E73}">
  <sheetPr>
    <tabColor rgb="FF7030A0"/>
  </sheetPr>
  <dimension ref="A1:Q49"/>
  <sheetViews>
    <sheetView workbookViewId="0">
      <pane ySplit="2" topLeftCell="A3" activePane="bottomLeft" state="frozen"/>
      <selection pane="bottomLeft" activeCell="M34" sqref="M34"/>
    </sheetView>
  </sheetViews>
  <sheetFormatPr defaultColWidth="9.140625" defaultRowHeight="15"/>
  <cols>
    <col min="1" max="1" width="6.140625" bestFit="1" customWidth="1"/>
    <col min="2" max="2" width="11.5703125" customWidth="1"/>
    <col min="3" max="3" width="8" bestFit="1" customWidth="1"/>
    <col min="4" max="4" width="15.5703125" customWidth="1"/>
    <col min="5" max="5" width="10.85546875" bestFit="1" customWidth="1"/>
    <col min="6" max="7" width="11.85546875" bestFit="1" customWidth="1"/>
    <col min="8" max="8" width="10.7109375" bestFit="1" customWidth="1"/>
    <col min="9" max="9" width="8.140625" bestFit="1" customWidth="1"/>
    <col min="10" max="10" width="10.85546875" bestFit="1" customWidth="1"/>
    <col min="11" max="12" width="13.5703125" bestFit="1" customWidth="1"/>
    <col min="13" max="13" width="13.5703125" customWidth="1"/>
    <col min="14" max="14" width="17.7109375" bestFit="1" customWidth="1"/>
    <col min="15" max="15" width="7.140625" customWidth="1"/>
    <col min="16" max="16" width="9.7109375" customWidth="1"/>
    <col min="17" max="17" width="11.28515625" bestFit="1" customWidth="1"/>
  </cols>
  <sheetData>
    <row r="1" spans="1:15" ht="15.75">
      <c r="A1" s="419" t="s">
        <v>64</v>
      </c>
      <c r="B1" s="419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65"/>
    </row>
    <row r="2" spans="1:15" ht="18" customHeight="1">
      <c r="A2" s="76" t="s">
        <v>105</v>
      </c>
      <c r="B2" s="96" t="s">
        <v>106</v>
      </c>
      <c r="C2" s="96" t="s">
        <v>107</v>
      </c>
      <c r="D2" s="96" t="s">
        <v>108</v>
      </c>
      <c r="E2" s="96" t="s">
        <v>109</v>
      </c>
      <c r="F2" s="96" t="s">
        <v>110</v>
      </c>
      <c r="G2" s="96" t="s">
        <v>111</v>
      </c>
      <c r="H2" s="96" t="s">
        <v>112</v>
      </c>
      <c r="I2" s="96" t="s">
        <v>110</v>
      </c>
      <c r="J2" s="97" t="s">
        <v>111</v>
      </c>
      <c r="K2" s="76" t="s">
        <v>113</v>
      </c>
      <c r="L2" s="98" t="s">
        <v>114</v>
      </c>
      <c r="M2" s="186" t="s">
        <v>120</v>
      </c>
      <c r="N2" s="96" t="s">
        <v>116</v>
      </c>
      <c r="O2" s="71"/>
    </row>
    <row r="3" spans="1:15" ht="18" customHeight="1">
      <c r="A3" s="164"/>
      <c r="B3" s="165"/>
      <c r="C3" s="165"/>
      <c r="D3" s="147" t="s">
        <v>117</v>
      </c>
      <c r="E3" s="165"/>
      <c r="F3" s="165"/>
      <c r="G3" s="165"/>
      <c r="H3" s="165"/>
      <c r="I3" s="165"/>
      <c r="J3" s="166"/>
      <c r="K3" s="332">
        <v>0</v>
      </c>
      <c r="L3" s="167">
        <v>0</v>
      </c>
      <c r="M3" s="167">
        <v>167921.802</v>
      </c>
      <c r="N3" s="165"/>
      <c r="O3" s="71"/>
    </row>
    <row r="4" spans="1:15">
      <c r="A4" s="55">
        <v>1</v>
      </c>
      <c r="B4" s="235">
        <v>45839</v>
      </c>
      <c r="C4" s="27"/>
      <c r="D4" s="27"/>
      <c r="E4" s="8">
        <v>0</v>
      </c>
      <c r="F4" s="8">
        <v>0</v>
      </c>
      <c r="G4" s="8">
        <f>E4*F4</f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67">
        <v>0</v>
      </c>
      <c r="M4" s="8">
        <f>M3+K4-L4</f>
        <v>167921.802</v>
      </c>
      <c r="N4" s="53"/>
      <c r="O4" s="1"/>
    </row>
    <row r="5" spans="1:15">
      <c r="A5" s="55">
        <v>2</v>
      </c>
      <c r="B5" s="235">
        <v>45840</v>
      </c>
      <c r="C5" s="27"/>
      <c r="D5" s="27"/>
      <c r="E5" s="8">
        <v>73.010000000000005</v>
      </c>
      <c r="F5" s="8">
        <v>91.47</v>
      </c>
      <c r="G5" s="8">
        <f t="shared" ref="G5:G34" si="0">E5*F5</f>
        <v>6678.2247000000007</v>
      </c>
      <c r="H5" s="9">
        <v>0</v>
      </c>
      <c r="I5" s="9">
        <v>0</v>
      </c>
      <c r="J5" s="8">
        <f t="shared" ref="J5:J34" si="1">H5*I5</f>
        <v>0</v>
      </c>
      <c r="K5" s="8">
        <f t="shared" ref="K5:K34" si="2">G5+J5</f>
        <v>6678.2247000000007</v>
      </c>
      <c r="L5" s="379">
        <f>100000+67847</f>
        <v>167847</v>
      </c>
      <c r="M5" s="8">
        <f t="shared" ref="M5:M34" si="3">M4+K5-L5</f>
        <v>6753.0266999999876</v>
      </c>
      <c r="N5" s="53"/>
      <c r="O5" s="1"/>
    </row>
    <row r="6" spans="1:15">
      <c r="A6" s="55">
        <v>3</v>
      </c>
      <c r="B6" s="235">
        <v>45841</v>
      </c>
      <c r="C6" s="27"/>
      <c r="D6" s="27"/>
      <c r="E6" s="8">
        <v>0</v>
      </c>
      <c r="F6" s="8">
        <v>0</v>
      </c>
      <c r="G6" s="8">
        <f t="shared" si="0"/>
        <v>0</v>
      </c>
      <c r="H6" s="9">
        <v>0</v>
      </c>
      <c r="I6" s="9">
        <v>0</v>
      </c>
      <c r="J6" s="8">
        <f t="shared" si="1"/>
        <v>0</v>
      </c>
      <c r="K6" s="8">
        <f t="shared" si="2"/>
        <v>0</v>
      </c>
      <c r="L6" s="167">
        <v>0</v>
      </c>
      <c r="M6" s="8">
        <f t="shared" si="3"/>
        <v>6753.0266999999876</v>
      </c>
      <c r="N6" s="53"/>
      <c r="O6" s="1"/>
    </row>
    <row r="7" spans="1:15">
      <c r="A7" s="55">
        <v>4</v>
      </c>
      <c r="B7" s="235">
        <v>45842</v>
      </c>
      <c r="C7" s="27"/>
      <c r="D7" s="27"/>
      <c r="E7" s="8">
        <v>0</v>
      </c>
      <c r="F7" s="8">
        <v>0</v>
      </c>
      <c r="G7" s="8">
        <f t="shared" si="0"/>
        <v>0</v>
      </c>
      <c r="H7" s="9">
        <v>0</v>
      </c>
      <c r="I7" s="9">
        <v>0</v>
      </c>
      <c r="J7" s="8">
        <f t="shared" si="1"/>
        <v>0</v>
      </c>
      <c r="K7" s="8">
        <f t="shared" si="2"/>
        <v>0</v>
      </c>
      <c r="L7" s="167">
        <v>0</v>
      </c>
      <c r="M7" s="8">
        <f t="shared" si="3"/>
        <v>6753.0266999999876</v>
      </c>
      <c r="N7" s="53"/>
      <c r="O7" s="1"/>
    </row>
    <row r="8" spans="1:15">
      <c r="A8" s="55">
        <v>5</v>
      </c>
      <c r="B8" s="235">
        <v>45843</v>
      </c>
      <c r="C8" s="27"/>
      <c r="D8" s="27"/>
      <c r="E8" s="8">
        <v>100</v>
      </c>
      <c r="F8" s="8">
        <v>91.47</v>
      </c>
      <c r="G8" s="8">
        <f t="shared" si="0"/>
        <v>9147</v>
      </c>
      <c r="H8" s="9">
        <v>14.03</v>
      </c>
      <c r="I8" s="9">
        <v>103.4</v>
      </c>
      <c r="J8" s="8">
        <f t="shared" si="1"/>
        <v>1450.702</v>
      </c>
      <c r="K8" s="8">
        <f t="shared" si="2"/>
        <v>10597.701999999999</v>
      </c>
      <c r="L8" s="167">
        <v>0</v>
      </c>
      <c r="M8" s="8">
        <f t="shared" si="3"/>
        <v>17350.728699999985</v>
      </c>
      <c r="N8" s="53"/>
      <c r="O8" s="1"/>
    </row>
    <row r="9" spans="1:15">
      <c r="A9" s="55">
        <v>6</v>
      </c>
      <c r="B9" s="235">
        <v>45844</v>
      </c>
      <c r="C9" s="27"/>
      <c r="D9" s="27"/>
      <c r="E9" s="8">
        <v>0</v>
      </c>
      <c r="F9" s="8">
        <v>0</v>
      </c>
      <c r="G9" s="8">
        <f t="shared" si="0"/>
        <v>0</v>
      </c>
      <c r="H9" s="9">
        <v>0</v>
      </c>
      <c r="I9" s="9">
        <v>0</v>
      </c>
      <c r="J9" s="8">
        <f t="shared" si="1"/>
        <v>0</v>
      </c>
      <c r="K9" s="8">
        <f t="shared" si="2"/>
        <v>0</v>
      </c>
      <c r="L9" s="167">
        <v>0</v>
      </c>
      <c r="M9" s="8">
        <f t="shared" si="3"/>
        <v>17350.728699999985</v>
      </c>
      <c r="N9" s="53"/>
      <c r="O9" s="1"/>
    </row>
    <row r="10" spans="1:15">
      <c r="A10" s="55">
        <v>7</v>
      </c>
      <c r="B10" s="235">
        <v>45845</v>
      </c>
      <c r="C10" s="27"/>
      <c r="D10" s="27"/>
      <c r="E10" s="8">
        <v>0</v>
      </c>
      <c r="F10" s="8">
        <v>0</v>
      </c>
      <c r="G10" s="8">
        <f t="shared" si="0"/>
        <v>0</v>
      </c>
      <c r="H10" s="9">
        <v>0</v>
      </c>
      <c r="I10" s="9">
        <v>0</v>
      </c>
      <c r="J10" s="8">
        <f t="shared" si="1"/>
        <v>0</v>
      </c>
      <c r="K10" s="8">
        <f t="shared" si="2"/>
        <v>0</v>
      </c>
      <c r="L10" s="167">
        <v>0</v>
      </c>
      <c r="M10" s="8">
        <f t="shared" si="3"/>
        <v>17350.728699999985</v>
      </c>
      <c r="N10" s="53"/>
      <c r="O10" s="1"/>
    </row>
    <row r="11" spans="1:15">
      <c r="A11" s="55">
        <v>8</v>
      </c>
      <c r="B11" s="235">
        <v>45846</v>
      </c>
      <c r="C11" s="27"/>
      <c r="D11" s="27"/>
      <c r="E11" s="8">
        <v>220.21</v>
      </c>
      <c r="F11" s="8">
        <v>91.47</v>
      </c>
      <c r="G11" s="8">
        <f t="shared" si="0"/>
        <v>20142.608700000001</v>
      </c>
      <c r="H11" s="9">
        <v>0</v>
      </c>
      <c r="I11" s="9">
        <v>0</v>
      </c>
      <c r="J11" s="8">
        <f t="shared" si="1"/>
        <v>0</v>
      </c>
      <c r="K11" s="8">
        <f t="shared" si="2"/>
        <v>20142.608700000001</v>
      </c>
      <c r="L11" s="167">
        <v>0</v>
      </c>
      <c r="M11" s="8">
        <f t="shared" si="3"/>
        <v>37493.337399999989</v>
      </c>
      <c r="N11" s="53"/>
      <c r="O11" s="1"/>
    </row>
    <row r="12" spans="1:15">
      <c r="A12" s="55">
        <v>9</v>
      </c>
      <c r="B12" s="235">
        <v>45847</v>
      </c>
      <c r="C12" s="27"/>
      <c r="D12" s="27"/>
      <c r="E12" s="8">
        <v>0</v>
      </c>
      <c r="F12" s="8">
        <v>0</v>
      </c>
      <c r="G12" s="8">
        <f t="shared" si="0"/>
        <v>0</v>
      </c>
      <c r="H12" s="9">
        <v>5</v>
      </c>
      <c r="I12" s="9">
        <v>103.4</v>
      </c>
      <c r="J12" s="8">
        <f t="shared" si="1"/>
        <v>517</v>
      </c>
      <c r="K12" s="8">
        <f t="shared" si="2"/>
        <v>517</v>
      </c>
      <c r="L12" s="167">
        <v>0</v>
      </c>
      <c r="M12" s="8">
        <f t="shared" si="3"/>
        <v>38010.337399999989</v>
      </c>
      <c r="N12" s="53"/>
      <c r="O12" s="1" t="s">
        <v>118</v>
      </c>
    </row>
    <row r="13" spans="1:15">
      <c r="A13" s="55">
        <v>10</v>
      </c>
      <c r="B13" s="235">
        <v>45848</v>
      </c>
      <c r="C13" s="27"/>
      <c r="D13" s="27"/>
      <c r="E13" s="8">
        <v>117.01</v>
      </c>
      <c r="F13" s="8">
        <v>91.47</v>
      </c>
      <c r="G13" s="8">
        <f t="shared" si="0"/>
        <v>10702.904700000001</v>
      </c>
      <c r="H13" s="9">
        <v>0</v>
      </c>
      <c r="I13" s="9">
        <v>0</v>
      </c>
      <c r="J13" s="8">
        <f t="shared" si="1"/>
        <v>0</v>
      </c>
      <c r="K13" s="8">
        <f t="shared" si="2"/>
        <v>10702.904700000001</v>
      </c>
      <c r="L13" s="167">
        <v>0</v>
      </c>
      <c r="M13" s="8">
        <f t="shared" si="3"/>
        <v>48713.242099999989</v>
      </c>
      <c r="N13" s="53"/>
      <c r="O13" s="1"/>
    </row>
    <row r="14" spans="1:15">
      <c r="A14" s="55">
        <v>11</v>
      </c>
      <c r="B14" s="235">
        <v>45849</v>
      </c>
      <c r="C14" s="27"/>
      <c r="D14" s="27"/>
      <c r="E14" s="8">
        <v>0</v>
      </c>
      <c r="F14" s="8">
        <v>91.47</v>
      </c>
      <c r="G14" s="8">
        <f t="shared" si="0"/>
        <v>0</v>
      </c>
      <c r="H14" s="9">
        <v>0</v>
      </c>
      <c r="I14" s="9">
        <v>0</v>
      </c>
      <c r="J14" s="8">
        <f t="shared" si="1"/>
        <v>0</v>
      </c>
      <c r="K14" s="8">
        <f t="shared" si="2"/>
        <v>0</v>
      </c>
      <c r="L14" s="167">
        <v>0</v>
      </c>
      <c r="M14" s="8">
        <f t="shared" si="3"/>
        <v>48713.242099999989</v>
      </c>
      <c r="N14" s="53"/>
      <c r="O14" s="1"/>
    </row>
    <row r="15" spans="1:15">
      <c r="A15" s="55">
        <v>12</v>
      </c>
      <c r="B15" s="235">
        <v>45850</v>
      </c>
      <c r="C15" s="27"/>
      <c r="D15" s="27"/>
      <c r="E15" s="8">
        <v>46</v>
      </c>
      <c r="F15" s="8">
        <v>91.47</v>
      </c>
      <c r="G15" s="8">
        <f t="shared" si="0"/>
        <v>4207.62</v>
      </c>
      <c r="H15" s="9">
        <v>0</v>
      </c>
      <c r="I15" s="9">
        <v>0</v>
      </c>
      <c r="J15" s="8">
        <f t="shared" si="1"/>
        <v>0</v>
      </c>
      <c r="K15" s="8">
        <f t="shared" si="2"/>
        <v>4207.62</v>
      </c>
      <c r="L15" s="167">
        <v>0</v>
      </c>
      <c r="M15" s="8">
        <f t="shared" si="3"/>
        <v>52920.862099999991</v>
      </c>
      <c r="N15" s="53"/>
      <c r="O15" s="1"/>
    </row>
    <row r="16" spans="1:15">
      <c r="A16" s="55">
        <v>13</v>
      </c>
      <c r="B16" s="235">
        <v>45851</v>
      </c>
      <c r="C16" s="27"/>
      <c r="D16" s="27"/>
      <c r="E16" s="8">
        <v>48.24</v>
      </c>
      <c r="F16" s="8">
        <v>91.47</v>
      </c>
      <c r="G16" s="8">
        <f t="shared" si="0"/>
        <v>4412.5128000000004</v>
      </c>
      <c r="H16" s="9">
        <v>6</v>
      </c>
      <c r="I16" s="9">
        <v>103.4</v>
      </c>
      <c r="J16" s="8">
        <f t="shared" si="1"/>
        <v>620.40000000000009</v>
      </c>
      <c r="K16" s="8">
        <f t="shared" si="2"/>
        <v>5032.9128000000001</v>
      </c>
      <c r="L16" s="167">
        <v>0</v>
      </c>
      <c r="M16" s="8">
        <f>M15+K16-L16</f>
        <v>57953.774899999989</v>
      </c>
      <c r="N16" s="53"/>
      <c r="O16" s="1"/>
    </row>
    <row r="17" spans="1:15">
      <c r="A17" s="55">
        <v>14</v>
      </c>
      <c r="B17" s="235">
        <v>45852</v>
      </c>
      <c r="C17" s="27"/>
      <c r="D17" s="27"/>
      <c r="E17" s="8">
        <v>55.09</v>
      </c>
      <c r="F17" s="8">
        <v>91.47</v>
      </c>
      <c r="G17" s="8">
        <f t="shared" si="0"/>
        <v>5039.0823</v>
      </c>
      <c r="H17" s="9">
        <v>0</v>
      </c>
      <c r="I17" s="9">
        <v>0</v>
      </c>
      <c r="J17" s="8">
        <f t="shared" si="1"/>
        <v>0</v>
      </c>
      <c r="K17" s="8">
        <f t="shared" si="2"/>
        <v>5039.0823</v>
      </c>
      <c r="L17" s="167">
        <v>0</v>
      </c>
      <c r="M17" s="8">
        <f>M16+K17-L17</f>
        <v>62992.857199999991</v>
      </c>
      <c r="N17" s="53"/>
      <c r="O17" s="1"/>
    </row>
    <row r="18" spans="1:15">
      <c r="A18" s="55">
        <v>15</v>
      </c>
      <c r="B18" s="235">
        <v>45853</v>
      </c>
      <c r="C18" s="27"/>
      <c r="D18" s="27"/>
      <c r="E18" s="8">
        <v>100</v>
      </c>
      <c r="F18" s="8">
        <v>91.47</v>
      </c>
      <c r="G18" s="8">
        <f t="shared" si="0"/>
        <v>9147</v>
      </c>
      <c r="H18" s="9">
        <v>0</v>
      </c>
      <c r="I18" s="9">
        <v>0</v>
      </c>
      <c r="J18" s="8">
        <f t="shared" si="1"/>
        <v>0</v>
      </c>
      <c r="K18" s="8">
        <f t="shared" si="2"/>
        <v>9147</v>
      </c>
      <c r="L18" s="167">
        <v>53000</v>
      </c>
      <c r="M18" s="8">
        <f t="shared" si="3"/>
        <v>19139.857199999999</v>
      </c>
      <c r="N18" s="53"/>
      <c r="O18" s="1"/>
    </row>
    <row r="19" spans="1:15">
      <c r="A19" s="55">
        <v>16</v>
      </c>
      <c r="B19" s="235">
        <v>45854</v>
      </c>
      <c r="C19" s="27"/>
      <c r="D19" s="27"/>
      <c r="E19" s="8">
        <v>29.77</v>
      </c>
      <c r="F19" s="8">
        <v>91.47</v>
      </c>
      <c r="G19" s="8">
        <f t="shared" si="0"/>
        <v>2723.0619000000002</v>
      </c>
      <c r="H19" s="9">
        <v>9.83</v>
      </c>
      <c r="I19" s="9">
        <v>103.4</v>
      </c>
      <c r="J19" s="8">
        <f t="shared" si="1"/>
        <v>1016.422</v>
      </c>
      <c r="K19" s="8">
        <f t="shared" si="2"/>
        <v>3739.4839000000002</v>
      </c>
      <c r="L19" s="167">
        <v>0</v>
      </c>
      <c r="M19" s="8">
        <f t="shared" si="3"/>
        <v>22879.341099999998</v>
      </c>
      <c r="N19" s="53"/>
      <c r="O19" s="1"/>
    </row>
    <row r="20" spans="1:15">
      <c r="A20" s="55">
        <v>17</v>
      </c>
      <c r="B20" s="235">
        <v>45855</v>
      </c>
      <c r="C20" s="27"/>
      <c r="D20" s="27"/>
      <c r="E20" s="8">
        <v>54.01</v>
      </c>
      <c r="F20" s="8">
        <v>91.47</v>
      </c>
      <c r="G20" s="8">
        <f t="shared" si="0"/>
        <v>4940.2946999999995</v>
      </c>
      <c r="H20" s="9">
        <v>6</v>
      </c>
      <c r="I20" s="9">
        <v>103.4</v>
      </c>
      <c r="J20" s="8">
        <f t="shared" si="1"/>
        <v>620.40000000000009</v>
      </c>
      <c r="K20" s="8">
        <f t="shared" si="2"/>
        <v>5560.6947</v>
      </c>
      <c r="L20" s="167">
        <v>0</v>
      </c>
      <c r="M20" s="8">
        <f t="shared" si="3"/>
        <v>28440.035799999998</v>
      </c>
      <c r="N20" s="53"/>
      <c r="O20" s="1"/>
    </row>
    <row r="21" spans="1:15">
      <c r="A21" s="55">
        <v>18</v>
      </c>
      <c r="B21" s="235">
        <v>45856</v>
      </c>
      <c r="C21" s="27"/>
      <c r="D21" s="27"/>
      <c r="E21" s="8">
        <v>40</v>
      </c>
      <c r="F21" s="8">
        <v>91.47</v>
      </c>
      <c r="G21" s="8">
        <f t="shared" si="0"/>
        <v>3658.8</v>
      </c>
      <c r="H21" s="9">
        <v>0</v>
      </c>
      <c r="I21" s="9">
        <v>103.4</v>
      </c>
      <c r="J21" s="8">
        <f t="shared" si="1"/>
        <v>0</v>
      </c>
      <c r="K21" s="8">
        <f t="shared" si="2"/>
        <v>3658.8</v>
      </c>
      <c r="L21" s="167">
        <v>0</v>
      </c>
      <c r="M21" s="8">
        <f>M20+K21-L21</f>
        <v>32098.835799999997</v>
      </c>
      <c r="N21" s="53"/>
      <c r="O21" s="1"/>
    </row>
    <row r="22" spans="1:15">
      <c r="A22" s="55">
        <v>19</v>
      </c>
      <c r="B22" s="235">
        <v>45857</v>
      </c>
      <c r="C22" s="27"/>
      <c r="D22" s="27"/>
      <c r="E22" s="8">
        <v>0</v>
      </c>
      <c r="F22" s="8">
        <v>91.47</v>
      </c>
      <c r="G22" s="8">
        <f t="shared" si="0"/>
        <v>0</v>
      </c>
      <c r="H22" s="9">
        <v>8.2200000000000006</v>
      </c>
      <c r="I22" s="9">
        <v>103.4</v>
      </c>
      <c r="J22" s="8">
        <f t="shared" si="1"/>
        <v>849.94800000000009</v>
      </c>
      <c r="K22" s="8">
        <f t="shared" si="2"/>
        <v>849.94800000000009</v>
      </c>
      <c r="L22" s="167">
        <v>0</v>
      </c>
      <c r="M22" s="8">
        <f t="shared" si="3"/>
        <v>32948.783799999997</v>
      </c>
      <c r="N22" s="53"/>
      <c r="O22" s="1"/>
    </row>
    <row r="23" spans="1:15">
      <c r="A23" s="55">
        <v>20</v>
      </c>
      <c r="B23" s="235">
        <v>45858</v>
      </c>
      <c r="C23" s="27"/>
      <c r="D23" s="27"/>
      <c r="E23" s="8">
        <v>0</v>
      </c>
      <c r="F23" s="8">
        <v>91.47</v>
      </c>
      <c r="G23" s="8">
        <f t="shared" si="0"/>
        <v>0</v>
      </c>
      <c r="H23" s="9">
        <v>1</v>
      </c>
      <c r="I23" s="9">
        <v>103.4</v>
      </c>
      <c r="J23" s="8">
        <f t="shared" si="1"/>
        <v>103.4</v>
      </c>
      <c r="K23" s="8">
        <f t="shared" si="2"/>
        <v>103.4</v>
      </c>
      <c r="L23" s="167">
        <v>0</v>
      </c>
      <c r="M23" s="8">
        <f t="shared" si="3"/>
        <v>33052.183799999999</v>
      </c>
      <c r="N23" s="53"/>
      <c r="O23" s="1"/>
    </row>
    <row r="24" spans="1:15">
      <c r="A24" s="55">
        <v>21</v>
      </c>
      <c r="B24" s="235">
        <v>45859</v>
      </c>
      <c r="C24" s="27"/>
      <c r="D24" s="27"/>
      <c r="E24" s="8">
        <v>82</v>
      </c>
      <c r="F24" s="8">
        <v>91.47</v>
      </c>
      <c r="G24" s="8">
        <f t="shared" si="0"/>
        <v>7500.54</v>
      </c>
      <c r="H24" s="9">
        <v>7.08</v>
      </c>
      <c r="I24" s="9">
        <v>103.4</v>
      </c>
      <c r="J24" s="8">
        <f t="shared" si="1"/>
        <v>732.072</v>
      </c>
      <c r="K24" s="8">
        <f t="shared" si="2"/>
        <v>8232.6119999999992</v>
      </c>
      <c r="L24" s="167">
        <v>0</v>
      </c>
      <c r="M24" s="8">
        <f t="shared" si="3"/>
        <v>41284.7958</v>
      </c>
      <c r="N24" s="53"/>
      <c r="O24" s="1"/>
    </row>
    <row r="25" spans="1:15">
      <c r="A25" s="55">
        <v>22</v>
      </c>
      <c r="B25" s="235">
        <v>45860</v>
      </c>
      <c r="C25" s="27"/>
      <c r="D25" s="27"/>
      <c r="E25" s="8">
        <v>0</v>
      </c>
      <c r="F25" s="8">
        <v>0</v>
      </c>
      <c r="G25" s="8">
        <f t="shared" si="0"/>
        <v>0</v>
      </c>
      <c r="H25" s="9">
        <v>6.31</v>
      </c>
      <c r="I25" s="9">
        <v>103.4</v>
      </c>
      <c r="J25" s="8">
        <f t="shared" si="1"/>
        <v>652.45399999999995</v>
      </c>
      <c r="K25" s="8">
        <f t="shared" si="2"/>
        <v>652.45399999999995</v>
      </c>
      <c r="L25" s="167">
        <v>0</v>
      </c>
      <c r="M25" s="8">
        <f t="shared" si="3"/>
        <v>41937.249799999998</v>
      </c>
      <c r="N25" s="53"/>
      <c r="O25" s="1"/>
    </row>
    <row r="26" spans="1:15">
      <c r="A26" s="55">
        <v>23</v>
      </c>
      <c r="B26" s="235">
        <v>45861</v>
      </c>
      <c r="C26" s="27"/>
      <c r="D26" s="27"/>
      <c r="E26" s="8">
        <v>0</v>
      </c>
      <c r="F26" s="8">
        <v>0</v>
      </c>
      <c r="G26" s="8">
        <f t="shared" si="0"/>
        <v>0</v>
      </c>
      <c r="H26" s="9">
        <v>0</v>
      </c>
      <c r="I26" s="9">
        <v>0</v>
      </c>
      <c r="J26" s="8">
        <f t="shared" si="1"/>
        <v>0</v>
      </c>
      <c r="K26" s="8">
        <f t="shared" si="2"/>
        <v>0</v>
      </c>
      <c r="L26" s="167">
        <v>0</v>
      </c>
      <c r="M26" s="8">
        <f t="shared" si="3"/>
        <v>41937.249799999998</v>
      </c>
      <c r="N26" s="53"/>
      <c r="O26" s="1"/>
    </row>
    <row r="27" spans="1:15">
      <c r="A27" s="55">
        <v>24</v>
      </c>
      <c r="B27" s="235">
        <v>45862</v>
      </c>
      <c r="C27" s="27"/>
      <c r="D27" s="27"/>
      <c r="E27" s="8">
        <v>117.01</v>
      </c>
      <c r="F27" s="8">
        <v>91.47</v>
      </c>
      <c r="G27" s="8">
        <f t="shared" si="0"/>
        <v>10702.904700000001</v>
      </c>
      <c r="H27" s="9">
        <v>0</v>
      </c>
      <c r="I27" s="9">
        <v>0</v>
      </c>
      <c r="J27" s="8">
        <f t="shared" si="1"/>
        <v>0</v>
      </c>
      <c r="K27" s="8">
        <f t="shared" si="2"/>
        <v>10702.904700000001</v>
      </c>
      <c r="L27" s="167">
        <v>0</v>
      </c>
      <c r="M27" s="8">
        <f t="shared" si="3"/>
        <v>52640.154499999997</v>
      </c>
      <c r="N27" s="53"/>
      <c r="O27" s="1"/>
    </row>
    <row r="28" spans="1:15">
      <c r="A28" s="55">
        <v>25</v>
      </c>
      <c r="B28" s="235">
        <v>45863</v>
      </c>
      <c r="C28" s="27"/>
      <c r="D28" s="27"/>
      <c r="E28" s="8">
        <v>44</v>
      </c>
      <c r="F28" s="8">
        <v>91.47</v>
      </c>
      <c r="G28" s="8">
        <f t="shared" si="0"/>
        <v>4024.68</v>
      </c>
      <c r="H28" s="9">
        <v>0</v>
      </c>
      <c r="I28" s="9">
        <v>0</v>
      </c>
      <c r="J28" s="8">
        <f t="shared" si="1"/>
        <v>0</v>
      </c>
      <c r="K28" s="8">
        <f t="shared" si="2"/>
        <v>4024.68</v>
      </c>
      <c r="L28" s="167">
        <v>0</v>
      </c>
      <c r="M28" s="8">
        <f t="shared" si="3"/>
        <v>56664.834499999997</v>
      </c>
      <c r="N28" s="53"/>
      <c r="O28" s="1"/>
    </row>
    <row r="29" spans="1:15">
      <c r="A29" s="55">
        <v>26</v>
      </c>
      <c r="B29" s="235">
        <v>45864</v>
      </c>
      <c r="C29" s="27"/>
      <c r="D29" s="27"/>
      <c r="E29" s="8">
        <v>10</v>
      </c>
      <c r="F29" s="8">
        <v>91.47</v>
      </c>
      <c r="G29" s="8">
        <f t="shared" si="0"/>
        <v>914.7</v>
      </c>
      <c r="H29" s="9">
        <v>0</v>
      </c>
      <c r="I29" s="9">
        <v>0</v>
      </c>
      <c r="J29" s="8">
        <f t="shared" si="1"/>
        <v>0</v>
      </c>
      <c r="K29" s="8">
        <f t="shared" si="2"/>
        <v>914.7</v>
      </c>
      <c r="L29" s="167">
        <v>0</v>
      </c>
      <c r="M29" s="8">
        <f t="shared" si="3"/>
        <v>57579.534499999994</v>
      </c>
      <c r="N29" s="53"/>
      <c r="O29" s="1"/>
    </row>
    <row r="30" spans="1:15">
      <c r="A30" s="55">
        <v>27</v>
      </c>
      <c r="B30" s="235">
        <v>45865</v>
      </c>
      <c r="C30" s="27"/>
      <c r="D30" s="27"/>
      <c r="E30" s="8">
        <v>34.51</v>
      </c>
      <c r="F30" s="8">
        <v>91.47</v>
      </c>
      <c r="G30" s="8">
        <f t="shared" si="0"/>
        <v>3156.6297</v>
      </c>
      <c r="H30" s="9">
        <v>0</v>
      </c>
      <c r="I30" s="9">
        <v>0</v>
      </c>
      <c r="J30" s="8">
        <f t="shared" si="1"/>
        <v>0</v>
      </c>
      <c r="K30" s="8">
        <f t="shared" si="2"/>
        <v>3156.6297</v>
      </c>
      <c r="L30" s="167">
        <v>46837</v>
      </c>
      <c r="M30" s="8">
        <f t="shared" si="3"/>
        <v>13899.164199999992</v>
      </c>
      <c r="N30" s="53"/>
      <c r="O30" s="1"/>
    </row>
    <row r="31" spans="1:15">
      <c r="A31" s="55">
        <v>28</v>
      </c>
      <c r="B31" s="235">
        <v>45866</v>
      </c>
      <c r="C31" s="27"/>
      <c r="D31" s="27"/>
      <c r="E31" s="8">
        <v>50.01</v>
      </c>
      <c r="F31" s="8">
        <v>91.47</v>
      </c>
      <c r="G31" s="8">
        <f t="shared" si="0"/>
        <v>4574.4146999999994</v>
      </c>
      <c r="H31" s="9">
        <v>0</v>
      </c>
      <c r="I31" s="9">
        <v>0</v>
      </c>
      <c r="J31" s="8">
        <f t="shared" si="1"/>
        <v>0</v>
      </c>
      <c r="K31" s="8">
        <f t="shared" si="2"/>
        <v>4574.4146999999994</v>
      </c>
      <c r="L31" s="167">
        <v>0</v>
      </c>
      <c r="M31" s="285">
        <f t="shared" si="3"/>
        <v>18473.578899999993</v>
      </c>
      <c r="N31" s="53"/>
      <c r="O31" s="1"/>
    </row>
    <row r="32" spans="1:15">
      <c r="A32" s="229">
        <v>29</v>
      </c>
      <c r="B32" s="235">
        <v>45867</v>
      </c>
      <c r="C32" s="27"/>
      <c r="D32" s="27"/>
      <c r="E32" s="8">
        <v>48.01</v>
      </c>
      <c r="F32" s="8">
        <v>91.47</v>
      </c>
      <c r="G32" s="8">
        <f t="shared" si="0"/>
        <v>4391.4746999999998</v>
      </c>
      <c r="H32" s="9">
        <v>0</v>
      </c>
      <c r="I32" s="9">
        <v>0</v>
      </c>
      <c r="J32" s="8">
        <f t="shared" si="1"/>
        <v>0</v>
      </c>
      <c r="K32" s="8">
        <f t="shared" si="2"/>
        <v>4391.4746999999998</v>
      </c>
      <c r="L32" s="167">
        <v>0</v>
      </c>
      <c r="M32" s="285">
        <f t="shared" si="3"/>
        <v>22865.053599999992</v>
      </c>
      <c r="N32" s="53"/>
      <c r="O32" s="1"/>
    </row>
    <row r="33" spans="1:17">
      <c r="A33" s="229">
        <v>30</v>
      </c>
      <c r="B33" s="235">
        <v>45868</v>
      </c>
      <c r="C33" s="27"/>
      <c r="D33" s="27"/>
      <c r="E33" s="8">
        <v>51</v>
      </c>
      <c r="F33" s="8">
        <v>91.47</v>
      </c>
      <c r="G33" s="8">
        <f t="shared" si="0"/>
        <v>4664.97</v>
      </c>
      <c r="H33" s="9">
        <v>10</v>
      </c>
      <c r="I33" s="9">
        <v>103.4</v>
      </c>
      <c r="J33" s="8">
        <f t="shared" si="1"/>
        <v>1034</v>
      </c>
      <c r="K33" s="8">
        <f t="shared" si="2"/>
        <v>5698.97</v>
      </c>
      <c r="L33" s="167">
        <v>0</v>
      </c>
      <c r="M33" s="285">
        <f t="shared" si="3"/>
        <v>28564.023599999993</v>
      </c>
      <c r="N33" s="53"/>
      <c r="O33" s="1"/>
      <c r="Q33">
        <f>35000-8000</f>
        <v>27000</v>
      </c>
    </row>
    <row r="34" spans="1:17">
      <c r="A34" s="229">
        <v>31</v>
      </c>
      <c r="B34" s="235">
        <v>45869</v>
      </c>
      <c r="C34" s="27"/>
      <c r="D34" s="27"/>
      <c r="E34" s="8">
        <v>70</v>
      </c>
      <c r="F34" s="8">
        <v>91.47</v>
      </c>
      <c r="G34" s="8">
        <f t="shared" si="0"/>
        <v>6402.9</v>
      </c>
      <c r="H34" s="9">
        <v>5.41</v>
      </c>
      <c r="I34" s="9">
        <v>103.4</v>
      </c>
      <c r="J34" s="8">
        <f t="shared" si="1"/>
        <v>559.39400000000001</v>
      </c>
      <c r="K34" s="8">
        <f t="shared" si="2"/>
        <v>6962.2939999999999</v>
      </c>
      <c r="L34" s="167">
        <v>0</v>
      </c>
      <c r="M34" s="285">
        <f t="shared" si="3"/>
        <v>35526.317599999995</v>
      </c>
      <c r="N34" s="53"/>
      <c r="O34" s="1"/>
    </row>
    <row r="35" spans="1:17">
      <c r="A35" s="74"/>
      <c r="B35" s="74"/>
      <c r="C35" s="74"/>
      <c r="D35" s="74"/>
      <c r="E35" s="75">
        <f>SUM(E4:E34)</f>
        <v>1389.88</v>
      </c>
      <c r="F35" s="75"/>
      <c r="G35" s="75">
        <f>SUM(G4:G34)</f>
        <v>127132.3236</v>
      </c>
      <c r="H35" s="75">
        <f>SUM(H4:H34)</f>
        <v>78.88</v>
      </c>
      <c r="I35" s="75"/>
      <c r="J35" s="75">
        <f>SUM(J4:J34)</f>
        <v>8156.192</v>
      </c>
      <c r="K35" s="75">
        <f>SUM(K4:K34)</f>
        <v>135288.51560000001</v>
      </c>
      <c r="L35" s="75">
        <f>SUM(L4:L34)</f>
        <v>267684</v>
      </c>
      <c r="M35" s="75"/>
      <c r="N35" s="75"/>
      <c r="O35" s="71"/>
    </row>
    <row r="36" spans="1:17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7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7">
      <c r="A38" s="1"/>
      <c r="B38" s="413"/>
      <c r="C38" s="413"/>
      <c r="D38" s="413"/>
      <c r="E38" s="413"/>
      <c r="F38" s="1"/>
      <c r="G38" s="1"/>
      <c r="H38" s="1"/>
      <c r="I38" s="439">
        <f>K24+L24</f>
        <v>8232.6119999999992</v>
      </c>
      <c r="J38" s="413"/>
      <c r="K38" s="413"/>
      <c r="L38" s="413"/>
      <c r="M38" s="413"/>
      <c r="N38" s="413"/>
      <c r="O38" s="4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B38:E38"/>
    <mergeCell ref="I38:N38"/>
    <mergeCell ref="A1:N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0BCA-CEB5-4CC4-B7FA-CDD92ABE66F3}">
  <sheetPr>
    <tabColor rgb="FF7030A0"/>
  </sheetPr>
  <dimension ref="A1:O49"/>
  <sheetViews>
    <sheetView workbookViewId="0">
      <selection activeCell="P39" sqref="P39"/>
    </sheetView>
  </sheetViews>
  <sheetFormatPr defaultRowHeight="15"/>
  <cols>
    <col min="1" max="1" width="5.140625" bestFit="1" customWidth="1"/>
    <col min="2" max="2" width="10" bestFit="1" customWidth="1"/>
    <col min="3" max="3" width="8" bestFit="1" customWidth="1"/>
    <col min="4" max="4" width="15.28515625" customWidth="1"/>
    <col min="5" max="5" width="9.7109375" bestFit="1" customWidth="1"/>
    <col min="6" max="6" width="7" bestFit="1" customWidth="1"/>
    <col min="7" max="7" width="11.5703125" bestFit="1" customWidth="1"/>
    <col min="9" max="9" width="8.140625" bestFit="1" customWidth="1"/>
    <col min="11" max="12" width="13.5703125" bestFit="1" customWidth="1"/>
    <col min="13" max="13" width="10.140625" bestFit="1" customWidth="1"/>
    <col min="14" max="14" width="10.42578125" bestFit="1" customWidth="1"/>
    <col min="15" max="15" width="9.42578125" customWidth="1"/>
  </cols>
  <sheetData>
    <row r="1" spans="1:15" ht="15.75">
      <c r="A1" s="419" t="s">
        <v>66</v>
      </c>
      <c r="B1" s="419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65"/>
    </row>
    <row r="2" spans="1:15" ht="30.75">
      <c r="A2" s="76" t="s">
        <v>105</v>
      </c>
      <c r="B2" s="96" t="s">
        <v>106</v>
      </c>
      <c r="C2" s="96" t="s">
        <v>107</v>
      </c>
      <c r="D2" s="96" t="s">
        <v>108</v>
      </c>
      <c r="E2" s="96" t="s">
        <v>109</v>
      </c>
      <c r="F2" s="96" t="s">
        <v>110</v>
      </c>
      <c r="G2" s="96" t="s">
        <v>111</v>
      </c>
      <c r="H2" s="96" t="s">
        <v>112</v>
      </c>
      <c r="I2" s="96" t="s">
        <v>110</v>
      </c>
      <c r="J2" s="97" t="s">
        <v>111</v>
      </c>
      <c r="K2" s="76" t="s">
        <v>113</v>
      </c>
      <c r="L2" s="98" t="s">
        <v>114</v>
      </c>
      <c r="M2" s="186" t="s">
        <v>120</v>
      </c>
      <c r="N2" s="96" t="s">
        <v>116</v>
      </c>
      <c r="O2" s="71"/>
    </row>
    <row r="3" spans="1:15">
      <c r="A3" s="164"/>
      <c r="B3" s="165"/>
      <c r="C3" s="165"/>
      <c r="D3" s="147" t="s">
        <v>117</v>
      </c>
      <c r="E3" s="165"/>
      <c r="F3" s="165"/>
      <c r="G3" s="165"/>
      <c r="H3" s="165"/>
      <c r="I3" s="165"/>
      <c r="J3" s="166"/>
      <c r="K3" s="164">
        <v>0</v>
      </c>
      <c r="L3" s="167">
        <v>0</v>
      </c>
      <c r="M3" s="167">
        <f>+K3</f>
        <v>0</v>
      </c>
      <c r="N3" s="165"/>
      <c r="O3" s="71"/>
    </row>
    <row r="4" spans="1:15">
      <c r="A4" s="55">
        <v>1</v>
      </c>
      <c r="B4" s="235">
        <v>45839</v>
      </c>
      <c r="C4" s="27"/>
      <c r="D4" s="27"/>
      <c r="E4" s="8">
        <v>0</v>
      </c>
      <c r="F4" s="8">
        <v>0</v>
      </c>
      <c r="G4" s="8">
        <f>E4*F4</f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67">
        <v>0</v>
      </c>
      <c r="M4" s="8">
        <f>M3+K4-L4</f>
        <v>0</v>
      </c>
      <c r="N4" s="53"/>
      <c r="O4" s="1"/>
    </row>
    <row r="5" spans="1:15">
      <c r="A5" s="55">
        <v>2</v>
      </c>
      <c r="B5" s="235">
        <v>45840</v>
      </c>
      <c r="C5" s="27"/>
      <c r="D5" s="27"/>
      <c r="E5" s="8">
        <v>43.85</v>
      </c>
      <c r="F5" s="8">
        <v>91.8</v>
      </c>
      <c r="G5" s="8">
        <f t="shared" ref="G5:G34" si="0">E5*F5</f>
        <v>4025.43</v>
      </c>
      <c r="H5" s="9">
        <v>7</v>
      </c>
      <c r="I5" s="9">
        <v>103.76</v>
      </c>
      <c r="J5" s="8">
        <f t="shared" ref="J5:J34" si="1">H5*I5</f>
        <v>726.32</v>
      </c>
      <c r="K5" s="8">
        <f t="shared" ref="K5:K34" si="2">G5+J5</f>
        <v>4751.75</v>
      </c>
      <c r="L5" s="167">
        <f>+K5</f>
        <v>4751.75</v>
      </c>
      <c r="M5" s="8">
        <f t="shared" ref="M5:M8" si="3">M4+K5-L5</f>
        <v>0</v>
      </c>
      <c r="N5" s="53"/>
      <c r="O5" s="1"/>
    </row>
    <row r="6" spans="1:15">
      <c r="A6" s="55">
        <v>3</v>
      </c>
      <c r="B6" s="235">
        <v>45841</v>
      </c>
      <c r="C6" s="27"/>
      <c r="D6" s="27"/>
      <c r="E6" s="8">
        <v>35</v>
      </c>
      <c r="F6" s="8">
        <v>91.8</v>
      </c>
      <c r="G6" s="8">
        <f t="shared" si="0"/>
        <v>3213</v>
      </c>
      <c r="H6" s="9">
        <v>0</v>
      </c>
      <c r="I6" s="9">
        <v>0</v>
      </c>
      <c r="J6" s="8">
        <f t="shared" si="1"/>
        <v>0</v>
      </c>
      <c r="K6" s="8">
        <f t="shared" si="2"/>
        <v>3213</v>
      </c>
      <c r="L6" s="167">
        <f t="shared" ref="L6:L34" si="4">+K6</f>
        <v>3213</v>
      </c>
      <c r="M6" s="8">
        <f t="shared" si="3"/>
        <v>0</v>
      </c>
      <c r="N6" s="53"/>
      <c r="O6" s="1"/>
    </row>
    <row r="7" spans="1:15">
      <c r="A7" s="55">
        <v>4</v>
      </c>
      <c r="B7" s="235">
        <v>45842</v>
      </c>
      <c r="C7" s="27"/>
      <c r="D7" s="27"/>
      <c r="E7" s="8">
        <v>35</v>
      </c>
      <c r="F7" s="8">
        <v>91.8</v>
      </c>
      <c r="G7" s="8">
        <f t="shared" si="0"/>
        <v>3213</v>
      </c>
      <c r="H7" s="9">
        <v>0</v>
      </c>
      <c r="I7" s="9">
        <v>0</v>
      </c>
      <c r="J7" s="8">
        <f t="shared" si="1"/>
        <v>0</v>
      </c>
      <c r="K7" s="8">
        <f t="shared" si="2"/>
        <v>3213</v>
      </c>
      <c r="L7" s="167">
        <f t="shared" si="4"/>
        <v>3213</v>
      </c>
      <c r="M7" s="8">
        <f t="shared" si="3"/>
        <v>0</v>
      </c>
      <c r="N7" s="53"/>
      <c r="O7" s="1"/>
    </row>
    <row r="8" spans="1:15">
      <c r="A8" s="55">
        <v>5</v>
      </c>
      <c r="B8" s="235">
        <v>45843</v>
      </c>
      <c r="C8" s="27"/>
      <c r="D8" s="27"/>
      <c r="E8" s="8">
        <v>0</v>
      </c>
      <c r="F8" s="8">
        <v>0</v>
      </c>
      <c r="G8" s="8">
        <f t="shared" si="0"/>
        <v>0</v>
      </c>
      <c r="H8" s="9">
        <v>0</v>
      </c>
      <c r="I8" s="9">
        <v>0</v>
      </c>
      <c r="J8" s="8">
        <f t="shared" si="1"/>
        <v>0</v>
      </c>
      <c r="K8" s="8">
        <f t="shared" si="2"/>
        <v>0</v>
      </c>
      <c r="L8" s="167">
        <f t="shared" si="4"/>
        <v>0</v>
      </c>
      <c r="M8" s="8">
        <f t="shared" si="3"/>
        <v>0</v>
      </c>
      <c r="N8" s="53"/>
      <c r="O8" s="1"/>
    </row>
    <row r="9" spans="1:15">
      <c r="A9" s="55">
        <v>6</v>
      </c>
      <c r="B9" s="235">
        <v>45844</v>
      </c>
      <c r="C9" s="27"/>
      <c r="D9" s="27"/>
      <c r="E9" s="8">
        <v>0</v>
      </c>
      <c r="F9" s="8">
        <v>0</v>
      </c>
      <c r="G9" s="8">
        <f t="shared" si="0"/>
        <v>0</v>
      </c>
      <c r="H9" s="9">
        <v>0</v>
      </c>
      <c r="I9" s="9">
        <v>0</v>
      </c>
      <c r="J9" s="8">
        <f t="shared" si="1"/>
        <v>0</v>
      </c>
      <c r="K9" s="8">
        <f t="shared" si="2"/>
        <v>0</v>
      </c>
      <c r="L9" s="167">
        <f t="shared" si="4"/>
        <v>0</v>
      </c>
      <c r="M9" s="8">
        <f t="shared" ref="M9:M33" si="5">M8+K9-L9</f>
        <v>0</v>
      </c>
      <c r="N9" s="53"/>
      <c r="O9" s="1"/>
    </row>
    <row r="10" spans="1:15">
      <c r="A10" s="55">
        <v>7</v>
      </c>
      <c r="B10" s="235">
        <v>45845</v>
      </c>
      <c r="C10" s="27"/>
      <c r="D10" s="27"/>
      <c r="E10" s="8">
        <v>0</v>
      </c>
      <c r="F10" s="8">
        <v>0</v>
      </c>
      <c r="G10" s="8">
        <f t="shared" si="0"/>
        <v>0</v>
      </c>
      <c r="H10" s="9">
        <v>0</v>
      </c>
      <c r="I10" s="9">
        <v>0</v>
      </c>
      <c r="J10" s="8">
        <f t="shared" si="1"/>
        <v>0</v>
      </c>
      <c r="K10" s="8">
        <f t="shared" si="2"/>
        <v>0</v>
      </c>
      <c r="L10" s="167">
        <f t="shared" si="4"/>
        <v>0</v>
      </c>
      <c r="M10" s="8">
        <f t="shared" si="5"/>
        <v>0</v>
      </c>
      <c r="N10" s="53"/>
      <c r="O10" s="1"/>
    </row>
    <row r="11" spans="1:15">
      <c r="A11" s="55">
        <v>8</v>
      </c>
      <c r="B11" s="235">
        <v>45846</v>
      </c>
      <c r="C11" s="27"/>
      <c r="D11" s="27"/>
      <c r="E11" s="8">
        <v>30</v>
      </c>
      <c r="F11" s="8">
        <v>91.8</v>
      </c>
      <c r="G11" s="8">
        <f t="shared" si="0"/>
        <v>2754</v>
      </c>
      <c r="H11" s="9">
        <v>0</v>
      </c>
      <c r="I11" s="9">
        <v>0</v>
      </c>
      <c r="J11" s="8">
        <f t="shared" si="1"/>
        <v>0</v>
      </c>
      <c r="K11" s="8">
        <f t="shared" si="2"/>
        <v>2754</v>
      </c>
      <c r="L11" s="167">
        <f t="shared" si="4"/>
        <v>2754</v>
      </c>
      <c r="M11" s="8">
        <f t="shared" si="5"/>
        <v>0</v>
      </c>
      <c r="N11" s="53"/>
      <c r="O11" s="1"/>
    </row>
    <row r="12" spans="1:15">
      <c r="A12" s="55">
        <v>9</v>
      </c>
      <c r="B12" s="235">
        <v>45847</v>
      </c>
      <c r="C12" s="27"/>
      <c r="D12" s="27"/>
      <c r="E12" s="8">
        <v>5</v>
      </c>
      <c r="F12" s="8">
        <v>91.8</v>
      </c>
      <c r="G12" s="8">
        <f t="shared" si="0"/>
        <v>459</v>
      </c>
      <c r="H12" s="9">
        <v>15</v>
      </c>
      <c r="I12" s="9">
        <v>103.76</v>
      </c>
      <c r="J12" s="8">
        <f t="shared" si="1"/>
        <v>1556.4</v>
      </c>
      <c r="K12" s="8">
        <f t="shared" si="2"/>
        <v>2015.4</v>
      </c>
      <c r="L12" s="167">
        <f t="shared" si="4"/>
        <v>2015.4</v>
      </c>
      <c r="M12" s="8">
        <f t="shared" si="5"/>
        <v>0</v>
      </c>
      <c r="N12" s="53"/>
      <c r="O12" s="1" t="s">
        <v>118</v>
      </c>
    </row>
    <row r="13" spans="1:15">
      <c r="A13" s="55">
        <v>10</v>
      </c>
      <c r="B13" s="235">
        <v>45848</v>
      </c>
      <c r="C13" s="27"/>
      <c r="D13" s="27"/>
      <c r="E13" s="8">
        <v>5</v>
      </c>
      <c r="F13" s="8">
        <v>91.8</v>
      </c>
      <c r="G13" s="8">
        <f t="shared" si="0"/>
        <v>459</v>
      </c>
      <c r="H13" s="9">
        <v>0</v>
      </c>
      <c r="I13" s="9">
        <v>103.76</v>
      </c>
      <c r="J13" s="8">
        <f t="shared" si="1"/>
        <v>0</v>
      </c>
      <c r="K13" s="8">
        <f t="shared" si="2"/>
        <v>459</v>
      </c>
      <c r="L13" s="167">
        <f t="shared" si="4"/>
        <v>459</v>
      </c>
      <c r="M13" s="8">
        <f t="shared" si="5"/>
        <v>0</v>
      </c>
      <c r="N13" s="53"/>
      <c r="O13" s="1"/>
    </row>
    <row r="14" spans="1:15">
      <c r="A14" s="55">
        <v>11</v>
      </c>
      <c r="B14" s="235">
        <v>45849</v>
      </c>
      <c r="C14" s="27"/>
      <c r="D14" s="27"/>
      <c r="E14" s="8">
        <v>0</v>
      </c>
      <c r="F14" s="8">
        <v>0</v>
      </c>
      <c r="G14" s="8">
        <f t="shared" si="0"/>
        <v>0</v>
      </c>
      <c r="H14" s="9">
        <v>0</v>
      </c>
      <c r="I14" s="9">
        <v>0</v>
      </c>
      <c r="J14" s="8">
        <f t="shared" si="1"/>
        <v>0</v>
      </c>
      <c r="K14" s="8">
        <f t="shared" si="2"/>
        <v>0</v>
      </c>
      <c r="L14" s="167">
        <f t="shared" si="4"/>
        <v>0</v>
      </c>
      <c r="M14" s="8">
        <f t="shared" si="5"/>
        <v>0</v>
      </c>
      <c r="N14" s="53"/>
      <c r="O14" s="1"/>
    </row>
    <row r="15" spans="1:15">
      <c r="A15" s="55">
        <v>12</v>
      </c>
      <c r="B15" s="235">
        <v>45850</v>
      </c>
      <c r="C15" s="27"/>
      <c r="D15" s="27"/>
      <c r="E15" s="8">
        <v>0</v>
      </c>
      <c r="F15" s="8">
        <v>0</v>
      </c>
      <c r="G15" s="8">
        <f t="shared" si="0"/>
        <v>0</v>
      </c>
      <c r="H15" s="9">
        <v>0</v>
      </c>
      <c r="I15" s="9">
        <v>0</v>
      </c>
      <c r="J15" s="8">
        <f t="shared" si="1"/>
        <v>0</v>
      </c>
      <c r="K15" s="8">
        <f t="shared" si="2"/>
        <v>0</v>
      </c>
      <c r="L15" s="167">
        <f t="shared" si="4"/>
        <v>0</v>
      </c>
      <c r="M15" s="8">
        <f t="shared" si="5"/>
        <v>0</v>
      </c>
      <c r="N15" s="53"/>
      <c r="O15" s="1"/>
    </row>
    <row r="16" spans="1:15">
      <c r="A16" s="55">
        <v>13</v>
      </c>
      <c r="B16" s="235">
        <v>45851</v>
      </c>
      <c r="C16" s="27"/>
      <c r="D16" s="27"/>
      <c r="E16" s="8">
        <v>0</v>
      </c>
      <c r="F16" s="8">
        <v>0</v>
      </c>
      <c r="G16" s="8">
        <f t="shared" si="0"/>
        <v>0</v>
      </c>
      <c r="H16" s="9">
        <v>0</v>
      </c>
      <c r="I16" s="9">
        <v>0</v>
      </c>
      <c r="J16" s="8">
        <f t="shared" si="1"/>
        <v>0</v>
      </c>
      <c r="K16" s="8">
        <f t="shared" si="2"/>
        <v>0</v>
      </c>
      <c r="L16" s="167">
        <f t="shared" si="4"/>
        <v>0</v>
      </c>
      <c r="M16" s="8">
        <f t="shared" si="5"/>
        <v>0</v>
      </c>
      <c r="N16" s="53"/>
      <c r="O16" s="1"/>
    </row>
    <row r="17" spans="1:15">
      <c r="A17" s="55">
        <v>14</v>
      </c>
      <c r="B17" s="235">
        <v>45852</v>
      </c>
      <c r="C17" s="27"/>
      <c r="D17" s="27"/>
      <c r="E17" s="8">
        <v>0</v>
      </c>
      <c r="F17" s="8">
        <v>0</v>
      </c>
      <c r="G17" s="8">
        <f t="shared" si="0"/>
        <v>0</v>
      </c>
      <c r="H17" s="9">
        <v>0</v>
      </c>
      <c r="I17" s="9">
        <v>0</v>
      </c>
      <c r="J17" s="8">
        <f t="shared" si="1"/>
        <v>0</v>
      </c>
      <c r="K17" s="8">
        <f t="shared" si="2"/>
        <v>0</v>
      </c>
      <c r="L17" s="167">
        <f t="shared" si="4"/>
        <v>0</v>
      </c>
      <c r="M17" s="8">
        <f t="shared" si="5"/>
        <v>0</v>
      </c>
      <c r="N17" s="53"/>
      <c r="O17" s="1"/>
    </row>
    <row r="18" spans="1:15">
      <c r="A18" s="55">
        <v>15</v>
      </c>
      <c r="B18" s="235">
        <v>45853</v>
      </c>
      <c r="C18" s="27"/>
      <c r="D18" s="27"/>
      <c r="E18" s="8">
        <v>55</v>
      </c>
      <c r="F18" s="8">
        <v>91.8</v>
      </c>
      <c r="G18" s="8">
        <f t="shared" si="0"/>
        <v>5049</v>
      </c>
      <c r="H18" s="9">
        <v>5</v>
      </c>
      <c r="I18" s="9">
        <v>103.76</v>
      </c>
      <c r="J18" s="8">
        <f t="shared" si="1"/>
        <v>518.80000000000007</v>
      </c>
      <c r="K18" s="8">
        <f t="shared" si="2"/>
        <v>5567.8</v>
      </c>
      <c r="L18" s="167">
        <f t="shared" si="4"/>
        <v>5567.8</v>
      </c>
      <c r="M18" s="8">
        <f t="shared" si="5"/>
        <v>0</v>
      </c>
      <c r="N18" s="53"/>
      <c r="O18" s="1"/>
    </row>
    <row r="19" spans="1:15">
      <c r="A19" s="55">
        <v>16</v>
      </c>
      <c r="B19" s="235">
        <v>45854</v>
      </c>
      <c r="C19" s="27"/>
      <c r="D19" s="27"/>
      <c r="E19" s="8">
        <v>10</v>
      </c>
      <c r="F19" s="8">
        <v>91.8</v>
      </c>
      <c r="G19" s="8">
        <f t="shared" si="0"/>
        <v>918</v>
      </c>
      <c r="H19" s="9">
        <v>0</v>
      </c>
      <c r="I19" s="9">
        <v>103.76</v>
      </c>
      <c r="J19" s="8">
        <f t="shared" si="1"/>
        <v>0</v>
      </c>
      <c r="K19" s="8">
        <f t="shared" si="2"/>
        <v>918</v>
      </c>
      <c r="L19" s="167">
        <f t="shared" si="4"/>
        <v>918</v>
      </c>
      <c r="M19" s="8">
        <f t="shared" si="5"/>
        <v>0</v>
      </c>
      <c r="N19" s="53"/>
      <c r="O19" s="1"/>
    </row>
    <row r="20" spans="1:15">
      <c r="A20" s="55">
        <v>17</v>
      </c>
      <c r="B20" s="235">
        <v>45855</v>
      </c>
      <c r="C20" s="27"/>
      <c r="D20" s="27"/>
      <c r="E20" s="8">
        <v>50</v>
      </c>
      <c r="F20" s="8">
        <v>91.8</v>
      </c>
      <c r="G20" s="8">
        <f t="shared" si="0"/>
        <v>4590</v>
      </c>
      <c r="H20" s="9">
        <v>6</v>
      </c>
      <c r="I20" s="9">
        <v>103.76</v>
      </c>
      <c r="J20" s="8">
        <f t="shared" si="1"/>
        <v>622.56000000000006</v>
      </c>
      <c r="K20" s="8">
        <f t="shared" si="2"/>
        <v>5212.5600000000004</v>
      </c>
      <c r="L20" s="167">
        <f t="shared" si="4"/>
        <v>5212.5600000000004</v>
      </c>
      <c r="M20" s="8">
        <f t="shared" si="5"/>
        <v>0</v>
      </c>
      <c r="N20" s="53"/>
      <c r="O20" s="1"/>
    </row>
    <row r="21" spans="1:15">
      <c r="A21" s="55">
        <v>18</v>
      </c>
      <c r="B21" s="235">
        <v>45856</v>
      </c>
      <c r="C21" s="27"/>
      <c r="D21" s="27"/>
      <c r="E21" s="8">
        <v>0</v>
      </c>
      <c r="F21" s="8">
        <v>0</v>
      </c>
      <c r="G21" s="8">
        <f t="shared" si="0"/>
        <v>0</v>
      </c>
      <c r="H21" s="9">
        <v>2</v>
      </c>
      <c r="I21" s="9">
        <v>103.76</v>
      </c>
      <c r="J21" s="8">
        <f t="shared" si="1"/>
        <v>207.52</v>
      </c>
      <c r="K21" s="8">
        <f t="shared" si="2"/>
        <v>207.52</v>
      </c>
      <c r="L21" s="167">
        <f t="shared" si="4"/>
        <v>207.52</v>
      </c>
      <c r="M21" s="8">
        <f t="shared" si="5"/>
        <v>0</v>
      </c>
      <c r="N21" s="53"/>
      <c r="O21" s="1"/>
    </row>
    <row r="22" spans="1:15">
      <c r="A22" s="55">
        <v>19</v>
      </c>
      <c r="B22" s="235">
        <v>45857</v>
      </c>
      <c r="C22" s="27"/>
      <c r="D22" s="27"/>
      <c r="E22" s="8">
        <v>0</v>
      </c>
      <c r="F22" s="8">
        <v>0</v>
      </c>
      <c r="G22" s="8">
        <f t="shared" si="0"/>
        <v>0</v>
      </c>
      <c r="H22" s="9">
        <v>0</v>
      </c>
      <c r="I22" s="9">
        <v>0</v>
      </c>
      <c r="J22" s="8">
        <f t="shared" si="1"/>
        <v>0</v>
      </c>
      <c r="K22" s="8">
        <f t="shared" si="2"/>
        <v>0</v>
      </c>
      <c r="L22" s="167">
        <f t="shared" si="4"/>
        <v>0</v>
      </c>
      <c r="M22" s="8">
        <f t="shared" si="5"/>
        <v>0</v>
      </c>
      <c r="N22" s="53"/>
      <c r="O22" s="1"/>
    </row>
    <row r="23" spans="1:15">
      <c r="A23" s="55">
        <v>20</v>
      </c>
      <c r="B23" s="235">
        <v>45858</v>
      </c>
      <c r="C23" s="27"/>
      <c r="D23" s="27"/>
      <c r="E23" s="8">
        <v>0</v>
      </c>
      <c r="F23" s="8">
        <v>0</v>
      </c>
      <c r="G23" s="8">
        <f t="shared" si="0"/>
        <v>0</v>
      </c>
      <c r="H23" s="9">
        <v>0</v>
      </c>
      <c r="I23" s="9">
        <v>0</v>
      </c>
      <c r="J23" s="8">
        <f t="shared" si="1"/>
        <v>0</v>
      </c>
      <c r="K23" s="8">
        <f t="shared" si="2"/>
        <v>0</v>
      </c>
      <c r="L23" s="167">
        <f t="shared" si="4"/>
        <v>0</v>
      </c>
      <c r="M23" s="8">
        <f t="shared" si="5"/>
        <v>0</v>
      </c>
      <c r="N23" s="53"/>
      <c r="O23" s="1"/>
    </row>
    <row r="24" spans="1:15">
      <c r="A24" s="55">
        <v>21</v>
      </c>
      <c r="B24" s="235">
        <v>45859</v>
      </c>
      <c r="C24" s="27"/>
      <c r="D24" s="27"/>
      <c r="E24" s="8">
        <v>0</v>
      </c>
      <c r="F24" s="8">
        <v>0</v>
      </c>
      <c r="G24" s="8">
        <f t="shared" si="0"/>
        <v>0</v>
      </c>
      <c r="H24" s="9">
        <v>0</v>
      </c>
      <c r="I24" s="9">
        <v>0</v>
      </c>
      <c r="J24" s="8">
        <f t="shared" si="1"/>
        <v>0</v>
      </c>
      <c r="K24" s="8">
        <f t="shared" si="2"/>
        <v>0</v>
      </c>
      <c r="L24" s="167">
        <f t="shared" si="4"/>
        <v>0</v>
      </c>
      <c r="M24" s="8">
        <f t="shared" si="5"/>
        <v>0</v>
      </c>
      <c r="N24" s="53"/>
      <c r="O24" s="1"/>
    </row>
    <row r="25" spans="1:15">
      <c r="A25" s="55">
        <v>22</v>
      </c>
      <c r="B25" s="235">
        <v>45860</v>
      </c>
      <c r="C25" s="27"/>
      <c r="D25" s="27"/>
      <c r="E25" s="8">
        <v>5</v>
      </c>
      <c r="F25" s="8">
        <v>91.8</v>
      </c>
      <c r="G25" s="8">
        <f t="shared" si="0"/>
        <v>459</v>
      </c>
      <c r="H25" s="9">
        <v>21</v>
      </c>
      <c r="I25" s="9">
        <v>103.76</v>
      </c>
      <c r="J25" s="8">
        <f t="shared" si="1"/>
        <v>2178.96</v>
      </c>
      <c r="K25" s="8">
        <f t="shared" si="2"/>
        <v>2637.96</v>
      </c>
      <c r="L25" s="167">
        <f t="shared" si="4"/>
        <v>2637.96</v>
      </c>
      <c r="M25" s="8">
        <f t="shared" si="5"/>
        <v>0</v>
      </c>
      <c r="N25" s="53"/>
      <c r="O25" s="1"/>
    </row>
    <row r="26" spans="1:15">
      <c r="A26" s="55">
        <v>23</v>
      </c>
      <c r="B26" s="235">
        <v>45861</v>
      </c>
      <c r="C26" s="27"/>
      <c r="D26" s="27"/>
      <c r="E26" s="8">
        <v>0</v>
      </c>
      <c r="F26" s="8">
        <v>0</v>
      </c>
      <c r="G26" s="8">
        <f t="shared" si="0"/>
        <v>0</v>
      </c>
      <c r="H26" s="9">
        <v>0</v>
      </c>
      <c r="I26" s="9">
        <v>0</v>
      </c>
      <c r="J26" s="8">
        <f t="shared" si="1"/>
        <v>0</v>
      </c>
      <c r="K26" s="8">
        <f t="shared" si="2"/>
        <v>0</v>
      </c>
      <c r="L26" s="167">
        <f t="shared" si="4"/>
        <v>0</v>
      </c>
      <c r="M26" s="8">
        <f t="shared" si="5"/>
        <v>0</v>
      </c>
      <c r="N26" s="53"/>
      <c r="O26" s="1"/>
    </row>
    <row r="27" spans="1:15">
      <c r="A27" s="55">
        <v>24</v>
      </c>
      <c r="B27" s="235">
        <v>45862</v>
      </c>
      <c r="C27" s="27"/>
      <c r="D27" s="27"/>
      <c r="E27" s="8">
        <v>0</v>
      </c>
      <c r="F27" s="8">
        <v>0</v>
      </c>
      <c r="G27" s="8">
        <f t="shared" si="0"/>
        <v>0</v>
      </c>
      <c r="H27" s="9">
        <v>0</v>
      </c>
      <c r="I27" s="9">
        <v>0</v>
      </c>
      <c r="J27" s="8">
        <f t="shared" si="1"/>
        <v>0</v>
      </c>
      <c r="K27" s="8">
        <f t="shared" si="2"/>
        <v>0</v>
      </c>
      <c r="L27" s="167">
        <f t="shared" si="4"/>
        <v>0</v>
      </c>
      <c r="M27" s="8">
        <f t="shared" si="5"/>
        <v>0</v>
      </c>
      <c r="N27" s="53"/>
      <c r="O27" s="1"/>
    </row>
    <row r="28" spans="1:15">
      <c r="A28" s="55">
        <v>25</v>
      </c>
      <c r="B28" s="235">
        <v>45863</v>
      </c>
      <c r="C28" s="27"/>
      <c r="D28" s="27"/>
      <c r="E28" s="8">
        <v>35</v>
      </c>
      <c r="F28" s="8">
        <v>91.8</v>
      </c>
      <c r="G28" s="8">
        <f t="shared" si="0"/>
        <v>3213</v>
      </c>
      <c r="H28" s="9">
        <v>0</v>
      </c>
      <c r="I28" s="9">
        <v>0</v>
      </c>
      <c r="J28" s="8">
        <f t="shared" si="1"/>
        <v>0</v>
      </c>
      <c r="K28" s="8">
        <f t="shared" si="2"/>
        <v>3213</v>
      </c>
      <c r="L28" s="167">
        <f t="shared" si="4"/>
        <v>3213</v>
      </c>
      <c r="M28" s="8">
        <f t="shared" si="5"/>
        <v>0</v>
      </c>
      <c r="N28" s="53"/>
      <c r="O28" s="1"/>
    </row>
    <row r="29" spans="1:15">
      <c r="A29" s="55">
        <v>26</v>
      </c>
      <c r="B29" s="235">
        <v>45864</v>
      </c>
      <c r="C29" s="27"/>
      <c r="D29" s="27"/>
      <c r="E29" s="8">
        <v>35</v>
      </c>
      <c r="F29" s="8">
        <v>91.8</v>
      </c>
      <c r="G29" s="8">
        <f t="shared" si="0"/>
        <v>3213</v>
      </c>
      <c r="H29" s="9">
        <v>0</v>
      </c>
      <c r="I29" s="9">
        <v>0</v>
      </c>
      <c r="J29" s="8">
        <f t="shared" si="1"/>
        <v>0</v>
      </c>
      <c r="K29" s="8">
        <f t="shared" si="2"/>
        <v>3213</v>
      </c>
      <c r="L29" s="167">
        <f t="shared" si="4"/>
        <v>3213</v>
      </c>
      <c r="M29" s="8">
        <f t="shared" si="5"/>
        <v>0</v>
      </c>
      <c r="N29" s="53"/>
      <c r="O29" s="1"/>
    </row>
    <row r="30" spans="1:15">
      <c r="A30" s="55">
        <v>27</v>
      </c>
      <c r="B30" s="235">
        <v>45865</v>
      </c>
      <c r="C30" s="27"/>
      <c r="D30" s="27"/>
      <c r="E30" s="8">
        <v>0</v>
      </c>
      <c r="F30" s="8">
        <v>0</v>
      </c>
      <c r="G30" s="8">
        <f t="shared" si="0"/>
        <v>0</v>
      </c>
      <c r="H30" s="9">
        <v>0</v>
      </c>
      <c r="I30" s="9">
        <v>0</v>
      </c>
      <c r="J30" s="8">
        <f t="shared" si="1"/>
        <v>0</v>
      </c>
      <c r="K30" s="8">
        <f t="shared" si="2"/>
        <v>0</v>
      </c>
      <c r="L30" s="167">
        <f t="shared" si="4"/>
        <v>0</v>
      </c>
      <c r="M30" s="8">
        <f t="shared" si="5"/>
        <v>0</v>
      </c>
      <c r="N30" s="53"/>
      <c r="O30" s="1"/>
    </row>
    <row r="31" spans="1:15">
      <c r="A31" s="55">
        <v>28</v>
      </c>
      <c r="B31" s="235">
        <v>45866</v>
      </c>
      <c r="C31" s="27"/>
      <c r="D31" s="27"/>
      <c r="E31" s="8">
        <v>0</v>
      </c>
      <c r="F31" s="8">
        <v>0</v>
      </c>
      <c r="G31" s="8">
        <f t="shared" si="0"/>
        <v>0</v>
      </c>
      <c r="H31" s="9">
        <v>0</v>
      </c>
      <c r="I31" s="9">
        <v>0</v>
      </c>
      <c r="J31" s="8">
        <f t="shared" si="1"/>
        <v>0</v>
      </c>
      <c r="K31" s="8">
        <f t="shared" si="2"/>
        <v>0</v>
      </c>
      <c r="L31" s="167">
        <f t="shared" si="4"/>
        <v>0</v>
      </c>
      <c r="M31" s="8">
        <f t="shared" si="5"/>
        <v>0</v>
      </c>
      <c r="N31" s="53"/>
      <c r="O31" s="1"/>
    </row>
    <row r="32" spans="1:15">
      <c r="A32" s="229">
        <v>29</v>
      </c>
      <c r="B32" s="235">
        <v>45867</v>
      </c>
      <c r="C32" s="27"/>
      <c r="D32" s="27"/>
      <c r="E32" s="8">
        <v>0</v>
      </c>
      <c r="F32" s="8">
        <v>0</v>
      </c>
      <c r="G32" s="8">
        <f t="shared" si="0"/>
        <v>0</v>
      </c>
      <c r="H32" s="9">
        <v>0</v>
      </c>
      <c r="I32" s="9">
        <v>0</v>
      </c>
      <c r="J32" s="8">
        <f t="shared" si="1"/>
        <v>0</v>
      </c>
      <c r="K32" s="8">
        <f t="shared" si="2"/>
        <v>0</v>
      </c>
      <c r="L32" s="167">
        <f t="shared" si="4"/>
        <v>0</v>
      </c>
      <c r="M32" s="8">
        <f t="shared" si="5"/>
        <v>0</v>
      </c>
      <c r="N32" s="53"/>
      <c r="O32" s="1"/>
    </row>
    <row r="33" spans="1:15">
      <c r="A33" s="229">
        <v>30</v>
      </c>
      <c r="B33" s="235">
        <v>45868</v>
      </c>
      <c r="C33" s="27"/>
      <c r="D33" s="27"/>
      <c r="E33" s="8">
        <v>0</v>
      </c>
      <c r="F33" s="8">
        <v>0</v>
      </c>
      <c r="G33" s="8">
        <f t="shared" si="0"/>
        <v>0</v>
      </c>
      <c r="H33" s="9">
        <v>0</v>
      </c>
      <c r="I33" s="9">
        <v>0</v>
      </c>
      <c r="J33" s="8">
        <f t="shared" si="1"/>
        <v>0</v>
      </c>
      <c r="K33" s="8">
        <f t="shared" si="2"/>
        <v>0</v>
      </c>
      <c r="L33" s="167">
        <f t="shared" si="4"/>
        <v>0</v>
      </c>
      <c r="M33" s="8">
        <f t="shared" si="5"/>
        <v>0</v>
      </c>
      <c r="N33" s="53"/>
      <c r="O33" s="1"/>
    </row>
    <row r="34" spans="1:15">
      <c r="A34" s="229">
        <v>31</v>
      </c>
      <c r="B34" s="235">
        <v>45869</v>
      </c>
      <c r="C34" s="27"/>
      <c r="D34" s="27"/>
      <c r="E34" s="8">
        <v>35</v>
      </c>
      <c r="F34" s="8">
        <v>91.8</v>
      </c>
      <c r="G34" s="8">
        <f t="shared" si="0"/>
        <v>3213</v>
      </c>
      <c r="H34" s="9">
        <v>0</v>
      </c>
      <c r="I34" s="9">
        <v>0</v>
      </c>
      <c r="J34" s="8">
        <f t="shared" si="1"/>
        <v>0</v>
      </c>
      <c r="K34" s="8">
        <f t="shared" si="2"/>
        <v>3213</v>
      </c>
      <c r="L34" s="167">
        <f t="shared" si="4"/>
        <v>3213</v>
      </c>
      <c r="M34" s="8"/>
      <c r="N34" s="53"/>
      <c r="O34" s="1"/>
    </row>
    <row r="35" spans="1:15">
      <c r="A35" s="74"/>
      <c r="B35" s="74"/>
      <c r="C35" s="74"/>
      <c r="D35" s="74"/>
      <c r="E35" s="75">
        <f>SUM(E4:E34)</f>
        <v>378.85</v>
      </c>
      <c r="F35" s="75"/>
      <c r="G35" s="75">
        <f>SUM(G4:G34)</f>
        <v>34778.43</v>
      </c>
      <c r="H35" s="75">
        <f>SUM(H4:H34)</f>
        <v>56</v>
      </c>
      <c r="I35" s="75"/>
      <c r="J35" s="75">
        <f>SUM(J4:J34)</f>
        <v>5810.56</v>
      </c>
      <c r="K35" s="75">
        <f>SUM(K4:K34)</f>
        <v>40588.990000000005</v>
      </c>
      <c r="L35" s="75">
        <f>SUM(L4:L34)</f>
        <v>40588.990000000005</v>
      </c>
      <c r="M35" s="75"/>
      <c r="N35" s="75"/>
      <c r="O35" s="71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413"/>
      <c r="C38" s="413"/>
      <c r="D38" s="413"/>
      <c r="E38" s="413"/>
      <c r="F38" s="1"/>
      <c r="G38" s="1"/>
      <c r="H38" s="1"/>
      <c r="I38" s="439">
        <f>K24+L24</f>
        <v>0</v>
      </c>
      <c r="J38" s="413"/>
      <c r="K38" s="413"/>
      <c r="L38" s="413"/>
      <c r="M38" s="413"/>
      <c r="N38" s="413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9A38-9EED-4627-A7B0-503372172E75}">
  <sheetPr>
    <tabColor rgb="FF7030A0"/>
  </sheetPr>
  <dimension ref="A1:Q49"/>
  <sheetViews>
    <sheetView workbookViewId="0">
      <selection activeCell="R30" sqref="R30"/>
    </sheetView>
  </sheetViews>
  <sheetFormatPr defaultRowHeight="15"/>
  <cols>
    <col min="2" max="2" width="10.42578125" bestFit="1" customWidth="1"/>
    <col min="7" max="7" width="11.85546875" bestFit="1" customWidth="1"/>
    <col min="9" max="9" width="9.7109375" bestFit="1" customWidth="1"/>
    <col min="10" max="10" width="10.85546875" bestFit="1" customWidth="1"/>
    <col min="11" max="12" width="13.5703125" bestFit="1" customWidth="1"/>
    <col min="13" max="13" width="10.85546875" bestFit="1" customWidth="1"/>
    <col min="14" max="14" width="10.42578125" bestFit="1" customWidth="1"/>
  </cols>
  <sheetData>
    <row r="1" spans="1:17" ht="15.75">
      <c r="A1" s="419" t="s">
        <v>68</v>
      </c>
      <c r="B1" s="419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65"/>
    </row>
    <row r="2" spans="1:17" ht="30.75">
      <c r="A2" s="76" t="s">
        <v>105</v>
      </c>
      <c r="B2" s="96" t="s">
        <v>106</v>
      </c>
      <c r="C2" s="96" t="s">
        <v>107</v>
      </c>
      <c r="D2" s="96" t="s">
        <v>108</v>
      </c>
      <c r="E2" s="96" t="s">
        <v>109</v>
      </c>
      <c r="F2" s="96" t="s">
        <v>110</v>
      </c>
      <c r="G2" s="96" t="s">
        <v>111</v>
      </c>
      <c r="H2" s="96" t="s">
        <v>112</v>
      </c>
      <c r="I2" s="96" t="s">
        <v>110</v>
      </c>
      <c r="J2" s="97" t="s">
        <v>111</v>
      </c>
      <c r="K2" s="76" t="s">
        <v>113</v>
      </c>
      <c r="L2" s="98" t="s">
        <v>114</v>
      </c>
      <c r="M2" s="186" t="s">
        <v>120</v>
      </c>
      <c r="N2" s="96" t="s">
        <v>116</v>
      </c>
      <c r="O2" s="71"/>
    </row>
    <row r="3" spans="1:17">
      <c r="A3" s="164"/>
      <c r="B3" s="165"/>
      <c r="C3" s="165"/>
      <c r="D3" s="147" t="s">
        <v>117</v>
      </c>
      <c r="E3" s="165"/>
      <c r="F3" s="165"/>
      <c r="G3" s="165"/>
      <c r="H3" s="165"/>
      <c r="I3" s="165"/>
      <c r="J3" s="166"/>
      <c r="K3" s="164">
        <v>0</v>
      </c>
      <c r="L3" s="167">
        <v>0</v>
      </c>
      <c r="M3" s="167">
        <v>155322.80800000002</v>
      </c>
      <c r="N3" s="165"/>
      <c r="O3" s="71"/>
    </row>
    <row r="4" spans="1:17">
      <c r="A4" s="55">
        <v>1</v>
      </c>
      <c r="B4" s="235">
        <v>45839</v>
      </c>
      <c r="C4" s="27"/>
      <c r="D4" s="27"/>
      <c r="E4" s="8">
        <v>0</v>
      </c>
      <c r="F4" s="8">
        <v>0</v>
      </c>
      <c r="G4" s="8">
        <f>E4*F4</f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67">
        <f>+K4</f>
        <v>0</v>
      </c>
      <c r="M4" s="8">
        <f>M3+K4-L4</f>
        <v>155322.80800000002</v>
      </c>
      <c r="N4" s="53"/>
      <c r="O4" s="1"/>
    </row>
    <row r="5" spans="1:17">
      <c r="A5" s="55">
        <v>2</v>
      </c>
      <c r="B5" s="235">
        <v>45840</v>
      </c>
      <c r="C5" s="27"/>
      <c r="D5" s="27"/>
      <c r="E5" s="8">
        <v>430.02</v>
      </c>
      <c r="F5" s="8">
        <v>92.04</v>
      </c>
      <c r="G5" s="8">
        <f t="shared" ref="G5:G34" si="0">E5*F5</f>
        <v>39579.040800000002</v>
      </c>
      <c r="H5" s="9">
        <v>35</v>
      </c>
      <c r="I5" s="9">
        <v>104.02</v>
      </c>
      <c r="J5" s="8">
        <f t="shared" ref="J5:J33" si="1">H5*I5</f>
        <v>3640.7</v>
      </c>
      <c r="K5" s="8">
        <f t="shared" ref="K5:K33" si="2">G5+J5</f>
        <v>43219.7408</v>
      </c>
      <c r="L5" s="167">
        <v>0</v>
      </c>
      <c r="M5" s="8">
        <f t="shared" ref="M5:M23" si="3">M4+K5-L5</f>
        <v>198542.54880000002</v>
      </c>
      <c r="N5" s="53"/>
      <c r="O5" s="1"/>
    </row>
    <row r="6" spans="1:17">
      <c r="A6" s="55">
        <v>3</v>
      </c>
      <c r="B6" s="235">
        <v>45841</v>
      </c>
      <c r="C6" s="27"/>
      <c r="D6" s="27"/>
      <c r="E6" s="8">
        <v>0</v>
      </c>
      <c r="F6" s="8">
        <v>0</v>
      </c>
      <c r="G6" s="8">
        <f t="shared" si="0"/>
        <v>0</v>
      </c>
      <c r="H6" s="9">
        <v>0</v>
      </c>
      <c r="I6" s="9">
        <v>0</v>
      </c>
      <c r="J6" s="8">
        <f t="shared" si="1"/>
        <v>0</v>
      </c>
      <c r="K6" s="8">
        <f t="shared" si="2"/>
        <v>0</v>
      </c>
      <c r="L6" s="167">
        <f t="shared" ref="L6:L32" si="4">+K6</f>
        <v>0</v>
      </c>
      <c r="M6" s="8">
        <f t="shared" si="3"/>
        <v>198542.54880000002</v>
      </c>
      <c r="N6" s="53"/>
      <c r="O6" s="1"/>
    </row>
    <row r="7" spans="1:17">
      <c r="A7" s="55">
        <v>4</v>
      </c>
      <c r="B7" s="235">
        <v>45842</v>
      </c>
      <c r="C7" s="27"/>
      <c r="D7" s="27"/>
      <c r="E7" s="8">
        <v>0</v>
      </c>
      <c r="F7" s="8">
        <v>0</v>
      </c>
      <c r="G7" s="8">
        <f t="shared" si="0"/>
        <v>0</v>
      </c>
      <c r="H7" s="9">
        <v>0</v>
      </c>
      <c r="I7" s="9">
        <v>0</v>
      </c>
      <c r="J7" s="8">
        <f t="shared" si="1"/>
        <v>0</v>
      </c>
      <c r="K7" s="8">
        <f t="shared" si="2"/>
        <v>0</v>
      </c>
      <c r="L7" s="167">
        <f t="shared" si="4"/>
        <v>0</v>
      </c>
      <c r="M7" s="8">
        <f t="shared" si="3"/>
        <v>198542.54880000002</v>
      </c>
      <c r="N7" s="53"/>
      <c r="O7" s="1"/>
    </row>
    <row r="8" spans="1:17">
      <c r="A8" s="55">
        <v>5</v>
      </c>
      <c r="B8" s="235">
        <v>45843</v>
      </c>
      <c r="C8" s="27"/>
      <c r="D8" s="27"/>
      <c r="E8" s="8">
        <v>0</v>
      </c>
      <c r="F8" s="8">
        <v>0</v>
      </c>
      <c r="G8" s="8">
        <f t="shared" si="0"/>
        <v>0</v>
      </c>
      <c r="H8" s="9">
        <v>0</v>
      </c>
      <c r="I8" s="9">
        <v>0</v>
      </c>
      <c r="J8" s="8">
        <f t="shared" si="1"/>
        <v>0</v>
      </c>
      <c r="K8" s="8">
        <f t="shared" si="2"/>
        <v>0</v>
      </c>
      <c r="L8" s="167">
        <f t="shared" si="4"/>
        <v>0</v>
      </c>
      <c r="M8" s="8">
        <f t="shared" si="3"/>
        <v>198542.54880000002</v>
      </c>
      <c r="N8" s="53"/>
      <c r="O8" s="1"/>
    </row>
    <row r="9" spans="1:17">
      <c r="A9" s="55">
        <v>6</v>
      </c>
      <c r="B9" s="235">
        <v>45844</v>
      </c>
      <c r="C9" s="27"/>
      <c r="D9" s="27"/>
      <c r="E9" s="8">
        <v>477</v>
      </c>
      <c r="F9" s="8">
        <v>92.04</v>
      </c>
      <c r="G9" s="8">
        <f t="shared" si="0"/>
        <v>43903.08</v>
      </c>
      <c r="H9" s="9">
        <v>40</v>
      </c>
      <c r="I9" s="9">
        <v>104.02</v>
      </c>
      <c r="J9" s="8">
        <f t="shared" si="1"/>
        <v>4160.8</v>
      </c>
      <c r="K9" s="8">
        <f t="shared" si="2"/>
        <v>48063.880000000005</v>
      </c>
      <c r="L9" s="167">
        <v>0</v>
      </c>
      <c r="M9" s="8">
        <f t="shared" si="3"/>
        <v>246606.42880000002</v>
      </c>
      <c r="N9" s="53"/>
      <c r="O9" s="1"/>
    </row>
    <row r="10" spans="1:17">
      <c r="A10" s="55">
        <v>7</v>
      </c>
      <c r="B10" s="235">
        <v>45845</v>
      </c>
      <c r="C10" s="27"/>
      <c r="D10" s="27"/>
      <c r="E10" s="8">
        <v>0</v>
      </c>
      <c r="F10" s="8">
        <v>0</v>
      </c>
      <c r="G10" s="8">
        <f t="shared" si="0"/>
        <v>0</v>
      </c>
      <c r="H10" s="9">
        <v>0</v>
      </c>
      <c r="I10" s="9">
        <v>0</v>
      </c>
      <c r="J10" s="8">
        <f t="shared" si="1"/>
        <v>0</v>
      </c>
      <c r="K10" s="8">
        <f t="shared" si="2"/>
        <v>0</v>
      </c>
      <c r="L10" s="167">
        <f t="shared" si="4"/>
        <v>0</v>
      </c>
      <c r="M10" s="8">
        <f t="shared" si="3"/>
        <v>246606.42880000002</v>
      </c>
      <c r="N10" s="53"/>
      <c r="O10" s="1"/>
    </row>
    <row r="11" spans="1:17">
      <c r="A11" s="55">
        <v>8</v>
      </c>
      <c r="B11" s="235">
        <v>45846</v>
      </c>
      <c r="C11" s="27"/>
      <c r="D11" s="27"/>
      <c r="E11" s="8">
        <v>0</v>
      </c>
      <c r="F11" s="8">
        <v>0</v>
      </c>
      <c r="G11" s="8">
        <f t="shared" si="0"/>
        <v>0</v>
      </c>
      <c r="H11" s="9">
        <v>0</v>
      </c>
      <c r="I11" s="9">
        <v>0</v>
      </c>
      <c r="J11" s="8">
        <f t="shared" si="1"/>
        <v>0</v>
      </c>
      <c r="K11" s="8">
        <f t="shared" si="2"/>
        <v>0</v>
      </c>
      <c r="L11" s="167">
        <f t="shared" si="4"/>
        <v>0</v>
      </c>
      <c r="M11" s="8">
        <f t="shared" si="3"/>
        <v>246606.42880000002</v>
      </c>
      <c r="N11" s="53"/>
      <c r="O11" s="1"/>
    </row>
    <row r="12" spans="1:17">
      <c r="A12" s="55">
        <v>9</v>
      </c>
      <c r="B12" s="235">
        <v>45847</v>
      </c>
      <c r="C12" s="27"/>
      <c r="D12" s="27"/>
      <c r="E12" s="8">
        <v>446.84</v>
      </c>
      <c r="F12" s="8">
        <v>92.04</v>
      </c>
      <c r="G12" s="8">
        <f t="shared" si="0"/>
        <v>41127.153599999998</v>
      </c>
      <c r="H12" s="9">
        <v>5.77</v>
      </c>
      <c r="I12" s="9">
        <v>104.02</v>
      </c>
      <c r="J12" s="8">
        <f t="shared" si="1"/>
        <v>600.19539999999995</v>
      </c>
      <c r="K12" s="8">
        <f t="shared" si="2"/>
        <v>41727.348999999995</v>
      </c>
      <c r="L12" s="167">
        <v>0</v>
      </c>
      <c r="M12" s="8">
        <f t="shared" si="3"/>
        <v>288333.77780000004</v>
      </c>
      <c r="N12" s="53"/>
      <c r="O12" s="1"/>
    </row>
    <row r="13" spans="1:17">
      <c r="A13" s="55">
        <v>10</v>
      </c>
      <c r="B13" s="235">
        <v>45848</v>
      </c>
      <c r="C13" s="27"/>
      <c r="D13" s="27"/>
      <c r="E13" s="8">
        <v>0</v>
      </c>
      <c r="F13" s="8">
        <v>0</v>
      </c>
      <c r="G13" s="8">
        <f t="shared" si="0"/>
        <v>0</v>
      </c>
      <c r="H13" s="9">
        <v>0</v>
      </c>
      <c r="I13" s="9">
        <v>0</v>
      </c>
      <c r="J13" s="8">
        <f t="shared" si="1"/>
        <v>0</v>
      </c>
      <c r="K13" s="8">
        <f t="shared" si="2"/>
        <v>0</v>
      </c>
      <c r="L13" s="8">
        <v>246606.42880000002</v>
      </c>
      <c r="M13" s="8">
        <f t="shared" si="3"/>
        <v>41727.349000000017</v>
      </c>
      <c r="N13" s="53"/>
      <c r="O13" s="1"/>
      <c r="Q13" s="167">
        <f>+K13</f>
        <v>0</v>
      </c>
    </row>
    <row r="14" spans="1:17">
      <c r="A14" s="55">
        <v>11</v>
      </c>
      <c r="B14" s="235">
        <v>45849</v>
      </c>
      <c r="C14" s="27"/>
      <c r="D14" s="27"/>
      <c r="E14" s="8">
        <v>200</v>
      </c>
      <c r="F14" s="8">
        <v>92.04</v>
      </c>
      <c r="G14" s="8">
        <f t="shared" si="0"/>
        <v>18408</v>
      </c>
      <c r="H14" s="9">
        <v>0</v>
      </c>
      <c r="I14" s="9">
        <v>0</v>
      </c>
      <c r="J14" s="8">
        <f t="shared" si="1"/>
        <v>0</v>
      </c>
      <c r="K14" s="8">
        <f t="shared" si="2"/>
        <v>18408</v>
      </c>
      <c r="L14" s="167">
        <v>0</v>
      </c>
      <c r="M14" s="8">
        <f t="shared" si="3"/>
        <v>60135.349000000017</v>
      </c>
      <c r="N14" s="53"/>
      <c r="O14" s="1"/>
    </row>
    <row r="15" spans="1:17">
      <c r="A15" s="55">
        <v>12</v>
      </c>
      <c r="B15" s="235">
        <v>45850</v>
      </c>
      <c r="C15" s="27"/>
      <c r="D15" s="27"/>
      <c r="E15" s="8">
        <v>470</v>
      </c>
      <c r="F15" s="8">
        <v>92.04</v>
      </c>
      <c r="G15" s="8">
        <f t="shared" si="0"/>
        <v>43258.8</v>
      </c>
      <c r="H15" s="9">
        <v>0</v>
      </c>
      <c r="I15" s="9">
        <v>0</v>
      </c>
      <c r="J15" s="8">
        <f t="shared" si="1"/>
        <v>0</v>
      </c>
      <c r="K15" s="8">
        <f t="shared" si="2"/>
        <v>43258.8</v>
      </c>
      <c r="L15" s="167"/>
      <c r="M15" s="8">
        <f t="shared" si="3"/>
        <v>103394.14900000002</v>
      </c>
      <c r="N15" s="53"/>
      <c r="O15" s="1"/>
    </row>
    <row r="16" spans="1:17">
      <c r="A16" s="55">
        <v>13</v>
      </c>
      <c r="B16" s="235">
        <v>45851</v>
      </c>
      <c r="C16" s="27"/>
      <c r="D16" s="27"/>
      <c r="E16" s="8">
        <v>0</v>
      </c>
      <c r="F16" s="8">
        <v>0</v>
      </c>
      <c r="G16" s="8">
        <f t="shared" si="0"/>
        <v>0</v>
      </c>
      <c r="H16" s="9">
        <v>0</v>
      </c>
      <c r="I16" s="9">
        <v>0</v>
      </c>
      <c r="J16" s="8">
        <f t="shared" si="1"/>
        <v>0</v>
      </c>
      <c r="K16" s="8">
        <f t="shared" si="2"/>
        <v>0</v>
      </c>
      <c r="L16" s="167">
        <f t="shared" si="4"/>
        <v>0</v>
      </c>
      <c r="M16" s="8">
        <f t="shared" si="3"/>
        <v>103394.14900000002</v>
      </c>
      <c r="N16" s="53"/>
      <c r="O16" s="1"/>
    </row>
    <row r="17" spans="1:15">
      <c r="A17" s="55">
        <v>14</v>
      </c>
      <c r="B17" s="235">
        <v>45852</v>
      </c>
      <c r="C17" s="27"/>
      <c r="D17" s="27"/>
      <c r="E17" s="8">
        <v>0</v>
      </c>
      <c r="F17" s="8">
        <v>0</v>
      </c>
      <c r="G17" s="8">
        <f t="shared" si="0"/>
        <v>0</v>
      </c>
      <c r="H17" s="9">
        <v>0</v>
      </c>
      <c r="I17" s="9">
        <v>0</v>
      </c>
      <c r="J17" s="8">
        <f t="shared" si="1"/>
        <v>0</v>
      </c>
      <c r="K17" s="8">
        <f t="shared" si="2"/>
        <v>0</v>
      </c>
      <c r="L17" s="167">
        <f t="shared" si="4"/>
        <v>0</v>
      </c>
      <c r="M17" s="8">
        <f t="shared" si="3"/>
        <v>103394.14900000002</v>
      </c>
      <c r="N17" s="53"/>
      <c r="O17" s="1"/>
    </row>
    <row r="18" spans="1:15">
      <c r="A18" s="55">
        <v>15</v>
      </c>
      <c r="B18" s="235">
        <v>45853</v>
      </c>
      <c r="C18" s="27"/>
      <c r="D18" s="27"/>
      <c r="E18" s="8">
        <v>0</v>
      </c>
      <c r="F18" s="8">
        <v>0</v>
      </c>
      <c r="G18" s="8">
        <f t="shared" si="0"/>
        <v>0</v>
      </c>
      <c r="H18" s="9">
        <v>0</v>
      </c>
      <c r="I18" s="9">
        <v>0</v>
      </c>
      <c r="J18" s="8">
        <f t="shared" si="1"/>
        <v>0</v>
      </c>
      <c r="K18" s="8">
        <f t="shared" si="2"/>
        <v>0</v>
      </c>
      <c r="L18" s="167">
        <f t="shared" si="4"/>
        <v>0</v>
      </c>
      <c r="M18" s="8">
        <f t="shared" si="3"/>
        <v>103394.14900000002</v>
      </c>
      <c r="N18" s="53"/>
      <c r="O18" s="1"/>
    </row>
    <row r="19" spans="1:15">
      <c r="A19" s="55">
        <v>16</v>
      </c>
      <c r="B19" s="235">
        <v>45854</v>
      </c>
      <c r="C19" s="27"/>
      <c r="D19" s="27"/>
      <c r="E19" s="8">
        <v>498.66</v>
      </c>
      <c r="F19" s="8">
        <v>92.04</v>
      </c>
      <c r="G19" s="8">
        <f t="shared" si="0"/>
        <v>45896.666400000002</v>
      </c>
      <c r="H19" s="9">
        <v>5</v>
      </c>
      <c r="I19" s="9">
        <v>104.02</v>
      </c>
      <c r="J19" s="8">
        <f t="shared" si="1"/>
        <v>520.1</v>
      </c>
      <c r="K19" s="8">
        <f t="shared" si="2"/>
        <v>46416.7664</v>
      </c>
      <c r="L19" s="167">
        <v>0</v>
      </c>
      <c r="M19" s="8">
        <f t="shared" si="3"/>
        <v>149810.91540000003</v>
      </c>
      <c r="N19" s="53"/>
      <c r="O19" s="1"/>
    </row>
    <row r="20" spans="1:15">
      <c r="A20" s="55">
        <v>17</v>
      </c>
      <c r="B20" s="235">
        <v>45855</v>
      </c>
      <c r="C20" s="27"/>
      <c r="D20" s="27"/>
      <c r="E20" s="8">
        <v>150</v>
      </c>
      <c r="F20" s="8">
        <v>92.04</v>
      </c>
      <c r="G20" s="8">
        <f t="shared" si="0"/>
        <v>13806.000000000002</v>
      </c>
      <c r="H20" s="9">
        <v>0</v>
      </c>
      <c r="I20" s="9">
        <v>0</v>
      </c>
      <c r="J20" s="8">
        <f t="shared" si="1"/>
        <v>0</v>
      </c>
      <c r="K20" s="8">
        <f t="shared" si="2"/>
        <v>13806.000000000002</v>
      </c>
      <c r="L20" s="167">
        <v>0</v>
      </c>
      <c r="M20" s="8">
        <f t="shared" si="3"/>
        <v>163616.91540000003</v>
      </c>
      <c r="N20" s="53"/>
      <c r="O20" s="1"/>
    </row>
    <row r="21" spans="1:15">
      <c r="A21" s="55">
        <v>18</v>
      </c>
      <c r="B21" s="235">
        <v>45856</v>
      </c>
      <c r="C21" s="27"/>
      <c r="D21" s="27"/>
      <c r="E21" s="8">
        <v>0</v>
      </c>
      <c r="F21" s="8">
        <v>0</v>
      </c>
      <c r="G21" s="8">
        <f t="shared" si="0"/>
        <v>0</v>
      </c>
      <c r="H21" s="9">
        <v>6</v>
      </c>
      <c r="I21" s="9">
        <v>104.02</v>
      </c>
      <c r="J21" s="8">
        <f t="shared" si="1"/>
        <v>624.12</v>
      </c>
      <c r="K21" s="8">
        <f t="shared" si="2"/>
        <v>624.12</v>
      </c>
      <c r="L21" s="167">
        <v>0</v>
      </c>
      <c r="M21" s="8">
        <f t="shared" si="3"/>
        <v>164241.03540000002</v>
      </c>
      <c r="N21" s="53"/>
      <c r="O21" s="1"/>
    </row>
    <row r="22" spans="1:15">
      <c r="A22" s="55">
        <v>19</v>
      </c>
      <c r="B22" s="235">
        <v>45857</v>
      </c>
      <c r="C22" s="27"/>
      <c r="D22" s="27"/>
      <c r="E22" s="8">
        <v>250</v>
      </c>
      <c r="F22" s="8">
        <v>92.04</v>
      </c>
      <c r="G22" s="8">
        <f t="shared" si="0"/>
        <v>23010</v>
      </c>
      <c r="H22" s="9">
        <v>0</v>
      </c>
      <c r="I22" s="9">
        <v>0</v>
      </c>
      <c r="J22" s="8">
        <f t="shared" si="1"/>
        <v>0</v>
      </c>
      <c r="K22" s="8">
        <f t="shared" si="2"/>
        <v>23010</v>
      </c>
      <c r="L22" s="167">
        <v>0</v>
      </c>
      <c r="M22" s="8">
        <f t="shared" si="3"/>
        <v>187251.03540000002</v>
      </c>
      <c r="N22" s="53"/>
      <c r="O22" s="1"/>
    </row>
    <row r="23" spans="1:15">
      <c r="A23" s="55">
        <v>20</v>
      </c>
      <c r="B23" s="235">
        <v>45858</v>
      </c>
      <c r="C23" s="27"/>
      <c r="D23" s="27"/>
      <c r="E23" s="8">
        <v>200</v>
      </c>
      <c r="F23" s="8">
        <v>92.04</v>
      </c>
      <c r="G23" s="8">
        <f t="shared" si="0"/>
        <v>18408</v>
      </c>
      <c r="H23" s="9">
        <v>0</v>
      </c>
      <c r="I23" s="9">
        <v>0</v>
      </c>
      <c r="J23" s="8">
        <f t="shared" si="1"/>
        <v>0</v>
      </c>
      <c r="K23" s="8">
        <f t="shared" si="2"/>
        <v>18408</v>
      </c>
      <c r="L23" s="167">
        <v>0</v>
      </c>
      <c r="M23" s="8">
        <f t="shared" si="3"/>
        <v>205659.03540000002</v>
      </c>
      <c r="N23" s="53"/>
      <c r="O23" s="1"/>
    </row>
    <row r="24" spans="1:15">
      <c r="A24" s="55">
        <v>21</v>
      </c>
      <c r="B24" s="235">
        <v>45859</v>
      </c>
      <c r="C24" s="27"/>
      <c r="D24" s="27"/>
      <c r="E24" s="8">
        <v>575</v>
      </c>
      <c r="F24" s="8">
        <v>92.04</v>
      </c>
      <c r="G24" s="8">
        <f t="shared" si="0"/>
        <v>52923</v>
      </c>
      <c r="H24" s="9">
        <v>18</v>
      </c>
      <c r="I24" s="9">
        <v>104.02</v>
      </c>
      <c r="J24" s="8">
        <f t="shared" si="1"/>
        <v>1872.36</v>
      </c>
      <c r="K24" s="8">
        <f t="shared" si="2"/>
        <v>54795.360000000001</v>
      </c>
      <c r="L24" s="167">
        <v>0</v>
      </c>
      <c r="M24" s="8">
        <f t="shared" ref="L5:M34" si="5">M23+K24-L24</f>
        <v>260454.39540000004</v>
      </c>
      <c r="N24" s="53"/>
      <c r="O24" s="1"/>
    </row>
    <row r="25" spans="1:15">
      <c r="A25" s="55">
        <v>22</v>
      </c>
      <c r="B25" s="235">
        <v>45860</v>
      </c>
      <c r="C25" s="27"/>
      <c r="D25" s="27"/>
      <c r="E25" s="8">
        <v>165</v>
      </c>
      <c r="F25" s="8">
        <v>92.04</v>
      </c>
      <c r="G25" s="8">
        <f t="shared" si="0"/>
        <v>15186.6</v>
      </c>
      <c r="H25" s="9">
        <v>35</v>
      </c>
      <c r="I25" s="9">
        <v>104.02</v>
      </c>
      <c r="J25" s="8">
        <f t="shared" si="1"/>
        <v>3640.7</v>
      </c>
      <c r="K25" s="8">
        <f t="shared" si="2"/>
        <v>18827.3</v>
      </c>
      <c r="L25" s="167">
        <v>0</v>
      </c>
      <c r="M25" s="8">
        <f t="shared" si="5"/>
        <v>279281.69540000003</v>
      </c>
      <c r="N25" s="53"/>
      <c r="O25" s="1"/>
    </row>
    <row r="26" spans="1:15">
      <c r="A26" s="55">
        <v>23</v>
      </c>
      <c r="B26" s="235">
        <v>45861</v>
      </c>
      <c r="C26" s="27"/>
      <c r="D26" s="27"/>
      <c r="E26" s="8">
        <v>250</v>
      </c>
      <c r="F26" s="8">
        <v>92.04</v>
      </c>
      <c r="G26" s="8">
        <f t="shared" si="0"/>
        <v>23010</v>
      </c>
      <c r="H26" s="9">
        <v>0</v>
      </c>
      <c r="I26" s="9">
        <v>0</v>
      </c>
      <c r="J26" s="8">
        <f t="shared" si="1"/>
        <v>0</v>
      </c>
      <c r="K26" s="8">
        <f t="shared" si="2"/>
        <v>23010</v>
      </c>
      <c r="L26" s="167">
        <v>0</v>
      </c>
      <c r="M26" s="8">
        <f t="shared" si="5"/>
        <v>302291.69540000003</v>
      </c>
      <c r="N26" s="53"/>
      <c r="O26" s="1"/>
    </row>
    <row r="27" spans="1:15">
      <c r="A27" s="55">
        <v>24</v>
      </c>
      <c r="B27" s="235">
        <v>45862</v>
      </c>
      <c r="C27" s="27"/>
      <c r="D27" s="27"/>
      <c r="E27" s="8">
        <v>0</v>
      </c>
      <c r="F27" s="8">
        <v>0</v>
      </c>
      <c r="G27" s="8">
        <f t="shared" si="0"/>
        <v>0</v>
      </c>
      <c r="H27" s="9">
        <v>0</v>
      </c>
      <c r="I27" s="9">
        <v>0</v>
      </c>
      <c r="J27" s="8">
        <f t="shared" si="1"/>
        <v>0</v>
      </c>
      <c r="K27" s="8">
        <f t="shared" si="2"/>
        <v>0</v>
      </c>
      <c r="L27" s="167">
        <f t="shared" si="4"/>
        <v>0</v>
      </c>
      <c r="M27" s="8">
        <f t="shared" si="5"/>
        <v>302291.69540000003</v>
      </c>
      <c r="N27" s="53"/>
      <c r="O27" s="1"/>
    </row>
    <row r="28" spans="1:15">
      <c r="A28" s="55">
        <v>25</v>
      </c>
      <c r="B28" s="235">
        <v>45863</v>
      </c>
      <c r="C28" s="27"/>
      <c r="D28" s="27"/>
      <c r="E28" s="8">
        <v>0</v>
      </c>
      <c r="F28" s="8">
        <v>0</v>
      </c>
      <c r="G28" s="8">
        <f t="shared" si="0"/>
        <v>0</v>
      </c>
      <c r="H28" s="9">
        <v>0</v>
      </c>
      <c r="I28" s="9">
        <v>0</v>
      </c>
      <c r="J28" s="8">
        <f t="shared" si="1"/>
        <v>0</v>
      </c>
      <c r="K28" s="8">
        <f t="shared" si="2"/>
        <v>0</v>
      </c>
      <c r="L28" s="167">
        <v>0</v>
      </c>
      <c r="M28" s="8">
        <f t="shared" si="5"/>
        <v>302291.69540000003</v>
      </c>
      <c r="N28" s="53"/>
      <c r="O28" s="1"/>
    </row>
    <row r="29" spans="1:15">
      <c r="A29" s="55">
        <v>26</v>
      </c>
      <c r="B29" s="235">
        <v>45864</v>
      </c>
      <c r="C29" s="27"/>
      <c r="D29" s="27"/>
      <c r="E29" s="8">
        <v>0</v>
      </c>
      <c r="F29" s="8">
        <v>0</v>
      </c>
      <c r="G29" s="8">
        <f t="shared" si="0"/>
        <v>0</v>
      </c>
      <c r="H29" s="9">
        <v>0</v>
      </c>
      <c r="I29" s="9">
        <v>0</v>
      </c>
      <c r="J29" s="8">
        <f t="shared" si="1"/>
        <v>0</v>
      </c>
      <c r="K29" s="8">
        <f t="shared" si="2"/>
        <v>0</v>
      </c>
      <c r="L29" s="167">
        <v>300000</v>
      </c>
      <c r="M29" s="8">
        <f t="shared" si="5"/>
        <v>2291.695400000026</v>
      </c>
      <c r="N29" s="53"/>
      <c r="O29" s="1"/>
    </row>
    <row r="30" spans="1:15">
      <c r="A30" s="55">
        <v>27</v>
      </c>
      <c r="B30" s="235">
        <v>45865</v>
      </c>
      <c r="C30" s="27"/>
      <c r="D30" s="27"/>
      <c r="E30" s="8">
        <v>0</v>
      </c>
      <c r="F30" s="8">
        <v>0</v>
      </c>
      <c r="G30" s="8">
        <f t="shared" si="0"/>
        <v>0</v>
      </c>
      <c r="H30" s="9">
        <v>0</v>
      </c>
      <c r="I30" s="9">
        <v>0</v>
      </c>
      <c r="J30" s="8">
        <f t="shared" si="1"/>
        <v>0</v>
      </c>
      <c r="K30" s="8">
        <f t="shared" si="2"/>
        <v>0</v>
      </c>
      <c r="L30" s="167">
        <f t="shared" si="4"/>
        <v>0</v>
      </c>
      <c r="M30" s="8">
        <f t="shared" si="5"/>
        <v>2291.695400000026</v>
      </c>
      <c r="N30" s="53"/>
      <c r="O30" s="1"/>
    </row>
    <row r="31" spans="1:15">
      <c r="A31" s="55">
        <v>28</v>
      </c>
      <c r="B31" s="235">
        <v>45866</v>
      </c>
      <c r="C31" s="27"/>
      <c r="D31" s="27"/>
      <c r="E31" s="8">
        <v>200</v>
      </c>
      <c r="F31" s="8">
        <v>92.04</v>
      </c>
      <c r="G31" s="8">
        <f t="shared" si="0"/>
        <v>18408</v>
      </c>
      <c r="H31" s="9">
        <v>0</v>
      </c>
      <c r="I31" s="9">
        <v>0</v>
      </c>
      <c r="J31" s="8">
        <f t="shared" si="1"/>
        <v>0</v>
      </c>
      <c r="K31" s="8">
        <f t="shared" si="2"/>
        <v>18408</v>
      </c>
      <c r="L31" s="167">
        <v>0</v>
      </c>
      <c r="M31" s="8">
        <f t="shared" si="5"/>
        <v>20699.695400000026</v>
      </c>
      <c r="N31" s="53"/>
      <c r="O31" s="1"/>
    </row>
    <row r="32" spans="1:15">
      <c r="A32" s="229">
        <v>29</v>
      </c>
      <c r="B32" s="235">
        <v>45867</v>
      </c>
      <c r="C32" s="27"/>
      <c r="D32" s="27"/>
      <c r="E32" s="8">
        <v>270</v>
      </c>
      <c r="F32" s="8">
        <v>92.04</v>
      </c>
      <c r="G32" s="8">
        <f t="shared" si="0"/>
        <v>24850.800000000003</v>
      </c>
      <c r="H32" s="9">
        <v>5</v>
      </c>
      <c r="I32" s="9">
        <v>104.02</v>
      </c>
      <c r="J32" s="8">
        <f t="shared" si="1"/>
        <v>520.1</v>
      </c>
      <c r="K32" s="8">
        <f t="shared" si="2"/>
        <v>25370.9</v>
      </c>
      <c r="L32" s="167">
        <v>0</v>
      </c>
      <c r="M32" s="8">
        <f t="shared" si="5"/>
        <v>46070.595400000027</v>
      </c>
      <c r="N32" s="53"/>
      <c r="O32" s="1"/>
    </row>
    <row r="33" spans="1:15">
      <c r="A33" s="229">
        <v>30</v>
      </c>
      <c r="B33" s="235">
        <v>45868</v>
      </c>
      <c r="C33" s="27"/>
      <c r="D33" s="27"/>
      <c r="E33" s="8">
        <v>0</v>
      </c>
      <c r="F33" s="8">
        <v>0</v>
      </c>
      <c r="G33" s="8">
        <f t="shared" si="0"/>
        <v>0</v>
      </c>
      <c r="H33" s="9">
        <v>0</v>
      </c>
      <c r="I33" s="9">
        <v>0</v>
      </c>
      <c r="J33" s="8">
        <f t="shared" si="1"/>
        <v>0</v>
      </c>
      <c r="K33" s="8">
        <f t="shared" si="2"/>
        <v>0</v>
      </c>
      <c r="L33" s="167">
        <v>0</v>
      </c>
      <c r="M33" s="8">
        <f t="shared" si="5"/>
        <v>46070.595400000027</v>
      </c>
      <c r="N33" s="53"/>
      <c r="O33" s="1"/>
    </row>
    <row r="34" spans="1:15">
      <c r="A34" s="229">
        <v>31</v>
      </c>
      <c r="B34" s="235">
        <v>45869</v>
      </c>
      <c r="C34" s="27"/>
      <c r="D34" s="27"/>
      <c r="E34" s="8">
        <v>79.260000000000005</v>
      </c>
      <c r="F34" s="8">
        <v>92.04</v>
      </c>
      <c r="G34" s="8">
        <f t="shared" si="0"/>
        <v>7295.090400000001</v>
      </c>
      <c r="H34" s="9"/>
      <c r="I34" s="9"/>
      <c r="J34" s="8">
        <f t="shared" ref="J34" si="6">H34*I34</f>
        <v>0</v>
      </c>
      <c r="K34" s="8">
        <f t="shared" ref="K34" si="7">G34+J34</f>
        <v>7295.090400000001</v>
      </c>
      <c r="L34" s="167">
        <v>0</v>
      </c>
      <c r="M34" s="8">
        <f t="shared" si="5"/>
        <v>53365.685800000028</v>
      </c>
      <c r="N34" s="53"/>
      <c r="O34" s="1"/>
    </row>
    <row r="35" spans="1:15">
      <c r="A35" s="74"/>
      <c r="B35" s="74"/>
      <c r="C35" s="74"/>
      <c r="D35" s="74"/>
      <c r="E35" s="75">
        <f>SUM(E4:E34)</f>
        <v>4661.7800000000007</v>
      </c>
      <c r="F35" s="75"/>
      <c r="G35" s="75">
        <f>SUM(G4:G34)</f>
        <v>429070.23119999992</v>
      </c>
      <c r="H35" s="75">
        <f>SUM(H4:H34)</f>
        <v>149.76999999999998</v>
      </c>
      <c r="I35" s="75"/>
      <c r="J35" s="75">
        <f>SUM(J4:J34)</f>
        <v>15579.075400000003</v>
      </c>
      <c r="K35" s="75">
        <f>SUM(K4:K34)</f>
        <v>444649.30659999995</v>
      </c>
      <c r="L35" s="75">
        <f>SUM(L4:L34)</f>
        <v>546606.42879999999</v>
      </c>
      <c r="M35" s="75"/>
      <c r="N35" s="75"/>
      <c r="O35" s="71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413"/>
      <c r="C38" s="413"/>
      <c r="D38" s="413"/>
      <c r="E38" s="413"/>
      <c r="F38" s="1"/>
      <c r="G38" s="1"/>
      <c r="H38" s="1"/>
      <c r="I38" s="439">
        <f>K24+L24</f>
        <v>54795.360000000001</v>
      </c>
      <c r="J38" s="413"/>
      <c r="K38" s="413"/>
      <c r="L38" s="413"/>
      <c r="M38" s="413"/>
      <c r="N38" s="413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C07-664F-47CB-AB94-1FA0A3439A5B}">
  <sheetPr>
    <tabColor rgb="FF7030A0"/>
  </sheetPr>
  <dimension ref="A1:R44"/>
  <sheetViews>
    <sheetView workbookViewId="0">
      <pane ySplit="2" topLeftCell="A3" activePane="bottomLeft" state="frozen"/>
      <selection pane="bottomLeft" activeCell="P27" sqref="P27"/>
    </sheetView>
  </sheetViews>
  <sheetFormatPr defaultRowHeight="15"/>
  <cols>
    <col min="2" max="2" width="11.5703125" bestFit="1" customWidth="1"/>
    <col min="4" max="4" width="16" bestFit="1" customWidth="1"/>
    <col min="5" max="5" width="11.85546875" customWidth="1"/>
    <col min="6" max="6" width="13.7109375" customWidth="1"/>
    <col min="7" max="7" width="10.85546875" bestFit="1" customWidth="1"/>
    <col min="8" max="8" width="11.7109375" customWidth="1"/>
    <col min="10" max="10" width="12" customWidth="1"/>
    <col min="11" max="11" width="11.85546875" customWidth="1"/>
    <col min="12" max="13" width="14" customWidth="1"/>
    <col min="14" max="14" width="14.85546875" customWidth="1"/>
    <col min="15" max="15" width="18.5703125" customWidth="1"/>
    <col min="16" max="16" width="13" customWidth="1"/>
  </cols>
  <sheetData>
    <row r="1" spans="1:16" ht="15.75">
      <c r="A1" s="428" t="s">
        <v>70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95"/>
    </row>
    <row r="2" spans="1:16">
      <c r="A2" s="111" t="s">
        <v>105</v>
      </c>
      <c r="B2" s="112" t="s">
        <v>106</v>
      </c>
      <c r="C2" s="112" t="s">
        <v>107</v>
      </c>
      <c r="D2" s="112" t="s">
        <v>121</v>
      </c>
      <c r="E2" s="112" t="s">
        <v>109</v>
      </c>
      <c r="F2" s="112" t="s">
        <v>110</v>
      </c>
      <c r="G2" s="112" t="s">
        <v>111</v>
      </c>
      <c r="H2" s="112" t="s">
        <v>112</v>
      </c>
      <c r="I2" s="112" t="s">
        <v>110</v>
      </c>
      <c r="J2" s="153" t="s">
        <v>111</v>
      </c>
      <c r="K2" s="113" t="s">
        <v>113</v>
      </c>
      <c r="L2" s="154" t="s">
        <v>114</v>
      </c>
      <c r="M2" s="159" t="s">
        <v>120</v>
      </c>
      <c r="N2" s="114" t="s">
        <v>116</v>
      </c>
      <c r="O2" s="71"/>
    </row>
    <row r="3" spans="1:16">
      <c r="A3" s="420" t="s">
        <v>117</v>
      </c>
      <c r="B3" s="421"/>
      <c r="C3" s="421"/>
      <c r="D3" s="421"/>
      <c r="E3" s="421"/>
      <c r="F3" s="421"/>
      <c r="G3" s="421"/>
      <c r="H3" s="421"/>
      <c r="I3" s="421"/>
      <c r="J3" s="429"/>
      <c r="K3" s="183">
        <v>74049.038700000005</v>
      </c>
      <c r="L3" s="19"/>
      <c r="M3" s="120">
        <f>+K3</f>
        <v>74049.038700000005</v>
      </c>
      <c r="N3" s="19"/>
      <c r="O3" s="71"/>
    </row>
    <row r="4" spans="1:16">
      <c r="A4" s="55">
        <v>1</v>
      </c>
      <c r="B4" s="235">
        <v>45839</v>
      </c>
      <c r="C4" s="171"/>
      <c r="D4" s="172"/>
      <c r="E4" s="173">
        <v>25</v>
      </c>
      <c r="F4" s="173">
        <v>91.83</v>
      </c>
      <c r="G4" s="155">
        <f>E4*F4</f>
        <v>2295.75</v>
      </c>
      <c r="H4" s="173">
        <v>0</v>
      </c>
      <c r="I4" s="174">
        <v>0</v>
      </c>
      <c r="J4" s="22">
        <f>H4*I4</f>
        <v>0</v>
      </c>
      <c r="K4" s="22">
        <f>G4+J4</f>
        <v>2295.75</v>
      </c>
      <c r="L4" s="157"/>
      <c r="M4" s="157">
        <f>M3+K4-L4</f>
        <v>76344.788700000005</v>
      </c>
      <c r="N4" s="158"/>
    </row>
    <row r="5" spans="1:16">
      <c r="A5" s="55">
        <v>2</v>
      </c>
      <c r="B5" s="235">
        <v>45840</v>
      </c>
      <c r="C5" s="11"/>
      <c r="D5" s="11"/>
      <c r="E5" s="173">
        <v>10</v>
      </c>
      <c r="F5" s="173">
        <v>91.83</v>
      </c>
      <c r="G5" s="155">
        <f t="shared" ref="G5:G34" si="0">E5*F5</f>
        <v>918.3</v>
      </c>
      <c r="H5" s="173">
        <v>0</v>
      </c>
      <c r="I5" s="174">
        <v>0</v>
      </c>
      <c r="J5" s="22">
        <f t="shared" ref="J5:J34" si="1">H5*I5</f>
        <v>0</v>
      </c>
      <c r="K5" s="22">
        <f t="shared" ref="K5:K34" si="2">G5+J5</f>
        <v>918.3</v>
      </c>
      <c r="L5" s="157"/>
      <c r="M5" s="16">
        <f>M4+K5-L5</f>
        <v>77263.088700000008</v>
      </c>
      <c r="N5" s="13"/>
    </row>
    <row r="6" spans="1:16">
      <c r="A6" s="55">
        <v>3</v>
      </c>
      <c r="B6" s="235">
        <v>45841</v>
      </c>
      <c r="C6" s="11"/>
      <c r="D6" s="11"/>
      <c r="E6" s="173">
        <v>0</v>
      </c>
      <c r="F6" s="173">
        <v>0</v>
      </c>
      <c r="G6" s="155">
        <f t="shared" si="0"/>
        <v>0</v>
      </c>
      <c r="H6" s="173">
        <v>0</v>
      </c>
      <c r="I6" s="174">
        <v>0</v>
      </c>
      <c r="J6" s="22">
        <f t="shared" si="1"/>
        <v>0</v>
      </c>
      <c r="K6" s="22">
        <f t="shared" si="2"/>
        <v>0</v>
      </c>
      <c r="L6" s="157"/>
      <c r="M6" s="16">
        <f>M5+K6-L6</f>
        <v>77263.088700000008</v>
      </c>
      <c r="N6" s="14"/>
    </row>
    <row r="7" spans="1:16">
      <c r="A7" s="55">
        <v>4</v>
      </c>
      <c r="B7" s="235">
        <v>45842</v>
      </c>
      <c r="C7" s="82"/>
      <c r="D7" s="83"/>
      <c r="E7" s="173">
        <v>30</v>
      </c>
      <c r="F7" s="173">
        <v>91.83</v>
      </c>
      <c r="G7" s="155">
        <f t="shared" si="0"/>
        <v>2754.9</v>
      </c>
      <c r="H7" s="173">
        <v>15</v>
      </c>
      <c r="I7" s="174">
        <v>103.8</v>
      </c>
      <c r="J7" s="22">
        <f t="shared" si="1"/>
        <v>1557</v>
      </c>
      <c r="K7" s="22">
        <f t="shared" si="2"/>
        <v>4311.8999999999996</v>
      </c>
      <c r="L7" s="157"/>
      <c r="M7" s="16">
        <f>M6+K7-L7</f>
        <v>81574.988700000002</v>
      </c>
      <c r="N7" s="47"/>
    </row>
    <row r="8" spans="1:16">
      <c r="A8" s="55">
        <v>5</v>
      </c>
      <c r="B8" s="235">
        <v>45843</v>
      </c>
      <c r="C8" s="82"/>
      <c r="D8" s="83"/>
      <c r="E8" s="173">
        <v>100</v>
      </c>
      <c r="F8" s="173">
        <v>91.83</v>
      </c>
      <c r="G8" s="155">
        <f t="shared" si="0"/>
        <v>9183</v>
      </c>
      <c r="H8" s="173">
        <v>0</v>
      </c>
      <c r="I8" s="174">
        <v>0</v>
      </c>
      <c r="J8" s="22">
        <f t="shared" si="1"/>
        <v>0</v>
      </c>
      <c r="K8" s="22">
        <f t="shared" si="2"/>
        <v>9183</v>
      </c>
      <c r="L8" s="157"/>
      <c r="M8" s="16">
        <f>M7+K8-L8</f>
        <v>90757.988700000002</v>
      </c>
      <c r="N8" s="47"/>
      <c r="O8" s="297">
        <v>8497892194</v>
      </c>
      <c r="P8" s="298" t="s">
        <v>125</v>
      </c>
    </row>
    <row r="9" spans="1:16">
      <c r="A9" s="55">
        <v>6</v>
      </c>
      <c r="B9" s="235">
        <v>45844</v>
      </c>
      <c r="C9" s="82"/>
      <c r="D9" s="83"/>
      <c r="E9" s="173">
        <v>0</v>
      </c>
      <c r="F9" s="173">
        <v>0</v>
      </c>
      <c r="G9" s="155">
        <f t="shared" si="0"/>
        <v>0</v>
      </c>
      <c r="H9" s="173">
        <v>0</v>
      </c>
      <c r="I9" s="174">
        <v>0</v>
      </c>
      <c r="J9" s="22">
        <f t="shared" si="1"/>
        <v>0</v>
      </c>
      <c r="K9" s="22">
        <f t="shared" si="2"/>
        <v>0</v>
      </c>
      <c r="L9" s="157"/>
      <c r="M9" s="16">
        <f>M8+K9-L9</f>
        <v>90757.988700000002</v>
      </c>
      <c r="N9" s="47"/>
      <c r="O9" s="81"/>
    </row>
    <row r="10" spans="1:16">
      <c r="A10" s="55">
        <v>7</v>
      </c>
      <c r="B10" s="235">
        <v>45845</v>
      </c>
      <c r="C10" s="82"/>
      <c r="D10" s="83"/>
      <c r="E10" s="173">
        <v>0</v>
      </c>
      <c r="F10" s="173">
        <v>0</v>
      </c>
      <c r="G10" s="155">
        <f t="shared" si="0"/>
        <v>0</v>
      </c>
      <c r="H10" s="173">
        <v>0</v>
      </c>
      <c r="I10" s="174">
        <v>0</v>
      </c>
      <c r="J10" s="22">
        <f t="shared" si="1"/>
        <v>0</v>
      </c>
      <c r="K10" s="22">
        <f t="shared" si="2"/>
        <v>0</v>
      </c>
      <c r="L10" s="157"/>
      <c r="M10" s="16">
        <f>M9+K10-L10</f>
        <v>90757.988700000002</v>
      </c>
      <c r="N10" s="47"/>
      <c r="O10" s="81"/>
    </row>
    <row r="11" spans="1:16">
      <c r="A11" s="55">
        <v>8</v>
      </c>
      <c r="B11" s="235">
        <v>45846</v>
      </c>
      <c r="C11" s="82"/>
      <c r="D11" s="83"/>
      <c r="E11" s="173">
        <v>0</v>
      </c>
      <c r="F11" s="173">
        <v>0</v>
      </c>
      <c r="G11" s="155">
        <f t="shared" si="0"/>
        <v>0</v>
      </c>
      <c r="H11" s="173">
        <v>5</v>
      </c>
      <c r="I11" s="174">
        <v>103.8</v>
      </c>
      <c r="J11" s="22">
        <f t="shared" si="1"/>
        <v>519</v>
      </c>
      <c r="K11" s="22">
        <f t="shared" si="2"/>
        <v>519</v>
      </c>
      <c r="L11" s="157"/>
      <c r="M11" s="16">
        <f>M10+K11-L11</f>
        <v>91276.988700000002</v>
      </c>
      <c r="N11" s="47"/>
      <c r="O11" s="81"/>
    </row>
    <row r="12" spans="1:16">
      <c r="A12" s="55">
        <v>9</v>
      </c>
      <c r="B12" s="235">
        <v>45847</v>
      </c>
      <c r="C12" s="82"/>
      <c r="D12" s="83"/>
      <c r="E12" s="173">
        <v>0</v>
      </c>
      <c r="F12" s="173">
        <v>0</v>
      </c>
      <c r="G12" s="155">
        <f t="shared" si="0"/>
        <v>0</v>
      </c>
      <c r="H12" s="173">
        <v>5</v>
      </c>
      <c r="I12" s="174">
        <v>103.8</v>
      </c>
      <c r="J12" s="22">
        <f t="shared" si="1"/>
        <v>519</v>
      </c>
      <c r="K12" s="22">
        <f t="shared" si="2"/>
        <v>519</v>
      </c>
      <c r="L12" s="157"/>
      <c r="M12" s="16">
        <f>M11+K12-L12</f>
        <v>91795.988700000002</v>
      </c>
      <c r="N12" s="47"/>
      <c r="O12" s="81"/>
    </row>
    <row r="13" spans="1:16">
      <c r="A13" s="55">
        <v>10</v>
      </c>
      <c r="B13" s="235">
        <v>45848</v>
      </c>
      <c r="C13" s="82"/>
      <c r="D13" s="83"/>
      <c r="E13" s="173">
        <v>0</v>
      </c>
      <c r="F13" s="173">
        <v>0</v>
      </c>
      <c r="G13" s="155">
        <f t="shared" si="0"/>
        <v>0</v>
      </c>
      <c r="H13" s="173">
        <v>7</v>
      </c>
      <c r="I13" s="174">
        <v>103.8</v>
      </c>
      <c r="J13" s="22">
        <f t="shared" si="1"/>
        <v>726.6</v>
      </c>
      <c r="K13" s="22">
        <f t="shared" si="2"/>
        <v>726.6</v>
      </c>
      <c r="L13" s="157"/>
      <c r="M13" s="16">
        <f>M12+K13-L13</f>
        <v>92522.588700000008</v>
      </c>
      <c r="N13" s="47"/>
      <c r="O13" s="81"/>
    </row>
    <row r="14" spans="1:16">
      <c r="A14" s="55">
        <v>11</v>
      </c>
      <c r="B14" s="235">
        <v>45849</v>
      </c>
      <c r="C14" s="82"/>
      <c r="D14" s="83"/>
      <c r="E14" s="173">
        <v>25</v>
      </c>
      <c r="F14" s="173">
        <v>91.83</v>
      </c>
      <c r="G14" s="155">
        <f t="shared" si="0"/>
        <v>2295.75</v>
      </c>
      <c r="H14" s="173">
        <v>0</v>
      </c>
      <c r="I14" s="174">
        <v>0</v>
      </c>
      <c r="J14" s="22">
        <f t="shared" si="1"/>
        <v>0</v>
      </c>
      <c r="K14" s="22">
        <f t="shared" si="2"/>
        <v>2295.75</v>
      </c>
      <c r="L14" s="157"/>
      <c r="M14" s="16">
        <f>M13+K14-L14</f>
        <v>94818.338700000008</v>
      </c>
      <c r="N14" s="47"/>
      <c r="O14" s="81"/>
    </row>
    <row r="15" spans="1:16">
      <c r="A15" s="55">
        <v>12</v>
      </c>
      <c r="B15" s="235">
        <v>45850</v>
      </c>
      <c r="C15" s="82"/>
      <c r="D15" s="83"/>
      <c r="E15" s="173">
        <v>0</v>
      </c>
      <c r="F15" s="173">
        <v>0</v>
      </c>
      <c r="G15" s="155">
        <f t="shared" si="0"/>
        <v>0</v>
      </c>
      <c r="H15" s="173">
        <v>5</v>
      </c>
      <c r="I15" s="174">
        <v>103.8</v>
      </c>
      <c r="J15" s="22">
        <f t="shared" si="1"/>
        <v>519</v>
      </c>
      <c r="K15" s="22">
        <f t="shared" si="2"/>
        <v>519</v>
      </c>
      <c r="L15" s="157"/>
      <c r="M15" s="16">
        <f>M14+K15-L15</f>
        <v>95337.338700000008</v>
      </c>
      <c r="N15" s="47"/>
      <c r="O15" s="81"/>
    </row>
    <row r="16" spans="1:16">
      <c r="A16" s="55">
        <v>13</v>
      </c>
      <c r="B16" s="235">
        <v>45851</v>
      </c>
      <c r="C16" s="82"/>
      <c r="D16" s="83"/>
      <c r="E16" s="173">
        <v>0</v>
      </c>
      <c r="F16" s="173">
        <v>0</v>
      </c>
      <c r="G16" s="155">
        <f t="shared" si="0"/>
        <v>0</v>
      </c>
      <c r="H16" s="173">
        <v>0</v>
      </c>
      <c r="I16" s="174">
        <v>0</v>
      </c>
      <c r="J16" s="22">
        <f t="shared" si="1"/>
        <v>0</v>
      </c>
      <c r="K16" s="22">
        <f>G16+J16</f>
        <v>0</v>
      </c>
      <c r="L16" s="157"/>
      <c r="M16" s="296">
        <f>M15+K16-L16</f>
        <v>95337.338700000008</v>
      </c>
      <c r="N16" s="47"/>
      <c r="O16" s="81"/>
    </row>
    <row r="17" spans="1:18">
      <c r="A17" s="55">
        <v>14</v>
      </c>
      <c r="B17" s="235">
        <v>45852</v>
      </c>
      <c r="C17" s="82"/>
      <c r="D17" s="83"/>
      <c r="E17" s="173">
        <v>0</v>
      </c>
      <c r="F17" s="173">
        <v>0</v>
      </c>
      <c r="G17" s="155">
        <f t="shared" si="0"/>
        <v>0</v>
      </c>
      <c r="H17" s="173">
        <v>0</v>
      </c>
      <c r="I17" s="174">
        <v>0</v>
      </c>
      <c r="J17" s="22">
        <f t="shared" si="1"/>
        <v>0</v>
      </c>
      <c r="K17" s="22">
        <f t="shared" si="2"/>
        <v>0</v>
      </c>
      <c r="L17" s="157"/>
      <c r="M17" s="16">
        <f>M16+K17-L17</f>
        <v>95337.338700000008</v>
      </c>
      <c r="N17" s="47"/>
      <c r="O17" s="81"/>
    </row>
    <row r="18" spans="1:18">
      <c r="A18" s="55">
        <v>15</v>
      </c>
      <c r="B18" s="235">
        <v>45853</v>
      </c>
      <c r="C18" s="82"/>
      <c r="D18" s="83"/>
      <c r="E18" s="173">
        <v>0</v>
      </c>
      <c r="F18" s="173">
        <v>0</v>
      </c>
      <c r="G18" s="155">
        <f t="shared" si="0"/>
        <v>0</v>
      </c>
      <c r="H18" s="173">
        <v>0</v>
      </c>
      <c r="I18" s="174">
        <v>0</v>
      </c>
      <c r="J18" s="22">
        <f t="shared" si="1"/>
        <v>0</v>
      </c>
      <c r="K18" s="22">
        <f t="shared" si="2"/>
        <v>0</v>
      </c>
      <c r="L18" s="157">
        <v>95377</v>
      </c>
      <c r="M18" s="16">
        <f>M17+K18-L18</f>
        <v>-39.66129999999248</v>
      </c>
      <c r="N18" s="47"/>
      <c r="O18" s="81">
        <v>3544.89</v>
      </c>
    </row>
    <row r="19" spans="1:18">
      <c r="A19" s="55">
        <v>16</v>
      </c>
      <c r="B19" s="235">
        <v>45854</v>
      </c>
      <c r="C19" s="220"/>
      <c r="D19" s="221"/>
      <c r="E19" s="173">
        <v>0</v>
      </c>
      <c r="F19" s="173">
        <v>0</v>
      </c>
      <c r="G19" s="155">
        <f t="shared" si="0"/>
        <v>0</v>
      </c>
      <c r="H19" s="173">
        <v>5</v>
      </c>
      <c r="I19" s="174">
        <v>103.8</v>
      </c>
      <c r="J19" s="22">
        <f t="shared" si="1"/>
        <v>519</v>
      </c>
      <c r="K19" s="22">
        <f t="shared" si="2"/>
        <v>519</v>
      </c>
      <c r="L19" s="157"/>
      <c r="M19" s="17">
        <f>M18+K19-L19</f>
        <v>479.33870000000752</v>
      </c>
      <c r="N19" s="223"/>
      <c r="O19" s="81"/>
    </row>
    <row r="20" spans="1:18">
      <c r="A20" s="55">
        <v>17</v>
      </c>
      <c r="B20" s="235">
        <v>45855</v>
      </c>
      <c r="C20" s="79"/>
      <c r="D20" s="83"/>
      <c r="E20" s="173">
        <v>0</v>
      </c>
      <c r="F20" s="173">
        <v>0</v>
      </c>
      <c r="G20" s="155">
        <f t="shared" si="0"/>
        <v>0</v>
      </c>
      <c r="H20" s="173">
        <v>0</v>
      </c>
      <c r="I20" s="174">
        <v>0</v>
      </c>
      <c r="J20" s="22">
        <f t="shared" si="1"/>
        <v>0</v>
      </c>
      <c r="K20" s="22">
        <f t="shared" si="2"/>
        <v>0</v>
      </c>
      <c r="L20" s="157"/>
      <c r="M20" s="17">
        <f>M19+K20-L20</f>
        <v>479.33870000000752</v>
      </c>
      <c r="N20" s="47"/>
      <c r="O20" s="81"/>
    </row>
    <row r="21" spans="1:18">
      <c r="A21" s="55">
        <v>18</v>
      </c>
      <c r="B21" s="235">
        <v>45856</v>
      </c>
      <c r="C21" s="79"/>
      <c r="D21" s="83"/>
      <c r="E21" s="173">
        <v>50</v>
      </c>
      <c r="F21" s="173">
        <v>91.83</v>
      </c>
      <c r="G21" s="155">
        <f t="shared" si="0"/>
        <v>4591.5</v>
      </c>
      <c r="H21" s="173">
        <v>5</v>
      </c>
      <c r="I21" s="174">
        <v>103.8</v>
      </c>
      <c r="J21" s="22">
        <f t="shared" si="1"/>
        <v>519</v>
      </c>
      <c r="K21" s="22">
        <f t="shared" si="2"/>
        <v>5110.5</v>
      </c>
      <c r="L21" s="157"/>
      <c r="M21" s="17">
        <f>M20+K21-L21</f>
        <v>5589.8387000000075</v>
      </c>
      <c r="N21" s="47"/>
      <c r="O21" s="81"/>
    </row>
    <row r="22" spans="1:18">
      <c r="A22" s="55">
        <v>19</v>
      </c>
      <c r="B22" s="235">
        <v>45857</v>
      </c>
      <c r="C22" s="79"/>
      <c r="D22" s="83"/>
      <c r="E22" s="173">
        <v>0</v>
      </c>
      <c r="F22" s="173">
        <v>0</v>
      </c>
      <c r="G22" s="155">
        <f t="shared" si="0"/>
        <v>0</v>
      </c>
      <c r="H22" s="173">
        <v>0</v>
      </c>
      <c r="I22" s="174">
        <v>0</v>
      </c>
      <c r="J22" s="22">
        <f t="shared" si="1"/>
        <v>0</v>
      </c>
      <c r="K22" s="22">
        <f t="shared" si="2"/>
        <v>0</v>
      </c>
      <c r="L22" s="157"/>
      <c r="M22" s="17">
        <f t="shared" ref="M22:M30" si="3">M21+K22-L22</f>
        <v>5589.8387000000075</v>
      </c>
      <c r="N22" s="47"/>
      <c r="O22" s="81"/>
    </row>
    <row r="23" spans="1:18">
      <c r="A23" s="55">
        <v>20</v>
      </c>
      <c r="B23" s="235">
        <v>45858</v>
      </c>
      <c r="C23" s="79"/>
      <c r="D23" s="83"/>
      <c r="E23" s="173">
        <v>100</v>
      </c>
      <c r="F23" s="173">
        <v>91.83</v>
      </c>
      <c r="G23" s="155">
        <f t="shared" si="0"/>
        <v>9183</v>
      </c>
      <c r="H23" s="173">
        <v>5</v>
      </c>
      <c r="I23" s="174">
        <v>103.8</v>
      </c>
      <c r="J23" s="22">
        <f t="shared" si="1"/>
        <v>519</v>
      </c>
      <c r="K23" s="22">
        <f t="shared" si="2"/>
        <v>9702</v>
      </c>
      <c r="L23" s="157"/>
      <c r="M23" s="17">
        <f t="shared" si="3"/>
        <v>15291.838700000008</v>
      </c>
      <c r="N23" s="47"/>
      <c r="O23" s="81"/>
    </row>
    <row r="24" spans="1:18">
      <c r="A24" s="55">
        <v>21</v>
      </c>
      <c r="B24" s="235">
        <v>45859</v>
      </c>
      <c r="C24" s="79"/>
      <c r="D24" s="83"/>
      <c r="E24" s="173">
        <v>0</v>
      </c>
      <c r="F24" s="173">
        <v>0</v>
      </c>
      <c r="G24" s="155">
        <f t="shared" si="0"/>
        <v>0</v>
      </c>
      <c r="H24" s="173">
        <v>0</v>
      </c>
      <c r="I24" s="174">
        <v>0</v>
      </c>
      <c r="J24" s="22">
        <f t="shared" si="1"/>
        <v>0</v>
      </c>
      <c r="K24" s="22">
        <f t="shared" si="2"/>
        <v>0</v>
      </c>
      <c r="L24" s="157"/>
      <c r="M24" s="17">
        <f t="shared" si="3"/>
        <v>15291.838700000008</v>
      </c>
      <c r="N24" s="47"/>
      <c r="O24" s="81"/>
    </row>
    <row r="25" spans="1:18">
      <c r="A25" s="55">
        <v>22</v>
      </c>
      <c r="B25" s="235">
        <v>45860</v>
      </c>
      <c r="C25" s="79"/>
      <c r="D25" s="83"/>
      <c r="E25" s="173">
        <v>0</v>
      </c>
      <c r="F25" s="173">
        <v>0</v>
      </c>
      <c r="G25" s="155">
        <f t="shared" si="0"/>
        <v>0</v>
      </c>
      <c r="H25" s="173">
        <v>0</v>
      </c>
      <c r="I25" s="174">
        <v>0</v>
      </c>
      <c r="J25" s="22">
        <f t="shared" si="1"/>
        <v>0</v>
      </c>
      <c r="K25" s="22">
        <f t="shared" si="2"/>
        <v>0</v>
      </c>
      <c r="L25" s="157"/>
      <c r="M25" s="17">
        <f t="shared" si="3"/>
        <v>15291.838700000008</v>
      </c>
      <c r="N25" s="47"/>
      <c r="O25" s="81"/>
    </row>
    <row r="26" spans="1:18">
      <c r="A26" s="55">
        <v>23</v>
      </c>
      <c r="B26" s="235">
        <v>45861</v>
      </c>
      <c r="C26" s="79"/>
      <c r="D26" s="83"/>
      <c r="E26" s="173">
        <v>0</v>
      </c>
      <c r="F26" s="173">
        <v>0</v>
      </c>
      <c r="G26" s="155">
        <f t="shared" si="0"/>
        <v>0</v>
      </c>
      <c r="H26" s="173">
        <v>5</v>
      </c>
      <c r="I26" s="174">
        <v>103.8</v>
      </c>
      <c r="J26" s="22">
        <f t="shared" si="1"/>
        <v>519</v>
      </c>
      <c r="K26" s="22">
        <f t="shared" si="2"/>
        <v>519</v>
      </c>
      <c r="L26" s="157"/>
      <c r="M26" s="17">
        <f t="shared" si="3"/>
        <v>15810.838700000008</v>
      </c>
      <c r="N26" s="47"/>
      <c r="O26" s="81"/>
    </row>
    <row r="27" spans="1:18">
      <c r="A27" s="55">
        <v>24</v>
      </c>
      <c r="B27" s="235">
        <v>45862</v>
      </c>
      <c r="C27" s="79"/>
      <c r="D27" s="83"/>
      <c r="E27" s="173">
        <v>0</v>
      </c>
      <c r="F27" s="173">
        <v>0</v>
      </c>
      <c r="G27" s="155">
        <f t="shared" si="0"/>
        <v>0</v>
      </c>
      <c r="H27" s="173">
        <v>5</v>
      </c>
      <c r="I27" s="174">
        <v>103.8</v>
      </c>
      <c r="J27" s="22">
        <f t="shared" si="1"/>
        <v>519</v>
      </c>
      <c r="K27" s="22">
        <f t="shared" si="2"/>
        <v>519</v>
      </c>
      <c r="L27" s="157"/>
      <c r="M27" s="17">
        <f t="shared" si="3"/>
        <v>16329.838700000008</v>
      </c>
      <c r="N27" s="47"/>
      <c r="O27" s="81"/>
      <c r="R27">
        <v>66742</v>
      </c>
    </row>
    <row r="28" spans="1:18">
      <c r="A28" s="262">
        <v>25</v>
      </c>
      <c r="B28" s="235">
        <v>45863</v>
      </c>
      <c r="C28" s="228"/>
      <c r="D28" s="221"/>
      <c r="E28" s="173">
        <v>0</v>
      </c>
      <c r="F28" s="173">
        <v>0</v>
      </c>
      <c r="G28" s="155">
        <f t="shared" si="0"/>
        <v>0</v>
      </c>
      <c r="H28" s="173">
        <v>5</v>
      </c>
      <c r="I28" s="174">
        <v>103.8</v>
      </c>
      <c r="J28" s="22">
        <f t="shared" si="1"/>
        <v>519</v>
      </c>
      <c r="K28" s="22">
        <f t="shared" si="2"/>
        <v>519</v>
      </c>
      <c r="L28" s="157"/>
      <c r="M28" s="17">
        <f t="shared" si="3"/>
        <v>16848.838700000008</v>
      </c>
      <c r="N28" s="223"/>
      <c r="O28" s="81"/>
    </row>
    <row r="29" spans="1:18">
      <c r="A29" s="55">
        <v>26</v>
      </c>
      <c r="B29" s="235">
        <v>45864</v>
      </c>
      <c r="C29" s="79"/>
      <c r="D29" s="83"/>
      <c r="E29" s="173">
        <v>0</v>
      </c>
      <c r="F29" s="173">
        <v>0</v>
      </c>
      <c r="G29" s="155">
        <f t="shared" si="0"/>
        <v>0</v>
      </c>
      <c r="H29" s="173">
        <v>0</v>
      </c>
      <c r="I29" s="174">
        <v>0</v>
      </c>
      <c r="J29" s="22">
        <f t="shared" si="1"/>
        <v>0</v>
      </c>
      <c r="K29" s="22">
        <f t="shared" si="2"/>
        <v>0</v>
      </c>
      <c r="L29" s="157"/>
      <c r="M29" s="17">
        <f t="shared" si="3"/>
        <v>16848.838700000008</v>
      </c>
      <c r="N29" s="47"/>
      <c r="O29" s="81"/>
    </row>
    <row r="30" spans="1:18">
      <c r="A30" s="55">
        <v>27</v>
      </c>
      <c r="B30" s="235">
        <v>45865</v>
      </c>
      <c r="C30" s="79"/>
      <c r="D30" s="83"/>
      <c r="E30" s="173">
        <v>0</v>
      </c>
      <c r="F30" s="173">
        <v>0</v>
      </c>
      <c r="G30" s="155">
        <f t="shared" si="0"/>
        <v>0</v>
      </c>
      <c r="H30" s="173">
        <v>0</v>
      </c>
      <c r="I30" s="174">
        <v>0</v>
      </c>
      <c r="J30" s="22">
        <f t="shared" si="1"/>
        <v>0</v>
      </c>
      <c r="K30" s="22">
        <f t="shared" si="2"/>
        <v>0</v>
      </c>
      <c r="L30" s="157"/>
      <c r="M30" s="17">
        <f t="shared" si="3"/>
        <v>16848.838700000008</v>
      </c>
      <c r="N30" s="47"/>
      <c r="O30" s="81"/>
    </row>
    <row r="31" spans="1:18">
      <c r="A31" s="55">
        <v>28</v>
      </c>
      <c r="B31" s="235">
        <v>45866</v>
      </c>
      <c r="C31" s="79"/>
      <c r="D31" s="83"/>
      <c r="E31" s="173">
        <v>36.159999999999997</v>
      </c>
      <c r="F31" s="173">
        <v>91.83</v>
      </c>
      <c r="G31" s="155">
        <f t="shared" si="0"/>
        <v>3320.5727999999995</v>
      </c>
      <c r="H31" s="173">
        <v>0</v>
      </c>
      <c r="I31" s="174">
        <v>0</v>
      </c>
      <c r="J31" s="22">
        <f t="shared" si="1"/>
        <v>0</v>
      </c>
      <c r="K31" s="22">
        <f t="shared" si="2"/>
        <v>3320.5727999999995</v>
      </c>
      <c r="L31" s="157"/>
      <c r="M31" s="17">
        <f>M30+K31-L31</f>
        <v>20169.411500000006</v>
      </c>
      <c r="N31" s="47"/>
      <c r="O31" s="81"/>
    </row>
    <row r="32" spans="1:18">
      <c r="A32" s="55">
        <v>29</v>
      </c>
      <c r="B32" s="235">
        <v>45867</v>
      </c>
      <c r="C32" s="79"/>
      <c r="D32" s="83"/>
      <c r="E32" s="173">
        <v>0</v>
      </c>
      <c r="F32" s="173">
        <v>0</v>
      </c>
      <c r="G32" s="155">
        <f t="shared" si="0"/>
        <v>0</v>
      </c>
      <c r="H32" s="173">
        <v>5</v>
      </c>
      <c r="I32" s="174">
        <v>103.8</v>
      </c>
      <c r="J32" s="22">
        <f t="shared" si="1"/>
        <v>519</v>
      </c>
      <c r="K32" s="22">
        <f t="shared" si="2"/>
        <v>519</v>
      </c>
      <c r="L32" s="157"/>
      <c r="M32" s="17">
        <f>M31+K32-L32</f>
        <v>20688.411500000006</v>
      </c>
      <c r="N32" s="47"/>
      <c r="O32" s="81"/>
    </row>
    <row r="33" spans="1:15">
      <c r="A33" s="55">
        <v>30</v>
      </c>
      <c r="B33" s="235">
        <v>45868</v>
      </c>
      <c r="C33" s="79"/>
      <c r="D33" s="83"/>
      <c r="E33" s="173">
        <v>0</v>
      </c>
      <c r="F33" s="173">
        <v>0</v>
      </c>
      <c r="G33" s="155">
        <f t="shared" si="0"/>
        <v>0</v>
      </c>
      <c r="H33" s="173">
        <v>5</v>
      </c>
      <c r="I33" s="174">
        <v>103.8</v>
      </c>
      <c r="J33" s="22">
        <f t="shared" si="1"/>
        <v>519</v>
      </c>
      <c r="K33" s="22">
        <f t="shared" si="2"/>
        <v>519</v>
      </c>
      <c r="L33" s="157"/>
      <c r="M33" s="17">
        <f>M32+K33-L33</f>
        <v>21207.411500000006</v>
      </c>
      <c r="N33" s="47"/>
      <c r="O33" s="81"/>
    </row>
    <row r="34" spans="1:15">
      <c r="A34" s="55">
        <v>31</v>
      </c>
      <c r="B34" s="235">
        <v>45869</v>
      </c>
      <c r="C34" s="79"/>
      <c r="D34" s="83"/>
      <c r="E34" s="173">
        <v>0</v>
      </c>
      <c r="F34" s="173">
        <v>0</v>
      </c>
      <c r="G34" s="155">
        <f t="shared" si="0"/>
        <v>0</v>
      </c>
      <c r="H34" s="173">
        <v>5</v>
      </c>
      <c r="I34" s="174">
        <v>103.8</v>
      </c>
      <c r="J34" s="22">
        <f t="shared" si="1"/>
        <v>519</v>
      </c>
      <c r="K34" s="22">
        <f t="shared" si="2"/>
        <v>519</v>
      </c>
      <c r="L34" s="157"/>
      <c r="M34" s="17">
        <f>M33+K34-L34</f>
        <v>21726.411500000006</v>
      </c>
      <c r="N34" s="47"/>
      <c r="O34" s="81"/>
    </row>
    <row r="35" spans="1:15">
      <c r="A35" s="180"/>
      <c r="B35" s="180"/>
      <c r="C35" s="180"/>
      <c r="D35" s="180"/>
      <c r="E35" s="181">
        <f>SUM(E4:E34)</f>
        <v>376.15999999999997</v>
      </c>
      <c r="F35" s="181"/>
      <c r="G35" s="181">
        <f>SUM(G4:G34)</f>
        <v>34542.772799999999</v>
      </c>
      <c r="H35" s="181">
        <f>SUM(H4:H34)</f>
        <v>82</v>
      </c>
      <c r="I35" s="181"/>
      <c r="J35" s="181">
        <f>SUM(J4:J34)</f>
        <v>8511.6</v>
      </c>
      <c r="K35" s="181">
        <f>SUM(K4:K34)</f>
        <v>43054.372800000005</v>
      </c>
      <c r="L35" s="181">
        <f>SUM(L4:L34)</f>
        <v>95377</v>
      </c>
      <c r="M35" s="181"/>
      <c r="N35" s="181"/>
      <c r="O35" s="71"/>
    </row>
    <row r="36" spans="1:15">
      <c r="A36" s="85"/>
      <c r="B36" s="86"/>
      <c r="C36" s="85"/>
      <c r="D36" s="85"/>
      <c r="E36" s="87"/>
      <c r="F36" s="87"/>
      <c r="G36" s="87"/>
      <c r="H36" s="87"/>
      <c r="I36" s="87"/>
      <c r="J36" s="88"/>
      <c r="K36" s="88"/>
      <c r="L36" s="88"/>
      <c r="M36" s="88"/>
      <c r="N36" s="87"/>
      <c r="O36" s="81"/>
    </row>
    <row r="37" spans="1:15">
      <c r="O37" s="81"/>
    </row>
    <row r="38" spans="1:15">
      <c r="O38" s="81"/>
    </row>
    <row r="39" spans="1:15">
      <c r="O39" s="81"/>
    </row>
    <row r="40" spans="1:15">
      <c r="O40" s="81"/>
    </row>
    <row r="41" spans="1:15">
      <c r="O41" s="81"/>
    </row>
    <row r="42" spans="1:15">
      <c r="A42" s="81"/>
      <c r="B42" s="71"/>
      <c r="C42" s="81"/>
      <c r="D42" s="81"/>
      <c r="E42" s="81"/>
      <c r="F42" s="81"/>
      <c r="G42" s="89"/>
      <c r="H42" s="81"/>
      <c r="I42" s="81"/>
      <c r="J42" s="71"/>
      <c r="K42" s="71"/>
      <c r="L42" s="71"/>
      <c r="M42" s="71"/>
      <c r="N42" s="81"/>
      <c r="O42" s="87"/>
    </row>
    <row r="43" spans="1:15">
      <c r="A43" s="81"/>
      <c r="B43" s="430"/>
      <c r="C43" s="430"/>
      <c r="D43" s="430"/>
      <c r="E43" s="430"/>
      <c r="F43" s="81"/>
      <c r="G43" s="81"/>
      <c r="H43" s="81"/>
      <c r="I43" s="430"/>
      <c r="J43" s="430"/>
      <c r="K43" s="430"/>
      <c r="L43" s="430"/>
      <c r="M43" s="430"/>
      <c r="N43" s="430"/>
      <c r="O43" s="87"/>
    </row>
    <row r="44" spans="1:15">
      <c r="A44" s="81"/>
      <c r="B44" s="71"/>
      <c r="C44" s="81"/>
      <c r="D44" s="81"/>
      <c r="E44" s="81"/>
      <c r="F44" s="81"/>
      <c r="G44" s="81"/>
      <c r="H44" s="81"/>
      <c r="I44" s="81"/>
      <c r="J44" s="71"/>
      <c r="K44" s="71"/>
      <c r="L44" s="71"/>
      <c r="M44" s="71"/>
      <c r="N44" s="81"/>
      <c r="O44" s="87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786B-C2B4-4667-9DF4-66A04CD3EC97}">
  <sheetPr>
    <tabColor rgb="FF92D050"/>
  </sheetPr>
  <dimension ref="A1:O45"/>
  <sheetViews>
    <sheetView workbookViewId="0">
      <pane ySplit="2" topLeftCell="A3" activePane="bottomLeft" state="frozen"/>
      <selection pane="bottomLeft" activeCell="M22" sqref="M22"/>
    </sheetView>
  </sheetViews>
  <sheetFormatPr defaultRowHeight="15"/>
  <cols>
    <col min="1" max="1" width="9.140625" style="5"/>
    <col min="2" max="2" width="11.5703125" style="5" bestFit="1" customWidth="1"/>
    <col min="3" max="3" width="9.140625" style="5"/>
    <col min="4" max="4" width="13.140625" style="5" customWidth="1"/>
    <col min="5" max="5" width="10.140625" style="5" customWidth="1"/>
    <col min="6" max="6" width="9.140625" style="5"/>
    <col min="7" max="7" width="10.85546875" style="115" bestFit="1" customWidth="1"/>
    <col min="8" max="8" width="11.140625" style="5" customWidth="1"/>
    <col min="9" max="9" width="9.140625" style="5"/>
    <col min="10" max="10" width="10.85546875" style="115" bestFit="1" customWidth="1"/>
    <col min="11" max="11" width="12.85546875" style="5" customWidth="1"/>
    <col min="12" max="12" width="13.5703125" style="115" bestFit="1" customWidth="1"/>
    <col min="13" max="13" width="13.5703125" style="115" customWidth="1"/>
    <col min="14" max="14" width="13.5703125" style="5" bestFit="1" customWidth="1"/>
    <col min="15" max="16" width="9.140625" style="5"/>
    <col min="17" max="17" width="12.5703125" style="5" customWidth="1"/>
    <col min="18" max="18" width="11.85546875" style="5" customWidth="1"/>
    <col min="19" max="16384" width="9.140625" style="5"/>
  </cols>
  <sheetData>
    <row r="1" spans="1:14" ht="15.75">
      <c r="A1" s="426" t="s">
        <v>126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</row>
    <row r="2" spans="1:14" ht="18" customHeight="1">
      <c r="A2" s="76" t="s">
        <v>105</v>
      </c>
      <c r="B2" s="96" t="s">
        <v>106</v>
      </c>
      <c r="C2" s="96" t="s">
        <v>107</v>
      </c>
      <c r="D2" s="96" t="s">
        <v>121</v>
      </c>
      <c r="E2" s="96" t="s">
        <v>109</v>
      </c>
      <c r="F2" s="96" t="s">
        <v>110</v>
      </c>
      <c r="G2" s="103" t="s">
        <v>111</v>
      </c>
      <c r="H2" s="96" t="s">
        <v>112</v>
      </c>
      <c r="I2" s="96" t="s">
        <v>110</v>
      </c>
      <c r="J2" s="103" t="s">
        <v>111</v>
      </c>
      <c r="K2" s="76" t="s">
        <v>113</v>
      </c>
      <c r="L2" s="104" t="s">
        <v>114</v>
      </c>
      <c r="M2" s="142" t="s">
        <v>120</v>
      </c>
      <c r="N2" s="96" t="s">
        <v>116</v>
      </c>
    </row>
    <row r="3" spans="1:14" ht="18" customHeight="1">
      <c r="A3" s="440" t="s">
        <v>117</v>
      </c>
      <c r="B3" s="441"/>
      <c r="C3" s="441"/>
      <c r="D3" s="441"/>
      <c r="E3" s="441"/>
      <c r="F3" s="441"/>
      <c r="G3" s="441"/>
      <c r="H3" s="441"/>
      <c r="I3" s="441"/>
      <c r="J3" s="441"/>
      <c r="K3" s="441"/>
      <c r="L3" s="441"/>
      <c r="M3" s="375"/>
      <c r="N3" s="374">
        <v>28582.189199999997</v>
      </c>
    </row>
    <row r="4" spans="1:14">
      <c r="A4" s="6">
        <v>1</v>
      </c>
      <c r="B4" s="91" t="s">
        <v>127</v>
      </c>
      <c r="C4" s="6"/>
      <c r="D4" s="6"/>
      <c r="E4" s="77">
        <v>33</v>
      </c>
      <c r="F4" s="6">
        <v>91.5</v>
      </c>
      <c r="G4" s="78">
        <f>E4*F4</f>
        <v>3019.5</v>
      </c>
      <c r="H4" s="77">
        <v>4.87</v>
      </c>
      <c r="I4" s="6">
        <v>103.44</v>
      </c>
      <c r="J4" s="78">
        <f>H4*I4</f>
        <v>503.75279999999998</v>
      </c>
      <c r="K4" s="78">
        <f>G4+J4</f>
        <v>3523.2528000000002</v>
      </c>
      <c r="L4" s="78">
        <v>19000</v>
      </c>
      <c r="M4" s="376">
        <f>+N3+K4-L4</f>
        <v>13105.441999999995</v>
      </c>
      <c r="N4" s="55" t="s">
        <v>128</v>
      </c>
    </row>
    <row r="5" spans="1:14">
      <c r="A5" s="6">
        <v>2</v>
      </c>
      <c r="B5" s="91" t="s">
        <v>129</v>
      </c>
      <c r="C5" s="6"/>
      <c r="D5" s="6"/>
      <c r="E5" s="77">
        <v>0</v>
      </c>
      <c r="F5" s="6">
        <v>0</v>
      </c>
      <c r="G5" s="78">
        <f t="shared" ref="G5:G37" si="0">E5*F5</f>
        <v>0</v>
      </c>
      <c r="H5" s="77">
        <v>13.6</v>
      </c>
      <c r="I5" s="6">
        <v>103.44</v>
      </c>
      <c r="J5" s="78">
        <f t="shared" ref="J5:J37" si="1">H5*I5</f>
        <v>1406.7839999999999</v>
      </c>
      <c r="K5" s="78">
        <f t="shared" ref="K5:L37" si="2">G5+J5</f>
        <v>1406.7839999999999</v>
      </c>
      <c r="L5" s="78">
        <v>13114.25</v>
      </c>
      <c r="M5" s="168">
        <f t="shared" ref="M5:M20" si="3">M4+K5-L5</f>
        <v>1397.9759999999951</v>
      </c>
      <c r="N5" s="55" t="s">
        <v>128</v>
      </c>
    </row>
    <row r="6" spans="1:14">
      <c r="A6" s="6">
        <v>3</v>
      </c>
      <c r="B6" s="91" t="s">
        <v>130</v>
      </c>
      <c r="C6" s="6"/>
      <c r="D6" s="6"/>
      <c r="E6" s="77">
        <v>84.53</v>
      </c>
      <c r="F6" s="6">
        <v>91.15</v>
      </c>
      <c r="G6" s="78">
        <f t="shared" si="0"/>
        <v>7704.9095000000007</v>
      </c>
      <c r="H6" s="77">
        <v>0</v>
      </c>
      <c r="I6" s="6">
        <v>0</v>
      </c>
      <c r="J6" s="78">
        <f t="shared" si="1"/>
        <v>0</v>
      </c>
      <c r="K6" s="78">
        <f t="shared" si="2"/>
        <v>7704.9095000000007</v>
      </c>
      <c r="L6" s="78"/>
      <c r="M6" s="168">
        <f t="shared" si="3"/>
        <v>9102.8854999999967</v>
      </c>
      <c r="N6" s="55" t="s">
        <v>128</v>
      </c>
    </row>
    <row r="7" spans="1:14">
      <c r="A7" s="6">
        <v>4</v>
      </c>
      <c r="B7" s="91" t="s">
        <v>131</v>
      </c>
      <c r="C7" s="6"/>
      <c r="D7" s="6"/>
      <c r="E7" s="77">
        <v>0</v>
      </c>
      <c r="F7" s="6">
        <v>0</v>
      </c>
      <c r="G7" s="78">
        <f t="shared" si="0"/>
        <v>0</v>
      </c>
      <c r="H7" s="77">
        <v>7.98</v>
      </c>
      <c r="I7" s="6">
        <v>103.44</v>
      </c>
      <c r="J7" s="78">
        <f t="shared" si="1"/>
        <v>825.45119999999997</v>
      </c>
      <c r="K7" s="78">
        <f t="shared" si="2"/>
        <v>825.45119999999997</v>
      </c>
      <c r="L7" s="78"/>
      <c r="M7" s="168">
        <f t="shared" si="3"/>
        <v>9928.3366999999962</v>
      </c>
      <c r="N7" s="55" t="s">
        <v>128</v>
      </c>
    </row>
    <row r="8" spans="1:14">
      <c r="A8" s="6">
        <v>5</v>
      </c>
      <c r="B8" s="91" t="s">
        <v>132</v>
      </c>
      <c r="C8" s="6"/>
      <c r="D8" s="6"/>
      <c r="E8" s="77">
        <v>30</v>
      </c>
      <c r="F8" s="6">
        <v>91.5</v>
      </c>
      <c r="G8" s="78">
        <f t="shared" si="0"/>
        <v>2745</v>
      </c>
      <c r="H8" s="77">
        <v>0</v>
      </c>
      <c r="I8" s="6">
        <v>0</v>
      </c>
      <c r="J8" s="78">
        <f t="shared" si="1"/>
        <v>0</v>
      </c>
      <c r="K8" s="78">
        <f t="shared" si="2"/>
        <v>2745</v>
      </c>
      <c r="L8" s="78"/>
      <c r="M8" s="168">
        <f t="shared" si="3"/>
        <v>12673.336699999996</v>
      </c>
      <c r="N8" s="55" t="s">
        <v>128</v>
      </c>
    </row>
    <row r="9" spans="1:14">
      <c r="A9" s="6">
        <v>6</v>
      </c>
      <c r="B9" s="91" t="s">
        <v>132</v>
      </c>
      <c r="C9" s="6"/>
      <c r="D9" s="6"/>
      <c r="E9" s="77">
        <v>11.01</v>
      </c>
      <c r="F9" s="6">
        <v>90.8</v>
      </c>
      <c r="G9" s="78">
        <f t="shared" si="0"/>
        <v>999.70799999999997</v>
      </c>
      <c r="H9" s="77">
        <v>6.77</v>
      </c>
      <c r="I9" s="6">
        <v>103.44</v>
      </c>
      <c r="J9" s="78">
        <f t="shared" si="1"/>
        <v>700.28879999999992</v>
      </c>
      <c r="K9" s="78">
        <f t="shared" si="2"/>
        <v>1699.9967999999999</v>
      </c>
      <c r="L9" s="78">
        <v>1000</v>
      </c>
      <c r="M9" s="168">
        <f t="shared" si="3"/>
        <v>13373.333499999997</v>
      </c>
      <c r="N9" s="55" t="s">
        <v>128</v>
      </c>
    </row>
    <row r="10" spans="1:14">
      <c r="A10" s="6">
        <v>7</v>
      </c>
      <c r="B10" s="91" t="s">
        <v>133</v>
      </c>
      <c r="C10" s="6"/>
      <c r="D10" s="6"/>
      <c r="E10" s="77">
        <v>41.1</v>
      </c>
      <c r="F10" s="6">
        <v>91.5</v>
      </c>
      <c r="G10" s="78">
        <f t="shared" si="0"/>
        <v>3760.65</v>
      </c>
      <c r="H10" s="77">
        <v>0</v>
      </c>
      <c r="I10" s="6">
        <v>0</v>
      </c>
      <c r="J10" s="78">
        <f t="shared" si="1"/>
        <v>0</v>
      </c>
      <c r="K10" s="78">
        <f t="shared" si="2"/>
        <v>3760.65</v>
      </c>
      <c r="L10" s="78"/>
      <c r="M10" s="168">
        <f t="shared" si="3"/>
        <v>17133.983499999998</v>
      </c>
      <c r="N10" s="55" t="s">
        <v>128</v>
      </c>
    </row>
    <row r="11" spans="1:14">
      <c r="A11" s="6">
        <v>8</v>
      </c>
      <c r="B11" s="91" t="s">
        <v>134</v>
      </c>
      <c r="C11" s="6"/>
      <c r="D11" s="6"/>
      <c r="E11" s="77">
        <v>44.59</v>
      </c>
      <c r="F11" s="6">
        <v>91.5</v>
      </c>
      <c r="G11" s="78">
        <f t="shared" si="0"/>
        <v>4079.9850000000001</v>
      </c>
      <c r="H11" s="77">
        <v>0</v>
      </c>
      <c r="I11" s="6">
        <v>0</v>
      </c>
      <c r="J11" s="78">
        <f t="shared" si="1"/>
        <v>0</v>
      </c>
      <c r="K11" s="78">
        <f t="shared" si="2"/>
        <v>4079.9850000000001</v>
      </c>
      <c r="L11" s="78"/>
      <c r="M11" s="168">
        <f t="shared" si="3"/>
        <v>21213.968499999999</v>
      </c>
      <c r="N11" s="55" t="s">
        <v>128</v>
      </c>
    </row>
    <row r="12" spans="1:14">
      <c r="A12" s="6">
        <v>9</v>
      </c>
      <c r="B12" s="91" t="s">
        <v>135</v>
      </c>
      <c r="C12" s="6"/>
      <c r="D12" s="6"/>
      <c r="E12" s="77">
        <v>83.2</v>
      </c>
      <c r="F12" s="6">
        <v>91.5</v>
      </c>
      <c r="G12" s="78">
        <f t="shared" si="0"/>
        <v>7612.8</v>
      </c>
      <c r="H12" s="77">
        <v>0</v>
      </c>
      <c r="I12" s="6">
        <v>0</v>
      </c>
      <c r="J12" s="78">
        <f t="shared" si="1"/>
        <v>0</v>
      </c>
      <c r="K12" s="78">
        <f t="shared" si="2"/>
        <v>7612.8</v>
      </c>
      <c r="L12" s="78">
        <v>21000</v>
      </c>
      <c r="M12" s="168">
        <f t="shared" si="3"/>
        <v>7826.7684999999983</v>
      </c>
      <c r="N12" s="55" t="s">
        <v>128</v>
      </c>
    </row>
    <row r="13" spans="1:14">
      <c r="A13" s="6">
        <v>10</v>
      </c>
      <c r="B13" s="91" t="s">
        <v>136</v>
      </c>
      <c r="C13" s="6"/>
      <c r="D13" s="6"/>
      <c r="E13" s="77">
        <v>40.31</v>
      </c>
      <c r="F13" s="6">
        <v>91.5</v>
      </c>
      <c r="G13" s="78">
        <f t="shared" si="0"/>
        <v>3688.3650000000002</v>
      </c>
      <c r="H13" s="77">
        <v>0</v>
      </c>
      <c r="I13" s="6">
        <v>0</v>
      </c>
      <c r="J13" s="78">
        <f t="shared" si="1"/>
        <v>0</v>
      </c>
      <c r="K13" s="78">
        <f t="shared" si="2"/>
        <v>3688.3650000000002</v>
      </c>
      <c r="L13" s="78"/>
      <c r="M13" s="168">
        <f t="shared" si="3"/>
        <v>11515.133499999998</v>
      </c>
      <c r="N13" s="55" t="s">
        <v>128</v>
      </c>
    </row>
    <row r="14" spans="1:14">
      <c r="A14" s="6">
        <v>11</v>
      </c>
      <c r="B14" s="91" t="s">
        <v>137</v>
      </c>
      <c r="C14" s="6"/>
      <c r="D14" s="6"/>
      <c r="E14" s="77">
        <v>37.81</v>
      </c>
      <c r="F14" s="6">
        <v>91.5</v>
      </c>
      <c r="G14" s="78">
        <f t="shared" si="0"/>
        <v>3459.6150000000002</v>
      </c>
      <c r="H14" s="77">
        <v>0</v>
      </c>
      <c r="I14" s="6">
        <v>0</v>
      </c>
      <c r="J14" s="78">
        <f t="shared" si="1"/>
        <v>0</v>
      </c>
      <c r="K14" s="78">
        <f t="shared" si="2"/>
        <v>3459.6150000000002</v>
      </c>
      <c r="L14" s="78">
        <v>15000</v>
      </c>
      <c r="M14" s="168">
        <f t="shared" si="3"/>
        <v>-25.251500000002125</v>
      </c>
      <c r="N14" s="55" t="s">
        <v>128</v>
      </c>
    </row>
    <row r="15" spans="1:14">
      <c r="A15" s="6">
        <v>12</v>
      </c>
      <c r="B15" s="91" t="s">
        <v>138</v>
      </c>
      <c r="C15" s="6"/>
      <c r="D15" s="6"/>
      <c r="E15" s="77">
        <v>35.85</v>
      </c>
      <c r="F15" s="6">
        <v>91.5</v>
      </c>
      <c r="G15" s="78">
        <f t="shared" si="0"/>
        <v>3280.2750000000001</v>
      </c>
      <c r="H15" s="77">
        <v>0</v>
      </c>
      <c r="I15" s="6">
        <v>0</v>
      </c>
      <c r="J15" s="78">
        <f t="shared" si="1"/>
        <v>0</v>
      </c>
      <c r="K15" s="78">
        <f t="shared" si="2"/>
        <v>3280.2750000000001</v>
      </c>
      <c r="L15" s="78"/>
      <c r="M15" s="168">
        <f t="shared" si="3"/>
        <v>3255.023499999998</v>
      </c>
      <c r="N15" s="55" t="s">
        <v>128</v>
      </c>
    </row>
    <row r="16" spans="1:14">
      <c r="A16" s="6">
        <v>13</v>
      </c>
      <c r="B16" s="91" t="s">
        <v>139</v>
      </c>
      <c r="C16" s="6"/>
      <c r="D16" s="6"/>
      <c r="E16" s="77">
        <v>0</v>
      </c>
      <c r="F16" s="6">
        <v>0</v>
      </c>
      <c r="G16" s="78">
        <f t="shared" si="0"/>
        <v>0</v>
      </c>
      <c r="H16" s="77">
        <v>0</v>
      </c>
      <c r="I16" s="6">
        <v>0</v>
      </c>
      <c r="J16" s="78">
        <f t="shared" si="1"/>
        <v>0</v>
      </c>
      <c r="K16" s="78">
        <f t="shared" si="2"/>
        <v>0</v>
      </c>
      <c r="L16" s="78"/>
      <c r="M16" s="168">
        <f t="shared" si="3"/>
        <v>3255.023499999998</v>
      </c>
      <c r="N16" s="55" t="s">
        <v>128</v>
      </c>
    </row>
    <row r="17" spans="1:14">
      <c r="A17" s="6">
        <v>14</v>
      </c>
      <c r="B17" s="91" t="s">
        <v>140</v>
      </c>
      <c r="C17" s="6"/>
      <c r="D17" s="6"/>
      <c r="E17" s="77">
        <v>0</v>
      </c>
      <c r="F17" s="6">
        <v>0</v>
      </c>
      <c r="G17" s="78">
        <f t="shared" si="0"/>
        <v>0</v>
      </c>
      <c r="H17" s="77">
        <v>7.25</v>
      </c>
      <c r="I17" s="6">
        <v>103.44</v>
      </c>
      <c r="J17" s="78">
        <f t="shared" si="1"/>
        <v>749.93999999999994</v>
      </c>
      <c r="K17" s="78">
        <f t="shared" si="2"/>
        <v>749.93999999999994</v>
      </c>
      <c r="L17" s="78">
        <v>749.94</v>
      </c>
      <c r="M17" s="168">
        <f t="shared" si="3"/>
        <v>3255.023499999998</v>
      </c>
      <c r="N17" s="55" t="s">
        <v>128</v>
      </c>
    </row>
    <row r="18" spans="1:14">
      <c r="A18" s="6">
        <v>15</v>
      </c>
      <c r="B18" s="91" t="s">
        <v>141</v>
      </c>
      <c r="C18" s="6"/>
      <c r="D18" s="6"/>
      <c r="E18" s="77">
        <v>78.19</v>
      </c>
      <c r="F18" s="6">
        <v>91.5</v>
      </c>
      <c r="G18" s="78">
        <f t="shared" si="0"/>
        <v>7154.3850000000002</v>
      </c>
      <c r="H18" s="77">
        <v>12.19</v>
      </c>
      <c r="I18" s="6">
        <v>103.44</v>
      </c>
      <c r="J18" s="78">
        <f t="shared" si="1"/>
        <v>1260.9335999999998</v>
      </c>
      <c r="K18" s="78">
        <f t="shared" si="2"/>
        <v>8415.3186000000005</v>
      </c>
      <c r="L18" s="78">
        <v>8415.3186000000005</v>
      </c>
      <c r="M18" s="168">
        <f t="shared" si="3"/>
        <v>3255.0234999999975</v>
      </c>
      <c r="N18" s="55" t="s">
        <v>128</v>
      </c>
    </row>
    <row r="19" spans="1:14">
      <c r="A19" s="6">
        <v>16</v>
      </c>
      <c r="B19" s="91" t="s">
        <v>142</v>
      </c>
      <c r="C19" s="6"/>
      <c r="D19" s="6"/>
      <c r="E19" s="77">
        <v>0</v>
      </c>
      <c r="F19" s="6">
        <v>0</v>
      </c>
      <c r="G19" s="78">
        <f t="shared" si="0"/>
        <v>0</v>
      </c>
      <c r="H19" s="77">
        <v>14.09</v>
      </c>
      <c r="I19" s="6">
        <v>103.44</v>
      </c>
      <c r="J19" s="78">
        <f t="shared" si="1"/>
        <v>1457.4695999999999</v>
      </c>
      <c r="K19" s="78">
        <f t="shared" si="2"/>
        <v>1457.4695999999999</v>
      </c>
      <c r="L19" s="78">
        <v>1457.47</v>
      </c>
      <c r="M19" s="168">
        <f t="shared" si="3"/>
        <v>3255.0230999999976</v>
      </c>
      <c r="N19" s="55" t="s">
        <v>128</v>
      </c>
    </row>
    <row r="20" spans="1:14">
      <c r="A20" s="6">
        <v>17</v>
      </c>
      <c r="B20" s="91" t="s">
        <v>143</v>
      </c>
      <c r="C20" s="6"/>
      <c r="D20" s="6"/>
      <c r="E20" s="77">
        <v>39.409999999999997</v>
      </c>
      <c r="F20" s="6">
        <v>91.5</v>
      </c>
      <c r="G20" s="78">
        <f t="shared" si="0"/>
        <v>3606.0149999999999</v>
      </c>
      <c r="H20" s="77">
        <v>4.16</v>
      </c>
      <c r="I20" s="6">
        <v>110.73</v>
      </c>
      <c r="J20" s="78">
        <f t="shared" si="1"/>
        <v>460.63680000000005</v>
      </c>
      <c r="K20" s="78">
        <f t="shared" si="2"/>
        <v>4066.6518000000001</v>
      </c>
      <c r="L20" s="78">
        <v>3606</v>
      </c>
      <c r="M20" s="168">
        <f t="shared" si="3"/>
        <v>3715.6748999999982</v>
      </c>
      <c r="N20" s="55" t="s">
        <v>128</v>
      </c>
    </row>
    <row r="21" spans="1:14">
      <c r="A21" s="6">
        <v>18</v>
      </c>
      <c r="B21" s="91" t="s">
        <v>144</v>
      </c>
      <c r="C21" s="6"/>
      <c r="D21" s="6"/>
      <c r="E21" s="77">
        <v>93.97</v>
      </c>
      <c r="F21" s="6">
        <v>91.5</v>
      </c>
      <c r="G21" s="78">
        <f t="shared" si="0"/>
        <v>8598.2549999999992</v>
      </c>
      <c r="H21" s="77">
        <v>1.93</v>
      </c>
      <c r="I21" s="6">
        <v>103.44</v>
      </c>
      <c r="J21" s="78">
        <f t="shared" si="1"/>
        <v>199.63919999999999</v>
      </c>
      <c r="K21" s="78">
        <f t="shared" si="2"/>
        <v>8797.8941999999988</v>
      </c>
      <c r="L21" s="400">
        <v>8797.89</v>
      </c>
      <c r="M21" s="168">
        <f>M20+K21-L21</f>
        <v>3715.6790999999976</v>
      </c>
      <c r="N21" s="55" t="s">
        <v>128</v>
      </c>
    </row>
    <row r="22" spans="1:14">
      <c r="A22" s="6">
        <v>19</v>
      </c>
      <c r="B22" s="91" t="s">
        <v>145</v>
      </c>
      <c r="C22" s="6"/>
      <c r="D22" s="6"/>
      <c r="E22" s="77">
        <v>114.4</v>
      </c>
      <c r="F22" s="6">
        <v>91.5</v>
      </c>
      <c r="G22" s="78">
        <f t="shared" si="0"/>
        <v>10467.6</v>
      </c>
      <c r="H22" s="77">
        <v>0</v>
      </c>
      <c r="I22" s="6">
        <v>0</v>
      </c>
      <c r="J22" s="78">
        <f t="shared" ref="J22" si="4">H22*I22</f>
        <v>0</v>
      </c>
      <c r="K22" s="78">
        <f t="shared" ref="K22" si="5">G22+J22</f>
        <v>10467.6</v>
      </c>
      <c r="L22" s="78">
        <v>10467.6</v>
      </c>
      <c r="M22" s="168">
        <f t="shared" ref="M22:M31" si="6">M21+K22-L22</f>
        <v>3715.6790999999976</v>
      </c>
      <c r="N22" s="55" t="s">
        <v>128</v>
      </c>
    </row>
    <row r="23" spans="1:14">
      <c r="A23" s="6">
        <v>21</v>
      </c>
      <c r="B23" s="91" t="s">
        <v>146</v>
      </c>
      <c r="C23" s="6"/>
      <c r="D23" s="6"/>
      <c r="E23" s="77">
        <v>0</v>
      </c>
      <c r="F23" s="6">
        <v>0</v>
      </c>
      <c r="G23" s="78">
        <f t="shared" si="0"/>
        <v>0</v>
      </c>
      <c r="H23" s="77">
        <v>0</v>
      </c>
      <c r="I23" s="6">
        <v>0</v>
      </c>
      <c r="J23" s="78">
        <f t="shared" si="1"/>
        <v>0</v>
      </c>
      <c r="K23" s="78">
        <f t="shared" si="2"/>
        <v>0</v>
      </c>
      <c r="L23" s="78"/>
      <c r="M23" s="168">
        <f t="shared" si="6"/>
        <v>3715.6790999999976</v>
      </c>
      <c r="N23" s="55" t="s">
        <v>128</v>
      </c>
    </row>
    <row r="24" spans="1:14">
      <c r="A24" s="6">
        <v>22</v>
      </c>
      <c r="B24" s="91" t="s">
        <v>147</v>
      </c>
      <c r="C24" s="6"/>
      <c r="D24" s="6"/>
      <c r="E24" s="77">
        <v>0</v>
      </c>
      <c r="F24" s="6">
        <v>0</v>
      </c>
      <c r="G24" s="78">
        <f t="shared" si="0"/>
        <v>0</v>
      </c>
      <c r="H24" s="77">
        <v>6.29</v>
      </c>
      <c r="I24" s="6">
        <v>103.44</v>
      </c>
      <c r="J24" s="78">
        <f t="shared" si="1"/>
        <v>650.63760000000002</v>
      </c>
      <c r="K24" s="78">
        <f t="shared" si="2"/>
        <v>650.63760000000002</v>
      </c>
      <c r="L24" s="78">
        <v>650.64</v>
      </c>
      <c r="M24" s="168">
        <f>M23+K24-L24</f>
        <v>3715.6766999999977</v>
      </c>
      <c r="N24" s="55" t="s">
        <v>128</v>
      </c>
    </row>
    <row r="25" spans="1:14">
      <c r="A25" s="6">
        <v>23</v>
      </c>
      <c r="B25" s="91" t="s">
        <v>148</v>
      </c>
      <c r="C25" s="6"/>
      <c r="D25" s="6"/>
      <c r="E25" s="77">
        <v>42.96</v>
      </c>
      <c r="F25" s="6">
        <v>91.5</v>
      </c>
      <c r="G25" s="78">
        <f t="shared" si="0"/>
        <v>3930.84</v>
      </c>
      <c r="H25" s="77">
        <v>9.24</v>
      </c>
      <c r="I25" s="6">
        <v>103.44</v>
      </c>
      <c r="J25" s="78">
        <f t="shared" si="1"/>
        <v>955.78560000000004</v>
      </c>
      <c r="K25" s="78">
        <f t="shared" si="2"/>
        <v>4886.6256000000003</v>
      </c>
      <c r="L25" s="78">
        <v>4886.63</v>
      </c>
      <c r="M25" s="168">
        <f t="shared" si="6"/>
        <v>3715.6722999999974</v>
      </c>
      <c r="N25" s="55" t="s">
        <v>128</v>
      </c>
    </row>
    <row r="26" spans="1:14">
      <c r="A26" s="6">
        <v>24</v>
      </c>
      <c r="B26" s="91" t="s">
        <v>149</v>
      </c>
      <c r="C26" s="6"/>
      <c r="D26" s="6"/>
      <c r="E26" s="77">
        <v>68.849999999999994</v>
      </c>
      <c r="F26" s="6">
        <v>91.5</v>
      </c>
      <c r="G26" s="78">
        <f t="shared" si="0"/>
        <v>6299.7749999999996</v>
      </c>
      <c r="H26" s="77">
        <v>0</v>
      </c>
      <c r="I26" s="6">
        <v>0</v>
      </c>
      <c r="J26" s="78">
        <f t="shared" si="1"/>
        <v>0</v>
      </c>
      <c r="K26" s="78">
        <f t="shared" si="2"/>
        <v>6299.7749999999996</v>
      </c>
      <c r="L26" s="78"/>
      <c r="M26" s="168">
        <f t="shared" si="6"/>
        <v>10015.447299999996</v>
      </c>
      <c r="N26" s="55" t="s">
        <v>128</v>
      </c>
    </row>
    <row r="27" spans="1:14">
      <c r="A27" s="6">
        <v>25</v>
      </c>
      <c r="B27" s="91" t="s">
        <v>150</v>
      </c>
      <c r="C27" s="6"/>
      <c r="D27" s="6"/>
      <c r="E27" s="77">
        <v>127.6</v>
      </c>
      <c r="F27" s="6">
        <v>91.5</v>
      </c>
      <c r="G27" s="78">
        <f t="shared" si="0"/>
        <v>11675.4</v>
      </c>
      <c r="H27" s="77">
        <v>0</v>
      </c>
      <c r="I27" s="6">
        <v>0</v>
      </c>
      <c r="J27" s="78">
        <f t="shared" si="1"/>
        <v>0</v>
      </c>
      <c r="K27" s="78">
        <f t="shared" si="2"/>
        <v>11675.4</v>
      </c>
      <c r="L27" s="78">
        <v>15000</v>
      </c>
      <c r="M27" s="168">
        <f t="shared" si="6"/>
        <v>6690.847299999994</v>
      </c>
      <c r="N27" s="55" t="s">
        <v>128</v>
      </c>
    </row>
    <row r="28" spans="1:14">
      <c r="A28" s="6">
        <v>26</v>
      </c>
      <c r="B28" s="91" t="s">
        <v>151</v>
      </c>
      <c r="C28" s="6"/>
      <c r="D28" s="6"/>
      <c r="E28" s="77">
        <v>161.02000000000001</v>
      </c>
      <c r="F28" s="6">
        <v>91.5</v>
      </c>
      <c r="G28" s="78">
        <f t="shared" si="0"/>
        <v>14733.330000000002</v>
      </c>
      <c r="H28" s="77">
        <v>3</v>
      </c>
      <c r="I28" s="6">
        <v>103.44</v>
      </c>
      <c r="J28" s="78">
        <f t="shared" si="1"/>
        <v>310.32</v>
      </c>
      <c r="K28" s="78">
        <f t="shared" si="2"/>
        <v>15043.650000000001</v>
      </c>
      <c r="L28" s="78"/>
      <c r="M28" s="168">
        <f t="shared" si="6"/>
        <v>21734.497299999995</v>
      </c>
      <c r="N28" s="55" t="s">
        <v>128</v>
      </c>
    </row>
    <row r="29" spans="1:14">
      <c r="A29" s="6">
        <v>27</v>
      </c>
      <c r="B29" s="91" t="s">
        <v>152</v>
      </c>
      <c r="C29" s="6"/>
      <c r="D29" s="6"/>
      <c r="E29" s="77">
        <v>0</v>
      </c>
      <c r="F29" s="6">
        <v>0</v>
      </c>
      <c r="G29" s="78">
        <f t="shared" si="0"/>
        <v>0</v>
      </c>
      <c r="H29" s="77">
        <v>7.32</v>
      </c>
      <c r="I29" s="6">
        <v>103.44</v>
      </c>
      <c r="J29" s="78">
        <f t="shared" si="1"/>
        <v>757.18079999999998</v>
      </c>
      <c r="K29" s="78">
        <f t="shared" si="2"/>
        <v>757.18079999999998</v>
      </c>
      <c r="L29" s="78"/>
      <c r="M29" s="168">
        <f t="shared" si="6"/>
        <v>22491.678099999994</v>
      </c>
      <c r="N29" s="55" t="s">
        <v>128</v>
      </c>
    </row>
    <row r="30" spans="1:14">
      <c r="A30" s="6">
        <v>28</v>
      </c>
      <c r="B30" s="91" t="s">
        <v>153</v>
      </c>
      <c r="C30" s="6"/>
      <c r="D30" s="6"/>
      <c r="E30" s="77">
        <v>77.03</v>
      </c>
      <c r="F30" s="6">
        <v>91.5</v>
      </c>
      <c r="G30" s="78">
        <f t="shared" si="0"/>
        <v>7048.2449999999999</v>
      </c>
      <c r="H30" s="77">
        <v>3</v>
      </c>
      <c r="I30" s="6">
        <v>103.44</v>
      </c>
      <c r="J30" s="78">
        <f t="shared" si="1"/>
        <v>310.32</v>
      </c>
      <c r="K30" s="78">
        <f t="shared" si="2"/>
        <v>7358.5649999999996</v>
      </c>
      <c r="L30" s="78"/>
      <c r="M30" s="168">
        <f t="shared" si="6"/>
        <v>29850.243099999992</v>
      </c>
      <c r="N30" s="55" t="s">
        <v>128</v>
      </c>
    </row>
    <row r="31" spans="1:14">
      <c r="A31" s="6">
        <v>29</v>
      </c>
      <c r="B31" s="91" t="s">
        <v>154</v>
      </c>
      <c r="C31" s="6"/>
      <c r="D31" s="6"/>
      <c r="E31" s="77">
        <v>30</v>
      </c>
      <c r="F31" s="6">
        <v>91.5</v>
      </c>
      <c r="G31" s="78">
        <f t="shared" si="0"/>
        <v>2745</v>
      </c>
      <c r="H31" s="77">
        <v>8.7899999999999991</v>
      </c>
      <c r="I31" s="6">
        <v>103.44</v>
      </c>
      <c r="J31" s="78">
        <f t="shared" si="1"/>
        <v>909.23759999999993</v>
      </c>
      <c r="K31" s="78">
        <f t="shared" si="2"/>
        <v>3654.2375999999999</v>
      </c>
      <c r="L31" s="78">
        <v>30000</v>
      </c>
      <c r="M31" s="168">
        <f t="shared" si="6"/>
        <v>3504.4806999999928</v>
      </c>
      <c r="N31" s="55" t="s">
        <v>128</v>
      </c>
    </row>
    <row r="32" spans="1:14">
      <c r="A32" s="6">
        <v>30</v>
      </c>
      <c r="B32" s="91"/>
      <c r="C32" s="6"/>
      <c r="D32" s="6"/>
      <c r="E32" s="77">
        <v>0</v>
      </c>
      <c r="F32" s="6">
        <v>0</v>
      </c>
      <c r="G32" s="78">
        <f t="shared" si="0"/>
        <v>0</v>
      </c>
      <c r="H32" s="77">
        <v>0</v>
      </c>
      <c r="I32" s="6">
        <v>0</v>
      </c>
      <c r="J32" s="78">
        <f t="shared" si="1"/>
        <v>0</v>
      </c>
      <c r="K32" s="78">
        <f t="shared" si="2"/>
        <v>0</v>
      </c>
      <c r="L32" s="78">
        <v>0</v>
      </c>
      <c r="M32" s="168">
        <v>0</v>
      </c>
      <c r="N32" s="55" t="s">
        <v>128</v>
      </c>
    </row>
    <row r="33" spans="1:15">
      <c r="A33" s="6">
        <v>31</v>
      </c>
      <c r="B33" s="91"/>
      <c r="C33" s="6"/>
      <c r="D33" s="6"/>
      <c r="E33" s="77">
        <v>0</v>
      </c>
      <c r="F33" s="6">
        <v>0</v>
      </c>
      <c r="G33" s="78">
        <f t="shared" si="0"/>
        <v>0</v>
      </c>
      <c r="H33" s="77">
        <v>0</v>
      </c>
      <c r="I33" s="6">
        <v>0</v>
      </c>
      <c r="J33" s="78">
        <f t="shared" si="1"/>
        <v>0</v>
      </c>
      <c r="K33" s="78">
        <f t="shared" si="2"/>
        <v>0</v>
      </c>
      <c r="L33" s="78">
        <v>0</v>
      </c>
      <c r="M33" s="168">
        <v>0</v>
      </c>
      <c r="N33" s="55" t="s">
        <v>128</v>
      </c>
    </row>
    <row r="34" spans="1:15">
      <c r="A34" s="6">
        <v>32</v>
      </c>
      <c r="B34" s="91"/>
      <c r="C34" s="6"/>
      <c r="D34" s="6"/>
      <c r="E34" s="77">
        <v>0</v>
      </c>
      <c r="F34" s="6">
        <v>0</v>
      </c>
      <c r="G34" s="78">
        <f t="shared" si="0"/>
        <v>0</v>
      </c>
      <c r="H34" s="77">
        <v>0</v>
      </c>
      <c r="I34" s="6">
        <v>0</v>
      </c>
      <c r="J34" s="78">
        <f t="shared" si="1"/>
        <v>0</v>
      </c>
      <c r="K34" s="78">
        <f t="shared" si="2"/>
        <v>0</v>
      </c>
      <c r="L34" s="78">
        <v>0</v>
      </c>
      <c r="M34" s="168">
        <v>0</v>
      </c>
      <c r="N34" s="55" t="s">
        <v>128</v>
      </c>
    </row>
    <row r="35" spans="1:15">
      <c r="A35" s="6">
        <v>33</v>
      </c>
      <c r="B35" s="91"/>
      <c r="C35" s="6"/>
      <c r="D35" s="6"/>
      <c r="E35" s="77">
        <v>0</v>
      </c>
      <c r="F35" s="6">
        <v>0</v>
      </c>
      <c r="G35" s="78">
        <f t="shared" si="0"/>
        <v>0</v>
      </c>
      <c r="H35" s="77">
        <v>0</v>
      </c>
      <c r="I35" s="6">
        <v>0</v>
      </c>
      <c r="J35" s="78">
        <f t="shared" si="1"/>
        <v>0</v>
      </c>
      <c r="K35" s="78">
        <f t="shared" si="2"/>
        <v>0</v>
      </c>
      <c r="L35" s="78">
        <v>0</v>
      </c>
      <c r="M35" s="168">
        <v>0</v>
      </c>
      <c r="N35" s="55" t="s">
        <v>128</v>
      </c>
    </row>
    <row r="36" spans="1:15">
      <c r="A36" s="6">
        <v>34</v>
      </c>
      <c r="B36" s="91"/>
      <c r="C36" s="6"/>
      <c r="D36" s="6"/>
      <c r="E36" s="77">
        <v>0</v>
      </c>
      <c r="F36" s="6">
        <v>0</v>
      </c>
      <c r="G36" s="78">
        <f t="shared" si="0"/>
        <v>0</v>
      </c>
      <c r="H36" s="77">
        <v>0</v>
      </c>
      <c r="I36" s="6">
        <v>0</v>
      </c>
      <c r="J36" s="78">
        <f t="shared" si="1"/>
        <v>0</v>
      </c>
      <c r="K36" s="78">
        <f t="shared" si="2"/>
        <v>0</v>
      </c>
      <c r="L36" s="78">
        <v>0</v>
      </c>
      <c r="M36" s="168">
        <v>0</v>
      </c>
      <c r="N36" s="55" t="s">
        <v>128</v>
      </c>
    </row>
    <row r="37" spans="1:15">
      <c r="A37" s="6">
        <v>35</v>
      </c>
      <c r="B37" s="91"/>
      <c r="C37" s="6"/>
      <c r="D37" s="6"/>
      <c r="E37" s="77">
        <v>0</v>
      </c>
      <c r="F37" s="6">
        <v>0</v>
      </c>
      <c r="G37" s="78">
        <f t="shared" si="0"/>
        <v>0</v>
      </c>
      <c r="H37" s="77">
        <v>0</v>
      </c>
      <c r="I37" s="6">
        <v>0</v>
      </c>
      <c r="J37" s="78">
        <f t="shared" si="1"/>
        <v>0</v>
      </c>
      <c r="K37" s="78">
        <f t="shared" si="2"/>
        <v>0</v>
      </c>
      <c r="L37" s="78">
        <v>0</v>
      </c>
      <c r="M37" s="168">
        <v>0</v>
      </c>
      <c r="N37" s="55" t="s">
        <v>128</v>
      </c>
    </row>
    <row r="38" spans="1:15">
      <c r="A38" s="6">
        <v>36</v>
      </c>
      <c r="B38" s="91"/>
      <c r="C38" s="6"/>
      <c r="D38" s="6"/>
      <c r="E38" s="77">
        <v>0</v>
      </c>
      <c r="F38" s="6">
        <v>0</v>
      </c>
      <c r="G38" s="78">
        <f t="shared" ref="G38:G44" si="7">E38*F38</f>
        <v>0</v>
      </c>
      <c r="H38" s="77">
        <v>0</v>
      </c>
      <c r="I38" s="6">
        <v>0</v>
      </c>
      <c r="J38" s="78">
        <f>H38*I38</f>
        <v>0</v>
      </c>
      <c r="K38" s="78">
        <f t="shared" ref="K38:K44" si="8">G38+J38</f>
        <v>0</v>
      </c>
      <c r="L38" s="78">
        <v>0</v>
      </c>
      <c r="M38" s="168">
        <v>0</v>
      </c>
      <c r="N38" s="55" t="s">
        <v>128</v>
      </c>
    </row>
    <row r="39" spans="1:15">
      <c r="A39" s="6">
        <v>37</v>
      </c>
      <c r="B39" s="91"/>
      <c r="C39" s="6"/>
      <c r="D39" s="6"/>
      <c r="E39" s="77">
        <v>0</v>
      </c>
      <c r="F39" s="6">
        <v>0</v>
      </c>
      <c r="G39" s="78">
        <f t="shared" si="7"/>
        <v>0</v>
      </c>
      <c r="H39" s="77">
        <v>0</v>
      </c>
      <c r="I39" s="6">
        <v>0</v>
      </c>
      <c r="J39" s="78">
        <f>H39*I39</f>
        <v>0</v>
      </c>
      <c r="K39" s="78">
        <f t="shared" si="8"/>
        <v>0</v>
      </c>
      <c r="L39" s="78">
        <v>0</v>
      </c>
      <c r="M39" s="168">
        <v>0</v>
      </c>
      <c r="N39" s="55" t="s">
        <v>128</v>
      </c>
    </row>
    <row r="40" spans="1:15">
      <c r="A40" s="6">
        <v>38</v>
      </c>
      <c r="B40" s="91"/>
      <c r="C40" s="6"/>
      <c r="D40" s="6"/>
      <c r="E40" s="77">
        <v>0</v>
      </c>
      <c r="F40" s="6">
        <v>0</v>
      </c>
      <c r="G40" s="78">
        <f t="shared" si="7"/>
        <v>0</v>
      </c>
      <c r="H40" s="77">
        <v>0</v>
      </c>
      <c r="I40" s="6">
        <v>0</v>
      </c>
      <c r="J40" s="78">
        <f>H40*I40</f>
        <v>0</v>
      </c>
      <c r="K40" s="78">
        <f t="shared" si="8"/>
        <v>0</v>
      </c>
      <c r="L40" s="182">
        <f t="shared" ref="L40:L44" si="9">+K40</f>
        <v>0</v>
      </c>
      <c r="M40" s="168">
        <v>0</v>
      </c>
      <c r="N40" s="55" t="s">
        <v>128</v>
      </c>
    </row>
    <row r="41" spans="1:15">
      <c r="A41" s="191">
        <v>39</v>
      </c>
      <c r="B41" s="192"/>
      <c r="C41" s="191"/>
      <c r="D41" s="6"/>
      <c r="E41" s="77">
        <v>0</v>
      </c>
      <c r="F41" s="6">
        <v>0</v>
      </c>
      <c r="G41" s="78">
        <f t="shared" si="7"/>
        <v>0</v>
      </c>
      <c r="H41" s="77">
        <v>0</v>
      </c>
      <c r="I41" s="6">
        <v>0</v>
      </c>
      <c r="J41" s="78">
        <f>H41*I41</f>
        <v>0</v>
      </c>
      <c r="K41" s="78">
        <f t="shared" si="8"/>
        <v>0</v>
      </c>
      <c r="L41" s="182">
        <f t="shared" si="9"/>
        <v>0</v>
      </c>
      <c r="M41" s="168">
        <v>0</v>
      </c>
      <c r="N41" s="55" t="s">
        <v>128</v>
      </c>
    </row>
    <row r="42" spans="1:15">
      <c r="A42" s="6">
        <v>40</v>
      </c>
      <c r="B42" s="6"/>
      <c r="C42" s="6"/>
      <c r="D42" s="6"/>
      <c r="E42" s="77">
        <v>0</v>
      </c>
      <c r="F42" s="6">
        <v>0</v>
      </c>
      <c r="G42" s="78">
        <f t="shared" si="7"/>
        <v>0</v>
      </c>
      <c r="H42" s="77">
        <v>0</v>
      </c>
      <c r="I42" s="6">
        <v>0</v>
      </c>
      <c r="J42" s="78">
        <f>H42*I42</f>
        <v>0</v>
      </c>
      <c r="K42" s="78">
        <f t="shared" si="8"/>
        <v>0</v>
      </c>
      <c r="L42" s="182">
        <f t="shared" si="9"/>
        <v>0</v>
      </c>
      <c r="M42" s="168">
        <v>0</v>
      </c>
      <c r="N42" s="55" t="s">
        <v>128</v>
      </c>
    </row>
    <row r="43" spans="1:15">
      <c r="A43" s="191">
        <v>41</v>
      </c>
      <c r="B43" s="191"/>
      <c r="C43" s="191"/>
      <c r="D43" s="6"/>
      <c r="E43" s="77">
        <v>0</v>
      </c>
      <c r="F43" s="6">
        <v>0</v>
      </c>
      <c r="G43" s="78">
        <f t="shared" si="7"/>
        <v>0</v>
      </c>
      <c r="H43" s="77">
        <v>0</v>
      </c>
      <c r="I43" s="6">
        <v>0</v>
      </c>
      <c r="J43" s="78">
        <f>H43*I43</f>
        <v>0</v>
      </c>
      <c r="K43" s="78">
        <f t="shared" si="8"/>
        <v>0</v>
      </c>
      <c r="L43" s="182">
        <f t="shared" si="9"/>
        <v>0</v>
      </c>
      <c r="M43" s="168">
        <v>0</v>
      </c>
      <c r="N43" s="55" t="s">
        <v>128</v>
      </c>
    </row>
    <row r="44" spans="1:15">
      <c r="A44" s="191">
        <v>42</v>
      </c>
      <c r="B44" s="191"/>
      <c r="C44" s="191"/>
      <c r="D44" s="6"/>
      <c r="E44" s="77">
        <v>0</v>
      </c>
      <c r="F44" s="6">
        <v>0</v>
      </c>
      <c r="G44" s="78">
        <f t="shared" si="7"/>
        <v>0</v>
      </c>
      <c r="H44" s="77">
        <v>0</v>
      </c>
      <c r="I44" s="6">
        <v>0</v>
      </c>
      <c r="J44" s="78">
        <f>H44*I44</f>
        <v>0</v>
      </c>
      <c r="K44" s="78">
        <f t="shared" si="8"/>
        <v>0</v>
      </c>
      <c r="L44" s="182">
        <f t="shared" si="9"/>
        <v>0</v>
      </c>
      <c r="M44" s="168">
        <v>0</v>
      </c>
      <c r="N44" s="55" t="s">
        <v>128</v>
      </c>
    </row>
    <row r="45" spans="1:15">
      <c r="A45" s="74"/>
      <c r="B45" s="74"/>
      <c r="C45" s="74"/>
      <c r="D45" s="74"/>
      <c r="E45" s="75">
        <f>SUM(E4:E44)</f>
        <v>1274.8300000000002</v>
      </c>
      <c r="F45" s="75"/>
      <c r="G45" s="75">
        <f>SUM(G4:G44)</f>
        <v>116609.65249999998</v>
      </c>
      <c r="H45" s="75">
        <f>SUM(H4:H44)</f>
        <v>110.47999999999999</v>
      </c>
      <c r="I45" s="75"/>
      <c r="J45" s="75">
        <f>SUM(J4:J44)</f>
        <v>11458.377599999998</v>
      </c>
      <c r="K45" s="75">
        <f>SUM(K4:K44)</f>
        <v>128068.0301</v>
      </c>
      <c r="L45" s="75">
        <f>SUM(L4:L44)</f>
        <v>153145.73860000001</v>
      </c>
      <c r="M45" s="75"/>
      <c r="N45" s="75"/>
      <c r="O45" s="71"/>
    </row>
  </sheetData>
  <mergeCells count="2">
    <mergeCell ref="A1:N1"/>
    <mergeCell ref="A3:L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40F-B265-4AE1-820B-14F38CA64D84}">
  <sheetPr>
    <tabColor rgb="FF92D050"/>
  </sheetPr>
  <dimension ref="A1:O36"/>
  <sheetViews>
    <sheetView workbookViewId="0">
      <pane ySplit="2" topLeftCell="A15" activePane="bottomLeft" state="frozen"/>
      <selection pane="bottomLeft" activeCell="T26" sqref="T26"/>
    </sheetView>
  </sheetViews>
  <sheetFormatPr defaultRowHeight="15"/>
  <cols>
    <col min="1" max="1" width="5.28515625" style="5" bestFit="1" customWidth="1"/>
    <col min="2" max="2" width="16" style="5" bestFit="1" customWidth="1"/>
    <col min="3" max="3" width="8.140625" style="5" bestFit="1" customWidth="1"/>
    <col min="4" max="4" width="13.7109375" style="5" bestFit="1" customWidth="1"/>
    <col min="5" max="5" width="10.85546875" style="5" bestFit="1" customWidth="1"/>
    <col min="6" max="6" width="12.28515625" style="5" bestFit="1" customWidth="1"/>
    <col min="7" max="7" width="14.42578125" style="5" customWidth="1"/>
    <col min="8" max="8" width="10.85546875" style="5" bestFit="1" customWidth="1"/>
    <col min="9" max="9" width="8" style="5" bestFit="1" customWidth="1"/>
    <col min="10" max="10" width="9.7109375" style="5" bestFit="1" customWidth="1"/>
    <col min="11" max="11" width="13.5703125" style="5" bestFit="1" customWidth="1"/>
    <col min="12" max="12" width="12.7109375" style="5" bestFit="1" customWidth="1"/>
    <col min="13" max="13" width="14.42578125" style="5" customWidth="1"/>
    <col min="14" max="14" width="17.28515625" style="5" customWidth="1"/>
    <col min="15" max="16384" width="9.140625" style="5"/>
  </cols>
  <sheetData>
    <row r="1" spans="1:15" ht="15.75">
      <c r="A1" s="414" t="s">
        <v>82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  <c r="O1" s="65"/>
    </row>
    <row r="2" spans="1:15">
      <c r="A2" s="111" t="s">
        <v>105</v>
      </c>
      <c r="B2" s="112" t="s">
        <v>106</v>
      </c>
      <c r="C2" s="112" t="s">
        <v>107</v>
      </c>
      <c r="D2" s="112" t="s">
        <v>121</v>
      </c>
      <c r="E2" s="112" t="s">
        <v>109</v>
      </c>
      <c r="F2" s="112" t="s">
        <v>110</v>
      </c>
      <c r="G2" s="112" t="s">
        <v>111</v>
      </c>
      <c r="H2" s="112" t="s">
        <v>112</v>
      </c>
      <c r="I2" s="112" t="s">
        <v>110</v>
      </c>
      <c r="J2" s="153" t="s">
        <v>111</v>
      </c>
      <c r="K2" s="113" t="s">
        <v>113</v>
      </c>
      <c r="L2" s="154" t="s">
        <v>114</v>
      </c>
      <c r="M2" s="159" t="s">
        <v>120</v>
      </c>
      <c r="N2" s="114" t="s">
        <v>116</v>
      </c>
      <c r="O2" s="71"/>
    </row>
    <row r="3" spans="1:15">
      <c r="A3" s="175"/>
      <c r="B3" s="19" t="s">
        <v>117</v>
      </c>
      <c r="C3" s="176"/>
      <c r="D3" s="176"/>
      <c r="E3" s="176"/>
      <c r="F3" s="176"/>
      <c r="G3" s="176"/>
      <c r="H3" s="176"/>
      <c r="I3" s="176"/>
      <c r="J3" s="177"/>
      <c r="K3" s="247">
        <v>92995.30260000001</v>
      </c>
      <c r="L3" s="178"/>
      <c r="M3" s="93">
        <f>+K3</f>
        <v>92995.30260000001</v>
      </c>
      <c r="N3" s="176"/>
      <c r="O3" s="71">
        <v>237866.59349999996</v>
      </c>
    </row>
    <row r="4" spans="1:15">
      <c r="A4" s="229">
        <v>1</v>
      </c>
      <c r="B4" s="264">
        <v>45839</v>
      </c>
      <c r="C4" s="79"/>
      <c r="D4" s="179"/>
      <c r="E4" s="77">
        <v>0</v>
      </c>
      <c r="F4" s="6">
        <v>0</v>
      </c>
      <c r="G4" s="8">
        <f>E4*F4</f>
        <v>0</v>
      </c>
      <c r="H4" s="77">
        <v>0</v>
      </c>
      <c r="I4" s="6">
        <v>0</v>
      </c>
      <c r="J4" s="8">
        <f>H4*I4</f>
        <v>0</v>
      </c>
      <c r="K4" s="8">
        <f>G4+J4</f>
        <v>0</v>
      </c>
      <c r="L4" s="80"/>
      <c r="M4" s="80">
        <f>M3+K4-L4</f>
        <v>92995.30260000001</v>
      </c>
      <c r="N4" s="47"/>
      <c r="O4" s="81"/>
    </row>
    <row r="5" spans="1:15">
      <c r="A5" s="55">
        <v>2</v>
      </c>
      <c r="B5" s="264">
        <v>45840</v>
      </c>
      <c r="C5" s="79"/>
      <c r="D5" s="83"/>
      <c r="E5" s="77">
        <v>0</v>
      </c>
      <c r="F5" s="6">
        <v>0</v>
      </c>
      <c r="G5" s="8">
        <f>E5*F5</f>
        <v>0</v>
      </c>
      <c r="H5" s="77">
        <v>0</v>
      </c>
      <c r="I5" s="6">
        <v>0</v>
      </c>
      <c r="J5" s="8">
        <f t="shared" ref="J5:J34" si="0">H5*I5</f>
        <v>0</v>
      </c>
      <c r="K5" s="8">
        <f t="shared" ref="K5:K34" si="1">G5+J5</f>
        <v>0</v>
      </c>
      <c r="L5" s="80"/>
      <c r="M5" s="80">
        <f t="shared" ref="M5:M19" si="2">M4+K5-L5</f>
        <v>92995.30260000001</v>
      </c>
      <c r="N5" s="47"/>
      <c r="O5" s="81"/>
    </row>
    <row r="6" spans="1:15">
      <c r="A6" s="55">
        <v>3</v>
      </c>
      <c r="B6" s="264">
        <v>45841</v>
      </c>
      <c r="C6" s="79"/>
      <c r="D6" s="83"/>
      <c r="E6" s="77">
        <v>0</v>
      </c>
      <c r="F6" s="6">
        <v>0</v>
      </c>
      <c r="G6" s="8">
        <f t="shared" ref="G6:G34" si="3">E6*F6</f>
        <v>0</v>
      </c>
      <c r="H6" s="77">
        <v>0</v>
      </c>
      <c r="I6" s="6">
        <v>0</v>
      </c>
      <c r="J6" s="8">
        <f t="shared" si="0"/>
        <v>0</v>
      </c>
      <c r="K6" s="8">
        <f t="shared" si="1"/>
        <v>0</v>
      </c>
      <c r="L6" s="80"/>
      <c r="M6" s="80">
        <f t="shared" si="2"/>
        <v>92995.30260000001</v>
      </c>
      <c r="N6" s="47"/>
      <c r="O6" s="81"/>
    </row>
    <row r="7" spans="1:15">
      <c r="A7" s="55">
        <v>4</v>
      </c>
      <c r="B7" s="264">
        <v>45842</v>
      </c>
      <c r="C7" s="79"/>
      <c r="D7" s="83"/>
      <c r="E7" s="77">
        <v>0</v>
      </c>
      <c r="F7" s="6">
        <v>0</v>
      </c>
      <c r="G7" s="8">
        <f t="shared" si="3"/>
        <v>0</v>
      </c>
      <c r="H7" s="77">
        <v>7.76</v>
      </c>
      <c r="I7" s="6">
        <v>103.16</v>
      </c>
      <c r="J7" s="8">
        <f t="shared" si="0"/>
        <v>800.52159999999992</v>
      </c>
      <c r="K7" s="8">
        <f t="shared" si="1"/>
        <v>800.52159999999992</v>
      </c>
      <c r="L7" s="80"/>
      <c r="M7" s="80">
        <f t="shared" si="2"/>
        <v>93795.824200000003</v>
      </c>
      <c r="N7" s="47"/>
      <c r="O7" s="81"/>
    </row>
    <row r="8" spans="1:15">
      <c r="A8" s="55">
        <v>5</v>
      </c>
      <c r="B8" s="264">
        <v>45843</v>
      </c>
      <c r="C8" s="79"/>
      <c r="D8" s="83"/>
      <c r="E8" s="77">
        <v>0</v>
      </c>
      <c r="F8" s="6">
        <v>0</v>
      </c>
      <c r="G8" s="8">
        <f t="shared" si="3"/>
        <v>0</v>
      </c>
      <c r="H8" s="77">
        <v>0</v>
      </c>
      <c r="I8" s="6">
        <v>0</v>
      </c>
      <c r="J8" s="8">
        <f t="shared" si="0"/>
        <v>0</v>
      </c>
      <c r="K8" s="8">
        <f t="shared" si="1"/>
        <v>0</v>
      </c>
      <c r="L8" s="80">
        <v>0</v>
      </c>
      <c r="M8" s="80">
        <f t="shared" si="2"/>
        <v>93795.824200000003</v>
      </c>
      <c r="N8" s="47"/>
      <c r="O8" s="81"/>
    </row>
    <row r="9" spans="1:15">
      <c r="A9" s="55">
        <v>6</v>
      </c>
      <c r="B9" s="264">
        <v>45844</v>
      </c>
      <c r="C9" s="79"/>
      <c r="D9" s="83"/>
      <c r="E9" s="77">
        <v>32.89</v>
      </c>
      <c r="F9" s="6">
        <v>91.23</v>
      </c>
      <c r="G9" s="8">
        <f t="shared" si="3"/>
        <v>3000.5547000000001</v>
      </c>
      <c r="H9" s="77">
        <v>0</v>
      </c>
      <c r="I9" s="6">
        <v>0</v>
      </c>
      <c r="J9" s="8">
        <f t="shared" si="0"/>
        <v>0</v>
      </c>
      <c r="K9" s="8">
        <f t="shared" si="1"/>
        <v>3000.5547000000001</v>
      </c>
      <c r="L9" s="80"/>
      <c r="M9" s="80">
        <f t="shared" si="2"/>
        <v>96796.378899999996</v>
      </c>
      <c r="N9" s="47"/>
      <c r="O9" s="81"/>
    </row>
    <row r="10" spans="1:15">
      <c r="A10" s="55">
        <v>7</v>
      </c>
      <c r="B10" s="264">
        <v>45845</v>
      </c>
      <c r="C10" s="79"/>
      <c r="D10" s="83"/>
      <c r="E10" s="77">
        <v>0</v>
      </c>
      <c r="F10" s="6">
        <v>0</v>
      </c>
      <c r="G10" s="8">
        <f t="shared" si="3"/>
        <v>0</v>
      </c>
      <c r="H10" s="77">
        <v>7.18</v>
      </c>
      <c r="I10" s="6">
        <v>103.16</v>
      </c>
      <c r="J10" s="8">
        <f t="shared" si="0"/>
        <v>740.6887999999999</v>
      </c>
      <c r="K10" s="8">
        <f t="shared" si="1"/>
        <v>740.6887999999999</v>
      </c>
      <c r="L10" s="80"/>
      <c r="M10" s="80">
        <f t="shared" si="2"/>
        <v>97537.0677</v>
      </c>
      <c r="N10" s="47"/>
      <c r="O10" s="81"/>
    </row>
    <row r="11" spans="1:15">
      <c r="A11" s="55">
        <v>8</v>
      </c>
      <c r="B11" s="264">
        <v>45846</v>
      </c>
      <c r="C11" s="79"/>
      <c r="D11" s="83"/>
      <c r="E11" s="77">
        <v>0</v>
      </c>
      <c r="F11" s="6">
        <v>91.23</v>
      </c>
      <c r="G11" s="8">
        <f t="shared" si="3"/>
        <v>0</v>
      </c>
      <c r="H11" s="77">
        <v>0</v>
      </c>
      <c r="I11" s="6">
        <v>103.16</v>
      </c>
      <c r="J11" s="8">
        <f t="shared" si="0"/>
        <v>0</v>
      </c>
      <c r="K11" s="8">
        <f t="shared" si="1"/>
        <v>0</v>
      </c>
      <c r="L11" s="80"/>
      <c r="M11" s="80">
        <f t="shared" si="2"/>
        <v>97537.0677</v>
      </c>
      <c r="N11" s="47"/>
      <c r="O11" s="81"/>
    </row>
    <row r="12" spans="1:15">
      <c r="A12" s="55">
        <v>9</v>
      </c>
      <c r="B12" s="264">
        <v>45847</v>
      </c>
      <c r="C12" s="79"/>
      <c r="D12" s="83"/>
      <c r="E12" s="77">
        <v>44.22</v>
      </c>
      <c r="F12" s="6">
        <v>91.23</v>
      </c>
      <c r="G12" s="8">
        <f t="shared" si="3"/>
        <v>4034.1905999999999</v>
      </c>
      <c r="H12" s="77">
        <v>5.37</v>
      </c>
      <c r="I12" s="6">
        <v>103.16</v>
      </c>
      <c r="J12" s="8">
        <f t="shared" si="0"/>
        <v>553.9692</v>
      </c>
      <c r="K12" s="8">
        <f t="shared" si="1"/>
        <v>4588.1597999999994</v>
      </c>
      <c r="L12" s="80"/>
      <c r="M12" s="80">
        <f t="shared" si="2"/>
        <v>102125.22749999999</v>
      </c>
      <c r="N12" s="47"/>
      <c r="O12" s="81"/>
    </row>
    <row r="13" spans="1:15">
      <c r="A13" s="55">
        <v>10</v>
      </c>
      <c r="B13" s="264">
        <v>45848</v>
      </c>
      <c r="C13" s="217"/>
      <c r="D13" s="218"/>
      <c r="E13" s="77">
        <v>63.21</v>
      </c>
      <c r="F13" s="6">
        <v>91.23</v>
      </c>
      <c r="G13" s="8">
        <f t="shared" si="3"/>
        <v>5766.6483000000007</v>
      </c>
      <c r="H13" s="77">
        <v>6.79</v>
      </c>
      <c r="I13" s="6">
        <v>103.16</v>
      </c>
      <c r="J13" s="8">
        <f t="shared" si="0"/>
        <v>700.45640000000003</v>
      </c>
      <c r="K13" s="8">
        <f t="shared" si="1"/>
        <v>6467.1047000000008</v>
      </c>
      <c r="L13" s="80"/>
      <c r="M13" s="80">
        <f>M12+K13-L13</f>
        <v>108592.33219999999</v>
      </c>
      <c r="N13" s="47"/>
      <c r="O13" s="81"/>
    </row>
    <row r="14" spans="1:15">
      <c r="A14" s="55">
        <v>11</v>
      </c>
      <c r="B14" s="264">
        <v>45849</v>
      </c>
      <c r="C14" s="198"/>
      <c r="D14" s="198"/>
      <c r="E14" s="77">
        <v>0</v>
      </c>
      <c r="F14" s="6">
        <v>0</v>
      </c>
      <c r="G14" s="8">
        <f t="shared" si="3"/>
        <v>0</v>
      </c>
      <c r="H14" s="77">
        <v>0</v>
      </c>
      <c r="I14" s="6">
        <v>0</v>
      </c>
      <c r="J14" s="8">
        <f t="shared" si="0"/>
        <v>0</v>
      </c>
      <c r="K14" s="8">
        <f t="shared" si="1"/>
        <v>0</v>
      </c>
      <c r="L14" s="80"/>
      <c r="M14" s="80">
        <f t="shared" si="2"/>
        <v>108592.33219999999</v>
      </c>
      <c r="N14" s="47"/>
      <c r="O14" s="81"/>
    </row>
    <row r="15" spans="1:15">
      <c r="A15" s="55">
        <v>12</v>
      </c>
      <c r="B15" s="264">
        <v>45850</v>
      </c>
      <c r="C15" s="198"/>
      <c r="D15" s="198"/>
      <c r="E15" s="77">
        <v>173.46</v>
      </c>
      <c r="F15" s="6">
        <v>91.23</v>
      </c>
      <c r="G15" s="8">
        <f t="shared" si="3"/>
        <v>15824.755800000001</v>
      </c>
      <c r="H15" s="77">
        <v>0</v>
      </c>
      <c r="I15" s="6">
        <v>0</v>
      </c>
      <c r="J15" s="8">
        <f t="shared" si="0"/>
        <v>0</v>
      </c>
      <c r="K15" s="8">
        <f t="shared" si="1"/>
        <v>15824.755800000001</v>
      </c>
      <c r="L15" s="80"/>
      <c r="M15" s="80">
        <f t="shared" si="2"/>
        <v>124417.08799999999</v>
      </c>
      <c r="N15" s="47"/>
      <c r="O15" s="81"/>
    </row>
    <row r="16" spans="1:15">
      <c r="A16" s="55">
        <v>13</v>
      </c>
      <c r="B16" s="264">
        <v>45851</v>
      </c>
      <c r="C16" s="198"/>
      <c r="D16" s="198"/>
      <c r="E16" s="77">
        <v>29.59</v>
      </c>
      <c r="F16" s="6">
        <v>91.23</v>
      </c>
      <c r="G16" s="8">
        <f t="shared" si="3"/>
        <v>2699.4956999999999</v>
      </c>
      <c r="H16" s="77">
        <v>5.82</v>
      </c>
      <c r="I16" s="6">
        <v>103.16</v>
      </c>
      <c r="J16" s="8">
        <f t="shared" si="0"/>
        <v>600.39120000000003</v>
      </c>
      <c r="K16" s="8">
        <f t="shared" si="1"/>
        <v>3299.8869</v>
      </c>
      <c r="L16" s="80"/>
      <c r="M16" s="80">
        <f t="shared" si="2"/>
        <v>127716.97489999999</v>
      </c>
      <c r="N16" s="47"/>
      <c r="O16" s="81"/>
    </row>
    <row r="17" spans="1:15">
      <c r="A17" s="55">
        <v>14</v>
      </c>
      <c r="B17" s="264">
        <v>45852</v>
      </c>
      <c r="C17" s="198"/>
      <c r="D17" s="198"/>
      <c r="E17" s="77">
        <v>149.86000000000001</v>
      </c>
      <c r="F17" s="6">
        <v>91.23</v>
      </c>
      <c r="G17" s="8">
        <f t="shared" si="3"/>
        <v>13671.727800000002</v>
      </c>
      <c r="H17" s="77">
        <v>0</v>
      </c>
      <c r="I17" s="6">
        <v>0</v>
      </c>
      <c r="J17" s="8">
        <f t="shared" si="0"/>
        <v>0</v>
      </c>
      <c r="K17" s="8">
        <f t="shared" si="1"/>
        <v>13671.727800000002</v>
      </c>
      <c r="L17" s="80"/>
      <c r="M17" s="80">
        <f t="shared" si="2"/>
        <v>141388.70269999999</v>
      </c>
      <c r="N17" s="47"/>
      <c r="O17" s="81"/>
    </row>
    <row r="18" spans="1:15">
      <c r="A18" s="55">
        <v>15</v>
      </c>
      <c r="B18" s="264">
        <v>45853</v>
      </c>
      <c r="C18" s="198"/>
      <c r="D18" s="198"/>
      <c r="E18" s="77">
        <v>90.36</v>
      </c>
      <c r="F18" s="6">
        <v>91.23</v>
      </c>
      <c r="G18" s="8">
        <f t="shared" si="3"/>
        <v>8243.5428000000011</v>
      </c>
      <c r="H18" s="77">
        <v>6.01</v>
      </c>
      <c r="I18" s="6">
        <v>103.16</v>
      </c>
      <c r="J18" s="8">
        <f t="shared" si="0"/>
        <v>619.99159999999995</v>
      </c>
      <c r="K18" s="8">
        <f t="shared" si="1"/>
        <v>8863.5344000000005</v>
      </c>
      <c r="L18" s="80">
        <v>127117</v>
      </c>
      <c r="M18" s="80">
        <f t="shared" si="2"/>
        <v>23135.237099999998</v>
      </c>
      <c r="N18" s="47"/>
      <c r="O18" s="81"/>
    </row>
    <row r="19" spans="1:15">
      <c r="A19" s="55">
        <v>16</v>
      </c>
      <c r="B19" s="264">
        <v>45854</v>
      </c>
      <c r="C19" s="198"/>
      <c r="D19" s="198"/>
      <c r="E19" s="77">
        <v>0</v>
      </c>
      <c r="F19" s="6">
        <v>0</v>
      </c>
      <c r="G19" s="8">
        <f t="shared" si="3"/>
        <v>0</v>
      </c>
      <c r="H19" s="77">
        <v>0</v>
      </c>
      <c r="I19" s="6">
        <v>0</v>
      </c>
      <c r="J19" s="8">
        <f t="shared" si="0"/>
        <v>0</v>
      </c>
      <c r="K19" s="8">
        <f t="shared" si="1"/>
        <v>0</v>
      </c>
      <c r="L19" s="80"/>
      <c r="M19" s="80">
        <f t="shared" si="2"/>
        <v>23135.237099999998</v>
      </c>
      <c r="N19" s="47"/>
      <c r="O19" s="81"/>
    </row>
    <row r="20" spans="1:15">
      <c r="A20" s="55">
        <v>17</v>
      </c>
      <c r="B20" s="264">
        <v>45855</v>
      </c>
      <c r="C20" s="198"/>
      <c r="D20" s="198"/>
      <c r="E20" s="77">
        <v>0</v>
      </c>
      <c r="F20" s="6">
        <v>0</v>
      </c>
      <c r="G20" s="8">
        <f t="shared" si="3"/>
        <v>0</v>
      </c>
      <c r="H20" s="77">
        <v>0</v>
      </c>
      <c r="I20" s="6">
        <v>0</v>
      </c>
      <c r="J20" s="8">
        <f t="shared" si="0"/>
        <v>0</v>
      </c>
      <c r="K20" s="8">
        <f t="shared" si="1"/>
        <v>0</v>
      </c>
      <c r="L20" s="80"/>
      <c r="M20" s="80">
        <f t="shared" ref="M20:M34" si="4">M19+K20-L20</f>
        <v>23135.237099999998</v>
      </c>
      <c r="N20" s="47"/>
      <c r="O20" s="81"/>
    </row>
    <row r="21" spans="1:15">
      <c r="A21" s="55">
        <v>18</v>
      </c>
      <c r="B21" s="264">
        <v>45856</v>
      </c>
      <c r="C21" s="198"/>
      <c r="D21" s="198"/>
      <c r="E21" s="77">
        <v>156.83000000000001</v>
      </c>
      <c r="F21" s="6">
        <v>91.23</v>
      </c>
      <c r="G21" s="8">
        <f t="shared" si="3"/>
        <v>14307.600900000001</v>
      </c>
      <c r="H21" s="77">
        <v>0</v>
      </c>
      <c r="I21" s="6">
        <v>0</v>
      </c>
      <c r="J21" s="8">
        <f t="shared" si="0"/>
        <v>0</v>
      </c>
      <c r="K21" s="8">
        <f t="shared" si="1"/>
        <v>14307.600900000001</v>
      </c>
      <c r="L21" s="80"/>
      <c r="M21" s="80">
        <f t="shared" si="4"/>
        <v>37442.838000000003</v>
      </c>
      <c r="N21" s="47"/>
      <c r="O21" s="81"/>
    </row>
    <row r="22" spans="1:15">
      <c r="A22" s="55">
        <v>19</v>
      </c>
      <c r="B22" s="264">
        <v>45857</v>
      </c>
      <c r="C22" s="198"/>
      <c r="D22" s="198"/>
      <c r="E22" s="77">
        <v>0</v>
      </c>
      <c r="F22" s="6">
        <v>0</v>
      </c>
      <c r="G22" s="8">
        <f t="shared" si="3"/>
        <v>0</v>
      </c>
      <c r="H22" s="77">
        <v>0</v>
      </c>
      <c r="I22" s="6">
        <v>0</v>
      </c>
      <c r="J22" s="8">
        <f t="shared" si="0"/>
        <v>0</v>
      </c>
      <c r="K22" s="8">
        <f t="shared" si="1"/>
        <v>0</v>
      </c>
      <c r="L22" s="80"/>
      <c r="M22" s="80">
        <f t="shared" si="4"/>
        <v>37442.838000000003</v>
      </c>
      <c r="N22" s="47"/>
      <c r="O22" s="81"/>
    </row>
    <row r="23" spans="1:15">
      <c r="A23" s="55">
        <v>20</v>
      </c>
      <c r="B23" s="264">
        <v>45858</v>
      </c>
      <c r="C23" s="198"/>
      <c r="D23" s="198"/>
      <c r="E23" s="77">
        <v>40.19</v>
      </c>
      <c r="F23" s="6">
        <v>91.23</v>
      </c>
      <c r="G23" s="8">
        <f t="shared" si="3"/>
        <v>3666.5337</v>
      </c>
      <c r="H23" s="77">
        <v>0</v>
      </c>
      <c r="I23" s="6">
        <v>0</v>
      </c>
      <c r="J23" s="8">
        <f t="shared" si="0"/>
        <v>0</v>
      </c>
      <c r="K23" s="8">
        <f t="shared" si="1"/>
        <v>3666.5337</v>
      </c>
      <c r="L23" s="80"/>
      <c r="M23" s="80">
        <f t="shared" si="4"/>
        <v>41109.371700000003</v>
      </c>
      <c r="N23" s="47"/>
      <c r="O23" s="81"/>
    </row>
    <row r="24" spans="1:15">
      <c r="A24" s="55">
        <v>21</v>
      </c>
      <c r="B24" s="264">
        <v>45859</v>
      </c>
      <c r="C24" s="198"/>
      <c r="D24" s="198"/>
      <c r="E24" s="77">
        <v>116.02</v>
      </c>
      <c r="F24" s="6">
        <v>91.23</v>
      </c>
      <c r="G24" s="8">
        <f t="shared" si="3"/>
        <v>10584.5046</v>
      </c>
      <c r="H24" s="77">
        <v>0</v>
      </c>
      <c r="I24" s="6">
        <v>0</v>
      </c>
      <c r="J24" s="8">
        <f t="shared" si="0"/>
        <v>0</v>
      </c>
      <c r="K24" s="8">
        <f t="shared" si="1"/>
        <v>10584.5046</v>
      </c>
      <c r="L24" s="80"/>
      <c r="M24" s="80">
        <f t="shared" si="4"/>
        <v>51693.876300000004</v>
      </c>
      <c r="N24" s="47"/>
      <c r="O24" s="81"/>
    </row>
    <row r="25" spans="1:15">
      <c r="A25" s="55">
        <v>22</v>
      </c>
      <c r="B25" s="264">
        <v>45860</v>
      </c>
      <c r="C25" s="198"/>
      <c r="D25" s="198"/>
      <c r="E25" s="77">
        <v>0</v>
      </c>
      <c r="F25" s="6">
        <v>0</v>
      </c>
      <c r="G25" s="8">
        <f t="shared" si="3"/>
        <v>0</v>
      </c>
      <c r="H25" s="77">
        <v>0</v>
      </c>
      <c r="I25" s="6">
        <v>0</v>
      </c>
      <c r="J25" s="8">
        <f t="shared" si="0"/>
        <v>0</v>
      </c>
      <c r="K25" s="8">
        <f t="shared" si="1"/>
        <v>0</v>
      </c>
      <c r="L25" s="80"/>
      <c r="M25" s="80">
        <f t="shared" si="4"/>
        <v>51693.876300000004</v>
      </c>
      <c r="N25" s="47"/>
      <c r="O25" s="81"/>
    </row>
    <row r="26" spans="1:15">
      <c r="A26" s="55">
        <v>23</v>
      </c>
      <c r="B26" s="264">
        <v>45861</v>
      </c>
      <c r="C26" s="245"/>
      <c r="D26" s="245"/>
      <c r="E26" s="77">
        <v>114</v>
      </c>
      <c r="F26" s="6">
        <v>91.23</v>
      </c>
      <c r="G26" s="8">
        <f t="shared" si="3"/>
        <v>10400.220000000001</v>
      </c>
      <c r="H26" s="77">
        <v>7.1</v>
      </c>
      <c r="I26" s="6">
        <v>103.16</v>
      </c>
      <c r="J26" s="8">
        <f t="shared" si="0"/>
        <v>732.43599999999992</v>
      </c>
      <c r="K26" s="8">
        <f t="shared" si="1"/>
        <v>11132.656000000001</v>
      </c>
      <c r="L26" s="80"/>
      <c r="M26" s="80">
        <f t="shared" si="4"/>
        <v>62826.532300000006</v>
      </c>
      <c r="N26" s="246"/>
      <c r="O26" s="81">
        <v>51702</v>
      </c>
    </row>
    <row r="27" spans="1:15">
      <c r="A27" s="55">
        <v>24</v>
      </c>
      <c r="B27" s="264">
        <v>45862</v>
      </c>
      <c r="C27" s="245"/>
      <c r="D27" s="245"/>
      <c r="E27" s="77">
        <v>0</v>
      </c>
      <c r="F27" s="6">
        <v>0</v>
      </c>
      <c r="G27" s="8">
        <f t="shared" si="3"/>
        <v>0</v>
      </c>
      <c r="H27" s="77">
        <v>0</v>
      </c>
      <c r="I27" s="6">
        <v>0</v>
      </c>
      <c r="J27" s="8">
        <f t="shared" si="0"/>
        <v>0</v>
      </c>
      <c r="K27" s="8">
        <f t="shared" si="1"/>
        <v>0</v>
      </c>
      <c r="L27" s="80"/>
      <c r="M27" s="80">
        <f t="shared" si="4"/>
        <v>62826.532300000006</v>
      </c>
      <c r="N27" s="246"/>
      <c r="O27" s="81"/>
    </row>
    <row r="28" spans="1:15">
      <c r="A28" s="266">
        <v>25</v>
      </c>
      <c r="B28" s="264">
        <v>45863</v>
      </c>
      <c r="C28" s="245"/>
      <c r="D28" s="245"/>
      <c r="E28" s="77">
        <v>0</v>
      </c>
      <c r="F28" s="6">
        <v>0</v>
      </c>
      <c r="G28" s="8">
        <f t="shared" si="3"/>
        <v>0</v>
      </c>
      <c r="H28" s="77">
        <v>0</v>
      </c>
      <c r="I28" s="6">
        <v>0</v>
      </c>
      <c r="J28" s="8">
        <f t="shared" si="0"/>
        <v>0</v>
      </c>
      <c r="K28" s="8">
        <f t="shared" si="1"/>
        <v>0</v>
      </c>
      <c r="L28" s="80"/>
      <c r="M28" s="80">
        <f t="shared" si="4"/>
        <v>62826.532300000006</v>
      </c>
      <c r="N28" s="246"/>
      <c r="O28" s="81"/>
    </row>
    <row r="29" spans="1:15">
      <c r="A29" s="266">
        <v>26</v>
      </c>
      <c r="B29" s="264">
        <v>45864</v>
      </c>
      <c r="C29" s="245"/>
      <c r="D29" s="245"/>
      <c r="E29" s="77">
        <v>0</v>
      </c>
      <c r="F29" s="6">
        <v>0</v>
      </c>
      <c r="G29" s="8">
        <f t="shared" si="3"/>
        <v>0</v>
      </c>
      <c r="H29" s="77">
        <v>0</v>
      </c>
      <c r="I29" s="6">
        <v>0</v>
      </c>
      <c r="J29" s="8">
        <f t="shared" si="0"/>
        <v>0</v>
      </c>
      <c r="K29" s="8">
        <f t="shared" si="1"/>
        <v>0</v>
      </c>
      <c r="L29" s="80"/>
      <c r="M29" s="80">
        <f t="shared" si="4"/>
        <v>62826.532300000006</v>
      </c>
      <c r="N29" s="246"/>
      <c r="O29" s="81"/>
    </row>
    <row r="30" spans="1:15">
      <c r="A30" s="266">
        <v>27</v>
      </c>
      <c r="B30" s="264">
        <v>45865</v>
      </c>
      <c r="C30" s="245"/>
      <c r="D30" s="245"/>
      <c r="E30" s="77">
        <v>0</v>
      </c>
      <c r="F30" s="6">
        <v>0</v>
      </c>
      <c r="G30" s="8">
        <f t="shared" si="3"/>
        <v>0</v>
      </c>
      <c r="H30" s="77">
        <v>0</v>
      </c>
      <c r="I30" s="6">
        <v>0</v>
      </c>
      <c r="J30" s="8">
        <f t="shared" si="0"/>
        <v>0</v>
      </c>
      <c r="K30" s="8">
        <f t="shared" si="1"/>
        <v>0</v>
      </c>
      <c r="L30" s="80"/>
      <c r="M30" s="80">
        <f t="shared" si="4"/>
        <v>62826.532300000006</v>
      </c>
      <c r="N30" s="246"/>
      <c r="O30" s="81"/>
    </row>
    <row r="31" spans="1:15">
      <c r="A31" s="266">
        <v>28</v>
      </c>
      <c r="B31" s="264">
        <v>45866</v>
      </c>
      <c r="C31" s="245"/>
      <c r="D31" s="245"/>
      <c r="E31" s="77">
        <v>244.45</v>
      </c>
      <c r="F31" s="6">
        <v>91.23</v>
      </c>
      <c r="G31" s="8">
        <f t="shared" si="3"/>
        <v>22301.173500000001</v>
      </c>
      <c r="H31" s="77">
        <v>3.88</v>
      </c>
      <c r="I31" s="6">
        <v>103.16</v>
      </c>
      <c r="J31" s="8">
        <f t="shared" si="0"/>
        <v>400.26079999999996</v>
      </c>
      <c r="K31" s="8">
        <f t="shared" si="1"/>
        <v>22701.434300000001</v>
      </c>
      <c r="L31" s="80"/>
      <c r="M31" s="80">
        <f t="shared" si="4"/>
        <v>85527.966600000014</v>
      </c>
      <c r="N31" s="246"/>
      <c r="O31" s="81"/>
    </row>
    <row r="32" spans="1:15">
      <c r="A32" s="267">
        <v>29</v>
      </c>
      <c r="B32" s="264">
        <v>45867</v>
      </c>
      <c r="C32" s="245"/>
      <c r="D32" s="245"/>
      <c r="E32" s="77">
        <v>121.54</v>
      </c>
      <c r="F32" s="6">
        <v>91.23</v>
      </c>
      <c r="G32" s="8">
        <f t="shared" si="3"/>
        <v>11088.094200000001</v>
      </c>
      <c r="H32" s="77">
        <v>7</v>
      </c>
      <c r="I32" s="6">
        <v>103.16</v>
      </c>
      <c r="J32" s="8">
        <f t="shared" si="0"/>
        <v>722.12</v>
      </c>
      <c r="K32" s="8">
        <f t="shared" si="1"/>
        <v>11810.214200000002</v>
      </c>
      <c r="L32" s="80"/>
      <c r="M32" s="80">
        <f t="shared" si="4"/>
        <v>97338.180800000016</v>
      </c>
      <c r="N32" s="246"/>
      <c r="O32" s="81"/>
    </row>
    <row r="33" spans="1:15">
      <c r="A33" s="267">
        <v>30</v>
      </c>
      <c r="B33" s="264">
        <v>45868</v>
      </c>
      <c r="C33" s="245"/>
      <c r="D33" s="245"/>
      <c r="E33" s="77">
        <v>0</v>
      </c>
      <c r="F33" s="6">
        <v>0</v>
      </c>
      <c r="G33" s="8">
        <f t="shared" si="3"/>
        <v>0</v>
      </c>
      <c r="H33" s="77">
        <v>0</v>
      </c>
      <c r="I33" s="6">
        <v>0</v>
      </c>
      <c r="J33" s="8">
        <f t="shared" si="0"/>
        <v>0</v>
      </c>
      <c r="K33" s="8">
        <f t="shared" si="1"/>
        <v>0</v>
      </c>
      <c r="L33" s="80"/>
      <c r="M33" s="80">
        <f t="shared" si="4"/>
        <v>97338.180800000016</v>
      </c>
      <c r="N33" s="246"/>
      <c r="O33" s="81"/>
    </row>
    <row r="34" spans="1:15">
      <c r="A34" s="267">
        <v>31</v>
      </c>
      <c r="B34" s="264">
        <v>45869</v>
      </c>
      <c r="C34" s="245"/>
      <c r="D34" s="245"/>
      <c r="E34" s="77">
        <v>78.88</v>
      </c>
      <c r="F34" s="6">
        <v>91.23</v>
      </c>
      <c r="G34" s="8">
        <f t="shared" si="3"/>
        <v>7196.2223999999997</v>
      </c>
      <c r="H34" s="77">
        <v>10</v>
      </c>
      <c r="I34" s="6">
        <v>103.16</v>
      </c>
      <c r="J34" s="8">
        <f t="shared" si="0"/>
        <v>1031.5999999999999</v>
      </c>
      <c r="K34" s="8">
        <f t="shared" si="1"/>
        <v>8227.8223999999991</v>
      </c>
      <c r="L34" s="80"/>
      <c r="M34" s="80">
        <f t="shared" si="4"/>
        <v>105566.00320000002</v>
      </c>
      <c r="N34" s="246"/>
      <c r="O34" s="81"/>
    </row>
    <row r="35" spans="1:15">
      <c r="A35" s="180"/>
      <c r="B35" s="180"/>
      <c r="C35" s="180"/>
      <c r="D35" s="180"/>
      <c r="E35" s="181">
        <f>SUM(E4:E34)</f>
        <v>1455.5</v>
      </c>
      <c r="F35" s="181"/>
      <c r="G35" s="181">
        <f>SUM(G4:G34)</f>
        <v>132785.26500000001</v>
      </c>
      <c r="H35" s="181">
        <f>SUM(H4:H34)</f>
        <v>66.91</v>
      </c>
      <c r="I35" s="181"/>
      <c r="J35" s="181">
        <f>SUM(J4:J34)</f>
        <v>6902.4355999999989</v>
      </c>
      <c r="K35" s="181">
        <f>SUM(K4:K34)</f>
        <v>139687.70060000004</v>
      </c>
      <c r="L35" s="181">
        <f>SUM(L4:L31)</f>
        <v>127117</v>
      </c>
      <c r="M35" s="181"/>
      <c r="N35" s="181"/>
      <c r="O35" s="71"/>
    </row>
    <row r="36" spans="1:15">
      <c r="A36" s="85"/>
      <c r="B36" s="86"/>
      <c r="C36" s="85"/>
      <c r="D36" s="85"/>
      <c r="E36" s="87"/>
      <c r="F36" s="87"/>
      <c r="G36" s="87"/>
      <c r="H36" s="87"/>
      <c r="I36" s="87"/>
      <c r="J36" s="88"/>
      <c r="K36" s="88"/>
      <c r="L36" s="88"/>
      <c r="M36" s="88"/>
      <c r="N36" s="87"/>
      <c r="O36" s="81"/>
    </row>
  </sheetData>
  <mergeCells count="1">
    <mergeCell ref="A1:N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CC4A-1C0D-4BA5-8193-DD34ED85649F}">
  <sheetPr>
    <tabColor rgb="FF92D050"/>
  </sheetPr>
  <dimension ref="A1:P46"/>
  <sheetViews>
    <sheetView workbookViewId="0">
      <selection activeCell="F49" sqref="F49"/>
    </sheetView>
  </sheetViews>
  <sheetFormatPr defaultRowHeight="15"/>
  <cols>
    <col min="2" max="2" width="10.85546875" bestFit="1" customWidth="1"/>
    <col min="4" max="4" width="11.5703125" customWidth="1"/>
    <col min="7" max="7" width="13.5703125" customWidth="1"/>
    <col min="9" max="9" width="9.28515625" bestFit="1" customWidth="1"/>
    <col min="11" max="11" width="14.85546875" customWidth="1"/>
    <col min="12" max="12" width="15.5703125" customWidth="1"/>
    <col min="13" max="13" width="13.7109375" bestFit="1" customWidth="1"/>
    <col min="14" max="14" width="14.7109375" bestFit="1" customWidth="1"/>
  </cols>
  <sheetData>
    <row r="1" spans="1:16" ht="15.75">
      <c r="A1" s="426" t="s">
        <v>84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5"/>
    </row>
    <row r="2" spans="1:16" ht="30.75">
      <c r="A2" s="76" t="s">
        <v>105</v>
      </c>
      <c r="B2" s="96" t="s">
        <v>106</v>
      </c>
      <c r="C2" s="96" t="s">
        <v>107</v>
      </c>
      <c r="D2" s="96" t="s">
        <v>121</v>
      </c>
      <c r="E2" s="96" t="s">
        <v>109</v>
      </c>
      <c r="F2" s="96" t="s">
        <v>110</v>
      </c>
      <c r="G2" s="103" t="s">
        <v>111</v>
      </c>
      <c r="H2" s="96" t="s">
        <v>112</v>
      </c>
      <c r="I2" s="96" t="s">
        <v>110</v>
      </c>
      <c r="J2" s="103" t="s">
        <v>111</v>
      </c>
      <c r="K2" s="76" t="s">
        <v>113</v>
      </c>
      <c r="L2" s="104" t="s">
        <v>114</v>
      </c>
      <c r="M2" s="98" t="s">
        <v>120</v>
      </c>
      <c r="N2" s="96" t="s">
        <v>116</v>
      </c>
      <c r="O2" s="5"/>
    </row>
    <row r="3" spans="1:16">
      <c r="A3" s="440" t="s">
        <v>117</v>
      </c>
      <c r="B3" s="441"/>
      <c r="C3" s="441"/>
      <c r="D3" s="441"/>
      <c r="E3" s="441"/>
      <c r="F3" s="441"/>
      <c r="G3" s="441"/>
      <c r="H3" s="441"/>
      <c r="I3" s="441"/>
      <c r="J3" s="441"/>
      <c r="K3" s="441"/>
      <c r="L3" s="442"/>
      <c r="M3" s="443">
        <v>9854.7489999999998</v>
      </c>
      <c r="N3" s="444"/>
      <c r="O3" s="5"/>
    </row>
    <row r="4" spans="1:16">
      <c r="A4" s="229">
        <v>1</v>
      </c>
      <c r="B4" s="264">
        <v>45839</v>
      </c>
      <c r="C4" s="6"/>
      <c r="D4" s="6"/>
      <c r="E4" s="77">
        <v>309.87</v>
      </c>
      <c r="F4" s="6">
        <v>91.23</v>
      </c>
      <c r="G4" s="78">
        <f>E4*F4</f>
        <v>28269.440100000003</v>
      </c>
      <c r="H4" s="77">
        <v>0</v>
      </c>
      <c r="I4" s="6">
        <v>0</v>
      </c>
      <c r="J4" s="78">
        <f>H4*I4</f>
        <v>0</v>
      </c>
      <c r="K4" s="78">
        <f>G4+J4</f>
        <v>28269.440100000003</v>
      </c>
      <c r="L4" s="182">
        <v>9579.15</v>
      </c>
      <c r="M4" s="168">
        <f>M3+K4-L4</f>
        <v>28545.039100000002</v>
      </c>
      <c r="N4" s="55"/>
      <c r="O4" s="5"/>
    </row>
    <row r="5" spans="1:16">
      <c r="A5" s="55">
        <v>2</v>
      </c>
      <c r="B5" s="264">
        <v>45840</v>
      </c>
      <c r="C5" s="6"/>
      <c r="D5" s="6"/>
      <c r="E5" s="77">
        <v>143</v>
      </c>
      <c r="F5" s="6">
        <v>91.23</v>
      </c>
      <c r="G5" s="78">
        <f t="shared" ref="G5:G42" si="0">E5*F5</f>
        <v>13045.890000000001</v>
      </c>
      <c r="H5" s="77">
        <v>0</v>
      </c>
      <c r="I5" s="6">
        <v>0</v>
      </c>
      <c r="J5" s="78">
        <f t="shared" ref="J5:J42" si="1">H5*I5</f>
        <v>0</v>
      </c>
      <c r="K5" s="78">
        <f t="shared" ref="K5:K42" si="2">G5+J5</f>
        <v>13045.890000000001</v>
      </c>
      <c r="L5" s="182">
        <v>8940.5400000000009</v>
      </c>
      <c r="M5" s="168">
        <f t="shared" ref="M5:M43" si="3">M4+K5-L5</f>
        <v>32650.3891</v>
      </c>
      <c r="N5" s="55"/>
      <c r="O5" s="5"/>
    </row>
    <row r="6" spans="1:16">
      <c r="A6" s="55">
        <v>3</v>
      </c>
      <c r="B6" s="264">
        <v>45841</v>
      </c>
      <c r="C6" s="6"/>
      <c r="D6" s="6"/>
      <c r="E6" s="77">
        <v>0</v>
      </c>
      <c r="F6" s="6">
        <v>0</v>
      </c>
      <c r="G6" s="78">
        <f t="shared" si="0"/>
        <v>0</v>
      </c>
      <c r="H6" s="77">
        <v>0</v>
      </c>
      <c r="I6" s="6">
        <v>0</v>
      </c>
      <c r="J6" s="78">
        <f t="shared" si="1"/>
        <v>0</v>
      </c>
      <c r="K6" s="78">
        <f t="shared" si="2"/>
        <v>0</v>
      </c>
      <c r="L6" s="182">
        <f t="shared" ref="L5:L42" si="4">+K6</f>
        <v>0</v>
      </c>
      <c r="M6" s="168">
        <f t="shared" si="3"/>
        <v>32650.3891</v>
      </c>
      <c r="N6" s="55"/>
      <c r="O6" s="5"/>
    </row>
    <row r="7" spans="1:16">
      <c r="A7" s="55">
        <v>4</v>
      </c>
      <c r="B7" s="264">
        <v>45842</v>
      </c>
      <c r="C7" s="6"/>
      <c r="D7" s="6"/>
      <c r="E7" s="77">
        <v>15</v>
      </c>
      <c r="F7" s="6">
        <v>91.23</v>
      </c>
      <c r="G7" s="78">
        <f t="shared" si="0"/>
        <v>1368.45</v>
      </c>
      <c r="H7" s="77">
        <v>5</v>
      </c>
      <c r="I7" s="6">
        <v>110.47</v>
      </c>
      <c r="J7" s="78">
        <f t="shared" si="1"/>
        <v>552.35</v>
      </c>
      <c r="K7" s="78">
        <f t="shared" si="2"/>
        <v>1920.8000000000002</v>
      </c>
      <c r="L7" s="182">
        <v>0</v>
      </c>
      <c r="M7" s="168">
        <f t="shared" si="3"/>
        <v>34571.189100000003</v>
      </c>
      <c r="N7" s="55"/>
      <c r="O7" s="5"/>
    </row>
    <row r="8" spans="1:16">
      <c r="A8" s="55">
        <v>5</v>
      </c>
      <c r="B8" s="264">
        <v>45843</v>
      </c>
      <c r="C8" s="6"/>
      <c r="D8" s="6"/>
      <c r="E8" s="77">
        <v>0</v>
      </c>
      <c r="F8" s="6">
        <v>0</v>
      </c>
      <c r="G8" s="78">
        <f t="shared" si="0"/>
        <v>0</v>
      </c>
      <c r="H8" s="77">
        <v>0</v>
      </c>
      <c r="I8" s="6">
        <v>0</v>
      </c>
      <c r="J8" s="78">
        <f t="shared" si="1"/>
        <v>0</v>
      </c>
      <c r="K8" s="78">
        <f t="shared" si="2"/>
        <v>0</v>
      </c>
      <c r="L8" s="182">
        <f t="shared" si="4"/>
        <v>0</v>
      </c>
      <c r="M8" s="168">
        <f t="shared" si="3"/>
        <v>34571.189100000003</v>
      </c>
      <c r="N8" s="55"/>
      <c r="O8" s="5"/>
    </row>
    <row r="9" spans="1:16">
      <c r="A9" s="55">
        <v>6</v>
      </c>
      <c r="B9" s="264">
        <v>45844</v>
      </c>
      <c r="C9" s="6"/>
      <c r="D9" s="6"/>
      <c r="E9" s="77">
        <v>0</v>
      </c>
      <c r="F9" s="6">
        <v>0</v>
      </c>
      <c r="G9" s="78">
        <f t="shared" si="0"/>
        <v>0</v>
      </c>
      <c r="H9" s="77">
        <v>0</v>
      </c>
      <c r="I9" s="6">
        <v>0</v>
      </c>
      <c r="J9" s="78">
        <f t="shared" si="1"/>
        <v>0</v>
      </c>
      <c r="K9" s="78">
        <f t="shared" si="2"/>
        <v>0</v>
      </c>
      <c r="L9" s="182">
        <f t="shared" si="4"/>
        <v>0</v>
      </c>
      <c r="M9" s="168">
        <f t="shared" si="3"/>
        <v>34571.189100000003</v>
      </c>
      <c r="N9" s="55"/>
      <c r="O9" s="5"/>
    </row>
    <row r="10" spans="1:16">
      <c r="A10" s="55">
        <v>7</v>
      </c>
      <c r="B10" s="264">
        <v>45845</v>
      </c>
      <c r="C10" s="6"/>
      <c r="D10" s="6"/>
      <c r="E10" s="77">
        <v>0</v>
      </c>
      <c r="F10" s="6">
        <v>0</v>
      </c>
      <c r="G10" s="78">
        <f t="shared" si="0"/>
        <v>0</v>
      </c>
      <c r="H10" s="77">
        <v>0</v>
      </c>
      <c r="I10" s="6">
        <v>0</v>
      </c>
      <c r="J10" s="78">
        <f t="shared" si="1"/>
        <v>0</v>
      </c>
      <c r="K10" s="78">
        <f t="shared" si="2"/>
        <v>0</v>
      </c>
      <c r="L10" s="182">
        <f t="shared" si="4"/>
        <v>0</v>
      </c>
      <c r="M10" s="168">
        <f t="shared" si="3"/>
        <v>34571.189100000003</v>
      </c>
      <c r="N10" s="55"/>
      <c r="O10" s="5"/>
    </row>
    <row r="11" spans="1:16">
      <c r="A11" s="55">
        <v>8</v>
      </c>
      <c r="B11" s="264">
        <v>45846</v>
      </c>
      <c r="C11" s="6"/>
      <c r="D11" s="6"/>
      <c r="E11" s="77">
        <v>200</v>
      </c>
      <c r="F11" s="6">
        <v>91.23</v>
      </c>
      <c r="G11" s="78">
        <f t="shared" si="0"/>
        <v>18246</v>
      </c>
      <c r="H11" s="77">
        <v>0</v>
      </c>
      <c r="I11" s="6">
        <v>0</v>
      </c>
      <c r="J11" s="78">
        <f t="shared" si="1"/>
        <v>0</v>
      </c>
      <c r="K11" s="78">
        <f t="shared" si="2"/>
        <v>18246</v>
      </c>
      <c r="L11" s="182">
        <v>0</v>
      </c>
      <c r="M11" s="168">
        <f t="shared" si="3"/>
        <v>52817.189100000003</v>
      </c>
      <c r="N11" s="55"/>
      <c r="O11" s="5"/>
      <c r="P11" s="80">
        <f>P10+N11-O11</f>
        <v>0</v>
      </c>
    </row>
    <row r="12" spans="1:16">
      <c r="A12" s="55">
        <v>9</v>
      </c>
      <c r="B12" s="264">
        <v>45847</v>
      </c>
      <c r="C12" s="6"/>
      <c r="D12" s="6"/>
      <c r="E12" s="77">
        <v>30</v>
      </c>
      <c r="F12" s="6">
        <v>91.23</v>
      </c>
      <c r="G12" s="78">
        <f t="shared" si="0"/>
        <v>2736.9</v>
      </c>
      <c r="H12" s="77">
        <v>0</v>
      </c>
      <c r="I12" s="6">
        <v>0</v>
      </c>
      <c r="J12" s="78">
        <f t="shared" si="1"/>
        <v>0</v>
      </c>
      <c r="K12" s="78">
        <f t="shared" si="2"/>
        <v>2736.9</v>
      </c>
      <c r="L12" s="182">
        <v>39958</v>
      </c>
      <c r="M12" s="168">
        <f t="shared" si="3"/>
        <v>15596.089100000005</v>
      </c>
      <c r="N12" s="55"/>
      <c r="O12" s="5"/>
    </row>
    <row r="13" spans="1:16">
      <c r="A13" s="55">
        <v>10</v>
      </c>
      <c r="B13" s="264">
        <v>45848</v>
      </c>
      <c r="C13" s="6"/>
      <c r="D13" s="6"/>
      <c r="E13" s="77">
        <v>394</v>
      </c>
      <c r="F13" s="6">
        <v>91.23</v>
      </c>
      <c r="G13" s="78">
        <f t="shared" si="0"/>
        <v>35944.620000000003</v>
      </c>
      <c r="H13" s="77">
        <v>0</v>
      </c>
      <c r="I13" s="6">
        <v>0</v>
      </c>
      <c r="J13" s="78">
        <f t="shared" si="1"/>
        <v>0</v>
      </c>
      <c r="K13" s="78">
        <f t="shared" si="2"/>
        <v>35944.620000000003</v>
      </c>
      <c r="L13" s="182">
        <v>12042</v>
      </c>
      <c r="M13" s="168">
        <f t="shared" si="3"/>
        <v>39498.709100000007</v>
      </c>
      <c r="N13" s="55"/>
      <c r="O13" s="5"/>
    </row>
    <row r="14" spans="1:16">
      <c r="A14" s="55">
        <v>11</v>
      </c>
      <c r="B14" s="264">
        <v>45849</v>
      </c>
      <c r="C14" s="6"/>
      <c r="D14" s="6"/>
      <c r="E14" s="77">
        <v>0</v>
      </c>
      <c r="F14" s="6">
        <v>0</v>
      </c>
      <c r="G14" s="78">
        <f t="shared" si="0"/>
        <v>0</v>
      </c>
      <c r="H14" s="77">
        <v>4.5</v>
      </c>
      <c r="I14" s="6">
        <v>110.47</v>
      </c>
      <c r="J14" s="78">
        <f t="shared" si="1"/>
        <v>497.11500000000001</v>
      </c>
      <c r="K14" s="78">
        <f t="shared" si="2"/>
        <v>497.11500000000001</v>
      </c>
      <c r="L14" s="182">
        <v>27369</v>
      </c>
      <c r="M14" s="168">
        <f t="shared" si="3"/>
        <v>12626.824100000005</v>
      </c>
      <c r="N14" s="55"/>
      <c r="O14" s="5"/>
    </row>
    <row r="15" spans="1:16">
      <c r="A15" s="55">
        <v>12</v>
      </c>
      <c r="B15" s="264">
        <v>45850</v>
      </c>
      <c r="C15" s="6"/>
      <c r="D15" s="6"/>
      <c r="E15" s="77">
        <v>0</v>
      </c>
      <c r="F15" s="6">
        <v>0</v>
      </c>
      <c r="G15" s="78">
        <f t="shared" si="0"/>
        <v>0</v>
      </c>
      <c r="H15" s="77">
        <v>0</v>
      </c>
      <c r="I15" s="6">
        <v>0</v>
      </c>
      <c r="J15" s="78">
        <f t="shared" si="1"/>
        <v>0</v>
      </c>
      <c r="K15" s="78">
        <f t="shared" si="2"/>
        <v>0</v>
      </c>
      <c r="L15" s="182">
        <f t="shared" si="4"/>
        <v>0</v>
      </c>
      <c r="M15" s="168">
        <f t="shared" si="3"/>
        <v>12626.824100000005</v>
      </c>
      <c r="N15" s="55"/>
      <c r="O15" s="5"/>
    </row>
    <row r="16" spans="1:16">
      <c r="A16" s="55">
        <v>13</v>
      </c>
      <c r="B16" s="264">
        <v>45851</v>
      </c>
      <c r="C16" s="6"/>
      <c r="D16" s="6"/>
      <c r="E16" s="77">
        <v>0</v>
      </c>
      <c r="F16" s="6">
        <v>0</v>
      </c>
      <c r="G16" s="78">
        <f t="shared" si="0"/>
        <v>0</v>
      </c>
      <c r="H16" s="77">
        <v>0</v>
      </c>
      <c r="I16" s="6">
        <v>0</v>
      </c>
      <c r="J16" s="78">
        <f t="shared" si="1"/>
        <v>0</v>
      </c>
      <c r="K16" s="78">
        <f t="shared" si="2"/>
        <v>0</v>
      </c>
      <c r="L16" s="182">
        <f t="shared" si="4"/>
        <v>0</v>
      </c>
      <c r="M16" s="168">
        <f t="shared" si="3"/>
        <v>12626.824100000005</v>
      </c>
      <c r="N16" s="55"/>
      <c r="O16" s="5"/>
    </row>
    <row r="17" spans="1:15">
      <c r="A17" s="55">
        <v>14</v>
      </c>
      <c r="B17" s="264">
        <v>45852</v>
      </c>
      <c r="C17" s="6"/>
      <c r="D17" s="6"/>
      <c r="E17" s="77">
        <v>0</v>
      </c>
      <c r="F17" s="6">
        <v>0</v>
      </c>
      <c r="G17" s="78">
        <f t="shared" si="0"/>
        <v>0</v>
      </c>
      <c r="H17" s="77">
        <v>0</v>
      </c>
      <c r="I17" s="6">
        <v>0</v>
      </c>
      <c r="J17" s="78">
        <f t="shared" si="1"/>
        <v>0</v>
      </c>
      <c r="K17" s="78">
        <f t="shared" si="2"/>
        <v>0</v>
      </c>
      <c r="L17" s="182">
        <f t="shared" si="4"/>
        <v>0</v>
      </c>
      <c r="M17" s="168">
        <f t="shared" si="3"/>
        <v>12626.824100000005</v>
      </c>
      <c r="N17" s="55"/>
      <c r="O17" s="5"/>
    </row>
    <row r="18" spans="1:15">
      <c r="A18" s="55">
        <v>15</v>
      </c>
      <c r="B18" s="264">
        <v>45853</v>
      </c>
      <c r="C18" s="6"/>
      <c r="D18" s="6"/>
      <c r="E18" s="77">
        <v>0</v>
      </c>
      <c r="F18" s="6">
        <v>0</v>
      </c>
      <c r="G18" s="78">
        <f t="shared" si="0"/>
        <v>0</v>
      </c>
      <c r="H18" s="77">
        <v>0</v>
      </c>
      <c r="I18" s="6">
        <v>0</v>
      </c>
      <c r="J18" s="78">
        <f t="shared" si="1"/>
        <v>0</v>
      </c>
      <c r="K18" s="78">
        <f t="shared" si="2"/>
        <v>0</v>
      </c>
      <c r="L18" s="182">
        <f t="shared" si="4"/>
        <v>0</v>
      </c>
      <c r="M18" s="168">
        <f>M17+K18-L18</f>
        <v>12626.824100000005</v>
      </c>
      <c r="N18" s="55"/>
      <c r="O18" s="5"/>
    </row>
    <row r="19" spans="1:15">
      <c r="A19" s="55">
        <v>16</v>
      </c>
      <c r="B19" s="264">
        <v>45854</v>
      </c>
      <c r="C19" s="6"/>
      <c r="D19" s="6"/>
      <c r="E19" s="77">
        <v>218</v>
      </c>
      <c r="F19" s="6">
        <v>91.23</v>
      </c>
      <c r="G19" s="78">
        <f t="shared" si="0"/>
        <v>19888.14</v>
      </c>
      <c r="H19" s="77">
        <v>6</v>
      </c>
      <c r="I19" s="6">
        <v>110.49</v>
      </c>
      <c r="J19" s="78">
        <f t="shared" si="1"/>
        <v>662.93999999999994</v>
      </c>
      <c r="K19" s="78">
        <f t="shared" si="2"/>
        <v>20551.079999999998</v>
      </c>
      <c r="L19" s="182">
        <v>33182</v>
      </c>
      <c r="M19" s="168">
        <f t="shared" si="3"/>
        <v>-4.0959000000002561</v>
      </c>
      <c r="N19" s="55"/>
      <c r="O19" s="5"/>
    </row>
    <row r="20" spans="1:15">
      <c r="A20" s="55">
        <v>17</v>
      </c>
      <c r="B20" s="264">
        <v>45855</v>
      </c>
      <c r="C20" s="6"/>
      <c r="D20" s="6"/>
      <c r="E20" s="77">
        <v>10</v>
      </c>
      <c r="F20" s="6">
        <v>91.23</v>
      </c>
      <c r="G20" s="78">
        <f t="shared" si="0"/>
        <v>912.30000000000007</v>
      </c>
      <c r="H20" s="77">
        <v>0</v>
      </c>
      <c r="I20" s="6">
        <v>0</v>
      </c>
      <c r="J20" s="78">
        <f t="shared" si="1"/>
        <v>0</v>
      </c>
      <c r="K20" s="78">
        <f t="shared" si="2"/>
        <v>912.30000000000007</v>
      </c>
      <c r="L20" s="182">
        <f t="shared" si="4"/>
        <v>912.30000000000007</v>
      </c>
      <c r="M20" s="168">
        <f t="shared" si="3"/>
        <v>-4.0959000000002561</v>
      </c>
      <c r="N20" s="55"/>
      <c r="O20" s="5"/>
    </row>
    <row r="21" spans="1:15">
      <c r="A21" s="55">
        <v>18</v>
      </c>
      <c r="B21" s="264">
        <v>45856</v>
      </c>
      <c r="C21" s="6"/>
      <c r="D21" s="6"/>
      <c r="E21" s="77">
        <v>0</v>
      </c>
      <c r="F21" s="6">
        <v>0</v>
      </c>
      <c r="G21" s="78">
        <f t="shared" si="0"/>
        <v>0</v>
      </c>
      <c r="H21" s="77">
        <v>0</v>
      </c>
      <c r="I21" s="6">
        <v>0</v>
      </c>
      <c r="J21" s="78">
        <f t="shared" si="1"/>
        <v>0</v>
      </c>
      <c r="K21" s="78">
        <f t="shared" si="2"/>
        <v>0</v>
      </c>
      <c r="L21" s="182">
        <f>+K21</f>
        <v>0</v>
      </c>
      <c r="M21" s="168">
        <f t="shared" si="3"/>
        <v>-4.0959000000002561</v>
      </c>
      <c r="N21" s="55"/>
      <c r="O21" s="5"/>
    </row>
    <row r="22" spans="1:15">
      <c r="A22" s="55">
        <v>19</v>
      </c>
      <c r="B22" s="264">
        <v>45857</v>
      </c>
      <c r="C22" s="6"/>
      <c r="D22" s="6"/>
      <c r="E22" s="77">
        <v>0</v>
      </c>
      <c r="F22" s="6">
        <v>0</v>
      </c>
      <c r="G22" s="78">
        <f t="shared" si="0"/>
        <v>0</v>
      </c>
      <c r="H22" s="77">
        <v>0</v>
      </c>
      <c r="I22" s="6">
        <v>0</v>
      </c>
      <c r="J22" s="78">
        <f t="shared" si="1"/>
        <v>0</v>
      </c>
      <c r="K22" s="78">
        <f t="shared" si="2"/>
        <v>0</v>
      </c>
      <c r="L22" s="182">
        <f t="shared" si="4"/>
        <v>0</v>
      </c>
      <c r="M22" s="168">
        <f t="shared" si="3"/>
        <v>-4.0959000000002561</v>
      </c>
      <c r="N22" s="55"/>
      <c r="O22" s="5"/>
    </row>
    <row r="23" spans="1:15">
      <c r="A23" s="55">
        <v>20</v>
      </c>
      <c r="B23" s="264">
        <v>45858</v>
      </c>
      <c r="C23" s="6"/>
      <c r="D23" s="6"/>
      <c r="E23" s="77">
        <v>0</v>
      </c>
      <c r="F23" s="6">
        <v>0</v>
      </c>
      <c r="G23" s="78">
        <f t="shared" si="0"/>
        <v>0</v>
      </c>
      <c r="H23" s="77">
        <v>0</v>
      </c>
      <c r="I23" s="6">
        <v>0</v>
      </c>
      <c r="J23" s="78">
        <f t="shared" si="1"/>
        <v>0</v>
      </c>
      <c r="K23" s="78">
        <f t="shared" si="2"/>
        <v>0</v>
      </c>
      <c r="L23" s="182">
        <f t="shared" si="4"/>
        <v>0</v>
      </c>
      <c r="M23" s="168">
        <f t="shared" si="3"/>
        <v>-4.0959000000002561</v>
      </c>
      <c r="N23" s="55"/>
      <c r="O23" s="5"/>
    </row>
    <row r="24" spans="1:15">
      <c r="A24" s="55">
        <v>21</v>
      </c>
      <c r="B24" s="264">
        <v>45859</v>
      </c>
      <c r="C24" s="6"/>
      <c r="D24" s="6"/>
      <c r="E24" s="77">
        <v>245.02</v>
      </c>
      <c r="F24" s="6">
        <v>91.23</v>
      </c>
      <c r="G24" s="78">
        <f t="shared" si="0"/>
        <v>22353.174600000002</v>
      </c>
      <c r="H24" s="77">
        <v>0</v>
      </c>
      <c r="I24" s="6">
        <v>0</v>
      </c>
      <c r="J24" s="78">
        <f t="shared" si="1"/>
        <v>0</v>
      </c>
      <c r="K24" s="78">
        <f t="shared" si="2"/>
        <v>22353.174600000002</v>
      </c>
      <c r="L24" s="182">
        <f t="shared" si="4"/>
        <v>22353.174600000002</v>
      </c>
      <c r="M24" s="168">
        <f t="shared" si="3"/>
        <v>-4.0959000000002561</v>
      </c>
      <c r="N24" s="55"/>
      <c r="O24" s="5"/>
    </row>
    <row r="25" spans="1:15">
      <c r="A25" s="55">
        <v>22</v>
      </c>
      <c r="B25" s="264">
        <v>45860</v>
      </c>
      <c r="C25" s="6"/>
      <c r="D25" s="6"/>
      <c r="E25" s="77">
        <v>0</v>
      </c>
      <c r="F25" s="6">
        <v>0</v>
      </c>
      <c r="G25" s="78">
        <f t="shared" si="0"/>
        <v>0</v>
      </c>
      <c r="H25" s="77">
        <v>0</v>
      </c>
      <c r="I25" s="6">
        <v>0</v>
      </c>
      <c r="J25" s="78">
        <f t="shared" si="1"/>
        <v>0</v>
      </c>
      <c r="K25" s="78">
        <f t="shared" si="2"/>
        <v>0</v>
      </c>
      <c r="L25" s="182">
        <f t="shared" si="4"/>
        <v>0</v>
      </c>
      <c r="M25" s="168">
        <f t="shared" si="3"/>
        <v>-4.0959000000002561</v>
      </c>
      <c r="N25" s="55"/>
      <c r="O25" s="5"/>
    </row>
    <row r="26" spans="1:15">
      <c r="A26" s="55">
        <v>23</v>
      </c>
      <c r="B26" s="264">
        <v>45861</v>
      </c>
      <c r="C26" s="6"/>
      <c r="D26" s="6"/>
      <c r="E26" s="77">
        <v>0</v>
      </c>
      <c r="F26" s="6">
        <v>0</v>
      </c>
      <c r="G26" s="78">
        <f t="shared" si="0"/>
        <v>0</v>
      </c>
      <c r="H26" s="77">
        <v>0</v>
      </c>
      <c r="I26" s="6">
        <v>0</v>
      </c>
      <c r="J26" s="78">
        <f t="shared" si="1"/>
        <v>0</v>
      </c>
      <c r="K26" s="78">
        <f t="shared" si="2"/>
        <v>0</v>
      </c>
      <c r="L26" s="182">
        <f t="shared" si="4"/>
        <v>0</v>
      </c>
      <c r="M26" s="168">
        <f t="shared" si="3"/>
        <v>-4.0959000000002561</v>
      </c>
      <c r="N26" s="55"/>
      <c r="O26" s="5"/>
    </row>
    <row r="27" spans="1:15">
      <c r="A27" s="55">
        <v>24</v>
      </c>
      <c r="B27" s="264">
        <v>45862</v>
      </c>
      <c r="C27" s="6"/>
      <c r="D27" s="6"/>
      <c r="E27" s="77">
        <v>0</v>
      </c>
      <c r="F27" s="6">
        <v>0</v>
      </c>
      <c r="G27" s="78">
        <f t="shared" si="0"/>
        <v>0</v>
      </c>
      <c r="H27" s="77">
        <v>0</v>
      </c>
      <c r="I27" s="6">
        <v>0</v>
      </c>
      <c r="J27" s="78">
        <f t="shared" si="1"/>
        <v>0</v>
      </c>
      <c r="K27" s="78">
        <f t="shared" si="2"/>
        <v>0</v>
      </c>
      <c r="L27" s="182">
        <f t="shared" si="4"/>
        <v>0</v>
      </c>
      <c r="M27" s="168">
        <f t="shared" si="3"/>
        <v>-4.0959000000002561</v>
      </c>
      <c r="N27" s="6"/>
      <c r="O27" s="5"/>
    </row>
    <row r="28" spans="1:15">
      <c r="A28" s="266">
        <v>25</v>
      </c>
      <c r="B28" s="264">
        <v>45863</v>
      </c>
      <c r="C28" s="6"/>
      <c r="D28" s="6"/>
      <c r="E28" s="77">
        <v>0</v>
      </c>
      <c r="F28" s="6">
        <v>0</v>
      </c>
      <c r="G28" s="78">
        <f t="shared" si="0"/>
        <v>0</v>
      </c>
      <c r="H28" s="77">
        <v>0</v>
      </c>
      <c r="I28" s="6">
        <v>0</v>
      </c>
      <c r="J28" s="78">
        <f t="shared" si="1"/>
        <v>0</v>
      </c>
      <c r="K28" s="78">
        <f t="shared" si="2"/>
        <v>0</v>
      </c>
      <c r="L28" s="182">
        <f t="shared" si="4"/>
        <v>0</v>
      </c>
      <c r="M28" s="168">
        <f t="shared" si="3"/>
        <v>-4.0959000000002561</v>
      </c>
      <c r="N28" s="6"/>
      <c r="O28" s="5"/>
    </row>
    <row r="29" spans="1:15">
      <c r="A29" s="266">
        <v>26</v>
      </c>
      <c r="B29" s="264">
        <v>45864</v>
      </c>
      <c r="C29" s="6"/>
      <c r="D29" s="6"/>
      <c r="E29" s="77">
        <v>0</v>
      </c>
      <c r="F29" s="6">
        <v>0</v>
      </c>
      <c r="G29" s="78">
        <f t="shared" si="0"/>
        <v>0</v>
      </c>
      <c r="H29" s="77">
        <v>0</v>
      </c>
      <c r="I29" s="6">
        <v>0</v>
      </c>
      <c r="J29" s="78">
        <f t="shared" si="1"/>
        <v>0</v>
      </c>
      <c r="K29" s="78">
        <f t="shared" si="2"/>
        <v>0</v>
      </c>
      <c r="L29" s="182">
        <f t="shared" si="4"/>
        <v>0</v>
      </c>
      <c r="M29" s="168">
        <f t="shared" si="3"/>
        <v>-4.0959000000002561</v>
      </c>
      <c r="N29" s="6"/>
      <c r="O29" s="5"/>
    </row>
    <row r="30" spans="1:15">
      <c r="A30" s="266">
        <v>27</v>
      </c>
      <c r="B30" s="264">
        <v>45865</v>
      </c>
      <c r="C30" s="6"/>
      <c r="D30" s="6"/>
      <c r="E30" s="77">
        <v>0</v>
      </c>
      <c r="F30" s="6">
        <v>0</v>
      </c>
      <c r="G30" s="78">
        <f t="shared" si="0"/>
        <v>0</v>
      </c>
      <c r="H30" s="77">
        <v>0</v>
      </c>
      <c r="I30" s="6">
        <v>0</v>
      </c>
      <c r="J30" s="78">
        <f t="shared" si="1"/>
        <v>0</v>
      </c>
      <c r="K30" s="78">
        <f t="shared" si="2"/>
        <v>0</v>
      </c>
      <c r="L30" s="182">
        <f t="shared" si="4"/>
        <v>0</v>
      </c>
      <c r="M30" s="168">
        <f t="shared" si="3"/>
        <v>-4.0959000000002561</v>
      </c>
      <c r="N30" s="6"/>
      <c r="O30" s="5"/>
    </row>
    <row r="31" spans="1:15">
      <c r="A31" s="266">
        <v>28</v>
      </c>
      <c r="B31" s="264">
        <v>45866</v>
      </c>
      <c r="C31" s="6"/>
      <c r="D31" s="6"/>
      <c r="E31" s="77">
        <v>0</v>
      </c>
      <c r="F31" s="6">
        <v>0</v>
      </c>
      <c r="G31" s="78">
        <f t="shared" si="0"/>
        <v>0</v>
      </c>
      <c r="H31" s="77">
        <v>0</v>
      </c>
      <c r="I31" s="6">
        <v>0</v>
      </c>
      <c r="J31" s="78">
        <f t="shared" si="1"/>
        <v>0</v>
      </c>
      <c r="K31" s="78">
        <f t="shared" si="2"/>
        <v>0</v>
      </c>
      <c r="L31" s="182">
        <f t="shared" si="4"/>
        <v>0</v>
      </c>
      <c r="M31" s="168">
        <f t="shared" si="3"/>
        <v>-4.0959000000002561</v>
      </c>
      <c r="N31" s="6"/>
      <c r="O31" s="5"/>
    </row>
    <row r="32" spans="1:15">
      <c r="A32" s="267">
        <v>29</v>
      </c>
      <c r="B32" s="264">
        <v>45867</v>
      </c>
      <c r="C32" s="6"/>
      <c r="D32" s="6"/>
      <c r="E32" s="77">
        <v>10</v>
      </c>
      <c r="F32" s="6">
        <v>91.23</v>
      </c>
      <c r="G32" s="78">
        <f t="shared" si="0"/>
        <v>912.30000000000007</v>
      </c>
      <c r="H32" s="77">
        <v>0</v>
      </c>
      <c r="I32" s="6">
        <v>0</v>
      </c>
      <c r="J32" s="78">
        <f t="shared" si="1"/>
        <v>0</v>
      </c>
      <c r="K32" s="78">
        <f t="shared" si="2"/>
        <v>912.30000000000007</v>
      </c>
      <c r="L32" s="182">
        <v>0</v>
      </c>
      <c r="M32" s="168">
        <f t="shared" si="3"/>
        <v>908.20409999999981</v>
      </c>
      <c r="N32" s="6"/>
      <c r="O32" s="5"/>
    </row>
    <row r="33" spans="1:15">
      <c r="A33" s="267">
        <v>30</v>
      </c>
      <c r="B33" s="264">
        <v>45868</v>
      </c>
      <c r="C33" s="6"/>
      <c r="D33" s="6"/>
      <c r="E33" s="77">
        <v>0</v>
      </c>
      <c r="F33" s="6">
        <v>0</v>
      </c>
      <c r="G33" s="78">
        <f t="shared" si="0"/>
        <v>0</v>
      </c>
      <c r="H33" s="77">
        <v>0</v>
      </c>
      <c r="I33" s="6">
        <v>0</v>
      </c>
      <c r="J33" s="78">
        <f t="shared" si="1"/>
        <v>0</v>
      </c>
      <c r="K33" s="78">
        <f t="shared" si="2"/>
        <v>0</v>
      </c>
      <c r="L33" s="182">
        <f t="shared" si="4"/>
        <v>0</v>
      </c>
      <c r="M33" s="168">
        <f t="shared" si="3"/>
        <v>908.20409999999981</v>
      </c>
      <c r="N33" s="6"/>
      <c r="O33" s="5"/>
    </row>
    <row r="34" spans="1:15">
      <c r="A34" s="267">
        <v>31</v>
      </c>
      <c r="B34" s="264"/>
      <c r="C34" s="6"/>
      <c r="D34" s="6"/>
      <c r="E34" s="77">
        <v>0</v>
      </c>
      <c r="F34" s="6">
        <v>0</v>
      </c>
      <c r="G34" s="78">
        <f t="shared" si="0"/>
        <v>0</v>
      </c>
      <c r="H34" s="77">
        <v>0</v>
      </c>
      <c r="I34" s="6">
        <v>0</v>
      </c>
      <c r="J34" s="78">
        <f t="shared" si="1"/>
        <v>0</v>
      </c>
      <c r="K34" s="78">
        <f t="shared" si="2"/>
        <v>0</v>
      </c>
      <c r="L34" s="182">
        <f t="shared" si="4"/>
        <v>0</v>
      </c>
      <c r="M34" s="168">
        <f t="shared" si="3"/>
        <v>908.20409999999981</v>
      </c>
      <c r="N34" s="6"/>
      <c r="O34" s="5"/>
    </row>
    <row r="35" spans="1:15">
      <c r="A35" s="6">
        <v>34</v>
      </c>
      <c r="B35" s="91"/>
      <c r="C35" s="6"/>
      <c r="D35" s="6"/>
      <c r="E35" s="77">
        <v>0</v>
      </c>
      <c r="F35" s="6">
        <v>0</v>
      </c>
      <c r="G35" s="78">
        <f t="shared" si="0"/>
        <v>0</v>
      </c>
      <c r="H35" s="77">
        <v>0</v>
      </c>
      <c r="I35" s="6">
        <v>0</v>
      </c>
      <c r="J35" s="78">
        <f t="shared" si="1"/>
        <v>0</v>
      </c>
      <c r="K35" s="78">
        <f t="shared" si="2"/>
        <v>0</v>
      </c>
      <c r="L35" s="182">
        <f t="shared" si="4"/>
        <v>0</v>
      </c>
      <c r="M35" s="168">
        <f t="shared" si="3"/>
        <v>908.20409999999981</v>
      </c>
      <c r="N35" s="6"/>
      <c r="O35" s="5"/>
    </row>
    <row r="36" spans="1:15">
      <c r="A36" s="6">
        <v>35</v>
      </c>
      <c r="B36" s="91"/>
      <c r="C36" s="6"/>
      <c r="D36" s="6"/>
      <c r="E36" s="77">
        <v>0</v>
      </c>
      <c r="F36" s="6">
        <v>0</v>
      </c>
      <c r="G36" s="78">
        <f t="shared" si="0"/>
        <v>0</v>
      </c>
      <c r="H36" s="77">
        <v>0</v>
      </c>
      <c r="I36" s="6">
        <v>0</v>
      </c>
      <c r="J36" s="78">
        <f t="shared" si="1"/>
        <v>0</v>
      </c>
      <c r="K36" s="78">
        <f t="shared" si="2"/>
        <v>0</v>
      </c>
      <c r="L36" s="182">
        <f t="shared" si="4"/>
        <v>0</v>
      </c>
      <c r="M36" s="168">
        <f t="shared" si="3"/>
        <v>908.20409999999981</v>
      </c>
      <c r="N36" s="6"/>
      <c r="O36" s="5"/>
    </row>
    <row r="37" spans="1:15">
      <c r="A37" s="6">
        <v>36</v>
      </c>
      <c r="B37" s="91"/>
      <c r="C37" s="6"/>
      <c r="D37" s="6"/>
      <c r="E37" s="77">
        <v>0</v>
      </c>
      <c r="F37" s="6">
        <v>0</v>
      </c>
      <c r="G37" s="78">
        <f t="shared" si="0"/>
        <v>0</v>
      </c>
      <c r="H37" s="77">
        <v>0</v>
      </c>
      <c r="I37" s="6">
        <v>0</v>
      </c>
      <c r="J37" s="78">
        <f t="shared" si="1"/>
        <v>0</v>
      </c>
      <c r="K37" s="78">
        <f t="shared" si="2"/>
        <v>0</v>
      </c>
      <c r="L37" s="182">
        <f t="shared" si="4"/>
        <v>0</v>
      </c>
      <c r="M37" s="168">
        <f t="shared" si="3"/>
        <v>908.20409999999981</v>
      </c>
      <c r="N37" s="6"/>
      <c r="O37" s="5"/>
    </row>
    <row r="38" spans="1:15">
      <c r="A38" s="6">
        <v>37</v>
      </c>
      <c r="B38" s="91"/>
      <c r="C38" s="6"/>
      <c r="D38" s="6"/>
      <c r="E38" s="77">
        <v>0</v>
      </c>
      <c r="F38" s="6">
        <v>0</v>
      </c>
      <c r="G38" s="78">
        <f t="shared" si="0"/>
        <v>0</v>
      </c>
      <c r="H38" s="77">
        <v>0</v>
      </c>
      <c r="I38" s="6">
        <v>0</v>
      </c>
      <c r="J38" s="78">
        <f t="shared" si="1"/>
        <v>0</v>
      </c>
      <c r="K38" s="78">
        <f t="shared" si="2"/>
        <v>0</v>
      </c>
      <c r="L38" s="182">
        <f t="shared" si="4"/>
        <v>0</v>
      </c>
      <c r="M38" s="168">
        <f t="shared" si="3"/>
        <v>908.20409999999981</v>
      </c>
      <c r="N38" s="6"/>
      <c r="O38" s="5"/>
    </row>
    <row r="39" spans="1:15">
      <c r="A39" s="6">
        <v>38</v>
      </c>
      <c r="B39" s="91"/>
      <c r="C39" s="6"/>
      <c r="D39" s="6"/>
      <c r="E39" s="77">
        <v>0</v>
      </c>
      <c r="F39" s="6">
        <v>0</v>
      </c>
      <c r="G39" s="78">
        <f t="shared" si="0"/>
        <v>0</v>
      </c>
      <c r="H39" s="77">
        <v>0</v>
      </c>
      <c r="I39" s="6">
        <v>0</v>
      </c>
      <c r="J39" s="78">
        <f t="shared" si="1"/>
        <v>0</v>
      </c>
      <c r="K39" s="78">
        <f t="shared" si="2"/>
        <v>0</v>
      </c>
      <c r="L39" s="182">
        <f t="shared" si="4"/>
        <v>0</v>
      </c>
      <c r="M39" s="168">
        <f t="shared" si="3"/>
        <v>908.20409999999981</v>
      </c>
      <c r="N39" s="6"/>
      <c r="O39" s="5"/>
    </row>
    <row r="40" spans="1:15">
      <c r="A40" s="191">
        <v>39</v>
      </c>
      <c r="B40" s="192"/>
      <c r="C40" s="191"/>
      <c r="D40" s="6"/>
      <c r="E40" s="77">
        <v>0</v>
      </c>
      <c r="F40" s="6">
        <v>0</v>
      </c>
      <c r="G40" s="78">
        <f t="shared" si="0"/>
        <v>0</v>
      </c>
      <c r="H40" s="77">
        <v>0</v>
      </c>
      <c r="I40" s="6">
        <v>0</v>
      </c>
      <c r="J40" s="78">
        <f t="shared" si="1"/>
        <v>0</v>
      </c>
      <c r="K40" s="78">
        <f t="shared" si="2"/>
        <v>0</v>
      </c>
      <c r="L40" s="182">
        <f t="shared" si="4"/>
        <v>0</v>
      </c>
      <c r="M40" s="168">
        <f t="shared" si="3"/>
        <v>908.20409999999981</v>
      </c>
      <c r="N40" s="191"/>
      <c r="O40" s="5"/>
    </row>
    <row r="41" spans="1:15">
      <c r="A41" s="6">
        <v>40</v>
      </c>
      <c r="B41" s="6"/>
      <c r="C41" s="6"/>
      <c r="D41" s="6"/>
      <c r="E41" s="77">
        <v>0</v>
      </c>
      <c r="F41" s="6">
        <v>0</v>
      </c>
      <c r="G41" s="78">
        <f t="shared" si="0"/>
        <v>0</v>
      </c>
      <c r="H41" s="77">
        <v>0</v>
      </c>
      <c r="I41" s="6">
        <v>0</v>
      </c>
      <c r="J41" s="78">
        <f t="shared" si="1"/>
        <v>0</v>
      </c>
      <c r="K41" s="78">
        <f t="shared" si="2"/>
        <v>0</v>
      </c>
      <c r="L41" s="182">
        <f t="shared" si="4"/>
        <v>0</v>
      </c>
      <c r="M41" s="168">
        <f t="shared" si="3"/>
        <v>908.20409999999981</v>
      </c>
      <c r="N41" s="6"/>
      <c r="O41" s="5"/>
    </row>
    <row r="42" spans="1:15">
      <c r="A42" s="191">
        <v>41</v>
      </c>
      <c r="B42" s="191"/>
      <c r="C42" s="191"/>
      <c r="D42" s="6"/>
      <c r="E42" s="77">
        <v>0</v>
      </c>
      <c r="F42" s="6">
        <v>0</v>
      </c>
      <c r="G42" s="78">
        <f t="shared" si="0"/>
        <v>0</v>
      </c>
      <c r="H42" s="77">
        <v>0</v>
      </c>
      <c r="I42" s="6">
        <v>0</v>
      </c>
      <c r="J42" s="78">
        <f t="shared" si="1"/>
        <v>0</v>
      </c>
      <c r="K42" s="78">
        <f t="shared" si="2"/>
        <v>0</v>
      </c>
      <c r="L42" s="182">
        <f t="shared" si="4"/>
        <v>0</v>
      </c>
      <c r="M42" s="168">
        <f t="shared" si="3"/>
        <v>908.20409999999981</v>
      </c>
      <c r="N42" s="191"/>
      <c r="O42" s="5"/>
    </row>
    <row r="43" spans="1:15">
      <c r="A43" s="191">
        <v>42</v>
      </c>
      <c r="B43" s="191"/>
      <c r="C43" s="191"/>
      <c r="D43" s="6"/>
      <c r="E43" s="77">
        <v>0</v>
      </c>
      <c r="F43" s="6">
        <v>0</v>
      </c>
      <c r="G43" s="78">
        <f t="shared" ref="G5:G43" si="5">E43*F43</f>
        <v>0</v>
      </c>
      <c r="H43" s="77">
        <v>0</v>
      </c>
      <c r="I43" s="6">
        <v>0</v>
      </c>
      <c r="J43" s="78">
        <f t="shared" ref="J5:J43" si="6">H43*I43</f>
        <v>0</v>
      </c>
      <c r="K43" s="78">
        <f t="shared" ref="K5:K43" si="7">G43+J43</f>
        <v>0</v>
      </c>
      <c r="L43" s="182">
        <f t="shared" ref="L5:L43" si="8">+K43</f>
        <v>0</v>
      </c>
      <c r="M43" s="168">
        <f t="shared" si="3"/>
        <v>908.20409999999981</v>
      </c>
      <c r="N43" s="191"/>
      <c r="O43" s="5"/>
    </row>
    <row r="44" spans="1:15">
      <c r="A44" s="74"/>
      <c r="B44" s="74"/>
      <c r="C44" s="74"/>
      <c r="D44" s="74"/>
      <c r="E44" s="75">
        <f>SUM(E4:E43)</f>
        <v>1574.8899999999999</v>
      </c>
      <c r="F44" s="75"/>
      <c r="G44" s="75">
        <f>SUM(G4:G43)</f>
        <v>143677.21470000001</v>
      </c>
      <c r="H44" s="75">
        <f>SUM(H4:H43)</f>
        <v>15.5</v>
      </c>
      <c r="I44" s="75"/>
      <c r="J44" s="75">
        <f>SUM(J4:J43)</f>
        <v>1712.4050000000002</v>
      </c>
      <c r="K44" s="75">
        <f>SUM(K4:K43)</f>
        <v>145389.61970000001</v>
      </c>
      <c r="L44" s="75">
        <f>SUM(L4:L43)</f>
        <v>154336.16459999999</v>
      </c>
      <c r="M44" s="75">
        <f>SUM(M4:M43)</f>
        <v>414021.88399999961</v>
      </c>
      <c r="N44" s="75"/>
      <c r="O44" s="71"/>
    </row>
    <row r="45" spans="1:15">
      <c r="A45" s="5"/>
      <c r="B45" s="5"/>
      <c r="C45" s="5"/>
      <c r="D45" s="5"/>
      <c r="E45" s="5"/>
      <c r="F45" s="5"/>
      <c r="G45" s="115"/>
      <c r="H45" s="5"/>
      <c r="I45" s="5"/>
      <c r="J45" s="115"/>
      <c r="K45" s="5"/>
      <c r="L45" s="115"/>
      <c r="M45" s="115"/>
      <c r="N45" s="5"/>
      <c r="O45" s="5"/>
    </row>
    <row r="46" spans="1:15">
      <c r="A46" s="5"/>
      <c r="B46" s="5"/>
      <c r="C46" s="5"/>
      <c r="D46" s="5"/>
      <c r="E46" s="5"/>
      <c r="F46" s="5"/>
      <c r="G46" s="115"/>
      <c r="H46" s="5"/>
      <c r="I46" s="5"/>
      <c r="J46" s="115"/>
      <c r="K46" s="5"/>
      <c r="L46" s="115"/>
      <c r="M46" s="115"/>
      <c r="N46" s="5"/>
      <c r="O46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EB7-2102-4FD0-A2B9-519DAB511885}">
  <sheetPr>
    <tabColor rgb="FF92D050"/>
  </sheetPr>
  <dimension ref="A1:O47"/>
  <sheetViews>
    <sheetView workbookViewId="0">
      <selection activeCell="O44" sqref="O44"/>
    </sheetView>
  </sheetViews>
  <sheetFormatPr defaultRowHeight="15"/>
  <cols>
    <col min="1" max="1" width="6.140625" customWidth="1"/>
    <col min="2" max="2" width="10.85546875" bestFit="1" customWidth="1"/>
    <col min="7" max="7" width="11.85546875" bestFit="1" customWidth="1"/>
    <col min="11" max="11" width="16.7109375" customWidth="1"/>
    <col min="12" max="12" width="16.5703125" customWidth="1"/>
    <col min="13" max="13" width="16.140625" customWidth="1"/>
    <col min="14" max="14" width="15.140625" customWidth="1"/>
  </cols>
  <sheetData>
    <row r="1" spans="1:15" ht="15.75">
      <c r="A1" s="426" t="s">
        <v>88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5"/>
    </row>
    <row r="2" spans="1:15" ht="30.75">
      <c r="A2" s="76" t="s">
        <v>105</v>
      </c>
      <c r="B2" s="96" t="s">
        <v>106</v>
      </c>
      <c r="C2" s="96" t="s">
        <v>107</v>
      </c>
      <c r="D2" s="96" t="s">
        <v>121</v>
      </c>
      <c r="E2" s="96" t="s">
        <v>109</v>
      </c>
      <c r="F2" s="96" t="s">
        <v>110</v>
      </c>
      <c r="G2" s="103" t="s">
        <v>111</v>
      </c>
      <c r="H2" s="96" t="s">
        <v>112</v>
      </c>
      <c r="I2" s="96" t="s">
        <v>110</v>
      </c>
      <c r="J2" s="103" t="s">
        <v>111</v>
      </c>
      <c r="K2" s="76" t="s">
        <v>113</v>
      </c>
      <c r="L2" s="104" t="s">
        <v>114</v>
      </c>
      <c r="M2" s="98" t="s">
        <v>120</v>
      </c>
      <c r="N2" s="96" t="s">
        <v>116</v>
      </c>
      <c r="O2" s="5"/>
    </row>
    <row r="3" spans="1:15">
      <c r="A3" s="440" t="s">
        <v>117</v>
      </c>
      <c r="B3" s="441"/>
      <c r="C3" s="441"/>
      <c r="D3" s="441"/>
      <c r="E3" s="441"/>
      <c r="F3" s="441"/>
      <c r="G3" s="441"/>
      <c r="H3" s="441"/>
      <c r="I3" s="441"/>
      <c r="J3" s="441"/>
      <c r="K3" s="441"/>
      <c r="L3" s="442"/>
      <c r="M3" s="443">
        <v>74760</v>
      </c>
      <c r="N3" s="444"/>
      <c r="O3" s="5"/>
    </row>
    <row r="4" spans="1:15">
      <c r="A4" s="229">
        <v>1</v>
      </c>
      <c r="B4" s="264" t="s">
        <v>155</v>
      </c>
      <c r="C4" s="6"/>
      <c r="D4" s="6"/>
      <c r="E4" s="77">
        <v>40</v>
      </c>
      <c r="F4" s="6">
        <v>91.33</v>
      </c>
      <c r="G4" s="78">
        <f>E4*F4</f>
        <v>3653.2</v>
      </c>
      <c r="H4" s="77">
        <v>0</v>
      </c>
      <c r="I4" s="6">
        <v>0</v>
      </c>
      <c r="J4" s="78">
        <f>H4*I4</f>
        <v>0</v>
      </c>
      <c r="K4" s="78">
        <f>G4+J4</f>
        <v>3653.2</v>
      </c>
      <c r="L4" s="182">
        <v>0</v>
      </c>
      <c r="M4" s="385">
        <f>M3+K4-L4</f>
        <v>78413.2</v>
      </c>
      <c r="N4" s="55" t="s">
        <v>128</v>
      </c>
      <c r="O4" s="5"/>
    </row>
    <row r="5" spans="1:15">
      <c r="A5" s="55">
        <v>2</v>
      </c>
      <c r="B5" s="264" t="s">
        <v>129</v>
      </c>
      <c r="C5" s="6"/>
      <c r="D5" s="6"/>
      <c r="E5" s="77">
        <v>160</v>
      </c>
      <c r="F5" s="6">
        <v>91.33</v>
      </c>
      <c r="G5" s="78">
        <f t="shared" ref="G5:G38" si="0">E5*F5</f>
        <v>14612.8</v>
      </c>
      <c r="H5" s="77">
        <v>0</v>
      </c>
      <c r="I5" s="6">
        <v>0</v>
      </c>
      <c r="J5" s="78">
        <f t="shared" ref="J5:J38" si="1">H5*I5</f>
        <v>0</v>
      </c>
      <c r="K5" s="78">
        <f t="shared" ref="K5:M38" si="2">G5+J5</f>
        <v>14612.8</v>
      </c>
      <c r="L5" s="182">
        <v>0</v>
      </c>
      <c r="M5" s="385">
        <f t="shared" ref="M5:M14" si="3">M4+K5-L5</f>
        <v>93026</v>
      </c>
      <c r="N5" s="55" t="s">
        <v>128</v>
      </c>
      <c r="O5" s="5"/>
    </row>
    <row r="6" spans="1:15">
      <c r="A6" s="55">
        <v>3</v>
      </c>
      <c r="B6" s="264" t="s">
        <v>130</v>
      </c>
      <c r="C6" s="6"/>
      <c r="D6" s="6"/>
      <c r="E6" s="77">
        <v>83.8</v>
      </c>
      <c r="F6" s="6">
        <v>91.33</v>
      </c>
      <c r="G6" s="78">
        <f t="shared" si="0"/>
        <v>7653.4539999999997</v>
      </c>
      <c r="H6" s="77">
        <v>0</v>
      </c>
      <c r="I6" s="6">
        <v>0</v>
      </c>
      <c r="J6" s="78">
        <f t="shared" si="1"/>
        <v>0</v>
      </c>
      <c r="K6" s="78">
        <f t="shared" si="2"/>
        <v>7653.4539999999997</v>
      </c>
      <c r="L6" s="182">
        <v>0</v>
      </c>
      <c r="M6" s="385">
        <f t="shared" si="3"/>
        <v>100679.454</v>
      </c>
      <c r="N6" s="55" t="s">
        <v>128</v>
      </c>
      <c r="O6" s="5"/>
    </row>
    <row r="7" spans="1:15">
      <c r="A7" s="55">
        <v>4</v>
      </c>
      <c r="B7" s="264" t="s">
        <v>131</v>
      </c>
      <c r="C7" s="6"/>
      <c r="D7" s="6"/>
      <c r="E7" s="77">
        <v>198.3</v>
      </c>
      <c r="F7" s="6">
        <v>91.33</v>
      </c>
      <c r="G7" s="78">
        <f t="shared" si="0"/>
        <v>18110.739000000001</v>
      </c>
      <c r="H7" s="77">
        <v>0</v>
      </c>
      <c r="I7" s="6">
        <v>0</v>
      </c>
      <c r="J7" s="78">
        <f t="shared" si="1"/>
        <v>0</v>
      </c>
      <c r="K7" s="78">
        <f t="shared" si="2"/>
        <v>18110.739000000001</v>
      </c>
      <c r="L7" s="182">
        <v>37000</v>
      </c>
      <c r="M7" s="385">
        <f t="shared" si="3"/>
        <v>81790.192999999999</v>
      </c>
      <c r="N7" s="55" t="s">
        <v>128</v>
      </c>
      <c r="O7" s="5"/>
    </row>
    <row r="8" spans="1:15">
      <c r="A8" s="55">
        <v>5</v>
      </c>
      <c r="B8" s="264" t="s">
        <v>132</v>
      </c>
      <c r="C8" s="6"/>
      <c r="D8" s="6"/>
      <c r="E8" s="77">
        <v>274</v>
      </c>
      <c r="F8" s="6">
        <v>91.33</v>
      </c>
      <c r="G8" s="78">
        <f t="shared" si="0"/>
        <v>25024.42</v>
      </c>
      <c r="H8" s="77">
        <v>0</v>
      </c>
      <c r="I8" s="6">
        <v>0</v>
      </c>
      <c r="J8" s="78">
        <f t="shared" si="1"/>
        <v>0</v>
      </c>
      <c r="K8" s="78">
        <f t="shared" si="2"/>
        <v>25024.42</v>
      </c>
      <c r="L8" s="182">
        <v>0</v>
      </c>
      <c r="M8" s="385">
        <f t="shared" si="3"/>
        <v>106814.613</v>
      </c>
      <c r="N8" s="55" t="s">
        <v>128</v>
      </c>
      <c r="O8" s="5"/>
    </row>
    <row r="9" spans="1:15">
      <c r="A9" s="55">
        <v>6</v>
      </c>
      <c r="B9" s="264" t="s">
        <v>133</v>
      </c>
      <c r="C9" s="6"/>
      <c r="D9" s="6"/>
      <c r="E9" s="77">
        <v>175</v>
      </c>
      <c r="F9" s="6">
        <v>91.33</v>
      </c>
      <c r="G9" s="78">
        <f t="shared" si="0"/>
        <v>15982.75</v>
      </c>
      <c r="H9" s="77">
        <v>0</v>
      </c>
      <c r="I9" s="6">
        <v>0</v>
      </c>
      <c r="J9" s="78">
        <f t="shared" si="1"/>
        <v>0</v>
      </c>
      <c r="K9" s="78">
        <f t="shared" si="2"/>
        <v>15982.75</v>
      </c>
      <c r="L9" s="182">
        <v>0</v>
      </c>
      <c r="M9" s="385">
        <f t="shared" si="3"/>
        <v>122797.363</v>
      </c>
      <c r="N9" s="55" t="s">
        <v>128</v>
      </c>
      <c r="O9" s="5"/>
    </row>
    <row r="10" spans="1:15">
      <c r="A10" s="55">
        <v>7</v>
      </c>
      <c r="B10" s="264" t="s">
        <v>134</v>
      </c>
      <c r="C10" s="6"/>
      <c r="D10" s="6"/>
      <c r="E10" s="77">
        <v>180</v>
      </c>
      <c r="F10" s="6">
        <v>91.33</v>
      </c>
      <c r="G10" s="78">
        <f t="shared" si="0"/>
        <v>16439.400000000001</v>
      </c>
      <c r="H10" s="77">
        <v>5</v>
      </c>
      <c r="I10" s="6">
        <v>103.26</v>
      </c>
      <c r="J10" s="78">
        <f t="shared" si="1"/>
        <v>516.30000000000007</v>
      </c>
      <c r="K10" s="78">
        <f t="shared" si="2"/>
        <v>16955.7</v>
      </c>
      <c r="L10" s="182">
        <v>0</v>
      </c>
      <c r="M10" s="385">
        <f t="shared" si="3"/>
        <v>139753.06299999999</v>
      </c>
      <c r="N10" s="55" t="s">
        <v>128</v>
      </c>
      <c r="O10" s="5"/>
    </row>
    <row r="11" spans="1:15">
      <c r="A11" s="55">
        <v>8</v>
      </c>
      <c r="B11" s="264" t="s">
        <v>156</v>
      </c>
      <c r="C11" s="6"/>
      <c r="D11" s="6"/>
      <c r="E11" s="77">
        <v>40</v>
      </c>
      <c r="F11" s="6">
        <v>91.33</v>
      </c>
      <c r="G11" s="78">
        <f t="shared" si="0"/>
        <v>3653.2</v>
      </c>
      <c r="H11" s="77">
        <v>0</v>
      </c>
      <c r="I11" s="6">
        <v>0</v>
      </c>
      <c r="J11" s="78">
        <f t="shared" si="1"/>
        <v>0</v>
      </c>
      <c r="K11" s="78">
        <f t="shared" si="2"/>
        <v>3653.2</v>
      </c>
      <c r="L11" s="182">
        <v>0</v>
      </c>
      <c r="M11" s="385">
        <f t="shared" si="3"/>
        <v>143406.26300000001</v>
      </c>
      <c r="N11" s="55" t="s">
        <v>128</v>
      </c>
      <c r="O11" s="5"/>
    </row>
    <row r="12" spans="1:15">
      <c r="A12" s="55">
        <v>9</v>
      </c>
      <c r="B12" s="264" t="s">
        <v>135</v>
      </c>
      <c r="C12" s="6"/>
      <c r="D12" s="6"/>
      <c r="E12" s="77">
        <v>70</v>
      </c>
      <c r="F12" s="6">
        <v>91.33</v>
      </c>
      <c r="G12" s="78">
        <f t="shared" si="0"/>
        <v>6393.0999999999995</v>
      </c>
      <c r="H12" s="77">
        <v>0</v>
      </c>
      <c r="I12" s="6">
        <v>0</v>
      </c>
      <c r="J12" s="78">
        <f t="shared" si="1"/>
        <v>0</v>
      </c>
      <c r="K12" s="78">
        <f t="shared" si="2"/>
        <v>6393.0999999999995</v>
      </c>
      <c r="L12" s="182">
        <v>0</v>
      </c>
      <c r="M12" s="385">
        <f t="shared" si="3"/>
        <v>149799.36300000001</v>
      </c>
      <c r="N12" s="55" t="s">
        <v>128</v>
      </c>
      <c r="O12" s="5"/>
    </row>
    <row r="13" spans="1:15">
      <c r="A13" s="55">
        <v>10</v>
      </c>
      <c r="B13" s="264" t="s">
        <v>136</v>
      </c>
      <c r="C13" s="6"/>
      <c r="D13" s="6"/>
      <c r="E13" s="77">
        <v>0</v>
      </c>
      <c r="F13" s="6">
        <v>91.33</v>
      </c>
      <c r="G13" s="78">
        <f t="shared" si="0"/>
        <v>0</v>
      </c>
      <c r="H13" s="77">
        <v>6</v>
      </c>
      <c r="I13" s="6">
        <v>103.26</v>
      </c>
      <c r="J13" s="78">
        <f t="shared" si="1"/>
        <v>619.56000000000006</v>
      </c>
      <c r="K13" s="78">
        <f t="shared" si="2"/>
        <v>619.56000000000006</v>
      </c>
      <c r="L13" s="182">
        <v>0</v>
      </c>
      <c r="M13" s="385">
        <f t="shared" si="3"/>
        <v>150418.92300000001</v>
      </c>
      <c r="N13" s="55" t="s">
        <v>128</v>
      </c>
      <c r="O13" s="5"/>
    </row>
    <row r="14" spans="1:15">
      <c r="A14" s="55">
        <v>11</v>
      </c>
      <c r="B14" s="264" t="s">
        <v>137</v>
      </c>
      <c r="C14" s="6"/>
      <c r="D14" s="6"/>
      <c r="E14" s="77">
        <v>230</v>
      </c>
      <c r="F14" s="6">
        <v>91.33</v>
      </c>
      <c r="G14" s="78">
        <f t="shared" si="0"/>
        <v>21005.899999999998</v>
      </c>
      <c r="H14" s="77">
        <v>0</v>
      </c>
      <c r="I14" s="6">
        <v>0</v>
      </c>
      <c r="J14" s="78">
        <f t="shared" si="1"/>
        <v>0</v>
      </c>
      <c r="K14" s="78">
        <f t="shared" si="2"/>
        <v>21005.899999999998</v>
      </c>
      <c r="L14" s="182">
        <v>137000</v>
      </c>
      <c r="M14" s="385">
        <f t="shared" si="3"/>
        <v>34424.823000000004</v>
      </c>
      <c r="N14" s="55" t="s">
        <v>128</v>
      </c>
      <c r="O14" s="5"/>
    </row>
    <row r="15" spans="1:15">
      <c r="A15" s="55">
        <v>12</v>
      </c>
      <c r="B15" s="264" t="s">
        <v>138</v>
      </c>
      <c r="C15" s="6"/>
      <c r="D15" s="6"/>
      <c r="E15" s="77">
        <v>190</v>
      </c>
      <c r="F15" s="6">
        <v>91.33</v>
      </c>
      <c r="G15" s="78">
        <f t="shared" si="0"/>
        <v>17352.7</v>
      </c>
      <c r="H15" s="77">
        <v>0</v>
      </c>
      <c r="I15" s="6">
        <v>0</v>
      </c>
      <c r="J15" s="78">
        <f t="shared" si="1"/>
        <v>0</v>
      </c>
      <c r="K15" s="78">
        <f t="shared" si="2"/>
        <v>17352.7</v>
      </c>
      <c r="L15" s="182">
        <v>40000</v>
      </c>
      <c r="M15" s="386">
        <f t="shared" ref="M5:M42" si="4">M14+K15-L15</f>
        <v>11777.523000000001</v>
      </c>
      <c r="N15" s="55" t="s">
        <v>128</v>
      </c>
      <c r="O15" s="5"/>
    </row>
    <row r="16" spans="1:15">
      <c r="A16" s="55">
        <v>13</v>
      </c>
      <c r="B16" s="264" t="s">
        <v>139</v>
      </c>
      <c r="C16" s="6"/>
      <c r="D16" s="6"/>
      <c r="E16" s="77">
        <v>228.76</v>
      </c>
      <c r="F16" s="6">
        <v>91.33</v>
      </c>
      <c r="G16" s="78">
        <f t="shared" si="0"/>
        <v>20892.650799999999</v>
      </c>
      <c r="H16" s="77">
        <v>0</v>
      </c>
      <c r="I16" s="6">
        <v>0</v>
      </c>
      <c r="J16" s="78">
        <f t="shared" si="1"/>
        <v>0</v>
      </c>
      <c r="K16" s="78">
        <f t="shared" si="2"/>
        <v>20892.650799999999</v>
      </c>
      <c r="L16" s="182">
        <v>0</v>
      </c>
      <c r="M16" s="386">
        <f t="shared" si="4"/>
        <v>32670.1738</v>
      </c>
      <c r="N16" s="55" t="s">
        <v>128</v>
      </c>
      <c r="O16" s="5"/>
    </row>
    <row r="17" spans="1:15">
      <c r="A17" s="55">
        <v>14</v>
      </c>
      <c r="B17" s="264" t="s">
        <v>140</v>
      </c>
      <c r="C17" s="6"/>
      <c r="D17" s="6"/>
      <c r="E17" s="77">
        <v>60</v>
      </c>
      <c r="F17" s="6">
        <v>91.33</v>
      </c>
      <c r="G17" s="78">
        <f t="shared" si="0"/>
        <v>5479.8</v>
      </c>
      <c r="H17" s="77">
        <v>0</v>
      </c>
      <c r="I17" s="6">
        <v>0</v>
      </c>
      <c r="J17" s="78">
        <f t="shared" si="1"/>
        <v>0</v>
      </c>
      <c r="K17" s="78">
        <f t="shared" si="2"/>
        <v>5479.8</v>
      </c>
      <c r="L17" s="182">
        <v>0</v>
      </c>
      <c r="M17" s="386">
        <f>M16+K17-L17</f>
        <v>38149.9738</v>
      </c>
      <c r="N17" s="55" t="s">
        <v>128</v>
      </c>
      <c r="O17" s="5"/>
    </row>
    <row r="18" spans="1:15">
      <c r="A18" s="55">
        <v>15</v>
      </c>
      <c r="B18" s="264" t="s">
        <v>141</v>
      </c>
      <c r="C18" s="6"/>
      <c r="D18" s="6"/>
      <c r="E18" s="77">
        <v>110</v>
      </c>
      <c r="F18" s="6">
        <v>91.33</v>
      </c>
      <c r="G18" s="78">
        <f t="shared" si="0"/>
        <v>10046.299999999999</v>
      </c>
      <c r="H18" s="77">
        <v>11</v>
      </c>
      <c r="I18" s="6">
        <v>103.26</v>
      </c>
      <c r="J18" s="78">
        <f t="shared" si="1"/>
        <v>1135.8600000000001</v>
      </c>
      <c r="K18" s="78">
        <f t="shared" si="2"/>
        <v>11182.16</v>
      </c>
      <c r="L18" s="182">
        <v>30000</v>
      </c>
      <c r="M18" s="386">
        <f t="shared" si="4"/>
        <v>19332.133799999996</v>
      </c>
      <c r="N18" s="55" t="s">
        <v>128</v>
      </c>
      <c r="O18" s="5"/>
    </row>
    <row r="19" spans="1:15">
      <c r="A19" s="55">
        <v>16</v>
      </c>
      <c r="B19" s="264" t="s">
        <v>142</v>
      </c>
      <c r="C19" s="6"/>
      <c r="D19" s="6"/>
      <c r="E19" s="77">
        <v>101.03</v>
      </c>
      <c r="F19" s="6">
        <v>91.33</v>
      </c>
      <c r="G19" s="78">
        <f t="shared" si="0"/>
        <v>9227.0699000000004</v>
      </c>
      <c r="H19" s="77">
        <v>0</v>
      </c>
      <c r="I19" s="6">
        <v>0</v>
      </c>
      <c r="J19" s="78">
        <f t="shared" si="1"/>
        <v>0</v>
      </c>
      <c r="K19" s="78">
        <f t="shared" si="2"/>
        <v>9227.0699000000004</v>
      </c>
      <c r="L19" s="182">
        <v>0</v>
      </c>
      <c r="M19" s="386">
        <f t="shared" si="4"/>
        <v>28559.203699999998</v>
      </c>
      <c r="N19" s="55" t="s">
        <v>128</v>
      </c>
      <c r="O19" s="5"/>
    </row>
    <row r="20" spans="1:15">
      <c r="A20" s="55">
        <v>17</v>
      </c>
      <c r="B20" s="264" t="s">
        <v>143</v>
      </c>
      <c r="C20" s="6"/>
      <c r="D20" s="6"/>
      <c r="E20" s="77">
        <v>80</v>
      </c>
      <c r="F20" s="6">
        <v>91.33</v>
      </c>
      <c r="G20" s="78">
        <f t="shared" si="0"/>
        <v>7306.4</v>
      </c>
      <c r="H20" s="77">
        <v>0</v>
      </c>
      <c r="I20" s="6">
        <v>0</v>
      </c>
      <c r="J20" s="78">
        <f t="shared" si="1"/>
        <v>0</v>
      </c>
      <c r="K20" s="78">
        <f t="shared" si="2"/>
        <v>7306.4</v>
      </c>
      <c r="L20" s="182">
        <v>0</v>
      </c>
      <c r="M20" s="386">
        <f t="shared" si="4"/>
        <v>35865.6037</v>
      </c>
      <c r="N20" s="55" t="s">
        <v>128</v>
      </c>
      <c r="O20" s="5"/>
    </row>
    <row r="21" spans="1:15">
      <c r="A21" s="55">
        <v>18</v>
      </c>
      <c r="B21" s="264" t="s">
        <v>144</v>
      </c>
      <c r="C21" s="6"/>
      <c r="D21" s="6"/>
      <c r="E21" s="77">
        <v>40</v>
      </c>
      <c r="F21" s="6">
        <v>91.33</v>
      </c>
      <c r="G21" s="78">
        <f t="shared" si="0"/>
        <v>3653.2</v>
      </c>
      <c r="H21" s="77">
        <v>0</v>
      </c>
      <c r="I21" s="6">
        <v>0</v>
      </c>
      <c r="J21" s="78">
        <f t="shared" si="1"/>
        <v>0</v>
      </c>
      <c r="K21" s="78">
        <f t="shared" si="2"/>
        <v>3653.2</v>
      </c>
      <c r="L21" s="182">
        <v>33124.39</v>
      </c>
      <c r="M21" s="386">
        <f t="shared" si="4"/>
        <v>6394.4136999999973</v>
      </c>
      <c r="N21" s="55" t="s">
        <v>128</v>
      </c>
      <c r="O21" s="5"/>
    </row>
    <row r="22" spans="1:15">
      <c r="A22" s="55">
        <v>19</v>
      </c>
      <c r="B22" s="264" t="s">
        <v>145</v>
      </c>
      <c r="C22" s="6"/>
      <c r="D22" s="6"/>
      <c r="E22" s="77">
        <v>160</v>
      </c>
      <c r="F22" s="6">
        <v>91.33</v>
      </c>
      <c r="G22" s="78">
        <f t="shared" si="0"/>
        <v>14612.8</v>
      </c>
      <c r="H22" s="77">
        <v>0</v>
      </c>
      <c r="I22" s="6">
        <v>0</v>
      </c>
      <c r="J22" s="78">
        <f t="shared" si="1"/>
        <v>0</v>
      </c>
      <c r="K22" s="78">
        <f t="shared" si="2"/>
        <v>14612.8</v>
      </c>
      <c r="L22" s="182">
        <v>0</v>
      </c>
      <c r="M22" s="386">
        <f t="shared" si="4"/>
        <v>21007.213699999997</v>
      </c>
      <c r="N22" s="55" t="s">
        <v>128</v>
      </c>
      <c r="O22" s="5"/>
    </row>
    <row r="23" spans="1:15">
      <c r="A23" s="55">
        <v>20</v>
      </c>
      <c r="B23" s="264" t="s">
        <v>146</v>
      </c>
      <c r="C23" s="6"/>
      <c r="D23" s="6"/>
      <c r="E23" s="77">
        <v>20</v>
      </c>
      <c r="F23" s="6">
        <v>91.33</v>
      </c>
      <c r="G23" s="78">
        <f t="shared" si="0"/>
        <v>1826.6</v>
      </c>
      <c r="H23" s="77">
        <v>5</v>
      </c>
      <c r="I23" s="6">
        <v>103.26</v>
      </c>
      <c r="J23" s="78">
        <f t="shared" si="1"/>
        <v>516.30000000000007</v>
      </c>
      <c r="K23" s="78">
        <f t="shared" si="2"/>
        <v>2342.9</v>
      </c>
      <c r="L23" s="182">
        <v>0</v>
      </c>
      <c r="M23" s="386">
        <f t="shared" si="4"/>
        <v>23350.113699999998</v>
      </c>
      <c r="N23" s="55"/>
      <c r="O23" s="5"/>
    </row>
    <row r="24" spans="1:15">
      <c r="A24" s="55">
        <v>21</v>
      </c>
      <c r="B24" s="264" t="s">
        <v>147</v>
      </c>
      <c r="C24" s="6"/>
      <c r="D24" s="6"/>
      <c r="E24" s="77">
        <v>100</v>
      </c>
      <c r="F24" s="6">
        <v>91.33</v>
      </c>
      <c r="G24" s="78">
        <f t="shared" si="0"/>
        <v>9133</v>
      </c>
      <c r="H24" s="77">
        <v>6</v>
      </c>
      <c r="I24" s="6">
        <v>103.26</v>
      </c>
      <c r="J24" s="78">
        <f t="shared" si="1"/>
        <v>619.56000000000006</v>
      </c>
      <c r="K24" s="78">
        <f t="shared" si="2"/>
        <v>9752.56</v>
      </c>
      <c r="L24" s="182">
        <v>0</v>
      </c>
      <c r="M24" s="386">
        <f t="shared" si="4"/>
        <v>33102.673699999999</v>
      </c>
      <c r="N24" s="55"/>
      <c r="O24" s="5"/>
    </row>
    <row r="25" spans="1:15">
      <c r="A25" s="55">
        <v>22</v>
      </c>
      <c r="B25" s="264" t="s">
        <v>149</v>
      </c>
      <c r="C25" s="6"/>
      <c r="D25" s="6"/>
      <c r="E25" s="77">
        <v>107.8</v>
      </c>
      <c r="F25" s="6">
        <v>91.33</v>
      </c>
      <c r="G25" s="78">
        <f t="shared" si="0"/>
        <v>9845.3739999999998</v>
      </c>
      <c r="H25" s="77">
        <v>0</v>
      </c>
      <c r="I25" s="6">
        <v>0</v>
      </c>
      <c r="J25" s="78">
        <f t="shared" si="1"/>
        <v>0</v>
      </c>
      <c r="K25" s="78">
        <f t="shared" si="2"/>
        <v>9845.3739999999998</v>
      </c>
      <c r="L25" s="182">
        <v>30362</v>
      </c>
      <c r="M25" s="326">
        <f t="shared" si="4"/>
        <v>12586.047699999996</v>
      </c>
      <c r="N25" s="55"/>
      <c r="O25" s="5"/>
    </row>
    <row r="26" spans="1:15">
      <c r="A26" s="55">
        <v>23</v>
      </c>
      <c r="B26" s="264" t="s">
        <v>157</v>
      </c>
      <c r="C26" s="6"/>
      <c r="D26" s="6"/>
      <c r="E26" s="77">
        <v>0</v>
      </c>
      <c r="F26" s="6">
        <v>0</v>
      </c>
      <c r="G26" s="78">
        <f t="shared" si="0"/>
        <v>0</v>
      </c>
      <c r="H26" s="77">
        <v>0</v>
      </c>
      <c r="I26" s="6">
        <v>0</v>
      </c>
      <c r="J26" s="78">
        <f t="shared" si="1"/>
        <v>0</v>
      </c>
      <c r="K26" s="78">
        <f t="shared" si="2"/>
        <v>0</v>
      </c>
      <c r="L26" s="182">
        <v>9844.82</v>
      </c>
      <c r="M26" s="326">
        <f t="shared" si="4"/>
        <v>2741.2276999999958</v>
      </c>
      <c r="N26" s="6"/>
      <c r="O26" s="5"/>
    </row>
    <row r="27" spans="1:15">
      <c r="A27" s="55">
        <v>24</v>
      </c>
      <c r="B27" s="264" t="s">
        <v>151</v>
      </c>
      <c r="C27" s="6"/>
      <c r="D27" s="6"/>
      <c r="E27" s="77">
        <v>40</v>
      </c>
      <c r="F27" s="6">
        <v>91.33</v>
      </c>
      <c r="G27" s="78">
        <f t="shared" si="0"/>
        <v>3653.2</v>
      </c>
      <c r="H27" s="77">
        <v>0</v>
      </c>
      <c r="I27" s="6">
        <v>0</v>
      </c>
      <c r="J27" s="78">
        <f t="shared" si="1"/>
        <v>0</v>
      </c>
      <c r="K27" s="78">
        <f t="shared" si="2"/>
        <v>3653.2</v>
      </c>
      <c r="L27" s="182">
        <v>0</v>
      </c>
      <c r="M27" s="326">
        <f t="shared" si="4"/>
        <v>6394.4276999999956</v>
      </c>
      <c r="N27" s="6"/>
      <c r="O27" s="5"/>
    </row>
    <row r="28" spans="1:15">
      <c r="A28" s="266">
        <v>25</v>
      </c>
      <c r="B28" s="264" t="s">
        <v>152</v>
      </c>
      <c r="C28" s="6"/>
      <c r="D28" s="6"/>
      <c r="E28" s="77">
        <v>40</v>
      </c>
      <c r="F28" s="6">
        <v>91.33</v>
      </c>
      <c r="G28" s="78">
        <f t="shared" si="0"/>
        <v>3653.2</v>
      </c>
      <c r="H28" s="77">
        <v>0</v>
      </c>
      <c r="I28" s="6">
        <v>0</v>
      </c>
      <c r="J28" s="78">
        <f t="shared" si="1"/>
        <v>0</v>
      </c>
      <c r="K28" s="78">
        <f t="shared" si="2"/>
        <v>3653.2</v>
      </c>
      <c r="L28" s="182">
        <v>0</v>
      </c>
      <c r="M28" s="326">
        <f t="shared" si="4"/>
        <v>10047.627699999995</v>
      </c>
      <c r="N28" s="6"/>
      <c r="O28" s="5"/>
    </row>
    <row r="29" spans="1:15">
      <c r="A29" s="266">
        <v>26</v>
      </c>
      <c r="B29" s="264" t="s">
        <v>158</v>
      </c>
      <c r="C29" s="6"/>
      <c r="D29" s="6"/>
      <c r="E29" s="77">
        <v>40</v>
      </c>
      <c r="F29" s="6">
        <v>91.33</v>
      </c>
      <c r="G29" s="78">
        <f t="shared" si="0"/>
        <v>3653.2</v>
      </c>
      <c r="H29" s="77">
        <v>9.84</v>
      </c>
      <c r="I29" s="6">
        <v>103.26</v>
      </c>
      <c r="J29" s="78">
        <f t="shared" si="1"/>
        <v>1016.0784</v>
      </c>
      <c r="K29" s="78">
        <f t="shared" si="2"/>
        <v>4669.2784000000001</v>
      </c>
      <c r="L29" s="182">
        <v>0</v>
      </c>
      <c r="M29" s="326">
        <f t="shared" si="4"/>
        <v>14716.906099999997</v>
      </c>
      <c r="N29" s="6"/>
      <c r="O29" s="5"/>
    </row>
    <row r="30" spans="1:15">
      <c r="A30" s="266">
        <v>27</v>
      </c>
      <c r="B30" s="264" t="s">
        <v>153</v>
      </c>
      <c r="C30" s="6"/>
      <c r="D30" s="6"/>
      <c r="E30" s="77">
        <v>40</v>
      </c>
      <c r="F30" s="6">
        <v>91.33</v>
      </c>
      <c r="G30" s="78">
        <f t="shared" si="0"/>
        <v>3653.2</v>
      </c>
      <c r="H30" s="77">
        <v>0</v>
      </c>
      <c r="I30" s="6">
        <v>0</v>
      </c>
      <c r="J30" s="78">
        <f t="shared" si="1"/>
        <v>0</v>
      </c>
      <c r="K30" s="78">
        <f t="shared" si="2"/>
        <v>3653.2</v>
      </c>
      <c r="L30" s="182">
        <v>0</v>
      </c>
      <c r="M30" s="326">
        <f t="shared" si="4"/>
        <v>18370.106099999997</v>
      </c>
      <c r="N30" s="6"/>
      <c r="O30" s="5"/>
    </row>
    <row r="31" spans="1:15">
      <c r="A31" s="266">
        <v>28</v>
      </c>
      <c r="B31" s="264" t="s">
        <v>154</v>
      </c>
      <c r="C31" s="6"/>
      <c r="D31" s="6"/>
      <c r="E31" s="77">
        <v>159.52000000000001</v>
      </c>
      <c r="F31" s="6">
        <v>91.33</v>
      </c>
      <c r="G31" s="78">
        <f t="shared" si="0"/>
        <v>14568.961600000001</v>
      </c>
      <c r="H31" s="77">
        <v>0</v>
      </c>
      <c r="I31" s="6">
        <v>0</v>
      </c>
      <c r="J31" s="78">
        <f t="shared" si="1"/>
        <v>0</v>
      </c>
      <c r="K31" s="78">
        <f t="shared" si="2"/>
        <v>14568.961600000001</v>
      </c>
      <c r="L31" s="182">
        <v>11975.9</v>
      </c>
      <c r="M31" s="326">
        <f t="shared" si="4"/>
        <v>20963.167699999998</v>
      </c>
      <c r="N31" s="6"/>
      <c r="O31" s="5"/>
    </row>
    <row r="32" spans="1:15">
      <c r="A32" s="267">
        <v>29</v>
      </c>
      <c r="B32" s="264"/>
      <c r="C32" s="6"/>
      <c r="D32" s="6"/>
      <c r="E32" s="77">
        <v>0</v>
      </c>
      <c r="F32" s="6">
        <v>0</v>
      </c>
      <c r="G32" s="78">
        <f t="shared" si="0"/>
        <v>0</v>
      </c>
      <c r="H32" s="77">
        <v>0</v>
      </c>
      <c r="I32" s="6">
        <v>0</v>
      </c>
      <c r="J32" s="78">
        <f t="shared" si="1"/>
        <v>0</v>
      </c>
      <c r="K32" s="78">
        <f t="shared" si="2"/>
        <v>0</v>
      </c>
      <c r="L32" s="182">
        <f t="shared" ref="L5:M38" si="5">+K32</f>
        <v>0</v>
      </c>
      <c r="M32" s="326">
        <f t="shared" si="4"/>
        <v>20963.167699999998</v>
      </c>
      <c r="N32" s="6"/>
      <c r="O32" s="5"/>
    </row>
    <row r="33" spans="1:15">
      <c r="A33" s="267">
        <v>30</v>
      </c>
      <c r="B33" s="264"/>
      <c r="C33" s="6"/>
      <c r="D33" s="6"/>
      <c r="E33" s="77">
        <v>0</v>
      </c>
      <c r="F33" s="6">
        <v>0</v>
      </c>
      <c r="G33" s="78">
        <f t="shared" si="0"/>
        <v>0</v>
      </c>
      <c r="H33" s="77">
        <v>0</v>
      </c>
      <c r="I33" s="6">
        <v>0</v>
      </c>
      <c r="J33" s="78">
        <f t="shared" si="1"/>
        <v>0</v>
      </c>
      <c r="K33" s="78">
        <f t="shared" si="2"/>
        <v>0</v>
      </c>
      <c r="L33" s="182">
        <f t="shared" si="5"/>
        <v>0</v>
      </c>
      <c r="M33" s="326">
        <f t="shared" si="4"/>
        <v>20963.167699999998</v>
      </c>
      <c r="N33" s="6"/>
      <c r="O33" s="5"/>
    </row>
    <row r="34" spans="1:15">
      <c r="A34" s="267">
        <v>31</v>
      </c>
      <c r="B34" s="264"/>
      <c r="C34" s="6"/>
      <c r="D34" s="6"/>
      <c r="E34" s="77">
        <v>0</v>
      </c>
      <c r="F34" s="6">
        <v>0</v>
      </c>
      <c r="G34" s="78">
        <f t="shared" si="0"/>
        <v>0</v>
      </c>
      <c r="H34" s="77">
        <v>0</v>
      </c>
      <c r="I34" s="6">
        <v>0</v>
      </c>
      <c r="J34" s="78">
        <f t="shared" si="1"/>
        <v>0</v>
      </c>
      <c r="K34" s="78">
        <f t="shared" si="2"/>
        <v>0</v>
      </c>
      <c r="L34" s="182">
        <f t="shared" si="5"/>
        <v>0</v>
      </c>
      <c r="M34" s="326">
        <f t="shared" si="4"/>
        <v>20963.167699999998</v>
      </c>
      <c r="N34" s="6"/>
      <c r="O34" s="5"/>
    </row>
    <row r="35" spans="1:15">
      <c r="A35" s="6">
        <v>35</v>
      </c>
      <c r="B35" s="91"/>
      <c r="C35" s="6"/>
      <c r="D35" s="6"/>
      <c r="E35" s="77">
        <v>0</v>
      </c>
      <c r="F35" s="6">
        <v>0</v>
      </c>
      <c r="G35" s="78">
        <f t="shared" si="0"/>
        <v>0</v>
      </c>
      <c r="H35" s="77">
        <v>0</v>
      </c>
      <c r="I35" s="6">
        <v>0</v>
      </c>
      <c r="J35" s="78">
        <f t="shared" si="1"/>
        <v>0</v>
      </c>
      <c r="K35" s="78">
        <f t="shared" si="2"/>
        <v>0</v>
      </c>
      <c r="L35" s="182">
        <f t="shared" si="5"/>
        <v>0</v>
      </c>
      <c r="M35" s="326">
        <f t="shared" si="4"/>
        <v>20963.167699999998</v>
      </c>
      <c r="N35" s="6"/>
      <c r="O35" s="5"/>
    </row>
    <row r="36" spans="1:15">
      <c r="A36" s="6">
        <v>36</v>
      </c>
      <c r="B36" s="91"/>
      <c r="C36" s="6"/>
      <c r="D36" s="6"/>
      <c r="E36" s="77">
        <v>0</v>
      </c>
      <c r="F36" s="6">
        <v>0</v>
      </c>
      <c r="G36" s="78">
        <f t="shared" si="0"/>
        <v>0</v>
      </c>
      <c r="H36" s="77">
        <v>0</v>
      </c>
      <c r="I36" s="6">
        <v>0</v>
      </c>
      <c r="J36" s="78">
        <f t="shared" si="1"/>
        <v>0</v>
      </c>
      <c r="K36" s="78">
        <f t="shared" si="2"/>
        <v>0</v>
      </c>
      <c r="L36" s="182">
        <f t="shared" si="5"/>
        <v>0</v>
      </c>
      <c r="M36" s="326">
        <f t="shared" si="4"/>
        <v>20963.167699999998</v>
      </c>
      <c r="N36" s="6"/>
      <c r="O36" s="5"/>
    </row>
    <row r="37" spans="1:15">
      <c r="A37" s="6">
        <v>37</v>
      </c>
      <c r="B37" s="91"/>
      <c r="C37" s="6"/>
      <c r="D37" s="6"/>
      <c r="E37" s="77">
        <v>0</v>
      </c>
      <c r="F37" s="6">
        <v>0</v>
      </c>
      <c r="G37" s="78">
        <f t="shared" si="0"/>
        <v>0</v>
      </c>
      <c r="H37" s="77">
        <v>0</v>
      </c>
      <c r="I37" s="6">
        <v>0</v>
      </c>
      <c r="J37" s="78">
        <f t="shared" si="1"/>
        <v>0</v>
      </c>
      <c r="K37" s="78">
        <f t="shared" si="2"/>
        <v>0</v>
      </c>
      <c r="L37" s="182">
        <f t="shared" si="5"/>
        <v>0</v>
      </c>
      <c r="M37" s="326">
        <f t="shared" si="4"/>
        <v>20963.167699999998</v>
      </c>
      <c r="N37" s="6"/>
      <c r="O37" s="5"/>
    </row>
    <row r="38" spans="1:15">
      <c r="A38" s="6">
        <v>38</v>
      </c>
      <c r="B38" s="91"/>
      <c r="C38" s="6"/>
      <c r="D38" s="6"/>
      <c r="E38" s="77">
        <v>0</v>
      </c>
      <c r="F38" s="6">
        <v>0</v>
      </c>
      <c r="G38" s="78">
        <f t="shared" si="0"/>
        <v>0</v>
      </c>
      <c r="H38" s="77">
        <v>0</v>
      </c>
      <c r="I38" s="6">
        <v>0</v>
      </c>
      <c r="J38" s="78">
        <f t="shared" si="1"/>
        <v>0</v>
      </c>
      <c r="K38" s="78">
        <f t="shared" si="2"/>
        <v>0</v>
      </c>
      <c r="L38" s="182">
        <f t="shared" si="5"/>
        <v>0</v>
      </c>
      <c r="M38" s="326">
        <f t="shared" si="4"/>
        <v>20963.167699999998</v>
      </c>
      <c r="N38" s="6"/>
      <c r="O38" s="5"/>
    </row>
    <row r="39" spans="1:15">
      <c r="A39" s="191">
        <v>39</v>
      </c>
      <c r="B39" s="192"/>
      <c r="C39" s="191"/>
      <c r="D39" s="6"/>
      <c r="E39" s="77">
        <v>0</v>
      </c>
      <c r="F39" s="6">
        <v>0</v>
      </c>
      <c r="G39" s="78">
        <f t="shared" ref="G5:G41" si="6">E39*F39</f>
        <v>0</v>
      </c>
      <c r="H39" s="77">
        <v>0</v>
      </c>
      <c r="I39" s="6">
        <v>0</v>
      </c>
      <c r="J39" s="78">
        <f t="shared" ref="J5:J41" si="7">H39*I39</f>
        <v>0</v>
      </c>
      <c r="K39" s="78">
        <f t="shared" ref="K5:K41" si="8">G39+J39</f>
        <v>0</v>
      </c>
      <c r="L39" s="182">
        <f t="shared" ref="L5:L41" si="9">+K39</f>
        <v>0</v>
      </c>
      <c r="M39" s="326">
        <f t="shared" si="4"/>
        <v>20963.167699999998</v>
      </c>
      <c r="N39" s="191"/>
      <c r="O39" s="5"/>
    </row>
    <row r="40" spans="1:15">
      <c r="A40" s="6">
        <v>40</v>
      </c>
      <c r="B40" s="6"/>
      <c r="C40" s="6"/>
      <c r="D40" s="6"/>
      <c r="E40" s="77">
        <v>0</v>
      </c>
      <c r="F40" s="6">
        <v>0</v>
      </c>
      <c r="G40" s="78">
        <f t="shared" si="6"/>
        <v>0</v>
      </c>
      <c r="H40" s="77">
        <v>0</v>
      </c>
      <c r="I40" s="6">
        <v>0</v>
      </c>
      <c r="J40" s="78">
        <f t="shared" si="7"/>
        <v>0</v>
      </c>
      <c r="K40" s="78">
        <f t="shared" si="8"/>
        <v>0</v>
      </c>
      <c r="L40" s="182">
        <f t="shared" si="9"/>
        <v>0</v>
      </c>
      <c r="M40" s="326">
        <f t="shared" si="4"/>
        <v>20963.167699999998</v>
      </c>
      <c r="N40" s="6"/>
      <c r="O40" s="5"/>
    </row>
    <row r="41" spans="1:15">
      <c r="A41" s="191">
        <v>41</v>
      </c>
      <c r="B41" s="191"/>
      <c r="C41" s="191"/>
      <c r="D41" s="6"/>
      <c r="E41" s="77">
        <v>0</v>
      </c>
      <c r="F41" s="6">
        <v>0</v>
      </c>
      <c r="G41" s="78">
        <f t="shared" si="6"/>
        <v>0</v>
      </c>
      <c r="H41" s="77">
        <v>0</v>
      </c>
      <c r="I41" s="6">
        <v>0</v>
      </c>
      <c r="J41" s="78">
        <f t="shared" si="7"/>
        <v>0</v>
      </c>
      <c r="K41" s="78">
        <f t="shared" si="8"/>
        <v>0</v>
      </c>
      <c r="L41" s="182">
        <f t="shared" si="9"/>
        <v>0</v>
      </c>
      <c r="M41" s="326">
        <f t="shared" si="4"/>
        <v>20963.167699999998</v>
      </c>
      <c r="N41" s="191"/>
      <c r="O41" s="5"/>
    </row>
    <row r="42" spans="1:15">
      <c r="A42" s="191">
        <v>42</v>
      </c>
      <c r="B42" s="191"/>
      <c r="C42" s="191"/>
      <c r="D42" s="6"/>
      <c r="E42" s="77">
        <v>0</v>
      </c>
      <c r="F42" s="6">
        <v>0</v>
      </c>
      <c r="G42" s="78">
        <f t="shared" ref="G5:G42" si="10">E42*F42</f>
        <v>0</v>
      </c>
      <c r="H42" s="77"/>
      <c r="I42" s="6"/>
      <c r="J42" s="78">
        <f t="shared" ref="J5:J42" si="11">H42*I42</f>
        <v>0</v>
      </c>
      <c r="K42" s="193">
        <f t="shared" ref="K5:K42" si="12">G42+J42</f>
        <v>0</v>
      </c>
      <c r="L42" s="194">
        <f t="shared" ref="L5:L42" si="13">+K42</f>
        <v>0</v>
      </c>
      <c r="M42" s="326">
        <f t="shared" si="4"/>
        <v>20963.167699999998</v>
      </c>
      <c r="N42" s="191"/>
      <c r="O42" s="5"/>
    </row>
    <row r="43" spans="1:15">
      <c r="A43" s="74"/>
      <c r="B43" s="74"/>
      <c r="C43" s="74"/>
      <c r="D43" s="74"/>
      <c r="E43" s="75">
        <f>SUM(E4:E42)</f>
        <v>2968.21</v>
      </c>
      <c r="F43" s="75"/>
      <c r="G43" s="75">
        <f>SUM(G4:G42)</f>
        <v>271086.61930000008</v>
      </c>
      <c r="H43" s="75">
        <f>SUM(H4:H42)</f>
        <v>42.84</v>
      </c>
      <c r="I43" s="75"/>
      <c r="J43" s="75">
        <f>SUM(J4:J42)</f>
        <v>4423.6584000000003</v>
      </c>
      <c r="K43" s="75">
        <f>SUM(K4:K42)</f>
        <v>275510.27770000004</v>
      </c>
      <c r="L43" s="75">
        <f>SUM(L4:L42)</f>
        <v>329307.11000000004</v>
      </c>
      <c r="M43" s="75"/>
      <c r="N43" s="75"/>
      <c r="O43" s="71"/>
    </row>
    <row r="44" spans="1:15">
      <c r="A44" s="5"/>
      <c r="B44" s="5"/>
      <c r="C44" s="5"/>
      <c r="D44" s="5"/>
      <c r="E44" s="5"/>
      <c r="F44" s="5"/>
      <c r="G44" s="115"/>
      <c r="H44" s="5"/>
      <c r="I44" s="5"/>
      <c r="J44" s="115"/>
      <c r="K44" s="5"/>
      <c r="L44" s="115"/>
      <c r="M44" s="115"/>
      <c r="N44" s="5"/>
      <c r="O44" s="5"/>
    </row>
    <row r="45" spans="1:15">
      <c r="A45" s="5"/>
      <c r="B45" s="5"/>
      <c r="C45" s="5"/>
      <c r="D45" s="5"/>
      <c r="E45" s="5"/>
      <c r="F45" s="5"/>
      <c r="G45" s="115"/>
      <c r="H45" s="5"/>
      <c r="I45" s="5"/>
      <c r="J45" s="115"/>
      <c r="K45" s="5"/>
      <c r="L45" s="115"/>
      <c r="M45" s="115"/>
      <c r="N45" s="5"/>
      <c r="O45" s="5"/>
    </row>
    <row r="46" spans="1:15">
      <c r="L46">
        <v>41648.541499999999</v>
      </c>
    </row>
    <row r="47" spans="1:15">
      <c r="L47" s="196">
        <f>L43+L46</f>
        <v>370955.65150000004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4E54-D29F-438F-9AA9-C122252DB046}">
  <sheetPr>
    <tabColor rgb="FF92D050"/>
  </sheetPr>
  <dimension ref="A1:R47"/>
  <sheetViews>
    <sheetView workbookViewId="0">
      <selection activeCell="M46" sqref="M46"/>
    </sheetView>
  </sheetViews>
  <sheetFormatPr defaultRowHeight="15"/>
  <cols>
    <col min="2" max="2" width="10.5703125" bestFit="1" customWidth="1"/>
    <col min="7" max="7" width="10.85546875" bestFit="1" customWidth="1"/>
    <col min="10" max="10" width="11.5703125" customWidth="1"/>
    <col min="11" max="11" width="13.140625" bestFit="1" customWidth="1"/>
    <col min="12" max="12" width="12.140625" bestFit="1" customWidth="1"/>
    <col min="13" max="13" width="17.42578125" customWidth="1"/>
    <col min="14" max="14" width="11.85546875" customWidth="1"/>
    <col min="17" max="17" width="12" bestFit="1" customWidth="1"/>
  </cols>
  <sheetData>
    <row r="1" spans="1:18" ht="15.75">
      <c r="A1" s="426" t="s">
        <v>92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</row>
    <row r="2" spans="1:18" ht="30.75">
      <c r="A2" s="76" t="s">
        <v>105</v>
      </c>
      <c r="B2" s="96" t="s">
        <v>106</v>
      </c>
      <c r="C2" s="96" t="s">
        <v>107</v>
      </c>
      <c r="D2" s="96" t="s">
        <v>121</v>
      </c>
      <c r="E2" s="96" t="s">
        <v>109</v>
      </c>
      <c r="F2" s="96" t="s">
        <v>110</v>
      </c>
      <c r="G2" s="103" t="s">
        <v>111</v>
      </c>
      <c r="H2" s="96" t="s">
        <v>112</v>
      </c>
      <c r="I2" s="96" t="s">
        <v>110</v>
      </c>
      <c r="J2" s="103" t="s">
        <v>111</v>
      </c>
      <c r="K2" s="76" t="s">
        <v>113</v>
      </c>
      <c r="L2" s="104" t="s">
        <v>114</v>
      </c>
      <c r="M2" s="98" t="s">
        <v>120</v>
      </c>
      <c r="N2" s="96" t="s">
        <v>116</v>
      </c>
    </row>
    <row r="3" spans="1:18">
      <c r="A3" s="440" t="s">
        <v>117</v>
      </c>
      <c r="B3" s="441"/>
      <c r="C3" s="441"/>
      <c r="D3" s="441"/>
      <c r="E3" s="441"/>
      <c r="F3" s="441"/>
      <c r="G3" s="441"/>
      <c r="H3" s="441"/>
      <c r="I3" s="441"/>
      <c r="J3" s="441"/>
      <c r="K3" s="441"/>
      <c r="L3" s="442"/>
      <c r="M3" s="443">
        <v>36628.607600000003</v>
      </c>
      <c r="N3" s="444"/>
    </row>
    <row r="4" spans="1:18">
      <c r="A4" s="229">
        <v>1</v>
      </c>
      <c r="B4" s="264">
        <v>45839</v>
      </c>
      <c r="C4" s="6"/>
      <c r="D4" s="6"/>
      <c r="E4" s="77">
        <v>0</v>
      </c>
      <c r="F4" s="6">
        <v>0</v>
      </c>
      <c r="G4" s="78">
        <f>E4*F4</f>
        <v>0</v>
      </c>
      <c r="H4" s="77">
        <v>0</v>
      </c>
      <c r="I4" s="6">
        <v>0</v>
      </c>
      <c r="J4" s="78">
        <f>H4*I4</f>
        <v>0</v>
      </c>
      <c r="K4" s="78">
        <f>G4+J4</f>
        <v>0</v>
      </c>
      <c r="L4" s="182">
        <f>+K4</f>
        <v>0</v>
      </c>
      <c r="M4" s="168">
        <f>M3+K4-L4</f>
        <v>36628.607600000003</v>
      </c>
      <c r="N4" s="55" t="s">
        <v>128</v>
      </c>
    </row>
    <row r="5" spans="1:18">
      <c r="A5" s="55">
        <v>2</v>
      </c>
      <c r="B5" s="264">
        <v>45840</v>
      </c>
      <c r="C5" s="6"/>
      <c r="D5" s="6"/>
      <c r="E5" s="77">
        <v>0</v>
      </c>
      <c r="F5" s="6">
        <v>0</v>
      </c>
      <c r="G5" s="78">
        <f t="shared" ref="G5:G33" si="0">E5*F5</f>
        <v>0</v>
      </c>
      <c r="H5" s="77">
        <v>0</v>
      </c>
      <c r="I5" s="6">
        <v>0</v>
      </c>
      <c r="J5" s="78">
        <f t="shared" ref="J5:J33" si="1">H5*I5</f>
        <v>0</v>
      </c>
      <c r="K5" s="78">
        <f t="shared" ref="K5:K33" si="2">G5+J5</f>
        <v>0</v>
      </c>
      <c r="L5" s="182">
        <f t="shared" ref="L5:L40" si="3">+K5</f>
        <v>0</v>
      </c>
      <c r="M5" s="168">
        <f t="shared" ref="M5:M41" si="4">M4+K5-L5</f>
        <v>36628.607600000003</v>
      </c>
      <c r="N5" s="55" t="s">
        <v>128</v>
      </c>
    </row>
    <row r="6" spans="1:18">
      <c r="A6" s="55">
        <v>3</v>
      </c>
      <c r="B6" s="264">
        <v>45841</v>
      </c>
      <c r="C6" s="6"/>
      <c r="D6" s="6"/>
      <c r="E6" s="77">
        <v>38.200000000000003</v>
      </c>
      <c r="F6" s="6">
        <v>91.62</v>
      </c>
      <c r="G6" s="78">
        <f t="shared" si="0"/>
        <v>3499.8840000000005</v>
      </c>
      <c r="H6" s="77">
        <v>0</v>
      </c>
      <c r="I6" s="6">
        <v>0</v>
      </c>
      <c r="J6" s="78">
        <f t="shared" si="1"/>
        <v>0</v>
      </c>
      <c r="K6" s="78">
        <f t="shared" si="2"/>
        <v>3499.8840000000005</v>
      </c>
      <c r="L6" s="182">
        <v>36000</v>
      </c>
      <c r="M6" s="168">
        <f t="shared" si="4"/>
        <v>4128.4916000000012</v>
      </c>
      <c r="N6" s="55" t="s">
        <v>128</v>
      </c>
    </row>
    <row r="7" spans="1:18">
      <c r="A7" s="55">
        <v>4</v>
      </c>
      <c r="B7" s="264">
        <v>45842</v>
      </c>
      <c r="C7" s="6"/>
      <c r="D7" s="6"/>
      <c r="E7" s="77">
        <v>0</v>
      </c>
      <c r="F7" s="6">
        <v>0</v>
      </c>
      <c r="G7" s="78">
        <f t="shared" si="0"/>
        <v>0</v>
      </c>
      <c r="H7" s="77">
        <v>0</v>
      </c>
      <c r="I7" s="6">
        <v>0</v>
      </c>
      <c r="J7" s="78">
        <f t="shared" si="1"/>
        <v>0</v>
      </c>
      <c r="K7" s="78">
        <f t="shared" si="2"/>
        <v>0</v>
      </c>
      <c r="L7" s="182">
        <f t="shared" si="3"/>
        <v>0</v>
      </c>
      <c r="M7" s="168">
        <f t="shared" si="4"/>
        <v>4128.4916000000012</v>
      </c>
      <c r="N7" s="55" t="s">
        <v>128</v>
      </c>
    </row>
    <row r="8" spans="1:18">
      <c r="A8" s="55">
        <v>5</v>
      </c>
      <c r="B8" s="264">
        <v>45843</v>
      </c>
      <c r="C8" s="6"/>
      <c r="D8" s="6"/>
      <c r="E8" s="77">
        <v>0</v>
      </c>
      <c r="F8" s="6">
        <v>0</v>
      </c>
      <c r="G8" s="78">
        <f t="shared" si="0"/>
        <v>0</v>
      </c>
      <c r="H8" s="77">
        <v>0</v>
      </c>
      <c r="I8" s="6">
        <v>0</v>
      </c>
      <c r="J8" s="78">
        <f t="shared" si="1"/>
        <v>0</v>
      </c>
      <c r="K8" s="78">
        <f t="shared" si="2"/>
        <v>0</v>
      </c>
      <c r="L8" s="182">
        <f t="shared" si="3"/>
        <v>0</v>
      </c>
      <c r="M8" s="168">
        <f t="shared" si="4"/>
        <v>4128.4916000000012</v>
      </c>
      <c r="N8" s="55" t="s">
        <v>128</v>
      </c>
    </row>
    <row r="9" spans="1:18">
      <c r="A9" s="55">
        <v>6</v>
      </c>
      <c r="B9" s="264">
        <v>45844</v>
      </c>
      <c r="C9" s="6"/>
      <c r="D9" s="6"/>
      <c r="E9" s="77">
        <v>0</v>
      </c>
      <c r="F9" s="6">
        <v>0</v>
      </c>
      <c r="G9" s="78">
        <f t="shared" si="0"/>
        <v>0</v>
      </c>
      <c r="H9" s="77">
        <v>0</v>
      </c>
      <c r="I9" s="6">
        <v>0</v>
      </c>
      <c r="J9" s="78">
        <f t="shared" si="1"/>
        <v>0</v>
      </c>
      <c r="K9" s="78">
        <f t="shared" si="2"/>
        <v>0</v>
      </c>
      <c r="L9" s="182">
        <f t="shared" si="3"/>
        <v>0</v>
      </c>
      <c r="M9" s="168">
        <f t="shared" si="4"/>
        <v>4128.4916000000012</v>
      </c>
      <c r="N9" s="55" t="s">
        <v>128</v>
      </c>
    </row>
    <row r="10" spans="1:18">
      <c r="A10" s="55">
        <v>7</v>
      </c>
      <c r="B10" s="264">
        <v>45845</v>
      </c>
      <c r="C10" s="6"/>
      <c r="D10" s="6"/>
      <c r="E10" s="77">
        <v>0</v>
      </c>
      <c r="F10" s="6">
        <v>0</v>
      </c>
      <c r="G10" s="78">
        <f t="shared" si="0"/>
        <v>0</v>
      </c>
      <c r="H10" s="77">
        <v>0</v>
      </c>
      <c r="I10" s="6">
        <v>0</v>
      </c>
      <c r="J10" s="78">
        <f t="shared" si="1"/>
        <v>0</v>
      </c>
      <c r="K10" s="78">
        <f t="shared" si="2"/>
        <v>0</v>
      </c>
      <c r="L10" s="182">
        <f t="shared" si="3"/>
        <v>0</v>
      </c>
      <c r="M10" s="168">
        <f t="shared" si="4"/>
        <v>4128.4916000000012</v>
      </c>
      <c r="N10" s="55" t="s">
        <v>128</v>
      </c>
    </row>
    <row r="11" spans="1:18">
      <c r="A11" s="55">
        <v>8</v>
      </c>
      <c r="B11" s="264">
        <v>45846</v>
      </c>
      <c r="C11" s="6"/>
      <c r="D11" s="6"/>
      <c r="E11" s="77">
        <v>0</v>
      </c>
      <c r="F11" s="6">
        <v>0</v>
      </c>
      <c r="G11" s="78">
        <f t="shared" si="0"/>
        <v>0</v>
      </c>
      <c r="H11" s="77">
        <v>0</v>
      </c>
      <c r="I11" s="6">
        <v>0</v>
      </c>
      <c r="J11" s="78">
        <f t="shared" si="1"/>
        <v>0</v>
      </c>
      <c r="K11" s="78">
        <f t="shared" si="2"/>
        <v>0</v>
      </c>
      <c r="L11" s="182">
        <f t="shared" si="3"/>
        <v>0</v>
      </c>
      <c r="M11" s="168">
        <f t="shared" si="4"/>
        <v>4128.4916000000012</v>
      </c>
      <c r="N11" s="55" t="s">
        <v>128</v>
      </c>
    </row>
    <row r="12" spans="1:18">
      <c r="A12" s="55">
        <v>9</v>
      </c>
      <c r="B12" s="264">
        <v>45847</v>
      </c>
      <c r="C12" s="6"/>
      <c r="D12" s="6"/>
      <c r="E12" s="77">
        <v>0</v>
      </c>
      <c r="F12" s="6">
        <v>0</v>
      </c>
      <c r="G12" s="78">
        <f t="shared" si="0"/>
        <v>0</v>
      </c>
      <c r="H12" s="77">
        <v>0</v>
      </c>
      <c r="I12" s="6">
        <v>0</v>
      </c>
      <c r="J12" s="78">
        <f t="shared" si="1"/>
        <v>0</v>
      </c>
      <c r="K12" s="78">
        <f t="shared" si="2"/>
        <v>0</v>
      </c>
      <c r="L12" s="182">
        <f t="shared" si="3"/>
        <v>0</v>
      </c>
      <c r="M12" s="168">
        <f t="shared" si="4"/>
        <v>4128.4916000000012</v>
      </c>
      <c r="N12" s="55" t="s">
        <v>128</v>
      </c>
      <c r="R12" s="292"/>
    </row>
    <row r="13" spans="1:18">
      <c r="A13" s="55">
        <v>10</v>
      </c>
      <c r="B13" s="264">
        <v>45848</v>
      </c>
      <c r="C13" s="6"/>
      <c r="D13" s="6"/>
      <c r="E13" s="77">
        <v>0</v>
      </c>
      <c r="F13" s="6">
        <v>0</v>
      </c>
      <c r="G13" s="78">
        <f t="shared" si="0"/>
        <v>0</v>
      </c>
      <c r="H13" s="77">
        <v>4.83</v>
      </c>
      <c r="I13" s="6">
        <v>103.57</v>
      </c>
      <c r="J13" s="78">
        <f t="shared" si="1"/>
        <v>500.24309999999997</v>
      </c>
      <c r="K13" s="78">
        <f t="shared" si="2"/>
        <v>500.24309999999997</v>
      </c>
      <c r="L13" s="182">
        <v>0</v>
      </c>
      <c r="M13" s="168">
        <f t="shared" si="4"/>
        <v>4628.7347000000009</v>
      </c>
      <c r="N13" s="55" t="s">
        <v>128</v>
      </c>
    </row>
    <row r="14" spans="1:18">
      <c r="A14" s="55">
        <v>11</v>
      </c>
      <c r="B14" s="264">
        <v>45849</v>
      </c>
      <c r="C14" s="6"/>
      <c r="D14" s="6"/>
      <c r="E14" s="77">
        <v>0</v>
      </c>
      <c r="F14" s="6">
        <v>0</v>
      </c>
      <c r="G14" s="78">
        <f t="shared" si="0"/>
        <v>0</v>
      </c>
      <c r="H14" s="77">
        <v>0</v>
      </c>
      <c r="I14" s="6">
        <v>0</v>
      </c>
      <c r="J14" s="78">
        <f t="shared" si="1"/>
        <v>0</v>
      </c>
      <c r="K14" s="78">
        <f t="shared" si="2"/>
        <v>0</v>
      </c>
      <c r="L14" s="182">
        <f t="shared" si="3"/>
        <v>0</v>
      </c>
      <c r="M14" s="168">
        <f t="shared" si="4"/>
        <v>4628.7347000000009</v>
      </c>
      <c r="N14" s="55" t="s">
        <v>128</v>
      </c>
    </row>
    <row r="15" spans="1:18">
      <c r="A15" s="55">
        <v>12</v>
      </c>
      <c r="B15" s="264">
        <v>45850</v>
      </c>
      <c r="C15" s="6"/>
      <c r="D15" s="6"/>
      <c r="E15" s="77">
        <v>0</v>
      </c>
      <c r="F15" s="6">
        <v>0</v>
      </c>
      <c r="G15" s="78">
        <f t="shared" si="0"/>
        <v>0</v>
      </c>
      <c r="H15" s="77">
        <v>0</v>
      </c>
      <c r="I15" s="6">
        <v>0</v>
      </c>
      <c r="J15" s="78">
        <f t="shared" si="1"/>
        <v>0</v>
      </c>
      <c r="K15" s="78">
        <f t="shared" si="2"/>
        <v>0</v>
      </c>
      <c r="L15" s="182">
        <f t="shared" si="3"/>
        <v>0</v>
      </c>
      <c r="M15" s="168">
        <f t="shared" si="4"/>
        <v>4628.7347000000009</v>
      </c>
      <c r="N15" s="55" t="s">
        <v>128</v>
      </c>
    </row>
    <row r="16" spans="1:18">
      <c r="A16" s="55">
        <v>13</v>
      </c>
      <c r="B16" s="264">
        <v>45851</v>
      </c>
      <c r="C16" s="6"/>
      <c r="D16" s="6"/>
      <c r="E16" s="77">
        <v>39.72</v>
      </c>
      <c r="F16" s="6">
        <v>91.62</v>
      </c>
      <c r="G16" s="78">
        <f t="shared" si="0"/>
        <v>3639.1464000000001</v>
      </c>
      <c r="H16" s="77">
        <v>0</v>
      </c>
      <c r="I16" s="6">
        <v>0</v>
      </c>
      <c r="J16" s="78">
        <f t="shared" si="1"/>
        <v>0</v>
      </c>
      <c r="K16" s="78">
        <f t="shared" si="2"/>
        <v>3639.1464000000001</v>
      </c>
      <c r="L16" s="182">
        <v>0</v>
      </c>
      <c r="M16" s="168">
        <f t="shared" si="4"/>
        <v>8267.8811000000005</v>
      </c>
      <c r="N16" s="55" t="s">
        <v>128</v>
      </c>
    </row>
    <row r="17" spans="1:14">
      <c r="A17" s="55">
        <v>14</v>
      </c>
      <c r="B17" s="264">
        <v>45852</v>
      </c>
      <c r="C17" s="6"/>
      <c r="D17" s="6"/>
      <c r="E17" s="77">
        <v>27.29</v>
      </c>
      <c r="F17" s="6">
        <v>91.62</v>
      </c>
      <c r="G17" s="78">
        <f t="shared" si="0"/>
        <v>2500.3098</v>
      </c>
      <c r="H17" s="77">
        <v>0</v>
      </c>
      <c r="I17" s="6">
        <v>0</v>
      </c>
      <c r="J17" s="78">
        <f t="shared" si="1"/>
        <v>0</v>
      </c>
      <c r="K17" s="78">
        <f t="shared" si="2"/>
        <v>2500.3098</v>
      </c>
      <c r="L17" s="182">
        <v>0</v>
      </c>
      <c r="M17" s="168">
        <f t="shared" si="4"/>
        <v>10768.190900000001</v>
      </c>
      <c r="N17" s="55" t="s">
        <v>128</v>
      </c>
    </row>
    <row r="18" spans="1:14">
      <c r="A18" s="55">
        <v>15</v>
      </c>
      <c r="B18" s="264">
        <v>45853</v>
      </c>
      <c r="C18" s="6"/>
      <c r="D18" s="6"/>
      <c r="E18" s="77">
        <v>50</v>
      </c>
      <c r="F18" s="6">
        <v>91.62</v>
      </c>
      <c r="G18" s="78">
        <f t="shared" si="0"/>
        <v>4581</v>
      </c>
      <c r="H18" s="77">
        <v>0</v>
      </c>
      <c r="I18" s="6">
        <v>0</v>
      </c>
      <c r="J18" s="78">
        <f t="shared" si="1"/>
        <v>0</v>
      </c>
      <c r="K18" s="78">
        <f t="shared" si="2"/>
        <v>4581</v>
      </c>
      <c r="L18" s="182">
        <v>0</v>
      </c>
      <c r="M18" s="168">
        <f t="shared" si="4"/>
        <v>15349.190900000001</v>
      </c>
      <c r="N18" s="55" t="s">
        <v>128</v>
      </c>
    </row>
    <row r="19" spans="1:14">
      <c r="A19" s="55">
        <v>16</v>
      </c>
      <c r="B19" s="264">
        <v>45854</v>
      </c>
      <c r="C19" s="6"/>
      <c r="D19" s="6"/>
      <c r="E19" s="77">
        <v>169.7</v>
      </c>
      <c r="F19" s="6">
        <v>91.62</v>
      </c>
      <c r="G19" s="78">
        <f t="shared" si="0"/>
        <v>15547.913999999999</v>
      </c>
      <c r="H19" s="77">
        <v>38.72</v>
      </c>
      <c r="I19" s="6">
        <v>103.57</v>
      </c>
      <c r="J19" s="78">
        <f t="shared" si="1"/>
        <v>4010.2303999999995</v>
      </c>
      <c r="K19" s="78">
        <f t="shared" si="2"/>
        <v>19558.144399999997</v>
      </c>
      <c r="L19" s="182">
        <v>0</v>
      </c>
      <c r="M19" s="168">
        <f t="shared" si="4"/>
        <v>34907.335299999999</v>
      </c>
      <c r="N19" s="55" t="s">
        <v>128</v>
      </c>
    </row>
    <row r="20" spans="1:14">
      <c r="A20" s="55">
        <v>17</v>
      </c>
      <c r="B20" s="264">
        <v>45855</v>
      </c>
      <c r="C20" s="6"/>
      <c r="D20" s="6"/>
      <c r="E20" s="77">
        <v>50</v>
      </c>
      <c r="F20" s="6">
        <v>91.62</v>
      </c>
      <c r="G20" s="78">
        <f t="shared" si="0"/>
        <v>4581</v>
      </c>
      <c r="H20" s="77">
        <v>0</v>
      </c>
      <c r="I20" s="6">
        <v>0</v>
      </c>
      <c r="J20" s="78">
        <f t="shared" si="1"/>
        <v>0</v>
      </c>
      <c r="K20" s="78">
        <f t="shared" si="2"/>
        <v>4581</v>
      </c>
      <c r="L20" s="182">
        <v>0</v>
      </c>
      <c r="M20" s="168">
        <f t="shared" si="4"/>
        <v>39488.335299999999</v>
      </c>
      <c r="N20" s="55" t="s">
        <v>128</v>
      </c>
    </row>
    <row r="21" spans="1:14">
      <c r="A21" s="55">
        <v>18</v>
      </c>
      <c r="B21" s="264">
        <v>45856</v>
      </c>
      <c r="C21" s="6"/>
      <c r="D21" s="6"/>
      <c r="E21" s="77">
        <v>0</v>
      </c>
      <c r="F21" s="6">
        <v>91.62</v>
      </c>
      <c r="G21" s="78">
        <f t="shared" si="0"/>
        <v>0</v>
      </c>
      <c r="H21" s="77">
        <v>0</v>
      </c>
      <c r="I21" s="6">
        <v>0</v>
      </c>
      <c r="J21" s="78">
        <f t="shared" si="1"/>
        <v>0</v>
      </c>
      <c r="K21" s="78">
        <f t="shared" si="2"/>
        <v>0</v>
      </c>
      <c r="L21" s="182">
        <v>0</v>
      </c>
      <c r="M21" s="168">
        <f t="shared" si="4"/>
        <v>39488.335299999999</v>
      </c>
      <c r="N21" s="55" t="s">
        <v>128</v>
      </c>
    </row>
    <row r="22" spans="1:14">
      <c r="A22" s="55">
        <v>19</v>
      </c>
      <c r="B22" s="264">
        <v>45857</v>
      </c>
      <c r="C22" s="6"/>
      <c r="D22" s="6">
        <v>235.5</v>
      </c>
      <c r="E22" s="77">
        <v>152.75</v>
      </c>
      <c r="F22" s="6">
        <v>91.62</v>
      </c>
      <c r="G22" s="78">
        <f t="shared" si="0"/>
        <v>13994.955</v>
      </c>
      <c r="H22" s="77">
        <v>0.96</v>
      </c>
      <c r="I22" s="6">
        <v>103.57</v>
      </c>
      <c r="J22" s="78">
        <f t="shared" si="1"/>
        <v>99.427199999999985</v>
      </c>
      <c r="K22" s="78">
        <f t="shared" si="2"/>
        <v>14094.3822</v>
      </c>
      <c r="L22" s="182">
        <v>0</v>
      </c>
      <c r="M22" s="168">
        <f t="shared" si="4"/>
        <v>53582.717499999999</v>
      </c>
      <c r="N22" s="55" t="s">
        <v>128</v>
      </c>
    </row>
    <row r="23" spans="1:14">
      <c r="A23" s="55">
        <v>20</v>
      </c>
      <c r="B23" s="264">
        <v>45858</v>
      </c>
      <c r="C23" s="6"/>
      <c r="D23" s="6"/>
      <c r="E23" s="77">
        <v>0</v>
      </c>
      <c r="F23" s="6">
        <v>0</v>
      </c>
      <c r="G23" s="78">
        <f t="shared" si="0"/>
        <v>0</v>
      </c>
      <c r="H23" s="77">
        <v>0</v>
      </c>
      <c r="I23" s="6">
        <v>0</v>
      </c>
      <c r="J23" s="78">
        <f t="shared" si="1"/>
        <v>0</v>
      </c>
      <c r="K23" s="78">
        <f t="shared" si="2"/>
        <v>0</v>
      </c>
      <c r="L23" s="182">
        <f t="shared" si="3"/>
        <v>0</v>
      </c>
      <c r="M23" s="168">
        <f t="shared" si="4"/>
        <v>53582.717499999999</v>
      </c>
      <c r="N23" s="55"/>
    </row>
    <row r="24" spans="1:14">
      <c r="A24" s="55">
        <v>21</v>
      </c>
      <c r="B24" s="264">
        <v>45859</v>
      </c>
      <c r="C24" s="6"/>
      <c r="D24" s="6"/>
      <c r="E24" s="77">
        <v>82.74</v>
      </c>
      <c r="F24" s="6">
        <v>91.62</v>
      </c>
      <c r="G24" s="78">
        <f t="shared" si="0"/>
        <v>7580.6387999999997</v>
      </c>
      <c r="H24" s="77">
        <v>4.82</v>
      </c>
      <c r="I24" s="6">
        <v>103.57</v>
      </c>
      <c r="J24" s="78">
        <f t="shared" si="1"/>
        <v>499.20740000000001</v>
      </c>
      <c r="K24" s="78">
        <f t="shared" si="2"/>
        <v>8079.8462</v>
      </c>
      <c r="L24" s="182">
        <v>0</v>
      </c>
      <c r="M24" s="168">
        <f t="shared" si="4"/>
        <v>61662.563699999999</v>
      </c>
      <c r="N24" s="55"/>
    </row>
    <row r="25" spans="1:14">
      <c r="A25" s="55">
        <v>22</v>
      </c>
      <c r="B25" s="264">
        <v>45860</v>
      </c>
      <c r="C25" s="6"/>
      <c r="D25" s="6"/>
      <c r="E25" s="77">
        <v>131.87</v>
      </c>
      <c r="F25" s="6">
        <v>91.62</v>
      </c>
      <c r="G25" s="78">
        <f t="shared" si="0"/>
        <v>12081.929400000001</v>
      </c>
      <c r="H25" s="77">
        <v>0</v>
      </c>
      <c r="I25" s="6">
        <v>0</v>
      </c>
      <c r="J25" s="78">
        <f t="shared" si="1"/>
        <v>0</v>
      </c>
      <c r="K25" s="78">
        <f t="shared" si="2"/>
        <v>12081.929400000001</v>
      </c>
      <c r="L25" s="182">
        <v>0</v>
      </c>
      <c r="M25" s="168">
        <f t="shared" si="4"/>
        <v>73744.493099999992</v>
      </c>
      <c r="N25" s="55"/>
    </row>
    <row r="26" spans="1:14">
      <c r="A26" s="55">
        <v>23</v>
      </c>
      <c r="B26" s="264">
        <v>45861</v>
      </c>
      <c r="C26" s="6"/>
      <c r="D26" s="6"/>
      <c r="E26" s="77">
        <v>112.74</v>
      </c>
      <c r="F26" s="6">
        <v>91.62</v>
      </c>
      <c r="G26" s="78">
        <f t="shared" si="0"/>
        <v>10329.238799999999</v>
      </c>
      <c r="H26" s="77">
        <v>0</v>
      </c>
      <c r="I26" s="6">
        <v>0</v>
      </c>
      <c r="J26" s="78">
        <f t="shared" si="1"/>
        <v>0</v>
      </c>
      <c r="K26" s="78">
        <f t="shared" si="2"/>
        <v>10329.238799999999</v>
      </c>
      <c r="L26" s="182">
        <v>0</v>
      </c>
      <c r="M26" s="168">
        <f t="shared" si="4"/>
        <v>84073.731899999984</v>
      </c>
      <c r="N26" s="6"/>
    </row>
    <row r="27" spans="1:14">
      <c r="A27" s="55">
        <v>24</v>
      </c>
      <c r="B27" s="264">
        <v>45862</v>
      </c>
      <c r="C27" s="6"/>
      <c r="D27" s="6"/>
      <c r="E27" s="77">
        <v>125</v>
      </c>
      <c r="F27" s="6">
        <v>91.62</v>
      </c>
      <c r="G27" s="78">
        <f t="shared" si="0"/>
        <v>11452.5</v>
      </c>
      <c r="H27" s="77">
        <v>0</v>
      </c>
      <c r="I27" s="6">
        <v>0</v>
      </c>
      <c r="J27" s="78">
        <f t="shared" si="1"/>
        <v>0</v>
      </c>
      <c r="K27" s="78">
        <f t="shared" si="2"/>
        <v>11452.5</v>
      </c>
      <c r="L27" s="182">
        <v>80000</v>
      </c>
      <c r="M27" s="168">
        <f t="shared" si="4"/>
        <v>15526.231899999984</v>
      </c>
      <c r="N27" s="6"/>
    </row>
    <row r="28" spans="1:14">
      <c r="A28" s="266">
        <v>25</v>
      </c>
      <c r="B28" s="264">
        <v>45863</v>
      </c>
      <c r="C28" s="6"/>
      <c r="D28" s="6"/>
      <c r="E28" s="77">
        <v>75</v>
      </c>
      <c r="F28" s="6">
        <v>91.62</v>
      </c>
      <c r="G28" s="78">
        <f t="shared" si="0"/>
        <v>6871.5</v>
      </c>
      <c r="H28" s="77"/>
      <c r="I28" s="6">
        <v>103.57</v>
      </c>
      <c r="J28" s="78">
        <f t="shared" si="1"/>
        <v>0</v>
      </c>
      <c r="K28" s="78">
        <f t="shared" si="2"/>
        <v>6871.5</v>
      </c>
      <c r="L28" s="182">
        <v>0</v>
      </c>
      <c r="M28" s="168">
        <f t="shared" si="4"/>
        <v>22397.731899999984</v>
      </c>
      <c r="N28" s="6"/>
    </row>
    <row r="29" spans="1:14">
      <c r="A29" s="266">
        <v>26</v>
      </c>
      <c r="B29" s="264">
        <v>45864</v>
      </c>
      <c r="C29" s="6"/>
      <c r="D29" s="6"/>
      <c r="E29" s="77">
        <v>0</v>
      </c>
      <c r="F29" s="6">
        <v>0</v>
      </c>
      <c r="G29" s="78">
        <f t="shared" si="0"/>
        <v>0</v>
      </c>
      <c r="H29" s="77">
        <v>0</v>
      </c>
      <c r="I29" s="6">
        <v>0</v>
      </c>
      <c r="J29" s="78">
        <f t="shared" si="1"/>
        <v>0</v>
      </c>
      <c r="K29" s="78">
        <f t="shared" si="2"/>
        <v>0</v>
      </c>
      <c r="L29" s="182">
        <f t="shared" si="3"/>
        <v>0</v>
      </c>
      <c r="M29" s="168">
        <f t="shared" si="4"/>
        <v>22397.731899999984</v>
      </c>
      <c r="N29" s="6"/>
    </row>
    <row r="30" spans="1:14">
      <c r="A30" s="266">
        <v>27</v>
      </c>
      <c r="B30" s="264">
        <v>45865</v>
      </c>
      <c r="C30" s="6"/>
      <c r="D30" s="6"/>
      <c r="E30" s="77">
        <v>0</v>
      </c>
      <c r="F30" s="6">
        <v>0</v>
      </c>
      <c r="G30" s="78">
        <f t="shared" si="0"/>
        <v>0</v>
      </c>
      <c r="H30" s="77">
        <v>4.83</v>
      </c>
      <c r="I30" s="6">
        <v>103.57</v>
      </c>
      <c r="J30" s="78">
        <f t="shared" si="1"/>
        <v>500.24309999999997</v>
      </c>
      <c r="K30" s="78">
        <f t="shared" si="2"/>
        <v>500.24309999999997</v>
      </c>
      <c r="L30" s="182">
        <v>0</v>
      </c>
      <c r="M30" s="168">
        <f t="shared" si="4"/>
        <v>22897.974999999984</v>
      </c>
      <c r="N30" s="6"/>
    </row>
    <row r="31" spans="1:14">
      <c r="A31" s="266">
        <v>28</v>
      </c>
      <c r="B31" s="264">
        <v>45866</v>
      </c>
      <c r="C31" s="6"/>
      <c r="D31" s="6"/>
      <c r="E31" s="77">
        <v>32.74</v>
      </c>
      <c r="F31" s="6">
        <v>91.62</v>
      </c>
      <c r="G31" s="78">
        <f t="shared" si="0"/>
        <v>2999.6388000000002</v>
      </c>
      <c r="H31" s="77">
        <v>0</v>
      </c>
      <c r="I31" s="6">
        <v>0</v>
      </c>
      <c r="J31" s="78">
        <f t="shared" si="1"/>
        <v>0</v>
      </c>
      <c r="K31" s="78">
        <f t="shared" si="2"/>
        <v>2999.6388000000002</v>
      </c>
      <c r="L31" s="182">
        <v>0</v>
      </c>
      <c r="M31" s="168">
        <f t="shared" si="4"/>
        <v>25897.613799999985</v>
      </c>
      <c r="N31" s="6"/>
    </row>
    <row r="32" spans="1:14">
      <c r="A32" s="267">
        <v>29</v>
      </c>
      <c r="B32" s="264">
        <v>45867</v>
      </c>
      <c r="C32" s="6"/>
      <c r="D32" s="6"/>
      <c r="E32" s="77">
        <v>0</v>
      </c>
      <c r="F32" s="6">
        <v>0</v>
      </c>
      <c r="G32" s="78">
        <f t="shared" si="0"/>
        <v>0</v>
      </c>
      <c r="H32" s="77">
        <v>0</v>
      </c>
      <c r="I32" s="6">
        <v>0</v>
      </c>
      <c r="J32" s="78">
        <f t="shared" si="1"/>
        <v>0</v>
      </c>
      <c r="K32" s="78">
        <f t="shared" si="2"/>
        <v>0</v>
      </c>
      <c r="L32" s="182">
        <f t="shared" si="3"/>
        <v>0</v>
      </c>
      <c r="M32" s="168">
        <f t="shared" si="4"/>
        <v>25897.613799999985</v>
      </c>
      <c r="N32" s="6"/>
    </row>
    <row r="33" spans="1:17">
      <c r="A33" s="267">
        <v>30</v>
      </c>
      <c r="B33" s="264">
        <v>45868</v>
      </c>
      <c r="C33" s="6"/>
      <c r="D33" s="6"/>
      <c r="E33" s="77">
        <v>84.53</v>
      </c>
      <c r="F33" s="6">
        <v>91.62</v>
      </c>
      <c r="G33" s="78">
        <f t="shared" si="0"/>
        <v>7744.6386000000002</v>
      </c>
      <c r="H33" s="77">
        <v>0</v>
      </c>
      <c r="I33" s="6">
        <v>0</v>
      </c>
      <c r="J33" s="78">
        <f t="shared" si="1"/>
        <v>0</v>
      </c>
      <c r="K33" s="78">
        <f t="shared" si="2"/>
        <v>7744.6386000000002</v>
      </c>
      <c r="L33" s="182">
        <v>0</v>
      </c>
      <c r="M33" s="168">
        <f t="shared" si="4"/>
        <v>33642.252399999983</v>
      </c>
      <c r="N33" s="6"/>
    </row>
    <row r="34" spans="1:17">
      <c r="A34" s="267">
        <v>31</v>
      </c>
      <c r="B34" s="264">
        <v>45869</v>
      </c>
      <c r="C34" s="6"/>
      <c r="D34" s="6"/>
      <c r="E34" s="77">
        <v>101</v>
      </c>
      <c r="F34" s="6">
        <v>91.62</v>
      </c>
      <c r="G34" s="78">
        <f>E34*F34</f>
        <v>9253.6200000000008</v>
      </c>
      <c r="H34" s="77">
        <v>63.86</v>
      </c>
      <c r="I34" s="6">
        <v>103.57</v>
      </c>
      <c r="J34" s="78">
        <f t="shared" ref="J5:J40" si="5">H34*I34</f>
        <v>6613.9801999999991</v>
      </c>
      <c r="K34" s="78">
        <f>G34+J34</f>
        <v>15867.600200000001</v>
      </c>
      <c r="L34" s="182">
        <v>0</v>
      </c>
      <c r="M34" s="168">
        <f t="shared" si="4"/>
        <v>49509.852599999984</v>
      </c>
      <c r="N34" s="6"/>
    </row>
    <row r="35" spans="1:17">
      <c r="A35" s="6">
        <v>35</v>
      </c>
      <c r="B35" s="91"/>
      <c r="C35" s="6"/>
      <c r="D35" s="6"/>
      <c r="E35" s="77">
        <v>0</v>
      </c>
      <c r="F35" s="6">
        <v>0</v>
      </c>
      <c r="G35" s="78">
        <f t="shared" ref="G5:G40" si="6">E35*F35</f>
        <v>0</v>
      </c>
      <c r="H35" s="77">
        <v>0</v>
      </c>
      <c r="I35" s="6">
        <v>0</v>
      </c>
      <c r="J35" s="78">
        <f t="shared" si="5"/>
        <v>0</v>
      </c>
      <c r="K35" s="78">
        <f t="shared" ref="K5:K40" si="7">G35+J35</f>
        <v>0</v>
      </c>
      <c r="L35" s="182">
        <f t="shared" si="3"/>
        <v>0</v>
      </c>
      <c r="M35" s="168">
        <f t="shared" si="4"/>
        <v>49509.852599999984</v>
      </c>
      <c r="N35" s="6"/>
    </row>
    <row r="36" spans="1:17">
      <c r="A36" s="6">
        <v>36</v>
      </c>
      <c r="B36" s="91"/>
      <c r="C36" s="6"/>
      <c r="D36" s="6"/>
      <c r="E36" s="77">
        <v>0</v>
      </c>
      <c r="F36" s="6">
        <v>0</v>
      </c>
      <c r="G36" s="78">
        <f t="shared" si="6"/>
        <v>0</v>
      </c>
      <c r="H36" s="77">
        <v>0</v>
      </c>
      <c r="I36" s="6">
        <v>0</v>
      </c>
      <c r="J36" s="78">
        <f t="shared" si="5"/>
        <v>0</v>
      </c>
      <c r="K36" s="78">
        <f t="shared" si="7"/>
        <v>0</v>
      </c>
      <c r="L36" s="182">
        <f t="shared" si="3"/>
        <v>0</v>
      </c>
      <c r="M36" s="168">
        <f t="shared" si="4"/>
        <v>49509.852599999984</v>
      </c>
      <c r="N36" s="6"/>
    </row>
    <row r="37" spans="1:17">
      <c r="A37" s="6">
        <v>37</v>
      </c>
      <c r="B37" s="91"/>
      <c r="C37" s="6"/>
      <c r="D37" s="6"/>
      <c r="E37" s="77">
        <v>0</v>
      </c>
      <c r="F37" s="6">
        <v>0</v>
      </c>
      <c r="G37" s="78">
        <f t="shared" si="6"/>
        <v>0</v>
      </c>
      <c r="H37" s="77">
        <v>0</v>
      </c>
      <c r="I37" s="6">
        <v>0</v>
      </c>
      <c r="J37" s="78">
        <f t="shared" si="5"/>
        <v>0</v>
      </c>
      <c r="K37" s="78">
        <f t="shared" si="7"/>
        <v>0</v>
      </c>
      <c r="L37" s="182">
        <f t="shared" si="3"/>
        <v>0</v>
      </c>
      <c r="M37" s="168">
        <f t="shared" si="4"/>
        <v>49509.852599999984</v>
      </c>
      <c r="N37" s="6"/>
    </row>
    <row r="38" spans="1:17">
      <c r="A38" s="6">
        <v>38</v>
      </c>
      <c r="B38" s="91"/>
      <c r="C38" s="6"/>
      <c r="D38" s="6"/>
      <c r="E38" s="77">
        <v>0</v>
      </c>
      <c r="F38" s="6">
        <v>0</v>
      </c>
      <c r="G38" s="78">
        <f t="shared" si="6"/>
        <v>0</v>
      </c>
      <c r="H38" s="77">
        <v>0</v>
      </c>
      <c r="I38" s="6">
        <v>0</v>
      </c>
      <c r="J38" s="78">
        <f t="shared" si="5"/>
        <v>0</v>
      </c>
      <c r="K38" s="78">
        <f t="shared" si="7"/>
        <v>0</v>
      </c>
      <c r="L38" s="182">
        <f t="shared" si="3"/>
        <v>0</v>
      </c>
      <c r="M38" s="168">
        <f t="shared" si="4"/>
        <v>49509.852599999984</v>
      </c>
      <c r="N38" s="6"/>
    </row>
    <row r="39" spans="1:17">
      <c r="A39" s="191">
        <v>39</v>
      </c>
      <c r="B39" s="192"/>
      <c r="C39" s="191"/>
      <c r="D39" s="6"/>
      <c r="E39" s="77">
        <v>0</v>
      </c>
      <c r="F39" s="6">
        <v>0</v>
      </c>
      <c r="G39" s="78">
        <f t="shared" si="6"/>
        <v>0</v>
      </c>
      <c r="H39" s="77">
        <v>0</v>
      </c>
      <c r="I39" s="6">
        <v>0</v>
      </c>
      <c r="J39" s="78">
        <f t="shared" si="5"/>
        <v>0</v>
      </c>
      <c r="K39" s="78">
        <f t="shared" si="7"/>
        <v>0</v>
      </c>
      <c r="L39" s="182">
        <f t="shared" si="3"/>
        <v>0</v>
      </c>
      <c r="M39" s="168">
        <f t="shared" si="4"/>
        <v>49509.852599999984</v>
      </c>
      <c r="N39" s="191"/>
    </row>
    <row r="40" spans="1:17">
      <c r="A40" s="6">
        <v>40</v>
      </c>
      <c r="B40" s="6"/>
      <c r="C40" s="6"/>
      <c r="D40" s="6"/>
      <c r="E40" s="77">
        <v>0</v>
      </c>
      <c r="F40" s="6">
        <v>0</v>
      </c>
      <c r="G40" s="78">
        <f t="shared" si="6"/>
        <v>0</v>
      </c>
      <c r="H40" s="77">
        <v>0</v>
      </c>
      <c r="I40" s="6">
        <v>0</v>
      </c>
      <c r="J40" s="78">
        <f t="shared" si="5"/>
        <v>0</v>
      </c>
      <c r="K40" s="78">
        <f t="shared" si="7"/>
        <v>0</v>
      </c>
      <c r="L40" s="182">
        <f t="shared" si="3"/>
        <v>0</v>
      </c>
      <c r="M40" s="168">
        <f t="shared" si="4"/>
        <v>49509.852599999984</v>
      </c>
      <c r="N40" s="6"/>
    </row>
    <row r="41" spans="1:17">
      <c r="A41" s="191">
        <v>41</v>
      </c>
      <c r="B41" s="191"/>
      <c r="C41" s="191"/>
      <c r="D41" s="6"/>
      <c r="E41" s="77">
        <v>0</v>
      </c>
      <c r="F41" s="6">
        <v>0</v>
      </c>
      <c r="G41" s="78">
        <f t="shared" ref="G5:G42" si="8">E41*F41</f>
        <v>0</v>
      </c>
      <c r="H41" s="77">
        <v>0</v>
      </c>
      <c r="I41" s="6">
        <v>0</v>
      </c>
      <c r="J41" s="78">
        <f t="shared" ref="J5:J42" si="9">H41*I41</f>
        <v>0</v>
      </c>
      <c r="K41" s="78">
        <f t="shared" ref="K5:K42" si="10">G41+J41</f>
        <v>0</v>
      </c>
      <c r="L41" s="182">
        <f t="shared" ref="L5:L42" si="11">+K41</f>
        <v>0</v>
      </c>
      <c r="M41" s="168">
        <f t="shared" si="4"/>
        <v>49509.852599999984</v>
      </c>
      <c r="N41" s="191"/>
    </row>
    <row r="42" spans="1:17">
      <c r="A42" s="191">
        <v>42</v>
      </c>
      <c r="B42" s="191"/>
      <c r="C42" s="191"/>
      <c r="D42" s="6"/>
      <c r="E42" s="77">
        <v>0</v>
      </c>
      <c r="F42" s="6">
        <v>0</v>
      </c>
      <c r="G42" s="78">
        <f t="shared" si="8"/>
        <v>0</v>
      </c>
      <c r="H42" s="77"/>
      <c r="I42" s="6"/>
      <c r="J42" s="78">
        <f t="shared" si="9"/>
        <v>0</v>
      </c>
      <c r="K42" s="193">
        <f t="shared" si="10"/>
        <v>0</v>
      </c>
      <c r="L42" s="194">
        <f t="shared" si="11"/>
        <v>0</v>
      </c>
      <c r="M42" s="195">
        <v>0</v>
      </c>
      <c r="N42" s="191"/>
    </row>
    <row r="43" spans="1:17">
      <c r="A43" s="74"/>
      <c r="B43" s="74"/>
      <c r="C43" s="74"/>
      <c r="D43" s="74"/>
      <c r="E43" s="75">
        <f>SUM(E4:E42)</f>
        <v>1273.28</v>
      </c>
      <c r="F43" s="75"/>
      <c r="G43" s="75">
        <f>SUM(G4:G42)</f>
        <v>116657.91359999999</v>
      </c>
      <c r="H43" s="75">
        <f>SUM(H4:H42)</f>
        <v>118.02</v>
      </c>
      <c r="I43" s="75"/>
      <c r="J43" s="75">
        <f>SUM(J4:J42)</f>
        <v>12223.331399999999</v>
      </c>
      <c r="K43" s="75">
        <f>SUM(K4:K42)</f>
        <v>128881.24500000001</v>
      </c>
      <c r="L43" s="75">
        <f>SUM(L4:L42)</f>
        <v>116000</v>
      </c>
      <c r="M43" s="75"/>
      <c r="N43" s="75"/>
    </row>
    <row r="47" spans="1:17">
      <c r="Q47">
        <v>9542400867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0EFF-7FC6-455A-AFB9-5E2CE46C92B6}">
  <sheetPr>
    <tabColor rgb="FF92D050"/>
  </sheetPr>
  <dimension ref="A1:Q49"/>
  <sheetViews>
    <sheetView workbookViewId="0">
      <selection activeCell="T11" sqref="T11"/>
    </sheetView>
  </sheetViews>
  <sheetFormatPr defaultRowHeight="15"/>
  <cols>
    <col min="2" max="2" width="10.85546875" bestFit="1" customWidth="1"/>
    <col min="4" max="4" width="16.140625" customWidth="1"/>
    <col min="7" max="7" width="11.85546875" bestFit="1" customWidth="1"/>
    <col min="11" max="12" width="16" customWidth="1"/>
    <col min="13" max="13" width="14.42578125" bestFit="1" customWidth="1"/>
    <col min="14" max="14" width="14.7109375" bestFit="1" customWidth="1"/>
  </cols>
  <sheetData>
    <row r="1" spans="1:15" ht="15.75">
      <c r="A1" s="426" t="s">
        <v>86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5"/>
    </row>
    <row r="2" spans="1:15" ht="30.75">
      <c r="A2" s="76" t="s">
        <v>105</v>
      </c>
      <c r="B2" s="96" t="s">
        <v>106</v>
      </c>
      <c r="C2" s="96" t="s">
        <v>107</v>
      </c>
      <c r="D2" s="96" t="s">
        <v>121</v>
      </c>
      <c r="E2" s="96" t="s">
        <v>109</v>
      </c>
      <c r="F2" s="96" t="s">
        <v>110</v>
      </c>
      <c r="G2" s="103" t="s">
        <v>111</v>
      </c>
      <c r="H2" s="96" t="s">
        <v>112</v>
      </c>
      <c r="I2" s="96" t="s">
        <v>110</v>
      </c>
      <c r="J2" s="103" t="s">
        <v>111</v>
      </c>
      <c r="K2" s="76" t="s">
        <v>113</v>
      </c>
      <c r="L2" s="104" t="s">
        <v>114</v>
      </c>
      <c r="M2" s="98" t="s">
        <v>120</v>
      </c>
      <c r="N2" s="96" t="s">
        <v>116</v>
      </c>
      <c r="O2" s="5"/>
    </row>
    <row r="3" spans="1:15">
      <c r="A3" s="440" t="s">
        <v>117</v>
      </c>
      <c r="B3" s="441"/>
      <c r="C3" s="441"/>
      <c r="D3" s="441"/>
      <c r="E3" s="441"/>
      <c r="F3" s="441"/>
      <c r="G3" s="441"/>
      <c r="H3" s="441"/>
      <c r="I3" s="441"/>
      <c r="J3" s="441"/>
      <c r="K3" s="441"/>
      <c r="L3" s="442"/>
      <c r="M3" s="443">
        <v>27514.010399999999</v>
      </c>
      <c r="N3" s="444"/>
      <c r="O3" s="5"/>
    </row>
    <row r="4" spans="1:15">
      <c r="A4" s="229">
        <v>1</v>
      </c>
      <c r="B4" s="264"/>
      <c r="C4" s="6"/>
      <c r="D4" s="6"/>
      <c r="E4" s="77">
        <v>0</v>
      </c>
      <c r="F4" s="6">
        <v>0</v>
      </c>
      <c r="G4" s="78">
        <f>E4*F4</f>
        <v>0</v>
      </c>
      <c r="H4" s="77">
        <v>0</v>
      </c>
      <c r="I4" s="6">
        <v>0</v>
      </c>
      <c r="J4" s="78">
        <f>H4*I4</f>
        <v>0</v>
      </c>
      <c r="K4" s="78">
        <f>G4+J4</f>
        <v>0</v>
      </c>
      <c r="L4" s="377">
        <f>8600+500+500+9000+914.5</f>
        <v>19514.5</v>
      </c>
      <c r="M4" s="168">
        <f>M3+K4-L4</f>
        <v>7999.5103999999992</v>
      </c>
      <c r="N4" s="55" t="s">
        <v>128</v>
      </c>
      <c r="O4" s="5"/>
    </row>
    <row r="5" spans="1:15">
      <c r="A5" s="55">
        <v>2</v>
      </c>
      <c r="B5" s="264" t="s">
        <v>129</v>
      </c>
      <c r="C5" s="6"/>
      <c r="D5" s="6"/>
      <c r="E5" s="77">
        <v>0</v>
      </c>
      <c r="F5" s="6">
        <v>0</v>
      </c>
      <c r="G5" s="78">
        <f t="shared" ref="G5:G37" si="0">E5*F5</f>
        <v>0</v>
      </c>
      <c r="H5" s="77">
        <v>0</v>
      </c>
      <c r="I5" s="6">
        <v>0</v>
      </c>
      <c r="J5" s="78">
        <f t="shared" ref="J5:J37" si="1">H5*I5</f>
        <v>0</v>
      </c>
      <c r="K5" s="78">
        <f t="shared" ref="K5:L37" si="2">G5+J5</f>
        <v>0</v>
      </c>
      <c r="L5" s="182">
        <v>8000</v>
      </c>
      <c r="M5" s="168">
        <f t="shared" ref="M5:M46" si="3">M4+K5-L5</f>
        <v>-0.48960000000079162</v>
      </c>
      <c r="N5" s="55" t="s">
        <v>128</v>
      </c>
      <c r="O5" s="5"/>
    </row>
    <row r="6" spans="1:15">
      <c r="A6" s="55">
        <v>3</v>
      </c>
      <c r="B6" s="264" t="s">
        <v>130</v>
      </c>
      <c r="C6" s="6"/>
      <c r="D6" s="6"/>
      <c r="E6" s="77">
        <v>0</v>
      </c>
      <c r="F6" s="6">
        <v>0</v>
      </c>
      <c r="G6" s="78">
        <f t="shared" si="0"/>
        <v>0</v>
      </c>
      <c r="H6" s="77">
        <v>9.66</v>
      </c>
      <c r="I6" s="6">
        <v>103.39</v>
      </c>
      <c r="J6" s="78">
        <f t="shared" si="1"/>
        <v>998.74739999999997</v>
      </c>
      <c r="K6" s="78">
        <f t="shared" si="2"/>
        <v>998.74739999999997</v>
      </c>
      <c r="L6" s="182">
        <v>0</v>
      </c>
      <c r="M6" s="168">
        <f t="shared" si="3"/>
        <v>998.25779999999918</v>
      </c>
      <c r="N6" s="55" t="s">
        <v>128</v>
      </c>
      <c r="O6" s="5"/>
    </row>
    <row r="7" spans="1:15">
      <c r="A7" s="229">
        <v>4</v>
      </c>
      <c r="B7" s="264" t="s">
        <v>131</v>
      </c>
      <c r="C7" s="6"/>
      <c r="D7" s="6"/>
      <c r="E7" s="77">
        <v>86.54</v>
      </c>
      <c r="F7" s="6">
        <v>91.45</v>
      </c>
      <c r="G7" s="78">
        <f t="shared" si="0"/>
        <v>7914.0830000000005</v>
      </c>
      <c r="H7" s="77">
        <v>0</v>
      </c>
      <c r="I7" s="6">
        <v>0</v>
      </c>
      <c r="J7" s="78">
        <f t="shared" si="1"/>
        <v>0</v>
      </c>
      <c r="K7" s="78">
        <f t="shared" si="2"/>
        <v>7914.0830000000005</v>
      </c>
      <c r="L7" s="182"/>
      <c r="M7" s="168">
        <f t="shared" si="3"/>
        <v>8912.3407999999999</v>
      </c>
      <c r="N7" s="55" t="s">
        <v>128</v>
      </c>
      <c r="O7" s="5"/>
    </row>
    <row r="8" spans="1:15">
      <c r="A8" s="55">
        <v>5</v>
      </c>
      <c r="B8" s="264" t="s">
        <v>132</v>
      </c>
      <c r="C8" s="6"/>
      <c r="D8" s="6"/>
      <c r="E8" s="77">
        <v>164.01</v>
      </c>
      <c r="F8" s="6">
        <v>91.45</v>
      </c>
      <c r="G8" s="78">
        <f t="shared" si="0"/>
        <v>14998.7145</v>
      </c>
      <c r="H8" s="77">
        <v>0</v>
      </c>
      <c r="I8" s="6">
        <v>0</v>
      </c>
      <c r="J8" s="78">
        <f t="shared" si="1"/>
        <v>0</v>
      </c>
      <c r="K8" s="78">
        <f t="shared" si="2"/>
        <v>14998.7145</v>
      </c>
      <c r="L8" s="182">
        <v>9414.5</v>
      </c>
      <c r="M8" s="168">
        <f t="shared" si="3"/>
        <v>14496.5553</v>
      </c>
      <c r="N8" s="55" t="s">
        <v>128</v>
      </c>
      <c r="O8" s="5"/>
    </row>
    <row r="9" spans="1:15">
      <c r="A9" s="55">
        <v>6</v>
      </c>
      <c r="B9" s="264" t="s">
        <v>133</v>
      </c>
      <c r="C9" s="6"/>
      <c r="D9" s="6"/>
      <c r="E9" s="77">
        <v>43.74</v>
      </c>
      <c r="F9" s="6">
        <v>91.45</v>
      </c>
      <c r="G9" s="78">
        <f t="shared" si="0"/>
        <v>4000.0230000000001</v>
      </c>
      <c r="H9" s="77">
        <v>0</v>
      </c>
      <c r="I9" s="6">
        <v>0</v>
      </c>
      <c r="J9" s="78">
        <f t="shared" si="1"/>
        <v>0</v>
      </c>
      <c r="K9" s="78">
        <f t="shared" si="2"/>
        <v>4000.0230000000001</v>
      </c>
      <c r="L9" s="182">
        <v>0</v>
      </c>
      <c r="M9" s="168">
        <f t="shared" si="3"/>
        <v>18496.578300000001</v>
      </c>
      <c r="N9" s="55" t="s">
        <v>128</v>
      </c>
      <c r="O9" s="5"/>
    </row>
    <row r="10" spans="1:15">
      <c r="A10" s="229">
        <v>7</v>
      </c>
      <c r="B10" s="264" t="s">
        <v>134</v>
      </c>
      <c r="C10" s="6"/>
      <c r="D10" s="6"/>
      <c r="E10" s="77">
        <v>109.34</v>
      </c>
      <c r="F10" s="6">
        <v>91.45</v>
      </c>
      <c r="G10" s="78">
        <f t="shared" si="0"/>
        <v>9999.143</v>
      </c>
      <c r="H10" s="77">
        <v>0</v>
      </c>
      <c r="I10" s="6">
        <v>0</v>
      </c>
      <c r="J10" s="78">
        <f t="shared" si="1"/>
        <v>0</v>
      </c>
      <c r="K10" s="78">
        <f t="shared" si="2"/>
        <v>9999.143</v>
      </c>
      <c r="L10" s="182">
        <v>0</v>
      </c>
      <c r="M10" s="168">
        <f t="shared" si="3"/>
        <v>28495.721300000001</v>
      </c>
      <c r="N10" s="55" t="s">
        <v>128</v>
      </c>
      <c r="O10" s="5"/>
    </row>
    <row r="11" spans="1:15">
      <c r="A11" s="55">
        <v>8</v>
      </c>
      <c r="B11" s="264" t="s">
        <v>156</v>
      </c>
      <c r="C11" s="6"/>
      <c r="D11" s="6"/>
      <c r="E11" s="77">
        <v>38.270000000000003</v>
      </c>
      <c r="F11" s="6">
        <v>91.45</v>
      </c>
      <c r="G11" s="78">
        <f t="shared" si="0"/>
        <v>3499.7915000000003</v>
      </c>
      <c r="H11" s="77">
        <v>0</v>
      </c>
      <c r="I11" s="6">
        <v>0</v>
      </c>
      <c r="J11" s="78">
        <f t="shared" si="1"/>
        <v>0</v>
      </c>
      <c r="K11" s="78">
        <f t="shared" si="2"/>
        <v>3499.7915000000003</v>
      </c>
      <c r="L11" s="182">
        <v>27500</v>
      </c>
      <c r="M11" s="168">
        <f t="shared" si="3"/>
        <v>4495.5128000000004</v>
      </c>
      <c r="N11" s="55" t="s">
        <v>128</v>
      </c>
      <c r="O11" s="5"/>
    </row>
    <row r="12" spans="1:15">
      <c r="A12" s="55">
        <v>9</v>
      </c>
      <c r="B12" s="264" t="s">
        <v>135</v>
      </c>
      <c r="C12" s="6"/>
      <c r="D12" s="6"/>
      <c r="E12" s="77">
        <v>109.34</v>
      </c>
      <c r="F12" s="6">
        <v>91.45</v>
      </c>
      <c r="G12" s="78">
        <f t="shared" si="0"/>
        <v>9999.143</v>
      </c>
      <c r="H12" s="77">
        <v>0</v>
      </c>
      <c r="I12" s="6">
        <v>0</v>
      </c>
      <c r="J12" s="78">
        <f t="shared" si="1"/>
        <v>0</v>
      </c>
      <c r="K12" s="78">
        <f t="shared" si="2"/>
        <v>9999.143</v>
      </c>
      <c r="L12" s="182">
        <v>0</v>
      </c>
      <c r="M12" s="168">
        <f t="shared" si="3"/>
        <v>14494.6558</v>
      </c>
      <c r="N12" s="55" t="s">
        <v>128</v>
      </c>
      <c r="O12" s="5"/>
    </row>
    <row r="13" spans="1:15">
      <c r="A13" s="229">
        <v>10</v>
      </c>
      <c r="B13" s="264" t="s">
        <v>136</v>
      </c>
      <c r="C13" s="6"/>
      <c r="D13" s="6"/>
      <c r="E13" s="77">
        <v>123.42</v>
      </c>
      <c r="F13" s="6">
        <v>91.45</v>
      </c>
      <c r="G13" s="78">
        <f t="shared" si="0"/>
        <v>11286.759</v>
      </c>
      <c r="H13" s="77">
        <v>4.83</v>
      </c>
      <c r="I13" s="6">
        <v>103.39</v>
      </c>
      <c r="J13" s="78">
        <f t="shared" si="1"/>
        <v>499.37369999999999</v>
      </c>
      <c r="K13" s="78">
        <f t="shared" si="2"/>
        <v>11786.1327</v>
      </c>
      <c r="L13" s="377">
        <f>914.5+3000+1371.75+5000+7000+9000+506</f>
        <v>26792.25</v>
      </c>
      <c r="M13" s="168">
        <f t="shared" si="3"/>
        <v>-511.46149999999761</v>
      </c>
      <c r="N13" s="55" t="s">
        <v>128</v>
      </c>
      <c r="O13" s="5"/>
    </row>
    <row r="14" spans="1:15">
      <c r="A14" s="55">
        <v>11</v>
      </c>
      <c r="B14" s="264" t="s">
        <v>137</v>
      </c>
      <c r="C14" s="6"/>
      <c r="D14" s="6"/>
      <c r="E14" s="77">
        <v>239.32</v>
      </c>
      <c r="F14" s="6">
        <v>91.45</v>
      </c>
      <c r="G14" s="78">
        <f t="shared" si="0"/>
        <v>21885.813999999998</v>
      </c>
      <c r="H14" s="77">
        <v>0</v>
      </c>
      <c r="I14" s="6">
        <v>0</v>
      </c>
      <c r="J14" s="78">
        <f t="shared" si="1"/>
        <v>0</v>
      </c>
      <c r="K14" s="78">
        <f t="shared" si="2"/>
        <v>21885.813999999998</v>
      </c>
      <c r="L14" s="182">
        <v>21885.81</v>
      </c>
      <c r="M14" s="168">
        <f t="shared" si="3"/>
        <v>-511.45750000000044</v>
      </c>
      <c r="N14" s="55" t="s">
        <v>128</v>
      </c>
      <c r="O14" s="5"/>
    </row>
    <row r="15" spans="1:15">
      <c r="A15" s="55">
        <v>12</v>
      </c>
      <c r="B15" s="264" t="s">
        <v>138</v>
      </c>
      <c r="C15" s="6"/>
      <c r="D15" s="6"/>
      <c r="E15" s="77">
        <v>65.62</v>
      </c>
      <c r="F15" s="6">
        <v>91.45</v>
      </c>
      <c r="G15" s="78">
        <f t="shared" si="0"/>
        <v>6000.9490000000005</v>
      </c>
      <c r="H15" s="77">
        <v>0</v>
      </c>
      <c r="I15" s="6">
        <v>0</v>
      </c>
      <c r="J15" s="78">
        <f t="shared" si="1"/>
        <v>0</v>
      </c>
      <c r="K15" s="78">
        <f t="shared" si="2"/>
        <v>6000.9490000000005</v>
      </c>
      <c r="L15" s="182">
        <v>6000.95</v>
      </c>
      <c r="M15" s="168">
        <f t="shared" si="3"/>
        <v>-511.45849999999973</v>
      </c>
      <c r="N15" s="55" t="s">
        <v>128</v>
      </c>
      <c r="O15" s="5"/>
    </row>
    <row r="16" spans="1:15">
      <c r="A16" s="229">
        <v>13</v>
      </c>
      <c r="B16" s="264" t="s">
        <v>139</v>
      </c>
      <c r="C16" s="6"/>
      <c r="D16" s="6"/>
      <c r="E16" s="77">
        <v>98.410000000000011</v>
      </c>
      <c r="F16" s="6">
        <v>91.45</v>
      </c>
      <c r="G16" s="78">
        <f t="shared" si="0"/>
        <v>8999.5945000000011</v>
      </c>
      <c r="H16" s="77">
        <v>0</v>
      </c>
      <c r="I16" s="6">
        <v>103.39</v>
      </c>
      <c r="J16" s="78">
        <f t="shared" si="1"/>
        <v>0</v>
      </c>
      <c r="K16" s="78">
        <f t="shared" si="2"/>
        <v>8999.5945000000011</v>
      </c>
      <c r="L16" s="182">
        <v>9000</v>
      </c>
      <c r="M16" s="168">
        <f t="shared" si="3"/>
        <v>-511.86399999999776</v>
      </c>
      <c r="N16" s="55" t="s">
        <v>128</v>
      </c>
      <c r="O16" s="5"/>
    </row>
    <row r="17" spans="1:17">
      <c r="A17" s="55">
        <v>14</v>
      </c>
      <c r="B17" s="264" t="s">
        <v>140</v>
      </c>
      <c r="C17" s="6"/>
      <c r="D17" s="6"/>
      <c r="E17" s="77">
        <f>32.8+76.54</f>
        <v>109.34</v>
      </c>
      <c r="F17" s="6">
        <v>91.45</v>
      </c>
      <c r="G17" s="78">
        <f t="shared" si="0"/>
        <v>9999.143</v>
      </c>
      <c r="H17" s="77">
        <v>4.84</v>
      </c>
      <c r="I17" s="6">
        <v>103.39</v>
      </c>
      <c r="J17" s="78">
        <f t="shared" si="1"/>
        <v>500.4076</v>
      </c>
      <c r="K17" s="78">
        <f t="shared" si="2"/>
        <v>10499.5506</v>
      </c>
      <c r="L17" s="182">
        <v>10499.55</v>
      </c>
      <c r="M17" s="168">
        <f t="shared" si="3"/>
        <v>-511.86339999999655</v>
      </c>
      <c r="N17" s="55" t="s">
        <v>128</v>
      </c>
      <c r="O17" s="5"/>
    </row>
    <row r="18" spans="1:17">
      <c r="A18" s="55">
        <v>15</v>
      </c>
      <c r="B18" s="264" t="s">
        <v>141</v>
      </c>
      <c r="C18" s="6"/>
      <c r="D18" s="6"/>
      <c r="E18" s="77">
        <v>10</v>
      </c>
      <c r="F18" s="6">
        <v>91.45</v>
      </c>
      <c r="G18" s="78">
        <f t="shared" si="0"/>
        <v>914.5</v>
      </c>
      <c r="H18" s="77">
        <v>0</v>
      </c>
      <c r="I18" s="6">
        <v>0</v>
      </c>
      <c r="J18" s="78">
        <f t="shared" si="1"/>
        <v>0</v>
      </c>
      <c r="K18" s="78">
        <f t="shared" si="2"/>
        <v>914.5</v>
      </c>
      <c r="L18" s="182">
        <f t="shared" ref="L18:L37" si="4">+K18</f>
        <v>914.5</v>
      </c>
      <c r="M18" s="168">
        <f t="shared" si="3"/>
        <v>-511.86339999999655</v>
      </c>
      <c r="N18" s="55" t="s">
        <v>128</v>
      </c>
      <c r="O18" s="5"/>
    </row>
    <row r="19" spans="1:17">
      <c r="A19" s="229">
        <v>16</v>
      </c>
      <c r="B19" s="264" t="s">
        <v>142</v>
      </c>
      <c r="C19" s="6"/>
      <c r="D19" s="6"/>
      <c r="E19" s="77">
        <v>142.80000000000001</v>
      </c>
      <c r="F19" s="6">
        <v>91.45</v>
      </c>
      <c r="G19" s="78">
        <f>E19*F19</f>
        <v>13059.060000000001</v>
      </c>
      <c r="H19" s="77">
        <v>0</v>
      </c>
      <c r="I19" s="6">
        <v>0</v>
      </c>
      <c r="J19" s="78">
        <f t="shared" si="1"/>
        <v>0</v>
      </c>
      <c r="K19" s="78">
        <f t="shared" si="2"/>
        <v>13059.060000000001</v>
      </c>
      <c r="L19" s="182">
        <v>13059</v>
      </c>
      <c r="M19" s="168">
        <f t="shared" si="3"/>
        <v>-511.80339999999524</v>
      </c>
      <c r="N19" s="55" t="s">
        <v>128</v>
      </c>
      <c r="O19" s="5"/>
    </row>
    <row r="20" spans="1:17">
      <c r="A20" s="55">
        <v>17</v>
      </c>
      <c r="B20" s="264" t="s">
        <v>143</v>
      </c>
      <c r="C20" s="6"/>
      <c r="D20" s="6"/>
      <c r="E20" s="77">
        <v>218.68</v>
      </c>
      <c r="F20" s="6">
        <v>91.45</v>
      </c>
      <c r="G20" s="78">
        <f t="shared" si="0"/>
        <v>19998.286</v>
      </c>
      <c r="H20" s="77">
        <v>4.83</v>
      </c>
      <c r="I20" s="6">
        <v>103.39</v>
      </c>
      <c r="J20" s="78">
        <f t="shared" si="1"/>
        <v>499.37369999999999</v>
      </c>
      <c r="K20" s="78">
        <f t="shared" si="2"/>
        <v>20497.6597</v>
      </c>
      <c r="L20" s="182">
        <v>20497.66</v>
      </c>
      <c r="M20" s="168">
        <f t="shared" si="3"/>
        <v>-511.80369999999311</v>
      </c>
      <c r="N20" s="55" t="s">
        <v>128</v>
      </c>
      <c r="O20" s="5"/>
    </row>
    <row r="21" spans="1:17">
      <c r="A21" s="55">
        <v>18</v>
      </c>
      <c r="B21" s="264" t="s">
        <v>144</v>
      </c>
      <c r="C21" s="6"/>
      <c r="D21" s="6"/>
      <c r="E21" s="77">
        <v>0</v>
      </c>
      <c r="F21" s="6">
        <v>0</v>
      </c>
      <c r="G21" s="78">
        <f t="shared" si="0"/>
        <v>0</v>
      </c>
      <c r="H21" s="77">
        <v>0</v>
      </c>
      <c r="I21" s="6">
        <v>0</v>
      </c>
      <c r="J21" s="78">
        <f t="shared" si="1"/>
        <v>0</v>
      </c>
      <c r="K21" s="78">
        <f t="shared" si="2"/>
        <v>0</v>
      </c>
      <c r="L21" s="182">
        <f t="shared" si="4"/>
        <v>0</v>
      </c>
      <c r="M21" s="168">
        <f t="shared" si="3"/>
        <v>-511.80369999999311</v>
      </c>
      <c r="N21" s="55" t="s">
        <v>128</v>
      </c>
      <c r="O21" s="5"/>
      <c r="Q21">
        <f>76.54*91.45</f>
        <v>6999.5830000000005</v>
      </c>
    </row>
    <row r="22" spans="1:17">
      <c r="A22" s="229">
        <v>19</v>
      </c>
      <c r="B22" s="264" t="s">
        <v>145</v>
      </c>
      <c r="C22" s="6"/>
      <c r="D22" s="6"/>
      <c r="E22" s="77">
        <v>187.47</v>
      </c>
      <c r="F22" s="6">
        <v>91.45</v>
      </c>
      <c r="G22" s="78">
        <f t="shared" si="0"/>
        <v>17144.1315</v>
      </c>
      <c r="H22" s="77">
        <v>4.83</v>
      </c>
      <c r="I22" s="6">
        <v>103.39</v>
      </c>
      <c r="J22" s="78">
        <f t="shared" si="1"/>
        <v>499.37369999999999</v>
      </c>
      <c r="K22" s="78">
        <f t="shared" si="2"/>
        <v>17643.5052</v>
      </c>
      <c r="L22" s="182">
        <v>14643.51</v>
      </c>
      <c r="M22" s="168">
        <f t="shared" si="3"/>
        <v>2488.1915000000063</v>
      </c>
      <c r="N22" s="55" t="s">
        <v>128</v>
      </c>
      <c r="O22" s="5"/>
    </row>
    <row r="23" spans="1:17">
      <c r="A23" s="55">
        <v>20</v>
      </c>
      <c r="B23" s="264" t="s">
        <v>146</v>
      </c>
      <c r="C23" s="6"/>
      <c r="D23" s="6"/>
      <c r="E23" s="77">
        <v>163.08000000000001</v>
      </c>
      <c r="F23" s="6">
        <v>91.45</v>
      </c>
      <c r="G23" s="78">
        <f t="shared" si="0"/>
        <v>14913.666000000001</v>
      </c>
      <c r="H23" s="77">
        <v>0</v>
      </c>
      <c r="I23" s="6">
        <v>0</v>
      </c>
      <c r="J23" s="78">
        <f t="shared" si="1"/>
        <v>0</v>
      </c>
      <c r="K23" s="78">
        <f t="shared" si="2"/>
        <v>14913.666000000001</v>
      </c>
      <c r="L23" s="182">
        <v>0</v>
      </c>
      <c r="M23" s="168">
        <f t="shared" si="3"/>
        <v>17401.857500000006</v>
      </c>
      <c r="N23" s="55" t="s">
        <v>128</v>
      </c>
      <c r="O23" s="5"/>
    </row>
    <row r="24" spans="1:17">
      <c r="A24" s="55">
        <v>21</v>
      </c>
      <c r="B24" s="264" t="s">
        <v>147</v>
      </c>
      <c r="C24" s="6"/>
      <c r="D24" s="6"/>
      <c r="E24" s="77">
        <v>45.18</v>
      </c>
      <c r="F24" s="6">
        <v>91.45</v>
      </c>
      <c r="G24" s="78">
        <f t="shared" si="0"/>
        <v>4131.7110000000002</v>
      </c>
      <c r="H24" s="77">
        <v>0</v>
      </c>
      <c r="I24" s="6">
        <v>0</v>
      </c>
      <c r="J24" s="78">
        <f t="shared" si="1"/>
        <v>0</v>
      </c>
      <c r="K24" s="78">
        <f t="shared" si="2"/>
        <v>4131.7110000000002</v>
      </c>
      <c r="L24" s="182">
        <v>0</v>
      </c>
      <c r="M24" s="168">
        <f t="shared" si="3"/>
        <v>21533.568500000005</v>
      </c>
      <c r="N24" s="55" t="s">
        <v>128</v>
      </c>
      <c r="O24" s="5"/>
    </row>
    <row r="25" spans="1:17">
      <c r="A25" s="229">
        <v>22</v>
      </c>
      <c r="B25" s="264" t="s">
        <v>148</v>
      </c>
      <c r="C25" s="6"/>
      <c r="D25" s="6"/>
      <c r="E25" s="77">
        <v>239.61</v>
      </c>
      <c r="F25" s="6">
        <v>91.45</v>
      </c>
      <c r="G25" s="78">
        <f t="shared" si="0"/>
        <v>21912.334500000001</v>
      </c>
      <c r="H25" s="77">
        <v>4.83</v>
      </c>
      <c r="I25" s="6">
        <v>103.39</v>
      </c>
      <c r="J25" s="78">
        <f t="shared" si="1"/>
        <v>499.37369999999999</v>
      </c>
      <c r="K25" s="78">
        <f>G25+J25</f>
        <v>22411.708200000001</v>
      </c>
      <c r="L25" s="182">
        <v>29830</v>
      </c>
      <c r="M25" s="168">
        <f t="shared" si="3"/>
        <v>14115.276700000002</v>
      </c>
      <c r="N25" s="55" t="s">
        <v>128</v>
      </c>
      <c r="O25" s="5"/>
    </row>
    <row r="26" spans="1:17">
      <c r="A26" s="55">
        <v>23</v>
      </c>
      <c r="B26" s="264" t="s">
        <v>149</v>
      </c>
      <c r="C26" s="6"/>
      <c r="D26" s="6"/>
      <c r="E26" s="77">
        <v>128.24</v>
      </c>
      <c r="F26" s="6">
        <v>91.45</v>
      </c>
      <c r="G26" s="78">
        <f t="shared" si="0"/>
        <v>11727.548000000001</v>
      </c>
      <c r="H26" s="77">
        <v>4.83</v>
      </c>
      <c r="I26" s="6">
        <v>103.39</v>
      </c>
      <c r="J26" s="78">
        <f t="shared" si="1"/>
        <v>499.37369999999999</v>
      </c>
      <c r="K26" s="78">
        <f t="shared" si="2"/>
        <v>12226.921700000001</v>
      </c>
      <c r="L26" s="182">
        <v>14631.71</v>
      </c>
      <c r="M26" s="168">
        <f t="shared" si="3"/>
        <v>11710.488400000002</v>
      </c>
      <c r="N26" s="55" t="s">
        <v>128</v>
      </c>
      <c r="O26" s="5">
        <v>14616</v>
      </c>
    </row>
    <row r="27" spans="1:17">
      <c r="A27" s="55">
        <v>24</v>
      </c>
      <c r="B27" s="264" t="s">
        <v>157</v>
      </c>
      <c r="C27" s="6"/>
      <c r="D27" s="6"/>
      <c r="E27" s="77">
        <v>32.799999999999997</v>
      </c>
      <c r="F27" s="6">
        <v>91.45</v>
      </c>
      <c r="G27" s="78">
        <f t="shared" si="0"/>
        <v>2999.56</v>
      </c>
      <c r="H27" s="77">
        <v>0</v>
      </c>
      <c r="I27" s="6">
        <v>0</v>
      </c>
      <c r="J27" s="78">
        <f t="shared" si="1"/>
        <v>0</v>
      </c>
      <c r="K27" s="78">
        <f t="shared" si="2"/>
        <v>2999.56</v>
      </c>
      <c r="L27" s="182">
        <v>0</v>
      </c>
      <c r="M27" s="168">
        <f t="shared" si="3"/>
        <v>14710.048400000001</v>
      </c>
      <c r="N27" s="55" t="s">
        <v>128</v>
      </c>
      <c r="O27" s="5"/>
    </row>
    <row r="28" spans="1:17">
      <c r="A28" s="229">
        <v>25</v>
      </c>
      <c r="B28" s="264" t="s">
        <v>150</v>
      </c>
      <c r="C28" s="6"/>
      <c r="D28" s="6"/>
      <c r="E28" s="77">
        <v>32.799999999999997</v>
      </c>
      <c r="F28" s="6">
        <v>91.45</v>
      </c>
      <c r="G28" s="78">
        <f t="shared" si="0"/>
        <v>2999.56</v>
      </c>
      <c r="H28" s="77">
        <v>0</v>
      </c>
      <c r="I28" s="6">
        <v>0</v>
      </c>
      <c r="J28" s="78">
        <f t="shared" si="1"/>
        <v>0</v>
      </c>
      <c r="K28" s="78">
        <f t="shared" si="2"/>
        <v>2999.56</v>
      </c>
      <c r="L28" s="182">
        <v>12228</v>
      </c>
      <c r="M28" s="168">
        <f t="shared" si="3"/>
        <v>5481.608400000001</v>
      </c>
      <c r="N28" s="55" t="s">
        <v>128</v>
      </c>
      <c r="O28" s="5"/>
    </row>
    <row r="29" spans="1:17">
      <c r="A29" s="55">
        <v>26</v>
      </c>
      <c r="B29" s="264" t="s">
        <v>151</v>
      </c>
      <c r="C29" s="6"/>
      <c r="D29" s="6"/>
      <c r="E29" s="77">
        <v>183.71</v>
      </c>
      <c r="F29" s="6">
        <v>91.45</v>
      </c>
      <c r="G29" s="78">
        <f t="shared" si="0"/>
        <v>16800.279500000001</v>
      </c>
      <c r="H29" s="77">
        <v>0</v>
      </c>
      <c r="I29" s="6">
        <v>0</v>
      </c>
      <c r="J29" s="78">
        <f t="shared" si="1"/>
        <v>0</v>
      </c>
      <c r="K29" s="78">
        <f t="shared" si="2"/>
        <v>16800.279500000001</v>
      </c>
      <c r="L29" s="182">
        <v>0</v>
      </c>
      <c r="M29" s="168">
        <f t="shared" si="3"/>
        <v>22281.887900000002</v>
      </c>
      <c r="N29" s="55" t="s">
        <v>128</v>
      </c>
      <c r="O29" s="5"/>
    </row>
    <row r="30" spans="1:17">
      <c r="A30" s="55"/>
      <c r="B30" s="264" t="s">
        <v>152</v>
      </c>
      <c r="C30" s="6"/>
      <c r="D30" s="6"/>
      <c r="E30" s="77">
        <v>32.799999999999997</v>
      </c>
      <c r="F30" s="6">
        <v>91.45</v>
      </c>
      <c r="G30" s="78">
        <f t="shared" si="0"/>
        <v>2999.56</v>
      </c>
      <c r="H30" s="77">
        <v>0</v>
      </c>
      <c r="I30" s="6">
        <v>0</v>
      </c>
      <c r="J30" s="78">
        <f t="shared" si="1"/>
        <v>0</v>
      </c>
      <c r="K30" s="78">
        <f t="shared" si="2"/>
        <v>2999.56</v>
      </c>
      <c r="L30" s="182">
        <v>0</v>
      </c>
      <c r="M30" s="168">
        <f t="shared" si="3"/>
        <v>25281.447900000003</v>
      </c>
      <c r="N30" s="55" t="s">
        <v>128</v>
      </c>
      <c r="O30" s="5"/>
    </row>
    <row r="31" spans="1:17">
      <c r="A31" s="55">
        <v>27</v>
      </c>
      <c r="B31" s="264" t="s">
        <v>159</v>
      </c>
      <c r="C31" s="6"/>
      <c r="D31" s="6"/>
      <c r="E31" s="77">
        <v>76.540000000000006</v>
      </c>
      <c r="F31" s="6">
        <v>91.45</v>
      </c>
      <c r="G31" s="78">
        <f t="shared" si="0"/>
        <v>6999.5830000000005</v>
      </c>
      <c r="H31" s="77">
        <v>4.83</v>
      </c>
      <c r="I31" s="6">
        <v>103.39</v>
      </c>
      <c r="J31" s="78">
        <f t="shared" si="1"/>
        <v>499.37369999999999</v>
      </c>
      <c r="K31" s="78">
        <f t="shared" si="2"/>
        <v>7498.9567000000006</v>
      </c>
      <c r="L31" s="182">
        <v>0</v>
      </c>
      <c r="M31" s="168">
        <f t="shared" si="3"/>
        <v>32780.404600000002</v>
      </c>
      <c r="N31" s="55" t="s">
        <v>128</v>
      </c>
      <c r="O31" s="5"/>
    </row>
    <row r="32" spans="1:17">
      <c r="A32" s="229">
        <v>28</v>
      </c>
      <c r="B32" s="264" t="s">
        <v>158</v>
      </c>
      <c r="C32" s="6"/>
      <c r="D32" s="6"/>
      <c r="E32" s="77">
        <v>0</v>
      </c>
      <c r="F32" s="6">
        <v>0</v>
      </c>
      <c r="G32" s="78">
        <f t="shared" si="0"/>
        <v>0</v>
      </c>
      <c r="H32" s="77">
        <v>4.83</v>
      </c>
      <c r="I32" s="6">
        <v>103.39</v>
      </c>
      <c r="J32" s="78">
        <f t="shared" si="1"/>
        <v>499.37369999999999</v>
      </c>
      <c r="K32" s="78">
        <f t="shared" si="2"/>
        <v>499.37369999999999</v>
      </c>
      <c r="L32" s="182">
        <v>14000</v>
      </c>
      <c r="M32" s="168">
        <f t="shared" si="3"/>
        <v>19279.778299999998</v>
      </c>
      <c r="N32" s="55" t="s">
        <v>128</v>
      </c>
      <c r="O32" s="5"/>
    </row>
    <row r="33" spans="1:15">
      <c r="A33" s="55">
        <v>29</v>
      </c>
      <c r="B33" s="264" t="s">
        <v>153</v>
      </c>
      <c r="C33" s="6"/>
      <c r="D33" s="6"/>
      <c r="E33" s="77">
        <v>65.599999999999994</v>
      </c>
      <c r="F33" s="6">
        <v>91.45</v>
      </c>
      <c r="G33" s="78">
        <f t="shared" si="0"/>
        <v>5999.12</v>
      </c>
      <c r="H33" s="77">
        <v>0</v>
      </c>
      <c r="I33" s="6">
        <v>0</v>
      </c>
      <c r="J33" s="78">
        <f t="shared" si="1"/>
        <v>0</v>
      </c>
      <c r="K33" s="78">
        <f t="shared" si="2"/>
        <v>5999.12</v>
      </c>
      <c r="L33" s="182">
        <v>13500</v>
      </c>
      <c r="M33" s="168">
        <f t="shared" si="3"/>
        <v>11778.898299999997</v>
      </c>
      <c r="N33" s="55" t="s">
        <v>128</v>
      </c>
      <c r="O33" s="5"/>
    </row>
    <row r="34" spans="1:15">
      <c r="A34" s="55">
        <v>30</v>
      </c>
      <c r="B34" s="264" t="s">
        <v>154</v>
      </c>
      <c r="C34" s="6"/>
      <c r="D34" s="6"/>
      <c r="E34" s="77">
        <v>104.34</v>
      </c>
      <c r="F34" s="6">
        <v>91.45</v>
      </c>
      <c r="G34" s="78">
        <f t="shared" si="0"/>
        <v>9541.893</v>
      </c>
      <c r="H34" s="77">
        <v>0</v>
      </c>
      <c r="I34" s="6">
        <v>0</v>
      </c>
      <c r="J34" s="78">
        <f t="shared" si="1"/>
        <v>0</v>
      </c>
      <c r="K34" s="78">
        <f t="shared" si="2"/>
        <v>9541.893</v>
      </c>
      <c r="L34" s="182">
        <v>12300</v>
      </c>
      <c r="M34" s="168">
        <f t="shared" si="3"/>
        <v>9020.7912999999971</v>
      </c>
      <c r="N34" s="55" t="s">
        <v>128</v>
      </c>
      <c r="O34" s="5"/>
    </row>
    <row r="35" spans="1:15">
      <c r="A35" s="229">
        <v>31</v>
      </c>
      <c r="B35" s="264"/>
      <c r="C35" s="6"/>
      <c r="D35" s="6"/>
      <c r="E35" s="77">
        <v>0</v>
      </c>
      <c r="F35" s="6">
        <v>0</v>
      </c>
      <c r="G35" s="78">
        <f t="shared" si="0"/>
        <v>0</v>
      </c>
      <c r="H35" s="77">
        <v>0</v>
      </c>
      <c r="I35" s="6">
        <v>0</v>
      </c>
      <c r="J35" s="78">
        <f t="shared" si="1"/>
        <v>0</v>
      </c>
      <c r="K35" s="78">
        <f t="shared" si="2"/>
        <v>0</v>
      </c>
      <c r="L35" s="182">
        <f t="shared" si="4"/>
        <v>0</v>
      </c>
      <c r="M35" s="168">
        <f t="shared" si="3"/>
        <v>9020.7912999999971</v>
      </c>
      <c r="N35" s="55" t="s">
        <v>128</v>
      </c>
      <c r="O35" s="5"/>
    </row>
    <row r="36" spans="1:15">
      <c r="A36" s="55">
        <v>32</v>
      </c>
      <c r="B36" s="264"/>
      <c r="C36" s="6"/>
      <c r="D36" s="6"/>
      <c r="E36" s="77">
        <v>0</v>
      </c>
      <c r="F36" s="6">
        <v>0</v>
      </c>
      <c r="G36" s="78">
        <f t="shared" si="0"/>
        <v>0</v>
      </c>
      <c r="H36" s="77">
        <v>0</v>
      </c>
      <c r="I36" s="6">
        <v>0</v>
      </c>
      <c r="J36" s="78">
        <f t="shared" si="1"/>
        <v>0</v>
      </c>
      <c r="K36" s="78">
        <f t="shared" si="2"/>
        <v>0</v>
      </c>
      <c r="L36" s="182">
        <f t="shared" si="4"/>
        <v>0</v>
      </c>
      <c r="M36" s="168">
        <f t="shared" si="3"/>
        <v>9020.7912999999971</v>
      </c>
      <c r="N36" s="55" t="s">
        <v>128</v>
      </c>
      <c r="O36" s="5"/>
    </row>
    <row r="37" spans="1:15">
      <c r="A37" s="55">
        <v>33</v>
      </c>
      <c r="B37" s="264"/>
      <c r="C37" s="6"/>
      <c r="D37" s="6"/>
      <c r="E37" s="77">
        <v>0</v>
      </c>
      <c r="F37" s="6">
        <v>0</v>
      </c>
      <c r="G37" s="78">
        <f t="shared" si="0"/>
        <v>0</v>
      </c>
      <c r="H37" s="77">
        <v>0</v>
      </c>
      <c r="I37" s="6">
        <v>0</v>
      </c>
      <c r="J37" s="78">
        <f t="shared" si="1"/>
        <v>0</v>
      </c>
      <c r="K37" s="78">
        <f t="shared" si="2"/>
        <v>0</v>
      </c>
      <c r="L37" s="182">
        <f t="shared" si="4"/>
        <v>0</v>
      </c>
      <c r="M37" s="168">
        <f t="shared" si="3"/>
        <v>9020.7912999999971</v>
      </c>
      <c r="N37" s="55" t="s">
        <v>128</v>
      </c>
      <c r="O37" s="5"/>
    </row>
    <row r="38" spans="1:15">
      <c r="A38" s="229">
        <v>34</v>
      </c>
      <c r="B38" s="264"/>
      <c r="C38" s="6"/>
      <c r="D38" s="6"/>
      <c r="E38" s="77">
        <v>0</v>
      </c>
      <c r="F38" s="6">
        <v>0</v>
      </c>
      <c r="G38" s="78">
        <f t="shared" ref="G38" si="5">E38*F38</f>
        <v>0</v>
      </c>
      <c r="H38" s="77">
        <v>0</v>
      </c>
      <c r="I38" s="6">
        <v>0</v>
      </c>
      <c r="J38" s="78">
        <f t="shared" ref="J5:J38" si="6">H38*I38</f>
        <v>0</v>
      </c>
      <c r="K38" s="78">
        <f t="shared" ref="K5:K38" si="7">G38+J38</f>
        <v>0</v>
      </c>
      <c r="L38" s="182">
        <f t="shared" ref="L5:L38" si="8">+K38</f>
        <v>0</v>
      </c>
      <c r="M38" s="168">
        <f t="shared" si="3"/>
        <v>9020.7912999999971</v>
      </c>
      <c r="N38" s="6"/>
      <c r="O38" s="5"/>
    </row>
    <row r="39" spans="1:15">
      <c r="A39" s="55">
        <v>35</v>
      </c>
      <c r="B39" s="264"/>
      <c r="C39" s="6"/>
      <c r="D39" s="6"/>
      <c r="E39" s="77">
        <v>0</v>
      </c>
      <c r="F39" s="6">
        <v>0</v>
      </c>
      <c r="G39" s="78">
        <f t="shared" ref="G39:G43" si="9">E39*F39</f>
        <v>0</v>
      </c>
      <c r="H39" s="77">
        <v>0</v>
      </c>
      <c r="I39" s="6">
        <v>0</v>
      </c>
      <c r="J39" s="78">
        <f t="shared" ref="J5:J43" si="10">H39*I39</f>
        <v>0</v>
      </c>
      <c r="K39" s="78">
        <f t="shared" ref="K5:K43" si="11">G39+J39</f>
        <v>0</v>
      </c>
      <c r="L39" s="182">
        <f t="shared" ref="L5:L43" si="12">+K39</f>
        <v>0</v>
      </c>
      <c r="M39" s="168">
        <f t="shared" si="3"/>
        <v>9020.7912999999971</v>
      </c>
      <c r="N39" s="6"/>
      <c r="O39" s="5"/>
    </row>
    <row r="40" spans="1:15">
      <c r="A40" s="55">
        <v>36</v>
      </c>
      <c r="B40" s="264"/>
      <c r="C40" s="6"/>
      <c r="D40" s="6"/>
      <c r="E40" s="77">
        <v>0</v>
      </c>
      <c r="F40" s="6">
        <v>0</v>
      </c>
      <c r="G40" s="78">
        <f t="shared" si="9"/>
        <v>0</v>
      </c>
      <c r="H40" s="77">
        <v>0</v>
      </c>
      <c r="I40" s="6">
        <v>0</v>
      </c>
      <c r="J40" s="78">
        <f t="shared" si="10"/>
        <v>0</v>
      </c>
      <c r="K40" s="78">
        <f t="shared" si="11"/>
        <v>0</v>
      </c>
      <c r="L40" s="182">
        <f t="shared" si="12"/>
        <v>0</v>
      </c>
      <c r="M40" s="168">
        <f t="shared" si="3"/>
        <v>9020.7912999999971</v>
      </c>
      <c r="N40" s="6"/>
      <c r="O40" s="5"/>
    </row>
    <row r="41" spans="1:15">
      <c r="A41" s="229">
        <v>37</v>
      </c>
      <c r="B41" s="264"/>
      <c r="C41" s="6"/>
      <c r="D41" s="6"/>
      <c r="E41" s="77">
        <v>0</v>
      </c>
      <c r="F41" s="6">
        <v>0</v>
      </c>
      <c r="G41" s="78">
        <f t="shared" si="9"/>
        <v>0</v>
      </c>
      <c r="H41" s="77">
        <v>0</v>
      </c>
      <c r="I41" s="6">
        <v>0</v>
      </c>
      <c r="J41" s="78">
        <f t="shared" si="10"/>
        <v>0</v>
      </c>
      <c r="K41" s="78">
        <f t="shared" si="11"/>
        <v>0</v>
      </c>
      <c r="L41" s="182">
        <f t="shared" si="12"/>
        <v>0</v>
      </c>
      <c r="M41" s="168">
        <f t="shared" si="3"/>
        <v>9020.7912999999971</v>
      </c>
      <c r="N41" s="6"/>
      <c r="O41" s="5"/>
    </row>
    <row r="42" spans="1:15">
      <c r="A42" s="55">
        <v>38</v>
      </c>
      <c r="B42" s="264"/>
      <c r="C42" s="6"/>
      <c r="D42" s="6"/>
      <c r="E42" s="77">
        <v>0</v>
      </c>
      <c r="F42" s="6">
        <v>0</v>
      </c>
      <c r="G42" s="78">
        <f t="shared" si="9"/>
        <v>0</v>
      </c>
      <c r="H42" s="77">
        <v>0</v>
      </c>
      <c r="I42" s="6">
        <v>0</v>
      </c>
      <c r="J42" s="78">
        <f t="shared" si="10"/>
        <v>0</v>
      </c>
      <c r="K42" s="78">
        <f t="shared" si="11"/>
        <v>0</v>
      </c>
      <c r="L42" s="182">
        <f t="shared" si="12"/>
        <v>0</v>
      </c>
      <c r="M42" s="168">
        <f t="shared" si="3"/>
        <v>9020.7912999999971</v>
      </c>
      <c r="N42" s="6"/>
      <c r="O42" s="5"/>
    </row>
    <row r="43" spans="1:15">
      <c r="A43" s="55">
        <v>39</v>
      </c>
      <c r="B43" s="192"/>
      <c r="C43" s="191"/>
      <c r="D43" s="6"/>
      <c r="E43" s="77">
        <v>0</v>
      </c>
      <c r="F43" s="6">
        <v>0</v>
      </c>
      <c r="G43" s="78">
        <f t="shared" si="9"/>
        <v>0</v>
      </c>
      <c r="H43" s="77">
        <v>0</v>
      </c>
      <c r="I43" s="6">
        <v>0</v>
      </c>
      <c r="J43" s="78">
        <f t="shared" si="10"/>
        <v>0</v>
      </c>
      <c r="K43" s="78">
        <f t="shared" si="11"/>
        <v>0</v>
      </c>
      <c r="L43" s="182">
        <f t="shared" si="12"/>
        <v>0</v>
      </c>
      <c r="M43" s="168">
        <f t="shared" si="3"/>
        <v>9020.7912999999971</v>
      </c>
      <c r="N43" s="191"/>
      <c r="O43" s="5"/>
    </row>
    <row r="44" spans="1:15">
      <c r="A44" s="229">
        <v>40</v>
      </c>
      <c r="B44" s="6"/>
      <c r="C44" s="6"/>
      <c r="D44" s="6"/>
      <c r="E44" s="77">
        <v>0</v>
      </c>
      <c r="F44" s="6">
        <v>0</v>
      </c>
      <c r="G44" s="78">
        <f t="shared" ref="G31:G46" si="13">E44*F44</f>
        <v>0</v>
      </c>
      <c r="H44" s="77"/>
      <c r="I44" s="6"/>
      <c r="J44" s="78">
        <f t="shared" ref="J31:J46" si="14">H44*I44</f>
        <v>0</v>
      </c>
      <c r="K44" s="78">
        <f t="shared" ref="K31:K46" si="15">G44+J44</f>
        <v>0</v>
      </c>
      <c r="L44" s="182">
        <f t="shared" ref="L31:L46" si="16">+K44</f>
        <v>0</v>
      </c>
      <c r="M44" s="168">
        <f t="shared" si="3"/>
        <v>9020.7912999999971</v>
      </c>
      <c r="N44" s="6"/>
      <c r="O44" s="5"/>
    </row>
    <row r="45" spans="1:15">
      <c r="A45" s="55">
        <v>41</v>
      </c>
      <c r="B45" s="191"/>
      <c r="C45" s="191"/>
      <c r="D45" s="6"/>
      <c r="E45" s="77">
        <v>0</v>
      </c>
      <c r="F45" s="6">
        <v>0</v>
      </c>
      <c r="G45" s="78">
        <f t="shared" si="13"/>
        <v>0</v>
      </c>
      <c r="H45" s="77"/>
      <c r="I45" s="6"/>
      <c r="J45" s="78">
        <f t="shared" si="14"/>
        <v>0</v>
      </c>
      <c r="K45" s="193">
        <f t="shared" si="15"/>
        <v>0</v>
      </c>
      <c r="L45" s="182">
        <f t="shared" si="16"/>
        <v>0</v>
      </c>
      <c r="M45" s="168">
        <f t="shared" si="3"/>
        <v>9020.7912999999971</v>
      </c>
      <c r="N45" s="191"/>
      <c r="O45" s="5"/>
    </row>
    <row r="46" spans="1:15">
      <c r="A46" s="55">
        <v>42</v>
      </c>
      <c r="B46" s="191"/>
      <c r="C46" s="191"/>
      <c r="D46" s="6"/>
      <c r="E46" s="77">
        <v>0</v>
      </c>
      <c r="F46" s="6">
        <v>0</v>
      </c>
      <c r="G46" s="78">
        <f t="shared" si="13"/>
        <v>0</v>
      </c>
      <c r="H46" s="77"/>
      <c r="I46" s="6"/>
      <c r="J46" s="78">
        <f t="shared" si="14"/>
        <v>0</v>
      </c>
      <c r="K46" s="193">
        <f t="shared" si="15"/>
        <v>0</v>
      </c>
      <c r="L46" s="194">
        <f t="shared" si="16"/>
        <v>0</v>
      </c>
      <c r="M46" s="168">
        <f t="shared" si="3"/>
        <v>9020.7912999999971</v>
      </c>
      <c r="N46" s="191"/>
      <c r="O46" s="5"/>
    </row>
    <row r="47" spans="1:15">
      <c r="A47" s="74"/>
      <c r="B47" s="74"/>
      <c r="C47" s="74"/>
      <c r="D47" s="74"/>
      <c r="E47" s="75">
        <f>SUM(E4:E46)</f>
        <v>2851.0000000000005</v>
      </c>
      <c r="F47" s="75"/>
      <c r="G47" s="75">
        <f>SUM(G4:G46)</f>
        <v>260723.95</v>
      </c>
      <c r="H47" s="75">
        <f>SUM(H4:H46)</f>
        <v>48.309999999999988</v>
      </c>
      <c r="I47" s="75"/>
      <c r="J47" s="75">
        <f>SUM(J4:J46)</f>
        <v>4994.7709000000004</v>
      </c>
      <c r="K47" s="75">
        <f>SUM(K4:K46)</f>
        <v>265718.72090000001</v>
      </c>
      <c r="L47" s="75">
        <f>SUM(L4:L46)</f>
        <v>284211.94</v>
      </c>
      <c r="M47" s="75"/>
      <c r="N47" s="75"/>
      <c r="O47" s="71"/>
    </row>
    <row r="48" spans="1:15">
      <c r="A48" s="5"/>
      <c r="B48" s="5"/>
      <c r="C48" s="5"/>
      <c r="D48" s="5"/>
      <c r="E48" s="5"/>
      <c r="F48" s="5"/>
      <c r="G48" s="115"/>
      <c r="H48" s="5"/>
      <c r="I48" s="5"/>
      <c r="J48" s="115"/>
      <c r="K48" s="5"/>
      <c r="L48" s="115"/>
      <c r="M48" s="115"/>
      <c r="N48" s="5"/>
      <c r="O48" s="5"/>
    </row>
    <row r="49" spans="1:15">
      <c r="A49" s="5"/>
      <c r="B49" s="5"/>
      <c r="C49" s="5"/>
      <c r="D49" s="5"/>
      <c r="E49" s="5"/>
      <c r="F49" s="5"/>
      <c r="G49" s="115"/>
      <c r="H49" s="5"/>
      <c r="I49" s="5"/>
      <c r="J49" s="115"/>
      <c r="K49" s="5"/>
      <c r="L49" s="115"/>
      <c r="M49" s="115"/>
      <c r="N49" s="5"/>
      <c r="O49" s="5"/>
    </row>
  </sheetData>
  <mergeCells count="3">
    <mergeCell ref="A1:N1"/>
    <mergeCell ref="A3:L3"/>
    <mergeCell ref="M3:N3"/>
  </mergeCell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221C-1691-4B0D-B03E-610E76253615}">
  <sheetPr>
    <tabColor theme="0"/>
  </sheetPr>
  <dimension ref="A1:R37"/>
  <sheetViews>
    <sheetView workbookViewId="0">
      <selection activeCell="I40" sqref="I40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16" bestFit="1" customWidth="1"/>
    <col min="5" max="5" width="10.7109375" bestFit="1" customWidth="1"/>
    <col min="6" max="6" width="13.42578125" customWidth="1"/>
    <col min="7" max="7" width="9.28515625" bestFit="1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2" width="15.85546875" bestFit="1" customWidth="1"/>
    <col min="13" max="13" width="13.5703125" bestFit="1" customWidth="1"/>
    <col min="14" max="14" width="8.7109375" bestFit="1" customWidth="1"/>
    <col min="16" max="16" width="12.28515625" customWidth="1"/>
  </cols>
  <sheetData>
    <row r="1" spans="1:18" ht="15.75" customHeight="1">
      <c r="A1" s="445" t="s">
        <v>48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</row>
    <row r="2" spans="1:18">
      <c r="A2" s="139" t="s">
        <v>105</v>
      </c>
      <c r="B2" s="139" t="s">
        <v>106</v>
      </c>
      <c r="C2" s="139" t="s">
        <v>107</v>
      </c>
      <c r="D2" s="139" t="s">
        <v>108</v>
      </c>
      <c r="E2" s="197" t="s">
        <v>109</v>
      </c>
      <c r="F2" s="197" t="s">
        <v>110</v>
      </c>
      <c r="G2" s="197" t="s">
        <v>111</v>
      </c>
      <c r="H2" s="197" t="s">
        <v>112</v>
      </c>
      <c r="I2" s="197" t="s">
        <v>110</v>
      </c>
      <c r="J2" s="197" t="s">
        <v>111</v>
      </c>
      <c r="K2" s="197" t="s">
        <v>113</v>
      </c>
      <c r="L2" s="139" t="s">
        <v>160</v>
      </c>
      <c r="M2" s="142" t="s">
        <v>114</v>
      </c>
      <c r="N2" s="139" t="s">
        <v>116</v>
      </c>
    </row>
    <row r="3" spans="1:18">
      <c r="A3" s="19"/>
      <c r="B3" s="19"/>
      <c r="C3" s="19"/>
      <c r="D3" s="19" t="s">
        <v>117</v>
      </c>
      <c r="E3" s="19"/>
      <c r="F3" s="19"/>
      <c r="G3" s="19"/>
      <c r="H3" s="19"/>
      <c r="I3" s="19"/>
      <c r="J3" s="19"/>
      <c r="K3" s="19">
        <v>0</v>
      </c>
      <c r="L3" s="19"/>
      <c r="M3" s="19">
        <f>+K3</f>
        <v>0</v>
      </c>
      <c r="N3" s="19"/>
    </row>
    <row r="4" spans="1:18">
      <c r="A4" s="28">
        <v>1</v>
      </c>
      <c r="B4" s="29">
        <v>45839</v>
      </c>
      <c r="C4" s="152"/>
      <c r="D4" s="152"/>
      <c r="E4" s="106">
        <v>0</v>
      </c>
      <c r="F4" s="106">
        <v>0</v>
      </c>
      <c r="G4" s="202">
        <f>F4*E4</f>
        <v>0</v>
      </c>
      <c r="H4" s="106">
        <v>9.7200000000000006</v>
      </c>
      <c r="I4" s="106">
        <v>102.77</v>
      </c>
      <c r="J4" s="202">
        <f t="shared" ref="J4" si="0">H4*I4</f>
        <v>998.92439999999999</v>
      </c>
      <c r="K4" s="202">
        <f>G4+J4</f>
        <v>998.92439999999999</v>
      </c>
      <c r="L4" s="202">
        <f>+K4</f>
        <v>998.92439999999999</v>
      </c>
      <c r="M4" s="202">
        <f>+L4</f>
        <v>998.92439999999999</v>
      </c>
      <c r="N4" s="152"/>
    </row>
    <row r="5" spans="1:18">
      <c r="A5" s="28">
        <v>2</v>
      </c>
      <c r="B5" s="29">
        <v>45840</v>
      </c>
      <c r="C5" s="19"/>
      <c r="D5" s="152"/>
      <c r="E5" s="106">
        <v>0</v>
      </c>
      <c r="F5" s="106">
        <v>0</v>
      </c>
      <c r="G5" s="202">
        <f t="shared" ref="G5:G33" si="1">F5*E5</f>
        <v>0</v>
      </c>
      <c r="H5" s="106">
        <v>0</v>
      </c>
      <c r="I5" s="106">
        <v>0</v>
      </c>
      <c r="J5" s="202">
        <f t="shared" ref="J5:J33" si="2">H5*I5</f>
        <v>0</v>
      </c>
      <c r="K5" s="202">
        <f t="shared" ref="K5:K33" si="3">G5+J5</f>
        <v>0</v>
      </c>
      <c r="L5" s="202">
        <f t="shared" ref="L5:L33" si="4">+K5</f>
        <v>0</v>
      </c>
      <c r="M5" s="202">
        <f t="shared" ref="M5:M33" si="5">+L5</f>
        <v>0</v>
      </c>
      <c r="N5" s="19"/>
    </row>
    <row r="6" spans="1:18">
      <c r="A6" s="28">
        <v>3</v>
      </c>
      <c r="B6" s="29">
        <v>45841</v>
      </c>
      <c r="C6" s="19"/>
      <c r="D6" s="152"/>
      <c r="E6" s="106">
        <v>0</v>
      </c>
      <c r="F6" s="106">
        <v>0</v>
      </c>
      <c r="G6" s="202">
        <f t="shared" si="1"/>
        <v>0</v>
      </c>
      <c r="H6" s="106">
        <v>0</v>
      </c>
      <c r="I6" s="106">
        <v>0</v>
      </c>
      <c r="J6" s="202">
        <f t="shared" si="2"/>
        <v>0</v>
      </c>
      <c r="K6" s="202">
        <f t="shared" si="3"/>
        <v>0</v>
      </c>
      <c r="L6" s="202">
        <f t="shared" si="4"/>
        <v>0</v>
      </c>
      <c r="M6" s="202">
        <v>0</v>
      </c>
      <c r="N6" s="19"/>
    </row>
    <row r="7" spans="1:18">
      <c r="A7" s="28">
        <v>4</v>
      </c>
      <c r="B7" s="29">
        <v>45842</v>
      </c>
      <c r="C7" s="19"/>
      <c r="D7" s="152"/>
      <c r="E7" s="106">
        <v>0</v>
      </c>
      <c r="F7" s="106">
        <v>0</v>
      </c>
      <c r="G7" s="202">
        <f t="shared" si="1"/>
        <v>0</v>
      </c>
      <c r="H7" s="106">
        <v>0</v>
      </c>
      <c r="I7" s="106">
        <v>0</v>
      </c>
      <c r="J7" s="202">
        <f t="shared" si="2"/>
        <v>0</v>
      </c>
      <c r="K7" s="202">
        <f t="shared" si="3"/>
        <v>0</v>
      </c>
      <c r="L7" s="202">
        <f t="shared" si="4"/>
        <v>0</v>
      </c>
      <c r="M7" s="202">
        <f t="shared" si="5"/>
        <v>0</v>
      </c>
      <c r="N7" s="19"/>
    </row>
    <row r="8" spans="1:18">
      <c r="A8" s="28">
        <v>5</v>
      </c>
      <c r="B8" s="29">
        <v>45843</v>
      </c>
      <c r="C8" s="19"/>
      <c r="D8" s="152"/>
      <c r="E8" s="106">
        <v>0</v>
      </c>
      <c r="F8" s="106">
        <v>0</v>
      </c>
      <c r="G8" s="202">
        <f t="shared" si="1"/>
        <v>0</v>
      </c>
      <c r="H8" s="106">
        <v>0</v>
      </c>
      <c r="I8" s="106">
        <v>0</v>
      </c>
      <c r="J8" s="202">
        <f t="shared" si="2"/>
        <v>0</v>
      </c>
      <c r="K8" s="202">
        <f t="shared" si="3"/>
        <v>0</v>
      </c>
      <c r="L8" s="202">
        <f t="shared" si="4"/>
        <v>0</v>
      </c>
      <c r="M8" s="202">
        <f t="shared" si="5"/>
        <v>0</v>
      </c>
      <c r="N8" s="19"/>
    </row>
    <row r="9" spans="1:18">
      <c r="A9" s="28">
        <v>6</v>
      </c>
      <c r="B9" s="29">
        <v>45844</v>
      </c>
      <c r="C9" s="19"/>
      <c r="D9" s="152"/>
      <c r="E9" s="106">
        <v>0</v>
      </c>
      <c r="F9" s="106">
        <v>0</v>
      </c>
      <c r="G9" s="202">
        <f t="shared" si="1"/>
        <v>0</v>
      </c>
      <c r="H9" s="106">
        <v>0</v>
      </c>
      <c r="I9" s="106">
        <v>0</v>
      </c>
      <c r="J9" s="202">
        <f t="shared" si="2"/>
        <v>0</v>
      </c>
      <c r="K9" s="202">
        <f t="shared" si="3"/>
        <v>0</v>
      </c>
      <c r="L9" s="202">
        <f t="shared" si="4"/>
        <v>0</v>
      </c>
      <c r="M9" s="202">
        <f t="shared" si="5"/>
        <v>0</v>
      </c>
      <c r="N9" s="19"/>
    </row>
    <row r="10" spans="1:18">
      <c r="A10" s="28">
        <v>7</v>
      </c>
      <c r="B10" s="29">
        <v>45845</v>
      </c>
      <c r="C10" s="19"/>
      <c r="D10" s="152"/>
      <c r="E10" s="106">
        <v>0</v>
      </c>
      <c r="F10" s="106">
        <v>0</v>
      </c>
      <c r="G10" s="202">
        <f t="shared" si="1"/>
        <v>0</v>
      </c>
      <c r="H10" s="106">
        <v>0</v>
      </c>
      <c r="I10" s="106">
        <v>0</v>
      </c>
      <c r="J10" s="202">
        <f t="shared" si="2"/>
        <v>0</v>
      </c>
      <c r="K10" s="202">
        <f t="shared" si="3"/>
        <v>0</v>
      </c>
      <c r="L10" s="202">
        <f t="shared" si="4"/>
        <v>0</v>
      </c>
      <c r="M10" s="202">
        <f t="shared" si="5"/>
        <v>0</v>
      </c>
      <c r="N10" s="19"/>
      <c r="R10">
        <v>4.8600000000000003</v>
      </c>
    </row>
    <row r="11" spans="1:18">
      <c r="A11" s="28">
        <v>8</v>
      </c>
      <c r="B11" s="29">
        <v>45846</v>
      </c>
      <c r="C11" s="19"/>
      <c r="D11" s="152"/>
      <c r="E11" s="106">
        <v>0</v>
      </c>
      <c r="F11" s="106">
        <v>0</v>
      </c>
      <c r="G11" s="202">
        <f t="shared" si="1"/>
        <v>0</v>
      </c>
      <c r="H11" s="106">
        <v>0</v>
      </c>
      <c r="I11" s="106">
        <v>0</v>
      </c>
      <c r="J11" s="202">
        <f t="shared" si="2"/>
        <v>0</v>
      </c>
      <c r="K11" s="202">
        <f t="shared" si="3"/>
        <v>0</v>
      </c>
      <c r="L11" s="202">
        <f t="shared" si="4"/>
        <v>0</v>
      </c>
      <c r="M11" s="202">
        <f t="shared" si="5"/>
        <v>0</v>
      </c>
      <c r="N11" s="19"/>
      <c r="R11">
        <v>4.8600000000000003</v>
      </c>
    </row>
    <row r="12" spans="1:18">
      <c r="A12" s="28">
        <v>9</v>
      </c>
      <c r="B12" s="29">
        <v>45847</v>
      </c>
      <c r="C12" s="19"/>
      <c r="D12" s="152"/>
      <c r="E12" s="106">
        <v>0</v>
      </c>
      <c r="F12" s="106">
        <v>0</v>
      </c>
      <c r="G12" s="202">
        <f t="shared" si="1"/>
        <v>0</v>
      </c>
      <c r="H12" s="106">
        <v>0</v>
      </c>
      <c r="I12" s="106">
        <v>0</v>
      </c>
      <c r="J12" s="202">
        <f t="shared" si="2"/>
        <v>0</v>
      </c>
      <c r="K12" s="202">
        <f t="shared" si="3"/>
        <v>0</v>
      </c>
      <c r="L12" s="202">
        <f t="shared" si="4"/>
        <v>0</v>
      </c>
      <c r="M12" s="202">
        <f t="shared" si="5"/>
        <v>0</v>
      </c>
      <c r="N12" s="19"/>
      <c r="P12">
        <f>4999.17+50339.51</f>
        <v>55338.68</v>
      </c>
    </row>
    <row r="13" spans="1:18">
      <c r="A13" s="28">
        <v>10</v>
      </c>
      <c r="B13" s="29">
        <v>45848</v>
      </c>
      <c r="C13" s="19"/>
      <c r="D13" s="152"/>
      <c r="E13" s="106">
        <v>0</v>
      </c>
      <c r="F13" s="106">
        <v>0</v>
      </c>
      <c r="G13" s="202">
        <f t="shared" si="1"/>
        <v>0</v>
      </c>
      <c r="H13" s="106">
        <v>0</v>
      </c>
      <c r="I13" s="106">
        <v>0</v>
      </c>
      <c r="J13" s="202">
        <f t="shared" si="2"/>
        <v>0</v>
      </c>
      <c r="K13" s="202">
        <f t="shared" si="3"/>
        <v>0</v>
      </c>
      <c r="L13" s="202">
        <f t="shared" si="4"/>
        <v>0</v>
      </c>
      <c r="M13" s="202">
        <f t="shared" si="5"/>
        <v>0</v>
      </c>
      <c r="N13" s="19"/>
    </row>
    <row r="14" spans="1:18">
      <c r="A14" s="28">
        <v>11</v>
      </c>
      <c r="B14" s="29">
        <v>45849</v>
      </c>
      <c r="C14" s="19"/>
      <c r="D14" s="152"/>
      <c r="E14" s="106">
        <v>0</v>
      </c>
      <c r="F14" s="106">
        <v>0</v>
      </c>
      <c r="G14" s="202">
        <f t="shared" si="1"/>
        <v>0</v>
      </c>
      <c r="H14" s="106">
        <v>0</v>
      </c>
      <c r="I14" s="106">
        <v>0</v>
      </c>
      <c r="J14" s="202">
        <f t="shared" si="2"/>
        <v>0</v>
      </c>
      <c r="K14" s="202">
        <f t="shared" si="3"/>
        <v>0</v>
      </c>
      <c r="L14" s="202">
        <f t="shared" si="4"/>
        <v>0</v>
      </c>
      <c r="M14" s="202">
        <f t="shared" si="5"/>
        <v>0</v>
      </c>
      <c r="N14" s="19"/>
    </row>
    <row r="15" spans="1:18">
      <c r="A15" s="28">
        <v>12</v>
      </c>
      <c r="B15" s="29">
        <v>45850</v>
      </c>
      <c r="C15" s="19"/>
      <c r="D15" s="152"/>
      <c r="E15" s="106">
        <v>0</v>
      </c>
      <c r="F15" s="106">
        <v>0</v>
      </c>
      <c r="G15" s="202">
        <f t="shared" si="1"/>
        <v>0</v>
      </c>
      <c r="H15" s="106">
        <v>4.8600000000000003</v>
      </c>
      <c r="I15" s="106">
        <v>102.77</v>
      </c>
      <c r="J15" s="202">
        <f t="shared" si="2"/>
        <v>499.4622</v>
      </c>
      <c r="K15" s="202">
        <f t="shared" si="3"/>
        <v>499.4622</v>
      </c>
      <c r="L15" s="202">
        <f t="shared" si="4"/>
        <v>499.4622</v>
      </c>
      <c r="M15" s="202">
        <f t="shared" si="5"/>
        <v>499.4622</v>
      </c>
      <c r="N15" s="19"/>
    </row>
    <row r="16" spans="1:18">
      <c r="A16" s="28">
        <v>13</v>
      </c>
      <c r="B16" s="29">
        <v>45851</v>
      </c>
      <c r="C16" s="19"/>
      <c r="D16" s="152"/>
      <c r="E16" s="106">
        <v>0</v>
      </c>
      <c r="F16" s="106">
        <v>0</v>
      </c>
      <c r="G16" s="202">
        <f t="shared" si="1"/>
        <v>0</v>
      </c>
      <c r="H16" s="106">
        <v>0</v>
      </c>
      <c r="I16" s="106">
        <v>0</v>
      </c>
      <c r="J16" s="202">
        <f t="shared" si="2"/>
        <v>0</v>
      </c>
      <c r="K16" s="202">
        <f t="shared" si="3"/>
        <v>0</v>
      </c>
      <c r="L16" s="202">
        <f t="shared" si="4"/>
        <v>0</v>
      </c>
      <c r="M16" s="202">
        <f t="shared" si="5"/>
        <v>0</v>
      </c>
      <c r="N16" s="19"/>
    </row>
    <row r="17" spans="1:14">
      <c r="A17" s="28">
        <v>14</v>
      </c>
      <c r="B17" s="29">
        <v>45852</v>
      </c>
      <c r="C17" s="19"/>
      <c r="D17" s="152"/>
      <c r="E17" s="106">
        <v>0</v>
      </c>
      <c r="F17" s="106">
        <v>0</v>
      </c>
      <c r="G17" s="202">
        <f t="shared" si="1"/>
        <v>0</v>
      </c>
      <c r="H17" s="106">
        <v>4.8600000000000003</v>
      </c>
      <c r="I17" s="106">
        <v>102.77</v>
      </c>
      <c r="J17" s="202">
        <f t="shared" si="2"/>
        <v>499.4622</v>
      </c>
      <c r="K17" s="202">
        <f t="shared" si="3"/>
        <v>499.4622</v>
      </c>
      <c r="L17" s="202">
        <f t="shared" si="4"/>
        <v>499.4622</v>
      </c>
      <c r="M17" s="202">
        <f t="shared" si="5"/>
        <v>499.4622</v>
      </c>
      <c r="N17" s="19"/>
    </row>
    <row r="18" spans="1:14">
      <c r="A18" s="28">
        <v>15</v>
      </c>
      <c r="B18" s="29">
        <v>45853</v>
      </c>
      <c r="C18" s="19"/>
      <c r="D18" s="152"/>
      <c r="E18" s="106">
        <v>0</v>
      </c>
      <c r="F18" s="106">
        <v>0</v>
      </c>
      <c r="G18" s="202">
        <f t="shared" si="1"/>
        <v>0</v>
      </c>
      <c r="H18" s="106">
        <v>0</v>
      </c>
      <c r="I18" s="106">
        <v>0</v>
      </c>
      <c r="J18" s="202">
        <f t="shared" si="2"/>
        <v>0</v>
      </c>
      <c r="K18" s="202">
        <f t="shared" si="3"/>
        <v>0</v>
      </c>
      <c r="L18" s="202">
        <f t="shared" si="4"/>
        <v>0</v>
      </c>
      <c r="M18" s="202">
        <f t="shared" si="5"/>
        <v>0</v>
      </c>
      <c r="N18" s="19"/>
    </row>
    <row r="19" spans="1:14">
      <c r="A19" s="28">
        <v>16</v>
      </c>
      <c r="B19" s="29">
        <v>45854</v>
      </c>
      <c r="C19" s="19"/>
      <c r="D19" s="152"/>
      <c r="E19" s="106">
        <v>0</v>
      </c>
      <c r="F19" s="106">
        <v>0</v>
      </c>
      <c r="G19" s="202">
        <f t="shared" si="1"/>
        <v>0</v>
      </c>
      <c r="H19" s="106">
        <v>0</v>
      </c>
      <c r="I19" s="106">
        <v>0</v>
      </c>
      <c r="J19" s="202">
        <f t="shared" si="2"/>
        <v>0</v>
      </c>
      <c r="K19" s="202">
        <f t="shared" si="3"/>
        <v>0</v>
      </c>
      <c r="L19" s="202">
        <f t="shared" si="4"/>
        <v>0</v>
      </c>
      <c r="M19" s="202">
        <f t="shared" si="5"/>
        <v>0</v>
      </c>
      <c r="N19" s="19"/>
    </row>
    <row r="20" spans="1:14">
      <c r="A20" s="28">
        <v>17</v>
      </c>
      <c r="B20" s="29">
        <v>45855</v>
      </c>
      <c r="C20" s="19"/>
      <c r="D20" s="152"/>
      <c r="E20" s="106">
        <v>0</v>
      </c>
      <c r="F20" s="106">
        <v>0</v>
      </c>
      <c r="G20" s="202">
        <f t="shared" si="1"/>
        <v>0</v>
      </c>
      <c r="H20" s="106">
        <v>0</v>
      </c>
      <c r="I20" s="106">
        <v>0</v>
      </c>
      <c r="J20" s="202">
        <f t="shared" si="2"/>
        <v>0</v>
      </c>
      <c r="K20" s="202">
        <f t="shared" si="3"/>
        <v>0</v>
      </c>
      <c r="L20" s="202">
        <f t="shared" si="4"/>
        <v>0</v>
      </c>
      <c r="M20" s="202">
        <f t="shared" si="5"/>
        <v>0</v>
      </c>
      <c r="N20" s="19"/>
    </row>
    <row r="21" spans="1:14">
      <c r="A21" s="28">
        <v>18</v>
      </c>
      <c r="B21" s="29">
        <v>45856</v>
      </c>
      <c r="C21" s="19"/>
      <c r="D21" s="152"/>
      <c r="E21" s="106">
        <v>0</v>
      </c>
      <c r="F21" s="106">
        <v>0</v>
      </c>
      <c r="G21" s="202">
        <f t="shared" si="1"/>
        <v>0</v>
      </c>
      <c r="H21" s="106">
        <v>0</v>
      </c>
      <c r="I21" s="106">
        <v>0</v>
      </c>
      <c r="J21" s="202">
        <f t="shared" si="2"/>
        <v>0</v>
      </c>
      <c r="K21" s="202">
        <f t="shared" si="3"/>
        <v>0</v>
      </c>
      <c r="L21" s="202">
        <f t="shared" si="4"/>
        <v>0</v>
      </c>
      <c r="M21" s="202">
        <f t="shared" si="5"/>
        <v>0</v>
      </c>
      <c r="N21" s="19"/>
    </row>
    <row r="22" spans="1:14">
      <c r="A22" s="28">
        <v>19</v>
      </c>
      <c r="B22" s="29">
        <v>45857</v>
      </c>
      <c r="C22" s="19"/>
      <c r="D22" s="152"/>
      <c r="E22" s="106">
        <v>0</v>
      </c>
      <c r="F22" s="106">
        <v>0</v>
      </c>
      <c r="G22" s="202">
        <f t="shared" si="1"/>
        <v>0</v>
      </c>
      <c r="H22" s="106">
        <v>0</v>
      </c>
      <c r="I22" s="106">
        <v>0</v>
      </c>
      <c r="J22" s="202">
        <f t="shared" si="2"/>
        <v>0</v>
      </c>
      <c r="K22" s="202">
        <f t="shared" si="3"/>
        <v>0</v>
      </c>
      <c r="L22" s="202">
        <f t="shared" si="4"/>
        <v>0</v>
      </c>
      <c r="M22" s="202">
        <f t="shared" si="5"/>
        <v>0</v>
      </c>
      <c r="N22" s="19"/>
    </row>
    <row r="23" spans="1:14">
      <c r="A23" s="28">
        <v>20</v>
      </c>
      <c r="B23" s="29">
        <v>45858</v>
      </c>
      <c r="C23" s="19"/>
      <c r="D23" s="152"/>
      <c r="E23" s="106">
        <v>0</v>
      </c>
      <c r="F23" s="106">
        <v>0</v>
      </c>
      <c r="G23" s="202">
        <f t="shared" si="1"/>
        <v>0</v>
      </c>
      <c r="H23" s="106">
        <v>0</v>
      </c>
      <c r="I23" s="106">
        <v>0</v>
      </c>
      <c r="J23" s="202">
        <f t="shared" si="2"/>
        <v>0</v>
      </c>
      <c r="K23" s="202">
        <f t="shared" si="3"/>
        <v>0</v>
      </c>
      <c r="L23" s="202">
        <f t="shared" si="4"/>
        <v>0</v>
      </c>
      <c r="M23" s="202">
        <f t="shared" si="5"/>
        <v>0</v>
      </c>
      <c r="N23" s="19">
        <v>0</v>
      </c>
    </row>
    <row r="24" spans="1:14">
      <c r="A24" s="28">
        <v>21</v>
      </c>
      <c r="B24" s="29">
        <v>45859</v>
      </c>
      <c r="C24" s="19"/>
      <c r="D24" s="152"/>
      <c r="E24" s="106">
        <v>0</v>
      </c>
      <c r="F24" s="106">
        <v>0</v>
      </c>
      <c r="G24" s="202">
        <f t="shared" si="1"/>
        <v>0</v>
      </c>
      <c r="H24" s="106">
        <v>0</v>
      </c>
      <c r="I24" s="106">
        <v>0</v>
      </c>
      <c r="J24" s="202">
        <f t="shared" si="2"/>
        <v>0</v>
      </c>
      <c r="K24" s="202">
        <f t="shared" si="3"/>
        <v>0</v>
      </c>
      <c r="L24" s="202">
        <f t="shared" si="4"/>
        <v>0</v>
      </c>
      <c r="M24" s="202">
        <f t="shared" si="5"/>
        <v>0</v>
      </c>
      <c r="N24" s="19"/>
    </row>
    <row r="25" spans="1:14">
      <c r="A25" s="28">
        <v>22</v>
      </c>
      <c r="B25" s="29">
        <v>45860</v>
      </c>
      <c r="C25" s="19"/>
      <c r="D25" s="152"/>
      <c r="E25" s="106">
        <v>0</v>
      </c>
      <c r="F25" s="106">
        <v>0</v>
      </c>
      <c r="G25" s="202">
        <f t="shared" si="1"/>
        <v>0</v>
      </c>
      <c r="H25" s="106">
        <v>0</v>
      </c>
      <c r="I25" s="106">
        <v>0</v>
      </c>
      <c r="J25" s="202">
        <f t="shared" si="2"/>
        <v>0</v>
      </c>
      <c r="K25" s="202">
        <f t="shared" si="3"/>
        <v>0</v>
      </c>
      <c r="L25" s="202">
        <f t="shared" si="4"/>
        <v>0</v>
      </c>
      <c r="M25" s="202">
        <f t="shared" si="5"/>
        <v>0</v>
      </c>
      <c r="N25" s="19"/>
    </row>
    <row r="26" spans="1:14">
      <c r="A26" s="28">
        <v>23</v>
      </c>
      <c r="B26" s="29">
        <v>45861</v>
      </c>
      <c r="C26" s="19"/>
      <c r="D26" s="152"/>
      <c r="E26" s="106">
        <v>0</v>
      </c>
      <c r="F26" s="106">
        <v>0</v>
      </c>
      <c r="G26" s="202">
        <f t="shared" si="1"/>
        <v>0</v>
      </c>
      <c r="H26" s="106">
        <v>0</v>
      </c>
      <c r="I26" s="106">
        <v>0</v>
      </c>
      <c r="J26" s="202">
        <f t="shared" si="2"/>
        <v>0</v>
      </c>
      <c r="K26" s="202">
        <f t="shared" si="3"/>
        <v>0</v>
      </c>
      <c r="L26" s="202">
        <f t="shared" si="4"/>
        <v>0</v>
      </c>
      <c r="M26" s="202">
        <f t="shared" si="5"/>
        <v>0</v>
      </c>
      <c r="N26" s="19"/>
    </row>
    <row r="27" spans="1:14">
      <c r="A27" s="28">
        <v>24</v>
      </c>
      <c r="B27" s="29">
        <v>45862</v>
      </c>
      <c r="C27" s="19"/>
      <c r="D27" s="152"/>
      <c r="E27" s="106">
        <v>0</v>
      </c>
      <c r="F27" s="106">
        <v>0</v>
      </c>
      <c r="G27" s="202">
        <f t="shared" si="1"/>
        <v>0</v>
      </c>
      <c r="H27" s="106">
        <v>0</v>
      </c>
      <c r="I27" s="106">
        <v>0</v>
      </c>
      <c r="J27" s="202">
        <f t="shared" si="2"/>
        <v>0</v>
      </c>
      <c r="K27" s="202">
        <f t="shared" si="3"/>
        <v>0</v>
      </c>
      <c r="L27" s="202">
        <f t="shared" si="4"/>
        <v>0</v>
      </c>
      <c r="M27" s="202">
        <f t="shared" si="5"/>
        <v>0</v>
      </c>
      <c r="N27" s="19"/>
    </row>
    <row r="28" spans="1:14">
      <c r="A28" s="28">
        <v>25</v>
      </c>
      <c r="B28" s="29">
        <v>45863</v>
      </c>
      <c r="C28" s="19"/>
      <c r="D28" s="152"/>
      <c r="E28" s="106">
        <v>0</v>
      </c>
      <c r="F28" s="106">
        <v>0</v>
      </c>
      <c r="G28" s="202">
        <f t="shared" si="1"/>
        <v>0</v>
      </c>
      <c r="H28" s="106">
        <v>7.59</v>
      </c>
      <c r="I28" s="106">
        <v>102.77</v>
      </c>
      <c r="J28" s="202">
        <f t="shared" si="2"/>
        <v>780.02429999999993</v>
      </c>
      <c r="K28" s="202">
        <f t="shared" si="3"/>
        <v>780.02429999999993</v>
      </c>
      <c r="L28" s="202">
        <f t="shared" si="4"/>
        <v>780.02429999999993</v>
      </c>
      <c r="M28" s="202">
        <f t="shared" si="5"/>
        <v>780.02429999999993</v>
      </c>
      <c r="N28" s="19"/>
    </row>
    <row r="29" spans="1:14">
      <c r="A29" s="28">
        <v>26</v>
      </c>
      <c r="B29" s="29">
        <v>45864</v>
      </c>
      <c r="C29" s="19"/>
      <c r="D29" s="152"/>
      <c r="E29" s="106">
        <v>0</v>
      </c>
      <c r="F29" s="106">
        <v>0</v>
      </c>
      <c r="G29" s="202">
        <f t="shared" si="1"/>
        <v>0</v>
      </c>
      <c r="H29" s="106">
        <v>0</v>
      </c>
      <c r="I29" s="106">
        <v>0</v>
      </c>
      <c r="J29" s="202">
        <f t="shared" si="2"/>
        <v>0</v>
      </c>
      <c r="K29" s="202">
        <f t="shared" si="3"/>
        <v>0</v>
      </c>
      <c r="L29" s="202">
        <f t="shared" si="4"/>
        <v>0</v>
      </c>
      <c r="M29" s="202">
        <f t="shared" si="5"/>
        <v>0</v>
      </c>
      <c r="N29" s="19"/>
    </row>
    <row r="30" spans="1:14">
      <c r="A30" s="28">
        <v>27</v>
      </c>
      <c r="B30" s="29">
        <v>45865</v>
      </c>
      <c r="C30" s="19"/>
      <c r="D30" s="152"/>
      <c r="E30" s="106">
        <v>0</v>
      </c>
      <c r="F30" s="106">
        <v>0</v>
      </c>
      <c r="G30" s="202">
        <f t="shared" si="1"/>
        <v>0</v>
      </c>
      <c r="H30" s="106">
        <v>0</v>
      </c>
      <c r="I30" s="106">
        <v>0</v>
      </c>
      <c r="J30" s="202">
        <f t="shared" si="2"/>
        <v>0</v>
      </c>
      <c r="K30" s="202">
        <f t="shared" si="3"/>
        <v>0</v>
      </c>
      <c r="L30" s="202">
        <f t="shared" si="4"/>
        <v>0</v>
      </c>
      <c r="M30" s="202">
        <f t="shared" si="5"/>
        <v>0</v>
      </c>
      <c r="N30" s="19"/>
    </row>
    <row r="31" spans="1:14">
      <c r="A31" s="28">
        <v>28</v>
      </c>
      <c r="B31" s="29">
        <v>45866</v>
      </c>
      <c r="C31" s="19"/>
      <c r="D31" s="152"/>
      <c r="E31" s="106">
        <v>0</v>
      </c>
      <c r="F31" s="106">
        <v>0</v>
      </c>
      <c r="G31" s="202">
        <f t="shared" si="1"/>
        <v>0</v>
      </c>
      <c r="H31" s="106">
        <v>0</v>
      </c>
      <c r="I31" s="106">
        <v>0</v>
      </c>
      <c r="J31" s="202">
        <f t="shared" si="2"/>
        <v>0</v>
      </c>
      <c r="K31" s="202">
        <f t="shared" si="3"/>
        <v>0</v>
      </c>
      <c r="L31" s="202">
        <f t="shared" si="4"/>
        <v>0</v>
      </c>
      <c r="M31" s="202">
        <f t="shared" si="5"/>
        <v>0</v>
      </c>
      <c r="N31" s="19"/>
    </row>
    <row r="32" spans="1:14">
      <c r="A32" s="28">
        <v>29</v>
      </c>
      <c r="B32" s="29">
        <v>45867</v>
      </c>
      <c r="C32" s="19"/>
      <c r="D32" s="152"/>
      <c r="E32" s="106">
        <v>20</v>
      </c>
      <c r="F32" s="106">
        <v>90.88</v>
      </c>
      <c r="G32" s="202">
        <f t="shared" si="1"/>
        <v>1817.6</v>
      </c>
      <c r="H32" s="106">
        <v>0</v>
      </c>
      <c r="I32" s="106">
        <v>0</v>
      </c>
      <c r="J32" s="202">
        <f t="shared" si="2"/>
        <v>0</v>
      </c>
      <c r="K32" s="202">
        <f t="shared" si="3"/>
        <v>1817.6</v>
      </c>
      <c r="L32" s="202">
        <f t="shared" si="4"/>
        <v>1817.6</v>
      </c>
      <c r="M32" s="202">
        <f t="shared" si="5"/>
        <v>1817.6</v>
      </c>
      <c r="N32" s="19"/>
    </row>
    <row r="33" spans="1:14">
      <c r="A33" s="28">
        <v>30</v>
      </c>
      <c r="B33" s="29">
        <v>45868</v>
      </c>
      <c r="C33" s="19"/>
      <c r="D33" s="152"/>
      <c r="E33" s="106">
        <v>0</v>
      </c>
      <c r="F33" s="106">
        <v>0</v>
      </c>
      <c r="G33" s="202">
        <f t="shared" si="1"/>
        <v>0</v>
      </c>
      <c r="H33" s="106">
        <v>0</v>
      </c>
      <c r="I33" s="106">
        <v>0</v>
      </c>
      <c r="J33" s="202">
        <f t="shared" si="2"/>
        <v>0</v>
      </c>
      <c r="K33" s="202">
        <f t="shared" si="3"/>
        <v>0</v>
      </c>
      <c r="L33" s="202">
        <f t="shared" si="4"/>
        <v>0</v>
      </c>
      <c r="M33" s="202">
        <f t="shared" si="5"/>
        <v>0</v>
      </c>
      <c r="N33" s="19"/>
    </row>
    <row r="34" spans="1:14">
      <c r="A34" s="28">
        <v>31</v>
      </c>
      <c r="B34" s="29"/>
      <c r="C34" s="19"/>
      <c r="D34" s="19"/>
      <c r="E34" s="106"/>
      <c r="F34" s="106"/>
      <c r="G34" s="202"/>
      <c r="H34" s="106"/>
      <c r="I34" s="106"/>
      <c r="J34" s="202"/>
      <c r="K34" s="202"/>
      <c r="L34" s="152"/>
      <c r="M34" s="202"/>
      <c r="N34" s="19"/>
    </row>
    <row r="35" spans="1:14">
      <c r="A35" s="51"/>
      <c r="B35" s="51"/>
      <c r="C35" s="51"/>
      <c r="D35" s="51"/>
      <c r="E35" s="51">
        <f>SUM(E4:E34)</f>
        <v>20</v>
      </c>
      <c r="F35" s="51"/>
      <c r="G35" s="51">
        <f>SUM(G4:G34)</f>
        <v>1817.6</v>
      </c>
      <c r="H35" s="51">
        <f>SUM(H4:H34)</f>
        <v>27.03</v>
      </c>
      <c r="I35" s="51"/>
      <c r="J35" s="51">
        <f>SUM(J4:J34)</f>
        <v>2777.8730999999998</v>
      </c>
      <c r="K35" s="51">
        <f>SUM(K4:K34)</f>
        <v>4595.4730999999992</v>
      </c>
      <c r="L35" s="51"/>
      <c r="M35" s="51">
        <f>SUM(M4:M34)</f>
        <v>4595.4730999999992</v>
      </c>
      <c r="N35" s="51"/>
    </row>
    <row r="37" spans="1:14">
      <c r="K37" s="24"/>
    </row>
  </sheetData>
  <mergeCells count="1">
    <mergeCell ref="A1:N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F7BF-4A84-4ADB-87E5-5334AC31BAFD}">
  <dimension ref="A1:Q36"/>
  <sheetViews>
    <sheetView workbookViewId="0">
      <pane ySplit="2" topLeftCell="A3" activePane="bottomLeft" state="frozen"/>
      <selection pane="bottomLeft" activeCell="R19" sqref="R19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25.42578125" customWidth="1"/>
    <col min="5" max="5" width="10.7109375" bestFit="1" customWidth="1"/>
    <col min="6" max="6" width="11.85546875" customWidth="1"/>
    <col min="7" max="7" width="11.85546875" bestFit="1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3" width="15" customWidth="1"/>
    <col min="14" max="14" width="22.5703125" customWidth="1"/>
    <col min="17" max="17" width="9.5703125" bestFit="1" customWidth="1"/>
  </cols>
  <sheetData>
    <row r="1" spans="1:14" s="105" customFormat="1" ht="15.75" customHeight="1">
      <c r="A1" s="445" t="s">
        <v>50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</row>
    <row r="2" spans="1:14">
      <c r="A2" s="76" t="s">
        <v>105</v>
      </c>
      <c r="B2" s="76" t="s">
        <v>106</v>
      </c>
      <c r="C2" s="76" t="s">
        <v>107</v>
      </c>
      <c r="D2" s="76" t="s">
        <v>108</v>
      </c>
      <c r="E2" s="104" t="s">
        <v>109</v>
      </c>
      <c r="F2" s="104" t="s">
        <v>110</v>
      </c>
      <c r="G2" s="104" t="s">
        <v>111</v>
      </c>
      <c r="H2" s="104" t="s">
        <v>112</v>
      </c>
      <c r="I2" s="104" t="s">
        <v>110</v>
      </c>
      <c r="J2" s="104" t="s">
        <v>111</v>
      </c>
      <c r="K2" s="104" t="s">
        <v>113</v>
      </c>
      <c r="L2" s="98" t="s">
        <v>114</v>
      </c>
      <c r="M2" s="98" t="s">
        <v>119</v>
      </c>
      <c r="N2" s="76" t="s">
        <v>116</v>
      </c>
    </row>
    <row r="3" spans="1:14">
      <c r="A3" s="19"/>
      <c r="B3" s="19"/>
      <c r="C3" s="19"/>
      <c r="D3" s="19" t="s">
        <v>117</v>
      </c>
      <c r="E3" s="19"/>
      <c r="F3" s="19"/>
      <c r="G3" s="19"/>
      <c r="H3" s="19"/>
      <c r="I3" s="19"/>
      <c r="J3" s="19"/>
      <c r="K3" s="46">
        <v>0</v>
      </c>
      <c r="L3" s="19"/>
      <c r="M3" s="46">
        <v>587810.79440000013</v>
      </c>
      <c r="N3" s="19"/>
    </row>
    <row r="4" spans="1:14">
      <c r="A4" s="28">
        <v>1</v>
      </c>
      <c r="B4" s="29">
        <v>45839</v>
      </c>
      <c r="C4" s="19"/>
      <c r="D4" s="19"/>
      <c r="E4" s="106">
        <v>0</v>
      </c>
      <c r="F4" s="106">
        <v>0</v>
      </c>
      <c r="G4" s="46">
        <f>E4*F4</f>
        <v>0</v>
      </c>
      <c r="H4" s="53">
        <v>0</v>
      </c>
      <c r="I4" s="53">
        <v>0</v>
      </c>
      <c r="J4" s="46">
        <f>H4*I4</f>
        <v>0</v>
      </c>
      <c r="K4" s="46">
        <f>G4+J4</f>
        <v>0</v>
      </c>
      <c r="L4" s="46">
        <v>587810.79440000013</v>
      </c>
      <c r="M4" s="46">
        <f>M3+K4-L4</f>
        <v>0</v>
      </c>
      <c r="N4" s="19"/>
    </row>
    <row r="5" spans="1:14">
      <c r="A5" s="28">
        <v>2</v>
      </c>
      <c r="B5" s="29">
        <v>45840</v>
      </c>
      <c r="C5" s="19"/>
      <c r="D5" s="19"/>
      <c r="E5" s="106">
        <v>0</v>
      </c>
      <c r="F5" s="106">
        <v>0</v>
      </c>
      <c r="G5" s="46">
        <f t="shared" ref="G5:G35" si="0">E5*F5</f>
        <v>0</v>
      </c>
      <c r="H5" s="53">
        <v>0</v>
      </c>
      <c r="I5" s="53">
        <v>0</v>
      </c>
      <c r="J5" s="46">
        <f t="shared" ref="J5:J35" si="1">H5*I5</f>
        <v>0</v>
      </c>
      <c r="K5" s="46">
        <f t="shared" ref="K5:L35" si="2">G5+J5</f>
        <v>0</v>
      </c>
      <c r="L5" s="46">
        <v>0</v>
      </c>
      <c r="M5" s="46">
        <f>M4+K5-L5</f>
        <v>0</v>
      </c>
      <c r="N5" s="19"/>
    </row>
    <row r="6" spans="1:14">
      <c r="A6" s="28">
        <v>3</v>
      </c>
      <c r="B6" s="29">
        <v>45841</v>
      </c>
      <c r="C6" s="19"/>
      <c r="D6" s="19"/>
      <c r="E6" s="106">
        <v>0</v>
      </c>
      <c r="F6" s="106">
        <v>0</v>
      </c>
      <c r="G6" s="46">
        <f t="shared" si="0"/>
        <v>0</v>
      </c>
      <c r="H6" s="53">
        <v>0</v>
      </c>
      <c r="I6" s="53">
        <v>0</v>
      </c>
      <c r="J6" s="46">
        <f t="shared" si="1"/>
        <v>0</v>
      </c>
      <c r="K6" s="46">
        <f t="shared" si="2"/>
        <v>0</v>
      </c>
      <c r="L6" s="46">
        <v>0</v>
      </c>
      <c r="M6" s="46">
        <f>M5+K6-L6</f>
        <v>0</v>
      </c>
      <c r="N6" s="19"/>
    </row>
    <row r="7" spans="1:14">
      <c r="A7" s="28">
        <v>4</v>
      </c>
      <c r="B7" s="29">
        <v>45842</v>
      </c>
      <c r="C7" s="19"/>
      <c r="D7" s="19"/>
      <c r="E7" s="106">
        <v>0</v>
      </c>
      <c r="F7" s="106">
        <v>0</v>
      </c>
      <c r="G7" s="46">
        <f t="shared" si="0"/>
        <v>0</v>
      </c>
      <c r="H7" s="53">
        <v>0</v>
      </c>
      <c r="I7" s="53">
        <v>0</v>
      </c>
      <c r="J7" s="46">
        <f t="shared" si="1"/>
        <v>0</v>
      </c>
      <c r="K7" s="46">
        <f t="shared" si="2"/>
        <v>0</v>
      </c>
      <c r="L7" s="46">
        <v>0</v>
      </c>
      <c r="M7" s="46">
        <f>M6+K7-L7</f>
        <v>0</v>
      </c>
      <c r="N7" s="19"/>
    </row>
    <row r="8" spans="1:14">
      <c r="A8" s="28">
        <v>5</v>
      </c>
      <c r="B8" s="29">
        <v>45843</v>
      </c>
      <c r="C8" s="19"/>
      <c r="D8" s="19"/>
      <c r="E8" s="106">
        <v>0</v>
      </c>
      <c r="F8" s="106">
        <v>0</v>
      </c>
      <c r="G8" s="46">
        <f t="shared" si="0"/>
        <v>0</v>
      </c>
      <c r="H8" s="53">
        <v>0</v>
      </c>
      <c r="I8" s="53">
        <v>0</v>
      </c>
      <c r="J8" s="46">
        <f t="shared" si="1"/>
        <v>0</v>
      </c>
      <c r="K8" s="46">
        <f t="shared" si="2"/>
        <v>0</v>
      </c>
      <c r="L8" s="46">
        <v>0</v>
      </c>
      <c r="M8" s="46">
        <f>M7+K8-L8</f>
        <v>0</v>
      </c>
      <c r="N8" s="19"/>
    </row>
    <row r="9" spans="1:14">
      <c r="A9" s="28">
        <v>6</v>
      </c>
      <c r="B9" s="29">
        <v>45844</v>
      </c>
      <c r="C9" s="19"/>
      <c r="D9" s="19"/>
      <c r="E9" s="106">
        <v>0</v>
      </c>
      <c r="F9" s="106">
        <v>0</v>
      </c>
      <c r="G9" s="46">
        <f t="shared" si="0"/>
        <v>0</v>
      </c>
      <c r="H9" s="53">
        <v>0</v>
      </c>
      <c r="I9" s="53">
        <v>0</v>
      </c>
      <c r="J9" s="46">
        <f t="shared" si="1"/>
        <v>0</v>
      </c>
      <c r="K9" s="46">
        <f t="shared" si="2"/>
        <v>0</v>
      </c>
      <c r="L9" s="46">
        <v>0</v>
      </c>
      <c r="M9" s="46">
        <f t="shared" ref="M9:M34" si="3">M8+K9-L9</f>
        <v>0</v>
      </c>
      <c r="N9" s="19"/>
    </row>
    <row r="10" spans="1:14">
      <c r="A10" s="28">
        <v>7</v>
      </c>
      <c r="B10" s="29">
        <v>45845</v>
      </c>
      <c r="C10" s="19"/>
      <c r="D10" s="19"/>
      <c r="E10" s="106">
        <v>0</v>
      </c>
      <c r="F10" s="106">
        <v>0</v>
      </c>
      <c r="G10" s="46">
        <f t="shared" si="0"/>
        <v>0</v>
      </c>
      <c r="H10" s="53">
        <v>0</v>
      </c>
      <c r="I10" s="53">
        <v>0</v>
      </c>
      <c r="J10" s="46">
        <f t="shared" si="1"/>
        <v>0</v>
      </c>
      <c r="K10" s="46">
        <f t="shared" si="2"/>
        <v>0</v>
      </c>
      <c r="L10" s="46">
        <v>0</v>
      </c>
      <c r="M10" s="46">
        <f t="shared" si="3"/>
        <v>0</v>
      </c>
      <c r="N10" s="19"/>
    </row>
    <row r="11" spans="1:14">
      <c r="A11" s="28">
        <v>8</v>
      </c>
      <c r="B11" s="29">
        <v>45846</v>
      </c>
      <c r="C11" s="19"/>
      <c r="D11" s="19"/>
      <c r="E11" s="106">
        <v>0</v>
      </c>
      <c r="F11" s="106">
        <v>0</v>
      </c>
      <c r="G11" s="46">
        <f t="shared" si="0"/>
        <v>0</v>
      </c>
      <c r="H11" s="53">
        <v>0</v>
      </c>
      <c r="I11" s="53">
        <v>0</v>
      </c>
      <c r="J11" s="46">
        <f t="shared" si="1"/>
        <v>0</v>
      </c>
      <c r="K11" s="46">
        <f t="shared" si="2"/>
        <v>0</v>
      </c>
      <c r="L11" s="46">
        <v>0</v>
      </c>
      <c r="M11" s="46">
        <f t="shared" si="3"/>
        <v>0</v>
      </c>
      <c r="N11" s="19"/>
    </row>
    <row r="12" spans="1:14">
      <c r="A12" s="28">
        <v>9</v>
      </c>
      <c r="B12" s="29">
        <v>45847</v>
      </c>
      <c r="C12" s="19"/>
      <c r="D12" s="19"/>
      <c r="E12" s="106">
        <v>0</v>
      </c>
      <c r="F12" s="106">
        <v>0</v>
      </c>
      <c r="G12" s="46">
        <f t="shared" si="0"/>
        <v>0</v>
      </c>
      <c r="H12" s="53">
        <v>0</v>
      </c>
      <c r="I12" s="53">
        <v>0</v>
      </c>
      <c r="J12" s="46">
        <f t="shared" si="1"/>
        <v>0</v>
      </c>
      <c r="K12" s="46">
        <f t="shared" si="2"/>
        <v>0</v>
      </c>
      <c r="L12" s="46">
        <v>0</v>
      </c>
      <c r="M12" s="46">
        <f t="shared" si="3"/>
        <v>0</v>
      </c>
      <c r="N12" s="19"/>
    </row>
    <row r="13" spans="1:14">
      <c r="A13" s="28">
        <v>10</v>
      </c>
      <c r="B13" s="29">
        <v>45848</v>
      </c>
      <c r="C13" s="19"/>
      <c r="D13" s="19"/>
      <c r="E13" s="106">
        <v>0</v>
      </c>
      <c r="F13" s="106">
        <v>0</v>
      </c>
      <c r="G13" s="46">
        <f t="shared" si="0"/>
        <v>0</v>
      </c>
      <c r="H13" s="53">
        <v>0</v>
      </c>
      <c r="I13" s="53">
        <v>0</v>
      </c>
      <c r="J13" s="46">
        <f t="shared" si="1"/>
        <v>0</v>
      </c>
      <c r="K13" s="46">
        <f t="shared" si="2"/>
        <v>0</v>
      </c>
      <c r="L13" s="46">
        <v>0</v>
      </c>
      <c r="M13" s="46">
        <f t="shared" si="3"/>
        <v>0</v>
      </c>
      <c r="N13" s="19"/>
    </row>
    <row r="14" spans="1:14">
      <c r="A14" s="28">
        <v>11</v>
      </c>
      <c r="B14" s="29">
        <v>45849</v>
      </c>
      <c r="C14" s="19"/>
      <c r="D14" s="19"/>
      <c r="E14" s="106">
        <v>0</v>
      </c>
      <c r="F14" s="106">
        <v>0</v>
      </c>
      <c r="G14" s="46">
        <f t="shared" si="0"/>
        <v>0</v>
      </c>
      <c r="H14" s="53">
        <v>0</v>
      </c>
      <c r="I14" s="53">
        <v>0</v>
      </c>
      <c r="J14" s="46">
        <f t="shared" si="1"/>
        <v>0</v>
      </c>
      <c r="K14" s="46">
        <f t="shared" si="2"/>
        <v>0</v>
      </c>
      <c r="L14" s="46">
        <v>0</v>
      </c>
      <c r="M14" s="46">
        <f t="shared" si="3"/>
        <v>0</v>
      </c>
      <c r="N14" s="19"/>
    </row>
    <row r="15" spans="1:14">
      <c r="A15" s="28">
        <v>12</v>
      </c>
      <c r="B15" s="29">
        <v>45850</v>
      </c>
      <c r="C15" s="19"/>
      <c r="D15" s="19"/>
      <c r="E15" s="106">
        <v>0</v>
      </c>
      <c r="F15" s="106">
        <v>0</v>
      </c>
      <c r="G15" s="46">
        <f t="shared" si="0"/>
        <v>0</v>
      </c>
      <c r="H15" s="53">
        <v>0</v>
      </c>
      <c r="I15" s="53">
        <v>0</v>
      </c>
      <c r="J15" s="46">
        <f t="shared" si="1"/>
        <v>0</v>
      </c>
      <c r="K15" s="46">
        <f t="shared" si="2"/>
        <v>0</v>
      </c>
      <c r="L15" s="46">
        <v>0</v>
      </c>
      <c r="M15" s="46">
        <f t="shared" si="3"/>
        <v>0</v>
      </c>
      <c r="N15" s="19"/>
    </row>
    <row r="16" spans="1:14">
      <c r="A16" s="28">
        <v>13</v>
      </c>
      <c r="B16" s="29">
        <v>45851</v>
      </c>
      <c r="C16" s="19"/>
      <c r="D16" s="19"/>
      <c r="E16" s="106">
        <v>0</v>
      </c>
      <c r="F16" s="106">
        <v>0</v>
      </c>
      <c r="G16" s="46">
        <f t="shared" si="0"/>
        <v>0</v>
      </c>
      <c r="H16" s="53">
        <v>0</v>
      </c>
      <c r="I16" s="53">
        <v>0</v>
      </c>
      <c r="J16" s="46">
        <f t="shared" si="1"/>
        <v>0</v>
      </c>
      <c r="K16" s="46">
        <f t="shared" si="2"/>
        <v>0</v>
      </c>
      <c r="L16" s="46">
        <v>0</v>
      </c>
      <c r="M16" s="46">
        <f t="shared" si="3"/>
        <v>0</v>
      </c>
      <c r="N16" s="19"/>
    </row>
    <row r="17" spans="1:17">
      <c r="A17" s="28">
        <v>14</v>
      </c>
      <c r="B17" s="29">
        <v>45852</v>
      </c>
      <c r="C17" s="19"/>
      <c r="D17" s="19"/>
      <c r="E17" s="106">
        <v>0</v>
      </c>
      <c r="F17" s="106">
        <v>0</v>
      </c>
      <c r="G17" s="46">
        <f t="shared" si="0"/>
        <v>0</v>
      </c>
      <c r="H17" s="53">
        <v>0</v>
      </c>
      <c r="I17" s="53">
        <v>0</v>
      </c>
      <c r="J17" s="46">
        <f>H17*I17</f>
        <v>0</v>
      </c>
      <c r="K17" s="46">
        <f>G17+J17</f>
        <v>0</v>
      </c>
      <c r="L17" s="46">
        <v>0</v>
      </c>
      <c r="M17" s="46">
        <f t="shared" si="3"/>
        <v>0</v>
      </c>
      <c r="N17" s="19"/>
    </row>
    <row r="18" spans="1:17">
      <c r="A18" s="28">
        <v>15</v>
      </c>
      <c r="B18" s="29">
        <v>45853</v>
      </c>
      <c r="C18" s="19"/>
      <c r="D18" s="19"/>
      <c r="E18" s="106">
        <v>0</v>
      </c>
      <c r="F18" s="106">
        <v>0</v>
      </c>
      <c r="G18" s="46">
        <f t="shared" si="0"/>
        <v>0</v>
      </c>
      <c r="H18" s="53">
        <v>0</v>
      </c>
      <c r="I18" s="53">
        <v>0</v>
      </c>
      <c r="J18" s="46">
        <f t="shared" si="1"/>
        <v>0</v>
      </c>
      <c r="K18" s="46">
        <f t="shared" si="2"/>
        <v>0</v>
      </c>
      <c r="L18" s="46">
        <v>0</v>
      </c>
      <c r="M18" s="46">
        <f t="shared" si="3"/>
        <v>0</v>
      </c>
      <c r="N18" s="19"/>
    </row>
    <row r="19" spans="1:17">
      <c r="A19" s="28">
        <v>16</v>
      </c>
      <c r="B19" s="29">
        <v>45854</v>
      </c>
      <c r="C19" s="19"/>
      <c r="D19" s="19"/>
      <c r="E19" s="106">
        <v>0</v>
      </c>
      <c r="F19" s="106">
        <v>0</v>
      </c>
      <c r="G19" s="46">
        <f t="shared" si="0"/>
        <v>0</v>
      </c>
      <c r="H19" s="53">
        <v>0</v>
      </c>
      <c r="I19" s="53">
        <v>0</v>
      </c>
      <c r="J19" s="46">
        <f t="shared" si="1"/>
        <v>0</v>
      </c>
      <c r="K19" s="46">
        <f t="shared" si="2"/>
        <v>0</v>
      </c>
      <c r="L19" s="46">
        <v>0</v>
      </c>
      <c r="M19" s="46">
        <f t="shared" si="3"/>
        <v>0</v>
      </c>
      <c r="N19" s="19"/>
    </row>
    <row r="20" spans="1:17">
      <c r="A20" s="28">
        <v>17</v>
      </c>
      <c r="B20" s="29">
        <v>45855</v>
      </c>
      <c r="C20" s="19"/>
      <c r="D20" s="19"/>
      <c r="E20" s="106">
        <v>0</v>
      </c>
      <c r="F20" s="106">
        <v>0</v>
      </c>
      <c r="G20" s="46">
        <f t="shared" si="0"/>
        <v>0</v>
      </c>
      <c r="H20" s="53">
        <v>0</v>
      </c>
      <c r="I20" s="53">
        <v>0</v>
      </c>
      <c r="J20" s="46">
        <f t="shared" si="1"/>
        <v>0</v>
      </c>
      <c r="K20" s="46">
        <f t="shared" si="2"/>
        <v>0</v>
      </c>
      <c r="L20" s="46">
        <v>0</v>
      </c>
      <c r="M20" s="46">
        <f t="shared" si="3"/>
        <v>0</v>
      </c>
      <c r="N20" s="19"/>
    </row>
    <row r="21" spans="1:17">
      <c r="A21" s="28">
        <v>18</v>
      </c>
      <c r="B21" s="29">
        <v>45856</v>
      </c>
      <c r="C21" s="19"/>
      <c r="D21" s="19"/>
      <c r="E21" s="106">
        <v>0</v>
      </c>
      <c r="F21" s="106">
        <v>0</v>
      </c>
      <c r="G21" s="46">
        <f t="shared" si="0"/>
        <v>0</v>
      </c>
      <c r="H21" s="53">
        <v>0</v>
      </c>
      <c r="I21" s="53">
        <v>0</v>
      </c>
      <c r="J21" s="46">
        <f t="shared" si="1"/>
        <v>0</v>
      </c>
      <c r="K21" s="46">
        <f t="shared" si="2"/>
        <v>0</v>
      </c>
      <c r="L21" s="46">
        <v>0</v>
      </c>
      <c r="M21" s="46">
        <f t="shared" si="3"/>
        <v>0</v>
      </c>
      <c r="N21" s="19"/>
    </row>
    <row r="22" spans="1:17">
      <c r="A22" s="28">
        <v>19</v>
      </c>
      <c r="B22" s="29">
        <v>45857</v>
      </c>
      <c r="C22" s="19"/>
      <c r="D22" s="19"/>
      <c r="E22" s="106">
        <v>0</v>
      </c>
      <c r="F22" s="106">
        <v>0</v>
      </c>
      <c r="G22" s="46">
        <f t="shared" si="0"/>
        <v>0</v>
      </c>
      <c r="H22" s="53">
        <v>0</v>
      </c>
      <c r="I22" s="53">
        <v>0</v>
      </c>
      <c r="J22" s="46">
        <f t="shared" si="1"/>
        <v>0</v>
      </c>
      <c r="K22" s="46">
        <f t="shared" si="2"/>
        <v>0</v>
      </c>
      <c r="L22" s="46">
        <v>0</v>
      </c>
      <c r="M22" s="46">
        <f t="shared" si="3"/>
        <v>0</v>
      </c>
      <c r="N22" s="19"/>
    </row>
    <row r="23" spans="1:17">
      <c r="A23" s="28">
        <v>20</v>
      </c>
      <c r="B23" s="29">
        <v>45858</v>
      </c>
      <c r="C23" s="19"/>
      <c r="D23" s="19"/>
      <c r="E23" s="106">
        <v>0</v>
      </c>
      <c r="F23" s="106">
        <v>0</v>
      </c>
      <c r="G23" s="46">
        <f t="shared" si="0"/>
        <v>0</v>
      </c>
      <c r="H23" s="53">
        <v>0</v>
      </c>
      <c r="I23" s="53">
        <v>0</v>
      </c>
      <c r="J23" s="46">
        <f t="shared" si="1"/>
        <v>0</v>
      </c>
      <c r="K23" s="46">
        <f t="shared" si="2"/>
        <v>0</v>
      </c>
      <c r="L23" s="46">
        <v>0</v>
      </c>
      <c r="M23" s="46">
        <f t="shared" si="3"/>
        <v>0</v>
      </c>
      <c r="N23" s="19"/>
    </row>
    <row r="24" spans="1:17">
      <c r="A24" s="28">
        <v>21</v>
      </c>
      <c r="B24" s="29">
        <v>45859</v>
      </c>
      <c r="C24" s="19"/>
      <c r="D24" s="19"/>
      <c r="E24" s="106">
        <v>219.15</v>
      </c>
      <c r="F24" s="106">
        <v>91.26</v>
      </c>
      <c r="G24" s="46">
        <f t="shared" si="0"/>
        <v>19999.629000000001</v>
      </c>
      <c r="H24" s="53">
        <v>0</v>
      </c>
      <c r="I24" s="53">
        <v>0</v>
      </c>
      <c r="J24" s="46">
        <f t="shared" si="1"/>
        <v>0</v>
      </c>
      <c r="K24" s="46">
        <f t="shared" si="2"/>
        <v>19999.629000000001</v>
      </c>
      <c r="L24" s="46">
        <f t="shared" si="2"/>
        <v>19999.629000000001</v>
      </c>
      <c r="M24" s="46">
        <f t="shared" si="3"/>
        <v>0</v>
      </c>
      <c r="N24" s="19"/>
    </row>
    <row r="25" spans="1:17">
      <c r="A25" s="28">
        <v>22</v>
      </c>
      <c r="B25" s="29">
        <v>45860</v>
      </c>
      <c r="C25" s="19"/>
      <c r="D25" s="19"/>
      <c r="E25" s="106">
        <v>0</v>
      </c>
      <c r="F25" s="106">
        <v>0</v>
      </c>
      <c r="G25" s="46">
        <f t="shared" si="0"/>
        <v>0</v>
      </c>
      <c r="H25" s="53">
        <v>0</v>
      </c>
      <c r="I25" s="53">
        <v>0</v>
      </c>
      <c r="J25" s="46">
        <f t="shared" si="1"/>
        <v>0</v>
      </c>
      <c r="K25" s="46">
        <f t="shared" si="2"/>
        <v>0</v>
      </c>
      <c r="L25" s="46">
        <v>0</v>
      </c>
      <c r="M25" s="46">
        <f t="shared" si="3"/>
        <v>0</v>
      </c>
      <c r="N25" s="19"/>
    </row>
    <row r="26" spans="1:17">
      <c r="A26" s="28">
        <v>23</v>
      </c>
      <c r="B26" s="29">
        <v>45861</v>
      </c>
      <c r="C26" s="19"/>
      <c r="D26" s="19"/>
      <c r="E26" s="106">
        <v>0</v>
      </c>
      <c r="F26" s="106">
        <v>0</v>
      </c>
      <c r="G26" s="46">
        <f t="shared" si="0"/>
        <v>0</v>
      </c>
      <c r="H26" s="53">
        <v>0</v>
      </c>
      <c r="I26" s="53">
        <v>0</v>
      </c>
      <c r="J26" s="46">
        <f t="shared" si="1"/>
        <v>0</v>
      </c>
      <c r="K26" s="46">
        <f t="shared" si="2"/>
        <v>0</v>
      </c>
      <c r="L26" s="46">
        <v>0</v>
      </c>
      <c r="M26" s="46">
        <f t="shared" si="3"/>
        <v>0</v>
      </c>
      <c r="N26" s="19"/>
      <c r="P26" s="24"/>
    </row>
    <row r="27" spans="1:17">
      <c r="A27" s="28">
        <v>24</v>
      </c>
      <c r="B27" s="29">
        <v>45862</v>
      </c>
      <c r="C27" s="19"/>
      <c r="D27" s="19"/>
      <c r="E27" s="106">
        <v>0</v>
      </c>
      <c r="F27" s="106">
        <v>0</v>
      </c>
      <c r="G27" s="46">
        <f t="shared" si="0"/>
        <v>0</v>
      </c>
      <c r="H27" s="53">
        <v>0</v>
      </c>
      <c r="I27" s="53">
        <v>0</v>
      </c>
      <c r="J27" s="46">
        <f t="shared" si="1"/>
        <v>0</v>
      </c>
      <c r="K27" s="46">
        <f t="shared" si="2"/>
        <v>0</v>
      </c>
      <c r="L27" s="46">
        <v>0</v>
      </c>
      <c r="M27" s="46">
        <f t="shared" si="3"/>
        <v>0</v>
      </c>
      <c r="N27" s="19"/>
    </row>
    <row r="28" spans="1:17">
      <c r="A28" s="28">
        <v>25</v>
      </c>
      <c r="B28" s="29">
        <v>45863</v>
      </c>
      <c r="C28" s="19"/>
      <c r="D28" s="284"/>
      <c r="E28" s="106">
        <v>0</v>
      </c>
      <c r="F28" s="106">
        <v>0</v>
      </c>
      <c r="G28" s="46">
        <f t="shared" si="0"/>
        <v>0</v>
      </c>
      <c r="H28" s="53">
        <v>0</v>
      </c>
      <c r="I28" s="53">
        <v>0</v>
      </c>
      <c r="J28" s="46">
        <f t="shared" si="1"/>
        <v>0</v>
      </c>
      <c r="K28" s="46">
        <f t="shared" si="2"/>
        <v>0</v>
      </c>
      <c r="L28" s="46">
        <v>0</v>
      </c>
      <c r="M28" s="46">
        <f t="shared" si="3"/>
        <v>0</v>
      </c>
      <c r="N28" s="19"/>
    </row>
    <row r="29" spans="1:17">
      <c r="A29" s="28">
        <v>26</v>
      </c>
      <c r="B29" s="29">
        <v>45864</v>
      </c>
      <c r="C29" s="19"/>
      <c r="D29" s="19"/>
      <c r="E29" s="106">
        <v>0</v>
      </c>
      <c r="F29" s="106">
        <v>0</v>
      </c>
      <c r="G29" s="46">
        <f t="shared" si="0"/>
        <v>0</v>
      </c>
      <c r="H29" s="53">
        <v>0</v>
      </c>
      <c r="I29" s="53">
        <v>0</v>
      </c>
      <c r="J29" s="46">
        <f t="shared" si="1"/>
        <v>0</v>
      </c>
      <c r="K29" s="46">
        <f t="shared" si="2"/>
        <v>0</v>
      </c>
      <c r="L29" s="46">
        <v>0</v>
      </c>
      <c r="M29" s="46">
        <f t="shared" si="3"/>
        <v>0</v>
      </c>
      <c r="N29" s="19"/>
    </row>
    <row r="30" spans="1:17">
      <c r="A30" s="28">
        <v>27</v>
      </c>
      <c r="B30" s="29">
        <v>45865</v>
      </c>
      <c r="C30" s="19"/>
      <c r="D30" s="19"/>
      <c r="E30" s="106">
        <v>0</v>
      </c>
      <c r="F30" s="106">
        <v>0</v>
      </c>
      <c r="G30" s="46">
        <f t="shared" si="0"/>
        <v>0</v>
      </c>
      <c r="H30" s="53">
        <v>0</v>
      </c>
      <c r="I30" s="53">
        <v>0</v>
      </c>
      <c r="J30" s="46">
        <f t="shared" si="1"/>
        <v>0</v>
      </c>
      <c r="K30" s="46">
        <f t="shared" si="2"/>
        <v>0</v>
      </c>
      <c r="L30" s="46">
        <v>0</v>
      </c>
      <c r="M30" s="46">
        <f t="shared" si="3"/>
        <v>0</v>
      </c>
      <c r="N30" s="19"/>
    </row>
    <row r="31" spans="1:17">
      <c r="A31" s="28">
        <v>28</v>
      </c>
      <c r="B31" s="29">
        <v>45866</v>
      </c>
      <c r="C31" s="19"/>
      <c r="D31" s="19"/>
      <c r="E31" s="106">
        <v>0</v>
      </c>
      <c r="F31" s="106">
        <v>0</v>
      </c>
      <c r="G31" s="46">
        <f t="shared" si="0"/>
        <v>0</v>
      </c>
      <c r="H31" s="53">
        <v>0</v>
      </c>
      <c r="I31" s="53">
        <v>0</v>
      </c>
      <c r="J31" s="46">
        <f t="shared" si="1"/>
        <v>0</v>
      </c>
      <c r="K31" s="46">
        <f t="shared" si="2"/>
        <v>0</v>
      </c>
      <c r="L31" s="46">
        <v>0</v>
      </c>
      <c r="M31" s="46">
        <f t="shared" si="3"/>
        <v>0</v>
      </c>
      <c r="N31" s="19"/>
    </row>
    <row r="32" spans="1:17">
      <c r="A32" s="28">
        <v>29</v>
      </c>
      <c r="B32" s="29">
        <v>45867</v>
      </c>
      <c r="C32" s="19"/>
      <c r="D32" s="19"/>
      <c r="E32" s="106">
        <v>0</v>
      </c>
      <c r="F32" s="106">
        <v>0</v>
      </c>
      <c r="G32" s="46">
        <f t="shared" si="0"/>
        <v>0</v>
      </c>
      <c r="H32" s="53">
        <v>0</v>
      </c>
      <c r="I32" s="53">
        <v>0</v>
      </c>
      <c r="J32" s="46">
        <f t="shared" si="1"/>
        <v>0</v>
      </c>
      <c r="K32" s="46">
        <f t="shared" si="2"/>
        <v>0</v>
      </c>
      <c r="L32" s="46">
        <v>0</v>
      </c>
      <c r="M32" s="46">
        <f t="shared" si="3"/>
        <v>0</v>
      </c>
      <c r="N32" s="19"/>
      <c r="Q32" s="46"/>
    </row>
    <row r="33" spans="1:17">
      <c r="A33" s="28">
        <v>30</v>
      </c>
      <c r="B33" s="29">
        <v>45868</v>
      </c>
      <c r="C33" s="19"/>
      <c r="D33" s="19"/>
      <c r="E33" s="106">
        <v>0</v>
      </c>
      <c r="F33" s="106">
        <v>0</v>
      </c>
      <c r="G33" s="46">
        <f t="shared" si="0"/>
        <v>0</v>
      </c>
      <c r="H33" s="53">
        <v>0</v>
      </c>
      <c r="I33" s="53">
        <v>0</v>
      </c>
      <c r="J33" s="46">
        <f t="shared" si="1"/>
        <v>0</v>
      </c>
      <c r="K33" s="46">
        <f t="shared" si="2"/>
        <v>0</v>
      </c>
      <c r="L33" s="46">
        <v>0</v>
      </c>
      <c r="M33" s="46">
        <f t="shared" si="3"/>
        <v>0</v>
      </c>
      <c r="N33" s="19"/>
    </row>
    <row r="34" spans="1:17">
      <c r="A34" s="28">
        <v>31</v>
      </c>
      <c r="B34" s="29">
        <v>45869</v>
      </c>
      <c r="C34" s="19"/>
      <c r="D34" s="19"/>
      <c r="E34" s="106">
        <v>0</v>
      </c>
      <c r="F34" s="106">
        <v>0</v>
      </c>
      <c r="G34" s="46">
        <f t="shared" si="0"/>
        <v>0</v>
      </c>
      <c r="H34" s="53">
        <v>0</v>
      </c>
      <c r="I34" s="53">
        <v>0</v>
      </c>
      <c r="J34" s="46">
        <f t="shared" si="1"/>
        <v>0</v>
      </c>
      <c r="K34" s="46">
        <f t="shared" si="2"/>
        <v>0</v>
      </c>
      <c r="L34" s="46">
        <v>0</v>
      </c>
      <c r="M34" s="46">
        <f t="shared" si="3"/>
        <v>0</v>
      </c>
      <c r="N34" s="19"/>
      <c r="Q34" s="295"/>
    </row>
    <row r="35" spans="1:17">
      <c r="A35" s="28">
        <v>32</v>
      </c>
      <c r="B35" s="29">
        <v>45870</v>
      </c>
      <c r="C35" s="19"/>
      <c r="D35" s="19"/>
      <c r="E35" s="106">
        <v>0</v>
      </c>
      <c r="F35" s="106">
        <v>0</v>
      </c>
      <c r="G35" s="46">
        <f t="shared" si="0"/>
        <v>0</v>
      </c>
      <c r="H35" s="53">
        <v>0</v>
      </c>
      <c r="I35" s="53">
        <v>0</v>
      </c>
      <c r="J35" s="46">
        <f t="shared" si="1"/>
        <v>0</v>
      </c>
      <c r="K35" s="46">
        <f t="shared" si="2"/>
        <v>0</v>
      </c>
      <c r="L35" s="46">
        <v>0</v>
      </c>
      <c r="M35" s="46">
        <f t="shared" ref="M9:M35" si="4">M34+K35-L35</f>
        <v>0</v>
      </c>
      <c r="N35" s="19"/>
      <c r="Q35" s="295"/>
    </row>
    <row r="36" spans="1:17">
      <c r="A36" s="51"/>
      <c r="B36" s="51"/>
      <c r="C36" s="51"/>
      <c r="D36" s="51"/>
      <c r="E36" s="51">
        <f>SUM(E4:E35)</f>
        <v>219.15</v>
      </c>
      <c r="F36" s="51"/>
      <c r="G36" s="51">
        <f>SUM(G4:G35)</f>
        <v>19999.629000000001</v>
      </c>
      <c r="H36" s="51">
        <f>SUM(H4:H35)</f>
        <v>0</v>
      </c>
      <c r="I36" s="51"/>
      <c r="J36" s="51">
        <f>SUM(J4:J35)</f>
        <v>0</v>
      </c>
      <c r="K36" s="51">
        <f>SUM(K4:K35)</f>
        <v>19999.629000000001</v>
      </c>
      <c r="L36" s="51">
        <f>SUM(L4:L35)</f>
        <v>607810.42340000009</v>
      </c>
      <c r="M36" s="51"/>
      <c r="N36" s="51"/>
      <c r="Q36" s="295"/>
    </row>
  </sheetData>
  <mergeCells count="1">
    <mergeCell ref="A1:N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D717-3CA9-494A-8EBD-D74F2C499AC3}">
  <dimension ref="A1:Q36"/>
  <sheetViews>
    <sheetView topLeftCell="A13" workbookViewId="0">
      <selection activeCell="T36" sqref="T36"/>
    </sheetView>
  </sheetViews>
  <sheetFormatPr defaultRowHeight="15"/>
  <cols>
    <col min="1" max="1" width="5.140625" bestFit="1" customWidth="1"/>
    <col min="3" max="3" width="8" bestFit="1" customWidth="1"/>
    <col min="4" max="4" width="16" bestFit="1" customWidth="1"/>
    <col min="5" max="5" width="10.7109375" bestFit="1" customWidth="1"/>
    <col min="6" max="6" width="6.140625" bestFit="1" customWidth="1"/>
    <col min="7" max="7" width="9.28515625" bestFit="1" customWidth="1"/>
    <col min="8" max="8" width="10.7109375" bestFit="1" customWidth="1"/>
    <col min="9" max="9" width="9.28515625" customWidth="1"/>
    <col min="10" max="10" width="8.7109375" bestFit="1" customWidth="1"/>
    <col min="11" max="12" width="13.5703125" bestFit="1" customWidth="1"/>
    <col min="13" max="13" width="11.28515625" bestFit="1" customWidth="1"/>
    <col min="14" max="14" width="8.7109375" bestFit="1" customWidth="1"/>
  </cols>
  <sheetData>
    <row r="1" spans="1:17" ht="15.75">
      <c r="A1" s="445" t="s">
        <v>99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105"/>
      <c r="P1" s="105"/>
      <c r="Q1" s="105"/>
    </row>
    <row r="2" spans="1:17">
      <c r="A2" s="76" t="s">
        <v>105</v>
      </c>
      <c r="B2" s="76" t="s">
        <v>106</v>
      </c>
      <c r="C2" s="76" t="s">
        <v>107</v>
      </c>
      <c r="D2" s="76" t="s">
        <v>108</v>
      </c>
      <c r="E2" s="104" t="s">
        <v>109</v>
      </c>
      <c r="F2" s="104" t="s">
        <v>110</v>
      </c>
      <c r="G2" s="104" t="s">
        <v>111</v>
      </c>
      <c r="H2" s="104" t="s">
        <v>112</v>
      </c>
      <c r="I2" s="104" t="s">
        <v>110</v>
      </c>
      <c r="J2" s="104" t="s">
        <v>111</v>
      </c>
      <c r="K2" s="104" t="s">
        <v>113</v>
      </c>
      <c r="L2" s="98" t="s">
        <v>114</v>
      </c>
      <c r="M2" s="98" t="s">
        <v>119</v>
      </c>
      <c r="N2" s="76" t="s">
        <v>116</v>
      </c>
    </row>
    <row r="3" spans="1:17">
      <c r="A3" s="19"/>
      <c r="B3" s="19"/>
      <c r="C3" s="19"/>
      <c r="D3" s="19" t="s">
        <v>117</v>
      </c>
      <c r="E3" s="19"/>
      <c r="F3" s="19"/>
      <c r="G3" s="19"/>
      <c r="H3" s="19"/>
      <c r="I3" s="19"/>
      <c r="J3" s="19"/>
      <c r="K3" s="46">
        <v>0</v>
      </c>
      <c r="L3" s="19"/>
      <c r="M3" s="46">
        <v>0</v>
      </c>
      <c r="N3" s="19"/>
    </row>
    <row r="4" spans="1:17">
      <c r="A4" s="28">
        <v>1</v>
      </c>
      <c r="B4" s="29">
        <v>45839</v>
      </c>
      <c r="C4" s="19"/>
      <c r="D4" s="19"/>
      <c r="E4" s="106">
        <v>0</v>
      </c>
      <c r="F4" s="106">
        <v>0</v>
      </c>
      <c r="G4" s="46">
        <f>E4*F4</f>
        <v>0</v>
      </c>
      <c r="H4" s="53">
        <v>0</v>
      </c>
      <c r="I4" s="53">
        <v>0</v>
      </c>
      <c r="J4" s="46">
        <f>H4*I4</f>
        <v>0</v>
      </c>
      <c r="K4" s="46">
        <f>G4+J4</f>
        <v>0</v>
      </c>
      <c r="L4" s="46">
        <v>0</v>
      </c>
      <c r="M4" s="46">
        <f>M3+K4-L4</f>
        <v>0</v>
      </c>
      <c r="N4" s="19"/>
    </row>
    <row r="5" spans="1:17">
      <c r="A5" s="28">
        <v>2</v>
      </c>
      <c r="B5" s="29">
        <v>45840</v>
      </c>
      <c r="C5" s="19"/>
      <c r="D5" s="19"/>
      <c r="E5" s="106">
        <v>0</v>
      </c>
      <c r="F5" s="106">
        <v>0</v>
      </c>
      <c r="G5" s="46">
        <f t="shared" ref="G5:G35" si="0">E5*F5</f>
        <v>0</v>
      </c>
      <c r="H5" s="53">
        <v>0</v>
      </c>
      <c r="I5" s="53">
        <v>0</v>
      </c>
      <c r="J5" s="46">
        <f t="shared" ref="J5:J35" si="1">H5*I5</f>
        <v>0</v>
      </c>
      <c r="K5" s="46">
        <f t="shared" ref="K5:L35" si="2">G5+J5</f>
        <v>0</v>
      </c>
      <c r="L5" s="46">
        <v>0</v>
      </c>
      <c r="M5" s="46">
        <f>M4+K5-L5</f>
        <v>0</v>
      </c>
      <c r="N5" s="19"/>
    </row>
    <row r="6" spans="1:17">
      <c r="A6" s="28">
        <v>3</v>
      </c>
      <c r="B6" s="29">
        <v>45841</v>
      </c>
      <c r="C6" s="19"/>
      <c r="D6" s="19"/>
      <c r="E6" s="106">
        <v>0</v>
      </c>
      <c r="F6" s="106">
        <v>0</v>
      </c>
      <c r="G6" s="46">
        <f t="shared" si="0"/>
        <v>0</v>
      </c>
      <c r="H6" s="53">
        <v>0</v>
      </c>
      <c r="I6" s="53">
        <v>0</v>
      </c>
      <c r="J6" s="46">
        <f t="shared" si="1"/>
        <v>0</v>
      </c>
      <c r="K6" s="46">
        <f t="shared" si="2"/>
        <v>0</v>
      </c>
      <c r="L6" s="46">
        <v>0</v>
      </c>
      <c r="M6" s="46">
        <f>M5+K6-L6</f>
        <v>0</v>
      </c>
      <c r="N6" s="19"/>
    </row>
    <row r="7" spans="1:17">
      <c r="A7" s="28">
        <v>4</v>
      </c>
      <c r="B7" s="29">
        <v>45842</v>
      </c>
      <c r="C7" s="19"/>
      <c r="D7" s="19"/>
      <c r="E7" s="106">
        <v>0</v>
      </c>
      <c r="F7" s="106">
        <v>0</v>
      </c>
      <c r="G7" s="46">
        <f t="shared" si="0"/>
        <v>0</v>
      </c>
      <c r="H7" s="53">
        <v>0</v>
      </c>
      <c r="I7" s="53">
        <v>0</v>
      </c>
      <c r="J7" s="46">
        <f t="shared" si="1"/>
        <v>0</v>
      </c>
      <c r="K7" s="46">
        <f t="shared" si="2"/>
        <v>0</v>
      </c>
      <c r="L7" s="46">
        <v>0</v>
      </c>
      <c r="M7" s="46">
        <f>M6+K7-L7</f>
        <v>0</v>
      </c>
      <c r="N7" s="19"/>
    </row>
    <row r="8" spans="1:17">
      <c r="A8" s="28">
        <v>5</v>
      </c>
      <c r="B8" s="29">
        <v>45843</v>
      </c>
      <c r="C8" s="19"/>
      <c r="D8" s="19"/>
      <c r="E8" s="106">
        <v>0</v>
      </c>
      <c r="F8" s="106">
        <v>0</v>
      </c>
      <c r="G8" s="46">
        <f t="shared" si="0"/>
        <v>0</v>
      </c>
      <c r="H8" s="53">
        <v>0</v>
      </c>
      <c r="I8" s="53">
        <v>0</v>
      </c>
      <c r="J8" s="46">
        <f t="shared" si="1"/>
        <v>0</v>
      </c>
      <c r="K8" s="46">
        <f t="shared" si="2"/>
        <v>0</v>
      </c>
      <c r="L8" s="46">
        <v>0</v>
      </c>
      <c r="M8" s="46">
        <f>M7+K8-L8</f>
        <v>0</v>
      </c>
      <c r="N8" s="19"/>
    </row>
    <row r="9" spans="1:17">
      <c r="A9" s="28">
        <v>6</v>
      </c>
      <c r="B9" s="29">
        <v>45844</v>
      </c>
      <c r="C9" s="19"/>
      <c r="D9" s="19"/>
      <c r="E9" s="106">
        <v>0</v>
      </c>
      <c r="F9" s="106">
        <v>0</v>
      </c>
      <c r="G9" s="46">
        <f t="shared" si="0"/>
        <v>0</v>
      </c>
      <c r="H9" s="53">
        <v>0</v>
      </c>
      <c r="I9" s="53">
        <v>0</v>
      </c>
      <c r="J9" s="46">
        <f t="shared" si="1"/>
        <v>0</v>
      </c>
      <c r="K9" s="46">
        <f t="shared" si="2"/>
        <v>0</v>
      </c>
      <c r="L9" s="46">
        <v>0</v>
      </c>
      <c r="M9" s="46">
        <f t="shared" ref="M9:M35" si="3">M8+K9-L9</f>
        <v>0</v>
      </c>
      <c r="N9" s="19"/>
    </row>
    <row r="10" spans="1:17">
      <c r="A10" s="28">
        <v>7</v>
      </c>
      <c r="B10" s="29">
        <v>45845</v>
      </c>
      <c r="C10" s="19"/>
      <c r="D10" s="19"/>
      <c r="E10" s="106">
        <v>0</v>
      </c>
      <c r="F10" s="106">
        <v>0</v>
      </c>
      <c r="G10" s="46">
        <f t="shared" si="0"/>
        <v>0</v>
      </c>
      <c r="H10" s="53">
        <v>0</v>
      </c>
      <c r="I10" s="53">
        <v>0</v>
      </c>
      <c r="J10" s="46">
        <f t="shared" si="1"/>
        <v>0</v>
      </c>
      <c r="K10" s="46">
        <f t="shared" si="2"/>
        <v>0</v>
      </c>
      <c r="L10" s="46">
        <v>0</v>
      </c>
      <c r="M10" s="46">
        <f t="shared" si="3"/>
        <v>0</v>
      </c>
      <c r="N10" s="19"/>
    </row>
    <row r="11" spans="1:17">
      <c r="A11" s="28">
        <v>8</v>
      </c>
      <c r="B11" s="29">
        <v>45846</v>
      </c>
      <c r="C11" s="19"/>
      <c r="D11" s="19"/>
      <c r="E11" s="106">
        <v>0</v>
      </c>
      <c r="F11" s="106">
        <v>0</v>
      </c>
      <c r="G11" s="46">
        <f t="shared" si="0"/>
        <v>0</v>
      </c>
      <c r="H11" s="53">
        <v>0</v>
      </c>
      <c r="I11" s="53">
        <v>0</v>
      </c>
      <c r="J11" s="46">
        <f t="shared" si="1"/>
        <v>0</v>
      </c>
      <c r="K11" s="46">
        <f t="shared" si="2"/>
        <v>0</v>
      </c>
      <c r="L11" s="46">
        <v>0</v>
      </c>
      <c r="M11" s="46">
        <f t="shared" si="3"/>
        <v>0</v>
      </c>
      <c r="N11" s="19"/>
    </row>
    <row r="12" spans="1:17">
      <c r="A12" s="28">
        <v>9</v>
      </c>
      <c r="B12" s="29">
        <v>45847</v>
      </c>
      <c r="C12" s="19"/>
      <c r="D12" s="19"/>
      <c r="E12" s="106">
        <v>0</v>
      </c>
      <c r="F12" s="106">
        <v>0</v>
      </c>
      <c r="G12" s="46">
        <f t="shared" si="0"/>
        <v>0</v>
      </c>
      <c r="H12" s="53">
        <v>0</v>
      </c>
      <c r="I12" s="53">
        <v>0</v>
      </c>
      <c r="J12" s="46">
        <f t="shared" si="1"/>
        <v>0</v>
      </c>
      <c r="K12" s="46">
        <f t="shared" si="2"/>
        <v>0</v>
      </c>
      <c r="L12" s="46">
        <v>0</v>
      </c>
      <c r="M12" s="46">
        <f t="shared" si="3"/>
        <v>0</v>
      </c>
      <c r="N12" s="19"/>
    </row>
    <row r="13" spans="1:17">
      <c r="A13" s="28">
        <v>10</v>
      </c>
      <c r="B13" s="29">
        <v>45848</v>
      </c>
      <c r="C13" s="19"/>
      <c r="D13" s="19"/>
      <c r="E13" s="106">
        <v>0</v>
      </c>
      <c r="F13" s="106">
        <v>0</v>
      </c>
      <c r="G13" s="46">
        <f t="shared" si="0"/>
        <v>0</v>
      </c>
      <c r="H13" s="53">
        <v>0</v>
      </c>
      <c r="I13" s="53">
        <v>0</v>
      </c>
      <c r="J13" s="46">
        <f t="shared" si="1"/>
        <v>0</v>
      </c>
      <c r="K13" s="46">
        <f t="shared" si="2"/>
        <v>0</v>
      </c>
      <c r="L13" s="46">
        <v>0</v>
      </c>
      <c r="M13" s="46">
        <f t="shared" si="3"/>
        <v>0</v>
      </c>
      <c r="N13" s="19"/>
    </row>
    <row r="14" spans="1:17">
      <c r="A14" s="28">
        <v>11</v>
      </c>
      <c r="B14" s="29">
        <v>45849</v>
      </c>
      <c r="C14" s="19"/>
      <c r="D14" s="19"/>
      <c r="E14" s="106">
        <v>0</v>
      </c>
      <c r="F14" s="106">
        <v>0</v>
      </c>
      <c r="G14" s="46">
        <f t="shared" si="0"/>
        <v>0</v>
      </c>
      <c r="H14" s="53">
        <v>0</v>
      </c>
      <c r="I14" s="53">
        <v>0</v>
      </c>
      <c r="J14" s="46">
        <f t="shared" si="1"/>
        <v>0</v>
      </c>
      <c r="K14" s="46">
        <f t="shared" si="2"/>
        <v>0</v>
      </c>
      <c r="L14" s="46">
        <v>0</v>
      </c>
      <c r="M14" s="46">
        <f t="shared" si="3"/>
        <v>0</v>
      </c>
      <c r="N14" s="19"/>
    </row>
    <row r="15" spans="1:17">
      <c r="A15" s="28">
        <v>12</v>
      </c>
      <c r="B15" s="29">
        <v>45850</v>
      </c>
      <c r="C15" s="19"/>
      <c r="D15" s="19"/>
      <c r="E15" s="106">
        <v>0</v>
      </c>
      <c r="F15" s="106">
        <v>0</v>
      </c>
      <c r="G15" s="46">
        <f t="shared" si="0"/>
        <v>0</v>
      </c>
      <c r="H15" s="53">
        <v>0</v>
      </c>
      <c r="I15" s="53">
        <v>0</v>
      </c>
      <c r="J15" s="46">
        <f t="shared" si="1"/>
        <v>0</v>
      </c>
      <c r="K15" s="46">
        <f t="shared" si="2"/>
        <v>0</v>
      </c>
      <c r="L15" s="46">
        <v>0</v>
      </c>
      <c r="M15" s="46">
        <f t="shared" si="3"/>
        <v>0</v>
      </c>
      <c r="N15" s="19"/>
    </row>
    <row r="16" spans="1:17">
      <c r="A16" s="28">
        <v>13</v>
      </c>
      <c r="B16" s="29">
        <v>45851</v>
      </c>
      <c r="C16" s="19"/>
      <c r="D16" s="19"/>
      <c r="E16" s="106">
        <v>0</v>
      </c>
      <c r="F16" s="106">
        <v>0</v>
      </c>
      <c r="G16" s="46">
        <f t="shared" si="0"/>
        <v>0</v>
      </c>
      <c r="H16" s="53">
        <v>0</v>
      </c>
      <c r="I16" s="53">
        <v>0</v>
      </c>
      <c r="J16" s="46">
        <f t="shared" si="1"/>
        <v>0</v>
      </c>
      <c r="K16" s="46">
        <f t="shared" si="2"/>
        <v>0</v>
      </c>
      <c r="L16" s="46">
        <v>0</v>
      </c>
      <c r="M16" s="46">
        <f t="shared" si="3"/>
        <v>0</v>
      </c>
      <c r="N16" s="19"/>
    </row>
    <row r="17" spans="1:17">
      <c r="A17" s="28">
        <v>14</v>
      </c>
      <c r="B17" s="29">
        <v>45852</v>
      </c>
      <c r="C17" s="19"/>
      <c r="D17" s="19"/>
      <c r="E17" s="106">
        <v>0</v>
      </c>
      <c r="F17" s="106">
        <v>0</v>
      </c>
      <c r="G17" s="46">
        <f t="shared" si="0"/>
        <v>0</v>
      </c>
      <c r="H17" s="53">
        <v>0</v>
      </c>
      <c r="I17" s="53">
        <v>0</v>
      </c>
      <c r="J17" s="46">
        <f>H17*I17</f>
        <v>0</v>
      </c>
      <c r="K17" s="46">
        <f>G17+J17</f>
        <v>0</v>
      </c>
      <c r="L17" s="46">
        <v>0</v>
      </c>
      <c r="M17" s="46">
        <f t="shared" si="3"/>
        <v>0</v>
      </c>
      <c r="N17" s="19"/>
    </row>
    <row r="18" spans="1:17">
      <c r="A18" s="28">
        <v>15</v>
      </c>
      <c r="B18" s="29">
        <v>45853</v>
      </c>
      <c r="C18" s="19"/>
      <c r="D18" s="19"/>
      <c r="E18" s="106">
        <v>0</v>
      </c>
      <c r="F18" s="106">
        <v>0</v>
      </c>
      <c r="G18" s="46">
        <f t="shared" si="0"/>
        <v>0</v>
      </c>
      <c r="H18" s="53">
        <v>0</v>
      </c>
      <c r="I18" s="53">
        <v>0</v>
      </c>
      <c r="J18" s="46">
        <f t="shared" si="1"/>
        <v>0</v>
      </c>
      <c r="K18" s="46">
        <f t="shared" si="2"/>
        <v>0</v>
      </c>
      <c r="L18" s="46">
        <v>0</v>
      </c>
      <c r="M18" s="46">
        <f t="shared" si="3"/>
        <v>0</v>
      </c>
      <c r="N18" s="19"/>
    </row>
    <row r="19" spans="1:17">
      <c r="A19" s="28">
        <v>16</v>
      </c>
      <c r="B19" s="29">
        <v>45854</v>
      </c>
      <c r="C19" s="19"/>
      <c r="D19" s="19"/>
      <c r="E19" s="106">
        <v>0</v>
      </c>
      <c r="F19" s="106">
        <v>0</v>
      </c>
      <c r="G19" s="46">
        <f t="shared" si="0"/>
        <v>0</v>
      </c>
      <c r="H19" s="53">
        <v>0</v>
      </c>
      <c r="I19" s="53">
        <v>0</v>
      </c>
      <c r="J19" s="46">
        <f t="shared" si="1"/>
        <v>0</v>
      </c>
      <c r="K19" s="46">
        <f t="shared" si="2"/>
        <v>0</v>
      </c>
      <c r="L19" s="46">
        <v>0</v>
      </c>
      <c r="M19" s="46">
        <f t="shared" si="3"/>
        <v>0</v>
      </c>
      <c r="N19" s="19"/>
    </row>
    <row r="20" spans="1:17">
      <c r="A20" s="28">
        <v>17</v>
      </c>
      <c r="B20" s="29">
        <v>45855</v>
      </c>
      <c r="C20" s="19"/>
      <c r="D20" s="19"/>
      <c r="E20" s="106">
        <v>0</v>
      </c>
      <c r="F20" s="106">
        <v>0</v>
      </c>
      <c r="G20" s="46">
        <f t="shared" si="0"/>
        <v>0</v>
      </c>
      <c r="H20" s="53">
        <v>0</v>
      </c>
      <c r="I20" s="53">
        <v>0</v>
      </c>
      <c r="J20" s="46">
        <f t="shared" si="1"/>
        <v>0</v>
      </c>
      <c r="K20" s="46">
        <f t="shared" si="2"/>
        <v>0</v>
      </c>
      <c r="L20" s="46">
        <v>0</v>
      </c>
      <c r="M20" s="46">
        <f t="shared" si="3"/>
        <v>0</v>
      </c>
      <c r="N20" s="19"/>
    </row>
    <row r="21" spans="1:17">
      <c r="A21" s="28">
        <v>18</v>
      </c>
      <c r="B21" s="29">
        <v>45856</v>
      </c>
      <c r="C21" s="19"/>
      <c r="D21" s="19"/>
      <c r="E21" s="106">
        <v>0</v>
      </c>
      <c r="F21" s="106">
        <v>0</v>
      </c>
      <c r="G21" s="46">
        <f t="shared" si="0"/>
        <v>0</v>
      </c>
      <c r="H21" s="53">
        <v>0</v>
      </c>
      <c r="I21" s="53">
        <v>0</v>
      </c>
      <c r="J21" s="46">
        <f t="shared" si="1"/>
        <v>0</v>
      </c>
      <c r="K21" s="46">
        <f t="shared" si="2"/>
        <v>0</v>
      </c>
      <c r="L21" s="46">
        <v>0</v>
      </c>
      <c r="M21" s="46">
        <f t="shared" si="3"/>
        <v>0</v>
      </c>
      <c r="N21" s="19"/>
    </row>
    <row r="22" spans="1:17">
      <c r="A22" s="28">
        <v>19</v>
      </c>
      <c r="B22" s="29">
        <v>45857</v>
      </c>
      <c r="C22" s="19"/>
      <c r="D22" s="19"/>
      <c r="E22" s="106">
        <v>0</v>
      </c>
      <c r="F22" s="106">
        <v>0</v>
      </c>
      <c r="G22" s="46">
        <f t="shared" si="0"/>
        <v>0</v>
      </c>
      <c r="H22" s="53">
        <v>0</v>
      </c>
      <c r="I22" s="53">
        <v>0</v>
      </c>
      <c r="J22" s="46">
        <f t="shared" si="1"/>
        <v>0</v>
      </c>
      <c r="K22" s="46">
        <f t="shared" si="2"/>
        <v>0</v>
      </c>
      <c r="L22" s="46">
        <v>0</v>
      </c>
      <c r="M22" s="46">
        <f t="shared" si="3"/>
        <v>0</v>
      </c>
      <c r="N22" s="19"/>
    </row>
    <row r="23" spans="1:17">
      <c r="A23" s="28">
        <v>20</v>
      </c>
      <c r="B23" s="29">
        <v>45858</v>
      </c>
      <c r="C23" s="19"/>
      <c r="D23" s="19"/>
      <c r="E23" s="106">
        <v>0</v>
      </c>
      <c r="F23" s="106">
        <v>0</v>
      </c>
      <c r="G23" s="46">
        <f t="shared" si="0"/>
        <v>0</v>
      </c>
      <c r="H23" s="53">
        <v>0</v>
      </c>
      <c r="I23" s="53">
        <v>0</v>
      </c>
      <c r="J23" s="46">
        <f t="shared" si="1"/>
        <v>0</v>
      </c>
      <c r="K23" s="46">
        <f t="shared" si="2"/>
        <v>0</v>
      </c>
      <c r="L23" s="46">
        <v>0</v>
      </c>
      <c r="M23" s="46">
        <f t="shared" si="3"/>
        <v>0</v>
      </c>
      <c r="N23" s="19"/>
    </row>
    <row r="24" spans="1:17">
      <c r="A24" s="28">
        <v>21</v>
      </c>
      <c r="B24" s="29">
        <v>45859</v>
      </c>
      <c r="C24" s="19"/>
      <c r="D24" s="19"/>
      <c r="E24" s="106">
        <v>0</v>
      </c>
      <c r="F24" s="106">
        <v>0</v>
      </c>
      <c r="G24" s="46">
        <f t="shared" si="0"/>
        <v>0</v>
      </c>
      <c r="H24" s="53">
        <v>0</v>
      </c>
      <c r="I24" s="53">
        <v>0</v>
      </c>
      <c r="J24" s="46">
        <f t="shared" si="1"/>
        <v>0</v>
      </c>
      <c r="K24" s="46">
        <f t="shared" si="2"/>
        <v>0</v>
      </c>
      <c r="L24" s="46">
        <f t="shared" si="2"/>
        <v>0</v>
      </c>
      <c r="M24" s="46">
        <f t="shared" si="3"/>
        <v>0</v>
      </c>
      <c r="N24" s="19"/>
    </row>
    <row r="25" spans="1:17">
      <c r="A25" s="28">
        <v>22</v>
      </c>
      <c r="B25" s="29">
        <v>45860</v>
      </c>
      <c r="C25" s="19"/>
      <c r="D25" s="19"/>
      <c r="E25" s="396">
        <v>584</v>
      </c>
      <c r="F25" s="403">
        <v>91.32</v>
      </c>
      <c r="G25" s="46">
        <f t="shared" si="0"/>
        <v>53330.879999999997</v>
      </c>
      <c r="H25" s="53">
        <v>42</v>
      </c>
      <c r="I25" s="53">
        <v>103.24</v>
      </c>
      <c r="J25" s="46">
        <f t="shared" si="1"/>
        <v>4336.08</v>
      </c>
      <c r="K25" s="46">
        <f t="shared" si="2"/>
        <v>57666.96</v>
      </c>
      <c r="L25" s="46">
        <v>0</v>
      </c>
      <c r="M25" s="46">
        <f t="shared" si="3"/>
        <v>57666.96</v>
      </c>
      <c r="N25" s="19"/>
    </row>
    <row r="26" spans="1:17">
      <c r="A26" s="28">
        <v>23</v>
      </c>
      <c r="B26" s="29">
        <v>45861</v>
      </c>
      <c r="C26" s="19"/>
      <c r="D26" s="19"/>
      <c r="E26" s="396">
        <v>200</v>
      </c>
      <c r="F26" s="403">
        <v>91.32</v>
      </c>
      <c r="G26" s="46">
        <f t="shared" si="0"/>
        <v>18264</v>
      </c>
      <c r="H26" s="53">
        <v>0</v>
      </c>
      <c r="I26" s="53">
        <v>0</v>
      </c>
      <c r="J26" s="46">
        <f t="shared" si="1"/>
        <v>0</v>
      </c>
      <c r="K26" s="46">
        <f t="shared" si="2"/>
        <v>18264</v>
      </c>
      <c r="L26" s="46">
        <v>0</v>
      </c>
      <c r="M26" s="46">
        <f t="shared" si="3"/>
        <v>75930.959999999992</v>
      </c>
      <c r="N26" s="19"/>
      <c r="P26" s="24"/>
    </row>
    <row r="27" spans="1:17">
      <c r="A27" s="28">
        <v>24</v>
      </c>
      <c r="B27" s="29">
        <v>45862</v>
      </c>
      <c r="C27" s="19"/>
      <c r="D27" s="19"/>
      <c r="E27" s="396">
        <v>200</v>
      </c>
      <c r="F27" s="403">
        <v>91.32</v>
      </c>
      <c r="G27" s="46">
        <f t="shared" si="0"/>
        <v>18264</v>
      </c>
      <c r="H27" s="53">
        <v>0</v>
      </c>
      <c r="I27" s="53">
        <v>0</v>
      </c>
      <c r="J27" s="46">
        <f t="shared" si="1"/>
        <v>0</v>
      </c>
      <c r="K27" s="46">
        <f t="shared" si="2"/>
        <v>18264</v>
      </c>
      <c r="L27" s="46">
        <v>0</v>
      </c>
      <c r="M27" s="46">
        <f t="shared" si="3"/>
        <v>94194.959999999992</v>
      </c>
      <c r="N27" s="19"/>
    </row>
    <row r="28" spans="1:17">
      <c r="A28" s="28">
        <v>25</v>
      </c>
      <c r="B28" s="29">
        <v>45863</v>
      </c>
      <c r="C28" s="19"/>
      <c r="D28" s="284"/>
      <c r="E28" s="106">
        <v>0</v>
      </c>
      <c r="F28" s="106">
        <v>0</v>
      </c>
      <c r="G28" s="46">
        <f t="shared" si="0"/>
        <v>0</v>
      </c>
      <c r="H28" s="53">
        <v>0</v>
      </c>
      <c r="I28" s="53">
        <v>0</v>
      </c>
      <c r="J28" s="46">
        <f t="shared" si="1"/>
        <v>0</v>
      </c>
      <c r="K28" s="46">
        <f t="shared" si="2"/>
        <v>0</v>
      </c>
      <c r="L28" s="46">
        <v>0</v>
      </c>
      <c r="M28" s="46">
        <f t="shared" si="3"/>
        <v>94194.959999999992</v>
      </c>
      <c r="N28" s="19"/>
    </row>
    <row r="29" spans="1:17">
      <c r="A29" s="28">
        <v>26</v>
      </c>
      <c r="B29" s="29">
        <v>45864</v>
      </c>
      <c r="C29" s="19"/>
      <c r="D29" s="19"/>
      <c r="E29" s="106">
        <v>0</v>
      </c>
      <c r="F29" s="106">
        <v>0</v>
      </c>
      <c r="G29" s="46">
        <f t="shared" si="0"/>
        <v>0</v>
      </c>
      <c r="H29" s="53">
        <v>0</v>
      </c>
      <c r="I29" s="53">
        <v>0</v>
      </c>
      <c r="J29" s="46">
        <f t="shared" si="1"/>
        <v>0</v>
      </c>
      <c r="K29" s="46">
        <f t="shared" si="2"/>
        <v>0</v>
      </c>
      <c r="L29" s="46">
        <v>0</v>
      </c>
      <c r="M29" s="46">
        <f t="shared" si="3"/>
        <v>94194.959999999992</v>
      </c>
      <c r="N29" s="19"/>
    </row>
    <row r="30" spans="1:17">
      <c r="A30" s="28">
        <v>27</v>
      </c>
      <c r="B30" s="29">
        <v>45865</v>
      </c>
      <c r="C30" s="19"/>
      <c r="D30" s="19"/>
      <c r="E30" s="106">
        <v>200</v>
      </c>
      <c r="F30" s="106">
        <v>91.32</v>
      </c>
      <c r="G30" s="46">
        <f t="shared" si="0"/>
        <v>18264</v>
      </c>
      <c r="H30" s="53">
        <v>0</v>
      </c>
      <c r="I30" s="53">
        <v>0</v>
      </c>
      <c r="J30" s="46">
        <f t="shared" si="1"/>
        <v>0</v>
      </c>
      <c r="K30" s="46">
        <f t="shared" si="2"/>
        <v>18264</v>
      </c>
      <c r="L30" s="46">
        <v>0</v>
      </c>
      <c r="M30" s="46">
        <f t="shared" si="3"/>
        <v>112458.95999999999</v>
      </c>
      <c r="N30" s="19"/>
    </row>
    <row r="31" spans="1:17">
      <c r="A31" s="28">
        <v>28</v>
      </c>
      <c r="B31" s="29">
        <v>45866</v>
      </c>
      <c r="C31" s="19"/>
      <c r="D31" s="19"/>
      <c r="E31" s="106">
        <v>0</v>
      </c>
      <c r="F31" s="106">
        <v>0</v>
      </c>
      <c r="G31" s="46">
        <f t="shared" si="0"/>
        <v>0</v>
      </c>
      <c r="H31" s="53">
        <v>6</v>
      </c>
      <c r="I31" s="53">
        <v>103.24</v>
      </c>
      <c r="J31" s="46">
        <f t="shared" si="1"/>
        <v>619.43999999999994</v>
      </c>
      <c r="K31" s="46">
        <f t="shared" si="2"/>
        <v>619.43999999999994</v>
      </c>
      <c r="L31" s="46">
        <v>0</v>
      </c>
      <c r="M31" s="46">
        <f t="shared" si="3"/>
        <v>113078.39999999999</v>
      </c>
      <c r="N31" s="19"/>
    </row>
    <row r="32" spans="1:17">
      <c r="A32" s="28">
        <v>29</v>
      </c>
      <c r="B32" s="29">
        <v>45867</v>
      </c>
      <c r="C32" s="19"/>
      <c r="D32" s="19"/>
      <c r="E32" s="106">
        <v>200</v>
      </c>
      <c r="F32" s="106">
        <v>91.32</v>
      </c>
      <c r="G32" s="46">
        <f t="shared" si="0"/>
        <v>18264</v>
      </c>
      <c r="H32" s="53">
        <v>35</v>
      </c>
      <c r="I32" s="53">
        <v>103.24</v>
      </c>
      <c r="J32" s="46">
        <f t="shared" si="1"/>
        <v>3613.3999999999996</v>
      </c>
      <c r="K32" s="46">
        <f t="shared" si="2"/>
        <v>21877.4</v>
      </c>
      <c r="L32" s="46">
        <v>0</v>
      </c>
      <c r="M32" s="46">
        <f t="shared" si="3"/>
        <v>134955.79999999999</v>
      </c>
      <c r="N32" s="19"/>
      <c r="Q32" s="46"/>
    </row>
    <row r="33" spans="1:17">
      <c r="A33" s="28">
        <v>30</v>
      </c>
      <c r="B33" s="29">
        <v>45868</v>
      </c>
      <c r="C33" s="19"/>
      <c r="D33" s="19"/>
      <c r="E33" s="106">
        <v>230</v>
      </c>
      <c r="F33" s="106">
        <v>91.32</v>
      </c>
      <c r="G33" s="46">
        <f t="shared" si="0"/>
        <v>21003.599999999999</v>
      </c>
      <c r="H33" s="53">
        <v>0</v>
      </c>
      <c r="I33" s="53">
        <v>0</v>
      </c>
      <c r="J33" s="46">
        <f t="shared" si="1"/>
        <v>0</v>
      </c>
      <c r="K33" s="46">
        <f t="shared" si="2"/>
        <v>21003.599999999999</v>
      </c>
      <c r="L33" s="46">
        <v>0</v>
      </c>
      <c r="M33" s="46">
        <f t="shared" si="3"/>
        <v>155959.4</v>
      </c>
      <c r="N33" s="19"/>
    </row>
    <row r="34" spans="1:17">
      <c r="A34" s="28">
        <v>31</v>
      </c>
      <c r="B34" s="29">
        <v>45869</v>
      </c>
      <c r="C34" s="19"/>
      <c r="D34" s="19"/>
      <c r="E34" s="106">
        <v>225</v>
      </c>
      <c r="F34" s="106">
        <v>91.32</v>
      </c>
      <c r="G34" s="46">
        <f t="shared" si="0"/>
        <v>20547</v>
      </c>
      <c r="H34" s="53">
        <v>0</v>
      </c>
      <c r="I34" s="53">
        <v>0</v>
      </c>
      <c r="J34" s="46">
        <f t="shared" si="1"/>
        <v>0</v>
      </c>
      <c r="K34" s="46">
        <f t="shared" si="2"/>
        <v>20547</v>
      </c>
      <c r="L34" s="46">
        <v>150000</v>
      </c>
      <c r="M34" s="46">
        <f t="shared" si="3"/>
        <v>26506.399999999994</v>
      </c>
      <c r="N34" s="19"/>
      <c r="Q34" s="295"/>
    </row>
    <row r="35" spans="1:17">
      <c r="A35" s="28">
        <v>32</v>
      </c>
      <c r="B35" s="29">
        <v>45870</v>
      </c>
      <c r="C35" s="19"/>
      <c r="D35" s="19"/>
      <c r="E35" s="106">
        <v>0</v>
      </c>
      <c r="F35" s="106">
        <v>0</v>
      </c>
      <c r="G35" s="46">
        <f t="shared" si="0"/>
        <v>0</v>
      </c>
      <c r="H35" s="53">
        <v>0</v>
      </c>
      <c r="I35" s="53">
        <v>0</v>
      </c>
      <c r="J35" s="46">
        <f t="shared" si="1"/>
        <v>0</v>
      </c>
      <c r="K35" s="46">
        <f t="shared" si="2"/>
        <v>0</v>
      </c>
      <c r="L35" s="46">
        <v>0</v>
      </c>
      <c r="M35" s="46">
        <f t="shared" si="3"/>
        <v>26506.399999999994</v>
      </c>
      <c r="N35" s="19"/>
      <c r="Q35" s="295"/>
    </row>
    <row r="36" spans="1:17">
      <c r="A36" s="51"/>
      <c r="B36" s="51"/>
      <c r="C36" s="51"/>
      <c r="D36" s="51"/>
      <c r="E36" s="51">
        <f>SUM(E4:E35)</f>
        <v>1839</v>
      </c>
      <c r="F36" s="51"/>
      <c r="G36" s="51">
        <f>SUM(G4:G35)</f>
        <v>167937.48</v>
      </c>
      <c r="H36" s="51">
        <f>SUM(H4:H35)</f>
        <v>83</v>
      </c>
      <c r="I36" s="51"/>
      <c r="J36" s="51">
        <f>SUM(J4:J35)</f>
        <v>8568.9199999999983</v>
      </c>
      <c r="K36" s="51">
        <f>SUM(K4:K35)</f>
        <v>176506.4</v>
      </c>
      <c r="L36" s="51">
        <f>SUM(L4:L35)</f>
        <v>150000</v>
      </c>
      <c r="M36" s="51"/>
      <c r="N36" s="51"/>
      <c r="Q36" s="295"/>
    </row>
  </sheetData>
  <mergeCells count="1">
    <mergeCell ref="A1:N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828F-3061-4216-B142-B3435378C836}">
  <sheetPr>
    <tabColor rgb="FF002060"/>
  </sheetPr>
  <dimension ref="A1:O50"/>
  <sheetViews>
    <sheetView workbookViewId="0">
      <pane ySplit="2" topLeftCell="A9" activePane="bottomLeft" state="frozen"/>
      <selection pane="bottomLeft" activeCell="T25" sqref="T25"/>
    </sheetView>
  </sheetViews>
  <sheetFormatPr defaultRowHeight="15"/>
  <cols>
    <col min="1" max="1" width="6.140625" bestFit="1" customWidth="1"/>
    <col min="2" max="2" width="11.85546875" style="90" bestFit="1" customWidth="1"/>
    <col min="3" max="3" width="8.140625" bestFit="1" customWidth="1"/>
    <col min="4" max="4" width="16" bestFit="1" customWidth="1"/>
    <col min="5" max="5" width="10.85546875" bestFit="1" customWidth="1"/>
    <col min="6" max="6" width="11.85546875" bestFit="1" customWidth="1"/>
    <col min="7" max="7" width="11.85546875" style="214" bestFit="1" customWidth="1"/>
    <col min="8" max="8" width="10.85546875" bestFit="1" customWidth="1"/>
    <col min="9" max="9" width="8.140625" bestFit="1" customWidth="1"/>
    <col min="10" max="10" width="10.85546875" style="214" bestFit="1" customWidth="1"/>
    <col min="11" max="11" width="13.85546875" style="90" bestFit="1" customWidth="1"/>
    <col min="12" max="12" width="12.7109375" style="90" bestFit="1" customWidth="1"/>
    <col min="13" max="13" width="12.7109375" style="90" customWidth="1"/>
    <col min="14" max="14" width="14.140625" bestFit="1" customWidth="1"/>
    <col min="15" max="15" width="10.42578125" customWidth="1"/>
  </cols>
  <sheetData>
    <row r="1" spans="1:15" ht="15.75">
      <c r="A1" s="414" t="s">
        <v>72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  <c r="O1" s="65"/>
    </row>
    <row r="2" spans="1:15">
      <c r="A2" s="66" t="s">
        <v>105</v>
      </c>
      <c r="B2" s="67" t="s">
        <v>106</v>
      </c>
      <c r="C2" s="67" t="s">
        <v>107</v>
      </c>
      <c r="D2" s="67" t="s">
        <v>108</v>
      </c>
      <c r="E2" s="112" t="s">
        <v>109</v>
      </c>
      <c r="F2" s="112" t="s">
        <v>110</v>
      </c>
      <c r="G2" s="208" t="s">
        <v>111</v>
      </c>
      <c r="H2" s="112" t="s">
        <v>112</v>
      </c>
      <c r="I2" s="112" t="s">
        <v>110</v>
      </c>
      <c r="J2" s="215" t="s">
        <v>111</v>
      </c>
      <c r="K2" s="113" t="s">
        <v>113</v>
      </c>
      <c r="L2" s="154" t="s">
        <v>114</v>
      </c>
      <c r="M2" s="159" t="s">
        <v>120</v>
      </c>
      <c r="N2" s="114" t="s">
        <v>116</v>
      </c>
      <c r="O2" s="71"/>
    </row>
    <row r="3" spans="1:15">
      <c r="A3" s="254"/>
      <c r="B3"/>
      <c r="D3" s="110" t="s">
        <v>117</v>
      </c>
      <c r="E3" s="19"/>
      <c r="F3" s="19"/>
      <c r="G3" s="209"/>
      <c r="H3" s="19"/>
      <c r="I3" s="19"/>
      <c r="J3" s="209"/>
      <c r="K3" s="263">
        <v>0</v>
      </c>
      <c r="L3" s="19"/>
      <c r="M3" s="378">
        <v>308876.46500000003</v>
      </c>
      <c r="N3" s="19"/>
      <c r="O3" s="71"/>
    </row>
    <row r="4" spans="1:15">
      <c r="A4" s="55">
        <v>1</v>
      </c>
      <c r="B4" s="235">
        <v>45839</v>
      </c>
      <c r="C4" s="11"/>
      <c r="D4" s="12"/>
      <c r="E4" s="15">
        <v>0</v>
      </c>
      <c r="F4" s="15">
        <v>0</v>
      </c>
      <c r="G4" s="210">
        <f>E4*F4</f>
        <v>0</v>
      </c>
      <c r="H4" s="156">
        <v>0</v>
      </c>
      <c r="I4" s="156">
        <v>0</v>
      </c>
      <c r="J4" s="216">
        <f>H4*I4</f>
        <v>0</v>
      </c>
      <c r="K4" s="248">
        <f>G4+J4</f>
        <v>0</v>
      </c>
      <c r="L4" s="80">
        <v>0</v>
      </c>
      <c r="M4" s="249">
        <f>M3+K4-L4</f>
        <v>308876.46500000003</v>
      </c>
      <c r="N4" s="158"/>
      <c r="O4" s="81"/>
    </row>
    <row r="5" spans="1:15">
      <c r="A5" s="55">
        <v>2</v>
      </c>
      <c r="B5" s="235">
        <v>45840</v>
      </c>
      <c r="C5" s="251"/>
      <c r="D5" s="12"/>
      <c r="E5" s="15">
        <v>0</v>
      </c>
      <c r="F5" s="15">
        <v>0</v>
      </c>
      <c r="G5" s="210">
        <f t="shared" ref="G5:G33" si="0">E5*F5</f>
        <v>0</v>
      </c>
      <c r="H5" s="156">
        <v>0</v>
      </c>
      <c r="I5" s="156">
        <v>0</v>
      </c>
      <c r="J5" s="216">
        <f t="shared" ref="J5:J33" si="1">H5*I5</f>
        <v>0</v>
      </c>
      <c r="K5" s="248">
        <f t="shared" ref="K5:K33" si="2">G5+J5</f>
        <v>0</v>
      </c>
      <c r="L5" s="80">
        <v>0</v>
      </c>
      <c r="M5" s="249">
        <f>M4+K5-L5</f>
        <v>308876.46500000003</v>
      </c>
      <c r="N5" s="14"/>
      <c r="O5" s="81"/>
    </row>
    <row r="6" spans="1:15">
      <c r="A6" s="55">
        <v>3</v>
      </c>
      <c r="B6" s="235">
        <v>45841</v>
      </c>
      <c r="C6" s="79"/>
      <c r="D6" s="12"/>
      <c r="E6" s="15">
        <v>0</v>
      </c>
      <c r="F6" s="15">
        <v>0</v>
      </c>
      <c r="G6" s="210">
        <f t="shared" si="0"/>
        <v>0</v>
      </c>
      <c r="H6" s="156">
        <v>0</v>
      </c>
      <c r="I6" s="156">
        <v>0</v>
      </c>
      <c r="J6" s="216">
        <f t="shared" si="1"/>
        <v>0</v>
      </c>
      <c r="K6" s="248">
        <f t="shared" si="2"/>
        <v>0</v>
      </c>
      <c r="L6" s="80">
        <v>0</v>
      </c>
      <c r="M6" s="250">
        <f>M5+K6-L6</f>
        <v>308876.46500000003</v>
      </c>
      <c r="N6" s="47"/>
      <c r="O6" s="81"/>
    </row>
    <row r="7" spans="1:15">
      <c r="A7" s="55">
        <v>4</v>
      </c>
      <c r="B7" s="235">
        <v>45842</v>
      </c>
      <c r="C7" s="79"/>
      <c r="D7" s="12"/>
      <c r="E7" s="15">
        <v>0</v>
      </c>
      <c r="F7" s="15">
        <v>0</v>
      </c>
      <c r="G7" s="210">
        <f t="shared" si="0"/>
        <v>0</v>
      </c>
      <c r="H7" s="156">
        <v>0</v>
      </c>
      <c r="I7" s="156">
        <v>0</v>
      </c>
      <c r="J7" s="216">
        <f t="shared" si="1"/>
        <v>0</v>
      </c>
      <c r="K7" s="248">
        <f t="shared" si="2"/>
        <v>0</v>
      </c>
      <c r="L7" s="80">
        <v>0</v>
      </c>
      <c r="M7" s="250">
        <f t="shared" ref="M7:M33" si="3">M6+K7-L7</f>
        <v>308876.46500000003</v>
      </c>
      <c r="N7" s="47"/>
      <c r="O7" s="81"/>
    </row>
    <row r="8" spans="1:15">
      <c r="A8" s="55">
        <v>5</v>
      </c>
      <c r="B8" s="235">
        <v>45843</v>
      </c>
      <c r="C8" s="79"/>
      <c r="D8" s="12"/>
      <c r="E8" s="15">
        <v>0</v>
      </c>
      <c r="F8" s="15">
        <v>0</v>
      </c>
      <c r="G8" s="210">
        <f t="shared" si="0"/>
        <v>0</v>
      </c>
      <c r="H8" s="156">
        <v>0</v>
      </c>
      <c r="I8" s="156">
        <v>0</v>
      </c>
      <c r="J8" s="216">
        <f t="shared" si="1"/>
        <v>0</v>
      </c>
      <c r="K8" s="248">
        <f t="shared" si="2"/>
        <v>0</v>
      </c>
      <c r="L8" s="80">
        <v>0</v>
      </c>
      <c r="M8" s="249">
        <f t="shared" si="3"/>
        <v>308876.46500000003</v>
      </c>
      <c r="N8" s="246"/>
      <c r="O8" s="81"/>
    </row>
    <row r="9" spans="1:15">
      <c r="A9" s="55">
        <v>6</v>
      </c>
      <c r="B9" s="235">
        <v>45844</v>
      </c>
      <c r="C9" s="252"/>
      <c r="D9" s="12"/>
      <c r="E9" s="15">
        <v>0</v>
      </c>
      <c r="F9" s="15">
        <v>0</v>
      </c>
      <c r="G9" s="210">
        <f t="shared" si="0"/>
        <v>0</v>
      </c>
      <c r="H9" s="156">
        <v>0</v>
      </c>
      <c r="I9" s="156">
        <v>0</v>
      </c>
      <c r="J9" s="216">
        <f t="shared" si="1"/>
        <v>0</v>
      </c>
      <c r="K9" s="248">
        <f t="shared" si="2"/>
        <v>0</v>
      </c>
      <c r="L9" s="80">
        <v>0</v>
      </c>
      <c r="M9" s="249">
        <f t="shared" si="3"/>
        <v>308876.46500000003</v>
      </c>
      <c r="N9" s="47"/>
      <c r="O9" s="81"/>
    </row>
    <row r="10" spans="1:15">
      <c r="A10" s="55">
        <v>7</v>
      </c>
      <c r="B10" s="235">
        <v>45845</v>
      </c>
      <c r="C10" s="82"/>
      <c r="D10" s="12"/>
      <c r="E10" s="15">
        <v>0</v>
      </c>
      <c r="F10" s="15">
        <v>0</v>
      </c>
      <c r="G10" s="210">
        <f t="shared" si="0"/>
        <v>0</v>
      </c>
      <c r="H10" s="156">
        <v>0</v>
      </c>
      <c r="I10" s="156">
        <v>0</v>
      </c>
      <c r="J10" s="216">
        <f t="shared" si="1"/>
        <v>0</v>
      </c>
      <c r="K10" s="248">
        <f t="shared" si="2"/>
        <v>0</v>
      </c>
      <c r="L10" s="80">
        <v>0</v>
      </c>
      <c r="M10" s="249">
        <f t="shared" si="3"/>
        <v>308876.46500000003</v>
      </c>
      <c r="N10" s="47"/>
      <c r="O10" s="81"/>
    </row>
    <row r="11" spans="1:15">
      <c r="A11" s="55">
        <v>8</v>
      </c>
      <c r="B11" s="235">
        <v>45846</v>
      </c>
      <c r="C11" s="82"/>
      <c r="D11" s="12"/>
      <c r="E11" s="15">
        <v>0</v>
      </c>
      <c r="F11" s="15">
        <v>0</v>
      </c>
      <c r="G11" s="210">
        <f t="shared" si="0"/>
        <v>0</v>
      </c>
      <c r="H11" s="156">
        <v>0</v>
      </c>
      <c r="I11" s="156">
        <v>0</v>
      </c>
      <c r="J11" s="216">
        <f t="shared" si="1"/>
        <v>0</v>
      </c>
      <c r="K11" s="248">
        <f t="shared" si="2"/>
        <v>0</v>
      </c>
      <c r="L11" s="80">
        <v>0</v>
      </c>
      <c r="M11" s="249">
        <f t="shared" si="3"/>
        <v>308876.46500000003</v>
      </c>
      <c r="N11" s="47"/>
      <c r="O11" s="81"/>
    </row>
    <row r="12" spans="1:15">
      <c r="A12" s="55">
        <v>9</v>
      </c>
      <c r="B12" s="235">
        <v>45847</v>
      </c>
      <c r="C12" s="82"/>
      <c r="D12" s="12"/>
      <c r="E12" s="15">
        <v>0</v>
      </c>
      <c r="F12" s="15">
        <v>0</v>
      </c>
      <c r="G12" s="210">
        <f t="shared" si="0"/>
        <v>0</v>
      </c>
      <c r="H12" s="156">
        <v>0</v>
      </c>
      <c r="I12" s="156">
        <v>0</v>
      </c>
      <c r="J12" s="216">
        <f t="shared" si="1"/>
        <v>0</v>
      </c>
      <c r="K12" s="248">
        <f t="shared" si="2"/>
        <v>0</v>
      </c>
      <c r="L12" s="80">
        <v>0</v>
      </c>
      <c r="M12" s="249">
        <f t="shared" si="3"/>
        <v>308876.46500000003</v>
      </c>
      <c r="N12" s="47"/>
      <c r="O12" s="81"/>
    </row>
    <row r="13" spans="1:15">
      <c r="A13" s="55">
        <v>10</v>
      </c>
      <c r="B13" s="235">
        <v>45848</v>
      </c>
      <c r="C13" s="82"/>
      <c r="D13" s="12"/>
      <c r="E13" s="15">
        <v>0</v>
      </c>
      <c r="F13" s="15">
        <v>0</v>
      </c>
      <c r="G13" s="210">
        <f t="shared" si="0"/>
        <v>0</v>
      </c>
      <c r="H13" s="156">
        <v>0</v>
      </c>
      <c r="I13" s="156">
        <v>0</v>
      </c>
      <c r="J13" s="216">
        <f t="shared" si="1"/>
        <v>0</v>
      </c>
      <c r="K13" s="248">
        <f t="shared" si="2"/>
        <v>0</v>
      </c>
      <c r="L13" s="80">
        <v>300000</v>
      </c>
      <c r="M13" s="249">
        <f t="shared" si="3"/>
        <v>8876.4650000000256</v>
      </c>
      <c r="N13" s="47"/>
      <c r="O13" s="81"/>
    </row>
    <row r="14" spans="1:15">
      <c r="A14" s="55">
        <v>11</v>
      </c>
      <c r="B14" s="235">
        <v>45849</v>
      </c>
      <c r="C14" s="82"/>
      <c r="D14" s="12"/>
      <c r="E14" s="15">
        <v>0</v>
      </c>
      <c r="F14" s="15">
        <v>0</v>
      </c>
      <c r="G14" s="210">
        <f t="shared" si="0"/>
        <v>0</v>
      </c>
      <c r="H14" s="156">
        <v>0</v>
      </c>
      <c r="I14" s="156">
        <v>0</v>
      </c>
      <c r="J14" s="216">
        <f t="shared" si="1"/>
        <v>0</v>
      </c>
      <c r="K14" s="248">
        <f t="shared" si="2"/>
        <v>0</v>
      </c>
      <c r="L14" s="80">
        <v>8876</v>
      </c>
      <c r="M14" s="249">
        <f t="shared" si="3"/>
        <v>0.46500000002561137</v>
      </c>
      <c r="N14" s="47"/>
      <c r="O14" s="81"/>
    </row>
    <row r="15" spans="1:15">
      <c r="A15" s="55">
        <v>12</v>
      </c>
      <c r="B15" s="235">
        <v>45850</v>
      </c>
      <c r="C15" s="82"/>
      <c r="D15" s="12"/>
      <c r="E15" s="15">
        <v>0</v>
      </c>
      <c r="F15" s="15">
        <v>0</v>
      </c>
      <c r="G15" s="210">
        <f t="shared" si="0"/>
        <v>0</v>
      </c>
      <c r="H15" s="156">
        <v>0</v>
      </c>
      <c r="I15" s="156">
        <v>0</v>
      </c>
      <c r="J15" s="216">
        <f t="shared" si="1"/>
        <v>0</v>
      </c>
      <c r="K15" s="248">
        <f t="shared" si="2"/>
        <v>0</v>
      </c>
      <c r="L15" s="80">
        <v>0</v>
      </c>
      <c r="M15" s="249">
        <f t="shared" si="3"/>
        <v>0.46500000002561137</v>
      </c>
      <c r="N15" s="47"/>
      <c r="O15" s="81"/>
    </row>
    <row r="16" spans="1:15">
      <c r="A16" s="55">
        <v>13</v>
      </c>
      <c r="B16" s="235">
        <v>45851</v>
      </c>
      <c r="C16" s="82"/>
      <c r="D16" s="12"/>
      <c r="E16" s="15">
        <v>0</v>
      </c>
      <c r="F16" s="15">
        <v>0</v>
      </c>
      <c r="G16" s="210">
        <f t="shared" si="0"/>
        <v>0</v>
      </c>
      <c r="H16" s="156">
        <v>0</v>
      </c>
      <c r="I16" s="156">
        <v>0</v>
      </c>
      <c r="J16" s="216">
        <f t="shared" si="1"/>
        <v>0</v>
      </c>
      <c r="K16" s="248">
        <f t="shared" si="2"/>
        <v>0</v>
      </c>
      <c r="L16" s="80">
        <v>0</v>
      </c>
      <c r="M16" s="249">
        <f t="shared" si="3"/>
        <v>0.46500000002561137</v>
      </c>
      <c r="N16" s="47"/>
      <c r="O16" s="81"/>
    </row>
    <row r="17" spans="1:15">
      <c r="A17" s="55">
        <v>14</v>
      </c>
      <c r="B17" s="235">
        <v>45852</v>
      </c>
      <c r="C17" s="82"/>
      <c r="D17" s="12"/>
      <c r="E17" s="15">
        <v>0</v>
      </c>
      <c r="F17" s="15">
        <v>0</v>
      </c>
      <c r="G17" s="210">
        <f t="shared" si="0"/>
        <v>0</v>
      </c>
      <c r="H17" s="156">
        <v>0</v>
      </c>
      <c r="I17" s="156">
        <v>0</v>
      </c>
      <c r="J17" s="216">
        <f t="shared" si="1"/>
        <v>0</v>
      </c>
      <c r="K17" s="248">
        <f t="shared" si="2"/>
        <v>0</v>
      </c>
      <c r="L17" s="80">
        <v>0</v>
      </c>
      <c r="M17" s="249">
        <f t="shared" si="3"/>
        <v>0.46500000002561137</v>
      </c>
      <c r="N17" s="47"/>
      <c r="O17" s="81"/>
    </row>
    <row r="18" spans="1:15">
      <c r="A18" s="55">
        <v>15</v>
      </c>
      <c r="B18" s="235">
        <v>45853</v>
      </c>
      <c r="C18" s="82"/>
      <c r="D18" s="12"/>
      <c r="E18" s="15">
        <v>0</v>
      </c>
      <c r="F18" s="15">
        <v>0</v>
      </c>
      <c r="G18" s="210">
        <f t="shared" si="0"/>
        <v>0</v>
      </c>
      <c r="H18" s="156">
        <v>0</v>
      </c>
      <c r="I18" s="156">
        <v>0</v>
      </c>
      <c r="J18" s="216">
        <f t="shared" si="1"/>
        <v>0</v>
      </c>
      <c r="K18" s="248">
        <f t="shared" si="2"/>
        <v>0</v>
      </c>
      <c r="L18" s="80">
        <v>0</v>
      </c>
      <c r="M18" s="249">
        <f t="shared" si="3"/>
        <v>0.46500000002561137</v>
      </c>
      <c r="N18" s="47"/>
      <c r="O18" s="81"/>
    </row>
    <row r="19" spans="1:15">
      <c r="A19" s="55">
        <v>16</v>
      </c>
      <c r="B19" s="235">
        <v>45854</v>
      </c>
      <c r="C19" s="82"/>
      <c r="D19" s="12"/>
      <c r="E19" s="15">
        <v>0</v>
      </c>
      <c r="F19" s="15">
        <v>0</v>
      </c>
      <c r="G19" s="210">
        <f t="shared" si="0"/>
        <v>0</v>
      </c>
      <c r="H19" s="156">
        <v>0</v>
      </c>
      <c r="I19" s="156">
        <v>0</v>
      </c>
      <c r="J19" s="216">
        <f t="shared" si="1"/>
        <v>0</v>
      </c>
      <c r="K19" s="248">
        <f t="shared" si="2"/>
        <v>0</v>
      </c>
      <c r="L19" s="80">
        <v>0</v>
      </c>
      <c r="M19" s="249">
        <f t="shared" si="3"/>
        <v>0.46500000002561137</v>
      </c>
      <c r="N19" s="47"/>
      <c r="O19" s="81"/>
    </row>
    <row r="20" spans="1:15">
      <c r="A20" s="55">
        <v>17</v>
      </c>
      <c r="B20" s="235">
        <v>45855</v>
      </c>
      <c r="C20" s="82"/>
      <c r="D20" s="12"/>
      <c r="E20" s="15">
        <v>0</v>
      </c>
      <c r="F20" s="15">
        <v>0</v>
      </c>
      <c r="G20" s="210">
        <f t="shared" si="0"/>
        <v>0</v>
      </c>
      <c r="H20" s="156">
        <v>0</v>
      </c>
      <c r="I20" s="156">
        <v>0</v>
      </c>
      <c r="J20" s="216">
        <f t="shared" si="1"/>
        <v>0</v>
      </c>
      <c r="K20" s="248">
        <f t="shared" si="2"/>
        <v>0</v>
      </c>
      <c r="L20" s="80">
        <v>0</v>
      </c>
      <c r="M20" s="249">
        <f t="shared" si="3"/>
        <v>0.46500000002561137</v>
      </c>
      <c r="N20" s="47"/>
      <c r="O20" s="81"/>
    </row>
    <row r="21" spans="1:15">
      <c r="A21" s="55">
        <v>18</v>
      </c>
      <c r="B21" s="235">
        <v>45856</v>
      </c>
      <c r="C21" s="82"/>
      <c r="D21" s="12"/>
      <c r="E21" s="15">
        <v>0</v>
      </c>
      <c r="F21" s="15">
        <v>0</v>
      </c>
      <c r="G21" s="210">
        <f t="shared" si="0"/>
        <v>0</v>
      </c>
      <c r="H21" s="156">
        <v>0</v>
      </c>
      <c r="I21" s="156">
        <v>0</v>
      </c>
      <c r="J21" s="216">
        <f t="shared" si="1"/>
        <v>0</v>
      </c>
      <c r="K21" s="248">
        <f t="shared" si="2"/>
        <v>0</v>
      </c>
      <c r="L21" s="80">
        <v>0</v>
      </c>
      <c r="M21" s="249">
        <f t="shared" si="3"/>
        <v>0.46500000002561137</v>
      </c>
      <c r="N21" s="47"/>
      <c r="O21" s="81"/>
    </row>
    <row r="22" spans="1:15">
      <c r="A22" s="55">
        <v>19</v>
      </c>
      <c r="B22" s="235">
        <v>45857</v>
      </c>
      <c r="C22" s="82"/>
      <c r="D22" s="12"/>
      <c r="E22" s="15">
        <v>0</v>
      </c>
      <c r="F22" s="15">
        <v>0</v>
      </c>
      <c r="G22" s="210">
        <f t="shared" si="0"/>
        <v>0</v>
      </c>
      <c r="H22" s="156">
        <v>0</v>
      </c>
      <c r="I22" s="156">
        <v>0</v>
      </c>
      <c r="J22" s="216">
        <f t="shared" si="1"/>
        <v>0</v>
      </c>
      <c r="K22" s="248">
        <f t="shared" si="2"/>
        <v>0</v>
      </c>
      <c r="L22" s="80">
        <v>0</v>
      </c>
      <c r="M22" s="249">
        <f t="shared" si="3"/>
        <v>0.46500000002561137</v>
      </c>
      <c r="N22" s="47"/>
      <c r="O22" s="81"/>
    </row>
    <row r="23" spans="1:15">
      <c r="A23" s="55">
        <v>20</v>
      </c>
      <c r="B23" s="235">
        <v>45858</v>
      </c>
      <c r="C23" s="82"/>
      <c r="D23" s="12"/>
      <c r="E23" s="15">
        <v>0</v>
      </c>
      <c r="F23" s="15">
        <v>0</v>
      </c>
      <c r="G23" s="210">
        <f t="shared" si="0"/>
        <v>0</v>
      </c>
      <c r="H23" s="156">
        <v>0</v>
      </c>
      <c r="I23" s="156">
        <v>0</v>
      </c>
      <c r="J23" s="216">
        <f t="shared" si="1"/>
        <v>0</v>
      </c>
      <c r="K23" s="248">
        <f t="shared" si="2"/>
        <v>0</v>
      </c>
      <c r="L23" s="80">
        <v>0</v>
      </c>
      <c r="M23" s="249">
        <f t="shared" si="3"/>
        <v>0.46500000002561137</v>
      </c>
      <c r="N23" s="47"/>
      <c r="O23" s="81"/>
    </row>
    <row r="24" spans="1:15">
      <c r="A24" s="55">
        <v>21</v>
      </c>
      <c r="B24" s="235">
        <v>45859</v>
      </c>
      <c r="C24" s="82"/>
      <c r="D24" s="12"/>
      <c r="E24" s="15">
        <v>0</v>
      </c>
      <c r="F24" s="15">
        <v>0</v>
      </c>
      <c r="G24" s="210">
        <f t="shared" si="0"/>
        <v>0</v>
      </c>
      <c r="H24" s="156">
        <v>0</v>
      </c>
      <c r="I24" s="156">
        <v>0</v>
      </c>
      <c r="J24" s="216">
        <f t="shared" si="1"/>
        <v>0</v>
      </c>
      <c r="K24" s="248">
        <f t="shared" si="2"/>
        <v>0</v>
      </c>
      <c r="L24" s="80">
        <v>0</v>
      </c>
      <c r="M24" s="249">
        <f t="shared" si="3"/>
        <v>0.46500000002561137</v>
      </c>
      <c r="N24" s="47"/>
      <c r="O24" s="81"/>
    </row>
    <row r="25" spans="1:15">
      <c r="A25" s="55">
        <v>22</v>
      </c>
      <c r="B25" s="235">
        <v>45860</v>
      </c>
      <c r="C25" s="220"/>
      <c r="D25" s="12"/>
      <c r="E25" s="15">
        <v>0</v>
      </c>
      <c r="F25" s="15">
        <v>0</v>
      </c>
      <c r="G25" s="210">
        <f t="shared" si="0"/>
        <v>0</v>
      </c>
      <c r="H25" s="156">
        <v>0</v>
      </c>
      <c r="I25" s="156">
        <v>0</v>
      </c>
      <c r="J25" s="216">
        <f t="shared" si="1"/>
        <v>0</v>
      </c>
      <c r="K25" s="248">
        <f t="shared" si="2"/>
        <v>0</v>
      </c>
      <c r="L25" s="80">
        <v>0</v>
      </c>
      <c r="M25" s="249">
        <f t="shared" si="3"/>
        <v>0.46500000002561137</v>
      </c>
      <c r="N25" s="47"/>
      <c r="O25" s="81"/>
    </row>
    <row r="26" spans="1:15">
      <c r="A26" s="55">
        <v>23</v>
      </c>
      <c r="B26" s="235">
        <v>45861</v>
      </c>
      <c r="C26" s="79"/>
      <c r="D26" s="12"/>
      <c r="E26" s="15">
        <v>0</v>
      </c>
      <c r="F26" s="15">
        <v>0</v>
      </c>
      <c r="G26" s="210">
        <f t="shared" si="0"/>
        <v>0</v>
      </c>
      <c r="H26" s="156">
        <v>0</v>
      </c>
      <c r="I26" s="156">
        <v>0</v>
      </c>
      <c r="J26" s="216">
        <f t="shared" si="1"/>
        <v>0</v>
      </c>
      <c r="K26" s="248">
        <f t="shared" si="2"/>
        <v>0</v>
      </c>
      <c r="L26" s="80">
        <v>0</v>
      </c>
      <c r="M26" s="249">
        <f t="shared" si="3"/>
        <v>0.46500000002561137</v>
      </c>
      <c r="N26" s="205"/>
      <c r="O26" s="81"/>
    </row>
    <row r="27" spans="1:15">
      <c r="A27" s="55">
        <v>24</v>
      </c>
      <c r="B27" s="235">
        <v>45862</v>
      </c>
      <c r="C27" s="79"/>
      <c r="D27" s="12"/>
      <c r="E27" s="15">
        <v>0</v>
      </c>
      <c r="F27" s="15">
        <v>0</v>
      </c>
      <c r="G27" s="210">
        <f t="shared" si="0"/>
        <v>0</v>
      </c>
      <c r="H27" s="156">
        <v>0</v>
      </c>
      <c r="I27" s="156">
        <v>0</v>
      </c>
      <c r="J27" s="216">
        <f t="shared" si="1"/>
        <v>0</v>
      </c>
      <c r="K27" s="248">
        <f t="shared" si="2"/>
        <v>0</v>
      </c>
      <c r="L27" s="80">
        <v>0</v>
      </c>
      <c r="M27" s="249">
        <f t="shared" si="3"/>
        <v>0.46500000002561137</v>
      </c>
      <c r="N27" s="205"/>
      <c r="O27" s="81"/>
    </row>
    <row r="28" spans="1:15">
      <c r="A28" s="55">
        <v>25</v>
      </c>
      <c r="B28" s="235">
        <v>45863</v>
      </c>
      <c r="C28" s="79"/>
      <c r="D28" s="12"/>
      <c r="E28" s="15">
        <v>0</v>
      </c>
      <c r="F28" s="15">
        <v>0</v>
      </c>
      <c r="G28" s="210">
        <f t="shared" si="0"/>
        <v>0</v>
      </c>
      <c r="H28" s="156">
        <v>0</v>
      </c>
      <c r="I28" s="156">
        <v>0</v>
      </c>
      <c r="J28" s="216">
        <f t="shared" si="1"/>
        <v>0</v>
      </c>
      <c r="K28" s="248">
        <f t="shared" si="2"/>
        <v>0</v>
      </c>
      <c r="L28" s="80">
        <v>0</v>
      </c>
      <c r="M28" s="249">
        <f t="shared" si="3"/>
        <v>0.46500000002561137</v>
      </c>
      <c r="N28" s="205"/>
      <c r="O28" s="81"/>
    </row>
    <row r="29" spans="1:15">
      <c r="A29" s="55">
        <v>26</v>
      </c>
      <c r="B29" s="235">
        <v>45864</v>
      </c>
      <c r="C29" s="79"/>
      <c r="D29" s="12"/>
      <c r="E29" s="15">
        <v>0</v>
      </c>
      <c r="F29" s="15">
        <v>0</v>
      </c>
      <c r="G29" s="210">
        <f t="shared" si="0"/>
        <v>0</v>
      </c>
      <c r="H29" s="156">
        <v>0</v>
      </c>
      <c r="I29" s="156">
        <v>0</v>
      </c>
      <c r="J29" s="216">
        <f t="shared" si="1"/>
        <v>0</v>
      </c>
      <c r="K29" s="248">
        <f t="shared" si="2"/>
        <v>0</v>
      </c>
      <c r="L29" s="80">
        <v>0</v>
      </c>
      <c r="M29" s="249">
        <f t="shared" si="3"/>
        <v>0.46500000002561137</v>
      </c>
      <c r="N29" s="205"/>
      <c r="O29" s="81"/>
    </row>
    <row r="30" spans="1:15">
      <c r="A30" s="55">
        <v>27</v>
      </c>
      <c r="B30" s="235">
        <v>45865</v>
      </c>
      <c r="C30" s="79"/>
      <c r="D30" s="12"/>
      <c r="E30" s="15">
        <v>0</v>
      </c>
      <c r="F30" s="15">
        <v>0</v>
      </c>
      <c r="G30" s="210">
        <f t="shared" si="0"/>
        <v>0</v>
      </c>
      <c r="H30" s="156">
        <v>0</v>
      </c>
      <c r="I30" s="156">
        <v>0</v>
      </c>
      <c r="J30" s="216">
        <f t="shared" si="1"/>
        <v>0</v>
      </c>
      <c r="K30" s="248">
        <f t="shared" si="2"/>
        <v>0</v>
      </c>
      <c r="L30" s="80">
        <v>0</v>
      </c>
      <c r="M30" s="249">
        <f t="shared" si="3"/>
        <v>0.46500000002561137</v>
      </c>
      <c r="N30" s="205"/>
      <c r="O30" s="81"/>
    </row>
    <row r="31" spans="1:15">
      <c r="A31" s="55">
        <v>28</v>
      </c>
      <c r="B31" s="235">
        <v>45866</v>
      </c>
      <c r="C31" s="79"/>
      <c r="D31" s="12"/>
      <c r="E31" s="15">
        <v>0</v>
      </c>
      <c r="F31" s="15">
        <v>0</v>
      </c>
      <c r="G31" s="210">
        <f t="shared" si="0"/>
        <v>0</v>
      </c>
      <c r="H31" s="156">
        <v>0</v>
      </c>
      <c r="I31" s="156">
        <v>0</v>
      </c>
      <c r="J31" s="216">
        <f t="shared" si="1"/>
        <v>0</v>
      </c>
      <c r="K31" s="248">
        <f t="shared" si="2"/>
        <v>0</v>
      </c>
      <c r="L31" s="80">
        <v>0</v>
      </c>
      <c r="M31" s="249">
        <f t="shared" si="3"/>
        <v>0.46500000002561137</v>
      </c>
      <c r="N31" s="205"/>
      <c r="O31" s="81"/>
    </row>
    <row r="32" spans="1:15">
      <c r="A32" s="229">
        <v>29</v>
      </c>
      <c r="B32" s="235">
        <v>45867</v>
      </c>
      <c r="C32" s="79"/>
      <c r="D32" s="12"/>
      <c r="E32" s="15">
        <v>0</v>
      </c>
      <c r="F32" s="15">
        <v>0</v>
      </c>
      <c r="G32" s="210">
        <f t="shared" si="0"/>
        <v>0</v>
      </c>
      <c r="H32" s="156">
        <v>0</v>
      </c>
      <c r="I32" s="156">
        <v>0</v>
      </c>
      <c r="J32" s="216">
        <f t="shared" si="1"/>
        <v>0</v>
      </c>
      <c r="K32" s="248">
        <f t="shared" si="2"/>
        <v>0</v>
      </c>
      <c r="L32" s="80">
        <v>0</v>
      </c>
      <c r="M32" s="249">
        <f t="shared" si="3"/>
        <v>0.46500000002561137</v>
      </c>
      <c r="N32" s="205"/>
      <c r="O32" s="81"/>
    </row>
    <row r="33" spans="1:15">
      <c r="A33" s="229">
        <v>30</v>
      </c>
      <c r="B33" s="235">
        <v>45868</v>
      </c>
      <c r="C33" s="79"/>
      <c r="D33" s="12"/>
      <c r="E33" s="15">
        <v>0</v>
      </c>
      <c r="F33" s="15">
        <v>0</v>
      </c>
      <c r="G33" s="210">
        <f t="shared" si="0"/>
        <v>0</v>
      </c>
      <c r="H33" s="156">
        <v>0</v>
      </c>
      <c r="I33" s="156">
        <v>0</v>
      </c>
      <c r="J33" s="216">
        <f t="shared" si="1"/>
        <v>0</v>
      </c>
      <c r="K33" s="248">
        <f t="shared" si="2"/>
        <v>0</v>
      </c>
      <c r="L33" s="80">
        <v>0</v>
      </c>
      <c r="M33" s="249">
        <f t="shared" ref="M33:M34" si="4">M32+K33-L33</f>
        <v>0.46500000002561137</v>
      </c>
      <c r="N33" s="205"/>
      <c r="O33" s="81"/>
    </row>
    <row r="34" spans="1:15">
      <c r="A34" s="229">
        <v>31</v>
      </c>
      <c r="B34" s="235"/>
      <c r="C34" s="143"/>
      <c r="D34" s="83"/>
      <c r="E34" s="15">
        <v>0</v>
      </c>
      <c r="F34" s="15">
        <v>0</v>
      </c>
      <c r="G34" s="210">
        <f t="shared" ref="G33:G34" si="5">E34*F34</f>
        <v>0</v>
      </c>
      <c r="H34" s="156">
        <v>0</v>
      </c>
      <c r="I34" s="156">
        <v>0</v>
      </c>
      <c r="J34" s="216">
        <f t="shared" ref="J33:J34" si="6">H34*I34</f>
        <v>0</v>
      </c>
      <c r="K34" s="248">
        <f t="shared" ref="K33:K34" si="7">G34+J34</f>
        <v>0</v>
      </c>
      <c r="L34" s="80">
        <v>0</v>
      </c>
      <c r="M34" s="249">
        <f t="shared" si="4"/>
        <v>0.46500000002561137</v>
      </c>
      <c r="N34" s="205"/>
      <c r="O34" s="81"/>
    </row>
    <row r="35" spans="1:15">
      <c r="A35" s="222"/>
      <c r="B35" s="222"/>
      <c r="C35" s="222"/>
      <c r="D35" s="222"/>
      <c r="E35" s="207">
        <f>SUM(E4:E33)</f>
        <v>0</v>
      </c>
      <c r="F35" s="207"/>
      <c r="G35" s="207">
        <f>SUM(G4:G33)</f>
        <v>0</v>
      </c>
      <c r="H35" s="207">
        <f>SUM(H4:H33)</f>
        <v>0</v>
      </c>
      <c r="I35" s="207"/>
      <c r="J35" s="207">
        <f>SUM(J4:J33)</f>
        <v>0</v>
      </c>
      <c r="K35" s="207">
        <f>SUM(K4:K33)</f>
        <v>0</v>
      </c>
      <c r="L35" s="207">
        <f>SUM(L4:L33)</f>
        <v>308876</v>
      </c>
      <c r="M35" s="207"/>
      <c r="N35" s="84"/>
      <c r="O35" s="71"/>
    </row>
    <row r="36" spans="1:15">
      <c r="A36" s="85"/>
      <c r="B36" s="86"/>
      <c r="C36" s="85"/>
      <c r="D36" s="85"/>
      <c r="E36" s="87"/>
      <c r="F36" s="87"/>
      <c r="G36" s="211"/>
      <c r="H36" s="87"/>
      <c r="I36" s="87"/>
      <c r="J36" s="211"/>
      <c r="K36" s="88"/>
      <c r="L36" s="88"/>
      <c r="M36" s="88"/>
      <c r="N36" s="87"/>
      <c r="O36" s="81"/>
    </row>
    <row r="37" spans="1:15">
      <c r="A37" s="81"/>
      <c r="B37" s="71"/>
      <c r="C37" s="81"/>
      <c r="D37" s="81"/>
      <c r="E37" s="81"/>
      <c r="F37" s="81"/>
      <c r="G37" s="212"/>
      <c r="H37" s="81"/>
      <c r="I37" s="81"/>
      <c r="J37" s="213"/>
      <c r="K37" s="71"/>
      <c r="L37" s="71"/>
      <c r="M37" s="71"/>
      <c r="N37" s="81"/>
      <c r="O37" s="87"/>
    </row>
    <row r="38" spans="1:15">
      <c r="A38" s="81"/>
      <c r="B38" s="430"/>
      <c r="C38" s="430"/>
      <c r="D38" s="430"/>
      <c r="E38" s="430"/>
      <c r="F38" s="81"/>
      <c r="G38" s="213"/>
      <c r="H38" s="81"/>
      <c r="I38" s="430"/>
      <c r="J38" s="430"/>
      <c r="K38" s="430"/>
      <c r="L38" s="430"/>
      <c r="M38" s="430"/>
      <c r="N38" s="430"/>
      <c r="O38" s="87"/>
    </row>
    <row r="39" spans="1:15">
      <c r="A39" s="81"/>
      <c r="B39" s="71"/>
      <c r="C39" s="81"/>
      <c r="D39" s="81"/>
      <c r="E39" s="81"/>
      <c r="F39" s="81"/>
      <c r="G39" s="213"/>
      <c r="H39" s="81"/>
      <c r="I39" s="81"/>
      <c r="J39" s="213"/>
      <c r="K39" s="71"/>
      <c r="L39" s="71"/>
      <c r="M39" s="71"/>
      <c r="N39" s="81"/>
      <c r="O39" s="87"/>
    </row>
    <row r="47" spans="1:15">
      <c r="L47" s="90">
        <v>3010</v>
      </c>
    </row>
    <row r="48" spans="1:15">
      <c r="L48" s="90">
        <v>4900</v>
      </c>
    </row>
    <row r="49" spans="12:12">
      <c r="L49" s="90">
        <v>6953</v>
      </c>
    </row>
    <row r="50" spans="12:12">
      <c r="L50" s="90">
        <v>7527</v>
      </c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56B5-DC1D-4D6F-BCA7-5B2D12E624BC}">
  <sheetPr>
    <tabColor rgb="FF002060"/>
  </sheetPr>
  <dimension ref="A1:P41"/>
  <sheetViews>
    <sheetView workbookViewId="0">
      <selection activeCell="N46" sqref="N46"/>
    </sheetView>
  </sheetViews>
  <sheetFormatPr defaultColWidth="12.140625" defaultRowHeight="15"/>
  <cols>
    <col min="1" max="1" width="10.42578125" customWidth="1"/>
    <col min="11" max="11" width="13.5703125" bestFit="1" customWidth="1"/>
    <col min="13" max="13" width="13.5703125" style="24" bestFit="1" customWidth="1"/>
  </cols>
  <sheetData>
    <row r="1" spans="1:16" ht="15.75">
      <c r="A1" s="414" t="s">
        <v>74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</row>
    <row r="2" spans="1:16" ht="30.75">
      <c r="A2" s="111" t="s">
        <v>105</v>
      </c>
      <c r="B2" s="112" t="s">
        <v>106</v>
      </c>
      <c r="C2" s="112" t="s">
        <v>107</v>
      </c>
      <c r="D2" s="112" t="s">
        <v>108</v>
      </c>
      <c r="E2" s="112" t="s">
        <v>109</v>
      </c>
      <c r="F2" s="112" t="s">
        <v>110</v>
      </c>
      <c r="G2" s="208" t="s">
        <v>111</v>
      </c>
      <c r="H2" s="112" t="s">
        <v>112</v>
      </c>
      <c r="I2" s="112" t="s">
        <v>110</v>
      </c>
      <c r="J2" s="215" t="s">
        <v>111</v>
      </c>
      <c r="K2" s="113" t="s">
        <v>113</v>
      </c>
      <c r="L2" s="154" t="s">
        <v>114</v>
      </c>
      <c r="M2" s="390" t="s">
        <v>120</v>
      </c>
      <c r="N2" s="114" t="s">
        <v>116</v>
      </c>
    </row>
    <row r="3" spans="1:16">
      <c r="A3" s="175"/>
      <c r="B3" s="19"/>
      <c r="C3" s="19"/>
      <c r="D3" s="265" t="s">
        <v>117</v>
      </c>
      <c r="E3" s="19"/>
      <c r="F3" s="19"/>
      <c r="G3" s="209"/>
      <c r="H3" s="19"/>
      <c r="I3" s="19"/>
      <c r="J3" s="209"/>
      <c r="K3" s="325">
        <v>906887.84760000021</v>
      </c>
      <c r="L3" s="19"/>
      <c r="M3" s="391">
        <f>+K3</f>
        <v>906887.84760000021</v>
      </c>
      <c r="N3" s="19"/>
      <c r="O3">
        <v>901895.31</v>
      </c>
      <c r="P3" s="24">
        <f>O3-M3</f>
        <v>-4992.5376000001561</v>
      </c>
    </row>
    <row r="4" spans="1:16">
      <c r="A4" s="229">
        <v>1</v>
      </c>
      <c r="B4" s="264">
        <v>45839</v>
      </c>
      <c r="C4" s="152"/>
      <c r="D4" s="152"/>
      <c r="E4" s="299">
        <v>1141.3800000000001</v>
      </c>
      <c r="F4" s="299">
        <v>91.48</v>
      </c>
      <c r="G4" s="308">
        <f>E4*F4</f>
        <v>104413.44240000001</v>
      </c>
      <c r="H4" s="299">
        <v>0</v>
      </c>
      <c r="I4" s="299">
        <v>0</v>
      </c>
      <c r="J4" s="299">
        <f>H4*I4</f>
        <v>0</v>
      </c>
      <c r="K4" s="308">
        <f>G4+J4</f>
        <v>104413.44240000001</v>
      </c>
      <c r="L4" s="152"/>
      <c r="M4" s="391">
        <f>M3+K4-L4</f>
        <v>1011301.2900000003</v>
      </c>
      <c r="N4" s="152"/>
      <c r="O4" s="24"/>
    </row>
    <row r="5" spans="1:16">
      <c r="A5" s="55">
        <v>2</v>
      </c>
      <c r="B5" s="264">
        <v>45840</v>
      </c>
      <c r="C5" s="19"/>
      <c r="D5" s="19"/>
      <c r="E5" s="299">
        <v>265.35000000000002</v>
      </c>
      <c r="F5" s="299">
        <v>91.48</v>
      </c>
      <c r="G5" s="308">
        <f t="shared" ref="G5:G39" si="0">E5*F5</f>
        <v>24274.218000000004</v>
      </c>
      <c r="H5" s="299">
        <v>5</v>
      </c>
      <c r="I5" s="299">
        <v>103.41</v>
      </c>
      <c r="J5" s="299">
        <f t="shared" ref="J5:J39" si="1">H5*I5</f>
        <v>517.04999999999995</v>
      </c>
      <c r="K5" s="308">
        <f t="shared" ref="K5:K39" si="2">G5+J5</f>
        <v>24791.268000000004</v>
      </c>
      <c r="L5" s="19"/>
      <c r="M5" s="391">
        <f t="shared" ref="M5:M39" si="3">M4+K5-L5</f>
        <v>1036092.5580000003</v>
      </c>
      <c r="N5" s="19"/>
    </row>
    <row r="6" spans="1:16">
      <c r="A6" s="55"/>
      <c r="B6" s="264">
        <v>45840</v>
      </c>
      <c r="C6" s="19"/>
      <c r="D6" s="19"/>
      <c r="E6" s="299">
        <v>0</v>
      </c>
      <c r="F6" s="299"/>
      <c r="G6" s="308"/>
      <c r="H6" s="299">
        <v>5</v>
      </c>
      <c r="I6" s="299">
        <v>111.17</v>
      </c>
      <c r="J6" s="299">
        <f t="shared" si="1"/>
        <v>555.85</v>
      </c>
      <c r="K6" s="308">
        <f t="shared" si="2"/>
        <v>555.85</v>
      </c>
      <c r="L6" s="19"/>
      <c r="M6" s="391">
        <f t="shared" si="3"/>
        <v>1036648.4080000003</v>
      </c>
      <c r="N6" s="19"/>
    </row>
    <row r="7" spans="1:16">
      <c r="A7" s="55">
        <v>3</v>
      </c>
      <c r="B7" s="264">
        <v>45841</v>
      </c>
      <c r="C7" s="19"/>
      <c r="D7" s="19"/>
      <c r="E7" s="299">
        <v>1626.01</v>
      </c>
      <c r="F7" s="299">
        <v>91.48</v>
      </c>
      <c r="G7" s="308">
        <f t="shared" si="0"/>
        <v>148747.39480000001</v>
      </c>
      <c r="H7" s="299">
        <v>31</v>
      </c>
      <c r="I7" s="299">
        <v>103.41</v>
      </c>
      <c r="J7" s="299">
        <f t="shared" si="1"/>
        <v>3205.71</v>
      </c>
      <c r="K7" s="308">
        <f t="shared" si="2"/>
        <v>151953.1048</v>
      </c>
      <c r="L7" s="19"/>
      <c r="M7" s="391">
        <f t="shared" si="3"/>
        <v>1188601.5128000004</v>
      </c>
      <c r="N7" s="19"/>
    </row>
    <row r="8" spans="1:16">
      <c r="A8" s="55">
        <v>4</v>
      </c>
      <c r="B8" s="264">
        <v>45842</v>
      </c>
      <c r="C8" s="19"/>
      <c r="D8" s="19"/>
      <c r="E8" s="299">
        <v>167.61</v>
      </c>
      <c r="F8" s="299">
        <v>91.48</v>
      </c>
      <c r="G8" s="308">
        <f t="shared" si="0"/>
        <v>15332.962800000001</v>
      </c>
      <c r="H8" s="299">
        <v>10</v>
      </c>
      <c r="I8" s="299">
        <v>103.41</v>
      </c>
      <c r="J8" s="299">
        <f t="shared" si="1"/>
        <v>1034.0999999999999</v>
      </c>
      <c r="K8" s="308">
        <f t="shared" si="2"/>
        <v>16367.062800000002</v>
      </c>
      <c r="L8" s="19"/>
      <c r="M8" s="391">
        <f t="shared" si="3"/>
        <v>1204968.5756000003</v>
      </c>
      <c r="N8" s="19"/>
    </row>
    <row r="9" spans="1:16">
      <c r="A9" s="55">
        <v>5</v>
      </c>
      <c r="B9" s="264">
        <v>45843</v>
      </c>
      <c r="C9" s="19"/>
      <c r="D9" s="19"/>
      <c r="E9" s="335">
        <v>1158.81</v>
      </c>
      <c r="F9" s="380">
        <v>91.48</v>
      </c>
      <c r="G9" s="308">
        <f t="shared" si="0"/>
        <v>106007.9388</v>
      </c>
      <c r="H9" s="335">
        <v>6</v>
      </c>
      <c r="I9" s="299">
        <v>103.41</v>
      </c>
      <c r="J9" s="299">
        <f t="shared" si="1"/>
        <v>620.46</v>
      </c>
      <c r="K9" s="308">
        <f t="shared" si="2"/>
        <v>106628.39880000001</v>
      </c>
      <c r="L9" s="19"/>
      <c r="M9" s="391">
        <f t="shared" si="3"/>
        <v>1311596.9744000004</v>
      </c>
      <c r="N9" s="19"/>
    </row>
    <row r="10" spans="1:16">
      <c r="A10" s="55">
        <v>6</v>
      </c>
      <c r="B10" s="264">
        <v>45844</v>
      </c>
      <c r="C10" s="19"/>
      <c r="D10" s="19"/>
      <c r="E10" s="335">
        <v>38.590000000000003</v>
      </c>
      <c r="F10" s="380">
        <v>91.48</v>
      </c>
      <c r="G10" s="308">
        <f t="shared" si="0"/>
        <v>3530.2132000000006</v>
      </c>
      <c r="H10" s="335">
        <v>11</v>
      </c>
      <c r="I10" s="299">
        <v>103.41</v>
      </c>
      <c r="J10" s="299">
        <f t="shared" si="1"/>
        <v>1137.51</v>
      </c>
      <c r="K10" s="308">
        <f t="shared" si="2"/>
        <v>4667.7232000000004</v>
      </c>
      <c r="L10" s="19"/>
      <c r="M10" s="391">
        <f t="shared" si="3"/>
        <v>1316264.6976000003</v>
      </c>
      <c r="N10" s="19"/>
    </row>
    <row r="11" spans="1:16">
      <c r="A11" s="55">
        <v>7</v>
      </c>
      <c r="B11" s="264">
        <v>45845</v>
      </c>
      <c r="C11" s="19"/>
      <c r="D11" s="19"/>
      <c r="E11" s="299">
        <v>1483.8</v>
      </c>
      <c r="F11" s="380">
        <v>91.48</v>
      </c>
      <c r="G11" s="308">
        <f t="shared" si="0"/>
        <v>135738.024</v>
      </c>
      <c r="H11" s="299">
        <v>17</v>
      </c>
      <c r="I11" s="299">
        <v>103.41</v>
      </c>
      <c r="J11" s="299">
        <f t="shared" si="1"/>
        <v>1757.97</v>
      </c>
      <c r="K11" s="308">
        <f t="shared" si="2"/>
        <v>137495.99400000001</v>
      </c>
      <c r="L11" s="19"/>
      <c r="M11" s="391">
        <f t="shared" si="3"/>
        <v>1453760.6916000003</v>
      </c>
      <c r="N11" s="19"/>
    </row>
    <row r="12" spans="1:16">
      <c r="A12" s="55"/>
      <c r="B12" s="264">
        <v>45845</v>
      </c>
      <c r="C12" s="19"/>
      <c r="D12" s="19"/>
      <c r="E12" s="299">
        <v>0</v>
      </c>
      <c r="F12" s="380">
        <v>0</v>
      </c>
      <c r="G12" s="308">
        <v>0</v>
      </c>
      <c r="H12" s="299">
        <v>6</v>
      </c>
      <c r="I12" s="299">
        <v>111.17</v>
      </c>
      <c r="J12" s="299">
        <f t="shared" si="1"/>
        <v>667.02</v>
      </c>
      <c r="K12" s="308">
        <f t="shared" si="2"/>
        <v>667.02</v>
      </c>
      <c r="L12" s="19"/>
      <c r="M12" s="391">
        <f t="shared" si="3"/>
        <v>1454427.7116000003</v>
      </c>
      <c r="N12" s="19"/>
    </row>
    <row r="13" spans="1:16">
      <c r="A13" s="55">
        <v>8</v>
      </c>
      <c r="B13" s="264">
        <v>45846</v>
      </c>
      <c r="C13" s="19"/>
      <c r="D13" s="19">
        <v>555.79</v>
      </c>
      <c r="E13" s="299">
        <v>585.29</v>
      </c>
      <c r="F13" s="380">
        <v>91.48</v>
      </c>
      <c r="G13" s="308">
        <f t="shared" si="0"/>
        <v>53542.3292</v>
      </c>
      <c r="H13" s="299">
        <v>36</v>
      </c>
      <c r="I13" s="299">
        <v>103.41</v>
      </c>
      <c r="J13" s="299">
        <f t="shared" si="1"/>
        <v>3722.7599999999998</v>
      </c>
      <c r="K13" s="308">
        <f t="shared" si="2"/>
        <v>57265.089200000002</v>
      </c>
      <c r="L13" s="19"/>
      <c r="M13" s="391">
        <f t="shared" si="3"/>
        <v>1511692.8008000003</v>
      </c>
      <c r="N13" s="19"/>
    </row>
    <row r="14" spans="1:16">
      <c r="A14" s="55">
        <v>9</v>
      </c>
      <c r="B14" s="264">
        <v>45847</v>
      </c>
      <c r="C14" s="19"/>
      <c r="D14" s="19"/>
      <c r="E14" s="299">
        <v>412.32</v>
      </c>
      <c r="F14" s="380">
        <v>91.48</v>
      </c>
      <c r="G14" s="308">
        <f t="shared" si="0"/>
        <v>37719.033600000002</v>
      </c>
      <c r="H14" s="299">
        <v>31.65</v>
      </c>
      <c r="I14" s="299">
        <v>103.41</v>
      </c>
      <c r="J14" s="299">
        <f t="shared" si="1"/>
        <v>3272.9264999999996</v>
      </c>
      <c r="K14" s="308">
        <f t="shared" si="2"/>
        <v>40991.960100000004</v>
      </c>
      <c r="L14" s="19"/>
      <c r="M14" s="391">
        <f t="shared" si="3"/>
        <v>1552684.7609000003</v>
      </c>
      <c r="N14" s="19"/>
    </row>
    <row r="15" spans="1:16">
      <c r="A15" s="55">
        <v>10</v>
      </c>
      <c r="B15" s="264">
        <v>45848</v>
      </c>
      <c r="C15" s="19"/>
      <c r="D15" s="19"/>
      <c r="E15" s="299">
        <v>547.55999999999995</v>
      </c>
      <c r="F15" s="380">
        <v>91.48</v>
      </c>
      <c r="G15" s="308">
        <f t="shared" si="0"/>
        <v>50090.788799999995</v>
      </c>
      <c r="H15" s="299">
        <v>5</v>
      </c>
      <c r="I15" s="299">
        <v>103.41</v>
      </c>
      <c r="J15" s="299">
        <f t="shared" si="1"/>
        <v>517.04999999999995</v>
      </c>
      <c r="K15" s="308">
        <f t="shared" si="2"/>
        <v>50607.838799999998</v>
      </c>
      <c r="L15" s="19"/>
      <c r="M15" s="391">
        <f t="shared" si="3"/>
        <v>1603292.5997000004</v>
      </c>
      <c r="N15" s="19"/>
    </row>
    <row r="16" spans="1:16">
      <c r="A16" s="55">
        <v>11</v>
      </c>
      <c r="B16" s="264">
        <v>45849</v>
      </c>
      <c r="C16" s="19"/>
      <c r="D16" s="19"/>
      <c r="E16" s="299">
        <v>802.01</v>
      </c>
      <c r="F16" s="380">
        <v>91.48</v>
      </c>
      <c r="G16" s="308">
        <f t="shared" si="0"/>
        <v>73367.874800000005</v>
      </c>
      <c r="H16" s="299">
        <v>26</v>
      </c>
      <c r="I16" s="299">
        <v>103.41</v>
      </c>
      <c r="J16" s="299">
        <f t="shared" si="1"/>
        <v>2688.66</v>
      </c>
      <c r="K16" s="308">
        <f t="shared" si="2"/>
        <v>76056.534800000009</v>
      </c>
      <c r="L16" s="19"/>
      <c r="M16" s="391">
        <f t="shared" si="3"/>
        <v>1679349.1345000004</v>
      </c>
      <c r="N16" s="19"/>
    </row>
    <row r="17" spans="1:16">
      <c r="A17" s="55">
        <v>12</v>
      </c>
      <c r="B17" s="264">
        <v>45850</v>
      </c>
      <c r="C17" s="19"/>
      <c r="D17" s="19"/>
      <c r="E17" s="335">
        <v>365.03999999999996</v>
      </c>
      <c r="F17" s="380">
        <v>91.48</v>
      </c>
      <c r="G17" s="308">
        <f t="shared" si="0"/>
        <v>33393.859199999999</v>
      </c>
      <c r="H17" s="299">
        <v>0</v>
      </c>
      <c r="I17" s="299">
        <v>0</v>
      </c>
      <c r="J17" s="299">
        <f t="shared" si="1"/>
        <v>0</v>
      </c>
      <c r="K17" s="308">
        <f t="shared" si="2"/>
        <v>33393.859199999999</v>
      </c>
      <c r="L17" s="19"/>
      <c r="M17" s="391">
        <f t="shared" si="3"/>
        <v>1712742.9937000005</v>
      </c>
      <c r="N17" s="19"/>
      <c r="P17" s="333"/>
    </row>
    <row r="18" spans="1:16">
      <c r="A18" s="55">
        <v>13</v>
      </c>
      <c r="B18" s="264">
        <v>45851</v>
      </c>
      <c r="C18" s="19"/>
      <c r="D18" s="19"/>
      <c r="E18" s="335">
        <v>222.08999999999997</v>
      </c>
      <c r="F18" s="380">
        <v>91.48</v>
      </c>
      <c r="G18" s="308">
        <f t="shared" si="0"/>
        <v>20316.7932</v>
      </c>
      <c r="H18" s="299">
        <v>6</v>
      </c>
      <c r="I18" s="299">
        <v>103.41</v>
      </c>
      <c r="J18" s="299">
        <f>H18*I18</f>
        <v>620.46</v>
      </c>
      <c r="K18" s="308">
        <f>G18+J18</f>
        <v>20937.253199999999</v>
      </c>
      <c r="L18" s="19"/>
      <c r="M18" s="391">
        <f t="shared" si="3"/>
        <v>1733680.2469000004</v>
      </c>
      <c r="N18" s="19"/>
    </row>
    <row r="19" spans="1:16">
      <c r="A19" s="55">
        <v>14</v>
      </c>
      <c r="B19" s="264">
        <v>45852</v>
      </c>
      <c r="C19" s="19"/>
      <c r="D19" s="19"/>
      <c r="E19" s="299">
        <v>158.44999999999999</v>
      </c>
      <c r="F19" s="380">
        <v>91.48</v>
      </c>
      <c r="G19" s="308">
        <f t="shared" si="0"/>
        <v>14495.005999999999</v>
      </c>
      <c r="H19" s="299">
        <v>22</v>
      </c>
      <c r="I19" s="299">
        <v>103.41</v>
      </c>
      <c r="J19" s="299">
        <f t="shared" si="1"/>
        <v>2275.02</v>
      </c>
      <c r="K19" s="308">
        <f t="shared" si="2"/>
        <v>16770.025999999998</v>
      </c>
      <c r="L19" s="19"/>
      <c r="M19" s="391">
        <f t="shared" si="3"/>
        <v>1750450.2729000004</v>
      </c>
      <c r="N19" s="19"/>
      <c r="P19" s="24">
        <f>M19-O19</f>
        <v>1750450.2729000004</v>
      </c>
    </row>
    <row r="20" spans="1:16">
      <c r="A20" s="55">
        <v>15</v>
      </c>
      <c r="B20" s="264">
        <v>45853</v>
      </c>
      <c r="C20" s="19"/>
      <c r="D20" s="19"/>
      <c r="E20" s="299">
        <v>1876.58</v>
      </c>
      <c r="F20" s="380">
        <v>91.48</v>
      </c>
      <c r="G20" s="308">
        <f t="shared" si="0"/>
        <v>171669.53839999999</v>
      </c>
      <c r="H20" s="299">
        <v>20</v>
      </c>
      <c r="I20" s="299">
        <v>103.41</v>
      </c>
      <c r="J20" s="299">
        <f t="shared" si="1"/>
        <v>2068.1999999999998</v>
      </c>
      <c r="K20" s="308">
        <f t="shared" si="2"/>
        <v>173737.7384</v>
      </c>
      <c r="L20" s="19">
        <v>1725179</v>
      </c>
      <c r="M20" s="391">
        <f t="shared" si="3"/>
        <v>199009.01130000036</v>
      </c>
      <c r="N20" s="19"/>
    </row>
    <row r="21" spans="1:16">
      <c r="A21" s="55">
        <v>15</v>
      </c>
      <c r="B21" s="264">
        <v>45854</v>
      </c>
      <c r="C21" s="19"/>
      <c r="D21" s="19"/>
      <c r="E21" s="299">
        <v>143.01</v>
      </c>
      <c r="F21" s="380">
        <v>91.48</v>
      </c>
      <c r="G21" s="308">
        <f>E21*F21</f>
        <v>13082.5548</v>
      </c>
      <c r="H21" s="299">
        <v>11</v>
      </c>
      <c r="I21" s="299">
        <v>103.41</v>
      </c>
      <c r="J21" s="299">
        <f>H21*I21</f>
        <v>1137.51</v>
      </c>
      <c r="K21" s="308">
        <f>G21+J21</f>
        <v>14220.0648</v>
      </c>
      <c r="L21" s="19"/>
      <c r="M21" s="391">
        <f t="shared" si="3"/>
        <v>213229.07610000035</v>
      </c>
      <c r="N21" s="19"/>
    </row>
    <row r="22" spans="1:16">
      <c r="A22" s="55">
        <v>16</v>
      </c>
      <c r="B22" s="264">
        <v>45855</v>
      </c>
      <c r="C22" s="19"/>
      <c r="D22" s="19"/>
      <c r="E22" s="299">
        <v>548.88</v>
      </c>
      <c r="F22" s="380">
        <v>91.48</v>
      </c>
      <c r="G22" s="308">
        <f t="shared" si="0"/>
        <v>50211.542399999998</v>
      </c>
      <c r="H22" s="299">
        <v>0</v>
      </c>
      <c r="I22" s="299">
        <v>0</v>
      </c>
      <c r="J22" s="299">
        <f t="shared" si="1"/>
        <v>0</v>
      </c>
      <c r="K22" s="308">
        <f t="shared" si="2"/>
        <v>50211.542399999998</v>
      </c>
      <c r="L22" s="19"/>
      <c r="M22" s="391">
        <f t="shared" si="3"/>
        <v>263440.61850000033</v>
      </c>
      <c r="N22" s="19"/>
    </row>
    <row r="23" spans="1:16">
      <c r="A23" s="55">
        <v>17</v>
      </c>
      <c r="B23" s="264">
        <v>45856</v>
      </c>
      <c r="C23" s="19"/>
      <c r="D23" s="19"/>
      <c r="E23" s="299">
        <v>1279.21</v>
      </c>
      <c r="F23" s="380">
        <v>91.48</v>
      </c>
      <c r="G23" s="308">
        <f t="shared" si="0"/>
        <v>117022.13080000001</v>
      </c>
      <c r="H23" s="299">
        <v>5</v>
      </c>
      <c r="I23" s="299">
        <v>103.41</v>
      </c>
      <c r="J23" s="299">
        <f t="shared" si="1"/>
        <v>517.04999999999995</v>
      </c>
      <c r="K23" s="308">
        <f t="shared" si="2"/>
        <v>117539.18080000002</v>
      </c>
      <c r="L23" s="19"/>
      <c r="M23" s="391">
        <f t="shared" si="3"/>
        <v>380979.79930000036</v>
      </c>
      <c r="N23" s="19"/>
    </row>
    <row r="24" spans="1:16">
      <c r="A24" s="55">
        <v>18</v>
      </c>
      <c r="B24" s="264">
        <v>45857</v>
      </c>
      <c r="C24" s="19"/>
      <c r="D24" s="19"/>
      <c r="E24" s="335">
        <f>400+330.23</f>
        <v>730.23</v>
      </c>
      <c r="F24" s="380">
        <v>91.48</v>
      </c>
      <c r="G24" s="308">
        <f t="shared" si="0"/>
        <v>66801.440400000007</v>
      </c>
      <c r="H24" s="299">
        <v>23</v>
      </c>
      <c r="I24" s="299">
        <v>103.41</v>
      </c>
      <c r="J24" s="299">
        <f t="shared" si="1"/>
        <v>2378.4299999999998</v>
      </c>
      <c r="K24" s="308">
        <f t="shared" si="2"/>
        <v>69179.8704</v>
      </c>
      <c r="L24" s="19"/>
      <c r="M24" s="391">
        <f t="shared" si="3"/>
        <v>450159.66970000038</v>
      </c>
      <c r="N24" s="19"/>
    </row>
    <row r="25" spans="1:16">
      <c r="A25" s="55">
        <v>19</v>
      </c>
      <c r="B25" s="264">
        <v>45858</v>
      </c>
      <c r="C25" s="19"/>
      <c r="D25" s="19"/>
      <c r="E25" s="335">
        <v>275.64</v>
      </c>
      <c r="F25" s="380">
        <v>91.48</v>
      </c>
      <c r="G25" s="308">
        <f t="shared" si="0"/>
        <v>25215.547200000001</v>
      </c>
      <c r="H25" s="299">
        <v>0</v>
      </c>
      <c r="I25" s="299">
        <v>0</v>
      </c>
      <c r="J25" s="299">
        <f t="shared" si="1"/>
        <v>0</v>
      </c>
      <c r="K25" s="308">
        <f t="shared" si="2"/>
        <v>25215.547200000001</v>
      </c>
      <c r="L25" s="19"/>
      <c r="M25" s="391">
        <f t="shared" si="3"/>
        <v>475375.21690000035</v>
      </c>
      <c r="N25" s="19"/>
    </row>
    <row r="26" spans="1:16">
      <c r="A26" s="55">
        <v>20</v>
      </c>
      <c r="B26" s="264">
        <v>45859</v>
      </c>
      <c r="C26" s="19"/>
      <c r="D26" s="19"/>
      <c r="E26" s="299">
        <v>899.95</v>
      </c>
      <c r="F26" s="380">
        <v>91.48</v>
      </c>
      <c r="G26" s="308">
        <f t="shared" si="0"/>
        <v>82327.426000000007</v>
      </c>
      <c r="H26" s="299">
        <v>38</v>
      </c>
      <c r="I26" s="299">
        <v>103.41</v>
      </c>
      <c r="J26" s="299">
        <f t="shared" si="1"/>
        <v>3929.58</v>
      </c>
      <c r="K26" s="308">
        <f t="shared" si="2"/>
        <v>86257.006000000008</v>
      </c>
      <c r="L26" s="19"/>
      <c r="M26" s="391">
        <f t="shared" si="3"/>
        <v>561632.2229000004</v>
      </c>
      <c r="N26" s="19"/>
    </row>
    <row r="27" spans="1:16">
      <c r="A27" s="55">
        <v>21</v>
      </c>
      <c r="B27" s="264">
        <v>45860</v>
      </c>
      <c r="C27" s="19"/>
      <c r="D27" s="19"/>
      <c r="E27" s="299">
        <v>207.44</v>
      </c>
      <c r="F27" s="380">
        <v>91.48</v>
      </c>
      <c r="G27" s="308">
        <f t="shared" si="0"/>
        <v>18976.611199999999</v>
      </c>
      <c r="H27" s="299">
        <v>0</v>
      </c>
      <c r="I27" s="299">
        <v>0</v>
      </c>
      <c r="J27" s="299">
        <f t="shared" si="1"/>
        <v>0</v>
      </c>
      <c r="K27" s="308">
        <f t="shared" si="2"/>
        <v>18976.611199999999</v>
      </c>
      <c r="L27" s="19"/>
      <c r="M27" s="391">
        <f t="shared" si="3"/>
        <v>580608.83410000044</v>
      </c>
      <c r="N27" s="19"/>
    </row>
    <row r="28" spans="1:16">
      <c r="A28" s="55">
        <v>22</v>
      </c>
      <c r="B28" s="264">
        <v>45861</v>
      </c>
      <c r="C28" s="19"/>
      <c r="D28" s="19"/>
      <c r="E28" s="299">
        <v>250.7</v>
      </c>
      <c r="F28" s="380">
        <v>91.48</v>
      </c>
      <c r="G28" s="308">
        <f t="shared" si="0"/>
        <v>22934.036</v>
      </c>
      <c r="H28" s="299">
        <v>11</v>
      </c>
      <c r="I28" s="299">
        <v>103.41</v>
      </c>
      <c r="J28" s="299">
        <f t="shared" si="1"/>
        <v>1137.51</v>
      </c>
      <c r="K28" s="308">
        <f t="shared" si="2"/>
        <v>24071.545999999998</v>
      </c>
      <c r="L28" s="19"/>
      <c r="M28" s="391">
        <f t="shared" si="3"/>
        <v>604680.38010000042</v>
      </c>
      <c r="N28" s="19"/>
    </row>
    <row r="29" spans="1:16">
      <c r="A29" s="55">
        <v>23</v>
      </c>
      <c r="B29" s="264">
        <v>45862</v>
      </c>
      <c r="C29" s="19"/>
      <c r="D29" s="19"/>
      <c r="E29" s="299">
        <v>593.53</v>
      </c>
      <c r="F29" s="380">
        <v>91.48</v>
      </c>
      <c r="G29" s="308">
        <f t="shared" si="0"/>
        <v>54296.124400000001</v>
      </c>
      <c r="H29" s="299">
        <v>6</v>
      </c>
      <c r="I29" s="299">
        <v>103.41</v>
      </c>
      <c r="J29" s="299">
        <f t="shared" si="1"/>
        <v>620.46</v>
      </c>
      <c r="K29" s="308">
        <f t="shared" si="2"/>
        <v>54916.5844</v>
      </c>
      <c r="L29" s="19"/>
      <c r="M29" s="391">
        <f t="shared" si="3"/>
        <v>659596.96450000047</v>
      </c>
      <c r="N29" s="19"/>
    </row>
    <row r="30" spans="1:16">
      <c r="A30" s="55">
        <v>24</v>
      </c>
      <c r="B30" s="264">
        <v>45863</v>
      </c>
      <c r="C30" s="19"/>
      <c r="D30" s="19"/>
      <c r="E30" s="299">
        <v>204.03</v>
      </c>
      <c r="F30" s="380">
        <v>91.48</v>
      </c>
      <c r="G30" s="308">
        <f t="shared" si="0"/>
        <v>18664.664400000001</v>
      </c>
      <c r="H30" s="299">
        <v>10</v>
      </c>
      <c r="I30" s="299">
        <v>103.41</v>
      </c>
      <c r="J30" s="299">
        <f t="shared" si="1"/>
        <v>1034.0999999999999</v>
      </c>
      <c r="K30" s="308">
        <f>G30+J30</f>
        <v>19698.7644</v>
      </c>
      <c r="L30" s="19"/>
      <c r="M30" s="391">
        <f t="shared" si="3"/>
        <v>679295.72890000045</v>
      </c>
      <c r="N30" s="19"/>
    </row>
    <row r="31" spans="1:16">
      <c r="A31" s="55">
        <v>25</v>
      </c>
      <c r="B31" s="264">
        <v>45864</v>
      </c>
      <c r="C31" s="107"/>
      <c r="D31" s="107"/>
      <c r="E31" s="299">
        <v>380.11</v>
      </c>
      <c r="F31" s="299">
        <v>91.48</v>
      </c>
      <c r="G31" s="308">
        <f t="shared" si="0"/>
        <v>34772.462800000001</v>
      </c>
      <c r="H31" s="299">
        <v>12</v>
      </c>
      <c r="I31" s="299">
        <v>103.41</v>
      </c>
      <c r="J31" s="299">
        <f t="shared" si="1"/>
        <v>1240.92</v>
      </c>
      <c r="K31" s="308">
        <f t="shared" si="2"/>
        <v>36013.382799999999</v>
      </c>
      <c r="L31" s="19"/>
      <c r="M31" s="391">
        <f t="shared" si="3"/>
        <v>715309.11170000047</v>
      </c>
      <c r="N31" s="107"/>
    </row>
    <row r="32" spans="1:16">
      <c r="A32" s="55">
        <v>26</v>
      </c>
      <c r="B32" s="264">
        <v>45865</v>
      </c>
      <c r="C32" s="19"/>
      <c r="D32" s="19"/>
      <c r="E32" s="299">
        <v>50</v>
      </c>
      <c r="F32" s="299">
        <v>91.48</v>
      </c>
      <c r="G32" s="308">
        <f t="shared" si="0"/>
        <v>4574</v>
      </c>
      <c r="H32" s="299">
        <v>10</v>
      </c>
      <c r="I32" s="299">
        <v>103.41</v>
      </c>
      <c r="J32" s="299">
        <f t="shared" si="1"/>
        <v>1034.0999999999999</v>
      </c>
      <c r="K32" s="308">
        <f>G32+J32</f>
        <v>5608.1</v>
      </c>
      <c r="L32" s="19"/>
      <c r="M32" s="391">
        <f t="shared" si="3"/>
        <v>720917.21170000045</v>
      </c>
      <c r="N32" s="19"/>
    </row>
    <row r="33" spans="1:16">
      <c r="A33" s="55">
        <v>27</v>
      </c>
      <c r="B33" s="264">
        <v>45866</v>
      </c>
      <c r="C33" s="19"/>
      <c r="D33" s="19"/>
      <c r="E33" s="299">
        <v>297.66000000000003</v>
      </c>
      <c r="F33" s="299">
        <v>91.48</v>
      </c>
      <c r="G33" s="308">
        <f t="shared" si="0"/>
        <v>27229.936800000003</v>
      </c>
      <c r="H33" s="299">
        <v>27</v>
      </c>
      <c r="I33" s="299">
        <v>103.41</v>
      </c>
      <c r="J33" s="299">
        <f t="shared" si="1"/>
        <v>2792.0699999999997</v>
      </c>
      <c r="K33" s="308">
        <f t="shared" si="2"/>
        <v>30022.006800000003</v>
      </c>
      <c r="L33" s="19"/>
      <c r="M33" s="391">
        <f t="shared" si="3"/>
        <v>750939.21850000042</v>
      </c>
      <c r="N33" s="19"/>
    </row>
    <row r="34" spans="1:16">
      <c r="A34" s="55">
        <v>28</v>
      </c>
      <c r="B34" s="264">
        <v>45867</v>
      </c>
      <c r="C34" s="19"/>
      <c r="D34" s="19"/>
      <c r="E34" s="299">
        <v>890.52</v>
      </c>
      <c r="F34" s="299">
        <v>91.48</v>
      </c>
      <c r="G34" s="308">
        <f t="shared" si="0"/>
        <v>81464.7696</v>
      </c>
      <c r="H34" s="299">
        <v>28</v>
      </c>
      <c r="I34" s="299">
        <v>103.41</v>
      </c>
      <c r="J34" s="299">
        <f t="shared" si="1"/>
        <v>2895.48</v>
      </c>
      <c r="K34" s="308">
        <f t="shared" si="2"/>
        <v>84360.249599999996</v>
      </c>
      <c r="L34" s="19"/>
      <c r="M34" s="391">
        <f t="shared" si="3"/>
        <v>835299.46810000041</v>
      </c>
      <c r="N34" s="19"/>
    </row>
    <row r="35" spans="1:16">
      <c r="A35" s="229">
        <v>29</v>
      </c>
      <c r="B35" s="264">
        <v>45868</v>
      </c>
      <c r="C35" s="19"/>
      <c r="D35" s="19"/>
      <c r="E35" s="299">
        <v>1420.98</v>
      </c>
      <c r="F35" s="299">
        <v>91.48</v>
      </c>
      <c r="G35" s="308">
        <f t="shared" si="0"/>
        <v>129991.2504</v>
      </c>
      <c r="H35" s="299">
        <v>16</v>
      </c>
      <c r="I35" s="299">
        <v>103.41</v>
      </c>
      <c r="J35" s="299">
        <f t="shared" si="1"/>
        <v>1654.56</v>
      </c>
      <c r="K35" s="308">
        <f t="shared" si="2"/>
        <v>131645.81040000002</v>
      </c>
      <c r="L35" s="19"/>
      <c r="M35" s="391">
        <f t="shared" si="3"/>
        <v>966945.27850000048</v>
      </c>
      <c r="N35" s="19"/>
    </row>
    <row r="36" spans="1:16">
      <c r="A36" s="229">
        <v>30</v>
      </c>
      <c r="B36" s="264">
        <v>45869</v>
      </c>
      <c r="C36" s="19"/>
      <c r="D36" s="19"/>
      <c r="E36" s="299">
        <v>426.05</v>
      </c>
      <c r="F36" s="299">
        <v>91.48</v>
      </c>
      <c r="G36" s="308">
        <f t="shared" si="0"/>
        <v>38975.054000000004</v>
      </c>
      <c r="H36" s="299">
        <v>10</v>
      </c>
      <c r="I36" s="299">
        <v>103.41</v>
      </c>
      <c r="J36" s="299">
        <f t="shared" si="1"/>
        <v>1034.0999999999999</v>
      </c>
      <c r="K36" s="308">
        <f t="shared" si="2"/>
        <v>40009.154000000002</v>
      </c>
      <c r="L36" s="19">
        <v>500000</v>
      </c>
      <c r="M36" s="391">
        <f t="shared" si="3"/>
        <v>506954.43250000046</v>
      </c>
      <c r="N36" s="19"/>
    </row>
    <row r="37" spans="1:16">
      <c r="A37" s="229">
        <v>31</v>
      </c>
      <c r="B37" s="264"/>
      <c r="C37" s="19"/>
      <c r="D37" s="19"/>
      <c r="E37" s="299">
        <v>0</v>
      </c>
      <c r="F37" s="299">
        <v>0</v>
      </c>
      <c r="G37" s="308">
        <f t="shared" si="0"/>
        <v>0</v>
      </c>
      <c r="H37" s="299">
        <v>0</v>
      </c>
      <c r="I37" s="299">
        <v>0</v>
      </c>
      <c r="J37" s="299">
        <f t="shared" si="1"/>
        <v>0</v>
      </c>
      <c r="K37" s="308">
        <f t="shared" si="2"/>
        <v>0</v>
      </c>
      <c r="L37" s="19"/>
      <c r="M37" s="391">
        <f t="shared" si="3"/>
        <v>506954.43250000046</v>
      </c>
      <c r="N37" s="107"/>
    </row>
    <row r="38" spans="1:16">
      <c r="A38" s="54"/>
      <c r="B38" s="264"/>
      <c r="C38" s="19"/>
      <c r="D38" s="19"/>
      <c r="E38" s="299">
        <v>0</v>
      </c>
      <c r="F38" s="299">
        <v>0</v>
      </c>
      <c r="G38" s="308">
        <f t="shared" si="0"/>
        <v>0</v>
      </c>
      <c r="H38" s="299">
        <v>0</v>
      </c>
      <c r="I38" s="299">
        <v>0</v>
      </c>
      <c r="J38" s="299">
        <f t="shared" si="1"/>
        <v>0</v>
      </c>
      <c r="K38" s="308">
        <f t="shared" si="2"/>
        <v>0</v>
      </c>
      <c r="L38" s="19"/>
      <c r="M38" s="391">
        <f t="shared" si="3"/>
        <v>506954.43250000046</v>
      </c>
      <c r="N38" s="19"/>
      <c r="P38" s="24"/>
    </row>
    <row r="39" spans="1:16">
      <c r="A39" s="54"/>
      <c r="B39" s="264"/>
      <c r="C39" s="19"/>
      <c r="D39" s="19"/>
      <c r="E39" s="299">
        <v>0</v>
      </c>
      <c r="F39" s="299">
        <v>0</v>
      </c>
      <c r="G39" s="308">
        <f t="shared" si="0"/>
        <v>0</v>
      </c>
      <c r="H39" s="299">
        <v>0</v>
      </c>
      <c r="I39" s="299">
        <v>0</v>
      </c>
      <c r="J39" s="299">
        <f t="shared" si="1"/>
        <v>0</v>
      </c>
      <c r="K39" s="308">
        <f t="shared" si="2"/>
        <v>0</v>
      </c>
      <c r="L39" s="19"/>
      <c r="M39" s="391">
        <f t="shared" si="3"/>
        <v>506954.43250000046</v>
      </c>
      <c r="N39" s="19"/>
      <c r="P39" s="24"/>
    </row>
    <row r="40" spans="1:16">
      <c r="A40" s="204"/>
      <c r="B40" s="204"/>
      <c r="C40" s="204"/>
      <c r="D40" s="204"/>
      <c r="E40" s="204">
        <f>SUM(E4:E37)</f>
        <v>19448.830000000002</v>
      </c>
      <c r="F40" s="204"/>
      <c r="G40" s="204">
        <f>SUM(G4:G37)</f>
        <v>1779178.9683999999</v>
      </c>
      <c r="H40" s="204">
        <f>SUM(H4:H37)</f>
        <v>444.65</v>
      </c>
      <c r="I40" s="204"/>
      <c r="J40" s="204">
        <f>SUM(J4:J37)</f>
        <v>46066.616499999996</v>
      </c>
      <c r="K40" s="204">
        <f>SUM(K4:K37)</f>
        <v>1825245.5849000004</v>
      </c>
      <c r="L40" s="204">
        <f>SUM(L4:L37)</f>
        <v>2225179</v>
      </c>
      <c r="M40" s="204"/>
      <c r="N40" s="204"/>
    </row>
    <row r="41" spans="1:16">
      <c r="P41" s="24"/>
    </row>
  </sheetData>
  <mergeCells count="1">
    <mergeCell ref="A1:N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DFF4-E8BF-4430-A1C0-B6BAE4AEDAC5}">
  <sheetPr>
    <tabColor rgb="FF002060"/>
  </sheetPr>
  <dimension ref="A1:N35"/>
  <sheetViews>
    <sheetView workbookViewId="0">
      <selection activeCell="P36" sqref="P36"/>
    </sheetView>
  </sheetViews>
  <sheetFormatPr defaultRowHeight="15"/>
  <cols>
    <col min="11" max="11" width="13.5703125" bestFit="1" customWidth="1"/>
    <col min="13" max="13" width="10.5703125" bestFit="1" customWidth="1"/>
  </cols>
  <sheetData>
    <row r="1" spans="1:14" ht="15.75">
      <c r="A1" s="446" t="s">
        <v>161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</row>
    <row r="2" spans="1:14" ht="30.75">
      <c r="A2" s="139" t="s">
        <v>105</v>
      </c>
      <c r="B2" s="255" t="s">
        <v>106</v>
      </c>
      <c r="C2" s="255" t="s">
        <v>107</v>
      </c>
      <c r="D2" s="255" t="s">
        <v>121</v>
      </c>
      <c r="E2" s="255" t="s">
        <v>109</v>
      </c>
      <c r="F2" s="255" t="s">
        <v>110</v>
      </c>
      <c r="G2" s="255" t="s">
        <v>111</v>
      </c>
      <c r="H2" s="255" t="s">
        <v>112</v>
      </c>
      <c r="I2" s="255" t="s">
        <v>110</v>
      </c>
      <c r="J2" s="255" t="s">
        <v>111</v>
      </c>
      <c r="K2" s="197" t="s">
        <v>113</v>
      </c>
      <c r="L2" s="197" t="s">
        <v>114</v>
      </c>
      <c r="M2" s="197" t="s">
        <v>120</v>
      </c>
      <c r="N2" s="255" t="s">
        <v>116</v>
      </c>
    </row>
    <row r="3" spans="1:14">
      <c r="A3" s="447" t="s">
        <v>117</v>
      </c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>
        <v>0</v>
      </c>
      <c r="N3" s="447"/>
    </row>
    <row r="4" spans="1:14">
      <c r="A4" s="229">
        <v>1</v>
      </c>
      <c r="B4" s="264">
        <v>45839</v>
      </c>
      <c r="C4" s="46">
        <v>0</v>
      </c>
      <c r="D4" s="46"/>
      <c r="E4" s="335">
        <v>200</v>
      </c>
      <c r="F4" s="380">
        <v>91.31</v>
      </c>
      <c r="G4" s="46">
        <f>E4*F4</f>
        <v>18262</v>
      </c>
      <c r="H4" s="46">
        <v>0</v>
      </c>
      <c r="I4" s="46">
        <v>0</v>
      </c>
      <c r="J4" s="46">
        <f>H4*I4</f>
        <v>0</v>
      </c>
      <c r="K4" s="46">
        <f>G4+J4</f>
        <v>18262</v>
      </c>
      <c r="L4" s="46">
        <v>0</v>
      </c>
      <c r="M4" s="46">
        <f>M3+K4-L4</f>
        <v>18262</v>
      </c>
      <c r="N4" s="46"/>
    </row>
    <row r="5" spans="1:14">
      <c r="A5" s="55">
        <v>2</v>
      </c>
      <c r="B5" s="264">
        <v>45840</v>
      </c>
      <c r="C5" s="46">
        <v>0</v>
      </c>
      <c r="D5" s="46"/>
      <c r="E5" s="335">
        <v>0</v>
      </c>
      <c r="F5" s="46">
        <v>0</v>
      </c>
      <c r="G5" s="46">
        <f t="shared" ref="G5:G34" si="0">E5*F5</f>
        <v>0</v>
      </c>
      <c r="H5" s="335">
        <v>26</v>
      </c>
      <c r="I5" s="46">
        <v>103.23</v>
      </c>
      <c r="J5" s="46">
        <f t="shared" ref="J5:J34" si="1">H5*I5</f>
        <v>2683.98</v>
      </c>
      <c r="K5" s="46">
        <f t="shared" ref="K5:K34" si="2">G5+J5</f>
        <v>2683.98</v>
      </c>
      <c r="L5" s="46">
        <v>0</v>
      </c>
      <c r="M5" s="46">
        <f t="shared" ref="M5:M34" si="3">M4+K5-L5</f>
        <v>20945.98</v>
      </c>
      <c r="N5" s="46"/>
    </row>
    <row r="6" spans="1:14">
      <c r="A6" s="55">
        <v>3</v>
      </c>
      <c r="B6" s="264">
        <v>45841</v>
      </c>
      <c r="C6" s="46">
        <v>0</v>
      </c>
      <c r="D6" s="46"/>
      <c r="E6" s="46">
        <v>0</v>
      </c>
      <c r="F6" s="46">
        <v>0</v>
      </c>
      <c r="G6" s="46">
        <f t="shared" si="0"/>
        <v>0</v>
      </c>
      <c r="H6" s="46">
        <v>0</v>
      </c>
      <c r="I6" s="46">
        <v>0</v>
      </c>
      <c r="J6" s="46">
        <f t="shared" si="1"/>
        <v>0</v>
      </c>
      <c r="K6" s="46">
        <f t="shared" si="2"/>
        <v>0</v>
      </c>
      <c r="L6" s="46">
        <f>+K6</f>
        <v>0</v>
      </c>
      <c r="M6" s="46">
        <f t="shared" si="3"/>
        <v>20945.98</v>
      </c>
      <c r="N6" s="46"/>
    </row>
    <row r="7" spans="1:14">
      <c r="A7" s="55">
        <v>4</v>
      </c>
      <c r="B7" s="264">
        <v>45842</v>
      </c>
      <c r="C7" s="46">
        <v>0</v>
      </c>
      <c r="D7" s="46"/>
      <c r="E7" s="383">
        <v>59.66</v>
      </c>
      <c r="F7" s="380">
        <v>91.31</v>
      </c>
      <c r="G7" s="46">
        <f t="shared" si="0"/>
        <v>5447.5545999999995</v>
      </c>
      <c r="H7" s="46">
        <v>6</v>
      </c>
      <c r="I7" s="46">
        <v>103.23</v>
      </c>
      <c r="J7" s="46">
        <f t="shared" si="1"/>
        <v>619.38</v>
      </c>
      <c r="K7" s="46">
        <f t="shared" si="2"/>
        <v>6066.9345999999996</v>
      </c>
      <c r="L7" s="46">
        <v>0</v>
      </c>
      <c r="M7" s="46">
        <f t="shared" si="3"/>
        <v>27012.9146</v>
      </c>
      <c r="N7" s="46"/>
    </row>
    <row r="8" spans="1:14">
      <c r="A8" s="55">
        <v>5</v>
      </c>
      <c r="B8" s="264">
        <v>45843</v>
      </c>
      <c r="C8" s="46">
        <v>0</v>
      </c>
      <c r="D8" s="46"/>
      <c r="E8" s="335">
        <v>0</v>
      </c>
      <c r="F8" s="46">
        <v>0</v>
      </c>
      <c r="G8" s="46">
        <f t="shared" si="0"/>
        <v>0</v>
      </c>
      <c r="H8" s="46">
        <v>16</v>
      </c>
      <c r="I8" s="46">
        <v>103.23</v>
      </c>
      <c r="J8" s="46">
        <f t="shared" si="1"/>
        <v>1651.68</v>
      </c>
      <c r="K8" s="46">
        <f t="shared" si="2"/>
        <v>1651.68</v>
      </c>
      <c r="L8" s="46">
        <v>0</v>
      </c>
      <c r="M8" s="46">
        <f t="shared" si="3"/>
        <v>28664.5946</v>
      </c>
      <c r="N8" s="46"/>
    </row>
    <row r="9" spans="1:14">
      <c r="A9" s="55">
        <v>6</v>
      </c>
      <c r="B9" s="264">
        <v>45844</v>
      </c>
      <c r="C9" s="46">
        <v>0</v>
      </c>
      <c r="D9" s="46"/>
      <c r="E9" s="46">
        <v>0</v>
      </c>
      <c r="F9" s="46">
        <v>0</v>
      </c>
      <c r="G9" s="46">
        <f t="shared" si="0"/>
        <v>0</v>
      </c>
      <c r="H9" s="46">
        <v>0</v>
      </c>
      <c r="I9" s="46">
        <v>0</v>
      </c>
      <c r="J9" s="46">
        <f t="shared" si="1"/>
        <v>0</v>
      </c>
      <c r="K9" s="46">
        <f t="shared" si="2"/>
        <v>0</v>
      </c>
      <c r="L9" s="46">
        <f t="shared" ref="L7:L34" si="4">+K9</f>
        <v>0</v>
      </c>
      <c r="M9" s="46">
        <f t="shared" si="3"/>
        <v>28664.5946</v>
      </c>
      <c r="N9" s="46"/>
    </row>
    <row r="10" spans="1:14">
      <c r="A10" s="55">
        <v>7</v>
      </c>
      <c r="B10" s="264">
        <v>45845</v>
      </c>
      <c r="C10" s="46">
        <v>0</v>
      </c>
      <c r="D10" s="46"/>
      <c r="E10" s="46">
        <v>0</v>
      </c>
      <c r="F10" s="46">
        <v>0</v>
      </c>
      <c r="G10" s="46">
        <f t="shared" si="0"/>
        <v>0</v>
      </c>
      <c r="H10" s="46">
        <v>26</v>
      </c>
      <c r="I10" s="46">
        <v>103.23</v>
      </c>
      <c r="J10" s="46">
        <f t="shared" si="1"/>
        <v>2683.98</v>
      </c>
      <c r="K10" s="46">
        <f t="shared" si="2"/>
        <v>2683.98</v>
      </c>
      <c r="L10" s="46">
        <v>0</v>
      </c>
      <c r="M10" s="46">
        <f t="shared" si="3"/>
        <v>31348.5746</v>
      </c>
      <c r="N10" s="46"/>
    </row>
    <row r="11" spans="1:14">
      <c r="A11" s="55">
        <v>8</v>
      </c>
      <c r="B11" s="264">
        <v>45846</v>
      </c>
      <c r="C11" s="46">
        <v>0</v>
      </c>
      <c r="D11" s="46"/>
      <c r="E11" s="46">
        <v>0</v>
      </c>
      <c r="F11" s="46">
        <v>0</v>
      </c>
      <c r="G11" s="46">
        <f t="shared" si="0"/>
        <v>0</v>
      </c>
      <c r="H11" s="46">
        <v>0</v>
      </c>
      <c r="I11" s="46">
        <v>0</v>
      </c>
      <c r="J11" s="46">
        <f t="shared" si="1"/>
        <v>0</v>
      </c>
      <c r="K11" s="46">
        <f t="shared" si="2"/>
        <v>0</v>
      </c>
      <c r="L11" s="46">
        <f t="shared" si="4"/>
        <v>0</v>
      </c>
      <c r="M11" s="46">
        <f t="shared" si="3"/>
        <v>31348.5746</v>
      </c>
      <c r="N11" s="46"/>
    </row>
    <row r="12" spans="1:14">
      <c r="A12" s="55">
        <v>9</v>
      </c>
      <c r="B12" s="264">
        <v>45847</v>
      </c>
      <c r="C12" s="46">
        <v>0</v>
      </c>
      <c r="D12" s="46"/>
      <c r="E12" s="46">
        <v>0</v>
      </c>
      <c r="F12" s="46">
        <v>0</v>
      </c>
      <c r="G12" s="46">
        <f t="shared" si="0"/>
        <v>0</v>
      </c>
      <c r="H12" s="46">
        <v>0</v>
      </c>
      <c r="I12" s="46">
        <v>0</v>
      </c>
      <c r="J12" s="46">
        <f t="shared" si="1"/>
        <v>0</v>
      </c>
      <c r="K12" s="46">
        <f t="shared" si="2"/>
        <v>0</v>
      </c>
      <c r="L12" s="46">
        <f t="shared" si="4"/>
        <v>0</v>
      </c>
      <c r="M12" s="46">
        <f t="shared" si="3"/>
        <v>31348.5746</v>
      </c>
      <c r="N12" s="46"/>
    </row>
    <row r="13" spans="1:14">
      <c r="A13" s="55">
        <v>10</v>
      </c>
      <c r="B13" s="264">
        <v>45848</v>
      </c>
      <c r="C13" s="46">
        <v>0</v>
      </c>
      <c r="D13" s="46"/>
      <c r="E13" s="46">
        <v>0</v>
      </c>
      <c r="F13" s="46">
        <v>0</v>
      </c>
      <c r="G13" s="46">
        <f t="shared" si="0"/>
        <v>0</v>
      </c>
      <c r="H13" s="46">
        <v>0</v>
      </c>
      <c r="I13" s="46">
        <v>0</v>
      </c>
      <c r="J13" s="46">
        <f t="shared" si="1"/>
        <v>0</v>
      </c>
      <c r="K13" s="46">
        <f t="shared" si="2"/>
        <v>0</v>
      </c>
      <c r="L13" s="46">
        <f t="shared" si="4"/>
        <v>0</v>
      </c>
      <c r="M13" s="46">
        <f t="shared" si="3"/>
        <v>31348.5746</v>
      </c>
      <c r="N13" s="46"/>
    </row>
    <row r="14" spans="1:14">
      <c r="A14" s="55">
        <v>11</v>
      </c>
      <c r="B14" s="264">
        <v>45849</v>
      </c>
      <c r="C14" s="46">
        <v>0</v>
      </c>
      <c r="D14" s="46"/>
      <c r="E14" s="46">
        <v>200</v>
      </c>
      <c r="F14" s="46">
        <v>91.31</v>
      </c>
      <c r="G14" s="46">
        <f t="shared" si="0"/>
        <v>18262</v>
      </c>
      <c r="H14" s="46">
        <v>26</v>
      </c>
      <c r="I14" s="46">
        <v>103.23</v>
      </c>
      <c r="J14" s="46">
        <f t="shared" si="1"/>
        <v>2683.98</v>
      </c>
      <c r="K14" s="46">
        <f t="shared" si="2"/>
        <v>20945.98</v>
      </c>
      <c r="L14" s="46">
        <v>0</v>
      </c>
      <c r="M14" s="46">
        <f t="shared" si="3"/>
        <v>52294.554600000003</v>
      </c>
      <c r="N14" s="46"/>
    </row>
    <row r="15" spans="1:14">
      <c r="A15" s="55">
        <v>12</v>
      </c>
      <c r="B15" s="264">
        <v>45850</v>
      </c>
      <c r="C15" s="46">
        <v>0</v>
      </c>
      <c r="D15" s="46"/>
      <c r="E15" s="46">
        <v>220</v>
      </c>
      <c r="F15" s="46">
        <v>91.31</v>
      </c>
      <c r="G15" s="46">
        <f t="shared" si="0"/>
        <v>20088.2</v>
      </c>
      <c r="H15" s="46">
        <v>11</v>
      </c>
      <c r="I15" s="46">
        <v>103.23</v>
      </c>
      <c r="J15" s="46">
        <f t="shared" si="1"/>
        <v>1135.53</v>
      </c>
      <c r="K15" s="46">
        <f t="shared" si="2"/>
        <v>21223.73</v>
      </c>
      <c r="L15" s="46">
        <v>0</v>
      </c>
      <c r="M15" s="46">
        <f t="shared" si="3"/>
        <v>73518.284599999999</v>
      </c>
      <c r="N15" s="46"/>
    </row>
    <row r="16" spans="1:14">
      <c r="A16" s="55">
        <v>13</v>
      </c>
      <c r="B16" s="264">
        <v>45851</v>
      </c>
      <c r="C16" s="46">
        <v>0</v>
      </c>
      <c r="D16" s="46"/>
      <c r="E16" s="46">
        <v>0</v>
      </c>
      <c r="F16" s="46">
        <v>0</v>
      </c>
      <c r="G16" s="46">
        <f t="shared" si="0"/>
        <v>0</v>
      </c>
      <c r="H16" s="46">
        <v>0</v>
      </c>
      <c r="I16" s="46">
        <v>0</v>
      </c>
      <c r="J16" s="46">
        <f t="shared" si="1"/>
        <v>0</v>
      </c>
      <c r="K16" s="46">
        <f t="shared" si="2"/>
        <v>0</v>
      </c>
      <c r="L16" s="46">
        <f t="shared" si="4"/>
        <v>0</v>
      </c>
      <c r="M16" s="46">
        <f t="shared" si="3"/>
        <v>73518.284599999999</v>
      </c>
      <c r="N16" s="46"/>
    </row>
    <row r="17" spans="1:14">
      <c r="A17" s="55">
        <v>14</v>
      </c>
      <c r="B17" s="264">
        <v>45852</v>
      </c>
      <c r="C17" s="46">
        <v>0</v>
      </c>
      <c r="D17" s="46"/>
      <c r="E17" s="46">
        <v>66</v>
      </c>
      <c r="F17" s="46">
        <v>91.31</v>
      </c>
      <c r="G17" s="46">
        <f t="shared" si="0"/>
        <v>6026.46</v>
      </c>
      <c r="H17" s="46">
        <v>0</v>
      </c>
      <c r="I17" s="46">
        <v>0</v>
      </c>
      <c r="J17" s="46">
        <f t="shared" si="1"/>
        <v>0</v>
      </c>
      <c r="K17" s="46">
        <f t="shared" si="2"/>
        <v>6026.46</v>
      </c>
      <c r="L17" s="46">
        <v>0</v>
      </c>
      <c r="M17" s="46">
        <f t="shared" si="3"/>
        <v>79544.744600000005</v>
      </c>
      <c r="N17" s="46"/>
    </row>
    <row r="18" spans="1:14">
      <c r="A18" s="55">
        <v>15</v>
      </c>
      <c r="B18" s="264">
        <v>45853</v>
      </c>
      <c r="C18" s="46">
        <v>0</v>
      </c>
      <c r="D18" s="46"/>
      <c r="E18" s="46">
        <v>50</v>
      </c>
      <c r="F18" s="46">
        <v>91.31</v>
      </c>
      <c r="G18" s="46">
        <f t="shared" si="0"/>
        <v>4565.5</v>
      </c>
      <c r="H18" s="46">
        <v>0</v>
      </c>
      <c r="I18" s="46">
        <v>0</v>
      </c>
      <c r="J18" s="46">
        <f t="shared" si="1"/>
        <v>0</v>
      </c>
      <c r="K18" s="46">
        <f t="shared" si="2"/>
        <v>4565.5</v>
      </c>
      <c r="L18" s="46">
        <f>50000+23518</f>
        <v>73518</v>
      </c>
      <c r="M18" s="46">
        <f t="shared" si="3"/>
        <v>10592.244600000005</v>
      </c>
      <c r="N18" s="46"/>
    </row>
    <row r="19" spans="1:14">
      <c r="A19" s="55">
        <v>16</v>
      </c>
      <c r="B19" s="264">
        <v>45854</v>
      </c>
      <c r="C19" s="46">
        <v>0</v>
      </c>
      <c r="D19" s="46"/>
      <c r="E19" s="46">
        <v>200</v>
      </c>
      <c r="F19" s="46">
        <v>91.31</v>
      </c>
      <c r="G19" s="46">
        <f t="shared" si="0"/>
        <v>18262</v>
      </c>
      <c r="H19" s="46">
        <v>5</v>
      </c>
      <c r="I19" s="46">
        <v>103.23</v>
      </c>
      <c r="J19" s="46">
        <f t="shared" si="1"/>
        <v>516.15</v>
      </c>
      <c r="K19" s="46">
        <f t="shared" si="2"/>
        <v>18778.150000000001</v>
      </c>
      <c r="L19" s="46">
        <v>0</v>
      </c>
      <c r="M19" s="46">
        <f t="shared" si="3"/>
        <v>29370.394600000007</v>
      </c>
      <c r="N19" s="46"/>
    </row>
    <row r="20" spans="1:14">
      <c r="A20" s="55">
        <v>17</v>
      </c>
      <c r="B20" s="264">
        <v>45855</v>
      </c>
      <c r="C20" s="46">
        <v>0</v>
      </c>
      <c r="D20" s="46"/>
      <c r="E20" s="46">
        <v>0</v>
      </c>
      <c r="F20" s="46">
        <v>0</v>
      </c>
      <c r="G20" s="46">
        <f t="shared" si="0"/>
        <v>0</v>
      </c>
      <c r="H20" s="46">
        <v>0</v>
      </c>
      <c r="I20" s="46">
        <v>0</v>
      </c>
      <c r="J20" s="46">
        <f t="shared" si="1"/>
        <v>0</v>
      </c>
      <c r="K20" s="46">
        <f t="shared" si="2"/>
        <v>0</v>
      </c>
      <c r="L20" s="46">
        <f t="shared" si="4"/>
        <v>0</v>
      </c>
      <c r="M20" s="46">
        <f t="shared" si="3"/>
        <v>29370.394600000007</v>
      </c>
      <c r="N20" s="46"/>
    </row>
    <row r="21" spans="1:14">
      <c r="A21" s="55">
        <v>18</v>
      </c>
      <c r="B21" s="264">
        <v>45856</v>
      </c>
      <c r="C21" s="46">
        <v>0</v>
      </c>
      <c r="D21" s="46"/>
      <c r="E21" s="46">
        <v>200</v>
      </c>
      <c r="F21" s="46">
        <v>91.31</v>
      </c>
      <c r="G21" s="46">
        <f t="shared" si="0"/>
        <v>18262</v>
      </c>
      <c r="H21" s="46">
        <v>16</v>
      </c>
      <c r="I21" s="46">
        <v>103.23</v>
      </c>
      <c r="J21" s="46">
        <f t="shared" si="1"/>
        <v>1651.68</v>
      </c>
      <c r="K21" s="46">
        <f t="shared" si="2"/>
        <v>19913.68</v>
      </c>
      <c r="L21" s="46">
        <v>0</v>
      </c>
      <c r="M21" s="46">
        <f t="shared" si="3"/>
        <v>49284.074600000007</v>
      </c>
      <c r="N21" s="46"/>
    </row>
    <row r="22" spans="1:14">
      <c r="A22" s="55">
        <v>19</v>
      </c>
      <c r="B22" s="264">
        <v>45857</v>
      </c>
      <c r="C22" s="46">
        <v>0</v>
      </c>
      <c r="D22" s="46"/>
      <c r="E22" s="46">
        <v>0</v>
      </c>
      <c r="F22" s="46">
        <v>0</v>
      </c>
      <c r="G22" s="46">
        <f t="shared" si="0"/>
        <v>0</v>
      </c>
      <c r="H22" s="46">
        <v>11.9</v>
      </c>
      <c r="I22" s="46">
        <v>103.23</v>
      </c>
      <c r="J22" s="46">
        <f t="shared" si="1"/>
        <v>1228.4370000000001</v>
      </c>
      <c r="K22" s="46">
        <f t="shared" si="2"/>
        <v>1228.4370000000001</v>
      </c>
      <c r="L22" s="46">
        <v>0</v>
      </c>
      <c r="M22" s="46">
        <f t="shared" si="3"/>
        <v>50512.511600000005</v>
      </c>
      <c r="N22" s="46"/>
    </row>
    <row r="23" spans="1:14">
      <c r="A23" s="55">
        <v>20</v>
      </c>
      <c r="B23" s="264">
        <v>45858</v>
      </c>
      <c r="C23" s="46">
        <v>0</v>
      </c>
      <c r="D23" s="46"/>
      <c r="E23" s="46">
        <v>0</v>
      </c>
      <c r="F23" s="46">
        <v>0</v>
      </c>
      <c r="G23" s="46">
        <f t="shared" si="0"/>
        <v>0</v>
      </c>
      <c r="H23" s="46">
        <v>0</v>
      </c>
      <c r="I23" s="46">
        <v>0</v>
      </c>
      <c r="J23" s="46">
        <f t="shared" si="1"/>
        <v>0</v>
      </c>
      <c r="K23" s="46">
        <f t="shared" si="2"/>
        <v>0</v>
      </c>
      <c r="L23" s="46">
        <f t="shared" si="4"/>
        <v>0</v>
      </c>
      <c r="M23" s="46">
        <f t="shared" si="3"/>
        <v>50512.511600000005</v>
      </c>
      <c r="N23" s="46"/>
    </row>
    <row r="24" spans="1:14">
      <c r="A24" s="55">
        <v>21</v>
      </c>
      <c r="B24" s="264">
        <v>45859</v>
      </c>
      <c r="C24" s="46">
        <v>0</v>
      </c>
      <c r="D24" s="46"/>
      <c r="E24" s="46">
        <v>0</v>
      </c>
      <c r="F24" s="46">
        <v>0</v>
      </c>
      <c r="G24" s="46">
        <f t="shared" si="0"/>
        <v>0</v>
      </c>
      <c r="H24" s="46">
        <v>0</v>
      </c>
      <c r="I24" s="46">
        <v>0</v>
      </c>
      <c r="J24" s="46">
        <f t="shared" si="1"/>
        <v>0</v>
      </c>
      <c r="K24" s="46">
        <f t="shared" si="2"/>
        <v>0</v>
      </c>
      <c r="L24" s="46">
        <f t="shared" si="4"/>
        <v>0</v>
      </c>
      <c r="M24" s="46">
        <f t="shared" si="3"/>
        <v>50512.511600000005</v>
      </c>
      <c r="N24" s="46"/>
    </row>
    <row r="25" spans="1:14">
      <c r="A25" s="55">
        <v>22</v>
      </c>
      <c r="B25" s="264">
        <v>45860</v>
      </c>
      <c r="C25" s="46">
        <v>0</v>
      </c>
      <c r="D25" s="46"/>
      <c r="E25" s="46">
        <v>0</v>
      </c>
      <c r="F25" s="46">
        <v>0</v>
      </c>
      <c r="G25" s="46">
        <f t="shared" si="0"/>
        <v>0</v>
      </c>
      <c r="H25" s="46">
        <v>0</v>
      </c>
      <c r="I25" s="46">
        <v>0</v>
      </c>
      <c r="J25" s="46">
        <f t="shared" si="1"/>
        <v>0</v>
      </c>
      <c r="K25" s="46">
        <f t="shared" si="2"/>
        <v>0</v>
      </c>
      <c r="L25" s="46">
        <f t="shared" si="4"/>
        <v>0</v>
      </c>
      <c r="M25" s="46">
        <f t="shared" si="3"/>
        <v>50512.511600000005</v>
      </c>
      <c r="N25" s="46"/>
    </row>
    <row r="26" spans="1:14">
      <c r="A26" s="55">
        <v>23</v>
      </c>
      <c r="B26" s="264">
        <v>45861</v>
      </c>
      <c r="C26" s="46">
        <v>0</v>
      </c>
      <c r="D26" s="46"/>
      <c r="E26" s="46">
        <v>75</v>
      </c>
      <c r="F26" s="46">
        <v>91.31</v>
      </c>
      <c r="G26" s="46">
        <f t="shared" si="0"/>
        <v>6848.25</v>
      </c>
      <c r="H26" s="46">
        <v>0</v>
      </c>
      <c r="I26" s="46">
        <v>0</v>
      </c>
      <c r="J26" s="46">
        <f t="shared" si="1"/>
        <v>0</v>
      </c>
      <c r="K26" s="46">
        <f t="shared" si="2"/>
        <v>6848.25</v>
      </c>
      <c r="L26" s="46">
        <v>0</v>
      </c>
      <c r="M26" s="46">
        <f t="shared" si="3"/>
        <v>57360.761600000005</v>
      </c>
      <c r="N26" s="46"/>
    </row>
    <row r="27" spans="1:14">
      <c r="A27" s="55">
        <v>24</v>
      </c>
      <c r="B27" s="264">
        <v>45862</v>
      </c>
      <c r="C27" s="46">
        <v>0</v>
      </c>
      <c r="D27" s="46"/>
      <c r="E27" s="46">
        <v>100</v>
      </c>
      <c r="F27" s="46">
        <v>91.31</v>
      </c>
      <c r="G27" s="46">
        <f t="shared" si="0"/>
        <v>9131</v>
      </c>
      <c r="H27" s="46">
        <v>6</v>
      </c>
      <c r="I27" s="46">
        <v>103.23</v>
      </c>
      <c r="J27" s="46">
        <f t="shared" si="1"/>
        <v>619.38</v>
      </c>
      <c r="K27" s="46">
        <f t="shared" si="2"/>
        <v>9750.3799999999992</v>
      </c>
      <c r="L27" s="46">
        <v>0</v>
      </c>
      <c r="M27" s="46">
        <f t="shared" si="3"/>
        <v>67111.141600000003</v>
      </c>
      <c r="N27" s="46"/>
    </row>
    <row r="28" spans="1:14">
      <c r="A28" s="266">
        <v>25</v>
      </c>
      <c r="B28" s="264">
        <v>45863</v>
      </c>
      <c r="C28" s="46">
        <v>0</v>
      </c>
      <c r="D28" s="46"/>
      <c r="E28" s="46">
        <v>0</v>
      </c>
      <c r="F28" s="46">
        <v>91.31</v>
      </c>
      <c r="G28" s="46">
        <f t="shared" si="0"/>
        <v>0</v>
      </c>
      <c r="H28" s="46">
        <v>21</v>
      </c>
      <c r="I28" s="46">
        <v>103.23</v>
      </c>
      <c r="J28" s="46">
        <f t="shared" si="1"/>
        <v>2167.83</v>
      </c>
      <c r="K28" s="46">
        <f t="shared" si="2"/>
        <v>2167.83</v>
      </c>
      <c r="L28" s="46">
        <v>0</v>
      </c>
      <c r="M28" s="46">
        <f t="shared" si="3"/>
        <v>69278.971600000004</v>
      </c>
      <c r="N28" s="46"/>
    </row>
    <row r="29" spans="1:14">
      <c r="A29" s="266">
        <v>26</v>
      </c>
      <c r="B29" s="264">
        <v>45864</v>
      </c>
      <c r="C29" s="46">
        <v>0</v>
      </c>
      <c r="D29" s="46"/>
      <c r="E29" s="406">
        <v>200</v>
      </c>
      <c r="F29" s="380">
        <v>91.31</v>
      </c>
      <c r="G29" s="46">
        <f t="shared" si="0"/>
        <v>18262</v>
      </c>
      <c r="H29" s="46">
        <v>6</v>
      </c>
      <c r="I29" s="46">
        <v>103.23</v>
      </c>
      <c r="J29" s="46">
        <f t="shared" si="1"/>
        <v>619.38</v>
      </c>
      <c r="K29" s="46">
        <f t="shared" si="2"/>
        <v>18881.38</v>
      </c>
      <c r="L29" s="46">
        <v>0</v>
      </c>
      <c r="M29" s="46">
        <f t="shared" si="3"/>
        <v>88160.351600000009</v>
      </c>
      <c r="N29" s="46"/>
    </row>
    <row r="30" spans="1:14">
      <c r="A30" s="266">
        <v>27</v>
      </c>
      <c r="B30" s="264">
        <v>45865</v>
      </c>
      <c r="C30" s="46">
        <v>0</v>
      </c>
      <c r="D30" s="46"/>
      <c r="E30" s="407">
        <v>62</v>
      </c>
      <c r="F30" s="380">
        <v>91.31</v>
      </c>
      <c r="G30" s="46">
        <f t="shared" si="0"/>
        <v>5661.22</v>
      </c>
      <c r="H30" s="46">
        <v>0</v>
      </c>
      <c r="I30" s="46">
        <v>0</v>
      </c>
      <c r="J30" s="46">
        <f t="shared" si="1"/>
        <v>0</v>
      </c>
      <c r="K30" s="46">
        <f t="shared" si="2"/>
        <v>5661.22</v>
      </c>
      <c r="L30" s="46">
        <v>0</v>
      </c>
      <c r="M30" s="46">
        <f t="shared" si="3"/>
        <v>93821.57160000001</v>
      </c>
      <c r="N30" s="46"/>
    </row>
    <row r="31" spans="1:14">
      <c r="A31" s="266">
        <v>28</v>
      </c>
      <c r="B31" s="264">
        <v>45866</v>
      </c>
      <c r="C31" s="46">
        <v>0</v>
      </c>
      <c r="D31" s="46"/>
      <c r="E31" s="46">
        <v>217.02</v>
      </c>
      <c r="F31" s="380">
        <v>91.31</v>
      </c>
      <c r="G31" s="46">
        <f t="shared" si="0"/>
        <v>19816.0962</v>
      </c>
      <c r="H31" s="46">
        <v>0</v>
      </c>
      <c r="I31" s="46">
        <v>0</v>
      </c>
      <c r="J31" s="46">
        <f t="shared" si="1"/>
        <v>0</v>
      </c>
      <c r="K31" s="46">
        <f t="shared" si="2"/>
        <v>19816.0962</v>
      </c>
      <c r="L31" s="46">
        <v>0</v>
      </c>
      <c r="M31" s="46">
        <f t="shared" si="3"/>
        <v>113637.66780000001</v>
      </c>
      <c r="N31" s="46"/>
    </row>
    <row r="32" spans="1:14">
      <c r="A32" s="267">
        <v>29</v>
      </c>
      <c r="B32" s="264">
        <v>45867</v>
      </c>
      <c r="C32" s="46">
        <v>0</v>
      </c>
      <c r="D32" s="46"/>
      <c r="E32" s="46">
        <v>90</v>
      </c>
      <c r="F32" s="380">
        <v>91.31</v>
      </c>
      <c r="G32" s="46">
        <f t="shared" si="0"/>
        <v>8217.9</v>
      </c>
      <c r="H32" s="46">
        <v>0</v>
      </c>
      <c r="I32" s="46">
        <v>0</v>
      </c>
      <c r="J32" s="46">
        <f t="shared" si="1"/>
        <v>0</v>
      </c>
      <c r="K32" s="46">
        <f t="shared" si="2"/>
        <v>8217.9</v>
      </c>
      <c r="L32" s="46">
        <v>0</v>
      </c>
      <c r="M32" s="46">
        <f t="shared" si="3"/>
        <v>121855.5678</v>
      </c>
      <c r="N32" s="46"/>
    </row>
    <row r="33" spans="1:14">
      <c r="A33" s="267">
        <v>30</v>
      </c>
      <c r="B33" s="264">
        <v>45868</v>
      </c>
      <c r="C33" s="46">
        <v>0</v>
      </c>
      <c r="D33" s="46"/>
      <c r="E33" s="46">
        <v>0</v>
      </c>
      <c r="F33" s="46">
        <v>0</v>
      </c>
      <c r="G33" s="46">
        <f t="shared" si="0"/>
        <v>0</v>
      </c>
      <c r="H33" s="46">
        <v>11</v>
      </c>
      <c r="I33" s="46">
        <v>103.23</v>
      </c>
      <c r="J33" s="46">
        <f t="shared" si="1"/>
        <v>1135.53</v>
      </c>
      <c r="K33" s="46">
        <f t="shared" si="2"/>
        <v>1135.53</v>
      </c>
      <c r="L33" s="46">
        <v>0</v>
      </c>
      <c r="M33" s="46">
        <f t="shared" si="3"/>
        <v>122991.0978</v>
      </c>
      <c r="N33" s="46"/>
    </row>
    <row r="34" spans="1:14">
      <c r="A34" s="267">
        <v>31</v>
      </c>
      <c r="B34" s="264"/>
      <c r="C34" s="46">
        <v>0</v>
      </c>
      <c r="D34" s="46"/>
      <c r="E34" s="46">
        <v>0</v>
      </c>
      <c r="F34" s="46">
        <v>0</v>
      </c>
      <c r="G34" s="46">
        <f t="shared" si="0"/>
        <v>0</v>
      </c>
      <c r="H34" s="46">
        <v>0</v>
      </c>
      <c r="I34" s="46">
        <v>0</v>
      </c>
      <c r="J34" s="46">
        <f t="shared" si="1"/>
        <v>0</v>
      </c>
      <c r="K34" s="46">
        <f t="shared" si="2"/>
        <v>0</v>
      </c>
      <c r="L34" s="46">
        <f t="shared" si="4"/>
        <v>0</v>
      </c>
      <c r="M34" s="46">
        <f t="shared" si="3"/>
        <v>122991.0978</v>
      </c>
      <c r="N34" s="46"/>
    </row>
    <row r="35" spans="1:14">
      <c r="A35" s="204"/>
      <c r="B35" s="204"/>
      <c r="C35" s="204"/>
      <c r="D35" s="204"/>
      <c r="E35" s="204">
        <f>SUM(E4:E34)</f>
        <v>1939.6799999999998</v>
      </c>
      <c r="F35" s="204"/>
      <c r="G35" s="204">
        <f>SUM(G4:G34)</f>
        <v>177112.1808</v>
      </c>
      <c r="H35" s="204">
        <f>SUM(H4:H34)</f>
        <v>187.9</v>
      </c>
      <c r="I35" s="204"/>
      <c r="J35" s="204">
        <f>SUM(J4:J34)</f>
        <v>19396.916999999998</v>
      </c>
      <c r="K35" s="204">
        <f>SUM(K4:K34)</f>
        <v>196509.09779999999</v>
      </c>
      <c r="L35" s="204">
        <f>SUM(L4:L34)</f>
        <v>73518</v>
      </c>
      <c r="M35" s="204"/>
      <c r="N35" s="204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26CA-2A8F-4E1A-B43B-A684C6DFAF19}">
  <sheetPr>
    <tabColor theme="3" tint="-0.499984740745262"/>
  </sheetPr>
  <dimension ref="A1:N35"/>
  <sheetViews>
    <sheetView workbookViewId="0">
      <selection activeCell="Q15" sqref="Q15"/>
    </sheetView>
  </sheetViews>
  <sheetFormatPr defaultRowHeight="15"/>
  <cols>
    <col min="2" max="2" width="10.5703125" bestFit="1" customWidth="1"/>
    <col min="12" max="12" width="12.42578125" bestFit="1" customWidth="1"/>
  </cols>
  <sheetData>
    <row r="1" spans="1:14" ht="15.75">
      <c r="A1" s="446" t="s">
        <v>162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</row>
    <row r="2" spans="1:14" ht="30.75">
      <c r="A2" s="139" t="s">
        <v>105</v>
      </c>
      <c r="B2" s="255" t="s">
        <v>106</v>
      </c>
      <c r="C2" s="255" t="s">
        <v>107</v>
      </c>
      <c r="D2" s="255" t="s">
        <v>121</v>
      </c>
      <c r="E2" s="255" t="s">
        <v>109</v>
      </c>
      <c r="F2" s="255" t="s">
        <v>110</v>
      </c>
      <c r="G2" s="255" t="s">
        <v>111</v>
      </c>
      <c r="H2" s="255" t="s">
        <v>112</v>
      </c>
      <c r="I2" s="255" t="s">
        <v>110</v>
      </c>
      <c r="J2" s="255" t="s">
        <v>111</v>
      </c>
      <c r="K2" s="197" t="s">
        <v>113</v>
      </c>
      <c r="L2" s="197" t="s">
        <v>114</v>
      </c>
      <c r="M2" s="197" t="s">
        <v>120</v>
      </c>
      <c r="N2" s="255" t="s">
        <v>116</v>
      </c>
    </row>
    <row r="3" spans="1:14">
      <c r="A3" s="447" t="s">
        <v>117</v>
      </c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>
        <v>0</v>
      </c>
      <c r="N3" s="447"/>
    </row>
    <row r="4" spans="1:14">
      <c r="A4" s="229">
        <v>1</v>
      </c>
      <c r="B4" s="264">
        <v>45839</v>
      </c>
      <c r="C4" s="46">
        <v>0</v>
      </c>
      <c r="D4" s="46"/>
      <c r="E4" s="46">
        <v>0</v>
      </c>
      <c r="F4" s="46">
        <v>0</v>
      </c>
      <c r="G4" s="46">
        <f>E4*F4</f>
        <v>0</v>
      </c>
      <c r="H4" s="46">
        <v>0</v>
      </c>
      <c r="I4" s="46">
        <v>0</v>
      </c>
      <c r="J4" s="46">
        <f>H4*I4</f>
        <v>0</v>
      </c>
      <c r="K4" s="46">
        <f>G4+J4</f>
        <v>0</v>
      </c>
      <c r="L4" s="46">
        <f>+K4</f>
        <v>0</v>
      </c>
      <c r="M4" s="46">
        <f>M3+K4-L4</f>
        <v>0</v>
      </c>
      <c r="N4" s="46"/>
    </row>
    <row r="5" spans="1:14">
      <c r="A5" s="55">
        <v>2</v>
      </c>
      <c r="B5" s="264">
        <v>45840</v>
      </c>
      <c r="C5" s="46">
        <v>0</v>
      </c>
      <c r="D5" s="46"/>
      <c r="E5" s="46">
        <v>0</v>
      </c>
      <c r="F5" s="46">
        <v>0</v>
      </c>
      <c r="G5" s="46">
        <f t="shared" ref="G5:G34" si="0">E5*F5</f>
        <v>0</v>
      </c>
      <c r="H5" s="46">
        <v>0</v>
      </c>
      <c r="I5" s="46">
        <v>0</v>
      </c>
      <c r="J5" s="46">
        <f t="shared" ref="J5:J34" si="1">H5*I5</f>
        <v>0</v>
      </c>
      <c r="K5" s="46">
        <f t="shared" ref="K5:K34" si="2">G5+J5</f>
        <v>0</v>
      </c>
      <c r="L5" s="46">
        <f>+K5</f>
        <v>0</v>
      </c>
      <c r="M5" s="46">
        <f t="shared" ref="L5:M34" si="3">M4+K5-L5</f>
        <v>0</v>
      </c>
      <c r="N5" s="46"/>
    </row>
    <row r="6" spans="1:14">
      <c r="A6" s="55">
        <v>3</v>
      </c>
      <c r="B6" s="264">
        <v>45841</v>
      </c>
      <c r="C6" s="46">
        <v>0</v>
      </c>
      <c r="D6" s="46"/>
      <c r="E6" s="46">
        <v>0</v>
      </c>
      <c r="F6" s="46">
        <v>0</v>
      </c>
      <c r="G6" s="46">
        <f t="shared" si="0"/>
        <v>0</v>
      </c>
      <c r="H6" s="46">
        <v>0</v>
      </c>
      <c r="I6" s="46">
        <v>0</v>
      </c>
      <c r="J6" s="46">
        <f t="shared" si="1"/>
        <v>0</v>
      </c>
      <c r="K6" s="46">
        <f t="shared" si="2"/>
        <v>0</v>
      </c>
      <c r="L6" s="46">
        <f>+K6</f>
        <v>0</v>
      </c>
      <c r="M6" s="46">
        <f t="shared" si="3"/>
        <v>0</v>
      </c>
      <c r="N6" s="46"/>
    </row>
    <row r="7" spans="1:14">
      <c r="A7" s="55">
        <v>4</v>
      </c>
      <c r="B7" s="264">
        <v>45842</v>
      </c>
      <c r="C7" s="46">
        <v>0</v>
      </c>
      <c r="D7" s="46"/>
      <c r="E7" s="46">
        <v>15</v>
      </c>
      <c r="F7" s="46">
        <v>91.3</v>
      </c>
      <c r="G7" s="46">
        <f t="shared" si="0"/>
        <v>1369.5</v>
      </c>
      <c r="H7" s="46">
        <v>12</v>
      </c>
      <c r="I7" s="46">
        <v>103.22</v>
      </c>
      <c r="J7" s="46">
        <f t="shared" si="1"/>
        <v>1238.6399999999999</v>
      </c>
      <c r="K7" s="46">
        <f t="shared" si="2"/>
        <v>2608.14</v>
      </c>
      <c r="L7" s="46">
        <f t="shared" ref="L7:L34" si="4">+K7</f>
        <v>2608.14</v>
      </c>
      <c r="M7" s="46">
        <f t="shared" si="3"/>
        <v>0</v>
      </c>
      <c r="N7" s="46"/>
    </row>
    <row r="8" spans="1:14">
      <c r="A8" s="55">
        <v>5</v>
      </c>
      <c r="B8" s="264">
        <v>45843</v>
      </c>
      <c r="C8" s="46">
        <v>0</v>
      </c>
      <c r="D8" s="46"/>
      <c r="E8" s="46">
        <v>0</v>
      </c>
      <c r="F8" s="46">
        <v>0</v>
      </c>
      <c r="G8" s="46">
        <f t="shared" si="0"/>
        <v>0</v>
      </c>
      <c r="H8" s="46">
        <v>0</v>
      </c>
      <c r="I8" s="46">
        <v>0</v>
      </c>
      <c r="J8" s="46">
        <f t="shared" si="1"/>
        <v>0</v>
      </c>
      <c r="K8" s="46">
        <f t="shared" si="2"/>
        <v>0</v>
      </c>
      <c r="L8" s="46">
        <f t="shared" si="4"/>
        <v>0</v>
      </c>
      <c r="M8" s="46">
        <f t="shared" si="3"/>
        <v>0</v>
      </c>
      <c r="N8" s="46"/>
    </row>
    <row r="9" spans="1:14">
      <c r="A9" s="55">
        <v>6</v>
      </c>
      <c r="B9" s="264">
        <v>45844</v>
      </c>
      <c r="C9" s="46">
        <v>0</v>
      </c>
      <c r="D9" s="46"/>
      <c r="E9" s="46">
        <v>0</v>
      </c>
      <c r="F9" s="46">
        <v>0</v>
      </c>
      <c r="G9" s="46">
        <f t="shared" si="0"/>
        <v>0</v>
      </c>
      <c r="H9" s="46">
        <v>0</v>
      </c>
      <c r="I9" s="46">
        <v>0</v>
      </c>
      <c r="J9" s="46">
        <f t="shared" si="1"/>
        <v>0</v>
      </c>
      <c r="K9" s="46">
        <f t="shared" si="2"/>
        <v>0</v>
      </c>
      <c r="L9" s="46">
        <f t="shared" si="4"/>
        <v>0</v>
      </c>
      <c r="M9" s="46">
        <f t="shared" si="3"/>
        <v>0</v>
      </c>
      <c r="N9" s="46"/>
    </row>
    <row r="10" spans="1:14">
      <c r="A10" s="55">
        <v>7</v>
      </c>
      <c r="B10" s="264">
        <v>45845</v>
      </c>
      <c r="C10" s="46">
        <v>0</v>
      </c>
      <c r="D10" s="46"/>
      <c r="E10" s="46">
        <v>0</v>
      </c>
      <c r="F10" s="46">
        <v>0</v>
      </c>
      <c r="G10" s="46">
        <f t="shared" si="0"/>
        <v>0</v>
      </c>
      <c r="H10" s="46">
        <v>0</v>
      </c>
      <c r="I10" s="46">
        <v>0</v>
      </c>
      <c r="J10" s="46">
        <f t="shared" si="1"/>
        <v>0</v>
      </c>
      <c r="K10" s="46">
        <f t="shared" si="2"/>
        <v>0</v>
      </c>
      <c r="L10" s="46">
        <f t="shared" si="4"/>
        <v>0</v>
      </c>
      <c r="M10" s="46">
        <f t="shared" si="3"/>
        <v>0</v>
      </c>
      <c r="N10" s="46"/>
    </row>
    <row r="11" spans="1:14">
      <c r="A11" s="55">
        <v>8</v>
      </c>
      <c r="B11" s="264">
        <v>45846</v>
      </c>
      <c r="C11" s="46">
        <v>0</v>
      </c>
      <c r="D11" s="46"/>
      <c r="E11" s="46">
        <v>0</v>
      </c>
      <c r="F11" s="46">
        <v>0</v>
      </c>
      <c r="G11" s="46">
        <f t="shared" si="0"/>
        <v>0</v>
      </c>
      <c r="H11" s="46">
        <v>0</v>
      </c>
      <c r="I11" s="46">
        <v>0</v>
      </c>
      <c r="J11" s="46">
        <f t="shared" si="1"/>
        <v>0</v>
      </c>
      <c r="K11" s="46">
        <f t="shared" si="2"/>
        <v>0</v>
      </c>
      <c r="L11" s="46">
        <f t="shared" si="4"/>
        <v>0</v>
      </c>
      <c r="M11" s="46">
        <f t="shared" si="3"/>
        <v>0</v>
      </c>
      <c r="N11" s="46"/>
    </row>
    <row r="12" spans="1:14">
      <c r="A12" s="55">
        <v>9</v>
      </c>
      <c r="B12" s="264">
        <v>45847</v>
      </c>
      <c r="C12" s="46">
        <v>0</v>
      </c>
      <c r="D12" s="46"/>
      <c r="E12" s="46">
        <v>0</v>
      </c>
      <c r="F12" s="46">
        <v>0</v>
      </c>
      <c r="G12" s="46">
        <f t="shared" si="0"/>
        <v>0</v>
      </c>
      <c r="H12" s="46">
        <v>0</v>
      </c>
      <c r="I12" s="46">
        <v>0</v>
      </c>
      <c r="J12" s="46">
        <f t="shared" si="1"/>
        <v>0</v>
      </c>
      <c r="K12" s="46">
        <f t="shared" si="2"/>
        <v>0</v>
      </c>
      <c r="L12" s="46">
        <f t="shared" si="4"/>
        <v>0</v>
      </c>
      <c r="M12" s="46">
        <f t="shared" si="3"/>
        <v>0</v>
      </c>
      <c r="N12" s="46"/>
    </row>
    <row r="13" spans="1:14">
      <c r="A13" s="55">
        <v>10</v>
      </c>
      <c r="B13" s="264">
        <v>45848</v>
      </c>
      <c r="C13" s="46">
        <v>0</v>
      </c>
      <c r="D13" s="46"/>
      <c r="E13" s="46">
        <v>0</v>
      </c>
      <c r="F13" s="46">
        <v>0</v>
      </c>
      <c r="G13" s="46">
        <f t="shared" si="0"/>
        <v>0</v>
      </c>
      <c r="H13" s="46">
        <v>0</v>
      </c>
      <c r="I13" s="46">
        <v>0</v>
      </c>
      <c r="J13" s="46">
        <f t="shared" si="1"/>
        <v>0</v>
      </c>
      <c r="K13" s="46">
        <f t="shared" si="2"/>
        <v>0</v>
      </c>
      <c r="L13" s="46">
        <f t="shared" si="4"/>
        <v>0</v>
      </c>
      <c r="M13" s="46">
        <f t="shared" si="3"/>
        <v>0</v>
      </c>
      <c r="N13" s="46"/>
    </row>
    <row r="14" spans="1:14">
      <c r="A14" s="55">
        <v>11</v>
      </c>
      <c r="B14" s="264">
        <v>45849</v>
      </c>
      <c r="C14" s="46">
        <v>0</v>
      </c>
      <c r="D14" s="46"/>
      <c r="E14" s="46">
        <v>54.76</v>
      </c>
      <c r="F14" s="46">
        <v>91.3</v>
      </c>
      <c r="G14" s="46">
        <f t="shared" si="0"/>
        <v>4999.5879999999997</v>
      </c>
      <c r="H14" s="46">
        <v>0</v>
      </c>
      <c r="I14" s="46">
        <v>0</v>
      </c>
      <c r="J14" s="46">
        <f t="shared" si="1"/>
        <v>0</v>
      </c>
      <c r="K14" s="46">
        <f t="shared" si="2"/>
        <v>4999.5879999999997</v>
      </c>
      <c r="L14" s="46">
        <f t="shared" si="4"/>
        <v>4999.5879999999997</v>
      </c>
      <c r="M14" s="46">
        <f t="shared" si="3"/>
        <v>0</v>
      </c>
      <c r="N14" s="46"/>
    </row>
    <row r="15" spans="1:14">
      <c r="A15" s="55">
        <v>12</v>
      </c>
      <c r="B15" s="264">
        <v>45850</v>
      </c>
      <c r="C15" s="46">
        <v>0</v>
      </c>
      <c r="D15" s="46"/>
      <c r="E15" s="46">
        <v>50</v>
      </c>
      <c r="F15" s="46">
        <v>91.3</v>
      </c>
      <c r="G15" s="46">
        <f t="shared" si="0"/>
        <v>4565</v>
      </c>
      <c r="H15" s="46">
        <v>0</v>
      </c>
      <c r="I15" s="46">
        <v>0</v>
      </c>
      <c r="J15" s="46">
        <f t="shared" si="1"/>
        <v>0</v>
      </c>
      <c r="K15" s="46">
        <f t="shared" si="2"/>
        <v>4565</v>
      </c>
      <c r="L15" s="46">
        <f t="shared" si="4"/>
        <v>4565</v>
      </c>
      <c r="M15" s="46">
        <f t="shared" si="3"/>
        <v>0</v>
      </c>
      <c r="N15" s="46"/>
    </row>
    <row r="16" spans="1:14">
      <c r="A16" s="55">
        <v>13</v>
      </c>
      <c r="B16" s="264">
        <v>45851</v>
      </c>
      <c r="C16" s="46">
        <v>0</v>
      </c>
      <c r="D16" s="46"/>
      <c r="E16" s="46">
        <v>0</v>
      </c>
      <c r="F16" s="46">
        <v>0</v>
      </c>
      <c r="G16" s="46">
        <f t="shared" si="0"/>
        <v>0</v>
      </c>
      <c r="H16" s="46">
        <v>0</v>
      </c>
      <c r="I16" s="46">
        <v>0</v>
      </c>
      <c r="J16" s="46">
        <f t="shared" si="1"/>
        <v>0</v>
      </c>
      <c r="K16" s="46">
        <f t="shared" si="2"/>
        <v>0</v>
      </c>
      <c r="L16" s="46">
        <f t="shared" si="4"/>
        <v>0</v>
      </c>
      <c r="M16" s="46">
        <f t="shared" si="3"/>
        <v>0</v>
      </c>
      <c r="N16" s="46"/>
    </row>
    <row r="17" spans="1:14">
      <c r="A17" s="55">
        <v>14</v>
      </c>
      <c r="B17" s="264">
        <v>45852</v>
      </c>
      <c r="C17" s="46">
        <v>0</v>
      </c>
      <c r="D17" s="46"/>
      <c r="E17" s="46">
        <v>0</v>
      </c>
      <c r="F17" s="46">
        <v>0</v>
      </c>
      <c r="G17" s="46">
        <f t="shared" si="0"/>
        <v>0</v>
      </c>
      <c r="H17" s="46">
        <v>6</v>
      </c>
      <c r="I17" s="46">
        <v>103.22</v>
      </c>
      <c r="J17" s="46">
        <f t="shared" si="1"/>
        <v>619.31999999999994</v>
      </c>
      <c r="K17" s="46">
        <f t="shared" si="2"/>
        <v>619.31999999999994</v>
      </c>
      <c r="L17" s="46">
        <f t="shared" si="4"/>
        <v>619.31999999999994</v>
      </c>
      <c r="M17" s="46">
        <f t="shared" si="3"/>
        <v>0</v>
      </c>
      <c r="N17" s="46"/>
    </row>
    <row r="18" spans="1:14">
      <c r="A18" s="55">
        <v>15</v>
      </c>
      <c r="B18" s="264">
        <v>45853</v>
      </c>
      <c r="C18" s="46">
        <v>0</v>
      </c>
      <c r="D18" s="46"/>
      <c r="E18" s="46">
        <v>0</v>
      </c>
      <c r="F18" s="46">
        <v>0</v>
      </c>
      <c r="G18" s="46">
        <f t="shared" si="0"/>
        <v>0</v>
      </c>
      <c r="H18" s="46">
        <v>0</v>
      </c>
      <c r="I18" s="46">
        <v>0</v>
      </c>
      <c r="J18" s="46">
        <f t="shared" si="1"/>
        <v>0</v>
      </c>
      <c r="K18" s="46">
        <f t="shared" si="2"/>
        <v>0</v>
      </c>
      <c r="L18" s="46">
        <f t="shared" si="4"/>
        <v>0</v>
      </c>
      <c r="M18" s="46">
        <f t="shared" si="3"/>
        <v>0</v>
      </c>
      <c r="N18" s="46"/>
    </row>
    <row r="19" spans="1:14">
      <c r="A19" s="55">
        <v>16</v>
      </c>
      <c r="B19" s="264">
        <v>45854</v>
      </c>
      <c r="C19" s="46">
        <v>0</v>
      </c>
      <c r="D19" s="46"/>
      <c r="E19" s="46">
        <v>0</v>
      </c>
      <c r="F19" s="46">
        <v>0</v>
      </c>
      <c r="G19" s="46">
        <f t="shared" si="0"/>
        <v>0</v>
      </c>
      <c r="H19" s="46">
        <v>0</v>
      </c>
      <c r="I19" s="46">
        <v>0</v>
      </c>
      <c r="J19" s="46">
        <f t="shared" si="1"/>
        <v>0</v>
      </c>
      <c r="K19" s="46">
        <f t="shared" si="2"/>
        <v>0</v>
      </c>
      <c r="L19" s="46">
        <f t="shared" si="4"/>
        <v>0</v>
      </c>
      <c r="M19" s="46">
        <f t="shared" si="3"/>
        <v>0</v>
      </c>
      <c r="N19" s="46"/>
    </row>
    <row r="20" spans="1:14">
      <c r="A20" s="55">
        <v>17</v>
      </c>
      <c r="B20" s="264">
        <v>45855</v>
      </c>
      <c r="C20" s="46">
        <v>0</v>
      </c>
      <c r="D20" s="46"/>
      <c r="E20" s="46">
        <v>0</v>
      </c>
      <c r="F20" s="46">
        <v>0</v>
      </c>
      <c r="G20" s="46">
        <f t="shared" si="0"/>
        <v>0</v>
      </c>
      <c r="H20" s="46">
        <v>0</v>
      </c>
      <c r="I20" s="46">
        <v>0</v>
      </c>
      <c r="J20" s="46">
        <f t="shared" si="1"/>
        <v>0</v>
      </c>
      <c r="K20" s="46">
        <f t="shared" si="2"/>
        <v>0</v>
      </c>
      <c r="L20" s="46">
        <f t="shared" si="4"/>
        <v>0</v>
      </c>
      <c r="M20" s="46">
        <f t="shared" si="3"/>
        <v>0</v>
      </c>
      <c r="N20" s="46"/>
    </row>
    <row r="21" spans="1:14">
      <c r="A21" s="55">
        <v>18</v>
      </c>
      <c r="B21" s="264">
        <v>45856</v>
      </c>
      <c r="C21" s="46">
        <v>0</v>
      </c>
      <c r="D21" s="46"/>
      <c r="E21" s="46">
        <v>0</v>
      </c>
      <c r="F21" s="46">
        <v>0</v>
      </c>
      <c r="G21" s="46">
        <f t="shared" si="0"/>
        <v>0</v>
      </c>
      <c r="H21" s="46">
        <v>0</v>
      </c>
      <c r="I21" s="46">
        <v>0</v>
      </c>
      <c r="J21" s="46">
        <f t="shared" si="1"/>
        <v>0</v>
      </c>
      <c r="K21" s="46">
        <f t="shared" si="2"/>
        <v>0</v>
      </c>
      <c r="L21" s="46">
        <f t="shared" si="4"/>
        <v>0</v>
      </c>
      <c r="M21" s="46">
        <f t="shared" si="3"/>
        <v>0</v>
      </c>
      <c r="N21" s="46"/>
    </row>
    <row r="22" spans="1:14">
      <c r="A22" s="55">
        <v>19</v>
      </c>
      <c r="B22" s="264">
        <v>45857</v>
      </c>
      <c r="C22" s="46">
        <v>0</v>
      </c>
      <c r="D22" s="46"/>
      <c r="E22" s="46">
        <v>0</v>
      </c>
      <c r="F22" s="46">
        <v>0</v>
      </c>
      <c r="G22" s="46">
        <f t="shared" si="0"/>
        <v>0</v>
      </c>
      <c r="H22" s="46">
        <v>6</v>
      </c>
      <c r="I22" s="46">
        <v>103.22</v>
      </c>
      <c r="J22" s="46">
        <f t="shared" si="1"/>
        <v>619.31999999999994</v>
      </c>
      <c r="K22" s="46">
        <f t="shared" si="2"/>
        <v>619.31999999999994</v>
      </c>
      <c r="L22" s="46">
        <f t="shared" si="4"/>
        <v>619.31999999999994</v>
      </c>
      <c r="M22" s="46">
        <f t="shared" si="3"/>
        <v>0</v>
      </c>
      <c r="N22" s="46"/>
    </row>
    <row r="23" spans="1:14">
      <c r="A23" s="55">
        <v>20</v>
      </c>
      <c r="B23" s="264">
        <v>45858</v>
      </c>
      <c r="C23" s="46">
        <v>0</v>
      </c>
      <c r="D23" s="46"/>
      <c r="E23" s="46">
        <v>0</v>
      </c>
      <c r="F23" s="46">
        <v>0</v>
      </c>
      <c r="G23" s="46">
        <f t="shared" si="0"/>
        <v>0</v>
      </c>
      <c r="H23" s="46">
        <v>0</v>
      </c>
      <c r="I23" s="46">
        <v>0</v>
      </c>
      <c r="J23" s="46">
        <f t="shared" si="1"/>
        <v>0</v>
      </c>
      <c r="K23" s="46">
        <f t="shared" si="2"/>
        <v>0</v>
      </c>
      <c r="L23" s="46">
        <f t="shared" si="4"/>
        <v>0</v>
      </c>
      <c r="M23" s="46">
        <f t="shared" si="3"/>
        <v>0</v>
      </c>
      <c r="N23" s="46"/>
    </row>
    <row r="24" spans="1:14">
      <c r="A24" s="55">
        <v>21</v>
      </c>
      <c r="B24" s="264">
        <v>45859</v>
      </c>
      <c r="C24" s="46">
        <v>0</v>
      </c>
      <c r="D24" s="46"/>
      <c r="E24" s="46">
        <v>0</v>
      </c>
      <c r="F24" s="46">
        <v>0</v>
      </c>
      <c r="G24" s="46">
        <f t="shared" si="0"/>
        <v>0</v>
      </c>
      <c r="H24" s="46">
        <v>0</v>
      </c>
      <c r="I24" s="46">
        <v>0</v>
      </c>
      <c r="J24" s="46">
        <f t="shared" si="1"/>
        <v>0</v>
      </c>
      <c r="K24" s="46">
        <f t="shared" si="2"/>
        <v>0</v>
      </c>
      <c r="L24" s="46">
        <f t="shared" si="4"/>
        <v>0</v>
      </c>
      <c r="M24" s="46">
        <f t="shared" si="3"/>
        <v>0</v>
      </c>
      <c r="N24" s="46"/>
    </row>
    <row r="25" spans="1:14">
      <c r="A25" s="55">
        <v>22</v>
      </c>
      <c r="B25" s="264">
        <v>45860</v>
      </c>
      <c r="C25" s="46">
        <v>0</v>
      </c>
      <c r="D25" s="46"/>
      <c r="E25" s="46">
        <v>0</v>
      </c>
      <c r="F25" s="46">
        <v>0</v>
      </c>
      <c r="G25" s="46">
        <f t="shared" si="0"/>
        <v>0</v>
      </c>
      <c r="H25" s="46">
        <v>5</v>
      </c>
      <c r="I25" s="46">
        <v>103.22</v>
      </c>
      <c r="J25" s="46">
        <f t="shared" si="1"/>
        <v>516.1</v>
      </c>
      <c r="K25" s="46">
        <f t="shared" si="2"/>
        <v>516.1</v>
      </c>
      <c r="L25" s="46">
        <f t="shared" si="4"/>
        <v>516.1</v>
      </c>
      <c r="M25" s="46">
        <f t="shared" si="3"/>
        <v>0</v>
      </c>
      <c r="N25" s="46"/>
    </row>
    <row r="26" spans="1:14">
      <c r="A26" s="55">
        <v>23</v>
      </c>
      <c r="B26" s="264">
        <v>45861</v>
      </c>
      <c r="C26" s="46">
        <v>0</v>
      </c>
      <c r="D26" s="46"/>
      <c r="E26" s="46">
        <v>0</v>
      </c>
      <c r="F26" s="46">
        <v>0</v>
      </c>
      <c r="G26" s="46">
        <f t="shared" si="0"/>
        <v>0</v>
      </c>
      <c r="H26" s="46">
        <v>0</v>
      </c>
      <c r="I26" s="46">
        <v>0</v>
      </c>
      <c r="J26" s="46">
        <f t="shared" si="1"/>
        <v>0</v>
      </c>
      <c r="K26" s="46">
        <f t="shared" si="2"/>
        <v>0</v>
      </c>
      <c r="L26" s="46">
        <f t="shared" si="4"/>
        <v>0</v>
      </c>
      <c r="M26" s="46">
        <f t="shared" si="3"/>
        <v>0</v>
      </c>
      <c r="N26" s="46"/>
    </row>
    <row r="27" spans="1:14">
      <c r="A27" s="55">
        <v>24</v>
      </c>
      <c r="B27" s="264">
        <v>45862</v>
      </c>
      <c r="C27" s="46">
        <v>0</v>
      </c>
      <c r="D27" s="46"/>
      <c r="E27" s="46">
        <v>0</v>
      </c>
      <c r="F27" s="46">
        <v>0</v>
      </c>
      <c r="G27" s="46">
        <f t="shared" si="0"/>
        <v>0</v>
      </c>
      <c r="H27" s="46">
        <v>0</v>
      </c>
      <c r="I27" s="46">
        <v>0</v>
      </c>
      <c r="J27" s="46">
        <f t="shared" si="1"/>
        <v>0</v>
      </c>
      <c r="K27" s="46">
        <f t="shared" si="2"/>
        <v>0</v>
      </c>
      <c r="L27" s="46">
        <f t="shared" si="4"/>
        <v>0</v>
      </c>
      <c r="M27" s="46">
        <f t="shared" si="3"/>
        <v>0</v>
      </c>
      <c r="N27" s="46"/>
    </row>
    <row r="28" spans="1:14">
      <c r="A28" s="266">
        <v>25</v>
      </c>
      <c r="B28" s="264">
        <v>45863</v>
      </c>
      <c r="C28" s="46">
        <v>0</v>
      </c>
      <c r="D28" s="46"/>
      <c r="E28" s="46">
        <v>0</v>
      </c>
      <c r="F28" s="46">
        <v>0</v>
      </c>
      <c r="G28" s="46">
        <f t="shared" si="0"/>
        <v>0</v>
      </c>
      <c r="H28" s="46">
        <v>0</v>
      </c>
      <c r="I28" s="46">
        <v>0</v>
      </c>
      <c r="J28" s="46">
        <f t="shared" si="1"/>
        <v>0</v>
      </c>
      <c r="K28" s="46">
        <f t="shared" si="2"/>
        <v>0</v>
      </c>
      <c r="L28" s="46">
        <f t="shared" si="4"/>
        <v>0</v>
      </c>
      <c r="M28" s="46">
        <f t="shared" si="3"/>
        <v>0</v>
      </c>
      <c r="N28" s="46"/>
    </row>
    <row r="29" spans="1:14">
      <c r="A29" s="266">
        <v>26</v>
      </c>
      <c r="B29" s="264">
        <v>45864</v>
      </c>
      <c r="C29" s="46">
        <v>0</v>
      </c>
      <c r="D29" s="46"/>
      <c r="E29" s="46">
        <v>0</v>
      </c>
      <c r="F29" s="46">
        <v>0</v>
      </c>
      <c r="G29" s="46">
        <f t="shared" si="0"/>
        <v>0</v>
      </c>
      <c r="H29" s="46">
        <v>0</v>
      </c>
      <c r="I29" s="46">
        <v>0</v>
      </c>
      <c r="J29" s="46">
        <f t="shared" si="1"/>
        <v>0</v>
      </c>
      <c r="K29" s="46">
        <f t="shared" si="2"/>
        <v>0</v>
      </c>
      <c r="L29" s="46">
        <f t="shared" si="4"/>
        <v>0</v>
      </c>
      <c r="M29" s="46">
        <f t="shared" si="3"/>
        <v>0</v>
      </c>
      <c r="N29" s="46"/>
    </row>
    <row r="30" spans="1:14">
      <c r="A30" s="266">
        <v>27</v>
      </c>
      <c r="B30" s="264">
        <v>45865</v>
      </c>
      <c r="C30" s="46">
        <v>0</v>
      </c>
      <c r="D30" s="46"/>
      <c r="E30" s="46">
        <v>0</v>
      </c>
      <c r="F30" s="46">
        <v>0</v>
      </c>
      <c r="G30" s="46">
        <f t="shared" si="0"/>
        <v>0</v>
      </c>
      <c r="H30" s="46">
        <v>0</v>
      </c>
      <c r="I30" s="46">
        <v>0</v>
      </c>
      <c r="J30" s="46">
        <f t="shared" si="1"/>
        <v>0</v>
      </c>
      <c r="K30" s="46">
        <f t="shared" si="2"/>
        <v>0</v>
      </c>
      <c r="L30" s="46">
        <f t="shared" si="4"/>
        <v>0</v>
      </c>
      <c r="M30" s="46">
        <f t="shared" si="3"/>
        <v>0</v>
      </c>
      <c r="N30" s="46"/>
    </row>
    <row r="31" spans="1:14">
      <c r="A31" s="266">
        <v>28</v>
      </c>
      <c r="B31" s="264">
        <v>45866</v>
      </c>
      <c r="C31" s="46">
        <v>0</v>
      </c>
      <c r="D31" s="46"/>
      <c r="E31" s="46">
        <v>0</v>
      </c>
      <c r="F31" s="46">
        <v>0</v>
      </c>
      <c r="G31" s="46">
        <f t="shared" si="0"/>
        <v>0</v>
      </c>
      <c r="H31" s="46">
        <v>0</v>
      </c>
      <c r="I31" s="46">
        <v>0</v>
      </c>
      <c r="J31" s="46">
        <f t="shared" si="1"/>
        <v>0</v>
      </c>
      <c r="K31" s="46">
        <f t="shared" si="2"/>
        <v>0</v>
      </c>
      <c r="L31" s="46">
        <f t="shared" si="4"/>
        <v>0</v>
      </c>
      <c r="M31" s="46">
        <f t="shared" si="3"/>
        <v>0</v>
      </c>
      <c r="N31" s="46"/>
    </row>
    <row r="32" spans="1:14">
      <c r="A32" s="267">
        <v>29</v>
      </c>
      <c r="B32" s="264">
        <v>45867</v>
      </c>
      <c r="C32" s="46">
        <v>0</v>
      </c>
      <c r="D32" s="46"/>
      <c r="E32" s="46">
        <v>0</v>
      </c>
      <c r="F32" s="46">
        <v>0</v>
      </c>
      <c r="G32" s="46">
        <f t="shared" si="0"/>
        <v>0</v>
      </c>
      <c r="H32" s="46">
        <v>0</v>
      </c>
      <c r="I32" s="46">
        <v>0</v>
      </c>
      <c r="J32" s="46">
        <f t="shared" si="1"/>
        <v>0</v>
      </c>
      <c r="K32" s="46">
        <f t="shared" si="2"/>
        <v>0</v>
      </c>
      <c r="L32" s="46">
        <f t="shared" si="4"/>
        <v>0</v>
      </c>
      <c r="M32" s="46">
        <f t="shared" si="3"/>
        <v>0</v>
      </c>
      <c r="N32" s="46"/>
    </row>
    <row r="33" spans="1:14">
      <c r="A33" s="267">
        <v>30</v>
      </c>
      <c r="B33" s="264">
        <v>45868</v>
      </c>
      <c r="C33" s="46">
        <v>0</v>
      </c>
      <c r="D33" s="46"/>
      <c r="E33" s="46">
        <v>0</v>
      </c>
      <c r="F33" s="46">
        <v>0</v>
      </c>
      <c r="G33" s="46">
        <f t="shared" si="0"/>
        <v>0</v>
      </c>
      <c r="H33" s="46">
        <v>0</v>
      </c>
      <c r="I33" s="46">
        <v>0</v>
      </c>
      <c r="J33" s="46">
        <f t="shared" si="1"/>
        <v>0</v>
      </c>
      <c r="K33" s="46">
        <f t="shared" si="2"/>
        <v>0</v>
      </c>
      <c r="L33" s="46">
        <f t="shared" si="4"/>
        <v>0</v>
      </c>
      <c r="M33" s="46">
        <f t="shared" si="3"/>
        <v>0</v>
      </c>
      <c r="N33" s="46"/>
    </row>
    <row r="34" spans="1:14">
      <c r="A34" s="267">
        <v>31</v>
      </c>
      <c r="B34" s="264"/>
      <c r="C34" s="46">
        <v>0</v>
      </c>
      <c r="D34" s="46"/>
      <c r="E34" s="46">
        <v>0</v>
      </c>
      <c r="F34" s="46">
        <v>0</v>
      </c>
      <c r="G34" s="46">
        <f t="shared" si="0"/>
        <v>0</v>
      </c>
      <c r="H34" s="46">
        <v>0</v>
      </c>
      <c r="I34" s="46">
        <v>0</v>
      </c>
      <c r="J34" s="46">
        <f t="shared" si="1"/>
        <v>0</v>
      </c>
      <c r="K34" s="46">
        <f t="shared" si="2"/>
        <v>0</v>
      </c>
      <c r="L34" s="46">
        <f t="shared" si="4"/>
        <v>0</v>
      </c>
      <c r="M34" s="46">
        <f t="shared" si="3"/>
        <v>0</v>
      </c>
      <c r="N34" s="46"/>
    </row>
    <row r="35" spans="1:14">
      <c r="A35" s="204"/>
      <c r="B35" s="204"/>
      <c r="C35" s="204"/>
      <c r="D35" s="204"/>
      <c r="E35" s="204">
        <f>SUM(E4:E34)</f>
        <v>119.75999999999999</v>
      </c>
      <c r="F35" s="204"/>
      <c r="G35" s="204">
        <f>SUM(G4:G34)</f>
        <v>10934.088</v>
      </c>
      <c r="H35" s="204">
        <f>SUM(H4:H34)</f>
        <v>29</v>
      </c>
      <c r="I35" s="204"/>
      <c r="J35" s="204">
        <f>SUM(J4:J34)</f>
        <v>2993.3799999999997</v>
      </c>
      <c r="K35" s="204">
        <f>SUM(K4:K34)</f>
        <v>13927.467999999999</v>
      </c>
      <c r="L35" s="204">
        <f>SUM(L4:L34)</f>
        <v>13927.467999999999</v>
      </c>
      <c r="M35" s="204"/>
      <c r="N35" s="204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CEE4-190C-4D69-94E4-049C8E7DD053}">
  <dimension ref="A1:N35"/>
  <sheetViews>
    <sheetView workbookViewId="0">
      <pane ySplit="2" topLeftCell="A23" activePane="bottomLeft" state="frozen"/>
      <selection pane="bottomLeft" activeCell="L42" sqref="L42"/>
    </sheetView>
  </sheetViews>
  <sheetFormatPr defaultRowHeight="15"/>
  <cols>
    <col min="1" max="1" width="5.140625" style="5" bestFit="1" customWidth="1"/>
    <col min="2" max="2" width="11.5703125" style="5" bestFit="1" customWidth="1"/>
    <col min="3" max="3" width="8" style="5" bestFit="1" customWidth="1"/>
    <col min="4" max="4" width="15.140625" style="5" customWidth="1"/>
    <col min="5" max="5" width="10.7109375" style="5" bestFit="1" customWidth="1"/>
    <col min="6" max="6" width="10.42578125" style="5" bestFit="1" customWidth="1"/>
    <col min="7" max="7" width="9.28515625" style="5" bestFit="1" customWidth="1"/>
    <col min="8" max="8" width="10.7109375" style="5" bestFit="1" customWidth="1"/>
    <col min="9" max="9" width="8" style="5" bestFit="1" customWidth="1"/>
    <col min="10" max="10" width="9.28515625" style="5" bestFit="1" customWidth="1"/>
    <col min="11" max="12" width="13.5703125" style="5" bestFit="1" customWidth="1"/>
    <col min="13" max="13" width="13.5703125" style="5" customWidth="1"/>
    <col min="14" max="14" width="19.7109375" style="5" customWidth="1"/>
    <col min="15" max="16384" width="9.140625" style="5"/>
  </cols>
  <sheetData>
    <row r="1" spans="1:14" ht="15.75" customHeight="1">
      <c r="A1" s="448" t="s">
        <v>58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</row>
    <row r="2" spans="1:14">
      <c r="A2" s="76" t="s">
        <v>105</v>
      </c>
      <c r="B2" s="76" t="s">
        <v>106</v>
      </c>
      <c r="C2" s="76" t="s">
        <v>107</v>
      </c>
      <c r="D2" s="76" t="s">
        <v>108</v>
      </c>
      <c r="E2" s="104" t="s">
        <v>109</v>
      </c>
      <c r="F2" s="104" t="s">
        <v>110</v>
      </c>
      <c r="G2" s="104" t="s">
        <v>111</v>
      </c>
      <c r="H2" s="104" t="s">
        <v>112</v>
      </c>
      <c r="I2" s="104" t="s">
        <v>110</v>
      </c>
      <c r="J2" s="104" t="s">
        <v>111</v>
      </c>
      <c r="K2" s="104" t="s">
        <v>113</v>
      </c>
      <c r="L2" s="98" t="s">
        <v>114</v>
      </c>
      <c r="M2" s="98" t="s">
        <v>120</v>
      </c>
      <c r="N2" s="76" t="s">
        <v>116</v>
      </c>
    </row>
    <row r="3" spans="1:14">
      <c r="A3" s="449" t="s">
        <v>117</v>
      </c>
      <c r="B3" s="449"/>
      <c r="C3" s="449"/>
      <c r="D3" s="449"/>
      <c r="E3" s="449"/>
      <c r="F3" s="449"/>
      <c r="G3" s="449"/>
      <c r="H3" s="449"/>
      <c r="I3" s="449"/>
      <c r="J3" s="449"/>
      <c r="K3" s="200">
        <v>0</v>
      </c>
      <c r="L3" s="115"/>
      <c r="M3" s="115">
        <f>+K3</f>
        <v>0</v>
      </c>
    </row>
    <row r="4" spans="1:14">
      <c r="A4" s="28">
        <v>1</v>
      </c>
      <c r="B4" s="29">
        <v>45839</v>
      </c>
      <c r="C4" s="6"/>
      <c r="D4" s="6"/>
      <c r="E4" s="334">
        <v>40.25</v>
      </c>
      <c r="F4" s="53">
        <v>91.92</v>
      </c>
      <c r="G4" s="78">
        <f>E4*F4</f>
        <v>3699.78</v>
      </c>
      <c r="H4" s="53">
        <v>6.84</v>
      </c>
      <c r="I4" s="53">
        <v>103.96</v>
      </c>
      <c r="J4" s="78">
        <f>H4*I4</f>
        <v>711.08639999999991</v>
      </c>
      <c r="K4" s="78">
        <f>G4+J4</f>
        <v>4410.8663999999999</v>
      </c>
      <c r="L4" s="78">
        <f>+K4</f>
        <v>4410.8663999999999</v>
      </c>
      <c r="M4" s="78">
        <f>M3+K4-L4</f>
        <v>0</v>
      </c>
      <c r="N4" s="6" t="s">
        <v>128</v>
      </c>
    </row>
    <row r="5" spans="1:14">
      <c r="A5" s="28">
        <v>2</v>
      </c>
      <c r="B5" s="29">
        <v>45840</v>
      </c>
      <c r="C5" s="6"/>
      <c r="D5" s="6"/>
      <c r="E5" s="334">
        <v>0</v>
      </c>
      <c r="F5" s="53">
        <v>0</v>
      </c>
      <c r="G5" s="78">
        <f t="shared" ref="G5:G34" si="0">E5*F5</f>
        <v>0</v>
      </c>
      <c r="H5" s="53">
        <v>10</v>
      </c>
      <c r="I5" s="53">
        <v>103.96</v>
      </c>
      <c r="J5" s="78">
        <f t="shared" ref="J5:J34" si="1">H5*I5</f>
        <v>1039.5999999999999</v>
      </c>
      <c r="K5" s="78">
        <f t="shared" ref="K5:K34" si="2">G5+J5</f>
        <v>1039.5999999999999</v>
      </c>
      <c r="L5" s="78">
        <f t="shared" ref="L5:L34" si="3">+K5</f>
        <v>1039.5999999999999</v>
      </c>
      <c r="M5" s="78">
        <f t="shared" ref="M5:M31" si="4">M4+K5-L5</f>
        <v>0</v>
      </c>
      <c r="N5" s="6"/>
    </row>
    <row r="6" spans="1:14">
      <c r="A6" s="28">
        <v>3</v>
      </c>
      <c r="B6" s="29">
        <v>45841</v>
      </c>
      <c r="C6" s="6"/>
      <c r="D6" s="6"/>
      <c r="E6" s="334">
        <v>36.96</v>
      </c>
      <c r="F6" s="53">
        <v>91.92</v>
      </c>
      <c r="G6" s="78">
        <f t="shared" si="0"/>
        <v>3397.3632000000002</v>
      </c>
      <c r="H6" s="53">
        <v>0</v>
      </c>
      <c r="I6" s="53">
        <v>0</v>
      </c>
      <c r="J6" s="78">
        <f t="shared" si="1"/>
        <v>0</v>
      </c>
      <c r="K6" s="78">
        <f t="shared" si="2"/>
        <v>3397.3632000000002</v>
      </c>
      <c r="L6" s="78">
        <f t="shared" si="3"/>
        <v>3397.3632000000002</v>
      </c>
      <c r="M6" s="78">
        <f t="shared" si="4"/>
        <v>0</v>
      </c>
      <c r="N6" s="6"/>
    </row>
    <row r="7" spans="1:14">
      <c r="A7" s="28">
        <v>4</v>
      </c>
      <c r="B7" s="29">
        <v>45842</v>
      </c>
      <c r="C7" s="6"/>
      <c r="D7" s="6"/>
      <c r="E7" s="334">
        <v>0</v>
      </c>
      <c r="F7" s="53">
        <v>0</v>
      </c>
      <c r="G7" s="78">
        <f t="shared" si="0"/>
        <v>0</v>
      </c>
      <c r="H7" s="53">
        <v>12.32</v>
      </c>
      <c r="I7" s="53">
        <v>103.96</v>
      </c>
      <c r="J7" s="78">
        <f t="shared" si="1"/>
        <v>1280.7872</v>
      </c>
      <c r="K7" s="78">
        <f t="shared" si="2"/>
        <v>1280.7872</v>
      </c>
      <c r="L7" s="78">
        <f t="shared" si="3"/>
        <v>1280.7872</v>
      </c>
      <c r="M7" s="78">
        <f t="shared" si="4"/>
        <v>0</v>
      </c>
      <c r="N7" s="6"/>
    </row>
    <row r="8" spans="1:14">
      <c r="A8" s="28">
        <v>5</v>
      </c>
      <c r="B8" s="29">
        <v>45843</v>
      </c>
      <c r="C8" s="6"/>
      <c r="D8" s="6"/>
      <c r="E8" s="334">
        <v>0</v>
      </c>
      <c r="F8" s="53">
        <v>0</v>
      </c>
      <c r="G8" s="78">
        <f t="shared" si="0"/>
        <v>0</v>
      </c>
      <c r="H8" s="53">
        <v>0</v>
      </c>
      <c r="I8" s="53">
        <v>0</v>
      </c>
      <c r="J8" s="78">
        <f t="shared" si="1"/>
        <v>0</v>
      </c>
      <c r="K8" s="78">
        <f t="shared" si="2"/>
        <v>0</v>
      </c>
      <c r="L8" s="78">
        <f t="shared" si="3"/>
        <v>0</v>
      </c>
      <c r="M8" s="78">
        <f t="shared" si="4"/>
        <v>0</v>
      </c>
      <c r="N8" s="6"/>
    </row>
    <row r="9" spans="1:14">
      <c r="A9" s="28">
        <v>6</v>
      </c>
      <c r="B9" s="29">
        <v>45844</v>
      </c>
      <c r="C9" s="6"/>
      <c r="D9" s="6"/>
      <c r="E9" s="334">
        <v>31.07</v>
      </c>
      <c r="F9" s="53">
        <v>91.92</v>
      </c>
      <c r="G9" s="78">
        <f t="shared" si="0"/>
        <v>2855.9544000000001</v>
      </c>
      <c r="H9" s="53">
        <v>0</v>
      </c>
      <c r="I9" s="53">
        <v>0</v>
      </c>
      <c r="J9" s="78">
        <f t="shared" si="1"/>
        <v>0</v>
      </c>
      <c r="K9" s="78">
        <f t="shared" si="2"/>
        <v>2855.9544000000001</v>
      </c>
      <c r="L9" s="78">
        <f t="shared" si="3"/>
        <v>2855.9544000000001</v>
      </c>
      <c r="M9" s="78">
        <f t="shared" si="4"/>
        <v>0</v>
      </c>
      <c r="N9" s="6"/>
    </row>
    <row r="10" spans="1:14">
      <c r="A10" s="28">
        <v>7</v>
      </c>
      <c r="B10" s="29">
        <v>45845</v>
      </c>
      <c r="C10" s="6"/>
      <c r="D10" s="6"/>
      <c r="E10" s="334">
        <v>0</v>
      </c>
      <c r="F10" s="53">
        <v>0</v>
      </c>
      <c r="G10" s="78">
        <f t="shared" si="0"/>
        <v>0</v>
      </c>
      <c r="H10" s="53">
        <v>10</v>
      </c>
      <c r="I10" s="53">
        <v>103.96</v>
      </c>
      <c r="J10" s="78">
        <f t="shared" si="1"/>
        <v>1039.5999999999999</v>
      </c>
      <c r="K10" s="78">
        <f t="shared" si="2"/>
        <v>1039.5999999999999</v>
      </c>
      <c r="L10" s="78">
        <f t="shared" si="3"/>
        <v>1039.5999999999999</v>
      </c>
      <c r="M10" s="78">
        <f t="shared" si="4"/>
        <v>0</v>
      </c>
      <c r="N10" s="6"/>
    </row>
    <row r="11" spans="1:14">
      <c r="A11" s="28">
        <v>8</v>
      </c>
      <c r="B11" s="29">
        <v>45846</v>
      </c>
      <c r="C11" s="6"/>
      <c r="D11" s="6"/>
      <c r="E11" s="334">
        <v>16.32</v>
      </c>
      <c r="F11" s="53">
        <v>91.92</v>
      </c>
      <c r="G11" s="78">
        <f t="shared" si="0"/>
        <v>1500.1344000000001</v>
      </c>
      <c r="H11" s="53">
        <v>10</v>
      </c>
      <c r="I11" s="53">
        <v>103.96</v>
      </c>
      <c r="J11" s="78">
        <f t="shared" si="1"/>
        <v>1039.5999999999999</v>
      </c>
      <c r="K11" s="78">
        <f t="shared" si="2"/>
        <v>2539.7344000000003</v>
      </c>
      <c r="L11" s="78">
        <f t="shared" si="3"/>
        <v>2539.7344000000003</v>
      </c>
      <c r="M11" s="78">
        <f t="shared" si="4"/>
        <v>0</v>
      </c>
      <c r="N11" s="6"/>
    </row>
    <row r="12" spans="1:14">
      <c r="A12" s="28">
        <v>9</v>
      </c>
      <c r="B12" s="29">
        <v>45847</v>
      </c>
      <c r="C12" s="6"/>
      <c r="D12" s="6"/>
      <c r="E12" s="334">
        <v>227</v>
      </c>
      <c r="F12" s="53">
        <v>91.92</v>
      </c>
      <c r="G12" s="78">
        <f t="shared" si="0"/>
        <v>20865.84</v>
      </c>
      <c r="H12" s="53">
        <v>10</v>
      </c>
      <c r="I12" s="53">
        <v>103.96</v>
      </c>
      <c r="J12" s="78">
        <f t="shared" si="1"/>
        <v>1039.5999999999999</v>
      </c>
      <c r="K12" s="78">
        <f t="shared" si="2"/>
        <v>21905.439999999999</v>
      </c>
      <c r="L12" s="78">
        <f t="shared" si="3"/>
        <v>21905.439999999999</v>
      </c>
      <c r="M12" s="78">
        <f t="shared" si="4"/>
        <v>0</v>
      </c>
      <c r="N12" s="6"/>
    </row>
    <row r="13" spans="1:14">
      <c r="A13" s="28">
        <v>10</v>
      </c>
      <c r="B13" s="29">
        <v>45848</v>
      </c>
      <c r="C13" s="6"/>
      <c r="D13" s="6"/>
      <c r="E13" s="334">
        <v>440.51</v>
      </c>
      <c r="F13" s="53">
        <v>91.92</v>
      </c>
      <c r="G13" s="78">
        <f t="shared" si="0"/>
        <v>40491.679199999999</v>
      </c>
      <c r="H13" s="53">
        <v>0</v>
      </c>
      <c r="I13" s="53">
        <v>0</v>
      </c>
      <c r="J13" s="78">
        <f t="shared" si="1"/>
        <v>0</v>
      </c>
      <c r="K13" s="78">
        <f t="shared" si="2"/>
        <v>40491.679199999999</v>
      </c>
      <c r="L13" s="78">
        <f t="shared" si="3"/>
        <v>40491.679199999999</v>
      </c>
      <c r="M13" s="78">
        <f t="shared" si="4"/>
        <v>0</v>
      </c>
      <c r="N13" s="6"/>
    </row>
    <row r="14" spans="1:14">
      <c r="A14" s="28">
        <v>11</v>
      </c>
      <c r="B14" s="29">
        <v>45849</v>
      </c>
      <c r="C14" s="6"/>
      <c r="D14" s="6"/>
      <c r="E14" s="334">
        <v>30</v>
      </c>
      <c r="F14" s="53">
        <v>91.92</v>
      </c>
      <c r="G14" s="78">
        <f t="shared" si="0"/>
        <v>2757.6</v>
      </c>
      <c r="H14" s="53">
        <v>10</v>
      </c>
      <c r="I14" s="53">
        <v>103.96</v>
      </c>
      <c r="J14" s="78">
        <f t="shared" si="1"/>
        <v>1039.5999999999999</v>
      </c>
      <c r="K14" s="78">
        <f t="shared" si="2"/>
        <v>3797.2</v>
      </c>
      <c r="L14" s="78">
        <f t="shared" si="3"/>
        <v>3797.2</v>
      </c>
      <c r="M14" s="78">
        <f t="shared" si="4"/>
        <v>0</v>
      </c>
      <c r="N14" s="6"/>
    </row>
    <row r="15" spans="1:14">
      <c r="A15" s="28">
        <v>12</v>
      </c>
      <c r="B15" s="29">
        <v>45850</v>
      </c>
      <c r="C15" s="6"/>
      <c r="D15" s="6"/>
      <c r="E15" s="334">
        <v>0</v>
      </c>
      <c r="F15" s="53">
        <v>91.92</v>
      </c>
      <c r="G15" s="78">
        <f t="shared" si="0"/>
        <v>0</v>
      </c>
      <c r="H15" s="53">
        <v>13.02</v>
      </c>
      <c r="I15" s="53">
        <v>103.96</v>
      </c>
      <c r="J15" s="78">
        <f t="shared" si="1"/>
        <v>1353.5591999999999</v>
      </c>
      <c r="K15" s="78">
        <f t="shared" si="2"/>
        <v>1353.5591999999999</v>
      </c>
      <c r="L15" s="78">
        <f t="shared" si="3"/>
        <v>1353.5591999999999</v>
      </c>
      <c r="M15" s="78">
        <f t="shared" si="4"/>
        <v>0</v>
      </c>
      <c r="N15" s="6"/>
    </row>
    <row r="16" spans="1:14">
      <c r="A16" s="28">
        <v>13</v>
      </c>
      <c r="B16" s="29">
        <v>45851</v>
      </c>
      <c r="C16" s="6"/>
      <c r="D16" s="6"/>
      <c r="E16" s="334">
        <v>0</v>
      </c>
      <c r="F16" s="53">
        <v>91.92</v>
      </c>
      <c r="G16" s="78">
        <f t="shared" si="0"/>
        <v>0</v>
      </c>
      <c r="H16" s="53">
        <v>0</v>
      </c>
      <c r="I16" s="53">
        <v>103.96</v>
      </c>
      <c r="J16" s="78">
        <f t="shared" si="1"/>
        <v>0</v>
      </c>
      <c r="K16" s="78">
        <f t="shared" si="2"/>
        <v>0</v>
      </c>
      <c r="L16" s="78">
        <f t="shared" si="3"/>
        <v>0</v>
      </c>
      <c r="M16" s="78">
        <f t="shared" si="4"/>
        <v>0</v>
      </c>
      <c r="N16" s="6"/>
    </row>
    <row r="17" spans="1:14">
      <c r="A17" s="28">
        <v>14</v>
      </c>
      <c r="B17" s="29">
        <v>45852</v>
      </c>
      <c r="C17" s="199"/>
      <c r="D17" s="6"/>
      <c r="E17" s="334">
        <v>0</v>
      </c>
      <c r="F17" s="53">
        <v>91.92</v>
      </c>
      <c r="G17" s="78">
        <f t="shared" si="0"/>
        <v>0</v>
      </c>
      <c r="H17" s="53">
        <v>0</v>
      </c>
      <c r="I17" s="53">
        <v>103.96</v>
      </c>
      <c r="J17" s="78">
        <f t="shared" si="1"/>
        <v>0</v>
      </c>
      <c r="K17" s="78">
        <f t="shared" si="2"/>
        <v>0</v>
      </c>
      <c r="L17" s="78">
        <f t="shared" si="3"/>
        <v>0</v>
      </c>
      <c r="M17" s="78">
        <f t="shared" si="4"/>
        <v>0</v>
      </c>
      <c r="N17" s="6"/>
    </row>
    <row r="18" spans="1:14">
      <c r="A18" s="28">
        <v>15</v>
      </c>
      <c r="B18" s="29">
        <v>45853</v>
      </c>
      <c r="C18" s="199"/>
      <c r="D18" s="6"/>
      <c r="E18" s="334">
        <v>10</v>
      </c>
      <c r="F18" s="53">
        <v>91.92</v>
      </c>
      <c r="G18" s="78">
        <f t="shared" si="0"/>
        <v>919.2</v>
      </c>
      <c r="H18" s="53">
        <v>10</v>
      </c>
      <c r="I18" s="53">
        <v>103.96</v>
      </c>
      <c r="J18" s="78">
        <f t="shared" si="1"/>
        <v>1039.5999999999999</v>
      </c>
      <c r="K18" s="78">
        <f t="shared" si="2"/>
        <v>1958.8</v>
      </c>
      <c r="L18" s="78">
        <f t="shared" si="3"/>
        <v>1958.8</v>
      </c>
      <c r="M18" s="78">
        <f t="shared" si="4"/>
        <v>0</v>
      </c>
      <c r="N18" s="6"/>
    </row>
    <row r="19" spans="1:14">
      <c r="A19" s="28">
        <v>16</v>
      </c>
      <c r="B19" s="29">
        <v>45854</v>
      </c>
      <c r="C19" s="199"/>
      <c r="D19" s="6"/>
      <c r="E19" s="334">
        <v>30</v>
      </c>
      <c r="F19" s="53">
        <v>91.92</v>
      </c>
      <c r="G19" s="78">
        <f t="shared" si="0"/>
        <v>2757.6</v>
      </c>
      <c r="H19" s="53">
        <v>10</v>
      </c>
      <c r="I19" s="53">
        <v>103.96</v>
      </c>
      <c r="J19" s="78">
        <f t="shared" si="1"/>
        <v>1039.5999999999999</v>
      </c>
      <c r="K19" s="78">
        <f t="shared" si="2"/>
        <v>3797.2</v>
      </c>
      <c r="L19" s="78">
        <f t="shared" si="3"/>
        <v>3797.2</v>
      </c>
      <c r="M19" s="78">
        <f t="shared" si="4"/>
        <v>0</v>
      </c>
      <c r="N19" s="6"/>
    </row>
    <row r="20" spans="1:14">
      <c r="A20" s="28">
        <v>17</v>
      </c>
      <c r="B20" s="29">
        <v>45855</v>
      </c>
      <c r="C20" s="199"/>
      <c r="D20" s="6"/>
      <c r="E20" s="334">
        <v>0</v>
      </c>
      <c r="F20" s="53">
        <v>91.92</v>
      </c>
      <c r="G20" s="78">
        <f t="shared" si="0"/>
        <v>0</v>
      </c>
      <c r="H20" s="53">
        <v>0</v>
      </c>
      <c r="I20" s="53">
        <v>103.96</v>
      </c>
      <c r="J20" s="78">
        <f t="shared" si="1"/>
        <v>0</v>
      </c>
      <c r="K20" s="78">
        <f t="shared" si="2"/>
        <v>0</v>
      </c>
      <c r="L20" s="78">
        <f t="shared" si="3"/>
        <v>0</v>
      </c>
      <c r="M20" s="78">
        <f t="shared" si="4"/>
        <v>0</v>
      </c>
      <c r="N20" s="6"/>
    </row>
    <row r="21" spans="1:14">
      <c r="A21" s="28">
        <v>18</v>
      </c>
      <c r="B21" s="29">
        <v>45856</v>
      </c>
      <c r="C21" s="199"/>
      <c r="D21" s="6"/>
      <c r="E21" s="334">
        <v>0</v>
      </c>
      <c r="F21" s="53">
        <v>91.92</v>
      </c>
      <c r="G21" s="78">
        <f t="shared" si="0"/>
        <v>0</v>
      </c>
      <c r="H21" s="53">
        <v>0</v>
      </c>
      <c r="I21" s="53">
        <v>103.96</v>
      </c>
      <c r="J21" s="78">
        <f t="shared" si="1"/>
        <v>0</v>
      </c>
      <c r="K21" s="78">
        <f t="shared" si="2"/>
        <v>0</v>
      </c>
      <c r="L21" s="78">
        <f t="shared" si="3"/>
        <v>0</v>
      </c>
      <c r="M21" s="78">
        <f t="shared" si="4"/>
        <v>0</v>
      </c>
      <c r="N21" s="6"/>
    </row>
    <row r="22" spans="1:14">
      <c r="A22" s="28">
        <v>19</v>
      </c>
      <c r="B22" s="29">
        <v>45857</v>
      </c>
      <c r="C22" s="199"/>
      <c r="D22" s="6"/>
      <c r="E22" s="334">
        <v>36.4</v>
      </c>
      <c r="F22" s="53">
        <v>91.92</v>
      </c>
      <c r="G22" s="78">
        <f t="shared" si="0"/>
        <v>3345.8879999999999</v>
      </c>
      <c r="H22" s="53">
        <v>11</v>
      </c>
      <c r="I22" s="53">
        <v>103.96</v>
      </c>
      <c r="J22" s="78">
        <f t="shared" si="1"/>
        <v>1143.56</v>
      </c>
      <c r="K22" s="78">
        <f t="shared" si="2"/>
        <v>4489.4480000000003</v>
      </c>
      <c r="L22" s="78">
        <f t="shared" si="3"/>
        <v>4489.4480000000003</v>
      </c>
      <c r="M22" s="78">
        <f t="shared" si="4"/>
        <v>0</v>
      </c>
      <c r="N22" s="6"/>
    </row>
    <row r="23" spans="1:14">
      <c r="A23" s="28">
        <v>20</v>
      </c>
      <c r="B23" s="29">
        <v>45858</v>
      </c>
      <c r="C23" s="199"/>
      <c r="D23" s="6"/>
      <c r="E23" s="334">
        <v>0</v>
      </c>
      <c r="F23" s="53">
        <v>0</v>
      </c>
      <c r="G23" s="78">
        <f t="shared" si="0"/>
        <v>0</v>
      </c>
      <c r="H23" s="53">
        <v>0</v>
      </c>
      <c r="I23" s="53">
        <v>0</v>
      </c>
      <c r="J23" s="78">
        <f t="shared" si="1"/>
        <v>0</v>
      </c>
      <c r="K23" s="78">
        <f t="shared" si="2"/>
        <v>0</v>
      </c>
      <c r="L23" s="78">
        <f t="shared" si="3"/>
        <v>0</v>
      </c>
      <c r="M23" s="78">
        <f t="shared" si="4"/>
        <v>0</v>
      </c>
      <c r="N23" s="6"/>
    </row>
    <row r="24" spans="1:14">
      <c r="A24" s="28">
        <v>21</v>
      </c>
      <c r="B24" s="29">
        <v>45859</v>
      </c>
      <c r="C24" s="199"/>
      <c r="D24" s="6"/>
      <c r="E24" s="334">
        <v>0</v>
      </c>
      <c r="F24" s="53">
        <v>0</v>
      </c>
      <c r="G24" s="78">
        <f t="shared" si="0"/>
        <v>0</v>
      </c>
      <c r="H24" s="53">
        <v>0</v>
      </c>
      <c r="I24" s="53">
        <v>0</v>
      </c>
      <c r="J24" s="78">
        <f t="shared" si="1"/>
        <v>0</v>
      </c>
      <c r="K24" s="78">
        <f t="shared" si="2"/>
        <v>0</v>
      </c>
      <c r="L24" s="78">
        <f t="shared" si="3"/>
        <v>0</v>
      </c>
      <c r="M24" s="78">
        <f t="shared" si="4"/>
        <v>0</v>
      </c>
      <c r="N24" s="6"/>
    </row>
    <row r="25" spans="1:14">
      <c r="A25" s="28">
        <v>22</v>
      </c>
      <c r="B25" s="29">
        <v>45860</v>
      </c>
      <c r="C25" s="199"/>
      <c r="D25" s="6"/>
      <c r="E25" s="334">
        <v>30</v>
      </c>
      <c r="F25" s="53">
        <v>91.92</v>
      </c>
      <c r="G25" s="78">
        <f t="shared" si="0"/>
        <v>2757.6</v>
      </c>
      <c r="H25" s="53">
        <v>0</v>
      </c>
      <c r="I25" s="53">
        <v>0</v>
      </c>
      <c r="J25" s="78">
        <f t="shared" si="1"/>
        <v>0</v>
      </c>
      <c r="K25" s="78">
        <f t="shared" si="2"/>
        <v>2757.6</v>
      </c>
      <c r="L25" s="78">
        <f t="shared" si="3"/>
        <v>2757.6</v>
      </c>
      <c r="M25" s="78">
        <f t="shared" si="4"/>
        <v>0</v>
      </c>
      <c r="N25" s="6"/>
    </row>
    <row r="26" spans="1:14">
      <c r="A26" s="28">
        <v>23</v>
      </c>
      <c r="B26" s="29">
        <v>45861</v>
      </c>
      <c r="C26" s="199"/>
      <c r="D26" s="6"/>
      <c r="E26" s="334">
        <v>61.25</v>
      </c>
      <c r="F26" s="53">
        <v>91.92</v>
      </c>
      <c r="G26" s="78">
        <f t="shared" si="0"/>
        <v>5630.1</v>
      </c>
      <c r="H26" s="53">
        <v>15</v>
      </c>
      <c r="I26" s="53">
        <v>103.96</v>
      </c>
      <c r="J26" s="78">
        <f t="shared" si="1"/>
        <v>1559.3999999999999</v>
      </c>
      <c r="K26" s="78">
        <f t="shared" si="2"/>
        <v>7189.5</v>
      </c>
      <c r="L26" s="78">
        <f t="shared" si="3"/>
        <v>7189.5</v>
      </c>
      <c r="M26" s="78">
        <f t="shared" si="4"/>
        <v>0</v>
      </c>
      <c r="N26" s="6"/>
    </row>
    <row r="27" spans="1:14">
      <c r="A27" s="28">
        <v>24</v>
      </c>
      <c r="B27" s="29">
        <v>45862</v>
      </c>
      <c r="C27" s="199"/>
      <c r="D27" s="6"/>
      <c r="E27" s="334">
        <v>0</v>
      </c>
      <c r="F27" s="53">
        <v>0</v>
      </c>
      <c r="G27" s="78">
        <f t="shared" si="0"/>
        <v>0</v>
      </c>
      <c r="H27" s="53">
        <v>0</v>
      </c>
      <c r="I27" s="53">
        <v>0</v>
      </c>
      <c r="J27" s="78">
        <f t="shared" si="1"/>
        <v>0</v>
      </c>
      <c r="K27" s="78">
        <f t="shared" si="2"/>
        <v>0</v>
      </c>
      <c r="L27" s="78">
        <f t="shared" si="3"/>
        <v>0</v>
      </c>
      <c r="M27" s="78">
        <f t="shared" si="4"/>
        <v>0</v>
      </c>
      <c r="N27" s="6"/>
    </row>
    <row r="28" spans="1:14">
      <c r="A28" s="28">
        <v>25</v>
      </c>
      <c r="B28" s="29">
        <v>45863</v>
      </c>
      <c r="C28" s="199"/>
      <c r="D28" s="6"/>
      <c r="E28" s="334">
        <v>30</v>
      </c>
      <c r="F28" s="53">
        <v>91.92</v>
      </c>
      <c r="G28" s="78">
        <f t="shared" si="0"/>
        <v>2757.6</v>
      </c>
      <c r="H28" s="53">
        <v>0</v>
      </c>
      <c r="I28" s="53">
        <v>0</v>
      </c>
      <c r="J28" s="78">
        <f t="shared" si="1"/>
        <v>0</v>
      </c>
      <c r="K28" s="78">
        <f t="shared" si="2"/>
        <v>2757.6</v>
      </c>
      <c r="L28" s="78">
        <f t="shared" si="3"/>
        <v>2757.6</v>
      </c>
      <c r="M28" s="78">
        <f t="shared" si="4"/>
        <v>0</v>
      </c>
      <c r="N28" s="6"/>
    </row>
    <row r="29" spans="1:14">
      <c r="A29" s="28">
        <v>26</v>
      </c>
      <c r="B29" s="29">
        <v>45864</v>
      </c>
      <c r="C29" s="199"/>
      <c r="D29" s="6"/>
      <c r="E29" s="334">
        <v>0</v>
      </c>
      <c r="F29" s="53">
        <v>0</v>
      </c>
      <c r="G29" s="78">
        <f t="shared" si="0"/>
        <v>0</v>
      </c>
      <c r="H29" s="53">
        <v>0</v>
      </c>
      <c r="I29" s="53">
        <v>0</v>
      </c>
      <c r="J29" s="78">
        <f t="shared" si="1"/>
        <v>0</v>
      </c>
      <c r="K29" s="78">
        <f t="shared" si="2"/>
        <v>0</v>
      </c>
      <c r="L29" s="78">
        <f t="shared" si="3"/>
        <v>0</v>
      </c>
      <c r="M29" s="78">
        <f t="shared" si="4"/>
        <v>0</v>
      </c>
      <c r="N29" s="6"/>
    </row>
    <row r="30" spans="1:14">
      <c r="A30" s="28">
        <v>27</v>
      </c>
      <c r="B30" s="29">
        <v>45865</v>
      </c>
      <c r="C30" s="199"/>
      <c r="D30" s="6"/>
      <c r="E30" s="334">
        <v>0</v>
      </c>
      <c r="F30" s="53">
        <v>0</v>
      </c>
      <c r="G30" s="78">
        <f t="shared" si="0"/>
        <v>0</v>
      </c>
      <c r="H30" s="53">
        <v>0</v>
      </c>
      <c r="I30" s="53">
        <v>0</v>
      </c>
      <c r="J30" s="78">
        <f t="shared" si="1"/>
        <v>0</v>
      </c>
      <c r="K30" s="78">
        <f t="shared" si="2"/>
        <v>0</v>
      </c>
      <c r="L30" s="78">
        <f t="shared" si="3"/>
        <v>0</v>
      </c>
      <c r="M30" s="78">
        <f t="shared" si="4"/>
        <v>0</v>
      </c>
      <c r="N30" s="6"/>
    </row>
    <row r="31" spans="1:14">
      <c r="A31" s="261">
        <v>28</v>
      </c>
      <c r="B31" s="29">
        <v>45866</v>
      </c>
      <c r="C31" s="199"/>
      <c r="D31" s="6"/>
      <c r="E31" s="334">
        <v>36.200000000000003</v>
      </c>
      <c r="F31" s="53">
        <v>91.92</v>
      </c>
      <c r="G31" s="78">
        <f t="shared" si="0"/>
        <v>3327.5040000000004</v>
      </c>
      <c r="H31" s="53">
        <v>0</v>
      </c>
      <c r="I31" s="53">
        <v>0</v>
      </c>
      <c r="J31" s="78">
        <f t="shared" si="1"/>
        <v>0</v>
      </c>
      <c r="K31" s="78">
        <f t="shared" si="2"/>
        <v>3327.5040000000004</v>
      </c>
      <c r="L31" s="78">
        <f t="shared" si="3"/>
        <v>3327.5040000000004</v>
      </c>
      <c r="M31" s="78">
        <f t="shared" si="4"/>
        <v>0</v>
      </c>
      <c r="N31" s="6"/>
    </row>
    <row r="32" spans="1:14">
      <c r="A32" s="28">
        <v>29</v>
      </c>
      <c r="B32" s="29">
        <v>45867</v>
      </c>
      <c r="C32" s="199"/>
      <c r="D32" s="6"/>
      <c r="E32" s="334">
        <v>0</v>
      </c>
      <c r="F32" s="53">
        <v>0</v>
      </c>
      <c r="G32" s="78">
        <f t="shared" si="0"/>
        <v>0</v>
      </c>
      <c r="H32" s="53">
        <v>0</v>
      </c>
      <c r="I32" s="53">
        <v>0</v>
      </c>
      <c r="J32" s="78">
        <f t="shared" si="1"/>
        <v>0</v>
      </c>
      <c r="K32" s="78">
        <f t="shared" si="2"/>
        <v>0</v>
      </c>
      <c r="L32" s="78">
        <f t="shared" si="3"/>
        <v>0</v>
      </c>
      <c r="M32" s="78">
        <f t="shared" ref="M32:M34" si="5">M31+K32-L32</f>
        <v>0</v>
      </c>
      <c r="N32" s="6"/>
    </row>
    <row r="33" spans="1:14">
      <c r="A33" s="28">
        <v>30</v>
      </c>
      <c r="B33" s="29">
        <v>45868</v>
      </c>
      <c r="C33" s="199"/>
      <c r="D33" s="6"/>
      <c r="E33" s="334">
        <v>0</v>
      </c>
      <c r="F33" s="53">
        <v>0</v>
      </c>
      <c r="G33" s="78">
        <f t="shared" si="0"/>
        <v>0</v>
      </c>
      <c r="H33" s="53">
        <v>0</v>
      </c>
      <c r="I33" s="53">
        <v>0</v>
      </c>
      <c r="J33" s="78">
        <f t="shared" si="1"/>
        <v>0</v>
      </c>
      <c r="K33" s="78">
        <f t="shared" si="2"/>
        <v>0</v>
      </c>
      <c r="L33" s="78">
        <f t="shared" si="3"/>
        <v>0</v>
      </c>
      <c r="M33" s="78">
        <f t="shared" si="5"/>
        <v>0</v>
      </c>
      <c r="N33" s="6"/>
    </row>
    <row r="34" spans="1:14">
      <c r="A34" s="28">
        <v>31</v>
      </c>
      <c r="B34" s="29">
        <v>45869</v>
      </c>
      <c r="C34" s="199"/>
      <c r="D34" s="6"/>
      <c r="E34" s="334">
        <v>0</v>
      </c>
      <c r="F34" s="53">
        <v>0</v>
      </c>
      <c r="G34" s="78">
        <f t="shared" si="0"/>
        <v>0</v>
      </c>
      <c r="H34" s="53">
        <v>14.04</v>
      </c>
      <c r="I34" s="53">
        <v>103.96</v>
      </c>
      <c r="J34" s="78">
        <f t="shared" si="1"/>
        <v>1459.5983999999999</v>
      </c>
      <c r="K34" s="78">
        <f t="shared" si="2"/>
        <v>1459.5983999999999</v>
      </c>
      <c r="L34" s="78">
        <f t="shared" si="3"/>
        <v>1459.5983999999999</v>
      </c>
      <c r="M34" s="78">
        <f t="shared" si="5"/>
        <v>0</v>
      </c>
      <c r="N34" s="6"/>
    </row>
    <row r="35" spans="1:14">
      <c r="A35" s="51"/>
      <c r="B35" s="51"/>
      <c r="C35" s="51"/>
      <c r="D35" s="51"/>
      <c r="E35" s="51">
        <f>SUM(E4:E34)</f>
        <v>1055.96</v>
      </c>
      <c r="F35" s="51"/>
      <c r="G35" s="51">
        <f>SUM(G4:G34)</f>
        <v>97063.843200000032</v>
      </c>
      <c r="H35" s="51">
        <f>SUM(H4:H34)</f>
        <v>142.22</v>
      </c>
      <c r="I35" s="51"/>
      <c r="J35" s="51">
        <f>SUM(J4:J34)</f>
        <v>14785.191200000001</v>
      </c>
      <c r="K35" s="51">
        <f>SUM(K4:K34)</f>
        <v>111849.03440000002</v>
      </c>
      <c r="L35" s="51">
        <f>SUM(L4:L34)</f>
        <v>111849.03440000002</v>
      </c>
      <c r="M35" s="51"/>
      <c r="N35" s="51"/>
    </row>
  </sheetData>
  <mergeCells count="2">
    <mergeCell ref="A1:N1"/>
    <mergeCell ref="A3:J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188-699F-49A6-A921-AB82083F0E2A}">
  <dimension ref="A1:O44"/>
  <sheetViews>
    <sheetView workbookViewId="0">
      <pane ySplit="2" topLeftCell="A3" activePane="bottomLeft" state="frozen"/>
      <selection pane="bottomLeft" activeCell="G42" sqref="G42"/>
    </sheetView>
  </sheetViews>
  <sheetFormatPr defaultRowHeight="15"/>
  <cols>
    <col min="1" max="1" width="5.140625" style="90" bestFit="1" customWidth="1"/>
    <col min="2" max="2" width="10.85546875" style="90" bestFit="1" customWidth="1"/>
    <col min="3" max="3" width="16" style="90" bestFit="1" customWidth="1"/>
    <col min="4" max="4" width="13.28515625" style="90" bestFit="1" customWidth="1"/>
    <col min="5" max="6" width="10.7109375" style="90" bestFit="1" customWidth="1"/>
    <col min="7" max="7" width="11.5703125" style="90" bestFit="1" customWidth="1"/>
    <col min="8" max="8" width="10.7109375" style="90" bestFit="1" customWidth="1"/>
    <col min="9" max="9" width="7.140625" style="90" bestFit="1" customWidth="1"/>
    <col min="10" max="10" width="9.7109375" style="90" bestFit="1" customWidth="1"/>
    <col min="11" max="11" width="13.5703125" style="90" bestFit="1" customWidth="1"/>
    <col min="12" max="12" width="13.5703125" style="307" bestFit="1" customWidth="1"/>
    <col min="13" max="13" width="15" style="90" customWidth="1"/>
    <col min="14" max="14" width="14.28515625" style="90" bestFit="1" customWidth="1"/>
    <col min="15" max="16384" width="9.140625" style="90"/>
  </cols>
  <sheetData>
    <row r="1" spans="1:15" ht="15.75">
      <c r="A1" s="414" t="s">
        <v>52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  <c r="O1" s="65"/>
    </row>
    <row r="2" spans="1:15">
      <c r="A2" s="111" t="s">
        <v>105</v>
      </c>
      <c r="B2" s="112" t="s">
        <v>106</v>
      </c>
      <c r="C2" s="112" t="s">
        <v>107</v>
      </c>
      <c r="D2" s="112" t="s">
        <v>121</v>
      </c>
      <c r="E2" s="112" t="s">
        <v>109</v>
      </c>
      <c r="F2" s="112" t="s">
        <v>110</v>
      </c>
      <c r="G2" s="112" t="s">
        <v>111</v>
      </c>
      <c r="H2" s="112" t="s">
        <v>112</v>
      </c>
      <c r="I2" s="112" t="s">
        <v>110</v>
      </c>
      <c r="J2" s="153" t="s">
        <v>111</v>
      </c>
      <c r="K2" s="113" t="s">
        <v>113</v>
      </c>
      <c r="L2" s="278" t="s">
        <v>114</v>
      </c>
      <c r="M2" s="159" t="s">
        <v>120</v>
      </c>
      <c r="N2" s="114" t="s">
        <v>116</v>
      </c>
      <c r="O2" s="71"/>
    </row>
    <row r="3" spans="1:15">
      <c r="A3" s="451" t="s">
        <v>117</v>
      </c>
      <c r="B3" s="452"/>
      <c r="C3" s="452"/>
      <c r="D3" s="452"/>
      <c r="E3" s="452"/>
      <c r="F3" s="452"/>
      <c r="G3" s="452"/>
      <c r="H3" s="452"/>
      <c r="I3" s="452"/>
      <c r="J3" s="453"/>
      <c r="K3" s="244">
        <v>59999.798199999976</v>
      </c>
      <c r="L3" s="244"/>
      <c r="M3" s="168">
        <f>+K3</f>
        <v>59999.798199999976</v>
      </c>
      <c r="N3" s="176"/>
      <c r="O3" s="8"/>
    </row>
    <row r="4" spans="1:15">
      <c r="A4" s="28">
        <v>1</v>
      </c>
      <c r="B4" s="29">
        <v>45839</v>
      </c>
      <c r="C4" s="27"/>
      <c r="D4" s="20"/>
      <c r="E4" s="56">
        <v>40</v>
      </c>
      <c r="F4" s="56">
        <v>91.77</v>
      </c>
      <c r="G4" s="8">
        <f>E4*F4</f>
        <v>3670.7999999999997</v>
      </c>
      <c r="H4" s="56">
        <v>0</v>
      </c>
      <c r="I4" s="56">
        <v>0</v>
      </c>
      <c r="J4" s="8">
        <f>H4*I4</f>
        <v>0</v>
      </c>
      <c r="K4" s="8">
        <f>G4+J4</f>
        <v>3670.7999999999997</v>
      </c>
      <c r="L4" s="305"/>
      <c r="M4" s="8">
        <f>M3+K4-L4</f>
        <v>63670.598199999979</v>
      </c>
      <c r="N4" s="8"/>
      <c r="O4" s="71"/>
    </row>
    <row r="5" spans="1:15">
      <c r="A5" s="28">
        <v>2</v>
      </c>
      <c r="B5" s="29">
        <v>45840</v>
      </c>
      <c r="C5" s="27"/>
      <c r="D5" s="20"/>
      <c r="E5" s="56">
        <v>0</v>
      </c>
      <c r="F5" s="56">
        <v>0</v>
      </c>
      <c r="G5" s="8">
        <f t="shared" ref="G5:G34" si="0">E5*F5</f>
        <v>0</v>
      </c>
      <c r="H5" s="56">
        <v>0</v>
      </c>
      <c r="I5" s="56">
        <v>0</v>
      </c>
      <c r="J5" s="8">
        <f t="shared" ref="J5:J34" si="1">H5*I5</f>
        <v>0</v>
      </c>
      <c r="K5" s="8">
        <f t="shared" ref="K5:K34" si="2">G5+J5</f>
        <v>0</v>
      </c>
      <c r="L5" s="305"/>
      <c r="M5" s="8">
        <f t="shared" ref="M5:M16" si="3">M4+K5-L5</f>
        <v>63670.598199999979</v>
      </c>
      <c r="N5" s="8"/>
      <c r="O5" s="71"/>
    </row>
    <row r="6" spans="1:15">
      <c r="A6" s="28">
        <v>3</v>
      </c>
      <c r="B6" s="29">
        <v>45841</v>
      </c>
      <c r="C6" s="27"/>
      <c r="D6" s="20"/>
      <c r="E6" s="56">
        <v>0</v>
      </c>
      <c r="F6" s="56">
        <v>0</v>
      </c>
      <c r="G6" s="8">
        <f t="shared" si="0"/>
        <v>0</v>
      </c>
      <c r="H6" s="56">
        <v>0</v>
      </c>
      <c r="I6" s="56">
        <v>0</v>
      </c>
      <c r="J6" s="8">
        <f t="shared" si="1"/>
        <v>0</v>
      </c>
      <c r="K6" s="8">
        <f t="shared" si="2"/>
        <v>0</v>
      </c>
      <c r="L6" s="305"/>
      <c r="M6" s="8">
        <f t="shared" si="3"/>
        <v>63670.598199999979</v>
      </c>
      <c r="N6" s="8"/>
      <c r="O6" s="71"/>
    </row>
    <row r="7" spans="1:15">
      <c r="A7" s="28">
        <v>4</v>
      </c>
      <c r="B7" s="29">
        <v>45842</v>
      </c>
      <c r="C7" s="27"/>
      <c r="D7" s="20"/>
      <c r="E7" s="56">
        <v>0</v>
      </c>
      <c r="F7" s="56">
        <v>0</v>
      </c>
      <c r="G7" s="8">
        <f t="shared" si="0"/>
        <v>0</v>
      </c>
      <c r="H7" s="56">
        <v>0</v>
      </c>
      <c r="I7" s="56">
        <v>0</v>
      </c>
      <c r="J7" s="8">
        <f t="shared" si="1"/>
        <v>0</v>
      </c>
      <c r="K7" s="8">
        <f t="shared" si="2"/>
        <v>0</v>
      </c>
      <c r="L7" s="305"/>
      <c r="M7" s="8">
        <f t="shared" si="3"/>
        <v>63670.598199999979</v>
      </c>
      <c r="N7" s="8"/>
      <c r="O7" s="71"/>
    </row>
    <row r="8" spans="1:15">
      <c r="A8" s="28">
        <v>5</v>
      </c>
      <c r="B8" s="29">
        <v>45843</v>
      </c>
      <c r="C8" s="27"/>
      <c r="D8" s="20"/>
      <c r="E8" s="56">
        <v>0</v>
      </c>
      <c r="F8" s="56">
        <v>0</v>
      </c>
      <c r="G8" s="8">
        <f t="shared" si="0"/>
        <v>0</v>
      </c>
      <c r="H8" s="56">
        <v>0</v>
      </c>
      <c r="I8" s="56">
        <v>0</v>
      </c>
      <c r="J8" s="8">
        <f t="shared" si="1"/>
        <v>0</v>
      </c>
      <c r="K8" s="8">
        <f t="shared" si="2"/>
        <v>0</v>
      </c>
      <c r="L8" s="305"/>
      <c r="M8" s="8">
        <f t="shared" si="3"/>
        <v>63670.598199999979</v>
      </c>
      <c r="N8" s="8"/>
      <c r="O8" s="71"/>
    </row>
    <row r="9" spans="1:15">
      <c r="A9" s="28">
        <v>6</v>
      </c>
      <c r="B9" s="29">
        <v>45844</v>
      </c>
      <c r="C9" s="27"/>
      <c r="D9" s="20"/>
      <c r="E9" s="56">
        <v>0</v>
      </c>
      <c r="F9" s="56">
        <v>0</v>
      </c>
      <c r="G9" s="8">
        <f t="shared" si="0"/>
        <v>0</v>
      </c>
      <c r="H9" s="56">
        <v>0</v>
      </c>
      <c r="I9" s="56">
        <v>0</v>
      </c>
      <c r="J9" s="8">
        <f t="shared" si="1"/>
        <v>0</v>
      </c>
      <c r="K9" s="8">
        <f t="shared" si="2"/>
        <v>0</v>
      </c>
      <c r="L9" s="305"/>
      <c r="M9" s="8">
        <f t="shared" si="3"/>
        <v>63670.598199999979</v>
      </c>
      <c r="N9" s="8"/>
      <c r="O9" s="71"/>
    </row>
    <row r="10" spans="1:15">
      <c r="A10" s="28">
        <v>7</v>
      </c>
      <c r="B10" s="29">
        <v>45845</v>
      </c>
      <c r="C10" s="27"/>
      <c r="D10" s="20"/>
      <c r="E10" s="56">
        <v>0</v>
      </c>
      <c r="F10" s="56">
        <v>0</v>
      </c>
      <c r="G10" s="8">
        <f t="shared" si="0"/>
        <v>0</v>
      </c>
      <c r="H10" s="56">
        <v>0</v>
      </c>
      <c r="I10" s="56">
        <v>0</v>
      </c>
      <c r="J10" s="8">
        <f t="shared" si="1"/>
        <v>0</v>
      </c>
      <c r="K10" s="8">
        <f t="shared" si="2"/>
        <v>0</v>
      </c>
      <c r="L10" s="305"/>
      <c r="M10" s="8">
        <f t="shared" si="3"/>
        <v>63670.598199999979</v>
      </c>
      <c r="N10" s="8"/>
      <c r="O10" s="71"/>
    </row>
    <row r="11" spans="1:15">
      <c r="A11" s="28">
        <v>8</v>
      </c>
      <c r="B11" s="29">
        <v>45846</v>
      </c>
      <c r="C11" s="27"/>
      <c r="D11" s="20"/>
      <c r="E11" s="56">
        <v>0</v>
      </c>
      <c r="F11" s="56">
        <v>0</v>
      </c>
      <c r="G11" s="8">
        <f t="shared" si="0"/>
        <v>0</v>
      </c>
      <c r="H11" s="56">
        <v>0</v>
      </c>
      <c r="I11" s="56">
        <v>0</v>
      </c>
      <c r="J11" s="8">
        <f t="shared" si="1"/>
        <v>0</v>
      </c>
      <c r="K11" s="8">
        <f t="shared" si="2"/>
        <v>0</v>
      </c>
      <c r="L11" s="305">
        <v>63670</v>
      </c>
      <c r="M11" s="8">
        <f t="shared" si="3"/>
        <v>0.59819999997853301</v>
      </c>
      <c r="N11" s="8"/>
      <c r="O11" s="71"/>
    </row>
    <row r="12" spans="1:15">
      <c r="A12" s="28">
        <v>9</v>
      </c>
      <c r="B12" s="29">
        <v>45847</v>
      </c>
      <c r="C12" s="27"/>
      <c r="D12" s="20"/>
      <c r="E12" s="56">
        <v>0</v>
      </c>
      <c r="F12" s="56">
        <v>0</v>
      </c>
      <c r="G12" s="8">
        <f t="shared" si="0"/>
        <v>0</v>
      </c>
      <c r="H12" s="56">
        <v>0</v>
      </c>
      <c r="I12" s="56">
        <v>0</v>
      </c>
      <c r="J12" s="8">
        <f t="shared" si="1"/>
        <v>0</v>
      </c>
      <c r="K12" s="8">
        <f t="shared" si="2"/>
        <v>0</v>
      </c>
      <c r="L12" s="305"/>
      <c r="M12" s="8">
        <f t="shared" si="3"/>
        <v>0.59819999997853301</v>
      </c>
      <c r="N12" s="8"/>
      <c r="O12" s="71"/>
    </row>
    <row r="13" spans="1:15">
      <c r="A13" s="28">
        <v>10</v>
      </c>
      <c r="B13" s="29">
        <v>45848</v>
      </c>
      <c r="C13" s="27"/>
      <c r="D13" s="20"/>
      <c r="E13" s="56">
        <v>52.62</v>
      </c>
      <c r="F13" s="56">
        <v>91.77</v>
      </c>
      <c r="G13" s="8">
        <f t="shared" si="0"/>
        <v>4828.9373999999998</v>
      </c>
      <c r="H13" s="56">
        <v>5</v>
      </c>
      <c r="I13" s="56">
        <v>103.73</v>
      </c>
      <c r="J13" s="8">
        <f t="shared" si="1"/>
        <v>518.65</v>
      </c>
      <c r="K13" s="8">
        <f t="shared" si="2"/>
        <v>5347.5873999999994</v>
      </c>
      <c r="L13" s="305"/>
      <c r="M13" s="8">
        <f t="shared" si="3"/>
        <v>5348.185599999978</v>
      </c>
      <c r="N13" s="21"/>
      <c r="O13" s="71"/>
    </row>
    <row r="14" spans="1:15">
      <c r="A14" s="28">
        <v>11</v>
      </c>
      <c r="B14" s="29">
        <v>45849</v>
      </c>
      <c r="C14" s="27"/>
      <c r="D14" s="20"/>
      <c r="E14" s="56">
        <v>105</v>
      </c>
      <c r="F14" s="56">
        <v>91.77</v>
      </c>
      <c r="G14" s="8">
        <f t="shared" si="0"/>
        <v>9635.85</v>
      </c>
      <c r="H14" s="56">
        <v>5</v>
      </c>
      <c r="I14" s="56">
        <v>103.73</v>
      </c>
      <c r="J14" s="8">
        <f t="shared" si="1"/>
        <v>518.65</v>
      </c>
      <c r="K14" s="8">
        <f t="shared" si="2"/>
        <v>10154.5</v>
      </c>
      <c r="L14" s="305"/>
      <c r="M14" s="8">
        <f t="shared" si="3"/>
        <v>15502.685599999979</v>
      </c>
      <c r="N14" s="21"/>
      <c r="O14" s="71"/>
    </row>
    <row r="15" spans="1:15">
      <c r="A15" s="28">
        <v>12</v>
      </c>
      <c r="B15" s="29">
        <v>45850</v>
      </c>
      <c r="C15" s="27"/>
      <c r="D15" s="20"/>
      <c r="E15" s="335">
        <v>50</v>
      </c>
      <c r="F15" s="56">
        <v>91.77</v>
      </c>
      <c r="G15" s="8">
        <f t="shared" si="0"/>
        <v>4588.5</v>
      </c>
      <c r="H15" s="56">
        <v>0</v>
      </c>
      <c r="I15" s="56">
        <v>0</v>
      </c>
      <c r="J15" s="8">
        <f t="shared" si="1"/>
        <v>0</v>
      </c>
      <c r="K15" s="8">
        <f t="shared" si="2"/>
        <v>4588.5</v>
      </c>
      <c r="L15" s="305"/>
      <c r="M15" s="8">
        <f t="shared" si="3"/>
        <v>20091.185599999979</v>
      </c>
      <c r="N15" s="21"/>
      <c r="O15" s="71"/>
    </row>
    <row r="16" spans="1:15">
      <c r="A16" s="28">
        <v>13</v>
      </c>
      <c r="B16" s="29">
        <v>45851</v>
      </c>
      <c r="C16" s="27"/>
      <c r="D16" s="20"/>
      <c r="E16" s="335">
        <v>120</v>
      </c>
      <c r="F16" s="56">
        <v>91.77</v>
      </c>
      <c r="G16" s="8">
        <f t="shared" si="0"/>
        <v>11012.4</v>
      </c>
      <c r="H16" s="56">
        <v>0</v>
      </c>
      <c r="I16" s="56">
        <v>0</v>
      </c>
      <c r="J16" s="8">
        <f t="shared" si="1"/>
        <v>0</v>
      </c>
      <c r="K16" s="8">
        <f t="shared" si="2"/>
        <v>11012.4</v>
      </c>
      <c r="L16" s="305"/>
      <c r="M16" s="8">
        <f>M15+K16-L16</f>
        <v>31103.585599999977</v>
      </c>
      <c r="N16" s="21"/>
      <c r="O16" s="71"/>
    </row>
    <row r="17" spans="1:15">
      <c r="A17" s="28">
        <v>14</v>
      </c>
      <c r="B17" s="29">
        <v>45852</v>
      </c>
      <c r="C17" s="27"/>
      <c r="D17" s="20"/>
      <c r="E17" s="56">
        <v>0</v>
      </c>
      <c r="F17" s="56">
        <v>0</v>
      </c>
      <c r="G17" s="8">
        <f t="shared" si="0"/>
        <v>0</v>
      </c>
      <c r="H17" s="56">
        <v>0</v>
      </c>
      <c r="I17" s="56">
        <v>0</v>
      </c>
      <c r="J17" s="8">
        <f t="shared" si="1"/>
        <v>0</v>
      </c>
      <c r="K17" s="8">
        <f t="shared" si="2"/>
        <v>0</v>
      </c>
      <c r="L17" s="305"/>
      <c r="M17" s="8">
        <f>M16+K17-L17</f>
        <v>31103.585599999977</v>
      </c>
      <c r="N17" s="21"/>
      <c r="O17" s="71"/>
    </row>
    <row r="18" spans="1:15">
      <c r="A18" s="28">
        <v>15</v>
      </c>
      <c r="B18" s="29">
        <v>45853</v>
      </c>
      <c r="C18" s="27"/>
      <c r="D18" s="20"/>
      <c r="E18" s="56">
        <v>0</v>
      </c>
      <c r="F18" s="56">
        <v>0</v>
      </c>
      <c r="G18" s="8">
        <f t="shared" si="0"/>
        <v>0</v>
      </c>
      <c r="H18" s="56">
        <v>0</v>
      </c>
      <c r="I18" s="56">
        <v>0</v>
      </c>
      <c r="J18" s="8">
        <f t="shared" si="1"/>
        <v>0</v>
      </c>
      <c r="K18" s="8">
        <f t="shared" si="2"/>
        <v>0</v>
      </c>
      <c r="L18" s="305"/>
      <c r="M18" s="8">
        <f>M17+K18-L18</f>
        <v>31103.585599999977</v>
      </c>
      <c r="N18" s="21"/>
      <c r="O18" s="71"/>
    </row>
    <row r="19" spans="1:15">
      <c r="A19" s="28">
        <v>16</v>
      </c>
      <c r="B19" s="29">
        <v>45854</v>
      </c>
      <c r="C19" s="27"/>
      <c r="D19" s="20"/>
      <c r="E19" s="56">
        <v>110</v>
      </c>
      <c r="F19" s="56">
        <v>91.77</v>
      </c>
      <c r="G19" s="8">
        <f t="shared" si="0"/>
        <v>10094.699999999999</v>
      </c>
      <c r="H19" s="56">
        <v>6</v>
      </c>
      <c r="I19" s="56">
        <v>103.73</v>
      </c>
      <c r="J19" s="8">
        <f t="shared" si="1"/>
        <v>622.38</v>
      </c>
      <c r="K19" s="8">
        <f t="shared" si="2"/>
        <v>10717.079999999998</v>
      </c>
      <c r="L19" s="305"/>
      <c r="M19" s="8">
        <f>M18+K19-L19</f>
        <v>41820.665599999978</v>
      </c>
      <c r="N19" s="21"/>
      <c r="O19" s="71"/>
    </row>
    <row r="20" spans="1:15">
      <c r="A20" s="28">
        <v>17</v>
      </c>
      <c r="B20" s="29">
        <v>45855</v>
      </c>
      <c r="C20" s="27"/>
      <c r="D20" s="20"/>
      <c r="E20" s="56">
        <v>75</v>
      </c>
      <c r="F20" s="56">
        <v>91.77</v>
      </c>
      <c r="G20" s="8">
        <f t="shared" si="0"/>
        <v>6882.75</v>
      </c>
      <c r="H20" s="56">
        <v>0</v>
      </c>
      <c r="I20" s="56">
        <v>0</v>
      </c>
      <c r="J20" s="8">
        <f t="shared" si="1"/>
        <v>0</v>
      </c>
      <c r="K20" s="8">
        <f t="shared" si="2"/>
        <v>6882.75</v>
      </c>
      <c r="L20" s="305"/>
      <c r="M20" s="8">
        <f>M19+K20-L20</f>
        <v>48703.415599999978</v>
      </c>
      <c r="N20" s="21"/>
      <c r="O20" s="71"/>
    </row>
    <row r="21" spans="1:15">
      <c r="A21" s="28">
        <v>18</v>
      </c>
      <c r="B21" s="29">
        <v>45856</v>
      </c>
      <c r="C21" s="27"/>
      <c r="D21" s="20"/>
      <c r="E21" s="56">
        <v>0</v>
      </c>
      <c r="F21" s="56">
        <v>0</v>
      </c>
      <c r="G21" s="8">
        <f t="shared" si="0"/>
        <v>0</v>
      </c>
      <c r="H21" s="56">
        <v>6</v>
      </c>
      <c r="I21" s="56">
        <v>103.73</v>
      </c>
      <c r="J21" s="8">
        <f t="shared" si="1"/>
        <v>622.38</v>
      </c>
      <c r="K21" s="8">
        <f t="shared" si="2"/>
        <v>622.38</v>
      </c>
      <c r="L21" s="305"/>
      <c r="M21" s="8">
        <f>M20+K21-L21</f>
        <v>49325.795599999976</v>
      </c>
      <c r="N21" s="21"/>
      <c r="O21" s="71"/>
    </row>
    <row r="22" spans="1:15">
      <c r="A22" s="28">
        <v>19</v>
      </c>
      <c r="B22" s="29">
        <v>45857</v>
      </c>
      <c r="C22" s="27"/>
      <c r="D22" s="20"/>
      <c r="E22" s="56">
        <v>0</v>
      </c>
      <c r="F22" s="56">
        <v>0</v>
      </c>
      <c r="G22" s="8">
        <f t="shared" si="0"/>
        <v>0</v>
      </c>
      <c r="H22" s="56">
        <v>0</v>
      </c>
      <c r="I22" s="56">
        <v>0</v>
      </c>
      <c r="J22" s="8">
        <f t="shared" si="1"/>
        <v>0</v>
      </c>
      <c r="K22" s="8">
        <f t="shared" si="2"/>
        <v>0</v>
      </c>
      <c r="L22" s="305"/>
      <c r="M22" s="8">
        <f>M21+K22-L22</f>
        <v>49325.795599999976</v>
      </c>
      <c r="N22" s="21"/>
      <c r="O22" s="71"/>
    </row>
    <row r="23" spans="1:15">
      <c r="A23" s="28">
        <v>20</v>
      </c>
      <c r="B23" s="29">
        <v>45858</v>
      </c>
      <c r="C23" s="27"/>
      <c r="D23" s="20"/>
      <c r="E23" s="56">
        <v>20</v>
      </c>
      <c r="F23" s="56">
        <v>91.77</v>
      </c>
      <c r="G23" s="8">
        <f t="shared" si="0"/>
        <v>1835.3999999999999</v>
      </c>
      <c r="H23" s="56">
        <v>0</v>
      </c>
      <c r="I23" s="56">
        <v>0</v>
      </c>
      <c r="J23" s="8">
        <f t="shared" si="1"/>
        <v>0</v>
      </c>
      <c r="K23" s="8">
        <f t="shared" si="2"/>
        <v>1835.3999999999999</v>
      </c>
      <c r="L23" s="305"/>
      <c r="M23" s="8">
        <f>M22+K23-L23</f>
        <v>51161.195599999977</v>
      </c>
      <c r="N23" s="21"/>
      <c r="O23" s="71"/>
    </row>
    <row r="24" spans="1:15">
      <c r="A24" s="28">
        <v>21</v>
      </c>
      <c r="B24" s="29">
        <v>45859</v>
      </c>
      <c r="C24" s="27"/>
      <c r="D24" s="20"/>
      <c r="E24" s="56">
        <v>40</v>
      </c>
      <c r="F24" s="56">
        <v>91.77</v>
      </c>
      <c r="G24" s="8">
        <f t="shared" si="0"/>
        <v>3670.7999999999997</v>
      </c>
      <c r="H24" s="56">
        <v>6</v>
      </c>
      <c r="I24" s="56">
        <v>103.73</v>
      </c>
      <c r="J24" s="8">
        <f t="shared" si="1"/>
        <v>622.38</v>
      </c>
      <c r="K24" s="8">
        <f t="shared" si="2"/>
        <v>4293.1799999999994</v>
      </c>
      <c r="L24" s="305"/>
      <c r="M24" s="8">
        <f>M23+K24-L24</f>
        <v>55454.375599999978</v>
      </c>
      <c r="N24" s="21"/>
      <c r="O24" s="71"/>
    </row>
    <row r="25" spans="1:15">
      <c r="A25" s="28">
        <v>22</v>
      </c>
      <c r="B25" s="29">
        <v>45860</v>
      </c>
      <c r="C25" s="27"/>
      <c r="D25" s="20"/>
      <c r="E25" s="56">
        <v>0</v>
      </c>
      <c r="F25" s="56">
        <v>0</v>
      </c>
      <c r="G25" s="8">
        <f t="shared" si="0"/>
        <v>0</v>
      </c>
      <c r="H25" s="56">
        <v>0</v>
      </c>
      <c r="I25" s="56">
        <v>0</v>
      </c>
      <c r="J25" s="8">
        <f t="shared" si="1"/>
        <v>0</v>
      </c>
      <c r="K25" s="8">
        <f t="shared" si="2"/>
        <v>0</v>
      </c>
      <c r="L25" s="305"/>
      <c r="M25" s="8">
        <f t="shared" ref="M25:M34" si="4">M24+K25-L25</f>
        <v>55454.375599999978</v>
      </c>
      <c r="N25" s="21"/>
      <c r="O25" s="71"/>
    </row>
    <row r="26" spans="1:15">
      <c r="A26" s="28">
        <v>23</v>
      </c>
      <c r="B26" s="29">
        <v>45861</v>
      </c>
      <c r="C26" s="27"/>
      <c r="D26" s="20"/>
      <c r="E26" s="56">
        <v>40</v>
      </c>
      <c r="F26" s="56">
        <v>91.77</v>
      </c>
      <c r="G26" s="8">
        <f t="shared" si="0"/>
        <v>3670.7999999999997</v>
      </c>
      <c r="H26" s="56">
        <v>0</v>
      </c>
      <c r="I26" s="56">
        <v>0</v>
      </c>
      <c r="J26" s="8">
        <f t="shared" si="1"/>
        <v>0</v>
      </c>
      <c r="K26" s="8">
        <f t="shared" si="2"/>
        <v>3670.7999999999997</v>
      </c>
      <c r="L26" s="305">
        <v>55453</v>
      </c>
      <c r="M26" s="8">
        <f t="shared" si="4"/>
        <v>3672.1755999999805</v>
      </c>
      <c r="N26" s="21"/>
      <c r="O26" s="71"/>
    </row>
    <row r="27" spans="1:15">
      <c r="A27" s="28">
        <v>24</v>
      </c>
      <c r="B27" s="29">
        <v>45862</v>
      </c>
      <c r="C27" s="27"/>
      <c r="D27" s="20"/>
      <c r="E27" s="56">
        <v>30</v>
      </c>
      <c r="F27" s="56">
        <v>91.77</v>
      </c>
      <c r="G27" s="8">
        <f t="shared" si="0"/>
        <v>2753.1</v>
      </c>
      <c r="H27" s="56">
        <v>0</v>
      </c>
      <c r="I27" s="56">
        <v>0</v>
      </c>
      <c r="J27" s="8">
        <f t="shared" si="1"/>
        <v>0</v>
      </c>
      <c r="K27" s="8">
        <f t="shared" si="2"/>
        <v>2753.1</v>
      </c>
      <c r="L27" s="305"/>
      <c r="M27" s="8">
        <f t="shared" si="4"/>
        <v>6425.2755999999808</v>
      </c>
      <c r="N27" s="21"/>
      <c r="O27" s="71"/>
    </row>
    <row r="28" spans="1:15">
      <c r="A28" s="28">
        <v>25</v>
      </c>
      <c r="B28" s="29">
        <v>45863</v>
      </c>
      <c r="C28" s="27"/>
      <c r="D28" s="20"/>
      <c r="E28" s="56">
        <v>70</v>
      </c>
      <c r="F28" s="56">
        <v>91.77</v>
      </c>
      <c r="G28" s="8">
        <f t="shared" si="0"/>
        <v>6423.9</v>
      </c>
      <c r="H28" s="56">
        <v>0</v>
      </c>
      <c r="I28" s="56">
        <v>0</v>
      </c>
      <c r="J28" s="8">
        <f t="shared" si="1"/>
        <v>0</v>
      </c>
      <c r="K28" s="8">
        <f t="shared" si="2"/>
        <v>6423.9</v>
      </c>
      <c r="L28" s="305"/>
      <c r="M28" s="8">
        <f t="shared" si="4"/>
        <v>12849.17559999998</v>
      </c>
      <c r="N28" s="21"/>
      <c r="O28" s="71"/>
    </row>
    <row r="29" spans="1:15">
      <c r="A29" s="28">
        <v>26</v>
      </c>
      <c r="B29" s="29">
        <v>45864</v>
      </c>
      <c r="C29" s="27"/>
      <c r="D29" s="20"/>
      <c r="E29" s="56">
        <v>30</v>
      </c>
      <c r="F29" s="56">
        <v>91.77</v>
      </c>
      <c r="G29" s="8">
        <f t="shared" si="0"/>
        <v>2753.1</v>
      </c>
      <c r="H29" s="56">
        <v>12</v>
      </c>
      <c r="I29" s="56">
        <v>103.73</v>
      </c>
      <c r="J29" s="8">
        <f t="shared" si="1"/>
        <v>1244.76</v>
      </c>
      <c r="K29" s="8">
        <f t="shared" si="2"/>
        <v>3997.8599999999997</v>
      </c>
      <c r="L29" s="305"/>
      <c r="M29" s="8">
        <f t="shared" si="4"/>
        <v>16847.035599999981</v>
      </c>
      <c r="N29" s="21"/>
      <c r="O29" s="71"/>
    </row>
    <row r="30" spans="1:15">
      <c r="A30" s="28">
        <v>27</v>
      </c>
      <c r="B30" s="29">
        <v>45865</v>
      </c>
      <c r="C30" s="27"/>
      <c r="D30" s="20"/>
      <c r="E30" s="56">
        <v>20</v>
      </c>
      <c r="F30" s="56">
        <v>91.77</v>
      </c>
      <c r="G30" s="8">
        <f t="shared" si="0"/>
        <v>1835.3999999999999</v>
      </c>
      <c r="H30" s="56">
        <v>0</v>
      </c>
      <c r="I30" s="56">
        <v>0</v>
      </c>
      <c r="J30" s="8">
        <f t="shared" si="1"/>
        <v>0</v>
      </c>
      <c r="K30" s="8">
        <f t="shared" si="2"/>
        <v>1835.3999999999999</v>
      </c>
      <c r="L30" s="305"/>
      <c r="M30" s="8">
        <f t="shared" si="4"/>
        <v>18682.435599999983</v>
      </c>
      <c r="N30" s="21"/>
      <c r="O30" s="71"/>
    </row>
    <row r="31" spans="1:15">
      <c r="A31" s="261">
        <v>28</v>
      </c>
      <c r="B31" s="29">
        <v>45866</v>
      </c>
      <c r="C31" s="27"/>
      <c r="D31" s="20"/>
      <c r="E31" s="56">
        <v>15</v>
      </c>
      <c r="F31" s="56">
        <v>91.77</v>
      </c>
      <c r="G31" s="8">
        <f t="shared" si="0"/>
        <v>1376.55</v>
      </c>
      <c r="H31" s="56">
        <v>0</v>
      </c>
      <c r="I31" s="56">
        <v>0</v>
      </c>
      <c r="J31" s="8">
        <f t="shared" si="1"/>
        <v>0</v>
      </c>
      <c r="K31" s="8">
        <f t="shared" si="2"/>
        <v>1376.55</v>
      </c>
      <c r="L31" s="305"/>
      <c r="M31" s="8">
        <f t="shared" si="4"/>
        <v>20058.985599999982</v>
      </c>
      <c r="N31" s="21"/>
      <c r="O31" s="71"/>
    </row>
    <row r="32" spans="1:15">
      <c r="A32" s="28">
        <v>29</v>
      </c>
      <c r="B32" s="29">
        <v>45867</v>
      </c>
      <c r="C32" s="27"/>
      <c r="D32" s="20"/>
      <c r="E32" s="56">
        <v>0</v>
      </c>
      <c r="F32" s="56">
        <v>0</v>
      </c>
      <c r="G32" s="8">
        <f t="shared" si="0"/>
        <v>0</v>
      </c>
      <c r="H32" s="56">
        <v>0</v>
      </c>
      <c r="I32" s="56">
        <v>0</v>
      </c>
      <c r="J32" s="8">
        <f t="shared" si="1"/>
        <v>0</v>
      </c>
      <c r="K32" s="8">
        <f t="shared" si="2"/>
        <v>0</v>
      </c>
      <c r="L32" s="305"/>
      <c r="M32" s="8">
        <f t="shared" si="4"/>
        <v>20058.985599999982</v>
      </c>
      <c r="N32" s="21"/>
      <c r="O32" s="71"/>
    </row>
    <row r="33" spans="1:15">
      <c r="A33" s="28">
        <v>30</v>
      </c>
      <c r="B33" s="29">
        <v>45868</v>
      </c>
      <c r="C33" s="27"/>
      <c r="D33" s="20"/>
      <c r="E33" s="56">
        <v>35</v>
      </c>
      <c r="F33" s="56">
        <v>91.77</v>
      </c>
      <c r="G33" s="8">
        <f t="shared" si="0"/>
        <v>3211.95</v>
      </c>
      <c r="H33" s="56">
        <v>0</v>
      </c>
      <c r="I33" s="56">
        <v>0</v>
      </c>
      <c r="J33" s="8">
        <f t="shared" si="1"/>
        <v>0</v>
      </c>
      <c r="K33" s="8">
        <f t="shared" si="2"/>
        <v>3211.95</v>
      </c>
      <c r="L33" s="305"/>
      <c r="M33" s="8">
        <f t="shared" si="4"/>
        <v>23270.935599999983</v>
      </c>
      <c r="N33" s="21"/>
      <c r="O33" s="71"/>
    </row>
    <row r="34" spans="1:15">
      <c r="A34" s="28">
        <v>31</v>
      </c>
      <c r="B34" s="29">
        <v>45869</v>
      </c>
      <c r="C34" s="27"/>
      <c r="D34" s="20"/>
      <c r="E34" s="56">
        <v>70</v>
      </c>
      <c r="F34" s="56">
        <v>91.77</v>
      </c>
      <c r="G34" s="8">
        <f t="shared" si="0"/>
        <v>6423.9</v>
      </c>
      <c r="H34" s="56">
        <v>0</v>
      </c>
      <c r="I34" s="56">
        <v>0</v>
      </c>
      <c r="J34" s="8">
        <f t="shared" si="1"/>
        <v>0</v>
      </c>
      <c r="K34" s="8">
        <f t="shared" si="2"/>
        <v>6423.9</v>
      </c>
      <c r="L34" s="305"/>
      <c r="M34" s="8">
        <f t="shared" si="4"/>
        <v>29694.835599999984</v>
      </c>
      <c r="N34" s="21"/>
      <c r="O34" s="71"/>
    </row>
    <row r="35" spans="1:15">
      <c r="A35" s="180"/>
      <c r="B35" s="180"/>
      <c r="C35" s="180"/>
      <c r="D35" s="180"/>
      <c r="E35" s="181">
        <f>SUM(E4:E34)</f>
        <v>922.62</v>
      </c>
      <c r="F35" s="181"/>
      <c r="G35" s="181">
        <f>SUM(G4:G34)</f>
        <v>84668.837399999989</v>
      </c>
      <c r="H35" s="181">
        <f>SUM(H4:H34)</f>
        <v>40</v>
      </c>
      <c r="I35" s="181"/>
      <c r="J35" s="181">
        <f>SUM(J4:J34)</f>
        <v>4149.2</v>
      </c>
      <c r="K35" s="181">
        <f>SUM(K4:K34)</f>
        <v>88818.037399999987</v>
      </c>
      <c r="L35" s="181">
        <f>SUM(L4:L34)</f>
        <v>119123</v>
      </c>
      <c r="M35" s="181"/>
      <c r="N35" s="181"/>
      <c r="O35" s="71"/>
    </row>
    <row r="36" spans="1:15">
      <c r="A36" s="86"/>
      <c r="B36" s="86"/>
      <c r="C36" s="86"/>
      <c r="D36" s="86"/>
      <c r="E36" s="88"/>
      <c r="F36" s="88"/>
      <c r="G36" s="88"/>
      <c r="H36" s="88"/>
      <c r="I36" s="88"/>
      <c r="J36" s="88"/>
      <c r="K36" s="88"/>
      <c r="L36" s="306"/>
      <c r="M36" s="88"/>
      <c r="N36" s="88"/>
      <c r="O36" s="71"/>
    </row>
    <row r="37" spans="1:15">
      <c r="E37" s="319"/>
      <c r="F37" s="319"/>
      <c r="G37" s="319"/>
      <c r="H37" s="319"/>
      <c r="I37" s="319"/>
      <c r="J37" s="319"/>
      <c r="K37" s="319"/>
      <c r="L37" s="319"/>
      <c r="O37" s="71"/>
    </row>
    <row r="38" spans="1:15">
      <c r="O38" s="71"/>
    </row>
    <row r="39" spans="1:15">
      <c r="O39" s="71"/>
    </row>
    <row r="40" spans="1:15">
      <c r="O40" s="71"/>
    </row>
    <row r="41" spans="1:15">
      <c r="O41" s="71"/>
    </row>
    <row r="42" spans="1:15">
      <c r="A42" s="71"/>
      <c r="B42" s="71"/>
      <c r="C42" s="71"/>
      <c r="D42" s="71"/>
      <c r="E42" s="71"/>
      <c r="F42" s="71"/>
      <c r="G42" s="94"/>
      <c r="H42" s="71"/>
      <c r="I42" s="71"/>
      <c r="J42" s="71"/>
      <c r="K42" s="71"/>
      <c r="L42" s="86"/>
      <c r="M42" s="71"/>
      <c r="N42" s="71"/>
      <c r="O42" s="88"/>
    </row>
    <row r="43" spans="1:15">
      <c r="A43" s="71"/>
      <c r="B43" s="450"/>
      <c r="C43" s="450"/>
      <c r="D43" s="450"/>
      <c r="E43" s="450"/>
      <c r="F43" s="71"/>
      <c r="G43" s="71"/>
      <c r="H43" s="71"/>
      <c r="I43" s="450"/>
      <c r="J43" s="450"/>
      <c r="K43" s="450"/>
      <c r="L43" s="450"/>
      <c r="M43" s="450"/>
      <c r="N43" s="450"/>
      <c r="O43" s="88"/>
    </row>
    <row r="44" spans="1:15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86"/>
      <c r="M44" s="71"/>
      <c r="N44" s="71"/>
      <c r="O44" s="88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71A1-D77D-459B-9B4B-82B2DEA70DBC}">
  <dimension ref="A1:Q44"/>
  <sheetViews>
    <sheetView workbookViewId="0">
      <pane ySplit="2" topLeftCell="A23" activePane="bottomLeft" state="frozen"/>
      <selection pane="bottomLeft" activeCell="M34" sqref="M34"/>
    </sheetView>
  </sheetViews>
  <sheetFormatPr defaultRowHeight="15"/>
  <cols>
    <col min="1" max="1" width="5.140625" style="81" bestFit="1" customWidth="1"/>
    <col min="2" max="2" width="10.85546875" style="81" bestFit="1" customWidth="1"/>
    <col min="3" max="3" width="8" style="81" bestFit="1" customWidth="1"/>
    <col min="4" max="4" width="16" style="81" bestFit="1" customWidth="1"/>
    <col min="5" max="5" width="10.7109375" style="81" bestFit="1" customWidth="1"/>
    <col min="6" max="6" width="14.5703125" style="81" bestFit="1" customWidth="1"/>
    <col min="7" max="7" width="11.85546875" style="81" bestFit="1" customWidth="1"/>
    <col min="8" max="8" width="10.7109375" style="81" bestFit="1" customWidth="1"/>
    <col min="9" max="9" width="7.140625" style="81" bestFit="1" customWidth="1"/>
    <col min="10" max="10" width="10.85546875" style="81" bestFit="1" customWidth="1"/>
    <col min="11" max="11" width="14.5703125" style="81" bestFit="1" customWidth="1"/>
    <col min="12" max="12" width="13.5703125" style="81" bestFit="1" customWidth="1"/>
    <col min="13" max="13" width="13.5703125" style="81" customWidth="1"/>
    <col min="14" max="14" width="14.140625" style="81" bestFit="1" customWidth="1"/>
    <col min="15" max="15" width="11.28515625" style="81" customWidth="1"/>
    <col min="16" max="16" width="9.140625" style="81" customWidth="1"/>
    <col min="17" max="16384" width="9.140625" style="81"/>
  </cols>
  <sheetData>
    <row r="1" spans="1:17" ht="15.75">
      <c r="A1" s="426" t="s">
        <v>54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95"/>
    </row>
    <row r="2" spans="1:17">
      <c r="A2" s="76" t="s">
        <v>105</v>
      </c>
      <c r="B2" s="96" t="s">
        <v>106</v>
      </c>
      <c r="C2" s="96" t="s">
        <v>107</v>
      </c>
      <c r="D2" s="96" t="s">
        <v>108</v>
      </c>
      <c r="E2" s="96" t="s">
        <v>109</v>
      </c>
      <c r="F2" s="96" t="s">
        <v>110</v>
      </c>
      <c r="G2" s="96" t="s">
        <v>111</v>
      </c>
      <c r="H2" s="96" t="s">
        <v>112</v>
      </c>
      <c r="I2" s="96" t="s">
        <v>110</v>
      </c>
      <c r="J2" s="97" t="s">
        <v>111</v>
      </c>
      <c r="K2" s="76" t="s">
        <v>113</v>
      </c>
      <c r="L2" s="98" t="s">
        <v>114</v>
      </c>
      <c r="M2" s="98" t="s">
        <v>120</v>
      </c>
      <c r="N2" s="96" t="s">
        <v>116</v>
      </c>
      <c r="O2" s="71"/>
    </row>
    <row r="3" spans="1:17">
      <c r="A3" s="420" t="s">
        <v>117</v>
      </c>
      <c r="B3" s="421"/>
      <c r="C3" s="421"/>
      <c r="D3" s="421"/>
      <c r="E3" s="421"/>
      <c r="F3" s="421"/>
      <c r="G3" s="421"/>
      <c r="H3" s="421"/>
      <c r="I3" s="421"/>
      <c r="J3" s="429"/>
      <c r="K3" s="183">
        <v>0</v>
      </c>
      <c r="L3" s="79"/>
      <c r="M3" s="185">
        <v>236571.2407000002</v>
      </c>
      <c r="N3" s="79"/>
      <c r="O3" s="71"/>
    </row>
    <row r="4" spans="1:17">
      <c r="A4" s="28">
        <v>1</v>
      </c>
      <c r="B4" s="29">
        <v>45839</v>
      </c>
      <c r="C4" s="79"/>
      <c r="D4" s="179"/>
      <c r="E4" s="184">
        <v>0</v>
      </c>
      <c r="F4" s="184">
        <v>0</v>
      </c>
      <c r="G4" s="8">
        <f>E4*F4</f>
        <v>0</v>
      </c>
      <c r="H4" s="184">
        <v>0</v>
      </c>
      <c r="I4" s="184">
        <v>0</v>
      </c>
      <c r="J4" s="8">
        <f>H4*I4</f>
        <v>0</v>
      </c>
      <c r="K4" s="8">
        <f>G4+J4</f>
        <v>0</v>
      </c>
      <c r="L4" s="185">
        <v>0</v>
      </c>
      <c r="M4" s="185">
        <v>236571.2407000002</v>
      </c>
      <c r="N4" s="47"/>
    </row>
    <row r="5" spans="1:17">
      <c r="A5" s="28">
        <v>2</v>
      </c>
      <c r="B5" s="29">
        <v>45840</v>
      </c>
      <c r="C5" s="79"/>
      <c r="D5" s="179"/>
      <c r="E5" s="184">
        <v>255</v>
      </c>
      <c r="F5" s="184">
        <v>91.93</v>
      </c>
      <c r="G5" s="8">
        <f t="shared" ref="G5:G33" si="0">E5*F5</f>
        <v>23442.15</v>
      </c>
      <c r="H5" s="184">
        <v>15</v>
      </c>
      <c r="I5" s="184">
        <v>103.89</v>
      </c>
      <c r="J5" s="8">
        <f t="shared" ref="J5:J33" si="1">H5*I5</f>
        <v>1558.35</v>
      </c>
      <c r="K5" s="8">
        <f t="shared" ref="K5:K33" si="2">G5+J5</f>
        <v>25000.5</v>
      </c>
      <c r="L5" s="185">
        <v>0</v>
      </c>
      <c r="M5" s="185">
        <f>M4+K5-L5</f>
        <v>261571.7407000002</v>
      </c>
      <c r="N5" s="47"/>
    </row>
    <row r="6" spans="1:17">
      <c r="A6" s="28">
        <v>3</v>
      </c>
      <c r="B6" s="29">
        <v>45841</v>
      </c>
      <c r="C6" s="79"/>
      <c r="D6" s="179"/>
      <c r="E6" s="184">
        <v>40.74</v>
      </c>
      <c r="F6" s="184">
        <v>91.93</v>
      </c>
      <c r="G6" s="8">
        <f t="shared" si="0"/>
        <v>3745.2282000000005</v>
      </c>
      <c r="H6" s="184">
        <v>0</v>
      </c>
      <c r="I6" s="184">
        <v>0</v>
      </c>
      <c r="J6" s="8">
        <f t="shared" si="1"/>
        <v>0</v>
      </c>
      <c r="K6" s="8">
        <f t="shared" si="2"/>
        <v>3745.2282000000005</v>
      </c>
      <c r="L6" s="185">
        <v>0</v>
      </c>
      <c r="M6" s="185">
        <f>M5+K6-L6</f>
        <v>265316.96890000021</v>
      </c>
      <c r="N6" s="47"/>
    </row>
    <row r="7" spans="1:17">
      <c r="A7" s="28">
        <v>4</v>
      </c>
      <c r="B7" s="29">
        <v>45842</v>
      </c>
      <c r="C7" s="79"/>
      <c r="D7" s="179"/>
      <c r="E7" s="184">
        <v>65</v>
      </c>
      <c r="F7" s="184">
        <v>91.93</v>
      </c>
      <c r="G7" s="8">
        <f t="shared" si="0"/>
        <v>5975.4500000000007</v>
      </c>
      <c r="H7" s="184">
        <v>0</v>
      </c>
      <c r="I7" s="184">
        <v>0</v>
      </c>
      <c r="J7" s="8">
        <f t="shared" si="1"/>
        <v>0</v>
      </c>
      <c r="K7" s="8">
        <f t="shared" si="2"/>
        <v>5975.4500000000007</v>
      </c>
      <c r="L7" s="185">
        <v>0</v>
      </c>
      <c r="M7" s="185">
        <f>M6+K7-L7</f>
        <v>271292.41890000022</v>
      </c>
      <c r="N7" s="47"/>
    </row>
    <row r="8" spans="1:17">
      <c r="A8" s="28">
        <v>5</v>
      </c>
      <c r="B8" s="29">
        <v>45843</v>
      </c>
      <c r="C8" s="79"/>
      <c r="D8" s="179"/>
      <c r="E8" s="184">
        <v>339.94</v>
      </c>
      <c r="F8" s="184">
        <v>91.93</v>
      </c>
      <c r="G8" s="8">
        <f t="shared" si="0"/>
        <v>31250.684200000003</v>
      </c>
      <c r="H8" s="184">
        <v>20</v>
      </c>
      <c r="I8" s="184">
        <v>103.89</v>
      </c>
      <c r="J8" s="8">
        <f t="shared" si="1"/>
        <v>2077.8000000000002</v>
      </c>
      <c r="K8" s="8">
        <f t="shared" si="2"/>
        <v>33328.484200000006</v>
      </c>
      <c r="L8" s="185">
        <v>0</v>
      </c>
      <c r="M8" s="185">
        <f>M7+K8-L8</f>
        <v>304620.90310000023</v>
      </c>
      <c r="N8" s="47"/>
    </row>
    <row r="9" spans="1:17">
      <c r="A9" s="28">
        <v>6</v>
      </c>
      <c r="B9" s="29">
        <v>45844</v>
      </c>
      <c r="C9" s="79"/>
      <c r="D9" s="179"/>
      <c r="E9" s="184">
        <v>30</v>
      </c>
      <c r="F9" s="184">
        <v>91.93</v>
      </c>
      <c r="G9" s="8">
        <f t="shared" si="0"/>
        <v>2757.9</v>
      </c>
      <c r="H9" s="184">
        <v>0</v>
      </c>
      <c r="I9" s="184">
        <v>0</v>
      </c>
      <c r="J9" s="8">
        <f t="shared" si="1"/>
        <v>0</v>
      </c>
      <c r="K9" s="8">
        <f t="shared" si="2"/>
        <v>2757.9</v>
      </c>
      <c r="L9" s="185">
        <v>0</v>
      </c>
      <c r="M9" s="185">
        <f>M8+K9-L9</f>
        <v>307378.80310000025</v>
      </c>
      <c r="N9" s="47"/>
    </row>
    <row r="10" spans="1:17">
      <c r="A10" s="28">
        <v>7</v>
      </c>
      <c r="B10" s="29">
        <v>45845</v>
      </c>
      <c r="C10" s="79"/>
      <c r="D10" s="179"/>
      <c r="E10" s="184">
        <v>30</v>
      </c>
      <c r="F10" s="184">
        <v>91.93</v>
      </c>
      <c r="G10" s="8">
        <f t="shared" si="0"/>
        <v>2757.9</v>
      </c>
      <c r="H10" s="184">
        <v>0</v>
      </c>
      <c r="I10" s="184">
        <v>0</v>
      </c>
      <c r="J10" s="8">
        <f t="shared" si="1"/>
        <v>0</v>
      </c>
      <c r="K10" s="8">
        <f t="shared" si="2"/>
        <v>2757.9</v>
      </c>
      <c r="L10" s="185">
        <v>0</v>
      </c>
      <c r="M10" s="185">
        <f>M9+K10-L10</f>
        <v>310136.70310000028</v>
      </c>
      <c r="N10" s="47"/>
    </row>
    <row r="11" spans="1:17">
      <c r="A11" s="28">
        <v>8</v>
      </c>
      <c r="B11" s="29">
        <v>45846</v>
      </c>
      <c r="C11" s="79"/>
      <c r="D11" s="179"/>
      <c r="E11" s="184">
        <v>30</v>
      </c>
      <c r="F11" s="184">
        <v>91.93</v>
      </c>
      <c r="G11" s="8">
        <f t="shared" si="0"/>
        <v>2757.9</v>
      </c>
      <c r="H11" s="184">
        <v>0</v>
      </c>
      <c r="I11" s="184">
        <v>0</v>
      </c>
      <c r="J11" s="8">
        <f t="shared" si="1"/>
        <v>0</v>
      </c>
      <c r="K11" s="8">
        <f t="shared" si="2"/>
        <v>2757.9</v>
      </c>
      <c r="L11" s="185">
        <v>0</v>
      </c>
      <c r="M11" s="185">
        <f>M10+K11-L11</f>
        <v>312894.6031000003</v>
      </c>
      <c r="N11" s="47" t="s">
        <v>163</v>
      </c>
      <c r="P11" s="293"/>
      <c r="Q11" s="294"/>
    </row>
    <row r="12" spans="1:17">
      <c r="A12" s="28">
        <v>9</v>
      </c>
      <c r="B12" s="29">
        <v>45847</v>
      </c>
      <c r="C12" s="79"/>
      <c r="D12" s="179"/>
      <c r="E12" s="184">
        <v>455.36</v>
      </c>
      <c r="F12" s="184">
        <v>91.93</v>
      </c>
      <c r="G12" s="8">
        <f t="shared" si="0"/>
        <v>41861.244800000008</v>
      </c>
      <c r="H12" s="184">
        <v>25</v>
      </c>
      <c r="I12" s="184">
        <v>103.89</v>
      </c>
      <c r="J12" s="8">
        <f t="shared" si="1"/>
        <v>2597.25</v>
      </c>
      <c r="K12" s="8">
        <f t="shared" si="2"/>
        <v>44458.494800000008</v>
      </c>
      <c r="L12" s="185">
        <v>0</v>
      </c>
      <c r="M12" s="185">
        <f>M11+K12-L12</f>
        <v>357353.09790000028</v>
      </c>
      <c r="N12" s="47"/>
    </row>
    <row r="13" spans="1:17">
      <c r="A13" s="28">
        <v>10</v>
      </c>
      <c r="B13" s="29">
        <v>45848</v>
      </c>
      <c r="C13" s="79"/>
      <c r="D13" s="179"/>
      <c r="E13" s="184">
        <v>30</v>
      </c>
      <c r="F13" s="184">
        <v>91.93</v>
      </c>
      <c r="G13" s="8">
        <f t="shared" si="0"/>
        <v>2757.9</v>
      </c>
      <c r="H13" s="184">
        <v>0</v>
      </c>
      <c r="I13" s="184">
        <v>0</v>
      </c>
      <c r="J13" s="8">
        <f t="shared" si="1"/>
        <v>0</v>
      </c>
      <c r="K13" s="8">
        <f t="shared" si="2"/>
        <v>2757.9</v>
      </c>
      <c r="L13" s="185">
        <v>307362.07480000018</v>
      </c>
      <c r="M13" s="185">
        <f>M12+K13-L13</f>
        <v>52748.923100000131</v>
      </c>
      <c r="N13" s="47"/>
    </row>
    <row r="14" spans="1:17">
      <c r="A14" s="28">
        <v>11</v>
      </c>
      <c r="B14" s="29">
        <v>45849</v>
      </c>
      <c r="C14" s="79"/>
      <c r="D14" s="179"/>
      <c r="E14" s="184">
        <v>65</v>
      </c>
      <c r="F14" s="184">
        <v>91.93</v>
      </c>
      <c r="G14" s="8">
        <f t="shared" si="0"/>
        <v>5975.4500000000007</v>
      </c>
      <c r="H14" s="184">
        <v>0</v>
      </c>
      <c r="I14" s="184">
        <v>0</v>
      </c>
      <c r="J14" s="8">
        <f t="shared" si="1"/>
        <v>0</v>
      </c>
      <c r="K14" s="8">
        <f t="shared" si="2"/>
        <v>5975.4500000000007</v>
      </c>
      <c r="L14" s="185">
        <v>0</v>
      </c>
      <c r="M14" s="185">
        <f>M13+K14-L14</f>
        <v>58724.373100000128</v>
      </c>
      <c r="N14" s="47"/>
    </row>
    <row r="15" spans="1:17">
      <c r="A15" s="28">
        <v>12</v>
      </c>
      <c r="B15" s="29">
        <v>45850</v>
      </c>
      <c r="C15" s="79"/>
      <c r="D15" s="179"/>
      <c r="E15" s="184">
        <v>505</v>
      </c>
      <c r="F15" s="184">
        <v>91.93</v>
      </c>
      <c r="G15" s="8">
        <f t="shared" si="0"/>
        <v>46424.65</v>
      </c>
      <c r="H15" s="184">
        <v>25</v>
      </c>
      <c r="I15" s="184">
        <v>103.89</v>
      </c>
      <c r="J15" s="8">
        <f t="shared" si="1"/>
        <v>2597.25</v>
      </c>
      <c r="K15" s="8">
        <f t="shared" si="2"/>
        <v>49021.9</v>
      </c>
      <c r="L15" s="185">
        <v>0</v>
      </c>
      <c r="M15" s="185">
        <f>M14+K15-L15</f>
        <v>107746.27310000014</v>
      </c>
      <c r="N15" s="47"/>
    </row>
    <row r="16" spans="1:17">
      <c r="A16" s="28">
        <v>13</v>
      </c>
      <c r="B16" s="29">
        <v>45851</v>
      </c>
      <c r="C16" s="79"/>
      <c r="D16" s="179"/>
      <c r="E16" s="184">
        <v>0</v>
      </c>
      <c r="F16" s="184">
        <v>0</v>
      </c>
      <c r="G16" s="8">
        <f t="shared" si="0"/>
        <v>0</v>
      </c>
      <c r="H16" s="184">
        <v>0</v>
      </c>
      <c r="I16" s="184">
        <v>0</v>
      </c>
      <c r="J16" s="8">
        <f t="shared" si="1"/>
        <v>0</v>
      </c>
      <c r="K16" s="8">
        <f t="shared" si="2"/>
        <v>0</v>
      </c>
      <c r="L16" s="185">
        <v>0</v>
      </c>
      <c r="M16" s="185">
        <f>M15+K16-L16</f>
        <v>107746.27310000014</v>
      </c>
      <c r="N16" s="47"/>
    </row>
    <row r="17" spans="1:14">
      <c r="A17" s="28">
        <v>14</v>
      </c>
      <c r="B17" s="29">
        <v>45852</v>
      </c>
      <c r="C17" s="79"/>
      <c r="D17" s="179"/>
      <c r="E17" s="184">
        <v>50</v>
      </c>
      <c r="F17" s="184">
        <v>91.93</v>
      </c>
      <c r="G17" s="8">
        <f t="shared" si="0"/>
        <v>4596.5</v>
      </c>
      <c r="H17" s="184">
        <v>25</v>
      </c>
      <c r="I17" s="184">
        <v>103.89</v>
      </c>
      <c r="J17" s="8">
        <f t="shared" si="1"/>
        <v>2597.25</v>
      </c>
      <c r="K17" s="8">
        <f t="shared" si="2"/>
        <v>7193.75</v>
      </c>
      <c r="L17" s="185">
        <v>0</v>
      </c>
      <c r="M17" s="185">
        <f>M16+K17-L17</f>
        <v>114940.02310000014</v>
      </c>
      <c r="N17" s="47"/>
    </row>
    <row r="18" spans="1:14">
      <c r="A18" s="28">
        <v>15</v>
      </c>
      <c r="B18" s="29">
        <v>45853</v>
      </c>
      <c r="C18" s="79"/>
      <c r="D18" s="179"/>
      <c r="E18" s="184">
        <v>30</v>
      </c>
      <c r="F18" s="184">
        <v>91.93</v>
      </c>
      <c r="G18" s="8">
        <f t="shared" si="0"/>
        <v>2757.9</v>
      </c>
      <c r="H18" s="184">
        <v>0</v>
      </c>
      <c r="I18" s="184">
        <v>0</v>
      </c>
      <c r="J18" s="8">
        <f t="shared" si="1"/>
        <v>0</v>
      </c>
      <c r="K18" s="8">
        <f t="shared" si="2"/>
        <v>2757.9</v>
      </c>
      <c r="L18" s="185">
        <v>0</v>
      </c>
      <c r="M18" s="185">
        <f>M17+K18-L18</f>
        <v>117697.92310000013</v>
      </c>
      <c r="N18" s="47"/>
    </row>
    <row r="19" spans="1:14">
      <c r="A19" s="28">
        <v>16</v>
      </c>
      <c r="B19" s="29">
        <v>45854</v>
      </c>
      <c r="C19" s="79"/>
      <c r="D19" s="179"/>
      <c r="E19" s="184">
        <v>340</v>
      </c>
      <c r="F19" s="184">
        <v>91.93</v>
      </c>
      <c r="G19" s="8">
        <f t="shared" si="0"/>
        <v>31256.2</v>
      </c>
      <c r="H19" s="184">
        <v>0</v>
      </c>
      <c r="I19" s="184">
        <v>0</v>
      </c>
      <c r="J19" s="8">
        <f t="shared" si="1"/>
        <v>0</v>
      </c>
      <c r="K19" s="8">
        <f t="shared" si="2"/>
        <v>31256.2</v>
      </c>
      <c r="L19" s="185">
        <v>0</v>
      </c>
      <c r="M19" s="185">
        <f>M18+K19-L19</f>
        <v>148954.12310000014</v>
      </c>
      <c r="N19" s="47"/>
    </row>
    <row r="20" spans="1:14">
      <c r="A20" s="28">
        <v>17</v>
      </c>
      <c r="B20" s="29">
        <v>45855</v>
      </c>
      <c r="C20" s="79"/>
      <c r="D20" s="179"/>
      <c r="E20" s="184">
        <v>70</v>
      </c>
      <c r="F20" s="184">
        <v>91.93</v>
      </c>
      <c r="G20" s="8">
        <f t="shared" si="0"/>
        <v>6435.1</v>
      </c>
      <c r="H20" s="184">
        <v>0</v>
      </c>
      <c r="I20" s="184">
        <v>0</v>
      </c>
      <c r="J20" s="8">
        <f t="shared" si="1"/>
        <v>0</v>
      </c>
      <c r="K20" s="8">
        <f t="shared" si="2"/>
        <v>6435.1</v>
      </c>
      <c r="L20" s="185">
        <v>0</v>
      </c>
      <c r="M20" s="185">
        <f t="shared" ref="M20:M34" si="3">M19+K20-L20</f>
        <v>155389.22310000015</v>
      </c>
      <c r="N20" s="47"/>
    </row>
    <row r="21" spans="1:14">
      <c r="A21" s="28">
        <v>18</v>
      </c>
      <c r="B21" s="29">
        <v>45856</v>
      </c>
      <c r="C21" s="79"/>
      <c r="D21" s="179"/>
      <c r="E21" s="184">
        <v>505</v>
      </c>
      <c r="F21" s="184">
        <v>91.93</v>
      </c>
      <c r="G21" s="8">
        <f t="shared" si="0"/>
        <v>46424.65</v>
      </c>
      <c r="H21" s="184">
        <v>15</v>
      </c>
      <c r="I21" s="184">
        <v>103.89</v>
      </c>
      <c r="J21" s="8">
        <f t="shared" si="1"/>
        <v>1558.35</v>
      </c>
      <c r="K21" s="8">
        <f t="shared" si="2"/>
        <v>47983</v>
      </c>
      <c r="L21" s="185">
        <v>0</v>
      </c>
      <c r="M21" s="185">
        <f t="shared" si="3"/>
        <v>203372.22310000015</v>
      </c>
      <c r="N21" s="47"/>
    </row>
    <row r="22" spans="1:14">
      <c r="A22" s="28">
        <v>19</v>
      </c>
      <c r="B22" s="29">
        <v>45857</v>
      </c>
      <c r="C22" s="79"/>
      <c r="D22" s="179"/>
      <c r="E22" s="184">
        <v>75</v>
      </c>
      <c r="F22" s="184">
        <v>91.93</v>
      </c>
      <c r="G22" s="8">
        <f t="shared" si="0"/>
        <v>6894.7500000000009</v>
      </c>
      <c r="H22" s="184">
        <v>0</v>
      </c>
      <c r="I22" s="184">
        <v>0</v>
      </c>
      <c r="J22" s="8">
        <f t="shared" si="1"/>
        <v>0</v>
      </c>
      <c r="K22" s="8">
        <f t="shared" si="2"/>
        <v>6894.7500000000009</v>
      </c>
      <c r="L22" s="185">
        <v>0</v>
      </c>
      <c r="M22" s="185">
        <f t="shared" si="3"/>
        <v>210266.97310000015</v>
      </c>
      <c r="N22" s="47"/>
    </row>
    <row r="23" spans="1:14">
      <c r="A23" s="28">
        <v>20</v>
      </c>
      <c r="B23" s="29">
        <v>45858</v>
      </c>
      <c r="C23" s="79"/>
      <c r="D23" s="179"/>
      <c r="E23" s="184">
        <v>0</v>
      </c>
      <c r="F23" s="184">
        <v>0</v>
      </c>
      <c r="G23" s="8">
        <f t="shared" si="0"/>
        <v>0</v>
      </c>
      <c r="H23" s="184">
        <v>0</v>
      </c>
      <c r="I23" s="184">
        <v>0</v>
      </c>
      <c r="J23" s="8">
        <f t="shared" si="1"/>
        <v>0</v>
      </c>
      <c r="K23" s="8">
        <f t="shared" si="2"/>
        <v>0</v>
      </c>
      <c r="L23" s="185">
        <v>0</v>
      </c>
      <c r="M23" s="185">
        <f t="shared" si="3"/>
        <v>210266.97310000015</v>
      </c>
      <c r="N23" s="47"/>
    </row>
    <row r="24" spans="1:14">
      <c r="A24" s="28">
        <v>21</v>
      </c>
      <c r="B24" s="29">
        <v>45859</v>
      </c>
      <c r="C24" s="79"/>
      <c r="D24" s="179"/>
      <c r="E24" s="184">
        <v>339.79</v>
      </c>
      <c r="F24" s="184">
        <v>91.93</v>
      </c>
      <c r="G24" s="8">
        <f t="shared" si="0"/>
        <v>31236.894700000004</v>
      </c>
      <c r="H24" s="184">
        <v>36</v>
      </c>
      <c r="I24" s="184">
        <v>103.89</v>
      </c>
      <c r="J24" s="8">
        <f t="shared" si="1"/>
        <v>3740.04</v>
      </c>
      <c r="K24" s="8">
        <f t="shared" si="2"/>
        <v>34976.934700000005</v>
      </c>
      <c r="L24" s="185">
        <v>0</v>
      </c>
      <c r="M24" s="185">
        <f t="shared" si="3"/>
        <v>245243.90780000016</v>
      </c>
      <c r="N24" s="47"/>
    </row>
    <row r="25" spans="1:14">
      <c r="A25" s="28">
        <v>22</v>
      </c>
      <c r="B25" s="29">
        <v>45860</v>
      </c>
      <c r="C25" s="79"/>
      <c r="D25" s="179"/>
      <c r="E25" s="184">
        <v>200</v>
      </c>
      <c r="F25" s="184">
        <v>91.93</v>
      </c>
      <c r="G25" s="8">
        <f t="shared" si="0"/>
        <v>18386</v>
      </c>
      <c r="H25" s="184">
        <v>0</v>
      </c>
      <c r="I25" s="184">
        <v>0</v>
      </c>
      <c r="J25" s="8">
        <f t="shared" si="1"/>
        <v>0</v>
      </c>
      <c r="K25" s="8">
        <f t="shared" si="2"/>
        <v>18386</v>
      </c>
      <c r="L25" s="185">
        <v>0</v>
      </c>
      <c r="M25" s="185">
        <f t="shared" si="3"/>
        <v>263629.90780000016</v>
      </c>
      <c r="N25" s="47"/>
    </row>
    <row r="26" spans="1:14">
      <c r="A26" s="28">
        <v>23</v>
      </c>
      <c r="B26" s="29">
        <v>45861</v>
      </c>
      <c r="C26" s="79"/>
      <c r="D26" s="179"/>
      <c r="E26" s="184">
        <v>325</v>
      </c>
      <c r="F26" s="184">
        <v>91.93</v>
      </c>
      <c r="G26" s="8">
        <f t="shared" si="0"/>
        <v>29877.250000000004</v>
      </c>
      <c r="H26" s="184">
        <v>0</v>
      </c>
      <c r="I26" s="184">
        <v>0</v>
      </c>
      <c r="J26" s="8">
        <f t="shared" si="1"/>
        <v>0</v>
      </c>
      <c r="K26" s="8">
        <f t="shared" si="2"/>
        <v>29877.250000000004</v>
      </c>
      <c r="L26" s="185">
        <v>0</v>
      </c>
      <c r="M26" s="185">
        <f t="shared" si="3"/>
        <v>293507.15780000016</v>
      </c>
      <c r="N26" s="47"/>
    </row>
    <row r="27" spans="1:14">
      <c r="A27" s="28">
        <v>24</v>
      </c>
      <c r="B27" s="29">
        <v>45862</v>
      </c>
      <c r="C27" s="79"/>
      <c r="D27" s="179"/>
      <c r="E27" s="184">
        <v>0</v>
      </c>
      <c r="F27" s="184">
        <v>0</v>
      </c>
      <c r="G27" s="8">
        <f t="shared" si="0"/>
        <v>0</v>
      </c>
      <c r="H27" s="184">
        <v>0</v>
      </c>
      <c r="I27" s="184">
        <v>0</v>
      </c>
      <c r="J27" s="8">
        <f t="shared" si="1"/>
        <v>0</v>
      </c>
      <c r="K27" s="8">
        <f t="shared" si="2"/>
        <v>0</v>
      </c>
      <c r="L27" s="185">
        <v>0</v>
      </c>
      <c r="M27" s="185">
        <f t="shared" si="3"/>
        <v>293507.15780000016</v>
      </c>
      <c r="N27" s="47"/>
    </row>
    <row r="28" spans="1:14">
      <c r="A28" s="28">
        <v>25</v>
      </c>
      <c r="B28" s="29">
        <v>45863</v>
      </c>
      <c r="C28" s="79"/>
      <c r="D28" s="179"/>
      <c r="E28" s="184">
        <v>590</v>
      </c>
      <c r="F28" s="184">
        <v>91.93</v>
      </c>
      <c r="G28" s="8">
        <f t="shared" si="0"/>
        <v>54238.700000000004</v>
      </c>
      <c r="H28" s="184">
        <v>25</v>
      </c>
      <c r="I28" s="184">
        <v>103.89</v>
      </c>
      <c r="J28" s="8">
        <f t="shared" si="1"/>
        <v>2597.25</v>
      </c>
      <c r="K28" s="8">
        <f t="shared" si="2"/>
        <v>56835.950000000004</v>
      </c>
      <c r="L28" s="185">
        <v>100000</v>
      </c>
      <c r="M28" s="185">
        <f t="shared" si="3"/>
        <v>250343.10780000017</v>
      </c>
      <c r="N28" s="47"/>
    </row>
    <row r="29" spans="1:14">
      <c r="A29" s="28">
        <v>26</v>
      </c>
      <c r="B29" s="29">
        <v>45864</v>
      </c>
      <c r="C29" s="228"/>
      <c r="D29" s="179"/>
      <c r="E29" s="184">
        <v>0</v>
      </c>
      <c r="F29" s="184">
        <v>0</v>
      </c>
      <c r="G29" s="8">
        <f t="shared" si="0"/>
        <v>0</v>
      </c>
      <c r="H29" s="184">
        <v>5</v>
      </c>
      <c r="I29" s="184">
        <v>103.89</v>
      </c>
      <c r="J29" s="8">
        <f t="shared" si="1"/>
        <v>519.45000000000005</v>
      </c>
      <c r="K29" s="8">
        <f t="shared" si="2"/>
        <v>519.45000000000005</v>
      </c>
      <c r="L29" s="185">
        <v>100000</v>
      </c>
      <c r="M29" s="185">
        <f t="shared" si="3"/>
        <v>150862.55780000018</v>
      </c>
      <c r="N29" s="47"/>
    </row>
    <row r="30" spans="1:14">
      <c r="A30" s="28">
        <v>27</v>
      </c>
      <c r="B30" s="29">
        <v>45865</v>
      </c>
      <c r="C30" s="79"/>
      <c r="D30" s="179"/>
      <c r="E30" s="184">
        <v>20</v>
      </c>
      <c r="F30" s="184">
        <v>91.93</v>
      </c>
      <c r="G30" s="8">
        <f t="shared" si="0"/>
        <v>1838.6000000000001</v>
      </c>
      <c r="H30" s="184">
        <v>0</v>
      </c>
      <c r="I30" s="184">
        <v>0</v>
      </c>
      <c r="J30" s="8">
        <f t="shared" si="1"/>
        <v>0</v>
      </c>
      <c r="K30" s="8">
        <f t="shared" si="2"/>
        <v>1838.6000000000001</v>
      </c>
      <c r="L30" s="185">
        <v>0</v>
      </c>
      <c r="M30" s="185">
        <f t="shared" si="3"/>
        <v>152701.15780000019</v>
      </c>
      <c r="N30" s="47"/>
    </row>
    <row r="31" spans="1:14">
      <c r="A31" s="28">
        <v>28</v>
      </c>
      <c r="B31" s="29">
        <v>45866</v>
      </c>
      <c r="C31" s="79"/>
      <c r="D31" s="179"/>
      <c r="E31" s="184">
        <v>660</v>
      </c>
      <c r="F31" s="184">
        <v>91.93</v>
      </c>
      <c r="G31" s="8">
        <f t="shared" si="0"/>
        <v>60673.8</v>
      </c>
      <c r="H31" s="184">
        <v>25</v>
      </c>
      <c r="I31" s="184">
        <v>103.89</v>
      </c>
      <c r="J31" s="8">
        <f t="shared" si="1"/>
        <v>2597.25</v>
      </c>
      <c r="K31" s="8">
        <f t="shared" si="2"/>
        <v>63271.05</v>
      </c>
      <c r="L31" s="185">
        <v>0</v>
      </c>
      <c r="M31" s="185">
        <f t="shared" si="3"/>
        <v>215972.20780000021</v>
      </c>
      <c r="N31" s="47"/>
    </row>
    <row r="32" spans="1:14">
      <c r="A32" s="28">
        <v>29</v>
      </c>
      <c r="B32" s="29">
        <v>45867</v>
      </c>
      <c r="C32" s="79"/>
      <c r="D32" s="179"/>
      <c r="E32" s="184">
        <v>130</v>
      </c>
      <c r="F32" s="184">
        <v>91.93</v>
      </c>
      <c r="G32" s="8">
        <f t="shared" si="0"/>
        <v>11950.900000000001</v>
      </c>
      <c r="H32" s="184">
        <v>0</v>
      </c>
      <c r="I32" s="184">
        <v>0</v>
      </c>
      <c r="J32" s="8">
        <f t="shared" si="1"/>
        <v>0</v>
      </c>
      <c r="K32" s="8">
        <f t="shared" si="2"/>
        <v>11950.900000000001</v>
      </c>
      <c r="L32" s="185">
        <v>0</v>
      </c>
      <c r="M32" s="185">
        <f t="shared" si="3"/>
        <v>227923.1078000002</v>
      </c>
      <c r="N32" s="47"/>
    </row>
    <row r="33" spans="1:15">
      <c r="A33" s="28">
        <v>30</v>
      </c>
      <c r="B33" s="29">
        <v>45868</v>
      </c>
      <c r="C33" s="79"/>
      <c r="D33" s="179"/>
      <c r="E33" s="184">
        <v>121.1</v>
      </c>
      <c r="F33" s="184">
        <v>91.93</v>
      </c>
      <c r="G33" s="8">
        <f t="shared" si="0"/>
        <v>11132.723</v>
      </c>
      <c r="H33" s="184">
        <v>0</v>
      </c>
      <c r="I33" s="184">
        <v>0</v>
      </c>
      <c r="J33" s="8">
        <f t="shared" si="1"/>
        <v>0</v>
      </c>
      <c r="K33" s="8">
        <f t="shared" si="2"/>
        <v>11132.723</v>
      </c>
      <c r="L33" s="185">
        <v>0</v>
      </c>
      <c r="M33" s="185">
        <f t="shared" si="3"/>
        <v>239055.8308000002</v>
      </c>
      <c r="N33" s="47"/>
    </row>
    <row r="34" spans="1:15">
      <c r="A34" s="28">
        <v>31</v>
      </c>
      <c r="B34" s="29">
        <v>45869</v>
      </c>
      <c r="C34" s="79"/>
      <c r="D34" s="179"/>
      <c r="E34" s="184">
        <v>103.73</v>
      </c>
      <c r="F34" s="184">
        <v>91.93</v>
      </c>
      <c r="G34" s="8">
        <f t="shared" ref="G5:G34" si="4">E34*F34</f>
        <v>9535.898900000002</v>
      </c>
      <c r="H34" s="184">
        <v>25</v>
      </c>
      <c r="I34" s="184">
        <v>103.89</v>
      </c>
      <c r="J34" s="8">
        <f t="shared" ref="J5:J34" si="5">H34*I34</f>
        <v>2597.25</v>
      </c>
      <c r="K34" s="8">
        <f t="shared" ref="K5:K34" si="6">G34+J34</f>
        <v>12133.148900000002</v>
      </c>
      <c r="L34" s="185">
        <v>230000</v>
      </c>
      <c r="M34" s="185">
        <f t="shared" si="3"/>
        <v>21188.9797000002</v>
      </c>
      <c r="N34" s="47"/>
    </row>
    <row r="35" spans="1:15">
      <c r="A35" s="180"/>
      <c r="B35" s="180"/>
      <c r="C35" s="180"/>
      <c r="D35" s="180"/>
      <c r="E35" s="181">
        <f>SUM(E4:E34)</f>
        <v>5405.66</v>
      </c>
      <c r="F35" s="181"/>
      <c r="G35" s="181">
        <f>SUM(G4:G34)</f>
        <v>496942.32380000007</v>
      </c>
      <c r="H35" s="181">
        <f>SUM(H4:H34)</f>
        <v>241</v>
      </c>
      <c r="I35" s="75"/>
      <c r="J35" s="181">
        <f>SUM(J4:J34)</f>
        <v>25037.49</v>
      </c>
      <c r="K35" s="181">
        <f>SUM(K4:K34)</f>
        <v>521979.81380000006</v>
      </c>
      <c r="L35" s="181">
        <f>SUM(L4:L34)</f>
        <v>737362.07480000018</v>
      </c>
      <c r="M35" s="75"/>
      <c r="N35" s="75"/>
      <c r="O35" s="71"/>
    </row>
    <row r="36" spans="1:15">
      <c r="A36" s="85"/>
      <c r="B36" s="86"/>
      <c r="C36" s="85"/>
      <c r="D36" s="85"/>
      <c r="E36" s="87"/>
      <c r="F36" s="87"/>
      <c r="G36" s="87"/>
      <c r="H36" s="87"/>
      <c r="I36" s="87"/>
      <c r="J36" s="88"/>
      <c r="K36" s="88"/>
      <c r="L36" s="88"/>
      <c r="M36" s="88"/>
      <c r="N36" s="87"/>
    </row>
    <row r="42" spans="1:15">
      <c r="B42" s="71"/>
      <c r="G42" s="89"/>
      <c r="J42" s="71"/>
      <c r="K42" s="71"/>
      <c r="L42" s="71"/>
      <c r="M42" s="71"/>
      <c r="O42" s="87"/>
    </row>
    <row r="43" spans="1:15">
      <c r="B43" s="430"/>
      <c r="C43" s="430"/>
      <c r="D43" s="430"/>
      <c r="E43" s="430"/>
      <c r="I43" s="430"/>
      <c r="J43" s="430"/>
      <c r="K43" s="430"/>
      <c r="L43" s="430"/>
      <c r="M43" s="430"/>
      <c r="N43" s="430"/>
      <c r="O43" s="87"/>
    </row>
    <row r="44" spans="1:15">
      <c r="B44" s="71"/>
      <c r="J44" s="71"/>
      <c r="K44" s="71"/>
      <c r="L44" s="71"/>
      <c r="M44" s="71"/>
      <c r="O44" s="87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35F0-7189-4495-B3AE-C2E9CF5D0A6B}">
  <dimension ref="A1:O35"/>
  <sheetViews>
    <sheetView workbookViewId="0">
      <selection activeCell="V13" sqref="V13"/>
    </sheetView>
  </sheetViews>
  <sheetFormatPr defaultRowHeight="15"/>
  <cols>
    <col min="2" max="2" width="14.42578125" customWidth="1"/>
    <col min="4" max="4" width="19.140625" customWidth="1"/>
    <col min="5" max="5" width="17.7109375" customWidth="1"/>
    <col min="6" max="6" width="12.28515625" customWidth="1"/>
    <col min="7" max="7" width="12.85546875" style="24" customWidth="1"/>
    <col min="8" max="8" width="12" style="24" customWidth="1"/>
    <col min="9" max="9" width="9.140625" style="24"/>
    <col min="10" max="10" width="11.140625" style="24" customWidth="1"/>
    <col min="11" max="11" width="12" style="24" customWidth="1"/>
    <col min="12" max="12" width="11.85546875" style="24" customWidth="1"/>
    <col min="13" max="13" width="13.85546875" customWidth="1"/>
  </cols>
  <sheetData>
    <row r="1" spans="1:14" ht="15.75">
      <c r="A1" s="414" t="s">
        <v>56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</row>
    <row r="2" spans="1:14">
      <c r="A2" s="111" t="s">
        <v>105</v>
      </c>
      <c r="B2" s="112" t="s">
        <v>106</v>
      </c>
      <c r="C2" s="112" t="s">
        <v>107</v>
      </c>
      <c r="D2" s="112" t="s">
        <v>121</v>
      </c>
      <c r="E2" s="112" t="s">
        <v>109</v>
      </c>
      <c r="F2" s="112" t="s">
        <v>110</v>
      </c>
      <c r="G2" s="277" t="s">
        <v>111</v>
      </c>
      <c r="H2" s="277" t="s">
        <v>112</v>
      </c>
      <c r="I2" s="277" t="s">
        <v>110</v>
      </c>
      <c r="J2" s="277" t="s">
        <v>111</v>
      </c>
      <c r="K2" s="278" t="s">
        <v>113</v>
      </c>
      <c r="L2" s="278" t="s">
        <v>114</v>
      </c>
      <c r="M2" s="159" t="s">
        <v>120</v>
      </c>
      <c r="N2" s="114" t="s">
        <v>116</v>
      </c>
    </row>
    <row r="3" spans="1:14">
      <c r="A3" s="454" t="s">
        <v>117</v>
      </c>
      <c r="B3" s="455"/>
      <c r="C3" s="455"/>
      <c r="D3" s="455"/>
      <c r="E3" s="455"/>
      <c r="F3" s="455"/>
      <c r="G3" s="455"/>
      <c r="H3" s="455"/>
      <c r="I3" s="455"/>
      <c r="J3" s="456"/>
      <c r="K3" s="256">
        <v>0</v>
      </c>
      <c r="L3" s="256"/>
      <c r="M3" s="195">
        <f>+K3</f>
        <v>0</v>
      </c>
      <c r="N3" s="257"/>
    </row>
    <row r="4" spans="1:14">
      <c r="A4" s="28">
        <v>1</v>
      </c>
      <c r="B4" s="29">
        <v>45839</v>
      </c>
      <c r="C4" s="19"/>
      <c r="D4" s="19"/>
      <c r="E4" s="225">
        <v>0</v>
      </c>
      <c r="F4" s="225">
        <v>0</v>
      </c>
      <c r="G4" s="244">
        <f>E4*F4</f>
        <v>0</v>
      </c>
      <c r="H4" s="244"/>
      <c r="I4" s="244"/>
      <c r="J4" s="244"/>
      <c r="K4" s="244">
        <f>G4+J4</f>
        <v>0</v>
      </c>
      <c r="L4" s="244">
        <f>+K4</f>
        <v>0</v>
      </c>
      <c r="M4" s="225"/>
      <c r="N4" s="19"/>
    </row>
    <row r="5" spans="1:14">
      <c r="A5" s="28">
        <v>2</v>
      </c>
      <c r="B5" s="29">
        <v>45840</v>
      </c>
      <c r="C5" s="19"/>
      <c r="D5" s="19"/>
      <c r="E5" s="225">
        <v>0</v>
      </c>
      <c r="F5" s="225">
        <v>0</v>
      </c>
      <c r="G5" s="244">
        <f t="shared" ref="G5:G33" si="0">E5*F5</f>
        <v>0</v>
      </c>
      <c r="H5" s="244"/>
      <c r="I5" s="244"/>
      <c r="J5" s="244"/>
      <c r="K5" s="244">
        <f>G5+J5</f>
        <v>0</v>
      </c>
      <c r="L5" s="244">
        <f>+K5</f>
        <v>0</v>
      </c>
      <c r="M5" s="225"/>
      <c r="N5" s="19"/>
    </row>
    <row r="6" spans="1:14">
      <c r="A6" s="28">
        <v>3</v>
      </c>
      <c r="B6" s="29">
        <v>45841</v>
      </c>
      <c r="C6" s="19"/>
      <c r="D6" s="19"/>
      <c r="E6" s="225">
        <v>0</v>
      </c>
      <c r="F6" s="225">
        <v>0</v>
      </c>
      <c r="G6" s="244">
        <f t="shared" si="0"/>
        <v>0</v>
      </c>
      <c r="H6" s="244"/>
      <c r="I6" s="244"/>
      <c r="J6" s="244">
        <f>H6*I6</f>
        <v>0</v>
      </c>
      <c r="K6" s="244">
        <f t="shared" ref="K6:K17" si="1">G6+J6</f>
        <v>0</v>
      </c>
      <c r="L6" s="244">
        <f t="shared" ref="L6:L17" si="2">+K6</f>
        <v>0</v>
      </c>
      <c r="M6" s="225"/>
      <c r="N6" s="19"/>
    </row>
    <row r="7" spans="1:14">
      <c r="A7" s="28">
        <v>4</v>
      </c>
      <c r="B7" s="29">
        <v>45842</v>
      </c>
      <c r="C7" s="19"/>
      <c r="D7" s="19"/>
      <c r="E7" s="225">
        <v>0</v>
      </c>
      <c r="F7" s="225">
        <v>0</v>
      </c>
      <c r="G7" s="244">
        <f t="shared" si="0"/>
        <v>0</v>
      </c>
      <c r="H7" s="244"/>
      <c r="I7" s="244"/>
      <c r="J7" s="244">
        <f t="shared" ref="J7:J29" si="3">H7*I7</f>
        <v>0</v>
      </c>
      <c r="K7" s="244">
        <f t="shared" si="1"/>
        <v>0</v>
      </c>
      <c r="L7" s="244">
        <f t="shared" si="2"/>
        <v>0</v>
      </c>
      <c r="M7" s="225"/>
      <c r="N7" s="19"/>
    </row>
    <row r="8" spans="1:14">
      <c r="A8" s="28">
        <v>5</v>
      </c>
      <c r="B8" s="29">
        <v>45843</v>
      </c>
      <c r="C8" s="19"/>
      <c r="D8" s="19"/>
      <c r="E8" s="225">
        <v>0</v>
      </c>
      <c r="F8" s="225">
        <v>0</v>
      </c>
      <c r="G8" s="244">
        <f t="shared" si="0"/>
        <v>0</v>
      </c>
      <c r="H8" s="244"/>
      <c r="I8" s="244"/>
      <c r="J8" s="244">
        <f t="shared" si="3"/>
        <v>0</v>
      </c>
      <c r="K8" s="244">
        <f t="shared" si="1"/>
        <v>0</v>
      </c>
      <c r="L8" s="244">
        <f t="shared" si="2"/>
        <v>0</v>
      </c>
      <c r="M8" s="225"/>
      <c r="N8" s="19"/>
    </row>
    <row r="9" spans="1:14">
      <c r="A9" s="28">
        <v>6</v>
      </c>
      <c r="B9" s="29">
        <v>45844</v>
      </c>
      <c r="C9" s="19"/>
      <c r="D9" s="19"/>
      <c r="E9" s="225">
        <v>0</v>
      </c>
      <c r="F9" s="225">
        <v>0</v>
      </c>
      <c r="G9" s="244">
        <f t="shared" si="0"/>
        <v>0</v>
      </c>
      <c r="H9" s="244"/>
      <c r="I9" s="244"/>
      <c r="J9" s="244">
        <f t="shared" si="3"/>
        <v>0</v>
      </c>
      <c r="K9" s="244">
        <f t="shared" si="1"/>
        <v>0</v>
      </c>
      <c r="L9" s="244">
        <f t="shared" si="2"/>
        <v>0</v>
      </c>
      <c r="M9" s="225"/>
      <c r="N9" s="19"/>
    </row>
    <row r="10" spans="1:14">
      <c r="A10" s="28">
        <v>7</v>
      </c>
      <c r="B10" s="29">
        <v>45845</v>
      </c>
      <c r="C10" s="19"/>
      <c r="D10" s="19"/>
      <c r="E10" s="225">
        <v>0</v>
      </c>
      <c r="F10" s="225">
        <v>0</v>
      </c>
      <c r="G10" s="244">
        <f t="shared" si="0"/>
        <v>0</v>
      </c>
      <c r="H10" s="244"/>
      <c r="I10" s="244"/>
      <c r="J10" s="244">
        <f t="shared" si="3"/>
        <v>0</v>
      </c>
      <c r="K10" s="244">
        <f t="shared" si="1"/>
        <v>0</v>
      </c>
      <c r="L10" s="244">
        <f t="shared" si="2"/>
        <v>0</v>
      </c>
      <c r="M10" s="225"/>
      <c r="N10" s="19"/>
    </row>
    <row r="11" spans="1:14">
      <c r="A11" s="28">
        <v>8</v>
      </c>
      <c r="B11" s="29">
        <v>45846</v>
      </c>
      <c r="C11" s="19"/>
      <c r="D11" s="19"/>
      <c r="E11" s="225">
        <v>0</v>
      </c>
      <c r="F11" s="225">
        <v>0</v>
      </c>
      <c r="G11" s="244">
        <f t="shared" si="0"/>
        <v>0</v>
      </c>
      <c r="H11" s="244"/>
      <c r="I11" s="244"/>
      <c r="J11" s="244">
        <f t="shared" si="3"/>
        <v>0</v>
      </c>
      <c r="K11" s="244">
        <f t="shared" si="1"/>
        <v>0</v>
      </c>
      <c r="L11" s="244">
        <f t="shared" si="2"/>
        <v>0</v>
      </c>
      <c r="M11" s="225"/>
      <c r="N11" s="19"/>
    </row>
    <row r="12" spans="1:14">
      <c r="A12" s="28">
        <v>9</v>
      </c>
      <c r="B12" s="29">
        <v>45847</v>
      </c>
      <c r="C12" s="19"/>
      <c r="D12" s="19"/>
      <c r="E12" s="225">
        <v>0</v>
      </c>
      <c r="F12" s="225">
        <v>0</v>
      </c>
      <c r="G12" s="244">
        <f t="shared" si="0"/>
        <v>0</v>
      </c>
      <c r="H12" s="244"/>
      <c r="I12" s="244"/>
      <c r="J12" s="244">
        <f t="shared" si="3"/>
        <v>0</v>
      </c>
      <c r="K12" s="244">
        <f t="shared" si="1"/>
        <v>0</v>
      </c>
      <c r="L12" s="244">
        <f t="shared" si="2"/>
        <v>0</v>
      </c>
      <c r="M12" s="225"/>
      <c r="N12" s="19"/>
    </row>
    <row r="13" spans="1:14">
      <c r="A13" s="28">
        <v>10</v>
      </c>
      <c r="B13" s="29">
        <v>45848</v>
      </c>
      <c r="C13" s="19"/>
      <c r="D13" s="19"/>
      <c r="E13" s="225">
        <v>0</v>
      </c>
      <c r="F13" s="225">
        <v>0</v>
      </c>
      <c r="G13" s="244">
        <f t="shared" si="0"/>
        <v>0</v>
      </c>
      <c r="H13" s="244"/>
      <c r="I13" s="244"/>
      <c r="J13" s="244">
        <f t="shared" si="3"/>
        <v>0</v>
      </c>
      <c r="K13" s="244">
        <f>G13+J13</f>
        <v>0</v>
      </c>
      <c r="L13" s="244">
        <f t="shared" si="2"/>
        <v>0</v>
      </c>
      <c r="M13" s="225"/>
      <c r="N13" s="19"/>
    </row>
    <row r="14" spans="1:14">
      <c r="A14" s="28">
        <v>11</v>
      </c>
      <c r="B14" s="29">
        <v>45849</v>
      </c>
      <c r="C14" s="19"/>
      <c r="D14" s="19"/>
      <c r="E14" s="225">
        <v>0</v>
      </c>
      <c r="F14" s="225">
        <v>0</v>
      </c>
      <c r="G14" s="244">
        <f t="shared" ref="G14" si="4">E14*F14</f>
        <v>0</v>
      </c>
      <c r="H14" s="244">
        <v>16.010000000000002</v>
      </c>
      <c r="I14" s="244">
        <v>103.53</v>
      </c>
      <c r="J14" s="244">
        <f t="shared" si="3"/>
        <v>1657.5153000000003</v>
      </c>
      <c r="K14" s="244">
        <f t="shared" si="1"/>
        <v>1657.5153000000003</v>
      </c>
      <c r="L14" s="244">
        <f t="shared" si="2"/>
        <v>1657.5153000000003</v>
      </c>
      <c r="M14" s="225"/>
      <c r="N14" s="19"/>
    </row>
    <row r="15" spans="1:14">
      <c r="A15" s="28">
        <v>12</v>
      </c>
      <c r="B15" s="29">
        <v>45850</v>
      </c>
      <c r="C15" s="19"/>
      <c r="D15" s="19"/>
      <c r="E15" s="225">
        <v>50</v>
      </c>
      <c r="F15" s="225">
        <v>91.59</v>
      </c>
      <c r="G15" s="244">
        <f t="shared" si="0"/>
        <v>4579.5</v>
      </c>
      <c r="H15" s="244">
        <v>2</v>
      </c>
      <c r="I15" s="244">
        <v>103.53</v>
      </c>
      <c r="J15" s="244">
        <f t="shared" si="3"/>
        <v>207.06</v>
      </c>
      <c r="K15" s="244">
        <f t="shared" si="1"/>
        <v>4786.5600000000004</v>
      </c>
      <c r="L15" s="244">
        <f t="shared" si="2"/>
        <v>4786.5600000000004</v>
      </c>
      <c r="M15" s="225"/>
      <c r="N15" s="19"/>
    </row>
    <row r="16" spans="1:14">
      <c r="A16" s="28">
        <v>13</v>
      </c>
      <c r="B16" s="29">
        <v>45851</v>
      </c>
      <c r="C16" s="19"/>
      <c r="D16" s="19"/>
      <c r="E16" s="225">
        <v>0</v>
      </c>
      <c r="F16" s="225">
        <v>91.59</v>
      </c>
      <c r="G16" s="244">
        <f t="shared" si="0"/>
        <v>0</v>
      </c>
      <c r="H16" s="244"/>
      <c r="I16" s="244"/>
      <c r="J16" s="244">
        <f t="shared" si="3"/>
        <v>0</v>
      </c>
      <c r="K16" s="244">
        <f t="shared" si="1"/>
        <v>0</v>
      </c>
      <c r="L16" s="244">
        <f t="shared" si="2"/>
        <v>0</v>
      </c>
      <c r="M16" s="225"/>
      <c r="N16" s="19"/>
    </row>
    <row r="17" spans="1:15">
      <c r="A17" s="28">
        <v>14</v>
      </c>
      <c r="B17" s="29">
        <v>45852</v>
      </c>
      <c r="C17" s="19"/>
      <c r="D17" s="19"/>
      <c r="E17" s="225">
        <v>0</v>
      </c>
      <c r="F17" s="225">
        <v>0</v>
      </c>
      <c r="G17" s="244">
        <f t="shared" si="0"/>
        <v>0</v>
      </c>
      <c r="H17" s="244"/>
      <c r="I17" s="244"/>
      <c r="J17" s="244">
        <f t="shared" si="3"/>
        <v>0</v>
      </c>
      <c r="K17" s="244">
        <f t="shared" si="1"/>
        <v>0</v>
      </c>
      <c r="L17" s="244">
        <f t="shared" si="2"/>
        <v>0</v>
      </c>
      <c r="M17" s="225"/>
      <c r="N17" s="19"/>
    </row>
    <row r="18" spans="1:15">
      <c r="A18" s="28">
        <v>15</v>
      </c>
      <c r="B18" s="29">
        <v>45853</v>
      </c>
      <c r="C18" s="19"/>
      <c r="D18" s="19"/>
      <c r="E18" s="225">
        <v>50</v>
      </c>
      <c r="F18" s="225">
        <v>91.59</v>
      </c>
      <c r="G18" s="244">
        <f t="shared" si="0"/>
        <v>4579.5</v>
      </c>
      <c r="H18" s="244"/>
      <c r="I18" s="244"/>
      <c r="J18" s="244">
        <f t="shared" si="3"/>
        <v>0</v>
      </c>
      <c r="K18" s="244">
        <f t="shared" ref="K18:K21" si="5">G18+J18</f>
        <v>4579.5</v>
      </c>
      <c r="L18" s="244">
        <f t="shared" ref="L18:L21" si="6">+K18</f>
        <v>4579.5</v>
      </c>
      <c r="M18" s="225"/>
      <c r="N18" s="19"/>
    </row>
    <row r="19" spans="1:15">
      <c r="A19" s="28">
        <v>16</v>
      </c>
      <c r="B19" s="29">
        <v>45854</v>
      </c>
      <c r="C19" s="19"/>
      <c r="D19" s="19"/>
      <c r="E19" s="225">
        <v>0</v>
      </c>
      <c r="F19" s="225">
        <v>0</v>
      </c>
      <c r="G19" s="244">
        <f t="shared" si="0"/>
        <v>0</v>
      </c>
      <c r="H19" s="244"/>
      <c r="I19" s="244"/>
      <c r="J19" s="244">
        <f t="shared" si="3"/>
        <v>0</v>
      </c>
      <c r="K19" s="244">
        <f t="shared" si="5"/>
        <v>0</v>
      </c>
      <c r="L19" s="244">
        <f t="shared" si="6"/>
        <v>0</v>
      </c>
      <c r="M19" s="225"/>
      <c r="N19" s="19"/>
    </row>
    <row r="20" spans="1:15">
      <c r="A20" s="28">
        <v>17</v>
      </c>
      <c r="B20" s="29">
        <v>45855</v>
      </c>
      <c r="C20" s="19"/>
      <c r="D20" s="19"/>
      <c r="E20" s="225">
        <v>0</v>
      </c>
      <c r="F20" s="225">
        <v>0</v>
      </c>
      <c r="G20" s="244">
        <f t="shared" si="0"/>
        <v>0</v>
      </c>
      <c r="H20" s="244"/>
      <c r="I20" s="244"/>
      <c r="J20" s="244">
        <f t="shared" si="3"/>
        <v>0</v>
      </c>
      <c r="K20" s="244">
        <f t="shared" si="5"/>
        <v>0</v>
      </c>
      <c r="L20" s="244">
        <f t="shared" si="6"/>
        <v>0</v>
      </c>
      <c r="M20" s="225"/>
      <c r="N20" s="19"/>
    </row>
    <row r="21" spans="1:15">
      <c r="A21" s="28">
        <v>18</v>
      </c>
      <c r="B21" s="29">
        <v>45856</v>
      </c>
      <c r="C21" s="19"/>
      <c r="D21" s="19"/>
      <c r="E21" s="225">
        <v>0</v>
      </c>
      <c r="F21" s="225">
        <v>0</v>
      </c>
      <c r="G21" s="244">
        <f t="shared" si="0"/>
        <v>0</v>
      </c>
      <c r="H21" s="244">
        <v>2</v>
      </c>
      <c r="I21" s="244">
        <v>103.53</v>
      </c>
      <c r="J21" s="244">
        <f t="shared" si="3"/>
        <v>207.06</v>
      </c>
      <c r="K21" s="244">
        <f t="shared" si="5"/>
        <v>207.06</v>
      </c>
      <c r="L21" s="244">
        <f t="shared" si="6"/>
        <v>207.06</v>
      </c>
      <c r="M21" s="225"/>
      <c r="N21" s="19"/>
    </row>
    <row r="22" spans="1:15">
      <c r="A22" s="28">
        <v>19</v>
      </c>
      <c r="B22" s="29">
        <v>45857</v>
      </c>
      <c r="C22" s="19"/>
      <c r="D22" s="19"/>
      <c r="E22" s="225">
        <v>0</v>
      </c>
      <c r="F22" s="225">
        <v>0</v>
      </c>
      <c r="G22" s="244">
        <f t="shared" si="0"/>
        <v>0</v>
      </c>
      <c r="H22" s="244"/>
      <c r="I22" s="244"/>
      <c r="J22" s="244">
        <f t="shared" si="3"/>
        <v>0</v>
      </c>
      <c r="K22" s="244">
        <f t="shared" ref="K22:K24" si="7">G22+J22</f>
        <v>0</v>
      </c>
      <c r="L22" s="244">
        <f t="shared" ref="L22:L24" si="8">+K22</f>
        <v>0</v>
      </c>
      <c r="M22" s="225"/>
      <c r="N22" s="19"/>
    </row>
    <row r="23" spans="1:15">
      <c r="A23" s="28">
        <v>20</v>
      </c>
      <c r="B23" s="29">
        <v>45858</v>
      </c>
      <c r="C23" s="19"/>
      <c r="D23" s="19"/>
      <c r="E23" s="225">
        <v>0</v>
      </c>
      <c r="F23" s="225">
        <v>0</v>
      </c>
      <c r="G23" s="244">
        <f t="shared" si="0"/>
        <v>0</v>
      </c>
      <c r="H23" s="244"/>
      <c r="I23" s="244"/>
      <c r="J23" s="244">
        <f t="shared" si="3"/>
        <v>0</v>
      </c>
      <c r="K23" s="244">
        <f t="shared" si="7"/>
        <v>0</v>
      </c>
      <c r="L23" s="244">
        <f t="shared" si="8"/>
        <v>0</v>
      </c>
      <c r="M23" s="225"/>
      <c r="N23" s="19"/>
    </row>
    <row r="24" spans="1:15">
      <c r="A24" s="28">
        <v>21</v>
      </c>
      <c r="B24" s="29">
        <v>45859</v>
      </c>
      <c r="C24" s="19"/>
      <c r="D24" s="19"/>
      <c r="E24" s="225">
        <v>0</v>
      </c>
      <c r="F24" s="225">
        <v>0</v>
      </c>
      <c r="G24" s="244">
        <f t="shared" si="0"/>
        <v>0</v>
      </c>
      <c r="H24" s="244"/>
      <c r="I24" s="244"/>
      <c r="J24" s="244">
        <f t="shared" si="3"/>
        <v>0</v>
      </c>
      <c r="K24" s="244">
        <f t="shared" si="7"/>
        <v>0</v>
      </c>
      <c r="L24" s="244">
        <f t="shared" si="8"/>
        <v>0</v>
      </c>
      <c r="M24" s="225"/>
      <c r="N24" s="19"/>
    </row>
    <row r="25" spans="1:15">
      <c r="A25" s="28">
        <v>22</v>
      </c>
      <c r="B25" s="29">
        <v>45860</v>
      </c>
      <c r="C25" s="19"/>
      <c r="D25" s="19"/>
      <c r="E25" s="225">
        <v>0</v>
      </c>
      <c r="F25" s="225">
        <v>0</v>
      </c>
      <c r="G25" s="244">
        <f t="shared" si="0"/>
        <v>0</v>
      </c>
      <c r="H25" s="244"/>
      <c r="I25" s="244"/>
      <c r="J25" s="244">
        <f t="shared" si="3"/>
        <v>0</v>
      </c>
      <c r="K25" s="244">
        <f t="shared" ref="K25:K26" si="9">G25+J25</f>
        <v>0</v>
      </c>
      <c r="L25" s="244">
        <f t="shared" ref="L25:L26" si="10">+K25</f>
        <v>0</v>
      </c>
      <c r="M25" s="225"/>
      <c r="N25" s="19"/>
    </row>
    <row r="26" spans="1:15">
      <c r="A26" s="28">
        <v>23</v>
      </c>
      <c r="B26" s="29">
        <v>45861</v>
      </c>
      <c r="C26" s="19"/>
      <c r="D26" s="19"/>
      <c r="E26" s="225">
        <v>0</v>
      </c>
      <c r="F26" s="225">
        <v>0</v>
      </c>
      <c r="G26" s="244">
        <f t="shared" si="0"/>
        <v>0</v>
      </c>
      <c r="H26" s="244">
        <v>2</v>
      </c>
      <c r="I26" s="244">
        <v>103.53</v>
      </c>
      <c r="J26" s="244">
        <f t="shared" si="3"/>
        <v>207.06</v>
      </c>
      <c r="K26" s="244">
        <f t="shared" si="9"/>
        <v>207.06</v>
      </c>
      <c r="L26" s="244">
        <f t="shared" si="10"/>
        <v>207.06</v>
      </c>
      <c r="M26" s="225"/>
      <c r="N26" s="19"/>
    </row>
    <row r="27" spans="1:15">
      <c r="A27" s="28">
        <v>24</v>
      </c>
      <c r="B27" s="29">
        <v>45862</v>
      </c>
      <c r="C27" s="19"/>
      <c r="D27" s="19"/>
      <c r="E27" s="225">
        <v>50</v>
      </c>
      <c r="F27" s="225">
        <v>91.59</v>
      </c>
      <c r="G27" s="244">
        <f t="shared" si="0"/>
        <v>4579.5</v>
      </c>
      <c r="H27" s="244">
        <v>0</v>
      </c>
      <c r="I27" s="244">
        <v>103.53</v>
      </c>
      <c r="J27" s="244">
        <f t="shared" si="3"/>
        <v>0</v>
      </c>
      <c r="K27" s="244">
        <f t="shared" ref="K27:K29" si="11">G27+J27</f>
        <v>4579.5</v>
      </c>
      <c r="L27" s="244">
        <f t="shared" ref="L27:L29" si="12">+K27</f>
        <v>4579.5</v>
      </c>
      <c r="M27" s="225"/>
      <c r="N27" s="19"/>
      <c r="O27">
        <v>0</v>
      </c>
    </row>
    <row r="28" spans="1:15">
      <c r="A28" s="28">
        <v>25</v>
      </c>
      <c r="B28" s="29">
        <v>45863</v>
      </c>
      <c r="C28" s="19"/>
      <c r="D28" s="19"/>
      <c r="E28" s="225">
        <v>0</v>
      </c>
      <c r="F28" s="225">
        <v>0</v>
      </c>
      <c r="G28" s="244">
        <f t="shared" si="0"/>
        <v>0</v>
      </c>
      <c r="H28" s="244"/>
      <c r="I28" s="244"/>
      <c r="J28" s="244">
        <f t="shared" si="3"/>
        <v>0</v>
      </c>
      <c r="K28" s="244">
        <f t="shared" si="11"/>
        <v>0</v>
      </c>
      <c r="L28" s="244">
        <f t="shared" si="12"/>
        <v>0</v>
      </c>
      <c r="M28" s="225"/>
      <c r="N28" s="19"/>
    </row>
    <row r="29" spans="1:15">
      <c r="A29" s="28">
        <v>26</v>
      </c>
      <c r="B29" s="29">
        <v>45864</v>
      </c>
      <c r="C29" s="19"/>
      <c r="D29" s="19"/>
      <c r="E29" s="225">
        <v>45</v>
      </c>
      <c r="F29" s="225">
        <v>91.59</v>
      </c>
      <c r="G29" s="244">
        <f t="shared" si="0"/>
        <v>4121.55</v>
      </c>
      <c r="H29" s="244">
        <v>6.07</v>
      </c>
      <c r="I29" s="244">
        <v>103.53</v>
      </c>
      <c r="J29" s="244">
        <f t="shared" si="3"/>
        <v>628.4271</v>
      </c>
      <c r="K29" s="244">
        <f t="shared" si="11"/>
        <v>4749.9771000000001</v>
      </c>
      <c r="L29" s="244">
        <f t="shared" si="12"/>
        <v>4749.9771000000001</v>
      </c>
      <c r="M29" s="225"/>
      <c r="N29" s="19"/>
    </row>
    <row r="30" spans="1:15">
      <c r="A30" s="28">
        <v>27</v>
      </c>
      <c r="B30" s="29">
        <v>45865</v>
      </c>
      <c r="C30" s="19"/>
      <c r="D30" s="19"/>
      <c r="E30" s="225">
        <v>0</v>
      </c>
      <c r="F30" s="225">
        <v>0</v>
      </c>
      <c r="G30" s="244">
        <f t="shared" si="0"/>
        <v>0</v>
      </c>
      <c r="H30" s="244"/>
      <c r="I30" s="244"/>
      <c r="J30" s="244"/>
      <c r="K30" s="244">
        <f t="shared" ref="K30" si="13">G30+J30</f>
        <v>0</v>
      </c>
      <c r="L30" s="244">
        <f t="shared" ref="L30" si="14">+K30</f>
        <v>0</v>
      </c>
      <c r="M30" s="225"/>
      <c r="N30" s="19"/>
    </row>
    <row r="31" spans="1:15">
      <c r="A31" s="261">
        <v>28</v>
      </c>
      <c r="B31" s="29">
        <v>45866</v>
      </c>
      <c r="C31" s="19"/>
      <c r="D31" s="19"/>
      <c r="E31" s="225">
        <v>0</v>
      </c>
      <c r="F31" s="225">
        <v>0</v>
      </c>
      <c r="G31" s="244">
        <f t="shared" si="0"/>
        <v>0</v>
      </c>
      <c r="H31" s="244"/>
      <c r="I31" s="244"/>
      <c r="J31" s="244"/>
      <c r="K31" s="244">
        <f t="shared" ref="K31:K33" si="15">G31+J31</f>
        <v>0</v>
      </c>
      <c r="L31" s="244">
        <f t="shared" ref="L31:L33" si="16">+K31</f>
        <v>0</v>
      </c>
      <c r="M31" s="225"/>
      <c r="N31" s="107"/>
    </row>
    <row r="32" spans="1:15">
      <c r="A32" s="28">
        <v>29</v>
      </c>
      <c r="B32" s="29">
        <v>45867</v>
      </c>
      <c r="C32" s="19"/>
      <c r="D32" s="19"/>
      <c r="E32" s="225">
        <v>0</v>
      </c>
      <c r="F32" s="225">
        <v>0</v>
      </c>
      <c r="G32" s="244">
        <f t="shared" si="0"/>
        <v>0</v>
      </c>
      <c r="H32" s="244"/>
      <c r="I32" s="244"/>
      <c r="J32" s="244"/>
      <c r="K32" s="244">
        <f t="shared" si="15"/>
        <v>0</v>
      </c>
      <c r="L32" s="244">
        <f t="shared" si="16"/>
        <v>0</v>
      </c>
      <c r="M32" s="225"/>
      <c r="N32" s="19"/>
    </row>
    <row r="33" spans="1:14">
      <c r="A33" s="28">
        <v>30</v>
      </c>
      <c r="B33" s="29">
        <v>45868</v>
      </c>
      <c r="C33" s="19"/>
      <c r="D33" s="19"/>
      <c r="E33" s="225">
        <v>0</v>
      </c>
      <c r="F33" s="225">
        <v>0</v>
      </c>
      <c r="G33" s="244">
        <f t="shared" si="0"/>
        <v>0</v>
      </c>
      <c r="H33" s="244"/>
      <c r="I33" s="244"/>
      <c r="J33" s="244"/>
      <c r="K33" s="244">
        <f t="shared" si="15"/>
        <v>0</v>
      </c>
      <c r="L33" s="244">
        <f t="shared" si="16"/>
        <v>0</v>
      </c>
      <c r="M33" s="225"/>
      <c r="N33" s="19"/>
    </row>
    <row r="34" spans="1:14">
      <c r="A34" s="28">
        <v>31</v>
      </c>
      <c r="B34" s="29"/>
      <c r="C34" s="19"/>
      <c r="D34" s="19"/>
      <c r="E34" s="225">
        <v>0</v>
      </c>
      <c r="F34" s="225">
        <v>0</v>
      </c>
      <c r="G34" s="244">
        <f t="shared" ref="G5:G34" si="17">E34*F34</f>
        <v>0</v>
      </c>
      <c r="H34" s="244"/>
      <c r="I34" s="244"/>
      <c r="J34" s="244"/>
      <c r="K34" s="244"/>
      <c r="L34" s="244"/>
      <c r="M34" s="225"/>
      <c r="N34" s="19"/>
    </row>
    <row r="35" spans="1:14">
      <c r="A35" s="204"/>
      <c r="B35" s="204"/>
      <c r="C35" s="204"/>
      <c r="D35" s="204"/>
      <c r="E35" s="204">
        <f>SUM(E4:E34)</f>
        <v>195</v>
      </c>
      <c r="F35" s="204"/>
      <c r="G35" s="204">
        <f>SUM(G4:G34)</f>
        <v>17860.05</v>
      </c>
      <c r="H35" s="204">
        <f>SUM(H4:H34)</f>
        <v>28.080000000000002</v>
      </c>
      <c r="I35" s="204"/>
      <c r="J35" s="204">
        <f>SUM(J4:J34)</f>
        <v>2907.1224000000002</v>
      </c>
      <c r="K35" s="204">
        <f>SUM(K4:K34)</f>
        <v>20767.172399999999</v>
      </c>
      <c r="L35" s="204">
        <f>SUM(L4:L34)</f>
        <v>20767.172399999999</v>
      </c>
      <c r="M35" s="204"/>
      <c r="N35" s="204"/>
    </row>
  </sheetData>
  <mergeCells count="2">
    <mergeCell ref="A1:N1"/>
    <mergeCell ref="A3:J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B3BE-D862-4195-B5AF-A057F3C991D4}">
  <dimension ref="A1:P42"/>
  <sheetViews>
    <sheetView workbookViewId="0">
      <pane ySplit="2" topLeftCell="A3" activePane="bottomLeft" state="frozen"/>
      <selection pane="bottomLeft" activeCell="Q43" sqref="Q43"/>
    </sheetView>
  </sheetViews>
  <sheetFormatPr defaultColWidth="14.2851562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9.28515625" customWidth="1"/>
    <col min="5" max="5" width="10.7109375" style="24" bestFit="1" customWidth="1"/>
    <col min="6" max="6" width="9.5703125" style="24" bestFit="1" customWidth="1"/>
    <col min="7" max="7" width="9.28515625" style="24" bestFit="1" customWidth="1"/>
    <col min="8" max="8" width="10.7109375" style="24" bestFit="1" customWidth="1"/>
    <col min="9" max="9" width="7.140625" style="24" bestFit="1" customWidth="1"/>
    <col min="10" max="10" width="8.7109375" style="24" bestFit="1" customWidth="1"/>
    <col min="11" max="11" width="13.5703125" style="24" bestFit="1" customWidth="1"/>
    <col min="12" max="12" width="13.5703125" bestFit="1" customWidth="1"/>
    <col min="13" max="13" width="13.5703125" customWidth="1"/>
    <col min="14" max="14" width="17.7109375" bestFit="1" customWidth="1"/>
  </cols>
  <sheetData>
    <row r="1" spans="1:16" ht="15.75">
      <c r="A1" s="457" t="s">
        <v>60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</row>
    <row r="2" spans="1:16">
      <c r="A2" s="76" t="s">
        <v>105</v>
      </c>
      <c r="B2" s="96" t="s">
        <v>106</v>
      </c>
      <c r="C2" s="96" t="s">
        <v>107</v>
      </c>
      <c r="D2" s="96" t="s">
        <v>108</v>
      </c>
      <c r="E2" s="103" t="s">
        <v>109</v>
      </c>
      <c r="F2" s="103" t="s">
        <v>110</v>
      </c>
      <c r="G2" s="103" t="s">
        <v>111</v>
      </c>
      <c r="H2" s="103" t="s">
        <v>112</v>
      </c>
      <c r="I2" s="103" t="s">
        <v>110</v>
      </c>
      <c r="J2" s="103" t="s">
        <v>111</v>
      </c>
      <c r="K2" s="104" t="s">
        <v>113</v>
      </c>
      <c r="L2" s="98" t="s">
        <v>114</v>
      </c>
      <c r="M2" s="98" t="s">
        <v>120</v>
      </c>
      <c r="N2" s="140" t="s">
        <v>116</v>
      </c>
    </row>
    <row r="3" spans="1:16">
      <c r="A3" s="424" t="s">
        <v>117</v>
      </c>
      <c r="B3" s="424"/>
      <c r="C3" s="424"/>
      <c r="D3" s="424"/>
      <c r="E3" s="424"/>
      <c r="F3" s="424"/>
      <c r="G3" s="424"/>
      <c r="H3" s="424"/>
      <c r="I3" s="424"/>
      <c r="J3" s="435"/>
      <c r="K3" s="236">
        <v>17065.879600000004</v>
      </c>
      <c r="M3" s="150">
        <f>+K3</f>
        <v>17065.879600000004</v>
      </c>
      <c r="N3" s="107"/>
    </row>
    <row r="4" spans="1:16">
      <c r="A4" s="28">
        <v>1</v>
      </c>
      <c r="B4" s="29">
        <v>45839</v>
      </c>
      <c r="C4" s="19"/>
      <c r="D4" s="19"/>
      <c r="E4" s="46">
        <v>34.89</v>
      </c>
      <c r="F4" s="46">
        <v>91.71</v>
      </c>
      <c r="G4" s="46">
        <f>E4*F4</f>
        <v>3199.7619</v>
      </c>
      <c r="H4" s="46">
        <v>0</v>
      </c>
      <c r="I4" s="46">
        <v>0</v>
      </c>
      <c r="J4" s="46">
        <f>H4*I4</f>
        <v>0</v>
      </c>
      <c r="K4" s="46">
        <f>G4+J4</f>
        <v>3199.7619</v>
      </c>
      <c r="L4" s="46">
        <v>3199.76</v>
      </c>
      <c r="M4" s="151">
        <f>M3+K4-L4</f>
        <v>17065.881500000003</v>
      </c>
      <c r="N4" s="19"/>
    </row>
    <row r="5" spans="1:16">
      <c r="A5" s="28">
        <v>2</v>
      </c>
      <c r="B5" s="29">
        <v>45840</v>
      </c>
      <c r="C5" s="19"/>
      <c r="D5" s="19"/>
      <c r="E5" s="46">
        <v>24.37</v>
      </c>
      <c r="F5" s="46">
        <v>92.03</v>
      </c>
      <c r="G5" s="46">
        <f t="shared" ref="G5:G40" si="0">E5*F5</f>
        <v>2242.7710999999999</v>
      </c>
      <c r="H5" s="46">
        <v>0</v>
      </c>
      <c r="I5" s="46">
        <v>0</v>
      </c>
      <c r="J5" s="46">
        <f t="shared" ref="J5:J40" si="1">H5*I5</f>
        <v>0</v>
      </c>
      <c r="K5" s="46">
        <f t="shared" ref="K5:L40" si="2">G5+J5</f>
        <v>2242.7710999999999</v>
      </c>
      <c r="L5" s="46">
        <v>2242.77</v>
      </c>
      <c r="M5" s="151">
        <f t="shared" ref="M5:M41" si="3">M4+K5-L5</f>
        <v>17065.882600000001</v>
      </c>
      <c r="N5" s="19"/>
    </row>
    <row r="6" spans="1:16">
      <c r="A6" s="28">
        <v>3</v>
      </c>
      <c r="B6" s="29">
        <v>45841</v>
      </c>
      <c r="C6" s="19"/>
      <c r="D6" s="19"/>
      <c r="E6" s="244">
        <v>48.19</v>
      </c>
      <c r="F6" s="244">
        <v>91.71</v>
      </c>
      <c r="G6" s="46">
        <f t="shared" si="0"/>
        <v>4419.5048999999999</v>
      </c>
      <c r="H6" s="46">
        <v>0</v>
      </c>
      <c r="I6" s="46">
        <v>0</v>
      </c>
      <c r="J6" s="46">
        <f t="shared" si="1"/>
        <v>0</v>
      </c>
      <c r="K6" s="46">
        <f t="shared" si="2"/>
        <v>4419.5048999999999</v>
      </c>
      <c r="L6" s="46">
        <v>0</v>
      </c>
      <c r="M6" s="151">
        <f t="shared" si="3"/>
        <v>21485.387500000001</v>
      </c>
      <c r="N6" s="19"/>
    </row>
    <row r="7" spans="1:16">
      <c r="A7" s="28"/>
      <c r="B7" s="29">
        <v>45841</v>
      </c>
      <c r="C7" s="19"/>
      <c r="D7" s="19"/>
      <c r="E7" s="244">
        <v>44.47</v>
      </c>
      <c r="F7" s="244">
        <v>90.56</v>
      </c>
      <c r="G7" s="46">
        <f t="shared" si="0"/>
        <v>4027.2031999999999</v>
      </c>
      <c r="H7" s="46">
        <v>0</v>
      </c>
      <c r="I7" s="46">
        <v>0</v>
      </c>
      <c r="J7" s="46">
        <f t="shared" ref="J7:J10" si="4">H7*I7</f>
        <v>0</v>
      </c>
      <c r="K7" s="46">
        <f t="shared" ref="K7:K10" si="5">G7+J7</f>
        <v>4027.2031999999999</v>
      </c>
      <c r="L7" s="46">
        <v>4027.2</v>
      </c>
      <c r="M7" s="151">
        <f t="shared" ref="M7:M41" si="6">M6+K7-L7</f>
        <v>21485.3907</v>
      </c>
      <c r="N7" s="19"/>
    </row>
    <row r="8" spans="1:16">
      <c r="A8" s="28">
        <v>4</v>
      </c>
      <c r="B8" s="29">
        <v>45842</v>
      </c>
      <c r="C8" s="19"/>
      <c r="D8" s="19"/>
      <c r="E8" s="46">
        <v>0</v>
      </c>
      <c r="F8" s="46">
        <v>0</v>
      </c>
      <c r="G8" s="46">
        <f t="shared" si="0"/>
        <v>0</v>
      </c>
      <c r="H8" s="46">
        <v>0</v>
      </c>
      <c r="I8" s="46">
        <v>0</v>
      </c>
      <c r="J8" s="46">
        <f t="shared" si="4"/>
        <v>0</v>
      </c>
      <c r="K8" s="46">
        <f t="shared" si="5"/>
        <v>0</v>
      </c>
      <c r="L8" s="46">
        <v>0</v>
      </c>
      <c r="M8" s="151">
        <f t="shared" si="6"/>
        <v>21485.3907</v>
      </c>
      <c r="N8" s="19"/>
    </row>
    <row r="9" spans="1:16">
      <c r="A9" s="28">
        <v>5</v>
      </c>
      <c r="B9" s="29">
        <v>45843</v>
      </c>
      <c r="C9" s="19"/>
      <c r="D9" s="19"/>
      <c r="E9" s="46">
        <v>34</v>
      </c>
      <c r="F9" s="244">
        <v>91.71</v>
      </c>
      <c r="G9" s="46">
        <f t="shared" si="0"/>
        <v>3118.14</v>
      </c>
      <c r="H9" s="46">
        <v>0</v>
      </c>
      <c r="I9" s="46">
        <v>0</v>
      </c>
      <c r="J9" s="46">
        <f t="shared" si="4"/>
        <v>0</v>
      </c>
      <c r="K9" s="46">
        <f t="shared" si="5"/>
        <v>3118.14</v>
      </c>
      <c r="L9" s="46">
        <v>3118.14</v>
      </c>
      <c r="M9" s="151">
        <f t="shared" si="6"/>
        <v>21485.3907</v>
      </c>
      <c r="N9" s="19"/>
    </row>
    <row r="10" spans="1:16">
      <c r="A10" s="28"/>
      <c r="B10" s="29">
        <v>45844</v>
      </c>
      <c r="C10" s="19"/>
      <c r="D10" s="19"/>
      <c r="E10" s="46">
        <v>27.39</v>
      </c>
      <c r="F10" s="244">
        <v>91.27</v>
      </c>
      <c r="G10" s="46">
        <f t="shared" si="0"/>
        <v>2499.8852999999999</v>
      </c>
      <c r="H10" s="46">
        <v>0</v>
      </c>
      <c r="I10" s="46">
        <v>0</v>
      </c>
      <c r="J10" s="46">
        <f t="shared" si="4"/>
        <v>0</v>
      </c>
      <c r="K10" s="46">
        <f t="shared" si="5"/>
        <v>2499.8852999999999</v>
      </c>
      <c r="L10" s="46">
        <v>2499.89</v>
      </c>
      <c r="M10" s="151">
        <f t="shared" si="6"/>
        <v>21485.385999999999</v>
      </c>
      <c r="N10" s="19"/>
    </row>
    <row r="11" spans="1:16">
      <c r="A11" s="28">
        <v>6</v>
      </c>
      <c r="B11" s="29">
        <v>45845</v>
      </c>
      <c r="C11" s="19"/>
      <c r="D11" s="19"/>
      <c r="E11" s="46">
        <v>0</v>
      </c>
      <c r="F11" s="244">
        <v>0</v>
      </c>
      <c r="G11" s="46">
        <f t="shared" si="0"/>
        <v>0</v>
      </c>
      <c r="H11" s="46">
        <v>8.08</v>
      </c>
      <c r="I11" s="46">
        <v>105.19</v>
      </c>
      <c r="J11" s="46">
        <f t="shared" si="1"/>
        <v>849.93520000000001</v>
      </c>
      <c r="K11" s="46">
        <f t="shared" si="2"/>
        <v>849.93520000000001</v>
      </c>
      <c r="L11" s="46">
        <v>0</v>
      </c>
      <c r="M11" s="151">
        <f t="shared" si="6"/>
        <v>22335.321199999998</v>
      </c>
      <c r="N11" s="53"/>
    </row>
    <row r="12" spans="1:16">
      <c r="A12" s="28">
        <v>7</v>
      </c>
      <c r="B12" s="29">
        <v>45846</v>
      </c>
      <c r="C12" s="19"/>
      <c r="D12" s="19"/>
      <c r="E12" s="46">
        <v>44.22</v>
      </c>
      <c r="F12" s="244">
        <v>91.71</v>
      </c>
      <c r="G12" s="46">
        <f t="shared" si="0"/>
        <v>4055.4161999999997</v>
      </c>
      <c r="H12" s="46">
        <v>0</v>
      </c>
      <c r="I12" s="46">
        <v>0</v>
      </c>
      <c r="J12" s="46">
        <f t="shared" si="1"/>
        <v>0</v>
      </c>
      <c r="K12" s="46">
        <f t="shared" si="2"/>
        <v>4055.4161999999997</v>
      </c>
      <c r="L12" s="46">
        <v>0</v>
      </c>
      <c r="M12" s="151">
        <f t="shared" si="6"/>
        <v>26390.737399999998</v>
      </c>
      <c r="N12" s="53"/>
    </row>
    <row r="13" spans="1:16">
      <c r="A13" s="28">
        <v>8</v>
      </c>
      <c r="B13" s="29">
        <v>45847</v>
      </c>
      <c r="C13" s="19"/>
      <c r="D13" s="19"/>
      <c r="E13" s="46">
        <v>0</v>
      </c>
      <c r="F13" s="46">
        <v>0</v>
      </c>
      <c r="G13" s="46">
        <f t="shared" si="0"/>
        <v>0</v>
      </c>
      <c r="H13" s="46">
        <v>0</v>
      </c>
      <c r="I13" s="46">
        <v>0</v>
      </c>
      <c r="J13" s="46">
        <f t="shared" si="1"/>
        <v>0</v>
      </c>
      <c r="K13" s="46">
        <f t="shared" si="2"/>
        <v>0</v>
      </c>
      <c r="L13" s="46">
        <v>0</v>
      </c>
      <c r="M13" s="151">
        <f t="shared" si="6"/>
        <v>26390.737399999998</v>
      </c>
      <c r="N13" s="53"/>
      <c r="P13" s="24"/>
    </row>
    <row r="14" spans="1:16">
      <c r="A14" s="28">
        <v>9</v>
      </c>
      <c r="B14" s="29">
        <v>45848</v>
      </c>
      <c r="C14" s="19"/>
      <c r="D14" s="19"/>
      <c r="E14" s="46">
        <v>40.799999999999997</v>
      </c>
      <c r="F14" s="46">
        <v>90.55</v>
      </c>
      <c r="G14" s="46">
        <f t="shared" si="0"/>
        <v>3694.4399999999996</v>
      </c>
      <c r="H14" s="46">
        <v>0</v>
      </c>
      <c r="I14" s="46">
        <v>0</v>
      </c>
      <c r="J14" s="46">
        <f t="shared" si="1"/>
        <v>0</v>
      </c>
      <c r="K14" s="46">
        <f t="shared" si="2"/>
        <v>3694.4399999999996</v>
      </c>
      <c r="L14" s="46">
        <v>3694.44</v>
      </c>
      <c r="M14" s="151">
        <f t="shared" si="6"/>
        <v>26390.737399999998</v>
      </c>
      <c r="N14" s="53"/>
      <c r="P14" s="24"/>
    </row>
    <row r="15" spans="1:16">
      <c r="A15" s="28"/>
      <c r="B15" s="29">
        <v>45848</v>
      </c>
      <c r="C15" s="19"/>
      <c r="D15" s="19"/>
      <c r="E15" s="46">
        <v>13.08</v>
      </c>
      <c r="F15" s="46">
        <v>91.71</v>
      </c>
      <c r="G15" s="46">
        <f t="shared" si="0"/>
        <v>1199.5667999999998</v>
      </c>
      <c r="H15" s="46">
        <v>0</v>
      </c>
      <c r="I15" s="46">
        <v>0</v>
      </c>
      <c r="J15" s="46">
        <f t="shared" ref="J15" si="7">H15*I15</f>
        <v>0</v>
      </c>
      <c r="K15" s="46">
        <f t="shared" si="2"/>
        <v>1199.5667999999998</v>
      </c>
      <c r="L15" s="46">
        <v>1199.57</v>
      </c>
      <c r="M15" s="151">
        <f t="shared" si="6"/>
        <v>26390.734199999999</v>
      </c>
      <c r="N15" s="53"/>
      <c r="P15" s="24"/>
    </row>
    <row r="16" spans="1:16">
      <c r="A16" s="28">
        <v>10</v>
      </c>
      <c r="B16" s="29">
        <v>45849</v>
      </c>
      <c r="C16" s="19"/>
      <c r="D16" s="19"/>
      <c r="E16" s="46">
        <v>0</v>
      </c>
      <c r="F16" s="46">
        <v>0</v>
      </c>
      <c r="G16" s="46">
        <f t="shared" si="0"/>
        <v>0</v>
      </c>
      <c r="H16" s="46">
        <v>0</v>
      </c>
      <c r="I16" s="46">
        <v>0</v>
      </c>
      <c r="J16" s="46">
        <f t="shared" si="1"/>
        <v>0</v>
      </c>
      <c r="K16" s="46">
        <f t="shared" si="2"/>
        <v>0</v>
      </c>
      <c r="L16" s="46">
        <v>12505.89</v>
      </c>
      <c r="M16" s="151">
        <f t="shared" si="6"/>
        <v>13884.8442</v>
      </c>
      <c r="N16" s="53"/>
      <c r="P16" s="24"/>
    </row>
    <row r="17" spans="1:16">
      <c r="A17" s="28">
        <v>11</v>
      </c>
      <c r="B17" s="29">
        <v>45850</v>
      </c>
      <c r="C17" s="19"/>
      <c r="D17" s="19"/>
      <c r="E17" s="46">
        <v>0</v>
      </c>
      <c r="F17" s="46">
        <v>0</v>
      </c>
      <c r="G17" s="46">
        <f t="shared" si="0"/>
        <v>0</v>
      </c>
      <c r="H17" s="46">
        <v>0</v>
      </c>
      <c r="I17" s="46">
        <v>0</v>
      </c>
      <c r="J17" s="46">
        <f t="shared" si="1"/>
        <v>0</v>
      </c>
      <c r="K17" s="46">
        <f t="shared" si="2"/>
        <v>0</v>
      </c>
      <c r="L17" s="46">
        <v>7010.67</v>
      </c>
      <c r="M17" s="151">
        <f t="shared" si="6"/>
        <v>6874.1741999999995</v>
      </c>
      <c r="N17" s="53"/>
      <c r="P17" s="24"/>
    </row>
    <row r="18" spans="1:16">
      <c r="A18" s="28">
        <v>12</v>
      </c>
      <c r="B18" s="29">
        <v>45851</v>
      </c>
      <c r="C18" s="19"/>
      <c r="D18" s="19"/>
      <c r="E18" s="46">
        <v>38.15</v>
      </c>
      <c r="F18" s="46">
        <v>91.71</v>
      </c>
      <c r="G18" s="46">
        <f t="shared" si="0"/>
        <v>3498.7364999999995</v>
      </c>
      <c r="H18" s="46">
        <v>0</v>
      </c>
      <c r="I18" s="46">
        <v>0</v>
      </c>
      <c r="J18" s="46">
        <f t="shared" si="1"/>
        <v>0</v>
      </c>
      <c r="K18" s="46">
        <f t="shared" si="2"/>
        <v>3498.7364999999995</v>
      </c>
      <c r="L18" s="46">
        <v>0</v>
      </c>
      <c r="M18" s="151">
        <f t="shared" si="6"/>
        <v>10372.910699999999</v>
      </c>
      <c r="N18" s="53"/>
    </row>
    <row r="19" spans="1:16">
      <c r="A19" s="28">
        <v>13</v>
      </c>
      <c r="B19" s="29">
        <v>45852</v>
      </c>
      <c r="C19" s="19"/>
      <c r="D19" s="19"/>
      <c r="E19" s="46">
        <v>37.479999999999997</v>
      </c>
      <c r="F19" s="46">
        <v>91.71</v>
      </c>
      <c r="G19" s="46">
        <f t="shared" si="0"/>
        <v>3437.2907999999993</v>
      </c>
      <c r="H19" s="46">
        <v>0</v>
      </c>
      <c r="I19" s="46">
        <v>0</v>
      </c>
      <c r="J19" s="46">
        <f t="shared" si="1"/>
        <v>0</v>
      </c>
      <c r="K19" s="46">
        <f t="shared" si="2"/>
        <v>3437.2907999999993</v>
      </c>
      <c r="L19" s="46">
        <v>0</v>
      </c>
      <c r="M19" s="151">
        <f t="shared" si="6"/>
        <v>13810.201499999997</v>
      </c>
      <c r="N19" s="53"/>
    </row>
    <row r="20" spans="1:16">
      <c r="A20" s="28">
        <v>14</v>
      </c>
      <c r="B20" s="29">
        <v>45853</v>
      </c>
      <c r="C20" s="19"/>
      <c r="D20" s="19"/>
      <c r="E20" s="46">
        <v>39.93</v>
      </c>
      <c r="F20" s="46">
        <v>91.05</v>
      </c>
      <c r="G20" s="46">
        <f t="shared" si="0"/>
        <v>3635.6264999999999</v>
      </c>
      <c r="H20" s="46">
        <v>0</v>
      </c>
      <c r="I20" s="46">
        <v>0</v>
      </c>
      <c r="J20" s="46">
        <f t="shared" si="1"/>
        <v>0</v>
      </c>
      <c r="K20" s="46">
        <f t="shared" si="2"/>
        <v>3635.6264999999999</v>
      </c>
      <c r="L20" s="46">
        <v>3635.63</v>
      </c>
      <c r="M20" s="151">
        <f t="shared" si="6"/>
        <v>13810.197999999997</v>
      </c>
      <c r="N20" s="53"/>
    </row>
    <row r="21" spans="1:16">
      <c r="A21" s="28">
        <v>15</v>
      </c>
      <c r="B21" s="29">
        <v>45854</v>
      </c>
      <c r="C21" s="19"/>
      <c r="D21" s="19"/>
      <c r="E21" s="46">
        <v>21.74</v>
      </c>
      <c r="F21" s="46">
        <v>92.03</v>
      </c>
      <c r="G21" s="46">
        <f t="shared" si="0"/>
        <v>2000.7321999999999</v>
      </c>
      <c r="H21" s="46">
        <v>0</v>
      </c>
      <c r="I21" s="46">
        <v>0</v>
      </c>
      <c r="J21" s="46">
        <f t="shared" si="1"/>
        <v>0</v>
      </c>
      <c r="K21" s="46">
        <f t="shared" si="2"/>
        <v>2000.7321999999999</v>
      </c>
      <c r="L21" s="46">
        <f t="shared" si="2"/>
        <v>2000.7321999999999</v>
      </c>
      <c r="M21" s="151">
        <f t="shared" si="6"/>
        <v>13810.197999999997</v>
      </c>
      <c r="N21" s="53"/>
    </row>
    <row r="22" spans="1:16">
      <c r="A22" s="28">
        <v>16</v>
      </c>
      <c r="B22" s="29">
        <v>45855</v>
      </c>
      <c r="C22" s="19"/>
      <c r="D22" s="19"/>
      <c r="E22" s="46">
        <v>35.340000000000003</v>
      </c>
      <c r="F22" s="46">
        <v>91.71</v>
      </c>
      <c r="G22" s="46">
        <f t="shared" si="0"/>
        <v>3241.0314000000003</v>
      </c>
      <c r="H22" s="46">
        <v>0</v>
      </c>
      <c r="I22" s="46">
        <v>0</v>
      </c>
      <c r="J22" s="46">
        <f t="shared" si="1"/>
        <v>0</v>
      </c>
      <c r="K22" s="46">
        <f t="shared" si="2"/>
        <v>3241.0314000000003</v>
      </c>
      <c r="L22" s="46">
        <v>3241.03</v>
      </c>
      <c r="M22" s="151">
        <f t="shared" si="6"/>
        <v>13810.199399999996</v>
      </c>
      <c r="N22" s="53"/>
    </row>
    <row r="23" spans="1:16">
      <c r="A23" s="28">
        <v>17</v>
      </c>
      <c r="B23" s="29">
        <v>45856</v>
      </c>
      <c r="C23" s="19"/>
      <c r="D23" s="19"/>
      <c r="E23" s="46">
        <v>0</v>
      </c>
      <c r="F23" s="46">
        <v>0</v>
      </c>
      <c r="G23" s="46">
        <f t="shared" si="0"/>
        <v>0</v>
      </c>
      <c r="H23" s="46">
        <v>0</v>
      </c>
      <c r="I23" s="46">
        <v>0</v>
      </c>
      <c r="J23" s="46">
        <f t="shared" si="1"/>
        <v>0</v>
      </c>
      <c r="K23" s="46">
        <f t="shared" si="2"/>
        <v>0</v>
      </c>
      <c r="L23" s="46">
        <v>13710</v>
      </c>
      <c r="M23" s="151">
        <f t="shared" si="6"/>
        <v>100.19939999999588</v>
      </c>
      <c r="N23" s="53"/>
    </row>
    <row r="24" spans="1:16">
      <c r="A24" s="28">
        <v>18</v>
      </c>
      <c r="B24" s="29">
        <v>45857</v>
      </c>
      <c r="C24" s="19"/>
      <c r="D24" s="19"/>
      <c r="E24" s="244">
        <v>77.62</v>
      </c>
      <c r="F24" s="244">
        <v>91.71</v>
      </c>
      <c r="G24" s="46">
        <f t="shared" si="0"/>
        <v>7118.5302000000001</v>
      </c>
      <c r="H24" s="46">
        <v>0</v>
      </c>
      <c r="I24" s="46">
        <v>0</v>
      </c>
      <c r="J24" s="46">
        <f t="shared" si="1"/>
        <v>0</v>
      </c>
      <c r="K24" s="46">
        <f t="shared" si="2"/>
        <v>7118.5302000000001</v>
      </c>
      <c r="L24" s="46">
        <v>0</v>
      </c>
      <c r="M24" s="151">
        <f t="shared" si="6"/>
        <v>7218.729599999996</v>
      </c>
      <c r="N24" s="53"/>
    </row>
    <row r="25" spans="1:16">
      <c r="A25" s="28">
        <v>19</v>
      </c>
      <c r="B25" s="29">
        <v>45858</v>
      </c>
      <c r="C25" s="19"/>
      <c r="D25" s="19"/>
      <c r="E25" s="244">
        <v>37.520000000000003</v>
      </c>
      <c r="F25" s="244">
        <v>91.71</v>
      </c>
      <c r="G25" s="46">
        <f t="shared" si="0"/>
        <v>3440.9592000000002</v>
      </c>
      <c r="H25" s="46">
        <v>0</v>
      </c>
      <c r="I25" s="46">
        <v>0</v>
      </c>
      <c r="J25" s="46">
        <f t="shared" si="1"/>
        <v>0</v>
      </c>
      <c r="K25" s="46">
        <f t="shared" si="2"/>
        <v>3440.9592000000002</v>
      </c>
      <c r="L25" s="46">
        <v>0</v>
      </c>
      <c r="M25" s="151">
        <f t="shared" si="6"/>
        <v>10659.688799999996</v>
      </c>
      <c r="N25" s="53"/>
    </row>
    <row r="26" spans="1:16">
      <c r="A26" s="28">
        <v>20</v>
      </c>
      <c r="B26" s="29">
        <v>45859</v>
      </c>
      <c r="C26" s="19"/>
      <c r="D26" s="19"/>
      <c r="E26" s="46">
        <v>39.26</v>
      </c>
      <c r="F26" s="244">
        <v>91.71</v>
      </c>
      <c r="G26" s="46">
        <f t="shared" si="0"/>
        <v>3600.5345999999995</v>
      </c>
      <c r="H26" s="46">
        <v>0</v>
      </c>
      <c r="I26" s="46">
        <v>0</v>
      </c>
      <c r="J26" s="46">
        <f t="shared" si="1"/>
        <v>0</v>
      </c>
      <c r="K26" s="46">
        <f t="shared" si="2"/>
        <v>3600.5345999999995</v>
      </c>
      <c r="L26" s="46">
        <v>8224.66</v>
      </c>
      <c r="M26" s="151">
        <f t="shared" si="6"/>
        <v>6035.5633999999955</v>
      </c>
      <c r="N26" s="53"/>
    </row>
    <row r="27" spans="1:16">
      <c r="A27" s="28">
        <v>21</v>
      </c>
      <c r="B27" s="29">
        <v>45860</v>
      </c>
      <c r="C27" s="19"/>
      <c r="D27" s="19"/>
      <c r="E27" s="46">
        <v>81.459999999999994</v>
      </c>
      <c r="F27" s="244">
        <v>91.71</v>
      </c>
      <c r="G27" s="46">
        <f t="shared" si="0"/>
        <v>7470.6965999999993</v>
      </c>
      <c r="H27" s="46">
        <v>0</v>
      </c>
      <c r="I27" s="46">
        <v>0</v>
      </c>
      <c r="J27" s="46">
        <f t="shared" si="1"/>
        <v>0</v>
      </c>
      <c r="K27" s="46">
        <f t="shared" si="2"/>
        <v>7470.6965999999993</v>
      </c>
      <c r="L27" s="46">
        <v>3770.2</v>
      </c>
      <c r="M27" s="151">
        <f t="shared" si="6"/>
        <v>9736.059999999994</v>
      </c>
      <c r="N27" s="53"/>
    </row>
    <row r="28" spans="1:16">
      <c r="A28" s="28">
        <v>22</v>
      </c>
      <c r="B28" s="29">
        <v>45861</v>
      </c>
      <c r="C28" s="19"/>
      <c r="D28" s="19"/>
      <c r="E28" s="46">
        <v>45.8</v>
      </c>
      <c r="F28" s="244">
        <v>91.71</v>
      </c>
      <c r="G28" s="46">
        <f t="shared" si="0"/>
        <v>4200.3179999999993</v>
      </c>
      <c r="H28" s="46">
        <v>0</v>
      </c>
      <c r="I28" s="46">
        <v>0</v>
      </c>
      <c r="J28" s="46">
        <f t="shared" si="1"/>
        <v>0</v>
      </c>
      <c r="K28" s="46">
        <f t="shared" si="2"/>
        <v>4200.3179999999993</v>
      </c>
      <c r="L28" s="46">
        <v>0</v>
      </c>
      <c r="M28" s="151">
        <f t="shared" si="6"/>
        <v>13936.377999999993</v>
      </c>
      <c r="N28" s="53"/>
    </row>
    <row r="29" spans="1:16">
      <c r="A29" s="28">
        <v>23</v>
      </c>
      <c r="B29" s="29">
        <v>45862</v>
      </c>
      <c r="C29" s="19"/>
      <c r="D29" s="19"/>
      <c r="E29" s="46">
        <v>122.69</v>
      </c>
      <c r="F29" s="244">
        <v>91.71</v>
      </c>
      <c r="G29" s="46">
        <f t="shared" si="0"/>
        <v>11251.899899999999</v>
      </c>
      <c r="H29" s="46">
        <v>0</v>
      </c>
      <c r="I29" s="46">
        <v>0</v>
      </c>
      <c r="J29" s="46">
        <f t="shared" si="1"/>
        <v>0</v>
      </c>
      <c r="K29" s="46">
        <f t="shared" si="2"/>
        <v>11251.899899999999</v>
      </c>
      <c r="L29" s="46">
        <v>0</v>
      </c>
      <c r="M29" s="151">
        <f t="shared" si="6"/>
        <v>25188.277899999994</v>
      </c>
      <c r="N29" s="53"/>
    </row>
    <row r="30" spans="1:16">
      <c r="A30" s="28">
        <v>24</v>
      </c>
      <c r="B30" s="29">
        <v>45863</v>
      </c>
      <c r="C30" s="19"/>
      <c r="D30" s="19"/>
      <c r="E30" s="46">
        <v>0</v>
      </c>
      <c r="F30" s="46">
        <v>0</v>
      </c>
      <c r="G30" s="46">
        <f t="shared" si="0"/>
        <v>0</v>
      </c>
      <c r="H30" s="46">
        <v>0</v>
      </c>
      <c r="I30" s="46">
        <v>0</v>
      </c>
      <c r="J30" s="46">
        <f t="shared" si="1"/>
        <v>0</v>
      </c>
      <c r="K30" s="46">
        <f t="shared" si="2"/>
        <v>0</v>
      </c>
      <c r="L30" s="46">
        <v>0</v>
      </c>
      <c r="M30" s="151">
        <f t="shared" si="6"/>
        <v>25188.277899999994</v>
      </c>
      <c r="N30" s="53"/>
    </row>
    <row r="31" spans="1:16">
      <c r="A31" s="28">
        <v>25</v>
      </c>
      <c r="B31" s="29">
        <v>45864</v>
      </c>
      <c r="C31" s="19"/>
      <c r="D31" s="19"/>
      <c r="E31" s="46">
        <v>0</v>
      </c>
      <c r="F31" s="46">
        <v>0</v>
      </c>
      <c r="G31" s="46">
        <f t="shared" si="0"/>
        <v>0</v>
      </c>
      <c r="H31" s="46">
        <v>0</v>
      </c>
      <c r="I31" s="46">
        <v>0</v>
      </c>
      <c r="J31" s="46">
        <f t="shared" si="1"/>
        <v>0</v>
      </c>
      <c r="K31" s="46">
        <f t="shared" si="2"/>
        <v>0</v>
      </c>
      <c r="L31" s="46">
        <v>0</v>
      </c>
      <c r="M31" s="151">
        <f t="shared" si="6"/>
        <v>25188.277899999994</v>
      </c>
      <c r="N31" s="53"/>
    </row>
    <row r="32" spans="1:16">
      <c r="A32" s="28">
        <v>26</v>
      </c>
      <c r="B32" s="29">
        <v>45865</v>
      </c>
      <c r="C32" s="19"/>
      <c r="D32" s="19"/>
      <c r="E32" s="46">
        <v>46.95</v>
      </c>
      <c r="F32" s="46">
        <v>91.71</v>
      </c>
      <c r="G32" s="46">
        <f t="shared" si="0"/>
        <v>4305.7844999999998</v>
      </c>
      <c r="H32" s="46">
        <v>0</v>
      </c>
      <c r="I32" s="46">
        <v>0</v>
      </c>
      <c r="J32" s="46">
        <f t="shared" si="1"/>
        <v>0</v>
      </c>
      <c r="K32" s="46">
        <f t="shared" si="2"/>
        <v>4305.7844999999998</v>
      </c>
      <c r="L32" s="46">
        <v>0</v>
      </c>
      <c r="M32" s="151">
        <f t="shared" si="6"/>
        <v>29494.062399999995</v>
      </c>
      <c r="N32" s="53"/>
    </row>
    <row r="33" spans="1:14">
      <c r="A33" s="28">
        <v>27</v>
      </c>
      <c r="B33" s="29">
        <v>45866</v>
      </c>
      <c r="C33" s="19"/>
      <c r="D33" s="19"/>
      <c r="E33" s="46">
        <v>0</v>
      </c>
      <c r="F33" s="46">
        <v>0</v>
      </c>
      <c r="G33" s="46">
        <f t="shared" si="0"/>
        <v>0</v>
      </c>
      <c r="H33" s="46">
        <v>0</v>
      </c>
      <c r="I33" s="46">
        <v>0</v>
      </c>
      <c r="J33" s="46">
        <f t="shared" si="1"/>
        <v>0</v>
      </c>
      <c r="K33" s="46">
        <f t="shared" si="2"/>
        <v>0</v>
      </c>
      <c r="L33" s="46">
        <v>0</v>
      </c>
      <c r="M33" s="151">
        <f t="shared" si="6"/>
        <v>29494.062399999995</v>
      </c>
      <c r="N33" s="53"/>
    </row>
    <row r="34" spans="1:14">
      <c r="A34" s="28">
        <v>28</v>
      </c>
      <c r="B34" s="29">
        <v>45867</v>
      </c>
      <c r="C34" s="19"/>
      <c r="D34" s="19"/>
      <c r="E34" s="46">
        <v>89.15</v>
      </c>
      <c r="F34" s="46">
        <v>91.71</v>
      </c>
      <c r="G34" s="46">
        <f t="shared" si="0"/>
        <v>8175.9465</v>
      </c>
      <c r="H34" s="46">
        <v>0</v>
      </c>
      <c r="I34" s="46">
        <v>0</v>
      </c>
      <c r="J34" s="46">
        <f t="shared" si="1"/>
        <v>0</v>
      </c>
      <c r="K34" s="46">
        <f t="shared" si="2"/>
        <v>8175.9465</v>
      </c>
      <c r="L34" s="46">
        <v>4486.8999999999996</v>
      </c>
      <c r="M34" s="151">
        <f t="shared" si="6"/>
        <v>33183.108899999992</v>
      </c>
      <c r="N34" s="53"/>
    </row>
    <row r="35" spans="1:14">
      <c r="A35" s="28">
        <v>29</v>
      </c>
      <c r="B35" s="29">
        <v>45868</v>
      </c>
      <c r="C35" s="19"/>
      <c r="D35" s="19"/>
      <c r="E35" s="46">
        <v>29.61</v>
      </c>
      <c r="F35" s="46">
        <v>91.71</v>
      </c>
      <c r="G35" s="46">
        <f t="shared" si="0"/>
        <v>2715.5330999999996</v>
      </c>
      <c r="H35" s="46">
        <v>0</v>
      </c>
      <c r="I35" s="46">
        <v>0</v>
      </c>
      <c r="J35" s="46">
        <f t="shared" si="1"/>
        <v>0</v>
      </c>
      <c r="K35" s="46">
        <f t="shared" si="2"/>
        <v>2715.5330999999996</v>
      </c>
      <c r="L35" s="46">
        <v>0</v>
      </c>
      <c r="M35" s="151">
        <f t="shared" si="6"/>
        <v>35898.641999999993</v>
      </c>
      <c r="N35" s="53"/>
    </row>
    <row r="36" spans="1:14">
      <c r="A36" s="28">
        <v>30</v>
      </c>
      <c r="B36" s="29">
        <v>45869</v>
      </c>
      <c r="C36" s="19"/>
      <c r="D36" s="19"/>
      <c r="E36" s="46">
        <v>155.54</v>
      </c>
      <c r="F36" s="46">
        <v>91.71</v>
      </c>
      <c r="G36" s="46">
        <f t="shared" si="0"/>
        <v>14264.573399999997</v>
      </c>
      <c r="H36" s="46">
        <v>0</v>
      </c>
      <c r="I36" s="46">
        <v>0</v>
      </c>
      <c r="J36" s="46">
        <f t="shared" si="1"/>
        <v>0</v>
      </c>
      <c r="K36" s="46">
        <f t="shared" si="2"/>
        <v>14264.573399999997</v>
      </c>
      <c r="L36" s="46">
        <v>0</v>
      </c>
      <c r="M36" s="151">
        <f t="shared" si="6"/>
        <v>50163.215399999986</v>
      </c>
      <c r="N36" s="53"/>
    </row>
    <row r="37" spans="1:14">
      <c r="A37" s="28">
        <v>31</v>
      </c>
      <c r="B37" s="29"/>
      <c r="C37" s="19"/>
      <c r="D37" s="19"/>
      <c r="E37" s="46">
        <v>0</v>
      </c>
      <c r="F37" s="46">
        <v>0</v>
      </c>
      <c r="G37" s="46">
        <f t="shared" si="0"/>
        <v>0</v>
      </c>
      <c r="H37" s="46">
        <v>0</v>
      </c>
      <c r="I37" s="46">
        <v>0</v>
      </c>
      <c r="J37" s="46">
        <f t="shared" si="1"/>
        <v>0</v>
      </c>
      <c r="K37" s="46">
        <f t="shared" si="2"/>
        <v>0</v>
      </c>
      <c r="L37" s="46">
        <v>0</v>
      </c>
      <c r="M37" s="151">
        <f t="shared" si="6"/>
        <v>50163.215399999986</v>
      </c>
      <c r="N37" s="53"/>
    </row>
    <row r="38" spans="1:14">
      <c r="A38" s="28">
        <v>32</v>
      </c>
      <c r="B38" s="29"/>
      <c r="C38" s="19"/>
      <c r="D38" s="19"/>
      <c r="E38" s="46">
        <v>0</v>
      </c>
      <c r="F38" s="46">
        <v>0</v>
      </c>
      <c r="G38" s="46">
        <f t="shared" si="0"/>
        <v>0</v>
      </c>
      <c r="H38" s="46">
        <v>0</v>
      </c>
      <c r="I38" s="46">
        <v>0</v>
      </c>
      <c r="J38" s="46">
        <f t="shared" si="1"/>
        <v>0</v>
      </c>
      <c r="K38" s="46">
        <f t="shared" si="2"/>
        <v>0</v>
      </c>
      <c r="L38" s="46">
        <v>0</v>
      </c>
      <c r="M38" s="151">
        <f t="shared" si="6"/>
        <v>50163.215399999986</v>
      </c>
      <c r="N38" s="53"/>
    </row>
    <row r="39" spans="1:14">
      <c r="A39" s="28">
        <v>33</v>
      </c>
      <c r="B39" s="29"/>
      <c r="C39" s="107"/>
      <c r="D39" s="107"/>
      <c r="E39" s="46">
        <v>0</v>
      </c>
      <c r="F39" s="46">
        <v>0</v>
      </c>
      <c r="G39" s="46">
        <f t="shared" si="0"/>
        <v>0</v>
      </c>
      <c r="H39" s="46">
        <v>0</v>
      </c>
      <c r="I39" s="46">
        <v>0</v>
      </c>
      <c r="J39" s="46">
        <f t="shared" si="1"/>
        <v>0</v>
      </c>
      <c r="K39" s="46">
        <f t="shared" si="2"/>
        <v>0</v>
      </c>
      <c r="L39" s="46">
        <v>0</v>
      </c>
      <c r="M39" s="151">
        <f t="shared" si="6"/>
        <v>50163.215399999986</v>
      </c>
      <c r="N39" s="271"/>
    </row>
    <row r="40" spans="1:14">
      <c r="A40" s="28">
        <v>34</v>
      </c>
      <c r="B40" s="29"/>
      <c r="C40" s="19"/>
      <c r="D40" s="19"/>
      <c r="E40" s="46">
        <v>0</v>
      </c>
      <c r="F40" s="46">
        <v>0</v>
      </c>
      <c r="G40" s="46">
        <f t="shared" si="0"/>
        <v>0</v>
      </c>
      <c r="H40" s="46">
        <v>0</v>
      </c>
      <c r="I40" s="46">
        <v>0</v>
      </c>
      <c r="J40" s="46">
        <f t="shared" si="1"/>
        <v>0</v>
      </c>
      <c r="K40" s="46">
        <f t="shared" si="2"/>
        <v>0</v>
      </c>
      <c r="L40" s="46">
        <v>0</v>
      </c>
      <c r="M40" s="151">
        <f t="shared" si="6"/>
        <v>50163.215399999986</v>
      </c>
      <c r="N40" s="53"/>
    </row>
    <row r="41" spans="1:14">
      <c r="A41" s="28"/>
      <c r="B41" s="29"/>
      <c r="C41" s="19"/>
      <c r="D41" s="19"/>
      <c r="E41" s="46">
        <v>0</v>
      </c>
      <c r="F41" s="46">
        <v>0</v>
      </c>
      <c r="G41" s="46">
        <f t="shared" ref="G5:G41" si="8">E41*F41</f>
        <v>0</v>
      </c>
      <c r="H41" s="46">
        <v>0</v>
      </c>
      <c r="I41" s="46">
        <v>0</v>
      </c>
      <c r="J41" s="46">
        <f t="shared" ref="J5:J41" si="9">H41*I41</f>
        <v>0</v>
      </c>
      <c r="K41" s="46">
        <f t="shared" ref="K5:K41" si="10">G41+J41</f>
        <v>0</v>
      </c>
      <c r="L41" s="46">
        <f t="shared" ref="L5:L41" si="11">+K41</f>
        <v>0</v>
      </c>
      <c r="M41" s="151">
        <f t="shared" si="6"/>
        <v>50163.215399999986</v>
      </c>
      <c r="N41" s="53"/>
    </row>
    <row r="42" spans="1:14">
      <c r="A42" s="204"/>
      <c r="B42" s="204"/>
      <c r="C42" s="204"/>
      <c r="D42" s="204"/>
      <c r="E42" s="204">
        <f>SUM(E4:E41)</f>
        <v>1209.6499999999999</v>
      </c>
      <c r="F42" s="204"/>
      <c r="G42" s="204">
        <f>SUM(G4:G41)</f>
        <v>110814.88279999999</v>
      </c>
      <c r="H42" s="204">
        <f>SUM(H4:H41)</f>
        <v>8.08</v>
      </c>
      <c r="I42" s="204"/>
      <c r="J42" s="204">
        <f>SUM(J4:J41)</f>
        <v>849.93520000000001</v>
      </c>
      <c r="K42" s="204">
        <f>SUM(K4:K41)</f>
        <v>111664.818</v>
      </c>
      <c r="L42" s="204">
        <f>SUM(L4:L41)</f>
        <v>78567.482199999984</v>
      </c>
      <c r="M42" s="204"/>
      <c r="N42" s="204"/>
    </row>
  </sheetData>
  <mergeCells count="2">
    <mergeCell ref="A1:N1"/>
    <mergeCell ref="A3:J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6D9-2F42-4A4A-838E-9C7E2E8F4772}">
  <dimension ref="A1:Q39"/>
  <sheetViews>
    <sheetView workbookViewId="0">
      <pane ySplit="2" topLeftCell="A14" activePane="bottomLeft" state="frozen"/>
      <selection pane="bottomLeft" activeCell="M35" sqref="M35"/>
    </sheetView>
  </sheetViews>
  <sheetFormatPr defaultColWidth="12.8554687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3.5703125" bestFit="1" customWidth="1"/>
    <col min="5" max="5" width="10.7109375" bestFit="1" customWidth="1"/>
    <col min="6" max="6" width="11.85546875" bestFit="1" customWidth="1"/>
    <col min="7" max="7" width="13.7109375" bestFit="1" customWidth="1"/>
    <col min="8" max="8" width="10.7109375" bestFit="1" customWidth="1"/>
    <col min="9" max="9" width="8.140625" bestFit="1" customWidth="1"/>
    <col min="10" max="10" width="11.5703125" customWidth="1"/>
    <col min="11" max="12" width="13.5703125" bestFit="1" customWidth="1"/>
    <col min="13" max="13" width="13.5703125" customWidth="1"/>
    <col min="14" max="14" width="8.7109375" bestFit="1" customWidth="1"/>
    <col min="15" max="15" width="7" customWidth="1"/>
  </cols>
  <sheetData>
    <row r="1" spans="1:15" ht="15.75" customHeight="1">
      <c r="A1" s="414" t="s">
        <v>62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  <c r="O1" s="65"/>
    </row>
    <row r="2" spans="1:15">
      <c r="A2" s="66" t="s">
        <v>105</v>
      </c>
      <c r="B2" s="67" t="s">
        <v>106</v>
      </c>
      <c r="C2" s="67" t="s">
        <v>107</v>
      </c>
      <c r="D2" s="67" t="s">
        <v>108</v>
      </c>
      <c r="E2" s="67" t="s">
        <v>109</v>
      </c>
      <c r="F2" s="67" t="s">
        <v>110</v>
      </c>
      <c r="G2" s="67" t="s">
        <v>111</v>
      </c>
      <c r="H2" s="67" t="s">
        <v>112</v>
      </c>
      <c r="I2" s="67" t="s">
        <v>110</v>
      </c>
      <c r="J2" s="68" t="s">
        <v>111</v>
      </c>
      <c r="K2" s="69" t="s">
        <v>113</v>
      </c>
      <c r="L2" s="70" t="s">
        <v>114</v>
      </c>
      <c r="M2" s="131" t="s">
        <v>120</v>
      </c>
      <c r="N2" s="114" t="s">
        <v>116</v>
      </c>
      <c r="O2" s="71"/>
    </row>
    <row r="3" spans="1:15">
      <c r="A3" s="147" t="s">
        <v>117</v>
      </c>
      <c r="B3" s="148"/>
      <c r="C3" s="148"/>
      <c r="D3" s="148"/>
      <c r="E3" s="148"/>
      <c r="F3" s="148"/>
      <c r="G3" s="148"/>
      <c r="H3" s="148"/>
      <c r="I3" s="148"/>
      <c r="J3" s="148"/>
      <c r="K3" s="330">
        <v>1012175.6438</v>
      </c>
      <c r="L3" s="149"/>
      <c r="M3" s="331">
        <f>+K3</f>
        <v>1012175.6438</v>
      </c>
      <c r="N3" s="19"/>
      <c r="O3" s="71"/>
    </row>
    <row r="4" spans="1:15">
      <c r="A4" s="55">
        <v>1</v>
      </c>
      <c r="B4" s="235">
        <v>45839</v>
      </c>
      <c r="C4" s="10">
        <v>0</v>
      </c>
      <c r="D4" s="20"/>
      <c r="E4" s="8">
        <v>0</v>
      </c>
      <c r="F4" s="8">
        <v>0</v>
      </c>
      <c r="G4" s="18">
        <f>E4*F4</f>
        <v>0</v>
      </c>
      <c r="H4" s="7">
        <v>0</v>
      </c>
      <c r="I4" s="7">
        <v>0</v>
      </c>
      <c r="J4" s="23">
        <f>H4*I4</f>
        <v>0</v>
      </c>
      <c r="K4" s="8">
        <f>G4+J4</f>
        <v>0</v>
      </c>
      <c r="L4" s="8"/>
      <c r="M4" s="8">
        <f>M3+K4-L4</f>
        <v>1012175.6438</v>
      </c>
      <c r="N4" s="21"/>
      <c r="O4" s="1"/>
    </row>
    <row r="5" spans="1:15">
      <c r="A5" s="55">
        <v>2</v>
      </c>
      <c r="B5" s="235">
        <v>45840</v>
      </c>
      <c r="C5" s="10">
        <v>0</v>
      </c>
      <c r="D5" s="20"/>
      <c r="E5" s="8">
        <v>0</v>
      </c>
      <c r="F5" s="8">
        <v>0</v>
      </c>
      <c r="G5" s="18">
        <f t="shared" ref="G5:G35" si="0">E5*F5</f>
        <v>0</v>
      </c>
      <c r="H5" s="7">
        <v>0</v>
      </c>
      <c r="I5" s="7">
        <v>0</v>
      </c>
      <c r="J5" s="23">
        <f t="shared" ref="J5:J24" si="1">H5*I5</f>
        <v>0</v>
      </c>
      <c r="K5" s="8">
        <f t="shared" ref="K5:K24" si="2">G5+J5</f>
        <v>0</v>
      </c>
      <c r="L5" s="8"/>
      <c r="M5" s="8">
        <f>M4+K5-L5</f>
        <v>1012175.6438</v>
      </c>
      <c r="N5" s="8"/>
      <c r="O5" s="1"/>
    </row>
    <row r="6" spans="1:15">
      <c r="A6" s="55">
        <v>3</v>
      </c>
      <c r="B6" s="235">
        <v>45841</v>
      </c>
      <c r="C6" s="10">
        <v>0</v>
      </c>
      <c r="D6" s="20"/>
      <c r="E6" s="8">
        <v>0</v>
      </c>
      <c r="F6" s="8">
        <v>0</v>
      </c>
      <c r="G6" s="18">
        <f t="shared" si="0"/>
        <v>0</v>
      </c>
      <c r="H6" s="7">
        <v>0</v>
      </c>
      <c r="I6" s="7">
        <v>0</v>
      </c>
      <c r="J6" s="23">
        <f t="shared" si="1"/>
        <v>0</v>
      </c>
      <c r="K6" s="8">
        <f t="shared" si="2"/>
        <v>0</v>
      </c>
      <c r="L6" s="8"/>
      <c r="M6" s="8">
        <f>M5+K6-L6</f>
        <v>1012175.6438</v>
      </c>
      <c r="N6" s="8"/>
      <c r="O6" s="1"/>
    </row>
    <row r="7" spans="1:15">
      <c r="A7" s="55">
        <v>4</v>
      </c>
      <c r="B7" s="235">
        <v>45842</v>
      </c>
      <c r="C7" s="10">
        <v>0</v>
      </c>
      <c r="D7" s="20"/>
      <c r="E7" s="8">
        <v>0</v>
      </c>
      <c r="F7" s="8">
        <v>0</v>
      </c>
      <c r="G7" s="18">
        <f t="shared" si="0"/>
        <v>0</v>
      </c>
      <c r="H7" s="7">
        <v>0</v>
      </c>
      <c r="I7" s="7">
        <v>0</v>
      </c>
      <c r="J7" s="23">
        <f t="shared" si="1"/>
        <v>0</v>
      </c>
      <c r="K7" s="8">
        <f t="shared" si="2"/>
        <v>0</v>
      </c>
      <c r="L7" s="8"/>
      <c r="M7" s="8">
        <f>M6+K7-L7</f>
        <v>1012175.6438</v>
      </c>
      <c r="N7" s="8"/>
      <c r="O7" s="1"/>
    </row>
    <row r="8" spans="1:15">
      <c r="A8" s="55">
        <v>5</v>
      </c>
      <c r="B8" s="235">
        <v>45843</v>
      </c>
      <c r="C8" s="10">
        <v>0</v>
      </c>
      <c r="D8" s="20"/>
      <c r="E8" s="8">
        <v>0</v>
      </c>
      <c r="F8" s="8">
        <v>0</v>
      </c>
      <c r="G8" s="18">
        <f t="shared" si="0"/>
        <v>0</v>
      </c>
      <c r="H8" s="7">
        <v>0</v>
      </c>
      <c r="I8" s="7">
        <v>0</v>
      </c>
      <c r="J8" s="23">
        <f t="shared" si="1"/>
        <v>0</v>
      </c>
      <c r="K8" s="8">
        <f t="shared" si="2"/>
        <v>0</v>
      </c>
      <c r="L8" s="8"/>
      <c r="M8" s="8">
        <f t="shared" ref="M8:M16" si="3">M7+K8-L8</f>
        <v>1012175.6438</v>
      </c>
      <c r="N8" s="8"/>
      <c r="O8" s="1"/>
    </row>
    <row r="9" spans="1:15">
      <c r="A9" s="55">
        <v>6</v>
      </c>
      <c r="B9" s="235">
        <v>45844</v>
      </c>
      <c r="C9" s="10">
        <v>0</v>
      </c>
      <c r="D9" s="20"/>
      <c r="E9" s="8">
        <v>0</v>
      </c>
      <c r="F9" s="8">
        <v>0</v>
      </c>
      <c r="G9" s="18">
        <f t="shared" si="0"/>
        <v>0</v>
      </c>
      <c r="H9" s="7">
        <v>20</v>
      </c>
      <c r="I9" s="7">
        <v>104.6</v>
      </c>
      <c r="J9" s="23">
        <f t="shared" si="1"/>
        <v>2092</v>
      </c>
      <c r="K9" s="8">
        <f t="shared" si="2"/>
        <v>2092</v>
      </c>
      <c r="L9" s="8"/>
      <c r="M9" s="8">
        <f t="shared" si="3"/>
        <v>1014267.6438</v>
      </c>
      <c r="N9" s="8"/>
      <c r="O9" s="1"/>
    </row>
    <row r="10" spans="1:15">
      <c r="A10" s="55">
        <v>7</v>
      </c>
      <c r="B10" s="235">
        <v>45845</v>
      </c>
      <c r="C10" s="10">
        <v>0</v>
      </c>
      <c r="D10" s="20"/>
      <c r="E10" s="8">
        <v>0</v>
      </c>
      <c r="F10" s="8">
        <v>0</v>
      </c>
      <c r="G10" s="18">
        <f t="shared" si="0"/>
        <v>0</v>
      </c>
      <c r="H10" s="7">
        <v>0</v>
      </c>
      <c r="I10" s="7">
        <v>0</v>
      </c>
      <c r="J10" s="23">
        <f t="shared" si="1"/>
        <v>0</v>
      </c>
      <c r="K10" s="8">
        <f t="shared" si="2"/>
        <v>0</v>
      </c>
      <c r="L10" s="8"/>
      <c r="M10" s="8">
        <f t="shared" si="3"/>
        <v>1014267.6438</v>
      </c>
      <c r="N10" s="8"/>
      <c r="O10" s="1"/>
    </row>
    <row r="11" spans="1:15">
      <c r="A11" s="55">
        <v>8</v>
      </c>
      <c r="B11" s="235">
        <v>45846</v>
      </c>
      <c r="C11" s="10">
        <v>0</v>
      </c>
      <c r="D11" s="20"/>
      <c r="E11" s="8">
        <v>2000</v>
      </c>
      <c r="F11" s="8">
        <v>91.14</v>
      </c>
      <c r="G11" s="18">
        <f>E11*F11</f>
        <v>182280</v>
      </c>
      <c r="H11" s="7">
        <v>0</v>
      </c>
      <c r="I11" s="7">
        <v>0</v>
      </c>
      <c r="J11" s="23">
        <f t="shared" si="1"/>
        <v>0</v>
      </c>
      <c r="K11" s="8">
        <f t="shared" si="2"/>
        <v>182280</v>
      </c>
      <c r="L11" s="8"/>
      <c r="M11" s="8">
        <f t="shared" si="3"/>
        <v>1196547.6438</v>
      </c>
      <c r="N11" s="8"/>
      <c r="O11" s="1"/>
    </row>
    <row r="12" spans="1:15">
      <c r="A12" s="55">
        <v>9</v>
      </c>
      <c r="B12" s="235">
        <v>45847</v>
      </c>
      <c r="C12" s="10">
        <v>0</v>
      </c>
      <c r="D12" s="20"/>
      <c r="E12" s="8">
        <v>0</v>
      </c>
      <c r="F12" s="8">
        <v>0</v>
      </c>
      <c r="G12" s="18">
        <f t="shared" si="0"/>
        <v>0</v>
      </c>
      <c r="H12" s="7">
        <v>0</v>
      </c>
      <c r="I12" s="7">
        <v>0</v>
      </c>
      <c r="J12" s="23">
        <f t="shared" si="1"/>
        <v>0</v>
      </c>
      <c r="K12" s="8">
        <f t="shared" si="2"/>
        <v>0</v>
      </c>
      <c r="L12" s="8"/>
      <c r="M12" s="8">
        <f t="shared" si="3"/>
        <v>1196547.6438</v>
      </c>
      <c r="N12" s="8"/>
      <c r="O12" s="1"/>
    </row>
    <row r="13" spans="1:15">
      <c r="A13" s="55">
        <v>10</v>
      </c>
      <c r="B13" s="235">
        <v>45848</v>
      </c>
      <c r="C13" s="10">
        <v>0</v>
      </c>
      <c r="D13" s="20"/>
      <c r="E13" s="8">
        <v>0</v>
      </c>
      <c r="F13" s="8">
        <v>0</v>
      </c>
      <c r="G13" s="18">
        <f t="shared" si="0"/>
        <v>0</v>
      </c>
      <c r="H13" s="7">
        <v>0</v>
      </c>
      <c r="I13" s="7">
        <v>0</v>
      </c>
      <c r="J13" s="23">
        <f t="shared" si="1"/>
        <v>0</v>
      </c>
      <c r="K13" s="8">
        <f t="shared" si="2"/>
        <v>0</v>
      </c>
      <c r="L13" s="8"/>
      <c r="M13" s="8">
        <f t="shared" si="3"/>
        <v>1196547.6438</v>
      </c>
      <c r="N13" s="8"/>
      <c r="O13" s="1"/>
    </row>
    <row r="14" spans="1:15">
      <c r="A14" s="55">
        <v>11</v>
      </c>
      <c r="B14" s="235">
        <v>45849</v>
      </c>
      <c r="C14" s="10">
        <v>0</v>
      </c>
      <c r="D14" s="20"/>
      <c r="E14" s="8">
        <v>0</v>
      </c>
      <c r="F14" s="8">
        <v>0</v>
      </c>
      <c r="G14" s="18">
        <f t="shared" si="0"/>
        <v>0</v>
      </c>
      <c r="H14" s="7">
        <v>0</v>
      </c>
      <c r="I14" s="7">
        <v>0</v>
      </c>
      <c r="J14" s="23">
        <f t="shared" si="1"/>
        <v>0</v>
      </c>
      <c r="K14" s="8">
        <f t="shared" si="2"/>
        <v>0</v>
      </c>
      <c r="L14" s="8"/>
      <c r="M14" s="8">
        <f t="shared" si="3"/>
        <v>1196547.6438</v>
      </c>
      <c r="N14" s="224"/>
      <c r="O14" s="1"/>
    </row>
    <row r="15" spans="1:15">
      <c r="A15" s="55">
        <v>12</v>
      </c>
      <c r="B15" s="235">
        <v>45850</v>
      </c>
      <c r="C15" s="10">
        <v>0</v>
      </c>
      <c r="D15" s="20"/>
      <c r="E15" s="8">
        <v>0</v>
      </c>
      <c r="F15" s="8">
        <v>0</v>
      </c>
      <c r="G15" s="18">
        <f t="shared" si="0"/>
        <v>0</v>
      </c>
      <c r="H15" s="7">
        <v>20</v>
      </c>
      <c r="I15" s="7">
        <v>104.6</v>
      </c>
      <c r="J15" s="23">
        <f t="shared" si="1"/>
        <v>2092</v>
      </c>
      <c r="K15" s="8">
        <f t="shared" si="2"/>
        <v>2092</v>
      </c>
      <c r="L15" s="8"/>
      <c r="M15" s="8">
        <f t="shared" si="3"/>
        <v>1198639.6438</v>
      </c>
      <c r="N15" s="224"/>
      <c r="O15" s="1"/>
    </row>
    <row r="16" spans="1:15">
      <c r="A16" s="55">
        <v>13</v>
      </c>
      <c r="B16" s="235">
        <v>45851</v>
      </c>
      <c r="C16" s="10">
        <v>0</v>
      </c>
      <c r="D16" s="20"/>
      <c r="E16" s="8">
        <v>0</v>
      </c>
      <c r="F16" s="8">
        <v>0</v>
      </c>
      <c r="G16" s="18">
        <f t="shared" si="0"/>
        <v>0</v>
      </c>
      <c r="H16" s="7">
        <v>0</v>
      </c>
      <c r="I16" s="7">
        <v>0</v>
      </c>
      <c r="J16" s="23">
        <f t="shared" si="1"/>
        <v>0</v>
      </c>
      <c r="K16" s="8">
        <f t="shared" si="2"/>
        <v>0</v>
      </c>
      <c r="L16" s="8"/>
      <c r="M16" s="8">
        <f t="shared" si="3"/>
        <v>1198639.6438</v>
      </c>
      <c r="N16" s="224"/>
      <c r="O16" s="1"/>
    </row>
    <row r="17" spans="1:15">
      <c r="A17" s="55">
        <v>14</v>
      </c>
      <c r="B17" s="235">
        <v>45852</v>
      </c>
      <c r="C17" s="10">
        <v>0</v>
      </c>
      <c r="D17" s="20"/>
      <c r="E17" s="8">
        <v>0</v>
      </c>
      <c r="F17" s="8">
        <v>0</v>
      </c>
      <c r="G17" s="18">
        <f t="shared" si="0"/>
        <v>0</v>
      </c>
      <c r="H17" s="7">
        <v>0</v>
      </c>
      <c r="I17" s="7">
        <v>0</v>
      </c>
      <c r="J17" s="23">
        <f t="shared" si="1"/>
        <v>0</v>
      </c>
      <c r="K17" s="8">
        <f t="shared" si="2"/>
        <v>0</v>
      </c>
      <c r="L17" s="8"/>
      <c r="M17" s="8">
        <f t="shared" ref="M16:M35" si="4">M16+K17-L17</f>
        <v>1198639.6438</v>
      </c>
      <c r="N17" s="224"/>
      <c r="O17" s="1"/>
    </row>
    <row r="18" spans="1:15">
      <c r="A18" s="55">
        <v>15</v>
      </c>
      <c r="B18" s="235">
        <v>45853</v>
      </c>
      <c r="C18" s="10">
        <v>0</v>
      </c>
      <c r="D18" s="20"/>
      <c r="E18" s="8">
        <v>0</v>
      </c>
      <c r="F18" s="8">
        <v>0</v>
      </c>
      <c r="G18" s="18">
        <f t="shared" si="0"/>
        <v>0</v>
      </c>
      <c r="H18" s="7">
        <v>0</v>
      </c>
      <c r="I18" s="7">
        <v>0</v>
      </c>
      <c r="J18" s="23">
        <f t="shared" si="1"/>
        <v>0</v>
      </c>
      <c r="K18" s="8">
        <f t="shared" si="2"/>
        <v>0</v>
      </c>
      <c r="L18" s="8"/>
      <c r="M18" s="8">
        <f t="shared" si="4"/>
        <v>1198639.6438</v>
      </c>
      <c r="N18" s="224"/>
      <c r="O18" s="1"/>
    </row>
    <row r="19" spans="1:15">
      <c r="A19" s="55">
        <v>16</v>
      </c>
      <c r="B19" s="235">
        <v>45854</v>
      </c>
      <c r="C19" s="10">
        <v>0</v>
      </c>
      <c r="D19" s="20"/>
      <c r="E19" s="8">
        <v>0</v>
      </c>
      <c r="F19" s="8">
        <v>0</v>
      </c>
      <c r="G19" s="18">
        <f t="shared" si="0"/>
        <v>0</v>
      </c>
      <c r="H19" s="7">
        <v>0</v>
      </c>
      <c r="I19" s="7">
        <v>0</v>
      </c>
      <c r="J19" s="23">
        <f t="shared" si="1"/>
        <v>0</v>
      </c>
      <c r="K19" s="8">
        <f t="shared" si="2"/>
        <v>0</v>
      </c>
      <c r="L19" s="8"/>
      <c r="M19" s="8">
        <f t="shared" si="4"/>
        <v>1198639.6438</v>
      </c>
      <c r="N19" s="224"/>
      <c r="O19" s="1"/>
    </row>
    <row r="20" spans="1:15">
      <c r="A20" s="55">
        <v>17</v>
      </c>
      <c r="B20" s="235">
        <v>45855</v>
      </c>
      <c r="C20" s="10">
        <v>0</v>
      </c>
      <c r="D20" s="20"/>
      <c r="E20" s="8">
        <v>0</v>
      </c>
      <c r="F20" s="8">
        <v>0</v>
      </c>
      <c r="G20" s="18">
        <f t="shared" si="0"/>
        <v>0</v>
      </c>
      <c r="H20" s="7">
        <v>0</v>
      </c>
      <c r="I20" s="7">
        <v>0</v>
      </c>
      <c r="J20" s="23">
        <f t="shared" si="1"/>
        <v>0</v>
      </c>
      <c r="K20" s="8">
        <f t="shared" si="2"/>
        <v>0</v>
      </c>
      <c r="L20" s="8"/>
      <c r="M20" s="8">
        <f t="shared" si="4"/>
        <v>1198639.6438</v>
      </c>
      <c r="N20" s="224"/>
      <c r="O20" s="1"/>
    </row>
    <row r="21" spans="1:15">
      <c r="A21" s="55">
        <v>18</v>
      </c>
      <c r="B21" s="235">
        <v>45856</v>
      </c>
      <c r="C21" s="10">
        <v>0</v>
      </c>
      <c r="D21" s="20"/>
      <c r="E21" s="8">
        <v>0</v>
      </c>
      <c r="F21" s="8">
        <v>0</v>
      </c>
      <c r="G21" s="18">
        <f t="shared" si="0"/>
        <v>0</v>
      </c>
      <c r="H21" s="7">
        <v>0</v>
      </c>
      <c r="I21" s="7">
        <v>0</v>
      </c>
      <c r="J21" s="23">
        <f t="shared" si="1"/>
        <v>0</v>
      </c>
      <c r="K21" s="8">
        <f t="shared" si="2"/>
        <v>0</v>
      </c>
      <c r="L21" s="8"/>
      <c r="M21" s="8">
        <f t="shared" si="4"/>
        <v>1198639.6438</v>
      </c>
      <c r="N21" s="224"/>
      <c r="O21" s="1"/>
    </row>
    <row r="22" spans="1:15">
      <c r="A22" s="55">
        <v>19</v>
      </c>
      <c r="B22" s="235">
        <v>45857</v>
      </c>
      <c r="C22" s="10">
        <v>0</v>
      </c>
      <c r="D22" s="20"/>
      <c r="E22" s="8">
        <v>0</v>
      </c>
      <c r="F22" s="8">
        <v>0</v>
      </c>
      <c r="G22" s="18">
        <f t="shared" si="0"/>
        <v>0</v>
      </c>
      <c r="H22" s="7">
        <v>0</v>
      </c>
      <c r="I22" s="7">
        <v>0</v>
      </c>
      <c r="J22" s="23">
        <f t="shared" si="1"/>
        <v>0</v>
      </c>
      <c r="K22" s="8">
        <f t="shared" si="2"/>
        <v>0</v>
      </c>
      <c r="L22" s="8"/>
      <c r="M22" s="8">
        <f t="shared" si="4"/>
        <v>1198639.6438</v>
      </c>
      <c r="N22" s="224"/>
      <c r="O22" s="1"/>
    </row>
    <row r="23" spans="1:15">
      <c r="A23" s="55">
        <v>20</v>
      </c>
      <c r="B23" s="235">
        <v>45858</v>
      </c>
      <c r="C23" s="10">
        <v>0</v>
      </c>
      <c r="D23" s="20"/>
      <c r="E23" s="8">
        <v>0</v>
      </c>
      <c r="F23" s="8">
        <v>0</v>
      </c>
      <c r="G23" s="18">
        <f t="shared" si="0"/>
        <v>0</v>
      </c>
      <c r="H23" s="7">
        <v>0</v>
      </c>
      <c r="I23" s="7">
        <v>0</v>
      </c>
      <c r="J23" s="23">
        <f t="shared" si="1"/>
        <v>0</v>
      </c>
      <c r="K23" s="8">
        <f t="shared" si="2"/>
        <v>0</v>
      </c>
      <c r="L23" s="8"/>
      <c r="M23" s="8">
        <f t="shared" si="4"/>
        <v>1198639.6438</v>
      </c>
      <c r="N23" s="224"/>
      <c r="O23" s="1"/>
    </row>
    <row r="24" spans="1:15">
      <c r="A24" s="55">
        <v>21</v>
      </c>
      <c r="B24" s="235">
        <v>45859</v>
      </c>
      <c r="C24" s="10">
        <v>0</v>
      </c>
      <c r="D24" s="20"/>
      <c r="E24" s="8">
        <v>0</v>
      </c>
      <c r="F24" s="8">
        <v>0</v>
      </c>
      <c r="G24" s="18">
        <f t="shared" si="0"/>
        <v>0</v>
      </c>
      <c r="H24" s="7">
        <v>0</v>
      </c>
      <c r="I24" s="7">
        <v>0</v>
      </c>
      <c r="J24" s="23">
        <f t="shared" si="1"/>
        <v>0</v>
      </c>
      <c r="K24" s="8">
        <f t="shared" si="2"/>
        <v>0</v>
      </c>
      <c r="L24" s="8"/>
      <c r="M24" s="8">
        <f t="shared" si="4"/>
        <v>1198639.6438</v>
      </c>
      <c r="N24" s="224"/>
      <c r="O24" s="1"/>
    </row>
    <row r="25" spans="1:15">
      <c r="A25" s="55">
        <v>22</v>
      </c>
      <c r="B25" s="235">
        <v>45860</v>
      </c>
      <c r="C25" s="10">
        <v>0</v>
      </c>
      <c r="D25" s="20"/>
      <c r="E25" s="8">
        <v>0</v>
      </c>
      <c r="F25" s="8">
        <v>0</v>
      </c>
      <c r="G25" s="18">
        <f t="shared" si="0"/>
        <v>0</v>
      </c>
      <c r="H25" s="7">
        <v>0</v>
      </c>
      <c r="I25" s="7">
        <v>0</v>
      </c>
      <c r="J25" s="23">
        <f t="shared" ref="J5:J35" si="5">H25*I25</f>
        <v>0</v>
      </c>
      <c r="K25" s="8">
        <f t="shared" ref="K5:K35" si="6">G25+J25</f>
        <v>0</v>
      </c>
      <c r="L25" s="8"/>
      <c r="M25" s="8">
        <f t="shared" si="4"/>
        <v>1198639.6438</v>
      </c>
      <c r="N25" s="224"/>
      <c r="O25" s="1"/>
    </row>
    <row r="26" spans="1:15">
      <c r="A26" s="55">
        <v>23</v>
      </c>
      <c r="B26" s="235">
        <v>45861</v>
      </c>
      <c r="C26" s="10">
        <v>0</v>
      </c>
      <c r="D26" s="20"/>
      <c r="E26" s="8">
        <v>0</v>
      </c>
      <c r="F26" s="8">
        <v>0</v>
      </c>
      <c r="G26" s="18">
        <f t="shared" si="0"/>
        <v>0</v>
      </c>
      <c r="H26" s="7">
        <v>0</v>
      </c>
      <c r="I26" s="7">
        <v>0</v>
      </c>
      <c r="J26" s="23">
        <f t="shared" si="5"/>
        <v>0</v>
      </c>
      <c r="K26" s="8">
        <f t="shared" si="6"/>
        <v>0</v>
      </c>
      <c r="L26" s="8"/>
      <c r="M26" s="8">
        <f t="shared" si="4"/>
        <v>1198639.6438</v>
      </c>
      <c r="N26" s="224"/>
      <c r="O26" s="1"/>
    </row>
    <row r="27" spans="1:15">
      <c r="A27" s="55">
        <v>24</v>
      </c>
      <c r="B27" s="235">
        <v>45862</v>
      </c>
      <c r="C27" s="10">
        <v>0</v>
      </c>
      <c r="D27" s="20"/>
      <c r="E27" s="8">
        <v>0</v>
      </c>
      <c r="F27" s="8">
        <v>0</v>
      </c>
      <c r="G27" s="18">
        <f t="shared" si="0"/>
        <v>0</v>
      </c>
      <c r="H27" s="7">
        <v>0</v>
      </c>
      <c r="I27" s="7">
        <v>0</v>
      </c>
      <c r="J27" s="23">
        <f t="shared" si="5"/>
        <v>0</v>
      </c>
      <c r="K27" s="8">
        <f t="shared" si="6"/>
        <v>0</v>
      </c>
      <c r="L27" s="8"/>
      <c r="M27" s="8">
        <f t="shared" si="4"/>
        <v>1198639.6438</v>
      </c>
      <c r="N27" s="224"/>
      <c r="O27" s="1"/>
    </row>
    <row r="28" spans="1:15">
      <c r="A28" s="55">
        <v>25</v>
      </c>
      <c r="B28" s="235">
        <v>45863</v>
      </c>
      <c r="C28" s="10">
        <v>0</v>
      </c>
      <c r="D28" s="20"/>
      <c r="E28" s="8">
        <v>0</v>
      </c>
      <c r="F28" s="8">
        <v>0</v>
      </c>
      <c r="G28" s="18">
        <f t="shared" si="0"/>
        <v>0</v>
      </c>
      <c r="H28" s="7">
        <v>0</v>
      </c>
      <c r="I28" s="7">
        <v>0</v>
      </c>
      <c r="J28" s="23">
        <f t="shared" si="5"/>
        <v>0</v>
      </c>
      <c r="K28" s="8">
        <f t="shared" si="6"/>
        <v>0</v>
      </c>
      <c r="L28" s="8"/>
      <c r="M28" s="8">
        <f t="shared" si="4"/>
        <v>1198639.6438</v>
      </c>
      <c r="N28" s="224"/>
      <c r="O28" s="1"/>
    </row>
    <row r="29" spans="1:15">
      <c r="A29" s="55">
        <v>26</v>
      </c>
      <c r="B29" s="235">
        <v>45864</v>
      </c>
      <c r="C29" s="10">
        <v>0</v>
      </c>
      <c r="D29" s="20"/>
      <c r="E29" s="8">
        <v>0</v>
      </c>
      <c r="F29" s="8">
        <v>0</v>
      </c>
      <c r="G29" s="18">
        <f t="shared" si="0"/>
        <v>0</v>
      </c>
      <c r="H29" s="7">
        <v>0</v>
      </c>
      <c r="I29" s="7">
        <v>0</v>
      </c>
      <c r="J29" s="23">
        <f t="shared" si="5"/>
        <v>0</v>
      </c>
      <c r="K29" s="8">
        <f t="shared" si="6"/>
        <v>0</v>
      </c>
      <c r="L29" s="8"/>
      <c r="M29" s="8">
        <f t="shared" si="4"/>
        <v>1198639.6438</v>
      </c>
      <c r="N29" s="224"/>
      <c r="O29" s="1"/>
    </row>
    <row r="30" spans="1:15">
      <c r="A30" s="55">
        <v>27</v>
      </c>
      <c r="B30" s="235">
        <v>45865</v>
      </c>
      <c r="C30" s="10">
        <v>0</v>
      </c>
      <c r="D30" s="20"/>
      <c r="E30" s="8">
        <v>0</v>
      </c>
      <c r="F30" s="8">
        <v>0</v>
      </c>
      <c r="G30" s="18">
        <f t="shared" si="0"/>
        <v>0</v>
      </c>
      <c r="H30" s="7">
        <v>0</v>
      </c>
      <c r="I30" s="7">
        <v>0</v>
      </c>
      <c r="J30" s="23">
        <f t="shared" si="5"/>
        <v>0</v>
      </c>
      <c r="K30" s="8">
        <f t="shared" si="6"/>
        <v>0</v>
      </c>
      <c r="L30" s="8"/>
      <c r="M30" s="8">
        <f t="shared" si="4"/>
        <v>1198639.6438</v>
      </c>
      <c r="N30" s="224"/>
      <c r="O30" s="1"/>
    </row>
    <row r="31" spans="1:15">
      <c r="A31" s="55">
        <v>28</v>
      </c>
      <c r="B31" s="235">
        <v>45866</v>
      </c>
      <c r="C31" s="10">
        <v>0</v>
      </c>
      <c r="D31" s="20"/>
      <c r="E31" s="8">
        <v>0</v>
      </c>
      <c r="F31" s="8">
        <v>0</v>
      </c>
      <c r="G31" s="18">
        <f t="shared" si="0"/>
        <v>0</v>
      </c>
      <c r="H31" s="7">
        <v>0</v>
      </c>
      <c r="I31" s="7">
        <v>0</v>
      </c>
      <c r="J31" s="23">
        <f t="shared" si="5"/>
        <v>0</v>
      </c>
      <c r="K31" s="8">
        <f t="shared" si="6"/>
        <v>0</v>
      </c>
      <c r="L31" s="8"/>
      <c r="M31" s="8">
        <f t="shared" si="4"/>
        <v>1198639.6438</v>
      </c>
      <c r="N31" s="224"/>
      <c r="O31" s="1"/>
    </row>
    <row r="32" spans="1:15">
      <c r="A32" s="55">
        <v>29</v>
      </c>
      <c r="B32" s="235">
        <v>45867</v>
      </c>
      <c r="C32" s="10">
        <v>0</v>
      </c>
      <c r="D32" s="20"/>
      <c r="E32" s="8">
        <v>0</v>
      </c>
      <c r="F32" s="8">
        <v>0</v>
      </c>
      <c r="G32" s="18">
        <f t="shared" si="0"/>
        <v>0</v>
      </c>
      <c r="H32" s="7">
        <v>0</v>
      </c>
      <c r="I32" s="7">
        <v>0</v>
      </c>
      <c r="J32" s="23">
        <f t="shared" si="5"/>
        <v>0</v>
      </c>
      <c r="K32" s="8">
        <f t="shared" si="6"/>
        <v>0</v>
      </c>
      <c r="L32" s="8"/>
      <c r="M32" s="8">
        <f t="shared" si="4"/>
        <v>1198639.6438</v>
      </c>
      <c r="N32" s="224"/>
      <c r="O32" s="1"/>
    </row>
    <row r="33" spans="1:17">
      <c r="A33" s="55">
        <v>30</v>
      </c>
      <c r="B33" s="235">
        <v>45868</v>
      </c>
      <c r="C33" s="10">
        <v>0</v>
      </c>
      <c r="D33" s="20"/>
      <c r="E33" s="8">
        <v>0</v>
      </c>
      <c r="F33" s="8">
        <v>0</v>
      </c>
      <c r="G33" s="18">
        <f t="shared" si="0"/>
        <v>0</v>
      </c>
      <c r="H33" s="7">
        <v>0</v>
      </c>
      <c r="I33" s="7">
        <v>0</v>
      </c>
      <c r="J33" s="23">
        <f t="shared" si="5"/>
        <v>0</v>
      </c>
      <c r="K33" s="8">
        <f t="shared" si="6"/>
        <v>0</v>
      </c>
      <c r="L33" s="8"/>
      <c r="M33" s="8">
        <f t="shared" si="4"/>
        <v>1198639.6438</v>
      </c>
      <c r="N33" s="224"/>
      <c r="O33" s="1"/>
    </row>
    <row r="34" spans="1:17">
      <c r="A34" s="55">
        <v>31</v>
      </c>
      <c r="B34" s="235"/>
      <c r="C34" s="303">
        <v>0</v>
      </c>
      <c r="D34" s="304"/>
      <c r="E34" s="8">
        <v>0</v>
      </c>
      <c r="F34" s="8">
        <v>0</v>
      </c>
      <c r="G34" s="18">
        <f t="shared" si="0"/>
        <v>0</v>
      </c>
      <c r="H34" s="7">
        <v>0</v>
      </c>
      <c r="I34" s="7">
        <v>0</v>
      </c>
      <c r="J34" s="23">
        <f t="shared" si="5"/>
        <v>0</v>
      </c>
      <c r="K34" s="8">
        <f t="shared" si="6"/>
        <v>0</v>
      </c>
      <c r="L34" s="8"/>
      <c r="M34" s="8">
        <f t="shared" si="4"/>
        <v>1198639.6438</v>
      </c>
      <c r="N34" s="224"/>
      <c r="O34" s="1"/>
    </row>
    <row r="35" spans="1:17">
      <c r="A35" s="55">
        <v>32</v>
      </c>
      <c r="B35" s="235"/>
      <c r="C35" s="27"/>
      <c r="D35" s="20"/>
      <c r="E35" s="8">
        <v>0</v>
      </c>
      <c r="F35" s="8">
        <v>0</v>
      </c>
      <c r="G35" s="18">
        <f t="shared" si="0"/>
        <v>0</v>
      </c>
      <c r="H35" s="7">
        <v>0</v>
      </c>
      <c r="I35" s="7">
        <v>0</v>
      </c>
      <c r="J35" s="23">
        <f t="shared" si="5"/>
        <v>0</v>
      </c>
      <c r="K35" s="8">
        <f t="shared" si="6"/>
        <v>0</v>
      </c>
      <c r="L35" s="8"/>
      <c r="M35" s="8">
        <f t="shared" si="4"/>
        <v>1198639.6438</v>
      </c>
      <c r="N35" s="224"/>
      <c r="O35" s="1"/>
      <c r="P35">
        <v>1194597.71</v>
      </c>
      <c r="Q35" s="389">
        <f>P35-M35</f>
        <v>-4041.9337999999989</v>
      </c>
    </row>
    <row r="36" spans="1:17">
      <c r="A36" s="180"/>
      <c r="B36" s="180"/>
      <c r="C36" s="180"/>
      <c r="D36" s="180"/>
      <c r="E36" s="181">
        <f>SUM(E4:E35)</f>
        <v>2000</v>
      </c>
      <c r="F36" s="181"/>
      <c r="G36" s="181">
        <f>SUM(G4:G35)</f>
        <v>182280</v>
      </c>
      <c r="H36" s="181">
        <f>SUM(H4:H35)</f>
        <v>40</v>
      </c>
      <c r="I36" s="181"/>
      <c r="J36" s="181">
        <f>SUM(J4:J35)</f>
        <v>4184</v>
      </c>
      <c r="K36" s="181">
        <f>SUM(K4:K35)</f>
        <v>186464</v>
      </c>
      <c r="L36" s="181">
        <f>SUM(L4:L35)</f>
        <v>0</v>
      </c>
      <c r="M36" s="181"/>
      <c r="N36" s="75"/>
      <c r="O36" s="71"/>
    </row>
    <row r="37" spans="1:17">
      <c r="A37" s="2"/>
      <c r="B37" s="2"/>
      <c r="C37" s="2"/>
      <c r="D37" s="2"/>
      <c r="E37" s="4"/>
      <c r="F37" s="4"/>
      <c r="G37" s="4"/>
      <c r="H37" s="4"/>
      <c r="I37" s="4"/>
      <c r="J37" s="4"/>
      <c r="K37" s="4"/>
      <c r="L37" s="4"/>
      <c r="M37" s="4"/>
      <c r="N37" s="4"/>
      <c r="O37" s="1"/>
    </row>
    <row r="38" spans="1:17">
      <c r="A38" s="1"/>
      <c r="B38" s="413"/>
      <c r="C38" s="413"/>
      <c r="D38" s="413"/>
      <c r="E38" s="413"/>
      <c r="F38" s="1"/>
      <c r="G38" s="1"/>
      <c r="H38" s="1"/>
      <c r="I38" s="413"/>
      <c r="J38" s="413"/>
      <c r="K38" s="413"/>
      <c r="L38" s="413"/>
      <c r="M38" s="413"/>
      <c r="N38" s="413"/>
      <c r="O38" s="4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</sheetData>
  <mergeCells count="3">
    <mergeCell ref="B38:E38"/>
    <mergeCell ref="I38:N38"/>
    <mergeCell ref="A1:N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BF21-978C-45C0-87AC-3079BCB517B4}">
  <dimension ref="A1:Q44"/>
  <sheetViews>
    <sheetView workbookViewId="0">
      <pane ySplit="2" topLeftCell="A3" activePane="bottomLeft" state="frozen"/>
      <selection pane="bottomLeft" activeCell="T28" sqref="T28"/>
    </sheetView>
  </sheetViews>
  <sheetFormatPr defaultRowHeight="15"/>
  <cols>
    <col min="1" max="1" width="5.140625" bestFit="1" customWidth="1"/>
    <col min="2" max="2" width="9.5703125" bestFit="1" customWidth="1"/>
    <col min="3" max="3" width="8" bestFit="1" customWidth="1"/>
    <col min="4" max="4" width="13.28515625" bestFit="1" customWidth="1"/>
    <col min="5" max="5" width="10.7109375" bestFit="1" customWidth="1"/>
    <col min="6" max="6" width="9.7109375" bestFit="1" customWidth="1"/>
    <col min="7" max="7" width="13.140625" customWidth="1"/>
    <col min="8" max="8" width="10.7109375" bestFit="1" customWidth="1"/>
    <col min="9" max="9" width="7.140625" bestFit="1" customWidth="1"/>
    <col min="10" max="10" width="9.7109375" bestFit="1" customWidth="1"/>
    <col min="11" max="12" width="13.5703125" bestFit="1" customWidth="1"/>
    <col min="13" max="13" width="14.42578125" customWidth="1"/>
    <col min="14" max="14" width="16.42578125" bestFit="1" customWidth="1"/>
  </cols>
  <sheetData>
    <row r="1" spans="1:17" ht="15.75" customHeight="1">
      <c r="A1" s="428" t="s">
        <v>90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95"/>
    </row>
    <row r="2" spans="1:17" ht="16.5" customHeight="1">
      <c r="A2" s="111" t="s">
        <v>105</v>
      </c>
      <c r="B2" s="112" t="s">
        <v>106</v>
      </c>
      <c r="C2" s="112" t="s">
        <v>107</v>
      </c>
      <c r="D2" s="112" t="s">
        <v>121</v>
      </c>
      <c r="E2" s="112" t="s">
        <v>109</v>
      </c>
      <c r="F2" s="112" t="s">
        <v>110</v>
      </c>
      <c r="G2" s="112" t="s">
        <v>111</v>
      </c>
      <c r="H2" s="112" t="s">
        <v>112</v>
      </c>
      <c r="I2" s="112" t="s">
        <v>110</v>
      </c>
      <c r="J2" s="153" t="s">
        <v>111</v>
      </c>
      <c r="K2" s="113" t="s">
        <v>113</v>
      </c>
      <c r="L2" s="154" t="s">
        <v>114</v>
      </c>
      <c r="M2" s="159" t="s">
        <v>120</v>
      </c>
      <c r="N2" s="114" t="s">
        <v>116</v>
      </c>
      <c r="O2" s="71"/>
    </row>
    <row r="3" spans="1:17" ht="16.5" customHeight="1">
      <c r="A3" s="420" t="s">
        <v>117</v>
      </c>
      <c r="B3" s="421"/>
      <c r="C3" s="421"/>
      <c r="D3" s="421"/>
      <c r="E3" s="421"/>
      <c r="F3" s="421"/>
      <c r="G3" s="421"/>
      <c r="H3" s="421"/>
      <c r="I3" s="421"/>
      <c r="J3" s="421"/>
      <c r="K3" s="421"/>
      <c r="L3" s="429"/>
      <c r="M3" s="167">
        <v>0</v>
      </c>
      <c r="N3" s="176"/>
      <c r="O3" s="71"/>
    </row>
    <row r="4" spans="1:17">
      <c r="A4" s="229">
        <v>1</v>
      </c>
      <c r="B4" s="264">
        <v>45839</v>
      </c>
      <c r="C4" s="79"/>
      <c r="D4" s="179"/>
      <c r="E4" s="77">
        <v>110.41</v>
      </c>
      <c r="F4" s="77">
        <v>90.57</v>
      </c>
      <c r="G4" s="8">
        <f>E4*F4</f>
        <v>9999.8336999999992</v>
      </c>
      <c r="H4" s="77">
        <v>0</v>
      </c>
      <c r="I4" s="78">
        <v>0</v>
      </c>
      <c r="J4" s="8">
        <f>H4*I4</f>
        <v>0</v>
      </c>
      <c r="K4" s="8">
        <f>G4+J4</f>
        <v>9999.8336999999992</v>
      </c>
      <c r="L4" s="80">
        <f>+K4</f>
        <v>9999.8336999999992</v>
      </c>
      <c r="M4" s="80">
        <v>0</v>
      </c>
      <c r="N4" s="8"/>
    </row>
    <row r="5" spans="1:17">
      <c r="A5" s="55">
        <v>2</v>
      </c>
      <c r="B5" s="264">
        <v>45840</v>
      </c>
      <c r="C5" s="79"/>
      <c r="D5" s="179"/>
      <c r="E5" s="77"/>
      <c r="F5" s="77"/>
      <c r="G5" s="8">
        <f t="shared" ref="G5:G34" si="0">E5*F5</f>
        <v>0</v>
      </c>
      <c r="H5" s="77">
        <v>0</v>
      </c>
      <c r="I5" s="78">
        <v>0</v>
      </c>
      <c r="J5" s="8">
        <f t="shared" ref="J5:J34" si="1">H5*I5</f>
        <v>0</v>
      </c>
      <c r="K5" s="8">
        <f t="shared" ref="K5:K34" si="2">G5+J5</f>
        <v>0</v>
      </c>
      <c r="L5" s="80">
        <f t="shared" ref="L5:L34" si="3">+K5</f>
        <v>0</v>
      </c>
      <c r="M5" s="80">
        <v>0</v>
      </c>
      <c r="N5" s="8"/>
    </row>
    <row r="6" spans="1:17">
      <c r="A6" s="55">
        <v>3</v>
      </c>
      <c r="B6" s="264">
        <v>45841</v>
      </c>
      <c r="C6" s="79"/>
      <c r="D6" s="179"/>
      <c r="E6" s="77"/>
      <c r="F6" s="77"/>
      <c r="G6" s="8">
        <f t="shared" si="0"/>
        <v>0</v>
      </c>
      <c r="H6" s="77">
        <v>0</v>
      </c>
      <c r="I6" s="78">
        <v>0</v>
      </c>
      <c r="J6" s="8">
        <f t="shared" si="1"/>
        <v>0</v>
      </c>
      <c r="K6" s="8">
        <f t="shared" si="2"/>
        <v>0</v>
      </c>
      <c r="L6" s="80">
        <f t="shared" si="3"/>
        <v>0</v>
      </c>
      <c r="M6" s="80">
        <v>0</v>
      </c>
      <c r="N6" s="8"/>
    </row>
    <row r="7" spans="1:17">
      <c r="A7" s="55">
        <v>4</v>
      </c>
      <c r="B7" s="264">
        <v>45842</v>
      </c>
      <c r="C7" s="79"/>
      <c r="D7" s="179"/>
      <c r="E7" s="77"/>
      <c r="F7" s="77"/>
      <c r="G7" s="8">
        <f t="shared" si="0"/>
        <v>0</v>
      </c>
      <c r="H7" s="77">
        <v>14.66</v>
      </c>
      <c r="I7" s="78">
        <v>102.46</v>
      </c>
      <c r="J7" s="8">
        <f t="shared" si="1"/>
        <v>1502.0636</v>
      </c>
      <c r="K7" s="8">
        <f t="shared" si="2"/>
        <v>1502.0636</v>
      </c>
      <c r="L7" s="80">
        <f t="shared" si="3"/>
        <v>1502.0636</v>
      </c>
      <c r="M7" s="80">
        <v>0</v>
      </c>
      <c r="N7" s="8"/>
    </row>
    <row r="8" spans="1:17">
      <c r="A8" s="55">
        <v>5</v>
      </c>
      <c r="B8" s="264">
        <v>45843</v>
      </c>
      <c r="C8" s="79"/>
      <c r="D8" s="179"/>
      <c r="E8" s="77"/>
      <c r="F8" s="77"/>
      <c r="G8" s="8">
        <f t="shared" si="0"/>
        <v>0</v>
      </c>
      <c r="H8" s="77">
        <v>0</v>
      </c>
      <c r="I8" s="78">
        <v>0</v>
      </c>
      <c r="J8" s="8">
        <f t="shared" si="1"/>
        <v>0</v>
      </c>
      <c r="K8" s="8">
        <f t="shared" si="2"/>
        <v>0</v>
      </c>
      <c r="L8" s="80">
        <f t="shared" si="3"/>
        <v>0</v>
      </c>
      <c r="M8" s="80">
        <v>0</v>
      </c>
      <c r="N8" s="8"/>
      <c r="O8" s="81"/>
    </row>
    <row r="9" spans="1:17">
      <c r="A9" s="55">
        <v>6</v>
      </c>
      <c r="B9" s="264">
        <v>45844</v>
      </c>
      <c r="C9" s="79"/>
      <c r="D9" s="179"/>
      <c r="E9" s="77"/>
      <c r="F9" s="77"/>
      <c r="G9" s="8">
        <f t="shared" si="0"/>
        <v>0</v>
      </c>
      <c r="H9" s="77">
        <v>0</v>
      </c>
      <c r="I9" s="78">
        <v>0</v>
      </c>
      <c r="J9" s="8">
        <f t="shared" si="1"/>
        <v>0</v>
      </c>
      <c r="K9" s="8">
        <f t="shared" si="2"/>
        <v>0</v>
      </c>
      <c r="L9" s="80">
        <f t="shared" si="3"/>
        <v>0</v>
      </c>
      <c r="M9" s="80">
        <v>0</v>
      </c>
      <c r="N9" s="8"/>
      <c r="O9" s="81"/>
    </row>
    <row r="10" spans="1:17">
      <c r="A10" s="55">
        <v>7</v>
      </c>
      <c r="B10" s="264">
        <v>45845</v>
      </c>
      <c r="C10" s="79"/>
      <c r="D10" s="179"/>
      <c r="E10" s="77">
        <v>33.119999999999997</v>
      </c>
      <c r="F10" s="77">
        <v>90.57</v>
      </c>
      <c r="G10" s="8">
        <f t="shared" si="0"/>
        <v>2999.6783999999993</v>
      </c>
      <c r="H10" s="77">
        <v>0</v>
      </c>
      <c r="I10" s="78">
        <v>0</v>
      </c>
      <c r="J10" s="8">
        <f t="shared" si="1"/>
        <v>0</v>
      </c>
      <c r="K10" s="8">
        <f t="shared" si="2"/>
        <v>2999.6783999999993</v>
      </c>
      <c r="L10" s="80">
        <f t="shared" si="3"/>
        <v>2999.6783999999993</v>
      </c>
      <c r="M10" s="80">
        <v>0</v>
      </c>
      <c r="N10" s="8"/>
      <c r="O10" s="81"/>
    </row>
    <row r="11" spans="1:17">
      <c r="A11" s="55">
        <v>8</v>
      </c>
      <c r="B11" s="264">
        <v>45846</v>
      </c>
      <c r="C11" s="79"/>
      <c r="D11" s="179"/>
      <c r="E11" s="77"/>
      <c r="F11" s="77"/>
      <c r="G11" s="8">
        <f t="shared" si="0"/>
        <v>0</v>
      </c>
      <c r="H11" s="77">
        <v>0</v>
      </c>
      <c r="I11" s="78">
        <v>0</v>
      </c>
      <c r="J11" s="8">
        <f t="shared" si="1"/>
        <v>0</v>
      </c>
      <c r="K11" s="8">
        <f t="shared" si="2"/>
        <v>0</v>
      </c>
      <c r="L11" s="80">
        <f t="shared" si="3"/>
        <v>0</v>
      </c>
      <c r="M11" s="80">
        <v>0</v>
      </c>
      <c r="N11" s="8"/>
      <c r="O11" s="81"/>
    </row>
    <row r="12" spans="1:17">
      <c r="A12" s="55">
        <v>9</v>
      </c>
      <c r="B12" s="264">
        <v>45847</v>
      </c>
      <c r="C12" s="79"/>
      <c r="D12" s="179"/>
      <c r="E12" s="77"/>
      <c r="F12" s="77"/>
      <c r="G12" s="8">
        <f t="shared" si="0"/>
        <v>0</v>
      </c>
      <c r="H12" s="77">
        <v>0</v>
      </c>
      <c r="I12" s="78">
        <v>0</v>
      </c>
      <c r="J12" s="8">
        <f t="shared" si="1"/>
        <v>0</v>
      </c>
      <c r="K12" s="8">
        <f t="shared" si="2"/>
        <v>0</v>
      </c>
      <c r="L12" s="80">
        <f t="shared" si="3"/>
        <v>0</v>
      </c>
      <c r="M12" s="80">
        <v>0</v>
      </c>
      <c r="N12" s="8"/>
      <c r="O12" s="81"/>
    </row>
    <row r="13" spans="1:17">
      <c r="A13" s="55">
        <v>10</v>
      </c>
      <c r="B13" s="264">
        <v>45848</v>
      </c>
      <c r="C13" s="79"/>
      <c r="D13" s="179"/>
      <c r="E13" s="77">
        <v>33.119999999999997</v>
      </c>
      <c r="F13" s="77">
        <v>90.57</v>
      </c>
      <c r="G13" s="8">
        <f t="shared" si="0"/>
        <v>2999.6783999999993</v>
      </c>
      <c r="H13" s="77">
        <v>0</v>
      </c>
      <c r="I13" s="78">
        <v>0</v>
      </c>
      <c r="J13" s="8">
        <f t="shared" si="1"/>
        <v>0</v>
      </c>
      <c r="K13" s="8">
        <f t="shared" si="2"/>
        <v>2999.6783999999993</v>
      </c>
      <c r="L13" s="80">
        <f t="shared" si="3"/>
        <v>2999.6783999999993</v>
      </c>
      <c r="M13" s="80">
        <v>0</v>
      </c>
      <c r="N13" s="8"/>
      <c r="O13" s="81"/>
      <c r="Q13">
        <v>4.8899999999999997</v>
      </c>
    </row>
    <row r="14" spans="1:17">
      <c r="A14" s="55">
        <v>11</v>
      </c>
      <c r="B14" s="264">
        <v>45849</v>
      </c>
      <c r="C14" s="79"/>
      <c r="D14" s="179"/>
      <c r="E14" s="77">
        <v>33.119999999999997</v>
      </c>
      <c r="F14" s="77">
        <v>90.57</v>
      </c>
      <c r="G14" s="8">
        <f t="shared" si="0"/>
        <v>2999.6783999999993</v>
      </c>
      <c r="H14" s="77">
        <v>0</v>
      </c>
      <c r="I14" s="78">
        <v>0</v>
      </c>
      <c r="J14" s="8">
        <f t="shared" si="1"/>
        <v>0</v>
      </c>
      <c r="K14" s="8">
        <f t="shared" si="2"/>
        <v>2999.6783999999993</v>
      </c>
      <c r="L14" s="80">
        <f t="shared" si="3"/>
        <v>2999.6783999999993</v>
      </c>
      <c r="M14" s="80">
        <v>0</v>
      </c>
      <c r="N14" s="8"/>
      <c r="O14" s="81"/>
      <c r="Q14">
        <v>4.8899999999999997</v>
      </c>
    </row>
    <row r="15" spans="1:17">
      <c r="A15" s="55">
        <v>12</v>
      </c>
      <c r="B15" s="264">
        <v>45850</v>
      </c>
      <c r="C15" s="79"/>
      <c r="D15" s="179"/>
      <c r="E15" s="77"/>
      <c r="F15" s="77"/>
      <c r="G15" s="8">
        <f t="shared" si="0"/>
        <v>0</v>
      </c>
      <c r="H15" s="77">
        <v>0</v>
      </c>
      <c r="I15" s="78">
        <v>0</v>
      </c>
      <c r="J15" s="8">
        <f t="shared" si="1"/>
        <v>0</v>
      </c>
      <c r="K15" s="8">
        <f>G15+J15</f>
        <v>0</v>
      </c>
      <c r="L15" s="80">
        <f t="shared" si="3"/>
        <v>0</v>
      </c>
      <c r="M15" s="80">
        <v>0</v>
      </c>
      <c r="N15" s="8"/>
      <c r="O15" s="81"/>
    </row>
    <row r="16" spans="1:17">
      <c r="A16" s="55">
        <v>13</v>
      </c>
      <c r="B16" s="264">
        <v>45851</v>
      </c>
      <c r="C16" s="79"/>
      <c r="D16" s="179"/>
      <c r="E16" s="77"/>
      <c r="F16" s="77"/>
      <c r="G16" s="8">
        <f t="shared" si="0"/>
        <v>0</v>
      </c>
      <c r="H16" s="77">
        <v>0</v>
      </c>
      <c r="I16" s="78">
        <v>0</v>
      </c>
      <c r="J16" s="8">
        <f t="shared" si="1"/>
        <v>0</v>
      </c>
      <c r="K16" s="8">
        <f t="shared" si="2"/>
        <v>0</v>
      </c>
      <c r="L16" s="80">
        <f t="shared" si="3"/>
        <v>0</v>
      </c>
      <c r="M16" s="80">
        <v>0</v>
      </c>
      <c r="N16" s="8"/>
      <c r="O16" s="81"/>
    </row>
    <row r="17" spans="1:15">
      <c r="A17" s="55">
        <v>14</v>
      </c>
      <c r="B17" s="264">
        <v>45852</v>
      </c>
      <c r="C17" s="79"/>
      <c r="D17" s="179"/>
      <c r="E17" s="77"/>
      <c r="F17" s="77"/>
      <c r="G17" s="8">
        <f t="shared" si="0"/>
        <v>0</v>
      </c>
      <c r="H17" s="77">
        <v>14.29</v>
      </c>
      <c r="I17" s="78">
        <v>102.46</v>
      </c>
      <c r="J17" s="8">
        <f t="shared" si="1"/>
        <v>1464.1533999999999</v>
      </c>
      <c r="K17" s="8">
        <f t="shared" si="2"/>
        <v>1464.1533999999999</v>
      </c>
      <c r="L17" s="80">
        <f t="shared" si="3"/>
        <v>1464.1533999999999</v>
      </c>
      <c r="M17" s="80">
        <v>0</v>
      </c>
      <c r="N17" s="8"/>
      <c r="O17" s="81"/>
    </row>
    <row r="18" spans="1:15">
      <c r="A18" s="55">
        <v>15</v>
      </c>
      <c r="B18" s="264">
        <v>45853</v>
      </c>
      <c r="C18" s="79"/>
      <c r="D18" s="179"/>
      <c r="E18" s="77">
        <v>99.37</v>
      </c>
      <c r="F18" s="77">
        <v>90.57</v>
      </c>
      <c r="G18" s="8">
        <f t="shared" si="0"/>
        <v>8999.9408999999996</v>
      </c>
      <c r="H18" s="77">
        <v>0</v>
      </c>
      <c r="I18" s="78">
        <v>0</v>
      </c>
      <c r="J18" s="8">
        <f t="shared" si="1"/>
        <v>0</v>
      </c>
      <c r="K18" s="8">
        <f t="shared" si="2"/>
        <v>8999.9408999999996</v>
      </c>
      <c r="L18" s="80">
        <f t="shared" si="3"/>
        <v>8999.9408999999996</v>
      </c>
      <c r="M18" s="80">
        <v>0</v>
      </c>
      <c r="N18" s="8"/>
      <c r="O18" s="81"/>
    </row>
    <row r="19" spans="1:15">
      <c r="A19" s="55">
        <v>16</v>
      </c>
      <c r="B19" s="264">
        <v>45854</v>
      </c>
      <c r="C19" s="79"/>
      <c r="D19" s="179"/>
      <c r="E19" s="77"/>
      <c r="F19" s="77"/>
      <c r="G19" s="8">
        <f t="shared" si="0"/>
        <v>0</v>
      </c>
      <c r="H19" s="77">
        <v>0</v>
      </c>
      <c r="I19" s="78">
        <v>0</v>
      </c>
      <c r="J19" s="8">
        <f t="shared" si="1"/>
        <v>0</v>
      </c>
      <c r="K19" s="8">
        <f t="shared" si="2"/>
        <v>0</v>
      </c>
      <c r="L19" s="80">
        <f t="shared" si="3"/>
        <v>0</v>
      </c>
      <c r="M19" s="80">
        <v>0</v>
      </c>
      <c r="N19" s="8"/>
      <c r="O19" s="81"/>
    </row>
    <row r="20" spans="1:15">
      <c r="A20" s="55">
        <v>17</v>
      </c>
      <c r="B20" s="264">
        <v>45855</v>
      </c>
      <c r="C20" s="79"/>
      <c r="D20" s="179"/>
      <c r="E20" s="77"/>
      <c r="F20" s="77"/>
      <c r="G20" s="8">
        <f t="shared" si="0"/>
        <v>0</v>
      </c>
      <c r="H20" s="77">
        <v>0</v>
      </c>
      <c r="I20" s="78">
        <v>0</v>
      </c>
      <c r="J20" s="8">
        <f t="shared" si="1"/>
        <v>0</v>
      </c>
      <c r="K20" s="8">
        <f t="shared" si="2"/>
        <v>0</v>
      </c>
      <c r="L20" s="80">
        <f t="shared" si="3"/>
        <v>0</v>
      </c>
      <c r="M20" s="80">
        <v>0</v>
      </c>
      <c r="N20" s="8"/>
      <c r="O20" s="81"/>
    </row>
    <row r="21" spans="1:15">
      <c r="A21" s="55">
        <v>18</v>
      </c>
      <c r="B21" s="264">
        <v>45856</v>
      </c>
      <c r="C21" s="79"/>
      <c r="D21" s="179"/>
      <c r="E21" s="77"/>
      <c r="F21" s="77"/>
      <c r="G21" s="8">
        <f t="shared" si="0"/>
        <v>0</v>
      </c>
      <c r="H21" s="77">
        <v>0</v>
      </c>
      <c r="I21" s="78">
        <v>0</v>
      </c>
      <c r="J21" s="8">
        <f t="shared" si="1"/>
        <v>0</v>
      </c>
      <c r="K21" s="8">
        <f t="shared" si="2"/>
        <v>0</v>
      </c>
      <c r="L21" s="80">
        <f t="shared" si="3"/>
        <v>0</v>
      </c>
      <c r="M21" s="80">
        <v>0</v>
      </c>
      <c r="N21" s="8"/>
      <c r="O21" s="81"/>
    </row>
    <row r="22" spans="1:15">
      <c r="A22" s="55">
        <v>19</v>
      </c>
      <c r="B22" s="264">
        <v>45857</v>
      </c>
      <c r="C22" s="79"/>
      <c r="D22" s="179"/>
      <c r="E22" s="77"/>
      <c r="F22" s="77"/>
      <c r="G22" s="8">
        <f t="shared" si="0"/>
        <v>0</v>
      </c>
      <c r="H22" s="77">
        <v>0</v>
      </c>
      <c r="I22" s="78">
        <v>0</v>
      </c>
      <c r="J22" s="8">
        <f t="shared" si="1"/>
        <v>0</v>
      </c>
      <c r="K22" s="8">
        <f t="shared" si="2"/>
        <v>0</v>
      </c>
      <c r="L22" s="80">
        <f t="shared" si="3"/>
        <v>0</v>
      </c>
      <c r="M22" s="80">
        <v>0</v>
      </c>
      <c r="N22" s="8"/>
      <c r="O22" s="81"/>
    </row>
    <row r="23" spans="1:15">
      <c r="A23" s="55">
        <v>20</v>
      </c>
      <c r="B23" s="264">
        <v>45858</v>
      </c>
      <c r="C23" s="79"/>
      <c r="D23" s="179"/>
      <c r="E23" s="77"/>
      <c r="F23" s="77"/>
      <c r="G23" s="8">
        <f t="shared" si="0"/>
        <v>0</v>
      </c>
      <c r="H23" s="77">
        <v>0</v>
      </c>
      <c r="I23" s="78">
        <v>0</v>
      </c>
      <c r="J23" s="8">
        <f t="shared" si="1"/>
        <v>0</v>
      </c>
      <c r="K23" s="8">
        <f t="shared" si="2"/>
        <v>0</v>
      </c>
      <c r="L23" s="80">
        <f t="shared" si="3"/>
        <v>0</v>
      </c>
      <c r="M23" s="80">
        <v>0</v>
      </c>
      <c r="N23" s="8"/>
      <c r="O23" s="81"/>
    </row>
    <row r="24" spans="1:15">
      <c r="A24" s="55">
        <v>21</v>
      </c>
      <c r="B24" s="264">
        <v>45859</v>
      </c>
      <c r="C24" s="79"/>
      <c r="D24" s="179"/>
      <c r="E24" s="77"/>
      <c r="F24" s="77"/>
      <c r="G24" s="8">
        <f t="shared" si="0"/>
        <v>0</v>
      </c>
      <c r="H24" s="77">
        <v>0</v>
      </c>
      <c r="I24" s="78">
        <v>0</v>
      </c>
      <c r="J24" s="8">
        <f t="shared" si="1"/>
        <v>0</v>
      </c>
      <c r="K24" s="8">
        <f t="shared" si="2"/>
        <v>0</v>
      </c>
      <c r="L24" s="80">
        <f t="shared" si="3"/>
        <v>0</v>
      </c>
      <c r="M24" s="80">
        <v>0</v>
      </c>
      <c r="N24" s="8"/>
      <c r="O24" s="81"/>
    </row>
    <row r="25" spans="1:15">
      <c r="A25" s="55">
        <v>22</v>
      </c>
      <c r="B25" s="264">
        <v>45860</v>
      </c>
      <c r="C25" s="79"/>
      <c r="D25" s="179"/>
      <c r="E25" s="77"/>
      <c r="F25" s="77"/>
      <c r="G25" s="8">
        <f t="shared" si="0"/>
        <v>0</v>
      </c>
      <c r="H25" s="77">
        <v>12.2</v>
      </c>
      <c r="I25" s="78">
        <v>102.46</v>
      </c>
      <c r="J25" s="8">
        <f t="shared" si="1"/>
        <v>1250.0119999999999</v>
      </c>
      <c r="K25" s="8">
        <f t="shared" si="2"/>
        <v>1250.0119999999999</v>
      </c>
      <c r="L25" s="80">
        <f t="shared" si="3"/>
        <v>1250.0119999999999</v>
      </c>
      <c r="M25" s="80">
        <v>0</v>
      </c>
      <c r="N25" s="8"/>
      <c r="O25" s="81"/>
    </row>
    <row r="26" spans="1:15">
      <c r="A26" s="55">
        <v>23</v>
      </c>
      <c r="B26" s="264">
        <v>45861</v>
      </c>
      <c r="C26" s="79"/>
      <c r="D26" s="179"/>
      <c r="E26" s="77">
        <v>110.14</v>
      </c>
      <c r="F26" s="77">
        <v>90.57</v>
      </c>
      <c r="G26" s="8">
        <f t="shared" si="0"/>
        <v>9975.3797999999988</v>
      </c>
      <c r="H26" s="77">
        <v>0</v>
      </c>
      <c r="I26" s="78">
        <v>0</v>
      </c>
      <c r="J26" s="8">
        <f t="shared" si="1"/>
        <v>0</v>
      </c>
      <c r="K26" s="8">
        <f t="shared" si="2"/>
        <v>9975.3797999999988</v>
      </c>
      <c r="L26" s="80">
        <f t="shared" si="3"/>
        <v>9975.3797999999988</v>
      </c>
      <c r="M26" s="80">
        <v>0</v>
      </c>
      <c r="N26" s="8"/>
      <c r="O26" s="81"/>
    </row>
    <row r="27" spans="1:15">
      <c r="A27" s="55">
        <v>24</v>
      </c>
      <c r="B27" s="264">
        <v>45862</v>
      </c>
      <c r="C27" s="79"/>
      <c r="D27" s="179"/>
      <c r="E27" s="77"/>
      <c r="F27" s="77"/>
      <c r="G27" s="8">
        <f t="shared" si="0"/>
        <v>0</v>
      </c>
      <c r="H27" s="77">
        <v>0</v>
      </c>
      <c r="I27" s="78">
        <v>0</v>
      </c>
      <c r="J27" s="8">
        <f t="shared" si="1"/>
        <v>0</v>
      </c>
      <c r="K27" s="8">
        <f t="shared" si="2"/>
        <v>0</v>
      </c>
      <c r="L27" s="80">
        <f t="shared" si="3"/>
        <v>0</v>
      </c>
      <c r="M27" s="80">
        <v>0</v>
      </c>
      <c r="N27" s="8"/>
      <c r="O27" s="81"/>
    </row>
    <row r="28" spans="1:15">
      <c r="A28" s="266">
        <v>25</v>
      </c>
      <c r="B28" s="264">
        <v>45863</v>
      </c>
      <c r="C28" s="79"/>
      <c r="D28" s="179"/>
      <c r="E28" s="77"/>
      <c r="F28" s="77"/>
      <c r="G28" s="8">
        <f t="shared" si="0"/>
        <v>0</v>
      </c>
      <c r="H28" s="77">
        <v>0</v>
      </c>
      <c r="I28" s="78">
        <v>0</v>
      </c>
      <c r="J28" s="8">
        <f t="shared" si="1"/>
        <v>0</v>
      </c>
      <c r="K28" s="8">
        <f t="shared" si="2"/>
        <v>0</v>
      </c>
      <c r="L28" s="80">
        <f t="shared" si="3"/>
        <v>0</v>
      </c>
      <c r="M28" s="80">
        <v>0</v>
      </c>
      <c r="N28" s="8"/>
      <c r="O28" s="81"/>
    </row>
    <row r="29" spans="1:15">
      <c r="A29" s="266">
        <v>26</v>
      </c>
      <c r="B29" s="264">
        <v>45864</v>
      </c>
      <c r="C29" s="79"/>
      <c r="D29" s="179"/>
      <c r="E29" s="77"/>
      <c r="F29" s="77"/>
      <c r="G29" s="8">
        <f t="shared" si="0"/>
        <v>0</v>
      </c>
      <c r="H29" s="77">
        <v>0</v>
      </c>
      <c r="I29" s="78">
        <v>0</v>
      </c>
      <c r="J29" s="8">
        <f t="shared" si="1"/>
        <v>0</v>
      </c>
      <c r="K29" s="8">
        <f t="shared" si="2"/>
        <v>0</v>
      </c>
      <c r="L29" s="80">
        <f t="shared" si="3"/>
        <v>0</v>
      </c>
      <c r="M29" s="80">
        <v>0</v>
      </c>
      <c r="N29" s="8"/>
      <c r="O29" s="81"/>
    </row>
    <row r="30" spans="1:15">
      <c r="A30" s="266">
        <v>27</v>
      </c>
      <c r="B30" s="264">
        <v>45865</v>
      </c>
      <c r="C30" s="79"/>
      <c r="D30" s="179"/>
      <c r="E30" s="77"/>
      <c r="F30" s="77"/>
      <c r="G30" s="8">
        <f t="shared" si="0"/>
        <v>0</v>
      </c>
      <c r="H30" s="77">
        <v>0</v>
      </c>
      <c r="I30" s="78">
        <v>0</v>
      </c>
      <c r="J30" s="8">
        <f t="shared" si="1"/>
        <v>0</v>
      </c>
      <c r="K30" s="8">
        <f t="shared" si="2"/>
        <v>0</v>
      </c>
      <c r="L30" s="80">
        <f t="shared" si="3"/>
        <v>0</v>
      </c>
      <c r="M30" s="80">
        <v>0</v>
      </c>
      <c r="N30" s="8"/>
      <c r="O30" s="81"/>
    </row>
    <row r="31" spans="1:15">
      <c r="A31" s="266">
        <v>28</v>
      </c>
      <c r="B31" s="264">
        <v>45866</v>
      </c>
      <c r="C31" s="79"/>
      <c r="D31" s="179"/>
      <c r="E31" s="77"/>
      <c r="F31" s="77"/>
      <c r="G31" s="8">
        <f t="shared" si="0"/>
        <v>0</v>
      </c>
      <c r="H31" s="77">
        <v>0</v>
      </c>
      <c r="I31" s="78">
        <v>0</v>
      </c>
      <c r="J31" s="8">
        <f t="shared" si="1"/>
        <v>0</v>
      </c>
      <c r="K31" s="8">
        <f t="shared" si="2"/>
        <v>0</v>
      </c>
      <c r="L31" s="80">
        <f t="shared" si="3"/>
        <v>0</v>
      </c>
      <c r="M31" s="80">
        <v>0</v>
      </c>
      <c r="N31" s="8"/>
      <c r="O31" s="81"/>
    </row>
    <row r="32" spans="1:15">
      <c r="A32" s="267">
        <v>29</v>
      </c>
      <c r="B32" s="264">
        <v>45867</v>
      </c>
      <c r="C32" s="79"/>
      <c r="D32" s="179"/>
      <c r="E32" s="77"/>
      <c r="F32" s="77"/>
      <c r="G32" s="8">
        <f t="shared" si="0"/>
        <v>0</v>
      </c>
      <c r="H32" s="77">
        <v>0</v>
      </c>
      <c r="I32" s="78">
        <v>0</v>
      </c>
      <c r="J32" s="8">
        <f t="shared" si="1"/>
        <v>0</v>
      </c>
      <c r="K32" s="8">
        <f t="shared" si="2"/>
        <v>0</v>
      </c>
      <c r="L32" s="80">
        <f t="shared" si="3"/>
        <v>0</v>
      </c>
      <c r="M32" s="80">
        <v>0</v>
      </c>
      <c r="N32" s="8"/>
      <c r="O32" s="81"/>
    </row>
    <row r="33" spans="1:15">
      <c r="A33" s="267">
        <v>30</v>
      </c>
      <c r="B33" s="264">
        <v>45868</v>
      </c>
      <c r="C33" s="79"/>
      <c r="D33" s="179"/>
      <c r="E33" s="77">
        <v>35.33</v>
      </c>
      <c r="F33" s="77">
        <v>90.57</v>
      </c>
      <c r="G33" s="8">
        <f t="shared" si="0"/>
        <v>3199.8380999999995</v>
      </c>
      <c r="H33" s="77">
        <v>10.73</v>
      </c>
      <c r="I33" s="78">
        <v>102.46</v>
      </c>
      <c r="J33" s="8">
        <f t="shared" si="1"/>
        <v>1099.3958</v>
      </c>
      <c r="K33" s="8">
        <f t="shared" si="2"/>
        <v>4299.2338999999993</v>
      </c>
      <c r="L33" s="80">
        <f t="shared" si="3"/>
        <v>4299.2338999999993</v>
      </c>
      <c r="M33" s="80">
        <v>0</v>
      </c>
      <c r="N33" s="8"/>
      <c r="O33" s="81"/>
    </row>
    <row r="34" spans="1:15">
      <c r="A34" s="267">
        <v>31</v>
      </c>
      <c r="B34" s="264"/>
      <c r="C34" s="79"/>
      <c r="D34" s="179"/>
      <c r="E34" s="77"/>
      <c r="F34" s="77"/>
      <c r="G34" s="8">
        <f t="shared" si="0"/>
        <v>0</v>
      </c>
      <c r="H34" s="77">
        <v>0</v>
      </c>
      <c r="I34" s="78">
        <v>0</v>
      </c>
      <c r="J34" s="8">
        <f t="shared" si="1"/>
        <v>0</v>
      </c>
      <c r="K34" s="8">
        <f t="shared" si="2"/>
        <v>0</v>
      </c>
      <c r="L34" s="80">
        <f t="shared" si="3"/>
        <v>0</v>
      </c>
      <c r="M34" s="80">
        <v>0</v>
      </c>
      <c r="N34" s="8"/>
      <c r="O34" s="81"/>
    </row>
    <row r="35" spans="1:15">
      <c r="A35" s="74"/>
      <c r="B35" s="74"/>
      <c r="C35" s="74"/>
      <c r="D35" s="74"/>
      <c r="E35" s="75">
        <f>SUM(E4:E34)</f>
        <v>454.60999999999996</v>
      </c>
      <c r="F35" s="75"/>
      <c r="G35" s="75">
        <f>SUM(G4:G34)</f>
        <v>41174.027699999999</v>
      </c>
      <c r="H35" s="75">
        <f>SUM(H4:H34)</f>
        <v>51.879999999999995</v>
      </c>
      <c r="I35" s="75"/>
      <c r="J35" s="75">
        <f>SUM(J4:J34)</f>
        <v>5315.6247999999996</v>
      </c>
      <c r="K35" s="75">
        <f>SUM(K4:K34)</f>
        <v>46489.652499999997</v>
      </c>
      <c r="L35" s="75">
        <f>SUM(L4:L34)</f>
        <v>46489.652499999997</v>
      </c>
      <c r="M35" s="75"/>
      <c r="N35" s="75"/>
      <c r="O35" s="71"/>
    </row>
    <row r="36" spans="1:15">
      <c r="A36" s="85"/>
      <c r="B36" s="86"/>
      <c r="C36" s="85"/>
      <c r="D36" s="85"/>
      <c r="E36" s="87"/>
      <c r="F36" s="87"/>
      <c r="G36" s="87"/>
      <c r="H36" s="87"/>
      <c r="I36" s="87"/>
      <c r="J36" s="88"/>
      <c r="K36" s="88"/>
      <c r="L36" s="88"/>
      <c r="M36" s="88"/>
      <c r="N36" s="87"/>
      <c r="O36" s="81"/>
    </row>
    <row r="37" spans="1:15">
      <c r="O37" s="81"/>
    </row>
    <row r="38" spans="1:15">
      <c r="O38" s="81"/>
    </row>
    <row r="39" spans="1:15">
      <c r="O39" s="81"/>
    </row>
    <row r="40" spans="1:15">
      <c r="O40" s="81"/>
    </row>
    <row r="41" spans="1:15">
      <c r="O41" s="81"/>
    </row>
    <row r="42" spans="1:15">
      <c r="A42" s="81"/>
      <c r="B42" s="71"/>
      <c r="C42" s="81"/>
      <c r="D42" s="81"/>
      <c r="E42" s="81"/>
      <c r="F42" s="81"/>
      <c r="G42" s="89"/>
      <c r="H42" s="81"/>
      <c r="I42" s="81"/>
      <c r="J42" s="71"/>
      <c r="K42" s="71"/>
      <c r="L42" s="71"/>
      <c r="M42" s="71"/>
      <c r="N42" s="81"/>
      <c r="O42" s="87"/>
    </row>
    <row r="43" spans="1:15">
      <c r="A43" s="81"/>
      <c r="B43" s="430"/>
      <c r="C43" s="430"/>
      <c r="D43" s="430"/>
      <c r="E43" s="430"/>
      <c r="F43" s="81"/>
      <c r="G43" s="81"/>
      <c r="H43" s="81"/>
      <c r="I43" s="430"/>
      <c r="J43" s="430"/>
      <c r="K43" s="430"/>
      <c r="L43" s="430"/>
      <c r="M43" s="430"/>
      <c r="N43" s="430"/>
      <c r="O43" s="87"/>
    </row>
    <row r="44" spans="1:15">
      <c r="A44" s="81"/>
      <c r="B44" s="71"/>
      <c r="C44" s="81"/>
      <c r="D44" s="81"/>
      <c r="E44" s="81"/>
      <c r="F44" s="81"/>
      <c r="G44" s="81"/>
      <c r="H44" s="81"/>
      <c r="I44" s="81"/>
      <c r="J44" s="71"/>
      <c r="K44" s="71"/>
      <c r="L44" s="71"/>
      <c r="M44" s="71"/>
      <c r="N44" s="81"/>
      <c r="O44" s="87"/>
    </row>
  </sheetData>
  <mergeCells count="4">
    <mergeCell ref="B43:E43"/>
    <mergeCell ref="I43:N43"/>
    <mergeCell ref="A1:N1"/>
    <mergeCell ref="A3:L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B0F2-641D-4F53-BA0F-B63DE3F29F26}">
  <dimension ref="A1:U80"/>
  <sheetViews>
    <sheetView workbookViewId="0">
      <pane ySplit="3" topLeftCell="A35" activePane="bottomLeft" state="frozen"/>
      <selection pane="bottomLeft" activeCell="D52" sqref="D52"/>
    </sheetView>
  </sheetViews>
  <sheetFormatPr defaultRowHeight="15"/>
  <cols>
    <col min="2" max="2" width="16.28515625" customWidth="1"/>
    <col min="3" max="3" width="38.85546875" bestFit="1" customWidth="1"/>
    <col min="4" max="4" width="15.5703125" customWidth="1"/>
    <col min="5" max="5" width="12.28515625" style="214" customWidth="1"/>
    <col min="6" max="6" width="12.85546875" style="214" customWidth="1"/>
    <col min="7" max="7" width="12.5703125" style="214" bestFit="1" customWidth="1"/>
    <col min="8" max="8" width="12.5703125" style="214" customWidth="1"/>
    <col min="9" max="10" width="9.140625" style="214"/>
    <col min="11" max="11" width="18.7109375" style="214" customWidth="1"/>
    <col min="12" max="12" width="24.140625" style="214" customWidth="1"/>
    <col min="13" max="13" width="16.5703125" style="214" customWidth="1"/>
    <col min="14" max="14" width="19.85546875" style="214" customWidth="1"/>
    <col min="15" max="15" width="13.42578125" style="214" customWidth="1"/>
    <col min="16" max="21" width="9.140625" style="214"/>
  </cols>
  <sheetData>
    <row r="1" spans="1:15" ht="15.75">
      <c r="A1" s="301" t="s">
        <v>164</v>
      </c>
      <c r="B1" s="301"/>
      <c r="C1" s="301"/>
      <c r="D1" s="301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</row>
    <row r="2" spans="1:15" ht="26.25" customHeight="1">
      <c r="A2" s="76" t="s">
        <v>105</v>
      </c>
      <c r="B2" s="96" t="s">
        <v>106</v>
      </c>
      <c r="C2" s="96" t="s">
        <v>165</v>
      </c>
      <c r="D2" s="96" t="s">
        <v>166</v>
      </c>
      <c r="E2" s="357" t="s">
        <v>109</v>
      </c>
      <c r="F2" s="357" t="s">
        <v>110</v>
      </c>
      <c r="G2" s="358" t="s">
        <v>111</v>
      </c>
      <c r="H2" s="357" t="s">
        <v>112</v>
      </c>
      <c r="I2" s="357" t="s">
        <v>110</v>
      </c>
      <c r="J2" s="358" t="s">
        <v>111</v>
      </c>
      <c r="K2" s="359" t="s">
        <v>113</v>
      </c>
      <c r="L2" s="360" t="s">
        <v>167</v>
      </c>
      <c r="M2" s="361" t="s">
        <v>120</v>
      </c>
      <c r="N2" s="357" t="s">
        <v>116</v>
      </c>
      <c r="O2" s="357" t="s">
        <v>168</v>
      </c>
    </row>
    <row r="3" spans="1:15" ht="15.75">
      <c r="A3" s="302" t="s">
        <v>117</v>
      </c>
      <c r="B3" s="302"/>
      <c r="C3" s="302"/>
      <c r="D3" s="302"/>
      <c r="E3" s="362"/>
      <c r="F3" s="362"/>
      <c r="G3" s="362"/>
      <c r="H3" s="362"/>
      <c r="I3" s="362"/>
      <c r="J3" s="362"/>
      <c r="K3" s="363">
        <v>598.62899999989531</v>
      </c>
      <c r="L3" s="364"/>
      <c r="M3" s="364"/>
      <c r="N3" s="364"/>
      <c r="O3" s="365"/>
    </row>
    <row r="4" spans="1:15">
      <c r="A4" s="187">
        <v>1</v>
      </c>
      <c r="B4" s="355" t="s">
        <v>127</v>
      </c>
      <c r="C4" s="118" t="s">
        <v>169</v>
      </c>
      <c r="D4" s="395" t="s">
        <v>170</v>
      </c>
      <c r="E4" s="366"/>
      <c r="F4" s="366"/>
      <c r="G4" s="366">
        <f>E4*F4</f>
        <v>0</v>
      </c>
      <c r="H4" s="309">
        <v>1.86</v>
      </c>
      <c r="I4" s="309">
        <v>107.46</v>
      </c>
      <c r="J4" s="366">
        <f>H4*I4</f>
        <v>199.87559999999999</v>
      </c>
      <c r="K4" s="366">
        <f>G4+J4</f>
        <v>199.87559999999999</v>
      </c>
      <c r="L4" s="367">
        <v>13225</v>
      </c>
      <c r="M4" s="367">
        <f>K3+L4-K4</f>
        <v>13623.753399999896</v>
      </c>
      <c r="N4" s="367"/>
      <c r="O4" s="367"/>
    </row>
    <row r="5" spans="1:15">
      <c r="A5" s="19">
        <v>2</v>
      </c>
      <c r="B5" s="355" t="s">
        <v>129</v>
      </c>
      <c r="C5" s="118" t="s">
        <v>171</v>
      </c>
      <c r="D5" s="395" t="s">
        <v>170</v>
      </c>
      <c r="E5" s="366"/>
      <c r="F5" s="366"/>
      <c r="G5" s="366">
        <f t="shared" ref="G5:G69" si="0">E5*F5</f>
        <v>0</v>
      </c>
      <c r="H5" s="309">
        <v>4.1900000000000004</v>
      </c>
      <c r="I5" s="309">
        <v>107.46</v>
      </c>
      <c r="J5" s="366">
        <f t="shared" ref="J5:J57" si="1">H5*I5</f>
        <v>450.25740000000002</v>
      </c>
      <c r="K5" s="366">
        <f t="shared" ref="K5:K57" si="2">G5+J5</f>
        <v>450.25740000000002</v>
      </c>
      <c r="L5" s="367">
        <v>0</v>
      </c>
      <c r="M5" s="366">
        <f>M4+L5-K5</f>
        <v>13173.495999999896</v>
      </c>
      <c r="N5" s="366"/>
      <c r="O5" s="366"/>
    </row>
    <row r="6" spans="1:15">
      <c r="A6" s="19">
        <v>3</v>
      </c>
      <c r="B6" s="268" t="s">
        <v>129</v>
      </c>
      <c r="C6" s="396" t="s">
        <v>172</v>
      </c>
      <c r="D6" s="309" t="s">
        <v>173</v>
      </c>
      <c r="E6" s="366">
        <v>81.209999999999994</v>
      </c>
      <c r="F6" s="366">
        <v>96.83</v>
      </c>
      <c r="G6" s="366">
        <f t="shared" si="0"/>
        <v>7863.5642999999991</v>
      </c>
      <c r="H6" s="366">
        <v>0</v>
      </c>
      <c r="I6" s="366">
        <v>0</v>
      </c>
      <c r="J6" s="366">
        <f t="shared" si="1"/>
        <v>0</v>
      </c>
      <c r="K6" s="366">
        <f t="shared" si="2"/>
        <v>7863.5642999999991</v>
      </c>
      <c r="L6" s="367">
        <v>0</v>
      </c>
      <c r="M6" s="366">
        <f t="shared" ref="M6:M70" si="3">M5+L6-K6</f>
        <v>5309.9316999998964</v>
      </c>
      <c r="N6" s="366"/>
      <c r="O6" s="366"/>
    </row>
    <row r="7" spans="1:15">
      <c r="A7" s="187">
        <v>4</v>
      </c>
      <c r="B7" s="268" t="s">
        <v>129</v>
      </c>
      <c r="C7" s="188" t="s">
        <v>174</v>
      </c>
      <c r="D7" s="188" t="s">
        <v>175</v>
      </c>
      <c r="E7" s="366">
        <v>6440.92</v>
      </c>
      <c r="F7" s="366">
        <v>91.26</v>
      </c>
      <c r="G7" s="366">
        <f t="shared" si="0"/>
        <v>587798.35920000006</v>
      </c>
      <c r="H7" s="366">
        <v>0</v>
      </c>
      <c r="I7" s="366">
        <v>0</v>
      </c>
      <c r="J7" s="366">
        <f t="shared" si="1"/>
        <v>0</v>
      </c>
      <c r="K7" s="366">
        <f t="shared" si="2"/>
        <v>587798.35920000006</v>
      </c>
      <c r="L7" s="367">
        <v>588000</v>
      </c>
      <c r="M7" s="366">
        <f t="shared" si="3"/>
        <v>5511.5724999997765</v>
      </c>
      <c r="N7" s="366"/>
      <c r="O7" s="366"/>
    </row>
    <row r="8" spans="1:15">
      <c r="A8" s="19">
        <v>5</v>
      </c>
      <c r="B8" s="268" t="s">
        <v>129</v>
      </c>
      <c r="C8" s="188" t="s">
        <v>176</v>
      </c>
      <c r="D8" s="188" t="s">
        <v>177</v>
      </c>
      <c r="E8" s="366"/>
      <c r="F8" s="366"/>
      <c r="G8" s="366">
        <f t="shared" si="0"/>
        <v>0</v>
      </c>
      <c r="H8" s="366">
        <v>9.73</v>
      </c>
      <c r="I8" s="366">
        <v>102.77</v>
      </c>
      <c r="J8" s="366">
        <f t="shared" si="1"/>
        <v>999.95209999999997</v>
      </c>
      <c r="K8" s="366">
        <f t="shared" si="2"/>
        <v>999.95209999999997</v>
      </c>
      <c r="L8" s="367">
        <v>0</v>
      </c>
      <c r="M8" s="366">
        <f t="shared" si="3"/>
        <v>4511.6203999997761</v>
      </c>
      <c r="N8" s="366"/>
      <c r="O8" s="366"/>
    </row>
    <row r="9" spans="1:15">
      <c r="A9" s="19">
        <v>6</v>
      </c>
      <c r="B9" s="268" t="s">
        <v>133</v>
      </c>
      <c r="C9" s="188" t="s">
        <v>178</v>
      </c>
      <c r="D9" s="188" t="s">
        <v>170</v>
      </c>
      <c r="E9" s="366"/>
      <c r="F9" s="366"/>
      <c r="G9" s="366">
        <f t="shared" si="0"/>
        <v>0</v>
      </c>
      <c r="H9" s="366">
        <v>4.1900000000000004</v>
      </c>
      <c r="I9" s="366">
        <v>107.47</v>
      </c>
      <c r="J9" s="366">
        <f t="shared" si="1"/>
        <v>450.29930000000002</v>
      </c>
      <c r="K9" s="366">
        <f t="shared" si="2"/>
        <v>450.29930000000002</v>
      </c>
      <c r="L9" s="367">
        <v>0</v>
      </c>
      <c r="M9" s="366">
        <f t="shared" si="3"/>
        <v>4061.3210999997759</v>
      </c>
      <c r="N9" s="366"/>
      <c r="O9" s="366"/>
    </row>
    <row r="10" spans="1:15">
      <c r="A10" s="187">
        <v>7</v>
      </c>
      <c r="B10" s="268" t="s">
        <v>133</v>
      </c>
      <c r="C10" s="188" t="s">
        <v>176</v>
      </c>
      <c r="D10" s="188" t="s">
        <v>177</v>
      </c>
      <c r="E10" s="366">
        <v>35</v>
      </c>
      <c r="F10" s="366">
        <v>90.88</v>
      </c>
      <c r="G10" s="366">
        <f t="shared" si="0"/>
        <v>3180.7999999999997</v>
      </c>
      <c r="H10" s="366">
        <v>0</v>
      </c>
      <c r="I10" s="366">
        <v>0</v>
      </c>
      <c r="J10" s="366">
        <f t="shared" si="1"/>
        <v>0</v>
      </c>
      <c r="K10" s="366">
        <f t="shared" si="2"/>
        <v>3180.7999999999997</v>
      </c>
      <c r="L10" s="367">
        <v>0</v>
      </c>
      <c r="M10" s="368">
        <f t="shared" si="3"/>
        <v>880.5210999997762</v>
      </c>
      <c r="N10" s="368"/>
      <c r="O10" s="368"/>
    </row>
    <row r="11" spans="1:15">
      <c r="A11" s="19">
        <v>8</v>
      </c>
      <c r="B11" s="268" t="s">
        <v>134</v>
      </c>
      <c r="C11" s="188" t="s">
        <v>179</v>
      </c>
      <c r="D11" s="188" t="s">
        <v>170</v>
      </c>
      <c r="E11" s="366">
        <v>42.59</v>
      </c>
      <c r="F11" s="366">
        <v>97.43</v>
      </c>
      <c r="G11" s="366">
        <f t="shared" si="0"/>
        <v>4149.5437000000002</v>
      </c>
      <c r="H11" s="366">
        <v>0</v>
      </c>
      <c r="I11" s="366">
        <v>0</v>
      </c>
      <c r="J11" s="366">
        <f t="shared" si="1"/>
        <v>0</v>
      </c>
      <c r="K11" s="366">
        <f t="shared" si="2"/>
        <v>4149.5437000000002</v>
      </c>
      <c r="L11" s="367">
        <v>5000</v>
      </c>
      <c r="M11" s="368">
        <f t="shared" si="3"/>
        <v>1730.977399999776</v>
      </c>
      <c r="N11" s="368"/>
      <c r="O11" s="368"/>
    </row>
    <row r="12" spans="1:15">
      <c r="A12" s="19">
        <v>9</v>
      </c>
      <c r="B12" s="268" t="s">
        <v>134</v>
      </c>
      <c r="C12" s="188" t="s">
        <v>180</v>
      </c>
      <c r="D12" s="188" t="s">
        <v>170</v>
      </c>
      <c r="E12" s="366"/>
      <c r="F12" s="366"/>
      <c r="G12" s="366">
        <f t="shared" si="0"/>
        <v>0</v>
      </c>
      <c r="H12" s="366">
        <v>9.31</v>
      </c>
      <c r="I12" s="366">
        <v>107.46</v>
      </c>
      <c r="J12" s="366">
        <f t="shared" si="1"/>
        <v>1000.4526</v>
      </c>
      <c r="K12" s="366">
        <f t="shared" si="2"/>
        <v>1000.4526</v>
      </c>
      <c r="L12" s="367">
        <v>0</v>
      </c>
      <c r="M12" s="368">
        <f t="shared" si="3"/>
        <v>730.52479999977606</v>
      </c>
      <c r="N12" s="368"/>
      <c r="O12" s="368"/>
    </row>
    <row r="13" spans="1:15">
      <c r="A13" s="187">
        <v>10</v>
      </c>
      <c r="B13" s="268" t="s">
        <v>136</v>
      </c>
      <c r="C13" s="188" t="s">
        <v>181</v>
      </c>
      <c r="D13" s="188" t="s">
        <v>182</v>
      </c>
      <c r="E13" s="367">
        <v>3343.45</v>
      </c>
      <c r="F13" s="367">
        <v>91.93</v>
      </c>
      <c r="G13" s="367">
        <f t="shared" si="0"/>
        <v>307363.35850000003</v>
      </c>
      <c r="H13" s="367">
        <v>0</v>
      </c>
      <c r="I13" s="367">
        <v>0</v>
      </c>
      <c r="J13" s="367">
        <f t="shared" si="1"/>
        <v>0</v>
      </c>
      <c r="K13" s="367">
        <f t="shared" si="2"/>
        <v>307363.35850000003</v>
      </c>
      <c r="L13" s="367">
        <v>325000</v>
      </c>
      <c r="M13" s="366">
        <f t="shared" si="3"/>
        <v>18367.16629999975</v>
      </c>
      <c r="N13" s="366"/>
      <c r="O13" s="366"/>
    </row>
    <row r="14" spans="1:15">
      <c r="A14" s="19">
        <v>11</v>
      </c>
      <c r="B14" s="268" t="s">
        <v>136</v>
      </c>
      <c r="C14" s="300" t="s">
        <v>183</v>
      </c>
      <c r="D14" s="309" t="s">
        <v>170</v>
      </c>
      <c r="E14" s="367"/>
      <c r="F14" s="367"/>
      <c r="G14" s="367">
        <f t="shared" si="0"/>
        <v>0</v>
      </c>
      <c r="H14" s="367">
        <v>1.86</v>
      </c>
      <c r="I14" s="367">
        <v>107.46</v>
      </c>
      <c r="J14" s="367">
        <f t="shared" si="1"/>
        <v>199.87559999999999</v>
      </c>
      <c r="K14" s="367">
        <f t="shared" si="2"/>
        <v>199.87559999999999</v>
      </c>
      <c r="L14" s="367">
        <v>0</v>
      </c>
      <c r="M14" s="366">
        <f t="shared" si="3"/>
        <v>18167.29069999975</v>
      </c>
      <c r="N14" s="366"/>
      <c r="O14" s="366"/>
    </row>
    <row r="15" spans="1:15">
      <c r="A15" s="19">
        <v>12</v>
      </c>
      <c r="B15" s="355" t="s">
        <v>138</v>
      </c>
      <c r="C15" s="118" t="s">
        <v>180</v>
      </c>
      <c r="D15" s="118" t="s">
        <v>184</v>
      </c>
      <c r="E15" s="397">
        <v>32.39</v>
      </c>
      <c r="F15" s="367">
        <v>95.7</v>
      </c>
      <c r="G15" s="367">
        <f t="shared" si="0"/>
        <v>3099.723</v>
      </c>
      <c r="H15" s="367">
        <v>0</v>
      </c>
      <c r="I15" s="367">
        <v>0</v>
      </c>
      <c r="J15" s="367">
        <f t="shared" si="1"/>
        <v>0</v>
      </c>
      <c r="K15" s="367">
        <f t="shared" si="2"/>
        <v>3099.723</v>
      </c>
      <c r="L15" s="367">
        <v>0</v>
      </c>
      <c r="M15" s="366">
        <f t="shared" si="3"/>
        <v>15067.56769999975</v>
      </c>
      <c r="N15" s="366"/>
      <c r="O15" s="366"/>
    </row>
    <row r="16" spans="1:15">
      <c r="A16" s="187">
        <v>13</v>
      </c>
      <c r="B16" s="355" t="s">
        <v>138</v>
      </c>
      <c r="C16" s="118" t="s">
        <v>185</v>
      </c>
      <c r="D16" s="118" t="s">
        <v>177</v>
      </c>
      <c r="E16" s="369">
        <v>0</v>
      </c>
      <c r="F16" s="366">
        <v>0</v>
      </c>
      <c r="G16" s="366">
        <f t="shared" si="0"/>
        <v>0</v>
      </c>
      <c r="H16" s="309">
        <v>4.8600000000000003</v>
      </c>
      <c r="I16" s="366">
        <v>102.77</v>
      </c>
      <c r="J16" s="366">
        <f t="shared" si="1"/>
        <v>499.4622</v>
      </c>
      <c r="K16" s="366">
        <f t="shared" si="2"/>
        <v>499.4622</v>
      </c>
      <c r="L16" s="367">
        <v>0</v>
      </c>
      <c r="M16" s="366">
        <f t="shared" si="3"/>
        <v>14568.10549999975</v>
      </c>
      <c r="N16" s="366"/>
      <c r="O16" s="366"/>
    </row>
    <row r="17" spans="1:15">
      <c r="A17" s="19">
        <v>14</v>
      </c>
      <c r="B17" s="355" t="s">
        <v>138</v>
      </c>
      <c r="C17" s="118" t="s">
        <v>186</v>
      </c>
      <c r="D17" s="118" t="s">
        <v>187</v>
      </c>
      <c r="E17" s="369">
        <v>26.09</v>
      </c>
      <c r="F17" s="366">
        <v>95.82</v>
      </c>
      <c r="G17" s="366">
        <f t="shared" si="0"/>
        <v>2499.9438</v>
      </c>
      <c r="H17" s="366">
        <v>0</v>
      </c>
      <c r="I17" s="366">
        <v>0</v>
      </c>
      <c r="J17" s="366">
        <f t="shared" si="1"/>
        <v>0</v>
      </c>
      <c r="K17" s="366">
        <f t="shared" si="2"/>
        <v>2499.9438</v>
      </c>
      <c r="L17" s="367">
        <v>0</v>
      </c>
      <c r="M17" s="366">
        <f t="shared" si="3"/>
        <v>12068.16169999975</v>
      </c>
      <c r="N17" s="366"/>
      <c r="O17" s="366"/>
    </row>
    <row r="18" spans="1:15">
      <c r="A18" s="19">
        <v>15</v>
      </c>
      <c r="B18" s="268" t="s">
        <v>140</v>
      </c>
      <c r="C18" s="396" t="s">
        <v>188</v>
      </c>
      <c r="D18" s="396" t="s">
        <v>170</v>
      </c>
      <c r="E18" s="366"/>
      <c r="F18" s="366"/>
      <c r="G18" s="366">
        <f t="shared" si="0"/>
        <v>0</v>
      </c>
      <c r="H18" s="366">
        <v>2.79</v>
      </c>
      <c r="I18" s="366">
        <v>107.46</v>
      </c>
      <c r="J18" s="366">
        <f t="shared" si="1"/>
        <v>299.8134</v>
      </c>
      <c r="K18" s="366">
        <f t="shared" si="2"/>
        <v>299.8134</v>
      </c>
      <c r="L18" s="367">
        <v>0</v>
      </c>
      <c r="M18" s="366">
        <f t="shared" si="3"/>
        <v>11768.34829999975</v>
      </c>
      <c r="N18" s="366"/>
      <c r="O18" s="366"/>
    </row>
    <row r="19" spans="1:15">
      <c r="A19" s="187">
        <v>16</v>
      </c>
      <c r="B19" s="268" t="s">
        <v>140</v>
      </c>
      <c r="C19" s="188" t="s">
        <v>180</v>
      </c>
      <c r="D19" s="396" t="s">
        <v>170</v>
      </c>
      <c r="E19" s="366">
        <v>57.47</v>
      </c>
      <c r="F19" s="366">
        <v>95.7</v>
      </c>
      <c r="G19" s="366">
        <f t="shared" si="0"/>
        <v>5499.8789999999999</v>
      </c>
      <c r="H19" s="366">
        <v>0</v>
      </c>
      <c r="I19" s="366">
        <v>107.46</v>
      </c>
      <c r="J19" s="366">
        <f t="shared" si="1"/>
        <v>0</v>
      </c>
      <c r="K19" s="366">
        <f t="shared" si="2"/>
        <v>5499.8789999999999</v>
      </c>
      <c r="L19" s="367">
        <v>0</v>
      </c>
      <c r="M19" s="366">
        <f t="shared" si="3"/>
        <v>6268.4692999997505</v>
      </c>
      <c r="N19" s="368"/>
      <c r="O19" s="368"/>
    </row>
    <row r="20" spans="1:15">
      <c r="A20" s="19">
        <v>17</v>
      </c>
      <c r="B20" s="268" t="s">
        <v>140</v>
      </c>
      <c r="C20" s="118" t="s">
        <v>185</v>
      </c>
      <c r="D20" s="118" t="s">
        <v>177</v>
      </c>
      <c r="E20" s="366"/>
      <c r="F20" s="366"/>
      <c r="G20" s="366">
        <f t="shared" si="0"/>
        <v>0</v>
      </c>
      <c r="H20" s="366">
        <v>4.87</v>
      </c>
      <c r="I20" s="366">
        <v>102.77</v>
      </c>
      <c r="J20" s="366">
        <f t="shared" si="1"/>
        <v>500.48989999999998</v>
      </c>
      <c r="K20" s="366">
        <f t="shared" si="2"/>
        <v>500.48989999999998</v>
      </c>
      <c r="L20" s="367">
        <v>0</v>
      </c>
      <c r="M20" s="366">
        <f t="shared" si="3"/>
        <v>5767.979399999751</v>
      </c>
      <c r="N20" s="366"/>
      <c r="O20" s="366"/>
    </row>
    <row r="21" spans="1:15">
      <c r="A21" s="19">
        <v>18</v>
      </c>
      <c r="B21" s="268" t="s">
        <v>141</v>
      </c>
      <c r="C21" s="188" t="s">
        <v>189</v>
      </c>
      <c r="D21" s="309" t="s">
        <v>187</v>
      </c>
      <c r="E21" s="366">
        <v>3767.37</v>
      </c>
      <c r="F21" s="366">
        <v>96.23</v>
      </c>
      <c r="G21" s="366">
        <f t="shared" si="0"/>
        <v>362534.01510000002</v>
      </c>
      <c r="H21" s="366">
        <v>0</v>
      </c>
      <c r="I21" s="366">
        <v>0</v>
      </c>
      <c r="J21" s="366">
        <f t="shared" si="1"/>
        <v>0</v>
      </c>
      <c r="K21" s="366">
        <f t="shared" si="2"/>
        <v>362534.01510000002</v>
      </c>
      <c r="L21" s="367">
        <v>2000000</v>
      </c>
      <c r="M21" s="366">
        <f t="shared" si="3"/>
        <v>1643233.9642999999</v>
      </c>
      <c r="N21" s="366"/>
      <c r="O21" s="366">
        <v>1105770.95</v>
      </c>
    </row>
    <row r="22" spans="1:15">
      <c r="A22" s="187">
        <v>19</v>
      </c>
      <c r="B22" s="268" t="s">
        <v>141</v>
      </c>
      <c r="C22" s="188" t="s">
        <v>190</v>
      </c>
      <c r="D22" s="188" t="s">
        <v>191</v>
      </c>
      <c r="E22" s="366">
        <v>15557</v>
      </c>
      <c r="F22" s="366">
        <v>96.42</v>
      </c>
      <c r="G22" s="366">
        <v>1500000</v>
      </c>
      <c r="H22" s="366">
        <v>0</v>
      </c>
      <c r="I22" s="366">
        <v>0</v>
      </c>
      <c r="J22" s="366">
        <f t="shared" si="1"/>
        <v>0</v>
      </c>
      <c r="K22" s="366">
        <f>G22+J22</f>
        <v>1500000</v>
      </c>
      <c r="L22" s="367">
        <v>0</v>
      </c>
      <c r="M22" s="366">
        <f t="shared" si="3"/>
        <v>143233.96429999988</v>
      </c>
      <c r="N22" s="368"/>
      <c r="O22" s="368">
        <v>205770.95</v>
      </c>
    </row>
    <row r="23" spans="1:15">
      <c r="A23" s="19">
        <v>20</v>
      </c>
      <c r="B23" s="268" t="s">
        <v>142</v>
      </c>
      <c r="C23" s="188" t="s">
        <v>192</v>
      </c>
      <c r="D23" s="309" t="s">
        <v>173</v>
      </c>
      <c r="E23" s="366">
        <v>0</v>
      </c>
      <c r="F23" s="366">
        <v>0</v>
      </c>
      <c r="G23" s="366">
        <f t="shared" si="0"/>
        <v>0</v>
      </c>
      <c r="H23" s="309">
        <v>2.76</v>
      </c>
      <c r="I23" s="309">
        <v>108.66</v>
      </c>
      <c r="J23" s="366">
        <f t="shared" si="1"/>
        <v>299.90159999999997</v>
      </c>
      <c r="K23" s="366">
        <f t="shared" si="2"/>
        <v>299.90159999999997</v>
      </c>
      <c r="L23" s="367">
        <v>0</v>
      </c>
      <c r="M23" s="366">
        <f t="shared" si="3"/>
        <v>142934.06269999986</v>
      </c>
      <c r="N23" s="366"/>
      <c r="O23" s="366">
        <v>5770.95</v>
      </c>
    </row>
    <row r="24" spans="1:15">
      <c r="A24" s="19">
        <v>21</v>
      </c>
      <c r="B24" s="268" t="s">
        <v>142</v>
      </c>
      <c r="C24" s="188" t="s">
        <v>180</v>
      </c>
      <c r="D24" s="309" t="s">
        <v>170</v>
      </c>
      <c r="E24" s="366">
        <v>0</v>
      </c>
      <c r="F24" s="366">
        <v>0</v>
      </c>
      <c r="G24" s="366">
        <f t="shared" si="0"/>
        <v>0</v>
      </c>
      <c r="H24" s="309">
        <v>2.79</v>
      </c>
      <c r="I24" s="309">
        <v>107.46</v>
      </c>
      <c r="J24" s="366">
        <f t="shared" si="1"/>
        <v>299.8134</v>
      </c>
      <c r="K24" s="366">
        <f t="shared" si="2"/>
        <v>299.8134</v>
      </c>
      <c r="L24" s="367">
        <v>0</v>
      </c>
      <c r="M24" s="366">
        <f>M23+L24-K24</f>
        <v>142634.24929999985</v>
      </c>
      <c r="N24" s="368"/>
      <c r="O24" s="368">
        <v>532.41</v>
      </c>
    </row>
    <row r="25" spans="1:15">
      <c r="A25" s="187">
        <v>22</v>
      </c>
      <c r="B25" s="268" t="s">
        <v>142</v>
      </c>
      <c r="C25" s="188" t="s">
        <v>193</v>
      </c>
      <c r="D25" s="309" t="s">
        <v>194</v>
      </c>
      <c r="E25" s="118">
        <v>49.84</v>
      </c>
      <c r="F25" s="309">
        <v>95.7</v>
      </c>
      <c r="G25" s="366">
        <f t="shared" si="0"/>
        <v>4769.6880000000001</v>
      </c>
      <c r="H25" s="366">
        <v>0</v>
      </c>
      <c r="I25" s="366">
        <v>0</v>
      </c>
      <c r="J25" s="366">
        <f t="shared" si="1"/>
        <v>0</v>
      </c>
      <c r="K25" s="366">
        <f t="shared" si="2"/>
        <v>4769.6880000000001</v>
      </c>
      <c r="L25" s="367">
        <v>0</v>
      </c>
      <c r="M25" s="366">
        <f t="shared" si="3"/>
        <v>137864.56129999986</v>
      </c>
      <c r="N25" s="366"/>
      <c r="O25" s="366"/>
    </row>
    <row r="26" spans="1:15">
      <c r="A26" s="19">
        <v>23</v>
      </c>
      <c r="B26" s="268" t="s">
        <v>144</v>
      </c>
      <c r="C26" s="300" t="s">
        <v>195</v>
      </c>
      <c r="D26" s="309" t="s">
        <v>187</v>
      </c>
      <c r="E26" s="371">
        <v>540</v>
      </c>
      <c r="F26" s="366">
        <v>92.23</v>
      </c>
      <c r="G26" s="366">
        <f t="shared" si="0"/>
        <v>49804.200000000004</v>
      </c>
      <c r="H26" s="366">
        <v>0</v>
      </c>
      <c r="I26" s="366">
        <v>0</v>
      </c>
      <c r="J26" s="366">
        <f t="shared" si="1"/>
        <v>0</v>
      </c>
      <c r="K26" s="366">
        <f t="shared" si="2"/>
        <v>49804.200000000004</v>
      </c>
      <c r="L26" s="367">
        <v>0</v>
      </c>
      <c r="M26" s="366">
        <f t="shared" si="3"/>
        <v>88060.361299999844</v>
      </c>
      <c r="N26" s="366"/>
      <c r="O26" s="366"/>
    </row>
    <row r="27" spans="1:15">
      <c r="A27" s="19">
        <v>24</v>
      </c>
      <c r="B27" s="355" t="s">
        <v>145</v>
      </c>
      <c r="C27" s="118" t="s">
        <v>171</v>
      </c>
      <c r="D27" s="399" t="s">
        <v>184</v>
      </c>
      <c r="E27" s="309">
        <v>31.35</v>
      </c>
      <c r="F27" s="309">
        <v>95.7</v>
      </c>
      <c r="G27" s="366">
        <f t="shared" si="0"/>
        <v>3000.1950000000002</v>
      </c>
      <c r="H27" s="366">
        <v>0</v>
      </c>
      <c r="I27" s="366">
        <v>0</v>
      </c>
      <c r="J27" s="366">
        <f t="shared" si="1"/>
        <v>0</v>
      </c>
      <c r="K27" s="366">
        <f t="shared" si="2"/>
        <v>3000.1950000000002</v>
      </c>
      <c r="L27" s="367">
        <v>0</v>
      </c>
      <c r="M27" s="366">
        <f t="shared" si="3"/>
        <v>85060.166299999837</v>
      </c>
      <c r="N27" s="366"/>
      <c r="O27" s="366"/>
    </row>
    <row r="28" spans="1:15">
      <c r="A28" s="187">
        <v>25</v>
      </c>
      <c r="B28" s="355" t="s">
        <v>145</v>
      </c>
      <c r="C28" s="118" t="s">
        <v>196</v>
      </c>
      <c r="D28" s="399" t="s">
        <v>175</v>
      </c>
      <c r="E28" s="309">
        <v>372.56</v>
      </c>
      <c r="F28" s="309">
        <v>91.26</v>
      </c>
      <c r="G28" s="366">
        <f t="shared" si="0"/>
        <v>33999.825600000004</v>
      </c>
      <c r="H28" s="366">
        <v>0</v>
      </c>
      <c r="I28" s="366">
        <v>0</v>
      </c>
      <c r="J28" s="366">
        <f t="shared" si="1"/>
        <v>0</v>
      </c>
      <c r="K28" s="366">
        <f t="shared" si="2"/>
        <v>33999.825600000004</v>
      </c>
      <c r="L28" s="367">
        <v>0</v>
      </c>
      <c r="M28" s="366">
        <f t="shared" si="3"/>
        <v>51060.340699999833</v>
      </c>
      <c r="N28" s="366"/>
      <c r="O28" s="366"/>
    </row>
    <row r="29" spans="1:15">
      <c r="A29" s="19">
        <v>26</v>
      </c>
      <c r="B29" s="355" t="s">
        <v>145</v>
      </c>
      <c r="C29" s="118" t="s">
        <v>197</v>
      </c>
      <c r="D29" s="399" t="s">
        <v>170</v>
      </c>
      <c r="E29" s="369">
        <v>0</v>
      </c>
      <c r="F29" s="366"/>
      <c r="G29" s="366">
        <f t="shared" si="0"/>
        <v>0</v>
      </c>
      <c r="H29" s="309">
        <v>2.79</v>
      </c>
      <c r="I29" s="366">
        <v>107.46</v>
      </c>
      <c r="J29" s="366">
        <f t="shared" si="1"/>
        <v>299.8134</v>
      </c>
      <c r="K29" s="366">
        <f t="shared" si="2"/>
        <v>299.8134</v>
      </c>
      <c r="L29" s="367">
        <v>0</v>
      </c>
      <c r="M29" s="366">
        <f t="shared" si="3"/>
        <v>50760.527299999834</v>
      </c>
      <c r="N29" s="368"/>
      <c r="O29" s="368"/>
    </row>
    <row r="30" spans="1:15" ht="14.25" customHeight="1">
      <c r="A30" s="19">
        <v>27</v>
      </c>
      <c r="B30" s="355" t="s">
        <v>146</v>
      </c>
      <c r="C30" s="188" t="s">
        <v>192</v>
      </c>
      <c r="D30" s="395" t="s">
        <v>173</v>
      </c>
      <c r="E30" s="369">
        <v>40.799999999999997</v>
      </c>
      <c r="F30" s="366">
        <v>96.83</v>
      </c>
      <c r="G30" s="366">
        <f t="shared" si="0"/>
        <v>3950.6639999999998</v>
      </c>
      <c r="H30" s="366">
        <v>0</v>
      </c>
      <c r="I30" s="366">
        <v>0</v>
      </c>
      <c r="J30" s="366">
        <f t="shared" si="1"/>
        <v>0</v>
      </c>
      <c r="K30" s="366">
        <f t="shared" si="2"/>
        <v>3950.6639999999998</v>
      </c>
      <c r="L30" s="367">
        <v>0</v>
      </c>
      <c r="M30" s="366">
        <f t="shared" si="3"/>
        <v>46809.863299999837</v>
      </c>
      <c r="N30" s="366"/>
      <c r="O30" s="366"/>
    </row>
    <row r="31" spans="1:15">
      <c r="A31" s="187">
        <v>28</v>
      </c>
      <c r="B31" s="355" t="s">
        <v>147</v>
      </c>
      <c r="C31" s="188" t="s">
        <v>174</v>
      </c>
      <c r="D31" s="395" t="s">
        <v>175</v>
      </c>
      <c r="E31" s="369">
        <v>219.15</v>
      </c>
      <c r="F31" s="366">
        <v>91.26</v>
      </c>
      <c r="G31" s="366">
        <f t="shared" si="0"/>
        <v>19999.629000000001</v>
      </c>
      <c r="H31" s="366">
        <v>0</v>
      </c>
      <c r="I31" s="366">
        <v>0</v>
      </c>
      <c r="J31" s="366">
        <f t="shared" si="1"/>
        <v>0</v>
      </c>
      <c r="K31" s="366">
        <f t="shared" si="2"/>
        <v>19999.629000000001</v>
      </c>
      <c r="L31" s="367">
        <v>0</v>
      </c>
      <c r="M31" s="366">
        <f t="shared" si="3"/>
        <v>26810.234299999836</v>
      </c>
      <c r="N31" s="366"/>
      <c r="O31" s="366"/>
    </row>
    <row r="32" spans="1:15">
      <c r="A32" s="19">
        <v>29</v>
      </c>
      <c r="B32" s="355" t="s">
        <v>148</v>
      </c>
      <c r="C32" s="118" t="s">
        <v>171</v>
      </c>
      <c r="D32" s="399" t="s">
        <v>170</v>
      </c>
      <c r="E32" s="366"/>
      <c r="F32" s="366"/>
      <c r="G32" s="366">
        <f t="shared" si="0"/>
        <v>0</v>
      </c>
      <c r="H32" s="366">
        <v>3.72</v>
      </c>
      <c r="I32" s="366">
        <v>107.46</v>
      </c>
      <c r="J32" s="366">
        <f t="shared" si="1"/>
        <v>399.75119999999998</v>
      </c>
      <c r="K32" s="366">
        <f t="shared" si="2"/>
        <v>399.75119999999998</v>
      </c>
      <c r="L32" s="367">
        <v>0</v>
      </c>
      <c r="M32" s="366">
        <f t="shared" si="3"/>
        <v>26410.483099999838</v>
      </c>
      <c r="N32" s="366"/>
      <c r="O32" s="366"/>
    </row>
    <row r="33" spans="1:15">
      <c r="A33" s="19">
        <v>30</v>
      </c>
      <c r="B33" s="355" t="s">
        <v>149</v>
      </c>
      <c r="C33" s="118" t="s">
        <v>198</v>
      </c>
      <c r="D33" s="405" t="s">
        <v>199</v>
      </c>
      <c r="E33" s="366"/>
      <c r="F33" s="366"/>
      <c r="G33" s="366">
        <f t="shared" si="0"/>
        <v>0</v>
      </c>
      <c r="H33" s="366">
        <v>33.130000000000003</v>
      </c>
      <c r="I33" s="366">
        <v>108.66</v>
      </c>
      <c r="J33" s="366">
        <f t="shared" si="1"/>
        <v>3599.9058</v>
      </c>
      <c r="K33" s="366">
        <f t="shared" si="2"/>
        <v>3599.9058</v>
      </c>
      <c r="L33" s="367">
        <v>50000</v>
      </c>
      <c r="M33" s="366">
        <f t="shared" si="3"/>
        <v>72810.577299999844</v>
      </c>
      <c r="N33" s="366"/>
      <c r="O33" s="366"/>
    </row>
    <row r="34" spans="1:15">
      <c r="A34" s="187">
        <v>31</v>
      </c>
      <c r="B34" s="355" t="s">
        <v>149</v>
      </c>
      <c r="C34" s="404" t="s">
        <v>200</v>
      </c>
      <c r="D34" s="118" t="s">
        <v>177</v>
      </c>
      <c r="E34" s="369">
        <v>0</v>
      </c>
      <c r="F34" s="366">
        <v>0</v>
      </c>
      <c r="G34" s="366">
        <f t="shared" si="0"/>
        <v>0</v>
      </c>
      <c r="H34" s="309">
        <v>4.87</v>
      </c>
      <c r="I34" s="309">
        <v>102.77</v>
      </c>
      <c r="J34" s="366">
        <f t="shared" si="1"/>
        <v>500.48989999999998</v>
      </c>
      <c r="K34" s="366">
        <f t="shared" si="2"/>
        <v>500.48989999999998</v>
      </c>
      <c r="L34" s="367">
        <v>0</v>
      </c>
      <c r="M34" s="366">
        <f t="shared" si="3"/>
        <v>72310.087399999844</v>
      </c>
      <c r="N34" s="368"/>
      <c r="O34" s="368"/>
    </row>
    <row r="35" spans="1:15">
      <c r="A35" s="19">
        <v>32</v>
      </c>
      <c r="B35" s="355" t="s">
        <v>157</v>
      </c>
      <c r="C35" s="188" t="s">
        <v>201</v>
      </c>
      <c r="D35" s="309" t="s">
        <v>202</v>
      </c>
      <c r="E35" s="366">
        <v>305</v>
      </c>
      <c r="F35" s="366">
        <v>92.23</v>
      </c>
      <c r="G35" s="366">
        <f t="shared" si="0"/>
        <v>28130.15</v>
      </c>
      <c r="H35" s="366">
        <v>15</v>
      </c>
      <c r="I35" s="366">
        <v>104.09</v>
      </c>
      <c r="J35" s="366">
        <f t="shared" si="1"/>
        <v>1561.3500000000001</v>
      </c>
      <c r="K35" s="366">
        <f t="shared" si="2"/>
        <v>29691.5</v>
      </c>
      <c r="L35" s="367">
        <v>0</v>
      </c>
      <c r="M35" s="366">
        <f t="shared" si="3"/>
        <v>42618.587399999844</v>
      </c>
      <c r="N35" s="368"/>
      <c r="O35" s="368"/>
    </row>
    <row r="36" spans="1:15">
      <c r="A36" s="19">
        <v>33</v>
      </c>
      <c r="B36" s="355" t="s">
        <v>150</v>
      </c>
      <c r="C36" s="188" t="s">
        <v>181</v>
      </c>
      <c r="D36" s="300" t="s">
        <v>182</v>
      </c>
      <c r="E36" s="366">
        <v>1087.7</v>
      </c>
      <c r="F36" s="366">
        <v>91.93</v>
      </c>
      <c r="G36" s="366">
        <f t="shared" si="0"/>
        <v>99992.261000000013</v>
      </c>
      <c r="H36" s="366">
        <v>0</v>
      </c>
      <c r="I36" s="366">
        <v>0</v>
      </c>
      <c r="J36" s="366">
        <f t="shared" si="1"/>
        <v>0</v>
      </c>
      <c r="K36" s="366">
        <f t="shared" si="2"/>
        <v>99992.261000000013</v>
      </c>
      <c r="L36" s="367">
        <v>100000</v>
      </c>
      <c r="M36" s="366">
        <f t="shared" si="3"/>
        <v>42626.326399999831</v>
      </c>
      <c r="N36" s="366"/>
      <c r="O36" s="366"/>
    </row>
    <row r="37" spans="1:15">
      <c r="A37" s="187">
        <v>34</v>
      </c>
      <c r="B37" s="268" t="s">
        <v>151</v>
      </c>
      <c r="C37" s="309" t="s">
        <v>203</v>
      </c>
      <c r="D37" s="188" t="s">
        <v>177</v>
      </c>
      <c r="E37" s="369">
        <v>0</v>
      </c>
      <c r="F37" s="366"/>
      <c r="G37" s="366">
        <f t="shared" si="0"/>
        <v>0</v>
      </c>
      <c r="H37" s="366">
        <v>7.59</v>
      </c>
      <c r="I37" s="366">
        <v>102.77</v>
      </c>
      <c r="J37" s="366">
        <f t="shared" si="1"/>
        <v>780.02429999999993</v>
      </c>
      <c r="K37" s="366">
        <f t="shared" si="2"/>
        <v>780.02429999999993</v>
      </c>
      <c r="L37" s="367">
        <v>100000</v>
      </c>
      <c r="M37" s="366">
        <f t="shared" si="3"/>
        <v>141846.30209999986</v>
      </c>
      <c r="N37" s="366"/>
      <c r="O37" s="366"/>
    </row>
    <row r="38" spans="1:15">
      <c r="A38" s="19">
        <v>35</v>
      </c>
      <c r="B38" s="268" t="s">
        <v>151</v>
      </c>
      <c r="C38" s="188" t="s">
        <v>204</v>
      </c>
      <c r="D38" s="309" t="s">
        <v>182</v>
      </c>
      <c r="E38" s="366">
        <v>1087.7</v>
      </c>
      <c r="F38" s="366">
        <v>91.93</v>
      </c>
      <c r="G38" s="366">
        <f t="shared" si="0"/>
        <v>99992.261000000013</v>
      </c>
      <c r="H38" s="366">
        <v>0</v>
      </c>
      <c r="I38" s="366">
        <v>0</v>
      </c>
      <c r="J38" s="366">
        <f t="shared" si="1"/>
        <v>0</v>
      </c>
      <c r="K38" s="366">
        <f t="shared" si="2"/>
        <v>99992.261000000013</v>
      </c>
      <c r="L38" s="367">
        <v>0</v>
      </c>
      <c r="M38" s="366">
        <f t="shared" si="3"/>
        <v>41854.041099999842</v>
      </c>
      <c r="N38" s="366"/>
      <c r="O38" s="366"/>
    </row>
    <row r="39" spans="1:15">
      <c r="A39" s="19">
        <v>36</v>
      </c>
      <c r="B39" s="268" t="s">
        <v>151</v>
      </c>
      <c r="C39" s="118" t="s">
        <v>171</v>
      </c>
      <c r="D39" s="300" t="s">
        <v>184</v>
      </c>
      <c r="E39" s="366">
        <v>36.57</v>
      </c>
      <c r="F39" s="366">
        <v>95.7</v>
      </c>
      <c r="G39" s="366">
        <f t="shared" si="0"/>
        <v>3499.7490000000003</v>
      </c>
      <c r="H39" s="366">
        <v>0</v>
      </c>
      <c r="I39" s="366">
        <v>0</v>
      </c>
      <c r="J39" s="366">
        <f t="shared" si="1"/>
        <v>0</v>
      </c>
      <c r="K39" s="366">
        <f t="shared" si="2"/>
        <v>3499.7490000000003</v>
      </c>
      <c r="L39" s="367">
        <v>0</v>
      </c>
      <c r="M39" s="366">
        <f t="shared" si="3"/>
        <v>38354.292099999839</v>
      </c>
      <c r="N39" s="366"/>
      <c r="O39" s="366"/>
    </row>
    <row r="40" spans="1:15">
      <c r="A40" s="187">
        <v>37</v>
      </c>
      <c r="B40" s="268" t="s">
        <v>159</v>
      </c>
      <c r="C40" s="396" t="s">
        <v>188</v>
      </c>
      <c r="D40" s="118" t="s">
        <v>170</v>
      </c>
      <c r="E40" s="369"/>
      <c r="F40" s="366"/>
      <c r="G40" s="366">
        <f t="shared" si="0"/>
        <v>0</v>
      </c>
      <c r="H40" s="309">
        <v>4.18</v>
      </c>
      <c r="I40" s="309">
        <v>107.46</v>
      </c>
      <c r="J40" s="366">
        <f t="shared" si="1"/>
        <v>449.18279999999993</v>
      </c>
      <c r="K40" s="366">
        <f t="shared" si="2"/>
        <v>449.18279999999993</v>
      </c>
      <c r="L40" s="367">
        <v>0</v>
      </c>
      <c r="M40" s="366">
        <f t="shared" si="3"/>
        <v>37905.109299999836</v>
      </c>
      <c r="N40" s="366"/>
      <c r="O40" s="366"/>
    </row>
    <row r="41" spans="1:15">
      <c r="A41" s="19">
        <v>38</v>
      </c>
      <c r="B41" s="268" t="s">
        <v>159</v>
      </c>
      <c r="C41" s="118" t="s">
        <v>171</v>
      </c>
      <c r="D41" s="118" t="s">
        <v>184</v>
      </c>
      <c r="E41" s="410"/>
      <c r="F41" s="368"/>
      <c r="G41" s="368">
        <f t="shared" si="0"/>
        <v>0</v>
      </c>
      <c r="H41" s="309">
        <v>32.57</v>
      </c>
      <c r="I41" s="309">
        <v>107.46</v>
      </c>
      <c r="J41" s="366">
        <f t="shared" si="1"/>
        <v>3499.9721999999997</v>
      </c>
      <c r="K41" s="366">
        <f t="shared" si="2"/>
        <v>3499.9721999999997</v>
      </c>
      <c r="L41" s="367">
        <v>0</v>
      </c>
      <c r="M41" s="366">
        <f t="shared" si="3"/>
        <v>34405.13709999984</v>
      </c>
      <c r="N41" s="366"/>
      <c r="O41" s="366"/>
    </row>
    <row r="42" spans="1:15">
      <c r="A42" s="19">
        <v>39</v>
      </c>
      <c r="B42" s="268" t="s">
        <v>158</v>
      </c>
      <c r="C42" s="309" t="s">
        <v>205</v>
      </c>
      <c r="D42" s="404" t="s">
        <v>206</v>
      </c>
      <c r="E42" s="118">
        <v>20.9</v>
      </c>
      <c r="F42" s="118">
        <v>95.7</v>
      </c>
      <c r="G42" s="366">
        <f t="shared" si="0"/>
        <v>2000.1299999999999</v>
      </c>
      <c r="H42" s="369">
        <v>0</v>
      </c>
      <c r="I42" s="366">
        <v>0</v>
      </c>
      <c r="J42" s="366">
        <f t="shared" si="1"/>
        <v>0</v>
      </c>
      <c r="K42" s="366">
        <f t="shared" si="2"/>
        <v>2000.1299999999999</v>
      </c>
      <c r="L42" s="367">
        <v>0</v>
      </c>
      <c r="M42" s="366">
        <f t="shared" si="3"/>
        <v>32405.007099999839</v>
      </c>
      <c r="N42" s="368"/>
      <c r="O42" s="368"/>
    </row>
    <row r="43" spans="1:15">
      <c r="A43" s="187">
        <v>40</v>
      </c>
      <c r="B43" s="268" t="s">
        <v>158</v>
      </c>
      <c r="C43" s="309" t="s">
        <v>207</v>
      </c>
      <c r="D43" s="404" t="s">
        <v>206</v>
      </c>
      <c r="E43" s="118">
        <v>10.41</v>
      </c>
      <c r="F43" s="118">
        <v>96.08</v>
      </c>
      <c r="G43" s="366">
        <f t="shared" si="0"/>
        <v>1000.1928</v>
      </c>
      <c r="H43" s="369">
        <v>0</v>
      </c>
      <c r="I43" s="366">
        <v>0</v>
      </c>
      <c r="J43" s="366">
        <f t="shared" si="1"/>
        <v>0</v>
      </c>
      <c r="K43" s="366">
        <f t="shared" si="2"/>
        <v>1000.1928</v>
      </c>
      <c r="L43" s="367">
        <v>0</v>
      </c>
      <c r="M43" s="366">
        <f t="shared" si="3"/>
        <v>31404.814299999838</v>
      </c>
      <c r="N43" s="368"/>
      <c r="O43" s="368"/>
    </row>
    <row r="44" spans="1:15">
      <c r="A44" s="19">
        <v>41</v>
      </c>
      <c r="B44" s="268" t="s">
        <v>158</v>
      </c>
      <c r="C44" s="404" t="s">
        <v>200</v>
      </c>
      <c r="D44" s="404" t="s">
        <v>177</v>
      </c>
      <c r="E44" s="370">
        <v>20</v>
      </c>
      <c r="F44" s="366">
        <v>90.88</v>
      </c>
      <c r="G44" s="366">
        <f t="shared" si="0"/>
        <v>1817.6</v>
      </c>
      <c r="H44" s="369">
        <v>0</v>
      </c>
      <c r="I44" s="366">
        <v>0</v>
      </c>
      <c r="J44" s="366">
        <f t="shared" si="1"/>
        <v>0</v>
      </c>
      <c r="K44" s="366">
        <f t="shared" si="2"/>
        <v>1817.6</v>
      </c>
      <c r="L44" s="367">
        <v>0</v>
      </c>
      <c r="M44" s="366">
        <f t="shared" si="3"/>
        <v>29587.21429999984</v>
      </c>
      <c r="N44" s="368"/>
      <c r="O44" s="368"/>
    </row>
    <row r="45" spans="1:15">
      <c r="A45" s="19">
        <v>42</v>
      </c>
      <c r="B45" s="268" t="s">
        <v>154</v>
      </c>
      <c r="C45" s="118" t="s">
        <v>208</v>
      </c>
      <c r="D45" s="404" t="s">
        <v>191</v>
      </c>
      <c r="E45" s="370">
        <v>9852.76</v>
      </c>
      <c r="F45" s="366">
        <v>96.42</v>
      </c>
      <c r="G45" s="366">
        <f t="shared" si="0"/>
        <v>950003.11920000007</v>
      </c>
      <c r="H45" s="369">
        <v>0</v>
      </c>
      <c r="I45" s="366">
        <v>0</v>
      </c>
      <c r="J45" s="366">
        <f t="shared" si="1"/>
        <v>0</v>
      </c>
      <c r="K45" s="366">
        <f t="shared" si="2"/>
        <v>950003.11920000007</v>
      </c>
      <c r="L45" s="367">
        <v>1380000</v>
      </c>
      <c r="M45" s="366">
        <f t="shared" si="3"/>
        <v>459584.0950999998</v>
      </c>
      <c r="N45" s="368"/>
      <c r="O45" s="368"/>
    </row>
    <row r="46" spans="1:15">
      <c r="A46" s="187">
        <v>43</v>
      </c>
      <c r="B46" s="268" t="s">
        <v>154</v>
      </c>
      <c r="C46" s="118" t="s">
        <v>209</v>
      </c>
      <c r="D46" s="118" t="s">
        <v>194</v>
      </c>
      <c r="E46" s="411">
        <v>48.83</v>
      </c>
      <c r="F46" s="371">
        <v>97.93</v>
      </c>
      <c r="G46" s="371">
        <f t="shared" si="0"/>
        <v>4781.9219000000003</v>
      </c>
      <c r="H46" s="366">
        <v>0</v>
      </c>
      <c r="I46" s="366">
        <v>0</v>
      </c>
      <c r="J46" s="366">
        <f t="shared" si="1"/>
        <v>0</v>
      </c>
      <c r="K46" s="366">
        <f t="shared" si="2"/>
        <v>4781.9219000000003</v>
      </c>
      <c r="L46" s="367">
        <v>0</v>
      </c>
      <c r="M46" s="366">
        <f t="shared" si="3"/>
        <v>454802.17319999979</v>
      </c>
      <c r="N46" s="366"/>
      <c r="O46" s="366"/>
    </row>
    <row r="47" spans="1:15">
      <c r="A47" s="19">
        <v>44</v>
      </c>
      <c r="B47" s="268" t="s">
        <v>154</v>
      </c>
      <c r="C47" s="188" t="s">
        <v>210</v>
      </c>
      <c r="D47" s="188" t="s">
        <v>175</v>
      </c>
      <c r="E47" s="366">
        <v>1642.58</v>
      </c>
      <c r="F47" s="366">
        <v>91.32</v>
      </c>
      <c r="G47" s="366">
        <v>150000</v>
      </c>
      <c r="H47" s="366">
        <v>0</v>
      </c>
      <c r="I47" s="366">
        <v>0</v>
      </c>
      <c r="J47" s="366">
        <f t="shared" si="1"/>
        <v>0</v>
      </c>
      <c r="K47" s="366">
        <f t="shared" si="2"/>
        <v>150000</v>
      </c>
      <c r="L47" s="367">
        <v>0</v>
      </c>
      <c r="M47" s="366">
        <f t="shared" si="3"/>
        <v>304802.17319999979</v>
      </c>
      <c r="N47" s="366"/>
      <c r="O47" s="366"/>
    </row>
    <row r="48" spans="1:15">
      <c r="A48" s="19">
        <v>45</v>
      </c>
      <c r="B48" s="268" t="s">
        <v>154</v>
      </c>
      <c r="C48" s="188" t="s">
        <v>211</v>
      </c>
      <c r="D48" s="188" t="s">
        <v>182</v>
      </c>
      <c r="E48" s="366">
        <v>2501.91</v>
      </c>
      <c r="F48" s="366">
        <v>91.93</v>
      </c>
      <c r="G48" s="366">
        <v>230000</v>
      </c>
      <c r="H48" s="366">
        <v>0</v>
      </c>
      <c r="I48" s="366">
        <v>0</v>
      </c>
      <c r="J48" s="366">
        <f t="shared" si="1"/>
        <v>0</v>
      </c>
      <c r="K48" s="366">
        <f t="shared" si="2"/>
        <v>230000</v>
      </c>
      <c r="L48" s="367">
        <v>0</v>
      </c>
      <c r="M48" s="366">
        <f t="shared" si="3"/>
        <v>74802.173199999786</v>
      </c>
      <c r="N48" s="366"/>
      <c r="O48" s="366"/>
    </row>
    <row r="49" spans="1:15">
      <c r="A49" s="187">
        <v>46</v>
      </c>
      <c r="B49" s="355"/>
      <c r="C49" s="354"/>
      <c r="D49" s="188"/>
      <c r="E49" s="366"/>
      <c r="F49" s="366"/>
      <c r="G49" s="366">
        <f t="shared" si="0"/>
        <v>0</v>
      </c>
      <c r="H49" s="366">
        <v>0</v>
      </c>
      <c r="I49" s="366">
        <v>0</v>
      </c>
      <c r="J49" s="366">
        <f t="shared" si="1"/>
        <v>0</v>
      </c>
      <c r="K49" s="366">
        <f t="shared" si="2"/>
        <v>0</v>
      </c>
      <c r="L49" s="367">
        <v>0</v>
      </c>
      <c r="M49" s="366">
        <f t="shared" si="3"/>
        <v>74802.173199999786</v>
      </c>
      <c r="N49" s="366"/>
      <c r="O49" s="366"/>
    </row>
    <row r="50" spans="1:15">
      <c r="A50" s="19">
        <v>47</v>
      </c>
      <c r="B50" s="355"/>
      <c r="C50" s="118"/>
      <c r="D50" s="118"/>
      <c r="E50" s="366"/>
      <c r="F50" s="366"/>
      <c r="G50" s="366">
        <f t="shared" si="0"/>
        <v>0</v>
      </c>
      <c r="H50" s="366">
        <v>0</v>
      </c>
      <c r="I50" s="366">
        <v>0</v>
      </c>
      <c r="J50" s="366">
        <f t="shared" si="1"/>
        <v>0</v>
      </c>
      <c r="K50" s="366">
        <f t="shared" si="2"/>
        <v>0</v>
      </c>
      <c r="L50" s="367">
        <v>0</v>
      </c>
      <c r="M50" s="366">
        <f t="shared" si="3"/>
        <v>74802.173199999786</v>
      </c>
      <c r="N50" s="368"/>
      <c r="O50" s="368"/>
    </row>
    <row r="51" spans="1:15">
      <c r="A51" s="19">
        <v>48</v>
      </c>
      <c r="B51" s="268"/>
      <c r="C51" s="118"/>
      <c r="D51" s="118"/>
      <c r="E51" s="371"/>
      <c r="F51" s="366"/>
      <c r="G51" s="366">
        <f t="shared" si="0"/>
        <v>0</v>
      </c>
      <c r="H51" s="366">
        <v>0</v>
      </c>
      <c r="I51" s="366">
        <v>0</v>
      </c>
      <c r="J51" s="366">
        <f t="shared" si="1"/>
        <v>0</v>
      </c>
      <c r="K51" s="366">
        <f t="shared" si="2"/>
        <v>0</v>
      </c>
      <c r="L51" s="367">
        <v>0</v>
      </c>
      <c r="M51" s="366">
        <f t="shared" si="3"/>
        <v>74802.173199999786</v>
      </c>
      <c r="N51" s="366"/>
      <c r="O51" s="366"/>
    </row>
    <row r="52" spans="1:15">
      <c r="A52" s="187">
        <v>49</v>
      </c>
      <c r="B52" s="268"/>
      <c r="C52" s="188"/>
      <c r="D52" s="188"/>
      <c r="E52" s="366"/>
      <c r="F52" s="366"/>
      <c r="G52" s="366">
        <f t="shared" si="0"/>
        <v>0</v>
      </c>
      <c r="H52" s="366">
        <v>0</v>
      </c>
      <c r="I52" s="366">
        <v>0</v>
      </c>
      <c r="J52" s="366">
        <f t="shared" si="1"/>
        <v>0</v>
      </c>
      <c r="K52" s="366">
        <f t="shared" si="2"/>
        <v>0</v>
      </c>
      <c r="L52" s="367">
        <v>0</v>
      </c>
      <c r="M52" s="366">
        <f t="shared" si="3"/>
        <v>74802.173199999786</v>
      </c>
      <c r="N52" s="368"/>
      <c r="O52" s="368"/>
    </row>
    <row r="53" spans="1:15">
      <c r="A53" s="19">
        <v>50</v>
      </c>
      <c r="B53" s="268"/>
      <c r="C53" s="188"/>
      <c r="D53" s="188"/>
      <c r="E53" s="366"/>
      <c r="F53" s="366"/>
      <c r="G53" s="366">
        <f t="shared" si="0"/>
        <v>0</v>
      </c>
      <c r="H53" s="366">
        <v>0</v>
      </c>
      <c r="I53" s="366">
        <v>0</v>
      </c>
      <c r="J53" s="366">
        <f t="shared" si="1"/>
        <v>0</v>
      </c>
      <c r="K53" s="366">
        <f t="shared" si="2"/>
        <v>0</v>
      </c>
      <c r="L53" s="367">
        <v>0</v>
      </c>
      <c r="M53" s="366">
        <f t="shared" si="3"/>
        <v>74802.173199999786</v>
      </c>
      <c r="N53" s="366"/>
      <c r="O53" s="366"/>
    </row>
    <row r="54" spans="1:15">
      <c r="A54" s="19">
        <v>51</v>
      </c>
      <c r="B54" s="268"/>
      <c r="C54" s="188"/>
      <c r="D54" s="188"/>
      <c r="E54" s="366"/>
      <c r="F54" s="366"/>
      <c r="G54" s="366">
        <f t="shared" si="0"/>
        <v>0</v>
      </c>
      <c r="H54" s="366">
        <v>0</v>
      </c>
      <c r="I54" s="366">
        <v>0</v>
      </c>
      <c r="J54" s="366">
        <f t="shared" si="1"/>
        <v>0</v>
      </c>
      <c r="K54" s="366">
        <f t="shared" si="2"/>
        <v>0</v>
      </c>
      <c r="L54" s="367">
        <v>0</v>
      </c>
      <c r="M54" s="366">
        <f t="shared" si="3"/>
        <v>74802.173199999786</v>
      </c>
      <c r="N54" s="366"/>
      <c r="O54" s="366"/>
    </row>
    <row r="55" spans="1:15">
      <c r="A55" s="187">
        <v>52</v>
      </c>
      <c r="B55" s="268"/>
      <c r="C55" s="188"/>
      <c r="D55" s="188"/>
      <c r="E55" s="366">
        <v>0</v>
      </c>
      <c r="F55" s="366"/>
      <c r="G55" s="366">
        <f t="shared" si="0"/>
        <v>0</v>
      </c>
      <c r="H55" s="366">
        <v>0</v>
      </c>
      <c r="I55" s="366">
        <v>0</v>
      </c>
      <c r="J55" s="366">
        <f t="shared" si="1"/>
        <v>0</v>
      </c>
      <c r="K55" s="366">
        <f t="shared" si="2"/>
        <v>0</v>
      </c>
      <c r="L55" s="367">
        <v>0</v>
      </c>
      <c r="M55" s="366">
        <f t="shared" si="3"/>
        <v>74802.173199999786</v>
      </c>
      <c r="N55" s="366"/>
      <c r="O55" s="366"/>
    </row>
    <row r="56" spans="1:15">
      <c r="A56" s="19">
        <v>53</v>
      </c>
      <c r="B56" s="268"/>
      <c r="C56" s="188"/>
      <c r="D56" s="188"/>
      <c r="E56" s="366">
        <v>0</v>
      </c>
      <c r="F56" s="366"/>
      <c r="G56" s="366">
        <f t="shared" si="0"/>
        <v>0</v>
      </c>
      <c r="H56" s="366">
        <v>0</v>
      </c>
      <c r="I56" s="366">
        <v>0</v>
      </c>
      <c r="J56" s="366">
        <f t="shared" si="1"/>
        <v>0</v>
      </c>
      <c r="K56" s="366">
        <f t="shared" si="2"/>
        <v>0</v>
      </c>
      <c r="L56" s="367">
        <v>0</v>
      </c>
      <c r="M56" s="366">
        <f t="shared" si="3"/>
        <v>74802.173199999786</v>
      </c>
      <c r="N56" s="209"/>
      <c r="O56" s="209"/>
    </row>
    <row r="57" spans="1:15">
      <c r="A57" s="19">
        <v>54</v>
      </c>
      <c r="B57" s="268"/>
      <c r="C57" s="188"/>
      <c r="D57" s="188"/>
      <c r="E57" s="366">
        <v>0</v>
      </c>
      <c r="F57" s="366"/>
      <c r="G57" s="366">
        <f t="shared" si="0"/>
        <v>0</v>
      </c>
      <c r="H57" s="366">
        <v>0</v>
      </c>
      <c r="I57" s="366">
        <v>0</v>
      </c>
      <c r="J57" s="366">
        <f t="shared" si="1"/>
        <v>0</v>
      </c>
      <c r="K57" s="366">
        <f t="shared" si="2"/>
        <v>0</v>
      </c>
      <c r="L57" s="367">
        <v>0</v>
      </c>
      <c r="M57" s="366">
        <f t="shared" si="3"/>
        <v>74802.173199999786</v>
      </c>
      <c r="N57" s="209"/>
      <c r="O57" s="209"/>
    </row>
    <row r="58" spans="1:15">
      <c r="A58" s="187">
        <v>55</v>
      </c>
      <c r="B58" s="268"/>
      <c r="C58" s="188"/>
      <c r="D58" s="188"/>
      <c r="E58" s="366">
        <v>0</v>
      </c>
      <c r="F58" s="366"/>
      <c r="G58" s="366">
        <f t="shared" si="0"/>
        <v>0</v>
      </c>
      <c r="H58" s="366">
        <v>0</v>
      </c>
      <c r="I58" s="366">
        <v>0</v>
      </c>
      <c r="J58" s="366">
        <f t="shared" ref="J58:J72" si="4">H58*I58</f>
        <v>0</v>
      </c>
      <c r="K58" s="366">
        <f t="shared" ref="K58:K72" si="5">G58+J58</f>
        <v>0</v>
      </c>
      <c r="L58" s="367">
        <v>0</v>
      </c>
      <c r="M58" s="366">
        <f t="shared" si="3"/>
        <v>74802.173199999786</v>
      </c>
      <c r="N58" s="209"/>
      <c r="O58" s="209"/>
    </row>
    <row r="59" spans="1:15">
      <c r="A59" s="19">
        <v>56</v>
      </c>
      <c r="B59" s="268"/>
      <c r="C59" s="188"/>
      <c r="D59" s="188"/>
      <c r="E59" s="366">
        <v>0</v>
      </c>
      <c r="F59" s="366"/>
      <c r="G59" s="366">
        <f t="shared" si="0"/>
        <v>0</v>
      </c>
      <c r="H59" s="366">
        <v>0</v>
      </c>
      <c r="I59" s="366">
        <v>0</v>
      </c>
      <c r="J59" s="366">
        <f t="shared" si="4"/>
        <v>0</v>
      </c>
      <c r="K59" s="366">
        <f t="shared" si="5"/>
        <v>0</v>
      </c>
      <c r="L59" s="366"/>
      <c r="M59" s="366">
        <f t="shared" si="3"/>
        <v>74802.173199999786</v>
      </c>
      <c r="N59" s="209"/>
      <c r="O59" s="209"/>
    </row>
    <row r="60" spans="1:15">
      <c r="A60" s="19">
        <v>57</v>
      </c>
      <c r="B60" s="268"/>
      <c r="C60" s="188"/>
      <c r="D60" s="188"/>
      <c r="E60" s="366">
        <v>0</v>
      </c>
      <c r="F60" s="366"/>
      <c r="G60" s="366">
        <f t="shared" si="0"/>
        <v>0</v>
      </c>
      <c r="H60" s="366">
        <v>0</v>
      </c>
      <c r="I60" s="366">
        <v>0</v>
      </c>
      <c r="J60" s="366">
        <f t="shared" si="4"/>
        <v>0</v>
      </c>
      <c r="K60" s="366">
        <f t="shared" si="5"/>
        <v>0</v>
      </c>
      <c r="L60" s="366"/>
      <c r="M60" s="366">
        <f t="shared" si="3"/>
        <v>74802.173199999786</v>
      </c>
      <c r="N60" s="372"/>
      <c r="O60" s="372"/>
    </row>
    <row r="61" spans="1:15">
      <c r="A61" s="187">
        <v>58</v>
      </c>
      <c r="B61" s="268"/>
      <c r="C61" s="188"/>
      <c r="D61" s="188"/>
      <c r="E61" s="366">
        <v>0</v>
      </c>
      <c r="F61" s="366"/>
      <c r="G61" s="366">
        <f t="shared" si="0"/>
        <v>0</v>
      </c>
      <c r="H61" s="366">
        <v>0</v>
      </c>
      <c r="I61" s="366">
        <v>0</v>
      </c>
      <c r="J61" s="366">
        <f t="shared" si="4"/>
        <v>0</v>
      </c>
      <c r="K61" s="366">
        <f t="shared" si="5"/>
        <v>0</v>
      </c>
      <c r="L61" s="366"/>
      <c r="M61" s="366">
        <f t="shared" si="3"/>
        <v>74802.173199999786</v>
      </c>
      <c r="N61" s="209"/>
      <c r="O61" s="209"/>
    </row>
    <row r="62" spans="1:15">
      <c r="A62" s="19">
        <v>59</v>
      </c>
      <c r="B62" s="268"/>
      <c r="C62" s="188"/>
      <c r="D62" s="188"/>
      <c r="E62" s="366">
        <v>0</v>
      </c>
      <c r="F62" s="366"/>
      <c r="G62" s="366">
        <f t="shared" si="0"/>
        <v>0</v>
      </c>
      <c r="H62" s="366">
        <v>0</v>
      </c>
      <c r="I62" s="366">
        <v>0</v>
      </c>
      <c r="J62" s="366">
        <f t="shared" si="4"/>
        <v>0</v>
      </c>
      <c r="K62" s="366">
        <f t="shared" si="5"/>
        <v>0</v>
      </c>
      <c r="L62" s="366"/>
      <c r="M62" s="366">
        <f t="shared" si="3"/>
        <v>74802.173199999786</v>
      </c>
      <c r="N62" s="209"/>
      <c r="O62" s="209"/>
    </row>
    <row r="63" spans="1:15">
      <c r="A63" s="19">
        <v>60</v>
      </c>
      <c r="B63" s="268"/>
      <c r="C63" s="188"/>
      <c r="D63" s="188"/>
      <c r="E63" s="366">
        <v>0</v>
      </c>
      <c r="F63" s="366"/>
      <c r="G63" s="366">
        <f t="shared" si="0"/>
        <v>0</v>
      </c>
      <c r="H63" s="366">
        <v>0</v>
      </c>
      <c r="I63" s="366">
        <v>0</v>
      </c>
      <c r="J63" s="366">
        <f t="shared" si="4"/>
        <v>0</v>
      </c>
      <c r="K63" s="366">
        <f t="shared" si="5"/>
        <v>0</v>
      </c>
      <c r="L63" s="366"/>
      <c r="M63" s="366">
        <f t="shared" si="3"/>
        <v>74802.173199999786</v>
      </c>
      <c r="N63" s="209"/>
      <c r="O63" s="209"/>
    </row>
    <row r="64" spans="1:15">
      <c r="A64" s="187">
        <v>61</v>
      </c>
      <c r="B64" s="268"/>
      <c r="C64" s="188"/>
      <c r="D64" s="188"/>
      <c r="E64" s="366">
        <v>0</v>
      </c>
      <c r="F64" s="366"/>
      <c r="G64" s="366">
        <f t="shared" si="0"/>
        <v>0</v>
      </c>
      <c r="H64" s="366">
        <v>0</v>
      </c>
      <c r="I64" s="366">
        <v>0</v>
      </c>
      <c r="J64" s="366">
        <f t="shared" si="4"/>
        <v>0</v>
      </c>
      <c r="K64" s="366">
        <f t="shared" si="5"/>
        <v>0</v>
      </c>
      <c r="L64" s="366"/>
      <c r="M64" s="366">
        <f t="shared" si="3"/>
        <v>74802.173199999786</v>
      </c>
      <c r="N64" s="372"/>
      <c r="O64" s="372"/>
    </row>
    <row r="65" spans="1:15">
      <c r="A65" s="19">
        <v>62</v>
      </c>
      <c r="B65" s="268"/>
      <c r="C65" s="188"/>
      <c r="D65" s="188"/>
      <c r="E65" s="366">
        <v>0</v>
      </c>
      <c r="F65" s="366"/>
      <c r="G65" s="366">
        <f t="shared" si="0"/>
        <v>0</v>
      </c>
      <c r="H65" s="366">
        <v>0</v>
      </c>
      <c r="I65" s="366">
        <v>0</v>
      </c>
      <c r="J65" s="366">
        <f t="shared" si="4"/>
        <v>0</v>
      </c>
      <c r="K65" s="366">
        <f t="shared" si="5"/>
        <v>0</v>
      </c>
      <c r="L65" s="366"/>
      <c r="M65" s="366">
        <f t="shared" si="3"/>
        <v>74802.173199999786</v>
      </c>
      <c r="N65" s="209"/>
      <c r="O65" s="209"/>
    </row>
    <row r="66" spans="1:15">
      <c r="A66" s="19">
        <v>63</v>
      </c>
      <c r="B66" s="268"/>
      <c r="C66" s="188"/>
      <c r="D66" s="188"/>
      <c r="E66" s="366">
        <v>0</v>
      </c>
      <c r="F66" s="366"/>
      <c r="G66" s="366">
        <f t="shared" si="0"/>
        <v>0</v>
      </c>
      <c r="H66" s="366">
        <v>0</v>
      </c>
      <c r="I66" s="366">
        <v>0</v>
      </c>
      <c r="J66" s="366">
        <f t="shared" si="4"/>
        <v>0</v>
      </c>
      <c r="K66" s="366">
        <f t="shared" si="5"/>
        <v>0</v>
      </c>
      <c r="L66" s="366"/>
      <c r="M66" s="366">
        <f t="shared" si="3"/>
        <v>74802.173199999786</v>
      </c>
      <c r="N66" s="372"/>
      <c r="O66" s="372"/>
    </row>
    <row r="67" spans="1:15">
      <c r="A67" s="187">
        <v>64</v>
      </c>
      <c r="B67" s="268"/>
      <c r="C67" s="188"/>
      <c r="D67" s="188"/>
      <c r="E67" s="366">
        <v>0</v>
      </c>
      <c r="F67" s="366"/>
      <c r="G67" s="366">
        <f t="shared" si="0"/>
        <v>0</v>
      </c>
      <c r="H67" s="366">
        <v>0</v>
      </c>
      <c r="I67" s="366">
        <v>0</v>
      </c>
      <c r="J67" s="366">
        <f t="shared" si="4"/>
        <v>0</v>
      </c>
      <c r="K67" s="366">
        <f t="shared" si="5"/>
        <v>0</v>
      </c>
      <c r="L67" s="366"/>
      <c r="M67" s="366">
        <f t="shared" si="3"/>
        <v>74802.173199999786</v>
      </c>
      <c r="N67" s="372"/>
      <c r="O67" s="372"/>
    </row>
    <row r="68" spans="1:15">
      <c r="A68" s="19">
        <v>65</v>
      </c>
      <c r="B68" s="268"/>
      <c r="C68" s="188"/>
      <c r="D68" s="188"/>
      <c r="E68" s="366">
        <v>0</v>
      </c>
      <c r="F68" s="366"/>
      <c r="G68" s="366">
        <f t="shared" si="0"/>
        <v>0</v>
      </c>
      <c r="H68" s="366">
        <v>0</v>
      </c>
      <c r="I68" s="366">
        <v>0</v>
      </c>
      <c r="J68" s="366">
        <f t="shared" si="4"/>
        <v>0</v>
      </c>
      <c r="K68" s="366">
        <f t="shared" si="5"/>
        <v>0</v>
      </c>
      <c r="L68" s="366"/>
      <c r="M68" s="366">
        <f t="shared" si="3"/>
        <v>74802.173199999786</v>
      </c>
      <c r="N68" s="209"/>
      <c r="O68" s="209"/>
    </row>
    <row r="69" spans="1:15">
      <c r="A69" s="19">
        <v>66</v>
      </c>
      <c r="B69" s="268"/>
      <c r="C69" s="188"/>
      <c r="D69" s="188"/>
      <c r="E69" s="366">
        <v>0</v>
      </c>
      <c r="F69" s="366"/>
      <c r="G69" s="366">
        <f t="shared" si="0"/>
        <v>0</v>
      </c>
      <c r="H69" s="366">
        <v>0</v>
      </c>
      <c r="I69" s="366">
        <v>0</v>
      </c>
      <c r="J69" s="366">
        <f t="shared" si="4"/>
        <v>0</v>
      </c>
      <c r="K69" s="366">
        <f t="shared" si="5"/>
        <v>0</v>
      </c>
      <c r="L69" s="366"/>
      <c r="M69" s="366">
        <f t="shared" si="3"/>
        <v>74802.173199999786</v>
      </c>
      <c r="N69" s="372"/>
      <c r="O69" s="372"/>
    </row>
    <row r="70" spans="1:15">
      <c r="A70" s="187">
        <v>67</v>
      </c>
      <c r="B70" s="268"/>
      <c r="C70" s="188"/>
      <c r="D70" s="188"/>
      <c r="E70" s="366">
        <v>0</v>
      </c>
      <c r="F70" s="366"/>
      <c r="G70" s="366">
        <f t="shared" ref="G70:G73" si="6">E70*F70</f>
        <v>0</v>
      </c>
      <c r="H70" s="366">
        <v>0</v>
      </c>
      <c r="I70" s="366">
        <v>0</v>
      </c>
      <c r="J70" s="366">
        <f t="shared" si="4"/>
        <v>0</v>
      </c>
      <c r="K70" s="366">
        <f t="shared" si="5"/>
        <v>0</v>
      </c>
      <c r="L70" s="366"/>
      <c r="M70" s="366">
        <f t="shared" si="3"/>
        <v>74802.173199999786</v>
      </c>
      <c r="N70" s="209"/>
      <c r="O70" s="209"/>
    </row>
    <row r="71" spans="1:15">
      <c r="A71" s="19">
        <v>68</v>
      </c>
      <c r="B71" s="268"/>
      <c r="C71" s="188"/>
      <c r="D71" s="188"/>
      <c r="E71" s="366">
        <v>0</v>
      </c>
      <c r="F71" s="366"/>
      <c r="G71" s="366">
        <f t="shared" si="6"/>
        <v>0</v>
      </c>
      <c r="H71" s="366">
        <v>0</v>
      </c>
      <c r="I71" s="366">
        <v>0</v>
      </c>
      <c r="J71" s="366">
        <f t="shared" si="4"/>
        <v>0</v>
      </c>
      <c r="K71" s="366">
        <f t="shared" si="5"/>
        <v>0</v>
      </c>
      <c r="L71" s="366"/>
      <c r="M71" s="366">
        <f t="shared" ref="M71:M80" si="7">M70+L71-K71</f>
        <v>74802.173199999786</v>
      </c>
      <c r="N71" s="209"/>
      <c r="O71" s="209"/>
    </row>
    <row r="72" spans="1:15">
      <c r="A72" s="19">
        <v>69</v>
      </c>
      <c r="B72" s="268"/>
      <c r="C72" s="188"/>
      <c r="D72" s="188"/>
      <c r="E72" s="366">
        <v>0</v>
      </c>
      <c r="F72" s="366"/>
      <c r="G72" s="366">
        <f t="shared" si="6"/>
        <v>0</v>
      </c>
      <c r="H72" s="366">
        <v>0</v>
      </c>
      <c r="I72" s="366">
        <v>0</v>
      </c>
      <c r="J72" s="366">
        <f t="shared" si="4"/>
        <v>0</v>
      </c>
      <c r="K72" s="366">
        <f t="shared" si="5"/>
        <v>0</v>
      </c>
      <c r="L72" s="366"/>
      <c r="M72" s="366">
        <f t="shared" si="7"/>
        <v>74802.173199999786</v>
      </c>
      <c r="N72" s="209"/>
      <c r="O72" s="209"/>
    </row>
    <row r="73" spans="1:15">
      <c r="A73" s="187">
        <v>70</v>
      </c>
      <c r="B73" s="268"/>
      <c r="C73" s="188"/>
      <c r="D73" s="188"/>
      <c r="E73" s="366">
        <v>0</v>
      </c>
      <c r="F73" s="366"/>
      <c r="G73" s="366">
        <f t="shared" si="6"/>
        <v>0</v>
      </c>
      <c r="H73" s="366">
        <v>0</v>
      </c>
      <c r="I73" s="366">
        <v>0</v>
      </c>
      <c r="J73" s="366">
        <f t="shared" ref="J73:J80" si="8">H73*I73</f>
        <v>0</v>
      </c>
      <c r="K73" s="366">
        <f t="shared" ref="K73:K80" si="9">G73+J73</f>
        <v>0</v>
      </c>
      <c r="L73" s="366"/>
      <c r="M73" s="366">
        <f t="shared" si="7"/>
        <v>74802.173199999786</v>
      </c>
      <c r="N73" s="209"/>
      <c r="O73" s="209"/>
    </row>
    <row r="74" spans="1:15">
      <c r="A74" s="19">
        <v>71</v>
      </c>
      <c r="B74" s="268"/>
      <c r="C74" s="188"/>
      <c r="D74" s="188"/>
      <c r="E74" s="366">
        <v>0</v>
      </c>
      <c r="F74" s="366">
        <v>0</v>
      </c>
      <c r="G74" s="366">
        <f t="shared" ref="G73:G80" si="10">E74*F74</f>
        <v>0</v>
      </c>
      <c r="H74" s="366">
        <v>0</v>
      </c>
      <c r="I74" s="366">
        <v>0</v>
      </c>
      <c r="J74" s="366">
        <f t="shared" si="8"/>
        <v>0</v>
      </c>
      <c r="K74" s="366">
        <f t="shared" si="9"/>
        <v>0</v>
      </c>
      <c r="L74" s="366"/>
      <c r="M74" s="366">
        <f t="shared" si="7"/>
        <v>74802.173199999786</v>
      </c>
      <c r="N74" s="209"/>
      <c r="O74" s="209"/>
    </row>
    <row r="75" spans="1:15">
      <c r="A75" s="19">
        <v>72</v>
      </c>
      <c r="B75" s="268"/>
      <c r="C75" s="188"/>
      <c r="D75" s="188"/>
      <c r="E75" s="366">
        <v>0</v>
      </c>
      <c r="F75" s="366">
        <v>0</v>
      </c>
      <c r="G75" s="366">
        <f t="shared" si="10"/>
        <v>0</v>
      </c>
      <c r="H75" s="366">
        <v>0</v>
      </c>
      <c r="I75" s="366">
        <v>0</v>
      </c>
      <c r="J75" s="366">
        <f t="shared" si="8"/>
        <v>0</v>
      </c>
      <c r="K75" s="366">
        <f t="shared" si="9"/>
        <v>0</v>
      </c>
      <c r="L75" s="366"/>
      <c r="M75" s="366">
        <f t="shared" si="7"/>
        <v>74802.173199999786</v>
      </c>
      <c r="N75" s="209"/>
      <c r="O75" s="209"/>
    </row>
    <row r="76" spans="1:15">
      <c r="A76" s="187">
        <v>73</v>
      </c>
      <c r="B76" s="268"/>
      <c r="C76" s="188"/>
      <c r="D76" s="188"/>
      <c r="E76" s="366">
        <v>0</v>
      </c>
      <c r="F76" s="366">
        <v>0</v>
      </c>
      <c r="G76" s="366">
        <f t="shared" si="10"/>
        <v>0</v>
      </c>
      <c r="H76" s="366">
        <v>0</v>
      </c>
      <c r="I76" s="366">
        <v>0</v>
      </c>
      <c r="J76" s="366">
        <f t="shared" si="8"/>
        <v>0</v>
      </c>
      <c r="K76" s="366">
        <f t="shared" si="9"/>
        <v>0</v>
      </c>
      <c r="L76" s="366"/>
      <c r="M76" s="366">
        <f t="shared" si="7"/>
        <v>74802.173199999786</v>
      </c>
      <c r="N76" s="209"/>
      <c r="O76" s="209"/>
    </row>
    <row r="77" spans="1:15">
      <c r="A77" s="19">
        <v>74</v>
      </c>
      <c r="B77" s="268"/>
      <c r="C77" s="188"/>
      <c r="D77" s="188"/>
      <c r="E77" s="366">
        <v>0</v>
      </c>
      <c r="F77" s="366">
        <v>0</v>
      </c>
      <c r="G77" s="366">
        <f t="shared" si="10"/>
        <v>0</v>
      </c>
      <c r="H77" s="366">
        <v>0</v>
      </c>
      <c r="I77" s="366">
        <v>0</v>
      </c>
      <c r="J77" s="366">
        <f t="shared" si="8"/>
        <v>0</v>
      </c>
      <c r="K77" s="366">
        <f t="shared" si="9"/>
        <v>0</v>
      </c>
      <c r="L77" s="366"/>
      <c r="M77" s="366">
        <f t="shared" si="7"/>
        <v>74802.173199999786</v>
      </c>
      <c r="N77" s="372"/>
      <c r="O77" s="372"/>
    </row>
    <row r="78" spans="1:15">
      <c r="A78" s="19">
        <v>75</v>
      </c>
      <c r="B78" s="268"/>
      <c r="C78" s="118"/>
      <c r="D78" s="118"/>
      <c r="E78" s="366">
        <v>0</v>
      </c>
      <c r="F78" s="366">
        <v>0</v>
      </c>
      <c r="G78" s="366">
        <f t="shared" si="10"/>
        <v>0</v>
      </c>
      <c r="H78" s="366">
        <v>0</v>
      </c>
      <c r="I78" s="366">
        <v>0</v>
      </c>
      <c r="J78" s="366">
        <f t="shared" si="8"/>
        <v>0</v>
      </c>
      <c r="K78" s="366">
        <f t="shared" si="9"/>
        <v>0</v>
      </c>
      <c r="L78" s="366"/>
      <c r="M78" s="366">
        <f t="shared" si="7"/>
        <v>74802.173199999786</v>
      </c>
      <c r="N78" s="209"/>
      <c r="O78" s="209"/>
    </row>
    <row r="79" spans="1:15">
      <c r="A79" s="187">
        <v>76</v>
      </c>
      <c r="B79" s="268"/>
      <c r="C79" s="284"/>
      <c r="D79" s="284"/>
      <c r="E79" s="366">
        <v>0</v>
      </c>
      <c r="F79" s="366">
        <v>0</v>
      </c>
      <c r="G79" s="366">
        <f t="shared" si="10"/>
        <v>0</v>
      </c>
      <c r="H79" s="366">
        <v>0</v>
      </c>
      <c r="I79" s="366">
        <v>0</v>
      </c>
      <c r="J79" s="366">
        <f t="shared" si="8"/>
        <v>0</v>
      </c>
      <c r="K79" s="366">
        <f t="shared" si="9"/>
        <v>0</v>
      </c>
      <c r="L79" s="366"/>
      <c r="M79" s="366">
        <f t="shared" si="7"/>
        <v>74802.173199999786</v>
      </c>
      <c r="N79" s="209"/>
      <c r="O79" s="209"/>
    </row>
    <row r="80" spans="1:15">
      <c r="A80" s="19">
        <v>77</v>
      </c>
      <c r="B80" s="19"/>
      <c r="C80" s="19"/>
      <c r="D80" s="19"/>
      <c r="E80" s="366">
        <v>0</v>
      </c>
      <c r="F80" s="366">
        <v>0</v>
      </c>
      <c r="G80" s="366">
        <f t="shared" si="10"/>
        <v>0</v>
      </c>
      <c r="H80" s="366">
        <v>0</v>
      </c>
      <c r="I80" s="366">
        <v>0</v>
      </c>
      <c r="J80" s="366">
        <f t="shared" si="8"/>
        <v>0</v>
      </c>
      <c r="K80" s="366">
        <f t="shared" si="9"/>
        <v>0</v>
      </c>
      <c r="L80" s="366"/>
      <c r="M80" s="366">
        <f t="shared" si="7"/>
        <v>74802.173199999786</v>
      </c>
      <c r="N80" s="209"/>
      <c r="O80" s="209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BD2A-34DD-4CE3-849C-464A244C338A}">
  <dimension ref="A1:O14"/>
  <sheetViews>
    <sheetView workbookViewId="0">
      <selection activeCell="C12" sqref="C12"/>
    </sheetView>
  </sheetViews>
  <sheetFormatPr defaultRowHeight="15"/>
  <cols>
    <col min="2" max="2" width="11.5703125" customWidth="1"/>
    <col min="3" max="3" width="36.5703125" bestFit="1" customWidth="1"/>
    <col min="4" max="4" width="21.7109375" bestFit="1" customWidth="1"/>
    <col min="5" max="5" width="15.7109375" customWidth="1"/>
    <col min="7" max="7" width="22.42578125" customWidth="1"/>
    <col min="8" max="8" width="22.140625" customWidth="1"/>
    <col min="9" max="9" width="17.7109375" bestFit="1" customWidth="1"/>
    <col min="11" max="11" width="15.42578125" customWidth="1"/>
    <col min="12" max="12" width="17.7109375" customWidth="1"/>
    <col min="13" max="13" width="12.7109375" customWidth="1"/>
    <col min="14" max="14" width="15.140625" customWidth="1"/>
    <col min="15" max="15" width="20.5703125" customWidth="1"/>
  </cols>
  <sheetData>
    <row r="1" spans="1:15" ht="15.75">
      <c r="A1" s="426" t="s">
        <v>212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</row>
    <row r="2" spans="1:15">
      <c r="A2" s="76" t="s">
        <v>105</v>
      </c>
      <c r="B2" s="96" t="s">
        <v>106</v>
      </c>
      <c r="C2" s="96" t="s">
        <v>165</v>
      </c>
      <c r="D2" s="96" t="s">
        <v>166</v>
      </c>
      <c r="E2" s="96" t="s">
        <v>109</v>
      </c>
      <c r="F2" s="96" t="s">
        <v>110</v>
      </c>
      <c r="G2" s="103" t="s">
        <v>111</v>
      </c>
      <c r="H2" s="96" t="s">
        <v>112</v>
      </c>
      <c r="I2" s="96" t="s">
        <v>110</v>
      </c>
      <c r="J2" s="103" t="s">
        <v>111</v>
      </c>
      <c r="K2" s="76" t="s">
        <v>113</v>
      </c>
      <c r="L2" s="104" t="s">
        <v>167</v>
      </c>
      <c r="M2" s="98" t="s">
        <v>120</v>
      </c>
      <c r="N2" s="96" t="s">
        <v>116</v>
      </c>
      <c r="O2" s="96" t="s">
        <v>168</v>
      </c>
    </row>
    <row r="3" spans="1:15">
      <c r="A3" s="422" t="s">
        <v>117</v>
      </c>
      <c r="B3" s="422"/>
      <c r="C3" s="422"/>
      <c r="D3" s="422"/>
      <c r="E3" s="422"/>
      <c r="F3" s="422"/>
      <c r="G3" s="422"/>
      <c r="H3" s="422"/>
      <c r="I3" s="422"/>
      <c r="J3" s="422"/>
      <c r="K3" s="24">
        <v>190267.31</v>
      </c>
      <c r="L3" s="189"/>
      <c r="M3" s="269">
        <f>+K3</f>
        <v>190267.31</v>
      </c>
      <c r="N3" s="107"/>
      <c r="O3" s="107"/>
    </row>
    <row r="4" spans="1:15">
      <c r="A4" s="19">
        <v>1</v>
      </c>
      <c r="B4" s="19" t="s">
        <v>136</v>
      </c>
      <c r="C4" s="19" t="s">
        <v>213</v>
      </c>
      <c r="D4" s="311" t="s">
        <v>214</v>
      </c>
      <c r="E4" s="46">
        <v>3278.7</v>
      </c>
      <c r="F4" s="46">
        <v>91.5</v>
      </c>
      <c r="G4" s="46">
        <v>300000</v>
      </c>
      <c r="H4" s="46"/>
      <c r="I4" s="46"/>
      <c r="J4" s="46"/>
      <c r="K4" s="46">
        <f t="shared" ref="K4:K8" si="0">G4+J4</f>
        <v>300000</v>
      </c>
      <c r="L4" s="56">
        <v>125000</v>
      </c>
      <c r="M4" s="46">
        <f>M3+L4-K4</f>
        <v>15267.309999999998</v>
      </c>
      <c r="N4" s="19"/>
      <c r="O4" s="19"/>
    </row>
    <row r="5" spans="1:15">
      <c r="A5" s="19">
        <v>2</v>
      </c>
      <c r="B5" s="19" t="s">
        <v>137</v>
      </c>
      <c r="C5" s="19" t="s">
        <v>213</v>
      </c>
      <c r="D5" s="311" t="s">
        <v>214</v>
      </c>
      <c r="E5" s="46">
        <v>96.92</v>
      </c>
      <c r="F5" s="46">
        <v>91.5</v>
      </c>
      <c r="G5" s="46">
        <f>E5*F5</f>
        <v>8868.18</v>
      </c>
      <c r="H5" s="46"/>
      <c r="I5" s="46"/>
      <c r="J5" s="46"/>
      <c r="K5" s="46">
        <f t="shared" si="0"/>
        <v>8868.18</v>
      </c>
      <c r="L5" s="56"/>
      <c r="M5" s="46">
        <f t="shared" ref="M5:M10" si="1">M4+L5-K5</f>
        <v>6399.1299999999974</v>
      </c>
      <c r="N5" s="19"/>
      <c r="O5" s="19"/>
    </row>
    <row r="6" spans="1:15">
      <c r="A6" s="19">
        <v>3</v>
      </c>
      <c r="B6" s="19" t="s">
        <v>141</v>
      </c>
      <c r="C6" s="19" t="s">
        <v>215</v>
      </c>
      <c r="D6" s="311" t="s">
        <v>214</v>
      </c>
      <c r="E6" s="46">
        <v>18858.62</v>
      </c>
      <c r="F6" s="46">
        <v>91.48</v>
      </c>
      <c r="G6" s="46">
        <v>1725179</v>
      </c>
      <c r="H6" s="46"/>
      <c r="I6" s="46"/>
      <c r="J6" s="46"/>
      <c r="K6" s="46">
        <f t="shared" si="0"/>
        <v>1725179</v>
      </c>
      <c r="L6" s="56">
        <v>10000</v>
      </c>
      <c r="M6" s="46">
        <f t="shared" si="1"/>
        <v>-1708779.87</v>
      </c>
      <c r="N6" s="19"/>
      <c r="O6" s="19"/>
    </row>
    <row r="7" spans="1:15">
      <c r="A7" s="19">
        <v>4</v>
      </c>
      <c r="B7" s="19" t="s">
        <v>141</v>
      </c>
      <c r="C7" s="19" t="s">
        <v>216</v>
      </c>
      <c r="D7" s="311" t="s">
        <v>217</v>
      </c>
      <c r="E7" s="46">
        <v>62709</v>
      </c>
      <c r="F7" s="46">
        <v>95.68</v>
      </c>
      <c r="G7" s="46">
        <v>6000000</v>
      </c>
      <c r="H7" s="46"/>
      <c r="I7" s="46"/>
      <c r="J7" s="46"/>
      <c r="K7" s="46">
        <f t="shared" si="0"/>
        <v>6000000</v>
      </c>
      <c r="L7" s="56">
        <v>7740000</v>
      </c>
      <c r="M7" s="46">
        <f t="shared" si="1"/>
        <v>31220.129999999888</v>
      </c>
      <c r="N7" s="19"/>
      <c r="O7" s="19"/>
    </row>
    <row r="8" spans="1:15">
      <c r="A8" s="19">
        <v>5</v>
      </c>
      <c r="B8" s="19" t="s">
        <v>159</v>
      </c>
      <c r="C8" s="19">
        <v>0</v>
      </c>
      <c r="D8" s="311">
        <v>0</v>
      </c>
      <c r="E8" s="46">
        <v>0</v>
      </c>
      <c r="F8" s="46">
        <v>0</v>
      </c>
      <c r="G8" s="46">
        <v>0</v>
      </c>
      <c r="H8" s="46"/>
      <c r="I8" s="46"/>
      <c r="J8" s="46"/>
      <c r="K8" s="46">
        <f t="shared" si="0"/>
        <v>0</v>
      </c>
      <c r="L8" s="56">
        <v>29000</v>
      </c>
      <c r="M8" s="46">
        <f t="shared" si="1"/>
        <v>60220.129999999888</v>
      </c>
      <c r="N8" s="19"/>
      <c r="O8" s="19"/>
    </row>
    <row r="9" spans="1:15">
      <c r="A9" s="19">
        <v>6</v>
      </c>
      <c r="B9" s="107" t="s">
        <v>153</v>
      </c>
      <c r="C9" s="107" t="s">
        <v>218</v>
      </c>
      <c r="D9" s="373">
        <v>8200079004507150</v>
      </c>
      <c r="E9" s="253">
        <v>547.11</v>
      </c>
      <c r="F9" s="253">
        <v>91.39</v>
      </c>
      <c r="G9" s="46">
        <v>50000</v>
      </c>
      <c r="H9" s="253"/>
      <c r="I9" s="253"/>
      <c r="J9" s="253"/>
      <c r="K9" s="253">
        <v>50000</v>
      </c>
      <c r="L9" s="189">
        <v>0</v>
      </c>
      <c r="M9" s="46">
        <f t="shared" si="1"/>
        <v>10220.129999999888</v>
      </c>
      <c r="N9" s="107"/>
      <c r="O9" s="107"/>
    </row>
    <row r="10" spans="1:15">
      <c r="A10" s="19">
        <v>7</v>
      </c>
      <c r="B10" s="107" t="s">
        <v>154</v>
      </c>
      <c r="C10" s="19" t="s">
        <v>215</v>
      </c>
      <c r="D10" s="311" t="s">
        <v>214</v>
      </c>
      <c r="E10" s="46">
        <v>5465.7</v>
      </c>
      <c r="F10" s="46">
        <v>91.58</v>
      </c>
      <c r="G10" s="46">
        <v>500000</v>
      </c>
      <c r="H10" s="46"/>
      <c r="I10" s="46"/>
      <c r="J10" s="46"/>
      <c r="K10" s="46">
        <v>500000</v>
      </c>
      <c r="L10" s="56">
        <v>500000</v>
      </c>
      <c r="M10" s="46">
        <f t="shared" si="1"/>
        <v>10220.129999999888</v>
      </c>
      <c r="N10" s="19"/>
      <c r="O10" s="19"/>
    </row>
    <row r="14" spans="1:15">
      <c r="I14" s="281"/>
    </row>
  </sheetData>
  <mergeCells count="2">
    <mergeCell ref="A1:O1"/>
    <mergeCell ref="A3:J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</cp:lastModifiedBy>
  <cp:revision/>
  <dcterms:created xsi:type="dcterms:W3CDTF">2015-06-05T18:17:20Z</dcterms:created>
  <dcterms:modified xsi:type="dcterms:W3CDTF">2026-10-07T11:48:42Z</dcterms:modified>
  <cp:category/>
  <cp:contentStatus/>
</cp:coreProperties>
</file>