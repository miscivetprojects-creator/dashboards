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/>
  </bookViews>
  <sheets>
    <sheet sheetId="1" name="Sheet1" state="visible" r:id="rId4"/>
    <sheet sheetId="4" name="Sheet2" state="visible" r:id="rId5"/>
    <sheet sheetId="2" name="Jan-25" state="visible" r:id="rId6"/>
    <sheet sheetId="3" name="Feb-25" state="visible" r:id="rId7"/>
  </sheets>
  <calcPr calcId="171027"/>
</workbook>
</file>

<file path=xl/sharedStrings.xml><?xml version="1.0" encoding="utf-8"?>
<sst xmlns="http://schemas.openxmlformats.org/spreadsheetml/2006/main" count="77" uniqueCount="69">
  <si>
    <t>Sl.No</t>
  </si>
  <si>
    <t>Month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</si>
  <si>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</si>
  <si>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</si>
  <si>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</si>
  <si>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</si>
  <si>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</si>
  <si>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</si>
  <si>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</si>
  <si>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</si>
  <si>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Jan'25</t>
  </si>
  <si>
    <t>Feb'25</t>
  </si>
  <si>
    <t>Mar'25</t>
  </si>
  <si>
    <t>Apr'25</t>
  </si>
  <si>
    <t>May'25</t>
  </si>
  <si>
    <t>Oct'26</t>
  </si>
  <si>
    <t>Total 2025</t>
  </si>
  <si>
    <t>Total 2026 (Jan-Oct)</t>
  </si>
  <si>
    <t>Grand Total</t>
  </si>
  <si>
    <t>S.no</t>
  </si>
  <si>
    <t>Site Name</t>
  </si>
  <si>
    <t>bunk Name</t>
  </si>
  <si>
    <t>Khammam-1</t>
  </si>
  <si>
    <t>Lakshmi Manikanta Filling Station</t>
  </si>
  <si>
    <t>Khammam-2</t>
  </si>
  <si>
    <t>Sri Ramakotaiah Fuel Point</t>
  </si>
  <si>
    <t>Jedcherla-1</t>
  </si>
  <si>
    <t>Sai Baba Fuel Station</t>
  </si>
  <si>
    <t>Jadcherla-2</t>
  </si>
  <si>
    <t>Bhavani Filling Station</t>
  </si>
  <si>
    <t>YG Gudda</t>
  </si>
  <si>
    <t>Pallavi Petrolium</t>
  </si>
  <si>
    <t>Hosadurga</t>
  </si>
  <si>
    <t>Merchant Petroliums</t>
  </si>
  <si>
    <t>Malebenur(KUWASDB)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</si>
  <si>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</si>
  <si>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</si>
  <si>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</si>
  <si>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</si>
  <si>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</si>
  <si>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</si>
  <si>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Sri Vishnu Baba Petroleum</t>
  </si>
  <si>
    <t>Munavalli</t>
  </si>
  <si>
    <t>Shahapur Petroleum</t>
  </si>
  <si>
    <t>Khanapur</t>
  </si>
  <si>
    <t>J K Makavi</t>
  </si>
  <si>
    <t>Ugar,Kudichi</t>
  </si>
  <si>
    <t>Shiri Bhrhmanath Petrolium</t>
  </si>
  <si>
    <t>Borgaon</t>
  </si>
  <si>
    <t>Aadisagar Petrolium</t>
  </si>
  <si>
    <t xml:space="preserve">Kumta </t>
  </si>
  <si>
    <t>Krishma fuel station</t>
  </si>
  <si>
    <t>Jalgaon</t>
  </si>
  <si>
    <t>Sri Sai Petrol Pump</t>
  </si>
  <si>
    <t>MKBD</t>
  </si>
  <si>
    <t>Shree Sai Samarth Petroleum</t>
  </si>
  <si>
    <t>Haveri</t>
  </si>
  <si>
    <t>Shivalingeshwar Petroleum</t>
  </si>
  <si>
    <t>Gajendragada</t>
  </si>
  <si>
    <t>Vanasri Petrol Pump</t>
  </si>
  <si>
    <t>Ghattaprabha</t>
  </si>
  <si>
    <t>Vivek Petrol Pump</t>
  </si>
  <si>
    <t>Chadchan</t>
  </si>
  <si>
    <t>Khavekar Petrolium</t>
  </si>
  <si>
    <t>Talikote</t>
  </si>
  <si>
    <t>Raykar Oil Agencies</t>
  </si>
  <si>
    <t>Srirangapatna</t>
  </si>
  <si>
    <t>Sri Chakra Fuel Station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</si>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</sst>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m-yy;@"/>
    <numFmt numFmtId="165" formatCode="[$-409]mmm-yy;@"/>
  </numFmts>
  <fonts count="4" x14ac:knownFonts="1">
    <font>
      <color theme="1"/>
      <family val="2"/>
      <scheme val="minor"/>
      <sz val="11"/>
      <name val="Calibri"/>
    </font>
    <font>
      <b/>
      <color rgb="FFFFFFFF"/>
      <scheme val="minor"/>
      <sz val="11"/>
      <name val="Calibri"/>
    </font>
    <font>
      <color rgb="FF00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48235"/>
        <bgColor rgb="FF000000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164" fontId="2" fillId="3" borderId="1" xfId="0" applyNumberFormat="1" applyFont="1" applyFill="1" applyBorder="1" applyAlignment="1">
      <alignment horizontal="left" vertical="center" indent="1"/>
    </xf>
    <xf numFmtId="1" fontId="2" fillId="3" borderId="1" xfId="0" applyNumberFormat="1" applyFont="1" applyFill="1" applyBorder="1" applyAlignment="1">
      <alignment horizontal="left" vertical="center" indent="1"/>
    </xf>
    <xf numFmtId="1" fontId="0" fillId="0" borderId="0" xfId="0" applyNumberFormat="1"/>
    <xf numFmtId="165" fontId="2" fillId="3" borderId="1" xfId="0" applyNumberFormat="1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left" indent="1"/>
    </xf>
    <xf numFmtId="0" fontId="0" fillId="0" borderId="0" xfId="0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 zoomScale="100" zoomScaleNormal="100">
      <selection activeCell="D24" sqref="D24"/>
    </sheetView>
  </sheetViews>
  <sheetFormatPr defaultRowHeight="15" outlineLevelRow="0" outlineLevelCol="0" x14ac:dyDescent="0"/>
  <cols>
    <col min="1" max="1" width="7.140625" style="1" customWidth="1"/>
    <col min="2" max="2" width="9.140625" style="1" customWidth="1"/>
    <col min="3" max="3" width="14.140625" style="1" customWidth="1"/>
    <col min="4" max="4" width="15.7109375" style="1" customWidth="1"/>
    <col min="5" max="5" width="14.140625" style="1" customWidth="1"/>
    <col min="6" max="6" width="15.7109375" style="1" customWidth="1"/>
    <col min="7" max="7" width="14.85546875" style="1" customWidth="1"/>
    <col min="8" max="8" width="16.42578125" style="1" customWidth="1"/>
    <col min="9" max="9" width="14.140625" style="1" customWidth="1"/>
    <col min="10" max="10" width="17.42578125" style="1" customWidth="1"/>
    <col min="11" max="11" width="9.855468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 x14ac:dyDescent="0.25">
      <c r="A2" s="3">
        <v>1</v>
      </c>
      <c r="B2" s="4" t="s">
        <v>10</v>
      </c>
      <c r="C2" s="5">
        <v>273278.04999999993</v>
      </c>
      <c r="D2" s="5">
        <v>25786223.632000007</v>
      </c>
      <c r="E2" s="5">
        <v>4147.42</v>
      </c>
      <c r="F2" s="5">
        <v>434801.2698</v>
      </c>
      <c r="G2" s="5">
        <v>26221024.901800007</v>
      </c>
      <c r="H2" s="5">
        <v>5694932.53</v>
      </c>
      <c r="I2" s="5">
        <v>17884523.9564</v>
      </c>
      <c r="J2" s="5">
        <f>G2+H2-I2</f>
        <v>14031433.475400008</v>
      </c>
      <c r="K2" s="6">
        <f>J2-H3</f>
        <v>0.6124000083655119</v>
      </c>
    </row>
    <row r="3" spans="1:11" x14ac:dyDescent="0.25">
      <c r="A3" s="3">
        <v>2</v>
      </c>
      <c r="B3" s="4" t="s">
        <v>11</v>
      </c>
      <c r="C3" s="5">
        <v>298478.67999999993</v>
      </c>
      <c r="D3" s="5">
        <v>28093565.971399996</v>
      </c>
      <c r="E3" s="5">
        <v>4688.070000000001</v>
      </c>
      <c r="F3" s="5">
        <v>492251.18540000013</v>
      </c>
      <c r="G3" s="5">
        <v>28585817.156799994</v>
      </c>
      <c r="H3" s="5">
        <v>14031432.863</v>
      </c>
      <c r="I3" s="5">
        <v>20057258.509099998</v>
      </c>
      <c r="J3" s="5">
        <f t="shared" ref="J3:J25" si="0">G3+H3-I3</f>
        <v>22559991.510699995</v>
      </c>
      <c r="K3" s="6">
        <f>J3-H4</f>
        <v>-20.34349999949336</v>
      </c>
    </row>
    <row r="4" spans="1:11" x14ac:dyDescent="0.25">
      <c r="A4" s="3">
        <v>3</v>
      </c>
      <c r="B4" s="4" t="s">
        <v>12</v>
      </c>
      <c r="C4" s="5">
        <v>304658.10000000003</v>
      </c>
      <c r="D4" s="5">
        <v>28711048.347999994</v>
      </c>
      <c r="E4" s="5">
        <v>4492.9400000000005</v>
      </c>
      <c r="F4" s="5">
        <v>471156.8105</v>
      </c>
      <c r="G4" s="5">
        <v>29182205.158500005</v>
      </c>
      <c r="H4" s="5">
        <v>22560011.854199994</v>
      </c>
      <c r="I4" s="5">
        <v>49602310.566299975</v>
      </c>
      <c r="J4" s="5">
        <f t="shared" si="0"/>
        <v>2139906.446400024</v>
      </c>
      <c r="K4" s="6">
        <f t="shared" ref="K3:K25" si="1">J4-H5</f>
        <v>-66.16689997632056</v>
      </c>
    </row>
    <row r="5" spans="1:11" x14ac:dyDescent="0.25">
      <c r="A5" s="3">
        <v>4</v>
      </c>
      <c r="B5" s="4" t="s">
        <v>13</v>
      </c>
      <c r="C5" s="5">
        <v>344992.3800000001</v>
      </c>
      <c r="D5" s="5">
        <v>32633932.474400006</v>
      </c>
      <c r="E5" s="5">
        <v>5188.590000000002</v>
      </c>
      <c r="F5" s="5">
        <v>540978.1755</v>
      </c>
      <c r="G5" s="5">
        <v>33175516.64989999</v>
      </c>
      <c r="H5" s="5">
        <v>2139972.6133000003</v>
      </c>
      <c r="I5" s="5">
        <v>7130635.889899999</v>
      </c>
      <c r="J5" s="5">
        <f>G5+H5-I5</f>
        <v>28184853.373299994</v>
      </c>
      <c r="K5" s="6">
        <f t="shared" si="1"/>
        <v>-31.988000005483627</v>
      </c>
    </row>
    <row r="6" spans="1:11" x14ac:dyDescent="0.25">
      <c r="A6" s="3">
        <v>5</v>
      </c>
      <c r="B6" s="7" t="s">
        <v>14</v>
      </c>
      <c r="C6" s="5">
        <v>365665.2899999999</v>
      </c>
      <c r="D6" s="5">
        <v>34536905.64809999</v>
      </c>
      <c r="E6" s="5">
        <v>5114.87</v>
      </c>
      <c r="F6" s="5">
        <v>537024.4040999999</v>
      </c>
      <c r="G6" s="5">
        <v>35073930.052200004</v>
      </c>
      <c r="H6" s="5">
        <v>28184885.3613</v>
      </c>
      <c r="I6" s="5">
        <v>38389727.312599994</v>
      </c>
      <c r="J6" s="5">
        <f t="shared" si="0"/>
        <v>24869088.10090001</v>
      </c>
      <c r="K6" s="6">
        <f t="shared" si="1"/>
        <v>-6.280913785099983</v>
      </c>
    </row>
    <row r="7" spans="1:11" x14ac:dyDescent="0.25">
      <c r="A7" s="3">
        <v>6</v>
      </c>
      <c r="B7" s="7">
        <v>45809</v>
      </c>
      <c r="C7" s="5">
        <v>439033.64000000013</v>
      </c>
      <c r="D7" s="5">
        <v>41683118.362200014</v>
      </c>
      <c r="E7" s="5">
        <v>5346.67</v>
      </c>
      <c r="F7" s="5">
        <v>561023.0389</v>
      </c>
      <c r="G7" s="5">
        <v>42245340.42450001</v>
      </c>
      <c r="H7" s="5">
        <v>24869094.381813794</v>
      </c>
      <c r="I7" s="5">
        <v>34459719.44630001</v>
      </c>
      <c r="J7" s="5">
        <f t="shared" si="0"/>
        <v>32654715.360013805</v>
      </c>
      <c r="K7" s="6">
        <f t="shared" si="1"/>
        <v>-31.34619999676943</v>
      </c>
    </row>
    <row r="8" spans="1:11" x14ac:dyDescent="0.25">
      <c r="A8" s="3">
        <v>7</v>
      </c>
      <c r="B8" s="7">
        <v>45840</v>
      </c>
      <c r="C8" s="5">
        <v>315964.98000000016</v>
      </c>
      <c r="D8" s="5">
        <v>29937328.786100008</v>
      </c>
      <c r="E8" s="5">
        <v>5762.389999999999</v>
      </c>
      <c r="F8" s="5">
        <v>592148.0042999999</v>
      </c>
      <c r="G8" s="5">
        <v>30529476.79039999</v>
      </c>
      <c r="H8" s="5">
        <v>32654746.706213802</v>
      </c>
      <c r="I8" s="5">
        <v>29088235.859100003</v>
      </c>
      <c r="J8" s="5">
        <f t="shared" si="0"/>
        <v>34095987.63751379</v>
      </c>
      <c r="K8" s="6">
        <f t="shared" si="1"/>
        <v>0.3149999901652336</v>
      </c>
    </row>
    <row r="9" spans="1:11" x14ac:dyDescent="0.25">
      <c r="A9" s="3">
        <v>8</v>
      </c>
      <c r="B9" s="7">
        <v>45871</v>
      </c>
      <c r="C9" s="5">
        <v>288448.52</v>
      </c>
      <c r="D9" s="5">
        <v>27345037.6788</v>
      </c>
      <c r="E9" s="5">
        <v>5284.72</v>
      </c>
      <c r="F9" s="5">
        <v>554798.4722000001</v>
      </c>
      <c r="G9" s="5">
        <v>27899836.151000008</v>
      </c>
      <c r="H9" s="5">
        <v>34095987.3225138</v>
      </c>
      <c r="I9" s="5">
        <v>28602917.006</v>
      </c>
      <c r="J9" s="5">
        <f t="shared" si="0"/>
        <v>33392906.467513803</v>
      </c>
      <c r="K9" s="6">
        <f>J9-H10</f>
        <v>2517.944300007075</v>
      </c>
    </row>
    <row r="10" spans="1:11" x14ac:dyDescent="0.25">
      <c r="A10" s="3">
        <v>9</v>
      </c>
      <c r="B10" s="7">
        <v>45902</v>
      </c>
      <c r="C10" s="5">
        <v>343008.76999999996</v>
      </c>
      <c r="D10" s="5">
        <v>32510215.7361</v>
      </c>
      <c r="E10" s="5">
        <v>6165.779999999999</v>
      </c>
      <c r="F10" s="5">
        <v>644264.6713</v>
      </c>
      <c r="G10" s="5">
        <v>33154480.4074</v>
      </c>
      <c r="H10" s="5">
        <v>33390388.523213796</v>
      </c>
      <c r="I10" s="5">
        <v>35182355.10420001</v>
      </c>
      <c r="J10" s="5">
        <f t="shared" si="0"/>
        <v>31362513.826413788</v>
      </c>
      <c r="K10" s="6">
        <f>J10-H11</f>
        <v>-0.007500015199184418</v>
      </c>
    </row>
    <row r="11" spans="1:11" x14ac:dyDescent="0.25">
      <c r="A11" s="3">
        <v>10</v>
      </c>
      <c r="B11" s="7">
        <v>45933</v>
      </c>
      <c r="C11" s="5">
        <v>332866.89599999995</v>
      </c>
      <c r="D11" s="5">
        <v>31546550.744520005</v>
      </c>
      <c r="E11" s="5">
        <v>5762.35</v>
      </c>
      <c r="F11" s="5">
        <v>607209.6832999999</v>
      </c>
      <c r="G11" s="5">
        <v>32153760.427820005</v>
      </c>
      <c r="H11" s="5">
        <v>31362513.833913803</v>
      </c>
      <c r="I11" s="5">
        <v>20278849.54662</v>
      </c>
      <c r="J11" s="5">
        <f t="shared" si="0"/>
        <v>43237424.715113804</v>
      </c>
      <c r="K11" s="6">
        <f t="shared" si="1"/>
        <v>73.48149999976158</v>
      </c>
    </row>
    <row r="12" spans="1:11" x14ac:dyDescent="0.25">
      <c r="A12" s="3">
        <v>11</v>
      </c>
      <c r="B12" s="7">
        <v>45964</v>
      </c>
      <c r="C12" s="5">
        <v>197810.70000000004</v>
      </c>
      <c r="D12" s="5">
        <v>18578686.8453</v>
      </c>
      <c r="E12" s="5">
        <v>4969.917999999999</v>
      </c>
      <c r="F12" s="5">
        <v>523462.0684599999</v>
      </c>
      <c r="G12" s="5">
        <v>19102148.913759995</v>
      </c>
      <c r="H12" s="5">
        <v>43237351.233613804</v>
      </c>
      <c r="I12" s="5">
        <v>38689715.743499994</v>
      </c>
      <c r="J12" s="5">
        <f t="shared" si="0"/>
        <v>23649784.4038738</v>
      </c>
      <c r="K12" s="6">
        <f t="shared" si="1"/>
        <v>0.0022000111639499664</v>
      </c>
    </row>
    <row r="13" spans="1:11" x14ac:dyDescent="0.25">
      <c r="A13" s="3">
        <v>12</v>
      </c>
      <c r="B13" s="7">
        <v>45995</v>
      </c>
      <c r="C13" s="5">
        <v>253757.88910000003</v>
      </c>
      <c r="D13" s="5">
        <v>23838862.598702993</v>
      </c>
      <c r="E13" s="5">
        <v>5062.139911849999</v>
      </c>
      <c r="F13" s="5">
        <v>531369.8198395255</v>
      </c>
      <c r="G13" s="5">
        <v>24370232.41854252</v>
      </c>
      <c r="H13" s="5">
        <v>23649784.40167379</v>
      </c>
      <c r="I13" s="5">
        <v>33144784.29964</v>
      </c>
      <c r="J13" s="5">
        <f t="shared" si="0"/>
        <v>14875232.520576313</v>
      </c>
      <c r="K13" s="6">
        <f t="shared" si="1"/>
        <v>-21.535100487992167</v>
      </c>
    </row>
    <row r="14" spans="1:11" x14ac:dyDescent="0.25">
      <c r="A14" s="3">
        <v>13</v>
      </c>
      <c r="B14" s="7">
        <v>46026</v>
      </c>
      <c r="C14" s="5">
        <v>268289.04899999994</v>
      </c>
      <c r="D14" s="5">
        <v>25130709.9557</v>
      </c>
      <c r="E14" s="5">
        <v>5553.530000000001</v>
      </c>
      <c r="F14" s="5">
        <v>586829.7771</v>
      </c>
      <c r="G14" s="5">
        <v>25717539.732800007</v>
      </c>
      <c r="H14" s="5">
        <v>14875254.055676801</v>
      </c>
      <c r="I14" s="5">
        <v>26398451.459199995</v>
      </c>
      <c r="J14" s="5">
        <f t="shared" si="0"/>
        <v>14194342.329276815</v>
      </c>
      <c r="K14" s="6">
        <f t="shared" si="1"/>
        <v>-0.32468618266284466</v>
      </c>
    </row>
    <row r="15" spans="1:11" x14ac:dyDescent="0.25">
      <c r="A15" s="3">
        <v>14</v>
      </c>
      <c r="B15" s="7">
        <v>46057</v>
      </c>
      <c r="C15" s="5">
        <v>472386.93200000015</v>
      </c>
      <c r="D15" s="5">
        <v>44391183.10276</v>
      </c>
      <c r="E15" s="5">
        <v>5731.490000000002</v>
      </c>
      <c r="F15" s="5">
        <v>600970.8835</v>
      </c>
      <c r="G15" s="5">
        <v>44992153.986260004</v>
      </c>
      <c r="H15" s="5">
        <v>14194342.653962998</v>
      </c>
      <c r="I15" s="5">
        <v>35727980.599700004</v>
      </c>
      <c r="J15" s="5">
        <f t="shared" si="0"/>
        <v>23458516.040523</v>
      </c>
      <c r="K15" s="6">
        <f t="shared" si="1"/>
        <v>-0.3012400083243847</v>
      </c>
    </row>
    <row r="16" spans="1:11" x14ac:dyDescent="0.25">
      <c r="A16" s="3">
        <v>15</v>
      </c>
      <c r="B16" s="7">
        <v>46088</v>
      </c>
      <c r="C16" s="5">
        <v>451700.34300000005</v>
      </c>
      <c r="D16" s="5">
        <v>42403311.36983</v>
      </c>
      <c r="E16" s="5">
        <v>6061.639999999999</v>
      </c>
      <c r="F16" s="5">
        <v>639164.4056999999</v>
      </c>
      <c r="G16" s="5">
        <v>43042475.77552999</v>
      </c>
      <c r="H16" s="5">
        <v>23458516.34176301</v>
      </c>
      <c r="I16" s="5">
        <v>29891673.266099993</v>
      </c>
      <c r="J16" s="5">
        <f t="shared" si="0"/>
        <v>36609318.85119301</v>
      </c>
      <c r="K16" s="6">
        <f t="shared" si="1"/>
        <v>0.6848000213503838</v>
      </c>
    </row>
    <row r="17" spans="1:11" x14ac:dyDescent="0.25">
      <c r="A17" s="3">
        <v>16</v>
      </c>
      <c r="B17" s="7">
        <v>46119</v>
      </c>
      <c r="C17" s="5">
        <v>444376.2300000001</v>
      </c>
      <c r="D17" s="5">
        <v>41695224.36329999</v>
      </c>
      <c r="E17" s="5">
        <v>5851.289999999999</v>
      </c>
      <c r="F17" s="5">
        <v>619157.7691000002</v>
      </c>
      <c r="G17" s="5">
        <v>42314382.132400006</v>
      </c>
      <c r="H17" s="5">
        <v>36609318.16639299</v>
      </c>
      <c r="I17" s="5">
        <v>59198691.169599995</v>
      </c>
      <c r="J17" s="5">
        <f t="shared" si="0"/>
        <v>19725009.129192993</v>
      </c>
      <c r="K17" s="6">
        <f t="shared" si="1"/>
        <v>0.5477000027894974</v>
      </c>
    </row>
    <row r="18" spans="1:11" x14ac:dyDescent="0.25">
      <c r="A18" s="3">
        <v>17</v>
      </c>
      <c r="B18" s="7">
        <v>46150</v>
      </c>
      <c r="C18" s="5">
        <v>396185.179</v>
      </c>
      <c r="D18" s="5">
        <v>38148100.30742</v>
      </c>
      <c r="E18" s="5">
        <v>5839.300000000001</v>
      </c>
      <c r="F18" s="5">
        <v>635463.2157000001</v>
      </c>
      <c r="G18" s="5">
        <v>38783563.52312</v>
      </c>
      <c r="H18" s="5">
        <v>19725008.58149299</v>
      </c>
      <c r="I18" s="5">
        <v>30908638.04402</v>
      </c>
      <c r="J18" s="5">
        <f t="shared" si="0"/>
        <v>27599934.06059299</v>
      </c>
      <c r="K18" s="6">
        <f t="shared" si="1"/>
        <v>1.2823999859392643</v>
      </c>
    </row>
    <row r="19" spans="1:11" x14ac:dyDescent="0.25">
      <c r="A19" s="3">
        <v>18</v>
      </c>
      <c r="B19" s="7">
        <v>46181</v>
      </c>
      <c r="C19" s="5">
        <v>402194.8526999999</v>
      </c>
      <c r="D19" s="5">
        <v>41143909.72606</v>
      </c>
      <c r="E19" s="5">
        <v>5659.420000000001</v>
      </c>
      <c r="F19" s="5">
        <v>641363.0493</v>
      </c>
      <c r="G19" s="5">
        <v>41785272.77536</v>
      </c>
      <c r="H19" s="5">
        <v>27599932.778193004</v>
      </c>
      <c r="I19" s="5">
        <v>48553636.72936001</v>
      </c>
      <c r="J19" s="5">
        <f t="shared" si="0"/>
        <v>20831568.82419301</v>
      </c>
      <c r="K19" s="6">
        <f t="shared" si="1"/>
        <v>-59.10913999006152</v>
      </c>
    </row>
    <row r="20" spans="1:11" x14ac:dyDescent="0.25">
      <c r="A20" s="3">
        <v>19</v>
      </c>
      <c r="B20" s="7">
        <v>46212</v>
      </c>
      <c r="C20" s="5">
        <v>292841.48099999997</v>
      </c>
      <c r="D20" s="5">
        <v>29989878.10159999</v>
      </c>
      <c r="E20" s="5">
        <v>5561.723000000001</v>
      </c>
      <c r="F20" s="5">
        <v>631592.0806999998</v>
      </c>
      <c r="G20" s="5">
        <v>30621470.18229999</v>
      </c>
      <c r="H20" s="5">
        <v>20831627.933333</v>
      </c>
      <c r="I20" s="5">
        <v>13312378.656100001</v>
      </c>
      <c r="J20" s="5">
        <f t="shared" si="0"/>
        <v>38140719.45953299</v>
      </c>
      <c r="K20" s="6">
        <f t="shared" si="1"/>
        <v>0</v>
      </c>
    </row>
    <row r="21" spans="1:11" x14ac:dyDescent="0.25">
      <c r="A21" s="3">
        <v>20</v>
      </c>
      <c r="B21" s="7">
        <v>46243</v>
      </c>
      <c r="C21" s="5">
        <v>230910.55642326028</v>
      </c>
      <c r="D21" s="5">
        <v>23581444.86063001</v>
      </c>
      <c r="E21" s="5">
        <v>5702.659999999999</v>
      </c>
      <c r="F21" s="5">
        <v>645760.2407999998</v>
      </c>
      <c r="G21" s="5">
        <v>24227205.10143</v>
      </c>
      <c r="H21" s="5">
        <v>38140719.459533</v>
      </c>
      <c r="I21" s="5">
        <v>54115704.61509</v>
      </c>
      <c r="J21" s="5">
        <f>G21+H21-I21</f>
        <v>8252219.945873</v>
      </c>
      <c r="K21" s="6">
        <f>J21-H22</f>
        <v>9.15909999422729</v>
      </c>
    </row>
    <row r="22" spans="1:11" x14ac:dyDescent="0.25">
      <c r="A22" s="3">
        <v>21</v>
      </c>
      <c r="B22" s="7">
        <v>46274</v>
      </c>
      <c r="C22" s="5">
        <v>255633.74400000006</v>
      </c>
      <c r="D22" s="5">
        <v>26209717.337619998</v>
      </c>
      <c r="E22" s="5">
        <v>6129.370000000001</v>
      </c>
      <c r="F22" s="5">
        <v>694868.1947000002</v>
      </c>
      <c r="G22" s="5">
        <v>26904585.53232</v>
      </c>
      <c r="H22" s="5">
        <v>8252210.7867730055</v>
      </c>
      <c r="I22" s="5">
        <v>13701589.772799999</v>
      </c>
      <c r="J22" s="5">
        <f t="shared" si="0"/>
        <v>21455206.546293005</v>
      </c>
      <c r="K22" s="6">
        <f t="shared" si="1"/>
        <v>21455206.546293005</v>
      </c>
    </row>
    <row r="23" spans="1:11" x14ac:dyDescent="0.25">
      <c r="A23" s="3">
        <v>22</v>
      </c>
      <c r="B23" s="7" t="s">
        <v>15</v>
      </c>
      <c r="C23" s="8">
        <v>109001.121</v>
      </c>
      <c r="D23" s="8">
        <v>11110851.58913</v>
      </c>
      <c r="E23" s="8">
        <v>3513.57</v>
      </c>
      <c r="F23" s="8">
        <v>399456.1589</v>
      </c>
      <c r="G23" s="8">
        <v>11510307.74803</v>
      </c>
      <c r="H23" s="8">
        <v>20909806.29434</v>
      </c>
      <c r="I23" s="8">
        <v>9773606.73413</v>
      </c>
      <c r="J23" s="5">
        <f>G23+H23-I23</f>
        <v>22646507.30824</v>
      </c>
      <c r="K23" s="6">
        <f>J22-H23</f>
        <v>545400.25195</v>
      </c>
    </row>
    <row r="24" spans="1:11" x14ac:dyDescent="0.25">
      <c r="A24" s="3">
        <v>23</v>
      </c>
      <c r="B24" s="7">
        <v>46336</v>
      </c>
      <c r="C24" s="8"/>
      <c r="D24" s="8"/>
      <c r="E24" s="8"/>
      <c r="F24" s="8"/>
      <c r="G24" s="8"/>
      <c r="H24" s="8"/>
      <c r="I24" s="8"/>
      <c r="J24" s="5">
        <f t="shared" si="0"/>
        <v>0</v>
      </c>
      <c r="K24" s="6">
        <f t="shared" si="1"/>
        <v>0</v>
      </c>
    </row>
    <row r="25" spans="1:11" x14ac:dyDescent="0.25">
      <c r="A25" s="3">
        <v>24</v>
      </c>
      <c r="B25" s="7">
        <v>46367</v>
      </c>
      <c r="C25" s="8"/>
      <c r="D25" s="8"/>
      <c r="E25" s="8"/>
      <c r="F25" s="8"/>
      <c r="G25" s="8"/>
      <c r="H25" s="8"/>
      <c r="I25" s="8"/>
      <c r="J25" s="5">
        <f t="shared" si="0"/>
        <v>0</v>
      </c>
      <c r="K25" s="6">
        <f t="shared" si="1"/>
        <v>0</v>
      </c>
    </row>
    <row r="26" spans="2:11" x14ac:dyDescent="0.25">
      <c r="B26" s="1" t="s">
        <v>16</v>
      </c>
      <c r="C26" s="1">
        <f>SUM(C2:C13)</f>
        <v>3755750.98</v>
      </c>
      <c r="D26" s="1">
        <f>SUM(D2:D13)</f>
        <v>354635920.78</v>
      </c>
      <c r="E26" s="1">
        <f>SUM(E2:E13)</f>
        <v>64198.77</v>
      </c>
      <c r="F26" s="1">
        <f>SUM(F2:F13)</f>
        <v>7057848.67</v>
      </c>
      <c r="G26" s="1">
        <f>SUM(G2:G13)</f>
        <v>361693769.45</v>
      </c>
      <c r="I26" s="1">
        <f>SUM(I2:I13)</f>
        <v>352511033.24</v>
      </c>
      <c r="K26" s="6"/>
    </row>
    <row r="27" spans="2:9" x14ac:dyDescent="0.25">
      <c r="B27" s="1" t="s">
        <v>17</v>
      </c>
      <c r="C27" s="1">
        <f>SUM(C14:C23)</f>
        <v>3322467.54</v>
      </c>
      <c r="D27" s="1">
        <f>SUM(D14:D23)</f>
        <v>323281048.91</v>
      </c>
      <c r="E27" s="1">
        <f>SUM(E14:E23)</f>
        <v>56655.94</v>
      </c>
      <c r="F27" s="1">
        <f>SUM(F14:F23)</f>
        <v>6617907.58</v>
      </c>
      <c r="G27" s="1">
        <f>SUM(G14:G23)</f>
        <v>329898956.49</v>
      </c>
      <c r="I27" s="1">
        <f>SUM(I14:I23)</f>
        <v>321582351.05</v>
      </c>
    </row>
    <row r="28" spans="2:9" x14ac:dyDescent="0.25">
      <c r="B28" s="1" t="s">
        <v>18</v>
      </c>
      <c r="C28" s="1">
        <f>C26+C27</f>
        <v>7078218.52</v>
      </c>
      <c r="D28" s="1">
        <f>D26+D27</f>
        <v>677916969.69</v>
      </c>
      <c r="E28" s="1">
        <f>E26+E27</f>
        <v>120854.71</v>
      </c>
      <c r="F28" s="1">
        <f>F26+F27</f>
        <v>13675756.25</v>
      </c>
      <c r="G28" s="1">
        <f>G26+G27</f>
        <v>691592725.94</v>
      </c>
      <c r="I28" s="1">
        <f>I26+I27</f>
        <v>674093384.29</v>
      </c>
    </row>
  </sheetData>
  <sheetProtection sheet="1" algorithmName="SHA-512" hashValue="5QYJxM9FT79Fy324rxLJkc0NEG6pjidyrEwyjgUZnQQVed5h+zFQzHB6yCiFPv1cMZU+J38O6m27XcpaEGLUXA==" saltValue="Nf2CX+RB0MBMNpsZdP5VhA==" spinCount="100000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D25" sqref="D25"/>
    </sheetView>
  </sheetViews>
  <sheetFormatPr defaultRowHeight="15" outlineLevelRow="0" outlineLevelCol="0" x14ac:dyDescent="0"/>
  <cols>
    <col min="1" max="1" width="7" style="9" customWidth="1"/>
    <col min="2" max="2" width="22.85546875" style="9" customWidth="1"/>
    <col min="3" max="3" width="32.28515625" style="9" customWidth="1"/>
    <col min="4" max="4" width="14.140625" style="9" customWidth="1"/>
    <col min="5" max="5" width="15.7109375" style="9" customWidth="1"/>
    <col min="6" max="6" width="14.140625" style="9" customWidth="1"/>
    <col min="7" max="7" width="15.7109375" style="9" customWidth="1"/>
    <col min="8" max="8" width="14.85546875" style="9" customWidth="1"/>
    <col min="9" max="9" width="16.42578125" style="9" customWidth="1"/>
    <col min="10" max="10" width="14.140625" style="9" customWidth="1"/>
    <col min="11" max="11" width="17.42578125" style="9" customWidth="1"/>
    <col min="12" max="16384" width="9.140625" style="9" customWidth="1"/>
  </cols>
  <sheetData>
    <row r="1" spans="1:11" x14ac:dyDescent="0.25">
      <c r="A1" s="10" t="s">
        <v>19</v>
      </c>
      <c r="B1" s="10" t="s">
        <v>20</v>
      </c>
      <c r="C1" s="10" t="s">
        <v>21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</row>
    <row r="2" spans="1:11" x14ac:dyDescent="0.25">
      <c r="A2" s="11">
        <v>1</v>
      </c>
      <c r="B2" s="11" t="s">
        <v>22</v>
      </c>
      <c r="C2" s="11" t="s">
        <v>23</v>
      </c>
      <c r="D2" s="11">
        <v>29801.57</v>
      </c>
      <c r="E2" s="11">
        <v>2852606.2804000005</v>
      </c>
      <c r="F2" s="11">
        <v>205</v>
      </c>
      <c r="G2" s="11">
        <v>22037.5</v>
      </c>
      <c r="H2" s="11">
        <v>2874643.7804000005</v>
      </c>
      <c r="I2" s="11">
        <v>1491570.83</v>
      </c>
      <c r="J2" s="11">
        <v>2000000</v>
      </c>
      <c r="K2" s="11">
        <v>2366214.6104000006</v>
      </c>
    </row>
    <row r="3" spans="1:11" x14ac:dyDescent="0.25">
      <c r="A3" s="11">
        <v>2</v>
      </c>
      <c r="B3" s="11" t="s">
        <v>24</v>
      </c>
      <c r="C3" s="11" t="s">
        <v>25</v>
      </c>
      <c r="D3" s="11">
        <v>63224.259999999995</v>
      </c>
      <c r="E3" s="11">
        <v>6049297.1968</v>
      </c>
      <c r="F3" s="11">
        <v>325</v>
      </c>
      <c r="G3" s="11">
        <v>34924.5</v>
      </c>
      <c r="H3" s="11">
        <v>6084221.6968</v>
      </c>
      <c r="I3" s="11">
        <v>0</v>
      </c>
      <c r="J3" s="11">
        <v>3500000</v>
      </c>
      <c r="K3" s="11">
        <v>2584221.6968</v>
      </c>
    </row>
    <row r="4" spans="1:11" x14ac:dyDescent="0.25">
      <c r="A4" s="11">
        <v>3</v>
      </c>
      <c r="B4" s="11" t="s">
        <v>26</v>
      </c>
      <c r="C4" s="11" t="s">
        <v>27</v>
      </c>
      <c r="D4" s="11">
        <v>57124.06</v>
      </c>
      <c r="E4" s="11">
        <v>5507901.87</v>
      </c>
      <c r="F4" s="11">
        <v>436</v>
      </c>
      <c r="G4" s="11">
        <v>47187.23</v>
      </c>
      <c r="H4" s="11">
        <v>5555089.100000001</v>
      </c>
      <c r="I4" s="11">
        <v>626816.62</v>
      </c>
      <c r="J4" s="11">
        <v>3500000</v>
      </c>
      <c r="K4" s="11">
        <v>2681905.7200000007</v>
      </c>
    </row>
    <row r="5" spans="1:11" x14ac:dyDescent="0.25">
      <c r="A5" s="11">
        <v>4</v>
      </c>
      <c r="B5" s="11" t="s">
        <v>28</v>
      </c>
      <c r="C5" s="11" t="s">
        <v>29</v>
      </c>
      <c r="D5" s="11">
        <v>46871.01000000001</v>
      </c>
      <c r="E5" s="11">
        <v>4514146.9731</v>
      </c>
      <c r="F5" s="11">
        <v>90</v>
      </c>
      <c r="G5" s="11">
        <v>9730.800000000001</v>
      </c>
      <c r="H5" s="11">
        <v>4523877.7731</v>
      </c>
      <c r="I5" s="11">
        <v>934967.13</v>
      </c>
      <c r="J5" s="11">
        <v>3000000</v>
      </c>
      <c r="K5" s="11">
        <v>2458844.9030999998</v>
      </c>
    </row>
    <row r="6" spans="1:11" x14ac:dyDescent="0.25">
      <c r="A6" s="11">
        <v>5</v>
      </c>
      <c r="B6" s="11" t="s">
        <v>30</v>
      </c>
      <c r="C6" s="11" t="s">
        <v>31</v>
      </c>
      <c r="D6" s="11">
        <v>11700</v>
      </c>
      <c r="E6" s="11">
        <v>1044693.0000000001</v>
      </c>
      <c r="F6" s="11">
        <v>620</v>
      </c>
      <c r="G6" s="11">
        <v>64008.79999999999</v>
      </c>
      <c r="H6" s="11">
        <v>1108701.8</v>
      </c>
      <c r="I6" s="11">
        <v>231091.31</v>
      </c>
      <c r="J6" s="11">
        <v>1200695.5999999999</v>
      </c>
      <c r="K6" s="11">
        <v>139097.51000000024</v>
      </c>
    </row>
    <row r="7" spans="1:11" x14ac:dyDescent="0.25">
      <c r="A7" s="11">
        <v>6</v>
      </c>
      <c r="B7" s="11" t="s">
        <v>32</v>
      </c>
      <c r="C7" s="11" t="s">
        <v>33</v>
      </c>
      <c r="D7" s="11">
        <v>7825.339999999999</v>
      </c>
      <c r="E7" s="11">
        <v>702559.0252</v>
      </c>
      <c r="F7" s="11">
        <v>408</v>
      </c>
      <c r="G7" s="11">
        <v>42432</v>
      </c>
      <c r="H7" s="11">
        <v>744991.0252</v>
      </c>
      <c r="I7" s="11">
        <v>0</v>
      </c>
      <c r="J7" s="11">
        <v>644991.9034</v>
      </c>
      <c r="K7" s="11">
        <v>99999.12180000008</v>
      </c>
    </row>
    <row r="8" spans="1:11" x14ac:dyDescent="0.25">
      <c r="A8" s="11">
        <v>7</v>
      </c>
      <c r="B8" s="11" t="s">
        <v>34</v>
      </c>
      <c r="C8" s="11" t="s">
        <v>35</v>
      </c>
      <c r="D8" s="11">
        <v>5149.99</v>
      </c>
      <c r="E8" s="11">
        <v>464687.59770000004</v>
      </c>
      <c r="F8" s="11">
        <v>124.2</v>
      </c>
      <c r="G8" s="11">
        <v>12934.188</v>
      </c>
      <c r="H8" s="11">
        <v>477621.78570000007</v>
      </c>
      <c r="I8" s="11">
        <v>0</v>
      </c>
      <c r="J8" s="11">
        <v>457622.306</v>
      </c>
      <c r="K8" s="11">
        <v>19999.479700000084</v>
      </c>
    </row>
    <row r="9" spans="1:11" x14ac:dyDescent="0.25">
      <c r="A9" s="11">
        <v>8</v>
      </c>
      <c r="B9" s="11" t="s">
        <v>36</v>
      </c>
      <c r="C9" s="11" t="s">
        <v>37</v>
      </c>
      <c r="D9" s="11">
        <v>4960</v>
      </c>
      <c r="E9" s="11">
        <v>447144</v>
      </c>
      <c r="F9" s="11">
        <v>283</v>
      </c>
      <c r="G9" s="11">
        <v>29508.409999999996</v>
      </c>
      <c r="H9" s="11">
        <v>476652.41</v>
      </c>
      <c r="I9" s="11">
        <v>1103495</v>
      </c>
      <c r="J9" s="11">
        <v>1000000</v>
      </c>
      <c r="K9" s="11">
        <v>580147.4099999999</v>
      </c>
    </row>
    <row r="10" spans="1:11" x14ac:dyDescent="0.25">
      <c r="A10" s="11">
        <v>9</v>
      </c>
      <c r="B10" s="11" t="s">
        <v>38</v>
      </c>
      <c r="C10" s="11" t="s">
        <v>39</v>
      </c>
      <c r="D10" s="11">
        <v>2500</v>
      </c>
      <c r="E10" s="11">
        <v>225600</v>
      </c>
      <c r="F10" s="11">
        <v>210</v>
      </c>
      <c r="G10" s="11">
        <v>21869.4</v>
      </c>
      <c r="H10" s="11">
        <v>247469.39999999997</v>
      </c>
      <c r="I10" s="11">
        <v>7285.6</v>
      </c>
      <c r="J10" s="11">
        <v>254755</v>
      </c>
      <c r="K10" s="11">
        <v>0</v>
      </c>
    </row>
    <row r="11" spans="1:11" x14ac:dyDescent="0.25">
      <c r="A11" s="11">
        <v>10</v>
      </c>
      <c r="B11" s="11" t="s">
        <v>40</v>
      </c>
      <c r="C11" s="11" t="s">
        <v>41</v>
      </c>
      <c r="D11" s="11">
        <v>1470</v>
      </c>
      <c r="E11" s="11">
        <v>132640.1</v>
      </c>
      <c r="F11" s="11">
        <v>90</v>
      </c>
      <c r="G11" s="11">
        <v>9371.7</v>
      </c>
      <c r="H11" s="11">
        <v>142011.80000000002</v>
      </c>
      <c r="I11" s="11">
        <v>0</v>
      </c>
      <c r="J11" s="11">
        <v>142011.8</v>
      </c>
      <c r="K11" s="11">
        <v>0</v>
      </c>
    </row>
    <row r="12" spans="1:11" x14ac:dyDescent="0.25">
      <c r="A12" s="11">
        <v>11</v>
      </c>
      <c r="B12" s="11" t="s">
        <v>42</v>
      </c>
      <c r="C12" s="11" t="s">
        <v>43</v>
      </c>
      <c r="D12" s="11">
        <v>1924.5199999999998</v>
      </c>
      <c r="E12" s="11">
        <v>171782.6552</v>
      </c>
      <c r="F12" s="11">
        <v>74.09</v>
      </c>
      <c r="G12" s="11">
        <v>7735.256599999999</v>
      </c>
      <c r="H12" s="11">
        <v>179517.9118</v>
      </c>
      <c r="I12" s="11">
        <v>55164.18</v>
      </c>
      <c r="J12" s="11">
        <v>178481.40120000002</v>
      </c>
      <c r="K12" s="11">
        <v>56200.69059999997</v>
      </c>
    </row>
    <row r="13" spans="1:11" x14ac:dyDescent="0.25">
      <c r="A13" s="11">
        <v>12</v>
      </c>
      <c r="B13" s="11" t="s">
        <v>44</v>
      </c>
      <c r="C13" s="11" t="s">
        <v>45</v>
      </c>
      <c r="D13" s="11">
        <v>972.7199999999998</v>
      </c>
      <c r="E13" s="11">
        <v>86652.4992</v>
      </c>
      <c r="F13" s="11">
        <v>48.82000000000001</v>
      </c>
      <c r="G13" s="11">
        <v>5015.278600000001</v>
      </c>
      <c r="H13" s="11">
        <v>91667.77780000001</v>
      </c>
      <c r="I13" s="11">
        <v>2671.13</v>
      </c>
      <c r="J13" s="11">
        <v>44000</v>
      </c>
      <c r="K13" s="11">
        <v>50338.907800000015</v>
      </c>
    </row>
    <row r="14" spans="1:11" x14ac:dyDescent="0.25">
      <c r="A14" s="11">
        <v>13</v>
      </c>
      <c r="B14" s="11" t="s">
        <v>46</v>
      </c>
      <c r="C14" s="11" t="s">
        <v>47</v>
      </c>
      <c r="D14" s="11">
        <v>3691.75</v>
      </c>
      <c r="E14" s="11">
        <v>331925.2425</v>
      </c>
      <c r="F14" s="11">
        <v>149</v>
      </c>
      <c r="G14" s="11">
        <v>15479.610000000004</v>
      </c>
      <c r="H14" s="11">
        <v>347404.8525</v>
      </c>
      <c r="I14" s="11">
        <v>245446.58</v>
      </c>
      <c r="J14" s="11">
        <v>141300</v>
      </c>
      <c r="K14" s="11">
        <v>451551.4325</v>
      </c>
    </row>
    <row r="15" spans="1:11" x14ac:dyDescent="0.25">
      <c r="A15" s="11">
        <v>14</v>
      </c>
      <c r="B15" s="11" t="s">
        <v>48</v>
      </c>
      <c r="C15" s="11" t="s">
        <v>49</v>
      </c>
      <c r="D15" s="11">
        <v>1394.53</v>
      </c>
      <c r="E15" s="11">
        <v>125159.06749999999</v>
      </c>
      <c r="F15" s="11">
        <v>30</v>
      </c>
      <c r="G15" s="11">
        <v>3111.9</v>
      </c>
      <c r="H15" s="11">
        <v>128270.96749999998</v>
      </c>
      <c r="I15" s="11">
        <v>519.11</v>
      </c>
      <c r="J15" s="11">
        <v>0</v>
      </c>
      <c r="K15" s="11">
        <v>128790.07749999998</v>
      </c>
    </row>
    <row r="16" spans="1:11" x14ac:dyDescent="0.25">
      <c r="A16" s="11">
        <v>15</v>
      </c>
      <c r="B16" s="11" t="s">
        <v>50</v>
      </c>
      <c r="C16" s="11" t="s">
        <v>51</v>
      </c>
      <c r="D16" s="11">
        <v>1617.81</v>
      </c>
      <c r="E16" s="11">
        <v>145425.075</v>
      </c>
      <c r="F16" s="11">
        <v>57.62</v>
      </c>
      <c r="G16" s="11">
        <v>5990.1752</v>
      </c>
      <c r="H16" s="11">
        <v>151415.2502</v>
      </c>
      <c r="I16" s="11">
        <v>0</v>
      </c>
      <c r="J16" s="11">
        <v>151415.2502</v>
      </c>
      <c r="K16" s="11">
        <v>0</v>
      </c>
    </row>
    <row r="17" spans="1:11" x14ac:dyDescent="0.25">
      <c r="A17" s="11">
        <v>16</v>
      </c>
      <c r="B17" s="11" t="s">
        <v>52</v>
      </c>
      <c r="C17" s="11" t="s">
        <v>53</v>
      </c>
      <c r="D17" s="11">
        <v>342.71000000000004</v>
      </c>
      <c r="E17" s="11">
        <v>31347.4246</v>
      </c>
      <c r="F17" s="11">
        <v>26.11</v>
      </c>
      <c r="G17" s="11">
        <v>2739.9875</v>
      </c>
      <c r="H17" s="11">
        <v>34087.4121</v>
      </c>
      <c r="I17" s="11">
        <v>17828</v>
      </c>
      <c r="J17" s="11">
        <v>49126.4</v>
      </c>
      <c r="K17" s="11">
        <v>2789.0121</v>
      </c>
    </row>
    <row r="18" spans="1:11" x14ac:dyDescent="0.25">
      <c r="A18" s="11">
        <v>17</v>
      </c>
      <c r="B18" s="11" t="s">
        <v>54</v>
      </c>
      <c r="C18" s="11" t="s">
        <v>55</v>
      </c>
      <c r="D18" s="11">
        <v>16100</v>
      </c>
      <c r="E18" s="11">
        <v>1467354</v>
      </c>
      <c r="F18" s="11">
        <v>50</v>
      </c>
      <c r="G18" s="11">
        <v>5230</v>
      </c>
      <c r="H18" s="11">
        <v>1472584</v>
      </c>
      <c r="I18" s="11">
        <v>669904.88</v>
      </c>
      <c r="J18" s="11">
        <v>700000</v>
      </c>
      <c r="K18" s="11">
        <v>1442488.88</v>
      </c>
    </row>
    <row r="19" spans="1:11" x14ac:dyDescent="0.25">
      <c r="A19" s="11">
        <v>18</v>
      </c>
      <c r="B19" s="11" t="s">
        <v>56</v>
      </c>
      <c r="C19" s="11" t="s">
        <v>57</v>
      </c>
      <c r="D19" s="11">
        <v>2808.93</v>
      </c>
      <c r="E19" s="11">
        <v>251861.1631</v>
      </c>
      <c r="F19" s="11">
        <v>177.09</v>
      </c>
      <c r="G19" s="11">
        <v>18326.0326</v>
      </c>
      <c r="H19" s="11">
        <v>270187.1957</v>
      </c>
      <c r="I19" s="11">
        <v>0</v>
      </c>
      <c r="J19" s="11">
        <v>256405.56769999999</v>
      </c>
      <c r="K19" s="11">
        <v>13781.627999999997</v>
      </c>
    </row>
    <row r="20" spans="1:11" x14ac:dyDescent="0.25">
      <c r="A20" s="11">
        <v>19</v>
      </c>
      <c r="B20" s="11" t="s">
        <v>58</v>
      </c>
      <c r="C20" s="11" t="s">
        <v>59</v>
      </c>
      <c r="D20" s="11">
        <v>399.6</v>
      </c>
      <c r="E20" s="11">
        <v>35888.076</v>
      </c>
      <c r="F20" s="11">
        <v>75</v>
      </c>
      <c r="G20" s="11">
        <v>7785</v>
      </c>
      <c r="H20" s="11">
        <v>43673.076</v>
      </c>
      <c r="I20" s="11">
        <v>18034.63</v>
      </c>
      <c r="J20" s="11">
        <v>18035</v>
      </c>
      <c r="K20" s="11">
        <v>43672.706000000006</v>
      </c>
    </row>
    <row r="21" spans="1:11" x14ac:dyDescent="0.25">
      <c r="A21" s="11">
        <v>20</v>
      </c>
      <c r="B21" s="11" t="s">
        <v>60</v>
      </c>
      <c r="C21" s="11" t="s">
        <v>61</v>
      </c>
      <c r="D21" s="11">
        <v>6927.440000000001</v>
      </c>
      <c r="E21" s="11">
        <v>619936.6056</v>
      </c>
      <c r="F21" s="11">
        <v>385.73</v>
      </c>
      <c r="G21" s="11">
        <v>40087.45659999999</v>
      </c>
      <c r="H21" s="11">
        <v>660024.0622</v>
      </c>
      <c r="I21" s="11">
        <v>278314</v>
      </c>
      <c r="J21" s="11">
        <v>509844</v>
      </c>
      <c r="K21" s="11">
        <v>428494.06220000004</v>
      </c>
    </row>
    <row r="22" spans="1:11" x14ac:dyDescent="0.25">
      <c r="A22" s="11">
        <v>21</v>
      </c>
      <c r="B22" s="11" t="s">
        <v>62</v>
      </c>
      <c r="C22" s="11" t="s">
        <v>63</v>
      </c>
      <c r="D22" s="11">
        <v>5185.83</v>
      </c>
      <c r="E22" s="11">
        <v>462731.6109000001</v>
      </c>
      <c r="F22" s="11">
        <v>80.85</v>
      </c>
      <c r="G22" s="11">
        <v>8340.485999999999</v>
      </c>
      <c r="H22" s="11">
        <v>471072.09690000006</v>
      </c>
      <c r="I22" s="11">
        <v>9874.41</v>
      </c>
      <c r="J22" s="11">
        <v>0</v>
      </c>
      <c r="K22" s="11">
        <v>480946.50690000004</v>
      </c>
    </row>
    <row r="23" spans="1:11" x14ac:dyDescent="0.25">
      <c r="A23" s="11">
        <v>22</v>
      </c>
      <c r="B23" s="11" t="s">
        <v>64</v>
      </c>
      <c r="C23" s="11" t="s">
        <v>65</v>
      </c>
      <c r="D23" s="11">
        <v>1133.5400000000002</v>
      </c>
      <c r="E23" s="11">
        <v>101381.034</v>
      </c>
      <c r="F23" s="11">
        <v>148.62</v>
      </c>
      <c r="G23" s="11">
        <v>15495.4653</v>
      </c>
      <c r="H23" s="11">
        <v>116876.4993</v>
      </c>
      <c r="I23" s="11">
        <v>0</v>
      </c>
      <c r="J23" s="11">
        <v>116876.4993</v>
      </c>
      <c r="K23" s="11">
        <v>0</v>
      </c>
    </row>
    <row r="24" spans="1:11" x14ac:dyDescent="0.25">
      <c r="A24" s="11">
        <v>23</v>
      </c>
      <c r="B24" s="11" t="s">
        <v>66</v>
      </c>
      <c r="C24" s="11" t="s">
        <v>67</v>
      </c>
      <c r="D24" s="11">
        <v>152.44</v>
      </c>
      <c r="E24" s="11">
        <v>13503.135199999999</v>
      </c>
      <c r="F24" s="11">
        <v>53.28999999999999</v>
      </c>
      <c r="G24" s="11">
        <v>5460.093399999999</v>
      </c>
      <c r="H24" s="11">
        <v>18963.2286</v>
      </c>
      <c r="I24" s="11">
        <v>0</v>
      </c>
      <c r="J24" s="11">
        <v>18963.2286</v>
      </c>
      <c r="K24" s="11">
        <v>0</v>
      </c>
    </row>
    <row r="25" spans="1:11" x14ac:dyDescent="0.25">
      <c r="A25" s="10" t="s">
        <v>68</v>
      </c>
      <c r="B25" s="10"/>
      <c r="C25" s="10"/>
      <c r="D25" s="10">
        <v>273278.04999999993</v>
      </c>
      <c r="E25" s="10">
        <v>25786223.632000007</v>
      </c>
      <c r="F25" s="10">
        <v>4147.42</v>
      </c>
      <c r="G25" s="10">
        <v>434801.2698</v>
      </c>
      <c r="H25" s="10">
        <v>26221024.901800007</v>
      </c>
      <c r="I25" s="10">
        <v>5692983.41</v>
      </c>
      <c r="J25" s="10">
        <v>17884523.9564</v>
      </c>
      <c r="K25" s="10">
        <v>14029484.355400002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L19" sqref="L19"/>
    </sheetView>
  </sheetViews>
  <sheetFormatPr defaultRowHeight="15" outlineLevelRow="0" outlineLevelCol="0" x14ac:dyDescent="0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14" sqref="I14"/>
    </sheetView>
  </sheetViews>
  <sheetFormatPr defaultRowHeight="15" outlineLevelRow="0" outlineLevelCol="0" x14ac:dyDescent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Jan-25</vt:lpstr>
      <vt:lpstr>Feb-25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MIS</cp:lastModifiedBy>
  <cp:contentStatus/>
  <dcterms:created xsi:type="dcterms:W3CDTF">2026-10-07T11:02:20Z</dcterms:created>
  <dcterms:modified xsi:type="dcterms:W3CDTF">2026-10-12T12:28:23Z</dcterms:modified>
</cp:coreProperties>
</file>